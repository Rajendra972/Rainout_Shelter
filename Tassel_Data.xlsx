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rajen\OneDrive\Desktop\Arranged_Dataset\"/>
    </mc:Choice>
  </mc:AlternateContent>
  <xr:revisionPtr revIDLastSave="0" documentId="8_{7C6C4D16-4804-4882-BBF7-CDBB4CA93EAE}" xr6:coauthVersionLast="47" xr6:coauthVersionMax="47" xr10:uidLastSave="{00000000-0000-0000-0000-000000000000}"/>
  <bookViews>
    <workbookView xWindow="28680" yWindow="-120" windowWidth="29040" windowHeight="15720" activeTab="13" xr2:uid="{00000000-000D-0000-FFFF-FFFF00000000}"/>
  </bookViews>
  <sheets>
    <sheet name="7_13_Plt5_R1_M1_H1_P11_Tsl" sheetId="1" r:id="rId1"/>
    <sheet name="7_13_Plt24_R3_M3_H3_P2_Tsl" sheetId="2" r:id="rId2"/>
    <sheet name="7_12_Plt15_R2_M2_H1_P5_Tsl" sheetId="3" r:id="rId3"/>
    <sheet name="7_12_Plt23_R3_M3_H2_P3_Tsl" sheetId="4" r:id="rId4"/>
    <sheet name="7_12_Plt19_R3_H1_M1_P2_Tsl" sheetId="5" r:id="rId5"/>
    <sheet name="7_10_Plt10_R2_M3_H3_P12_Tsl" sheetId="6" r:id="rId6"/>
    <sheet name="7_10_Plt6_R1_M1_H2_P8_Tsl" sheetId="7" r:id="rId7"/>
    <sheet name="7_10_Plt16_R2_M1_H2_P8_Tsl" sheetId="8" r:id="rId8"/>
    <sheet name="7_8_Plt24_R3_M3_H3_P2_Tsl" sheetId="9" r:id="rId9"/>
    <sheet name="7_8_Plt10_R2_M3_H3_P11_Tsl" sheetId="10" r:id="rId10"/>
    <sheet name="7_8_Plt1_R1_M2_H3_P1_Tsl" sheetId="11" r:id="rId11"/>
    <sheet name="7_7_Plt1_R1_M2_H3_P12_Tsl" sheetId="12" r:id="rId12"/>
    <sheet name="7_7_Plt6_R1_M1_H2_P8_Tsl" sheetId="13" r:id="rId13"/>
    <sheet name="7_7_Plt8_R1_M2_H3_P2_Tsl" sheetId="14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J33" i="14" l="1"/>
  <c r="DI33" i="14"/>
  <c r="DG33" i="14"/>
  <c r="DH33" i="14" s="1"/>
  <c r="BI33" i="14" s="1"/>
  <c r="BK33" i="14" s="1"/>
  <c r="BV33" i="14"/>
  <c r="BU33" i="14"/>
  <c r="BM33" i="14"/>
  <c r="BJ33" i="14"/>
  <c r="BL33" i="14" s="1"/>
  <c r="BG33" i="14"/>
  <c r="BA33" i="14"/>
  <c r="BN33" i="14" s="1"/>
  <c r="BQ33" i="14" s="1"/>
  <c r="AV33" i="14"/>
  <c r="AT33" i="14"/>
  <c r="AU33" i="14" s="1"/>
  <c r="AM33" i="14"/>
  <c r="AH33" i="14"/>
  <c r="AG33" i="14"/>
  <c r="J33" i="14" s="1"/>
  <c r="I33" i="14" s="1"/>
  <c r="AF33" i="14"/>
  <c r="Z33" i="14"/>
  <c r="Y33" i="14"/>
  <c r="X33" i="14"/>
  <c r="T33" i="14"/>
  <c r="U33" i="14" s="1"/>
  <c r="V33" i="14" s="1"/>
  <c r="Q33" i="14"/>
  <c r="AC33" i="14" s="1"/>
  <c r="O33" i="14"/>
  <c r="L33" i="14"/>
  <c r="K33" i="14"/>
  <c r="DJ32" i="14"/>
  <c r="DI32" i="14"/>
  <c r="DG32" i="14"/>
  <c r="T32" i="14" s="1"/>
  <c r="BV32" i="14"/>
  <c r="BU32" i="14"/>
  <c r="BN32" i="14"/>
  <c r="BQ32" i="14" s="1"/>
  <c r="BM32" i="14"/>
  <c r="BG32" i="14"/>
  <c r="BA32" i="14"/>
  <c r="AV32" i="14"/>
  <c r="AT32" i="14"/>
  <c r="AU32" i="14" s="1"/>
  <c r="AM32" i="14"/>
  <c r="AH32" i="14"/>
  <c r="AG32" i="14"/>
  <c r="J32" i="14" s="1"/>
  <c r="I32" i="14" s="1"/>
  <c r="AF32" i="14"/>
  <c r="K32" i="14" s="1"/>
  <c r="BJ32" i="14" s="1"/>
  <c r="Z32" i="14"/>
  <c r="Y32" i="14"/>
  <c r="X32" i="14"/>
  <c r="Q32" i="14"/>
  <c r="O32" i="14"/>
  <c r="L32" i="14"/>
  <c r="DJ31" i="14"/>
  <c r="DI31" i="14"/>
  <c r="DG31" i="14"/>
  <c r="DH31" i="14" s="1"/>
  <c r="BI31" i="14" s="1"/>
  <c r="BK31" i="14" s="1"/>
  <c r="BV31" i="14"/>
  <c r="BU31" i="14"/>
  <c r="BM31" i="14"/>
  <c r="BJ31" i="14"/>
  <c r="BG31" i="14"/>
  <c r="BA31" i="14"/>
  <c r="BN31" i="14" s="1"/>
  <c r="BQ31" i="14" s="1"/>
  <c r="AV31" i="14"/>
  <c r="AT31" i="14"/>
  <c r="AU31" i="14" s="1"/>
  <c r="AM31" i="14"/>
  <c r="AH31" i="14"/>
  <c r="AG31" i="14"/>
  <c r="J31" i="14" s="1"/>
  <c r="I31" i="14" s="1"/>
  <c r="AF31" i="14"/>
  <c r="Z31" i="14"/>
  <c r="Y31" i="14"/>
  <c r="X31" i="14"/>
  <c r="T31" i="14"/>
  <c r="Q31" i="14"/>
  <c r="O31" i="14"/>
  <c r="L31" i="14"/>
  <c r="K31" i="14"/>
  <c r="DJ30" i="14"/>
  <c r="DI30" i="14"/>
  <c r="DG30" i="14"/>
  <c r="T30" i="14" s="1"/>
  <c r="BV30" i="14"/>
  <c r="BU30" i="14"/>
  <c r="BN30" i="14"/>
  <c r="BQ30" i="14" s="1"/>
  <c r="BM30" i="14"/>
  <c r="BG30" i="14"/>
  <c r="BA30" i="14"/>
  <c r="AV30" i="14"/>
  <c r="AT30" i="14"/>
  <c r="AU30" i="14" s="1"/>
  <c r="AM30" i="14"/>
  <c r="AH30" i="14"/>
  <c r="AG30" i="14"/>
  <c r="J30" i="14" s="1"/>
  <c r="I30" i="14" s="1"/>
  <c r="AF30" i="14"/>
  <c r="K30" i="14" s="1"/>
  <c r="BJ30" i="14" s="1"/>
  <c r="Z30" i="14"/>
  <c r="Y30" i="14"/>
  <c r="X30" i="14"/>
  <c r="Q30" i="14"/>
  <c r="O30" i="14"/>
  <c r="L30" i="14"/>
  <c r="DJ27" i="14"/>
  <c r="DI27" i="14"/>
  <c r="DG27" i="14"/>
  <c r="DH27" i="14" s="1"/>
  <c r="BI27" i="14" s="1"/>
  <c r="BK27" i="14" s="1"/>
  <c r="BV27" i="14"/>
  <c r="BU27" i="14"/>
  <c r="BM27" i="14"/>
  <c r="BJ27" i="14"/>
  <c r="BL27" i="14" s="1"/>
  <c r="BG27" i="14"/>
  <c r="BA27" i="14"/>
  <c r="BN27" i="14" s="1"/>
  <c r="BQ27" i="14" s="1"/>
  <c r="AV27" i="14"/>
  <c r="AT27" i="14"/>
  <c r="AU27" i="14" s="1"/>
  <c r="AM27" i="14"/>
  <c r="AH27" i="14"/>
  <c r="AG27" i="14"/>
  <c r="J27" i="14" s="1"/>
  <c r="I27" i="14" s="1"/>
  <c r="AF27" i="14"/>
  <c r="Z27" i="14"/>
  <c r="Y27" i="14"/>
  <c r="X27" i="14"/>
  <c r="T27" i="14"/>
  <c r="U27" i="14" s="1"/>
  <c r="V27" i="14" s="1"/>
  <c r="Q27" i="14"/>
  <c r="AC27" i="14" s="1"/>
  <c r="O27" i="14"/>
  <c r="L27" i="14"/>
  <c r="K27" i="14"/>
  <c r="DJ24" i="14"/>
  <c r="DI24" i="14"/>
  <c r="DG24" i="14"/>
  <c r="T24" i="14" s="1"/>
  <c r="BV24" i="14"/>
  <c r="BU24" i="14"/>
  <c r="BN24" i="14"/>
  <c r="BQ24" i="14" s="1"/>
  <c r="BM24" i="14"/>
  <c r="BG24" i="14"/>
  <c r="BA24" i="14"/>
  <c r="AV24" i="14"/>
  <c r="AT24" i="14"/>
  <c r="AU24" i="14" s="1"/>
  <c r="AM24" i="14"/>
  <c r="AH24" i="14"/>
  <c r="AG24" i="14"/>
  <c r="J24" i="14" s="1"/>
  <c r="I24" i="14" s="1"/>
  <c r="AF24" i="14"/>
  <c r="K24" i="14" s="1"/>
  <c r="BJ24" i="14" s="1"/>
  <c r="Z24" i="14"/>
  <c r="Y24" i="14"/>
  <c r="X24" i="14"/>
  <c r="Q24" i="14"/>
  <c r="O24" i="14"/>
  <c r="L24" i="14"/>
  <c r="DJ23" i="14"/>
  <c r="DI23" i="14"/>
  <c r="DG23" i="14"/>
  <c r="DH23" i="14" s="1"/>
  <c r="BI23" i="14" s="1"/>
  <c r="BK23" i="14" s="1"/>
  <c r="BV23" i="14"/>
  <c r="BU23" i="14"/>
  <c r="BM23" i="14"/>
  <c r="BJ23" i="14"/>
  <c r="BL23" i="14" s="1"/>
  <c r="BG23" i="14"/>
  <c r="BA23" i="14"/>
  <c r="BN23" i="14" s="1"/>
  <c r="BQ23" i="14" s="1"/>
  <c r="AV23" i="14"/>
  <c r="AT23" i="14"/>
  <c r="AU23" i="14" s="1"/>
  <c r="AM23" i="14"/>
  <c r="AH23" i="14"/>
  <c r="AG23" i="14"/>
  <c r="J23" i="14" s="1"/>
  <c r="I23" i="14" s="1"/>
  <c r="AF23" i="14"/>
  <c r="Z23" i="14"/>
  <c r="Y23" i="14"/>
  <c r="X23" i="14"/>
  <c r="T23" i="14"/>
  <c r="Q23" i="14"/>
  <c r="O23" i="14"/>
  <c r="L23" i="14"/>
  <c r="K23" i="14"/>
  <c r="DJ22" i="14"/>
  <c r="DI22" i="14"/>
  <c r="DG22" i="14"/>
  <c r="T22" i="14" s="1"/>
  <c r="BV22" i="14"/>
  <c r="BU22" i="14"/>
  <c r="BN22" i="14"/>
  <c r="BQ22" i="14" s="1"/>
  <c r="BM22" i="14"/>
  <c r="BG22" i="14"/>
  <c r="BA22" i="14"/>
  <c r="AV22" i="14"/>
  <c r="AT22" i="14"/>
  <c r="AU22" i="14" s="1"/>
  <c r="AM22" i="14"/>
  <c r="AH22" i="14"/>
  <c r="AG22" i="14"/>
  <c r="J22" i="14" s="1"/>
  <c r="I22" i="14" s="1"/>
  <c r="AF22" i="14"/>
  <c r="K22" i="14" s="1"/>
  <c r="BJ22" i="14" s="1"/>
  <c r="Z22" i="14"/>
  <c r="Y22" i="14"/>
  <c r="X22" i="14"/>
  <c r="Q22" i="14"/>
  <c r="O22" i="14"/>
  <c r="L22" i="14"/>
  <c r="DJ21" i="14"/>
  <c r="DI21" i="14"/>
  <c r="DG21" i="14"/>
  <c r="DH21" i="14" s="1"/>
  <c r="BI21" i="14" s="1"/>
  <c r="BK21" i="14" s="1"/>
  <c r="BV21" i="14"/>
  <c r="BU21" i="14"/>
  <c r="BM21" i="14"/>
  <c r="BJ21" i="14"/>
  <c r="BG21" i="14"/>
  <c r="BA21" i="14"/>
  <c r="BN21" i="14" s="1"/>
  <c r="BQ21" i="14" s="1"/>
  <c r="AV21" i="14"/>
  <c r="AT21" i="14"/>
  <c r="AU21" i="14" s="1"/>
  <c r="AM21" i="14"/>
  <c r="AH21" i="14"/>
  <c r="AG21" i="14"/>
  <c r="J21" i="14" s="1"/>
  <c r="I21" i="14" s="1"/>
  <c r="AF21" i="14"/>
  <c r="Z21" i="14"/>
  <c r="Y21" i="14"/>
  <c r="X21" i="14"/>
  <c r="T21" i="14"/>
  <c r="U21" i="14" s="1"/>
  <c r="V21" i="14" s="1"/>
  <c r="Q21" i="14"/>
  <c r="AC21" i="14" s="1"/>
  <c r="O21" i="14"/>
  <c r="L21" i="14"/>
  <c r="K21" i="14"/>
  <c r="DJ20" i="14"/>
  <c r="DI20" i="14"/>
  <c r="DG20" i="14"/>
  <c r="T20" i="14" s="1"/>
  <c r="BW20" i="14"/>
  <c r="BX20" i="14" s="1"/>
  <c r="BV20" i="14"/>
  <c r="BU20" i="14"/>
  <c r="BT20" i="14"/>
  <c r="BS20" i="14"/>
  <c r="BQ20" i="14"/>
  <c r="BR20" i="14" s="1"/>
  <c r="BN20" i="14"/>
  <c r="BM20" i="14"/>
  <c r="BG20" i="14"/>
  <c r="BA20" i="14"/>
  <c r="AV20" i="14"/>
  <c r="AT20" i="14"/>
  <c r="AU20" i="14" s="1"/>
  <c r="AM20" i="14"/>
  <c r="AH20" i="14"/>
  <c r="AG20" i="14"/>
  <c r="J20" i="14" s="1"/>
  <c r="I20" i="14" s="1"/>
  <c r="AF20" i="14"/>
  <c r="K20" i="14" s="1"/>
  <c r="BJ20" i="14" s="1"/>
  <c r="Z20" i="14"/>
  <c r="Y20" i="14"/>
  <c r="X20" i="14"/>
  <c r="Q20" i="14"/>
  <c r="O20" i="14"/>
  <c r="L20" i="14"/>
  <c r="DJ19" i="14"/>
  <c r="DI19" i="14"/>
  <c r="DG19" i="14"/>
  <c r="DH19" i="14" s="1"/>
  <c r="BI19" i="14" s="1"/>
  <c r="BK19" i="14" s="1"/>
  <c r="BV19" i="14"/>
  <c r="BU19" i="14"/>
  <c r="BM19" i="14"/>
  <c r="BJ19" i="14"/>
  <c r="BG19" i="14"/>
  <c r="BA19" i="14"/>
  <c r="BN19" i="14" s="1"/>
  <c r="BQ19" i="14" s="1"/>
  <c r="AV19" i="14"/>
  <c r="AU19" i="14"/>
  <c r="AT19" i="14"/>
  <c r="AM19" i="14"/>
  <c r="AH19" i="14"/>
  <c r="AG19" i="14"/>
  <c r="J19" i="14" s="1"/>
  <c r="I19" i="14" s="1"/>
  <c r="AF19" i="14"/>
  <c r="Z19" i="14"/>
  <c r="Y19" i="14"/>
  <c r="X19" i="14"/>
  <c r="T19" i="14"/>
  <c r="Q19" i="14"/>
  <c r="O19" i="14"/>
  <c r="L19" i="14"/>
  <c r="K19" i="14"/>
  <c r="DJ18" i="14"/>
  <c r="DI18" i="14"/>
  <c r="DG18" i="14"/>
  <c r="T18" i="14" s="1"/>
  <c r="BW18" i="14"/>
  <c r="BX18" i="14" s="1"/>
  <c r="BV18" i="14"/>
  <c r="BU18" i="14"/>
  <c r="BT18" i="14"/>
  <c r="BS18" i="14"/>
  <c r="BQ18" i="14"/>
  <c r="BR18" i="14" s="1"/>
  <c r="BN18" i="14"/>
  <c r="BM18" i="14"/>
  <c r="BG18" i="14"/>
  <c r="BA18" i="14"/>
  <c r="AV18" i="14"/>
  <c r="AT18" i="14"/>
  <c r="AU18" i="14" s="1"/>
  <c r="AM18" i="14"/>
  <c r="AH18" i="14"/>
  <c r="AG18" i="14"/>
  <c r="J18" i="14" s="1"/>
  <c r="I18" i="14" s="1"/>
  <c r="AF18" i="14"/>
  <c r="K18" i="14" s="1"/>
  <c r="BJ18" i="14" s="1"/>
  <c r="Z18" i="14"/>
  <c r="Y18" i="14"/>
  <c r="X18" i="14"/>
  <c r="Q18" i="14"/>
  <c r="O18" i="14"/>
  <c r="L18" i="14"/>
  <c r="DJ17" i="14"/>
  <c r="DI17" i="14"/>
  <c r="DG17" i="14"/>
  <c r="DH17" i="14" s="1"/>
  <c r="BI17" i="14" s="1"/>
  <c r="BK17" i="14" s="1"/>
  <c r="BV17" i="14"/>
  <c r="BU17" i="14"/>
  <c r="BM17" i="14"/>
  <c r="BJ17" i="14"/>
  <c r="BL17" i="14" s="1"/>
  <c r="BG17" i="14"/>
  <c r="BA17" i="14"/>
  <c r="BN17" i="14" s="1"/>
  <c r="BQ17" i="14" s="1"/>
  <c r="AV17" i="14"/>
  <c r="AU17" i="14"/>
  <c r="AT17" i="14"/>
  <c r="AM17" i="14"/>
  <c r="AH17" i="14"/>
  <c r="AG17" i="14"/>
  <c r="J17" i="14" s="1"/>
  <c r="I17" i="14" s="1"/>
  <c r="AF17" i="14"/>
  <c r="Z17" i="14"/>
  <c r="Y17" i="14"/>
  <c r="X17" i="14"/>
  <c r="T17" i="14"/>
  <c r="Q17" i="14"/>
  <c r="O17" i="14"/>
  <c r="L17" i="14"/>
  <c r="K17" i="14"/>
  <c r="DJ29" i="13"/>
  <c r="DI29" i="13"/>
  <c r="DG29" i="13"/>
  <c r="DH29" i="13" s="1"/>
  <c r="BI29" i="13" s="1"/>
  <c r="BV29" i="13"/>
  <c r="BU29" i="13"/>
  <c r="BM29" i="13"/>
  <c r="BG29" i="13"/>
  <c r="BK29" i="13" s="1"/>
  <c r="BA29" i="13"/>
  <c r="BN29" i="13" s="1"/>
  <c r="BQ29" i="13" s="1"/>
  <c r="AV29" i="13"/>
  <c r="AT29" i="13" s="1"/>
  <c r="AM29" i="13"/>
  <c r="AH29" i="13"/>
  <c r="Z29" i="13"/>
  <c r="Y29" i="13"/>
  <c r="X29" i="13"/>
  <c r="T29" i="13"/>
  <c r="Q29" i="13"/>
  <c r="DJ28" i="13"/>
  <c r="DI28" i="13"/>
  <c r="DG28" i="13"/>
  <c r="DH28" i="13" s="1"/>
  <c r="BI28" i="13" s="1"/>
  <c r="BV28" i="13"/>
  <c r="BU28" i="13"/>
  <c r="BM28" i="13"/>
  <c r="BG28" i="13"/>
  <c r="BA28" i="13"/>
  <c r="BN28" i="13" s="1"/>
  <c r="BQ28" i="13" s="1"/>
  <c r="AV28" i="13"/>
  <c r="AT28" i="13"/>
  <c r="AU28" i="13" s="1"/>
  <c r="AM28" i="13"/>
  <c r="AH28" i="13"/>
  <c r="AG28" i="13"/>
  <c r="AF28" i="13"/>
  <c r="Z28" i="13"/>
  <c r="Y28" i="13"/>
  <c r="X28" i="13"/>
  <c r="T28" i="13"/>
  <c r="U28" i="13" s="1"/>
  <c r="V28" i="13" s="1"/>
  <c r="Q28" i="13"/>
  <c r="O28" i="13"/>
  <c r="L28" i="13"/>
  <c r="K28" i="13"/>
  <c r="BJ28" i="13" s="1"/>
  <c r="J28" i="13"/>
  <c r="I28" i="13"/>
  <c r="AB28" i="13" s="1"/>
  <c r="DJ27" i="13"/>
  <c r="DI27" i="13"/>
  <c r="DG27" i="13"/>
  <c r="DH27" i="13" s="1"/>
  <c r="BI27" i="13" s="1"/>
  <c r="BV27" i="13"/>
  <c r="BU27" i="13"/>
  <c r="BM27" i="13"/>
  <c r="BG27" i="13"/>
  <c r="BK27" i="13" s="1"/>
  <c r="BA27" i="13"/>
  <c r="BN27" i="13" s="1"/>
  <c r="BQ27" i="13" s="1"/>
  <c r="AV27" i="13"/>
  <c r="AT27" i="13" s="1"/>
  <c r="AM27" i="13"/>
  <c r="AH27" i="13"/>
  <c r="Z27" i="13"/>
  <c r="Y27" i="13"/>
  <c r="X27" i="13"/>
  <c r="T27" i="13"/>
  <c r="Q27" i="13"/>
  <c r="DJ26" i="13"/>
  <c r="DI26" i="13"/>
  <c r="DG26" i="13"/>
  <c r="DH26" i="13" s="1"/>
  <c r="BI26" i="13" s="1"/>
  <c r="BV26" i="13"/>
  <c r="BU26" i="13"/>
  <c r="BM26" i="13"/>
  <c r="BG26" i="13"/>
  <c r="BA26" i="13"/>
  <c r="BN26" i="13" s="1"/>
  <c r="BQ26" i="13" s="1"/>
  <c r="AV26" i="13"/>
  <c r="AT26" i="13"/>
  <c r="AU26" i="13" s="1"/>
  <c r="AM26" i="13"/>
  <c r="AH26" i="13"/>
  <c r="AG26" i="13"/>
  <c r="AF26" i="13"/>
  <c r="Z26" i="13"/>
  <c r="Y26" i="13"/>
  <c r="X26" i="13"/>
  <c r="T26" i="13"/>
  <c r="U26" i="13" s="1"/>
  <c r="V26" i="13" s="1"/>
  <c r="Q26" i="13"/>
  <c r="O26" i="13"/>
  <c r="L26" i="13"/>
  <c r="K26" i="13"/>
  <c r="BJ26" i="13" s="1"/>
  <c r="J26" i="13"/>
  <c r="I26" i="13"/>
  <c r="AB26" i="13" s="1"/>
  <c r="DJ25" i="13"/>
  <c r="DI25" i="13"/>
  <c r="DG25" i="13"/>
  <c r="DH25" i="13" s="1"/>
  <c r="BI25" i="13" s="1"/>
  <c r="BV25" i="13"/>
  <c r="BU25" i="13"/>
  <c r="BM25" i="13"/>
  <c r="BG25" i="13"/>
  <c r="BK25" i="13" s="1"/>
  <c r="BA25" i="13"/>
  <c r="BN25" i="13" s="1"/>
  <c r="BQ25" i="13" s="1"/>
  <c r="AV25" i="13"/>
  <c r="AT25" i="13" s="1"/>
  <c r="AM25" i="13"/>
  <c r="AH25" i="13"/>
  <c r="Z25" i="13"/>
  <c r="Y25" i="13"/>
  <c r="X25" i="13"/>
  <c r="T25" i="13"/>
  <c r="Q25" i="13"/>
  <c r="DJ24" i="13"/>
  <c r="DI24" i="13"/>
  <c r="DG24" i="13"/>
  <c r="DH24" i="13" s="1"/>
  <c r="BI24" i="13" s="1"/>
  <c r="BV24" i="13"/>
  <c r="BU24" i="13"/>
  <c r="BM24" i="13"/>
  <c r="BG24" i="13"/>
  <c r="BA24" i="13"/>
  <c r="BN24" i="13" s="1"/>
  <c r="BQ24" i="13" s="1"/>
  <c r="AV24" i="13"/>
  <c r="AT24" i="13"/>
  <c r="AU24" i="13" s="1"/>
  <c r="AM24" i="13"/>
  <c r="AH24" i="13"/>
  <c r="AG24" i="13"/>
  <c r="AF24" i="13"/>
  <c r="Z24" i="13"/>
  <c r="Y24" i="13"/>
  <c r="X24" i="13"/>
  <c r="T24" i="13"/>
  <c r="U24" i="13" s="1"/>
  <c r="V24" i="13" s="1"/>
  <c r="Q24" i="13"/>
  <c r="O24" i="13"/>
  <c r="L24" i="13"/>
  <c r="K24" i="13"/>
  <c r="BJ24" i="13" s="1"/>
  <c r="J24" i="13"/>
  <c r="I24" i="13"/>
  <c r="AB24" i="13" s="1"/>
  <c r="DJ23" i="13"/>
  <c r="DI23" i="13"/>
  <c r="DG23" i="13"/>
  <c r="DH23" i="13" s="1"/>
  <c r="BI23" i="13" s="1"/>
  <c r="BV23" i="13"/>
  <c r="BU23" i="13"/>
  <c r="BM23" i="13"/>
  <c r="BG23" i="13"/>
  <c r="BK23" i="13" s="1"/>
  <c r="BA23" i="13"/>
  <c r="BN23" i="13" s="1"/>
  <c r="BQ23" i="13" s="1"/>
  <c r="AV23" i="13"/>
  <c r="AT23" i="13" s="1"/>
  <c r="AM23" i="13"/>
  <c r="AH23" i="13"/>
  <c r="Z23" i="13"/>
  <c r="Y23" i="13"/>
  <c r="X23" i="13"/>
  <c r="T23" i="13"/>
  <c r="Q23" i="13"/>
  <c r="DJ22" i="13"/>
  <c r="DI22" i="13"/>
  <c r="DG22" i="13"/>
  <c r="DH22" i="13" s="1"/>
  <c r="BI22" i="13" s="1"/>
  <c r="BV22" i="13"/>
  <c r="BU22" i="13"/>
  <c r="BM22" i="13"/>
  <c r="BG22" i="13"/>
  <c r="BA22" i="13"/>
  <c r="BN22" i="13" s="1"/>
  <c r="BQ22" i="13" s="1"/>
  <c r="AV22" i="13"/>
  <c r="AT22" i="13"/>
  <c r="AU22" i="13" s="1"/>
  <c r="AM22" i="13"/>
  <c r="AH22" i="13"/>
  <c r="AG22" i="13"/>
  <c r="AF22" i="13"/>
  <c r="Z22" i="13"/>
  <c r="Y22" i="13"/>
  <c r="X22" i="13"/>
  <c r="T22" i="13"/>
  <c r="U22" i="13" s="1"/>
  <c r="V22" i="13" s="1"/>
  <c r="Q22" i="13"/>
  <c r="O22" i="13"/>
  <c r="L22" i="13"/>
  <c r="K22" i="13"/>
  <c r="BJ22" i="13" s="1"/>
  <c r="J22" i="13"/>
  <c r="I22" i="13"/>
  <c r="AB22" i="13" s="1"/>
  <c r="DJ21" i="13"/>
  <c r="DI21" i="13"/>
  <c r="DG21" i="13"/>
  <c r="DH21" i="13" s="1"/>
  <c r="BI21" i="13" s="1"/>
  <c r="BV21" i="13"/>
  <c r="BU21" i="13"/>
  <c r="BM21" i="13"/>
  <c r="BG21" i="13"/>
  <c r="BK21" i="13" s="1"/>
  <c r="BA21" i="13"/>
  <c r="BN21" i="13" s="1"/>
  <c r="BQ21" i="13" s="1"/>
  <c r="AV21" i="13"/>
  <c r="AT21" i="13" s="1"/>
  <c r="AM21" i="13"/>
  <c r="AH21" i="13"/>
  <c r="Z21" i="13"/>
  <c r="Y21" i="13"/>
  <c r="X21" i="13"/>
  <c r="T21" i="13"/>
  <c r="Q21" i="13"/>
  <c r="DJ20" i="13"/>
  <c r="DI20" i="13"/>
  <c r="DG20" i="13"/>
  <c r="DH20" i="13" s="1"/>
  <c r="BI20" i="13" s="1"/>
  <c r="BV20" i="13"/>
  <c r="BU20" i="13"/>
  <c r="BM20" i="13"/>
  <c r="BG20" i="13"/>
  <c r="BA20" i="13"/>
  <c r="BN20" i="13" s="1"/>
  <c r="BQ20" i="13" s="1"/>
  <c r="AV20" i="13"/>
  <c r="AT20" i="13"/>
  <c r="AU20" i="13" s="1"/>
  <c r="AM20" i="13"/>
  <c r="AH20" i="13"/>
  <c r="AG20" i="13"/>
  <c r="AF20" i="13"/>
  <c r="Z20" i="13"/>
  <c r="Y20" i="13"/>
  <c r="X20" i="13"/>
  <c r="T20" i="13"/>
  <c r="U20" i="13" s="1"/>
  <c r="V20" i="13" s="1"/>
  <c r="Q20" i="13"/>
  <c r="O20" i="13"/>
  <c r="L20" i="13"/>
  <c r="K20" i="13"/>
  <c r="BJ20" i="13" s="1"/>
  <c r="J20" i="13"/>
  <c r="I20" i="13"/>
  <c r="AB20" i="13" s="1"/>
  <c r="DJ19" i="13"/>
  <c r="DI19" i="13"/>
  <c r="DG19" i="13"/>
  <c r="DH19" i="13" s="1"/>
  <c r="BI19" i="13" s="1"/>
  <c r="BV19" i="13"/>
  <c r="BU19" i="13"/>
  <c r="BM19" i="13"/>
  <c r="BG19" i="13"/>
  <c r="BK19" i="13" s="1"/>
  <c r="BA19" i="13"/>
  <c r="BN19" i="13" s="1"/>
  <c r="BQ19" i="13" s="1"/>
  <c r="AV19" i="13"/>
  <c r="AT19" i="13" s="1"/>
  <c r="AM19" i="13"/>
  <c r="AH19" i="13"/>
  <c r="Z19" i="13"/>
  <c r="Y19" i="13"/>
  <c r="X19" i="13"/>
  <c r="T19" i="13"/>
  <c r="Q19" i="13"/>
  <c r="DJ18" i="13"/>
  <c r="DI18" i="13"/>
  <c r="DG18" i="13"/>
  <c r="DH18" i="13" s="1"/>
  <c r="BI18" i="13" s="1"/>
  <c r="BV18" i="13"/>
  <c r="BU18" i="13"/>
  <c r="BM18" i="13"/>
  <c r="BG18" i="13"/>
  <c r="BA18" i="13"/>
  <c r="BN18" i="13" s="1"/>
  <c r="BQ18" i="13" s="1"/>
  <c r="AV18" i="13"/>
  <c r="AT18" i="13"/>
  <c r="AU18" i="13" s="1"/>
  <c r="AM18" i="13"/>
  <c r="AH18" i="13"/>
  <c r="AG18" i="13"/>
  <c r="AF18" i="13"/>
  <c r="Z18" i="13"/>
  <c r="Y18" i="13"/>
  <c r="X18" i="13"/>
  <c r="T18" i="13"/>
  <c r="U18" i="13" s="1"/>
  <c r="V18" i="13" s="1"/>
  <c r="Q18" i="13"/>
  <c r="O18" i="13"/>
  <c r="L18" i="13"/>
  <c r="K18" i="13"/>
  <c r="BJ18" i="13" s="1"/>
  <c r="J18" i="13"/>
  <c r="I18" i="13"/>
  <c r="AB18" i="13" s="1"/>
  <c r="DJ17" i="13"/>
  <c r="DI17" i="13"/>
  <c r="DG17" i="13"/>
  <c r="DH17" i="13" s="1"/>
  <c r="BI17" i="13" s="1"/>
  <c r="BV17" i="13"/>
  <c r="BU17" i="13"/>
  <c r="BM17" i="13"/>
  <c r="BG17" i="13"/>
  <c r="BK17" i="13" s="1"/>
  <c r="BA17" i="13"/>
  <c r="BN17" i="13" s="1"/>
  <c r="BQ17" i="13" s="1"/>
  <c r="AV17" i="13"/>
  <c r="AT17" i="13" s="1"/>
  <c r="AM17" i="13"/>
  <c r="AH17" i="13"/>
  <c r="Z17" i="13"/>
  <c r="Y17" i="13"/>
  <c r="X17" i="13"/>
  <c r="T17" i="13"/>
  <c r="Q17" i="13"/>
  <c r="DJ22" i="12"/>
  <c r="DI22" i="12"/>
  <c r="DG22" i="12"/>
  <c r="DH22" i="12" s="1"/>
  <c r="BI22" i="12" s="1"/>
  <c r="BV22" i="12"/>
  <c r="BU22" i="12"/>
  <c r="BM22" i="12"/>
  <c r="BJ22" i="12"/>
  <c r="BL22" i="12" s="1"/>
  <c r="BG22" i="12"/>
  <c r="BK22" i="12" s="1"/>
  <c r="BA22" i="12"/>
  <c r="BN22" i="12" s="1"/>
  <c r="BQ22" i="12" s="1"/>
  <c r="AV22" i="12"/>
  <c r="AT22" i="12"/>
  <c r="AU22" i="12" s="1"/>
  <c r="AM22" i="12"/>
  <c r="AH22" i="12"/>
  <c r="AG22" i="12"/>
  <c r="AF22" i="12"/>
  <c r="AB22" i="12"/>
  <c r="Z22" i="12"/>
  <c r="Y22" i="12"/>
  <c r="X22" i="12"/>
  <c r="T22" i="12"/>
  <c r="Q22" i="12"/>
  <c r="O22" i="12"/>
  <c r="L22" i="12"/>
  <c r="K22" i="12"/>
  <c r="J22" i="12"/>
  <c r="I22" i="12"/>
  <c r="DJ21" i="12"/>
  <c r="T21" i="12" s="1"/>
  <c r="DI21" i="12"/>
  <c r="DG21" i="12"/>
  <c r="DH21" i="12" s="1"/>
  <c r="BI21" i="12" s="1"/>
  <c r="BV21" i="12"/>
  <c r="BU21" i="12"/>
  <c r="BM21" i="12"/>
  <c r="BG21" i="12"/>
  <c r="BK21" i="12" s="1"/>
  <c r="BA21" i="12"/>
  <c r="BN21" i="12" s="1"/>
  <c r="BQ21" i="12" s="1"/>
  <c r="AV21" i="12"/>
  <c r="AT21" i="12" s="1"/>
  <c r="AM21" i="12"/>
  <c r="AH21" i="12"/>
  <c r="Z21" i="12"/>
  <c r="Y21" i="12"/>
  <c r="X21" i="12"/>
  <c r="Q21" i="12"/>
  <c r="DJ20" i="12"/>
  <c r="DI20" i="12"/>
  <c r="DG20" i="12"/>
  <c r="DH20" i="12" s="1"/>
  <c r="BI20" i="12" s="1"/>
  <c r="BV20" i="12"/>
  <c r="BU20" i="12"/>
  <c r="BM20" i="12"/>
  <c r="BJ20" i="12"/>
  <c r="BL20" i="12" s="1"/>
  <c r="BG20" i="12"/>
  <c r="BA20" i="12"/>
  <c r="BN20" i="12" s="1"/>
  <c r="BQ20" i="12" s="1"/>
  <c r="AV20" i="12"/>
  <c r="AT20" i="12"/>
  <c r="AU20" i="12" s="1"/>
  <c r="AM20" i="12"/>
  <c r="AH20" i="12"/>
  <c r="AG20" i="12"/>
  <c r="AF20" i="12"/>
  <c r="AB20" i="12"/>
  <c r="Z20" i="12"/>
  <c r="Y20" i="12"/>
  <c r="X20" i="12"/>
  <c r="T20" i="12"/>
  <c r="Q20" i="12"/>
  <c r="O20" i="12"/>
  <c r="L20" i="12"/>
  <c r="K20" i="12"/>
  <c r="J20" i="12"/>
  <c r="I20" i="12"/>
  <c r="DJ19" i="12"/>
  <c r="T19" i="12" s="1"/>
  <c r="DI19" i="12"/>
  <c r="DG19" i="12"/>
  <c r="DH19" i="12" s="1"/>
  <c r="BI19" i="12" s="1"/>
  <c r="BV19" i="12"/>
  <c r="BU19" i="12"/>
  <c r="BM19" i="12"/>
  <c r="BG19" i="12"/>
  <c r="BK19" i="12" s="1"/>
  <c r="BA19" i="12"/>
  <c r="BN19" i="12" s="1"/>
  <c r="BQ19" i="12" s="1"/>
  <c r="AV19" i="12"/>
  <c r="AT19" i="12" s="1"/>
  <c r="AM19" i="12"/>
  <c r="AH19" i="12"/>
  <c r="Z19" i="12"/>
  <c r="Y19" i="12"/>
  <c r="X19" i="12"/>
  <c r="Q19" i="12"/>
  <c r="DJ18" i="12"/>
  <c r="DI18" i="12"/>
  <c r="DG18" i="12"/>
  <c r="DH18" i="12" s="1"/>
  <c r="BI18" i="12" s="1"/>
  <c r="BV18" i="12"/>
  <c r="BU18" i="12"/>
  <c r="BM18" i="12"/>
  <c r="BJ18" i="12"/>
  <c r="BG18" i="12"/>
  <c r="BA18" i="12"/>
  <c r="BN18" i="12" s="1"/>
  <c r="BQ18" i="12" s="1"/>
  <c r="AV18" i="12"/>
  <c r="AT18" i="12"/>
  <c r="AU18" i="12" s="1"/>
  <c r="AM18" i="12"/>
  <c r="AH18" i="12"/>
  <c r="AG18" i="12"/>
  <c r="AF18" i="12"/>
  <c r="AB18" i="12"/>
  <c r="Z18" i="12"/>
  <c r="Y18" i="12"/>
  <c r="X18" i="12"/>
  <c r="T18" i="12"/>
  <c r="Q18" i="12"/>
  <c r="O18" i="12"/>
  <c r="L18" i="12"/>
  <c r="K18" i="12"/>
  <c r="J18" i="12"/>
  <c r="I18" i="12"/>
  <c r="DJ17" i="12"/>
  <c r="T17" i="12" s="1"/>
  <c r="DI17" i="12"/>
  <c r="DG17" i="12"/>
  <c r="DH17" i="12" s="1"/>
  <c r="BI17" i="12" s="1"/>
  <c r="BV17" i="12"/>
  <c r="BU17" i="12"/>
  <c r="BM17" i="12"/>
  <c r="BG17" i="12"/>
  <c r="BK17" i="12" s="1"/>
  <c r="BA17" i="12"/>
  <c r="BN17" i="12" s="1"/>
  <c r="BQ17" i="12" s="1"/>
  <c r="AV17" i="12"/>
  <c r="AT17" i="12" s="1"/>
  <c r="AM17" i="12"/>
  <c r="AH17" i="12"/>
  <c r="Z17" i="12"/>
  <c r="Y17" i="12"/>
  <c r="X17" i="12"/>
  <c r="Q17" i="12"/>
  <c r="DJ29" i="11"/>
  <c r="DI29" i="11"/>
  <c r="DG29" i="11"/>
  <c r="DH29" i="11" s="1"/>
  <c r="BV29" i="11"/>
  <c r="BU29" i="11"/>
  <c r="BM29" i="11"/>
  <c r="BJ29" i="11"/>
  <c r="BL29" i="11" s="1"/>
  <c r="BI29" i="11"/>
  <c r="BG29" i="11"/>
  <c r="BK29" i="11" s="1"/>
  <c r="BA29" i="11"/>
  <c r="BN29" i="11" s="1"/>
  <c r="BQ29" i="11" s="1"/>
  <c r="AV29" i="11"/>
  <c r="AT29" i="11"/>
  <c r="AU29" i="11" s="1"/>
  <c r="AM29" i="11"/>
  <c r="AH29" i="11"/>
  <c r="AG29" i="11"/>
  <c r="AF29" i="11"/>
  <c r="AB29" i="11"/>
  <c r="Z29" i="11"/>
  <c r="Y29" i="11"/>
  <c r="X29" i="11"/>
  <c r="T29" i="11"/>
  <c r="Q29" i="11"/>
  <c r="O29" i="11"/>
  <c r="L29" i="11"/>
  <c r="K29" i="11"/>
  <c r="J29" i="11"/>
  <c r="I29" i="11"/>
  <c r="DJ28" i="11"/>
  <c r="DI28" i="11"/>
  <c r="DH28" i="11"/>
  <c r="BI28" i="11" s="1"/>
  <c r="DG28" i="11"/>
  <c r="BV28" i="11"/>
  <c r="BU28" i="11"/>
  <c r="BM28" i="11"/>
  <c r="BG28" i="11"/>
  <c r="BA28" i="11"/>
  <c r="BN28" i="11" s="1"/>
  <c r="BQ28" i="11" s="1"/>
  <c r="BR28" i="11" s="1"/>
  <c r="AV28" i="11"/>
  <c r="AT28" i="11"/>
  <c r="O28" i="11" s="1"/>
  <c r="AM28" i="11"/>
  <c r="AH28" i="11"/>
  <c r="AG28" i="11"/>
  <c r="J28" i="11" s="1"/>
  <c r="I28" i="11" s="1"/>
  <c r="AF28" i="11"/>
  <c r="K28" i="11" s="1"/>
  <c r="BJ28" i="11" s="1"/>
  <c r="BL28" i="11" s="1"/>
  <c r="Z28" i="11"/>
  <c r="Y28" i="11"/>
  <c r="X28" i="11"/>
  <c r="Q28" i="11"/>
  <c r="DJ27" i="11"/>
  <c r="DI27" i="11"/>
  <c r="DG27" i="11"/>
  <c r="DH27" i="11" s="1"/>
  <c r="BI27" i="11" s="1"/>
  <c r="BV27" i="11"/>
  <c r="BU27" i="11"/>
  <c r="BM27" i="11"/>
  <c r="BJ27" i="11"/>
  <c r="BG27" i="11"/>
  <c r="BA27" i="11"/>
  <c r="BN27" i="11" s="1"/>
  <c r="BQ27" i="11" s="1"/>
  <c r="AV27" i="11"/>
  <c r="AT27" i="11"/>
  <c r="AU27" i="11" s="1"/>
  <c r="AM27" i="11"/>
  <c r="AH27" i="11"/>
  <c r="AG27" i="11"/>
  <c r="AF27" i="11"/>
  <c r="AB27" i="11"/>
  <c r="Z27" i="11"/>
  <c r="Y27" i="11"/>
  <c r="X27" i="11"/>
  <c r="T27" i="11"/>
  <c r="Q27" i="11"/>
  <c r="O27" i="11"/>
  <c r="L27" i="11"/>
  <c r="K27" i="11"/>
  <c r="J27" i="11"/>
  <c r="I27" i="11"/>
  <c r="DJ26" i="11"/>
  <c r="DI26" i="11"/>
  <c r="DG26" i="11"/>
  <c r="T26" i="11" s="1"/>
  <c r="BV26" i="11"/>
  <c r="BU26" i="11"/>
  <c r="BT26" i="11"/>
  <c r="BS26" i="11"/>
  <c r="BW26" i="11" s="1"/>
  <c r="BX26" i="11" s="1"/>
  <c r="BM26" i="11"/>
  <c r="BG26" i="11"/>
  <c r="BA26" i="11"/>
  <c r="BN26" i="11" s="1"/>
  <c r="BQ26" i="11" s="1"/>
  <c r="BR26" i="11" s="1"/>
  <c r="AV26" i="11"/>
  <c r="AT26" i="11"/>
  <c r="AU26" i="11" s="1"/>
  <c r="AM26" i="11"/>
  <c r="AH26" i="11"/>
  <c r="AG26" i="11"/>
  <c r="J26" i="11" s="1"/>
  <c r="I26" i="11" s="1"/>
  <c r="AF26" i="11"/>
  <c r="K26" i="11" s="1"/>
  <c r="BJ26" i="11" s="1"/>
  <c r="Z26" i="11"/>
  <c r="Y26" i="11"/>
  <c r="X26" i="11"/>
  <c r="Q26" i="11"/>
  <c r="O26" i="11"/>
  <c r="DJ25" i="11"/>
  <c r="DI25" i="11"/>
  <c r="DG25" i="11"/>
  <c r="DH25" i="11" s="1"/>
  <c r="BV25" i="11"/>
  <c r="BU25" i="11"/>
  <c r="BN25" i="11"/>
  <c r="BQ25" i="11" s="1"/>
  <c r="BM25" i="11"/>
  <c r="BJ25" i="11"/>
  <c r="BL25" i="11" s="1"/>
  <c r="BI25" i="11"/>
  <c r="BG25" i="11"/>
  <c r="BK25" i="11" s="1"/>
  <c r="BA25" i="11"/>
  <c r="AV25" i="11"/>
  <c r="AT25" i="11"/>
  <c r="AU25" i="11" s="1"/>
  <c r="AM25" i="11"/>
  <c r="AH25" i="11"/>
  <c r="AG25" i="11"/>
  <c r="AF25" i="11"/>
  <c r="AB25" i="11"/>
  <c r="Z25" i="11"/>
  <c r="Y25" i="11"/>
  <c r="X25" i="11"/>
  <c r="T25" i="11"/>
  <c r="Q25" i="11"/>
  <c r="O25" i="11"/>
  <c r="L25" i="11"/>
  <c r="K25" i="11"/>
  <c r="J25" i="11"/>
  <c r="I25" i="11"/>
  <c r="DJ24" i="11"/>
  <c r="DI24" i="11"/>
  <c r="DG24" i="11"/>
  <c r="T24" i="11" s="1"/>
  <c r="BV24" i="11"/>
  <c r="BU24" i="11"/>
  <c r="BM24" i="11"/>
  <c r="BG24" i="11"/>
  <c r="BA24" i="11"/>
  <c r="BN24" i="11" s="1"/>
  <c r="BQ24" i="11" s="1"/>
  <c r="BR24" i="11" s="1"/>
  <c r="AV24" i="11"/>
  <c r="AT24" i="11"/>
  <c r="O24" i="11" s="1"/>
  <c r="AM24" i="11"/>
  <c r="AH24" i="11"/>
  <c r="Z24" i="11"/>
  <c r="Y24" i="11"/>
  <c r="X24" i="11"/>
  <c r="Q24" i="11"/>
  <c r="DJ23" i="11"/>
  <c r="DI23" i="11"/>
  <c r="DG23" i="11"/>
  <c r="DH23" i="11" s="1"/>
  <c r="BV23" i="11"/>
  <c r="BU23" i="11"/>
  <c r="BM23" i="11"/>
  <c r="BJ23" i="11"/>
  <c r="BL23" i="11" s="1"/>
  <c r="BI23" i="11"/>
  <c r="BG23" i="11"/>
  <c r="BK23" i="11" s="1"/>
  <c r="BA23" i="11"/>
  <c r="BN23" i="11" s="1"/>
  <c r="BQ23" i="11" s="1"/>
  <c r="AV23" i="11"/>
  <c r="AT23" i="11"/>
  <c r="AU23" i="11" s="1"/>
  <c r="AM23" i="11"/>
  <c r="AH23" i="11"/>
  <c r="AG23" i="11"/>
  <c r="AF23" i="11"/>
  <c r="AB23" i="11"/>
  <c r="Z23" i="11"/>
  <c r="Y23" i="11"/>
  <c r="X23" i="11"/>
  <c r="T23" i="11"/>
  <c r="Q23" i="11"/>
  <c r="O23" i="11"/>
  <c r="L23" i="11"/>
  <c r="K23" i="11"/>
  <c r="J23" i="11"/>
  <c r="I23" i="11"/>
  <c r="DJ22" i="11"/>
  <c r="DI22" i="11"/>
  <c r="DG22" i="11"/>
  <c r="T22" i="11" s="1"/>
  <c r="BV22" i="11"/>
  <c r="BU22" i="11"/>
  <c r="BM22" i="11"/>
  <c r="BG22" i="11"/>
  <c r="BA22" i="11"/>
  <c r="BN22" i="11" s="1"/>
  <c r="BQ22" i="11" s="1"/>
  <c r="BR22" i="11" s="1"/>
  <c r="AV22" i="11"/>
  <c r="AT22" i="11"/>
  <c r="O22" i="11" s="1"/>
  <c r="AM22" i="11"/>
  <c r="AH22" i="11"/>
  <c r="AG22" i="11"/>
  <c r="J22" i="11" s="1"/>
  <c r="I22" i="11" s="1"/>
  <c r="AF22" i="11"/>
  <c r="K22" i="11" s="1"/>
  <c r="BJ22" i="11" s="1"/>
  <c r="Z22" i="11"/>
  <c r="Y22" i="11"/>
  <c r="X22" i="11"/>
  <c r="Q22" i="11"/>
  <c r="DJ21" i="11"/>
  <c r="DI21" i="11"/>
  <c r="DG21" i="11"/>
  <c r="DH21" i="11" s="1"/>
  <c r="BI21" i="11" s="1"/>
  <c r="BV21" i="11"/>
  <c r="BU21" i="11"/>
  <c r="BN21" i="11"/>
  <c r="BQ21" i="11" s="1"/>
  <c r="BM21" i="11"/>
  <c r="BJ21" i="11"/>
  <c r="BL21" i="11" s="1"/>
  <c r="BG21" i="11"/>
  <c r="BK21" i="11" s="1"/>
  <c r="BA21" i="11"/>
  <c r="AV21" i="11"/>
  <c r="AT21" i="11"/>
  <c r="AU21" i="11" s="1"/>
  <c r="AM21" i="11"/>
  <c r="AH21" i="11"/>
  <c r="AG21" i="11"/>
  <c r="AF21" i="11"/>
  <c r="AB21" i="11"/>
  <c r="Z21" i="11"/>
  <c r="Y21" i="11"/>
  <c r="X21" i="11"/>
  <c r="V21" i="11"/>
  <c r="U21" i="11"/>
  <c r="T21" i="11"/>
  <c r="Q21" i="11"/>
  <c r="O21" i="11"/>
  <c r="L21" i="11"/>
  <c r="K21" i="11"/>
  <c r="J21" i="11"/>
  <c r="I21" i="11"/>
  <c r="DJ20" i="11"/>
  <c r="DI20" i="11"/>
  <c r="DG20" i="11"/>
  <c r="T20" i="11" s="1"/>
  <c r="BV20" i="11"/>
  <c r="BU20" i="11"/>
  <c r="BT20" i="11"/>
  <c r="BS20" i="11"/>
  <c r="BW20" i="11" s="1"/>
  <c r="BX20" i="11" s="1"/>
  <c r="BM20" i="11"/>
  <c r="BG20" i="11"/>
  <c r="BA20" i="11"/>
  <c r="BN20" i="11" s="1"/>
  <c r="BQ20" i="11" s="1"/>
  <c r="BR20" i="11" s="1"/>
  <c r="AV20" i="11"/>
  <c r="AT20" i="11"/>
  <c r="L20" i="11" s="1"/>
  <c r="AM20" i="11"/>
  <c r="AH20" i="11"/>
  <c r="AG20" i="11"/>
  <c r="J20" i="11" s="1"/>
  <c r="I20" i="11" s="1"/>
  <c r="AF20" i="11"/>
  <c r="K20" i="11" s="1"/>
  <c r="BJ20" i="11" s="1"/>
  <c r="Z20" i="11"/>
  <c r="Y20" i="11"/>
  <c r="X20" i="11"/>
  <c r="Q20" i="11"/>
  <c r="O20" i="11"/>
  <c r="DJ19" i="11"/>
  <c r="DI19" i="11"/>
  <c r="DG19" i="11"/>
  <c r="DH19" i="11" s="1"/>
  <c r="BV19" i="11"/>
  <c r="BU19" i="11"/>
  <c r="BN19" i="11"/>
  <c r="BQ19" i="11" s="1"/>
  <c r="BM19" i="11"/>
  <c r="BJ19" i="11"/>
  <c r="BL19" i="11" s="1"/>
  <c r="BI19" i="11"/>
  <c r="BG19" i="11"/>
  <c r="BK19" i="11" s="1"/>
  <c r="BA19" i="11"/>
  <c r="AV19" i="11"/>
  <c r="AT19" i="11"/>
  <c r="AU19" i="11" s="1"/>
  <c r="AM19" i="11"/>
  <c r="AH19" i="11"/>
  <c r="AG19" i="11"/>
  <c r="AF19" i="11"/>
  <c r="AB19" i="11"/>
  <c r="Z19" i="11"/>
  <c r="Y19" i="11"/>
  <c r="X19" i="11"/>
  <c r="T19" i="11"/>
  <c r="Q19" i="11"/>
  <c r="O19" i="11"/>
  <c r="L19" i="11"/>
  <c r="K19" i="11"/>
  <c r="J19" i="11"/>
  <c r="I19" i="11"/>
  <c r="DJ18" i="11"/>
  <c r="DI18" i="11"/>
  <c r="DG18" i="11"/>
  <c r="T18" i="11" s="1"/>
  <c r="BV18" i="11"/>
  <c r="BU18" i="11"/>
  <c r="BM18" i="11"/>
  <c r="BG18" i="11"/>
  <c r="BA18" i="11"/>
  <c r="BN18" i="11" s="1"/>
  <c r="BQ18" i="11" s="1"/>
  <c r="BR18" i="11" s="1"/>
  <c r="AV18" i="11"/>
  <c r="AT18" i="11"/>
  <c r="AG18" i="11" s="1"/>
  <c r="J18" i="11" s="1"/>
  <c r="I18" i="11" s="1"/>
  <c r="AM18" i="11"/>
  <c r="AH18" i="11"/>
  <c r="Z18" i="11"/>
  <c r="Y18" i="11"/>
  <c r="X18" i="11"/>
  <c r="Q18" i="11"/>
  <c r="DJ17" i="11"/>
  <c r="DI17" i="11"/>
  <c r="DG17" i="11"/>
  <c r="DH17" i="11" s="1"/>
  <c r="BV17" i="11"/>
  <c r="BU17" i="11"/>
  <c r="BM17" i="11"/>
  <c r="BJ17" i="11"/>
  <c r="BL17" i="11" s="1"/>
  <c r="BI17" i="11"/>
  <c r="BG17" i="11"/>
  <c r="BK17" i="11" s="1"/>
  <c r="BA17" i="11"/>
  <c r="BN17" i="11" s="1"/>
  <c r="BQ17" i="11" s="1"/>
  <c r="AV17" i="11"/>
  <c r="AT17" i="11"/>
  <c r="AU17" i="11" s="1"/>
  <c r="AM17" i="11"/>
  <c r="AH17" i="11"/>
  <c r="AG17" i="11"/>
  <c r="AF17" i="11"/>
  <c r="Z17" i="11"/>
  <c r="Y17" i="11"/>
  <c r="X17" i="11"/>
  <c r="T17" i="11"/>
  <c r="Q17" i="11"/>
  <c r="O17" i="11"/>
  <c r="L17" i="11"/>
  <c r="K17" i="11"/>
  <c r="J17" i="11"/>
  <c r="I17" i="11"/>
  <c r="DJ29" i="10"/>
  <c r="DI29" i="10"/>
  <c r="DG29" i="10"/>
  <c r="DH29" i="10" s="1"/>
  <c r="BV29" i="10"/>
  <c r="BU29" i="10"/>
  <c r="BM29" i="10"/>
  <c r="BJ29" i="10"/>
  <c r="BI29" i="10"/>
  <c r="BG29" i="10"/>
  <c r="BK29" i="10" s="1"/>
  <c r="BA29" i="10"/>
  <c r="BN29" i="10" s="1"/>
  <c r="BQ29" i="10" s="1"/>
  <c r="AV29" i="10"/>
  <c r="AT29" i="10"/>
  <c r="AU29" i="10" s="1"/>
  <c r="AM29" i="10"/>
  <c r="AH29" i="10"/>
  <c r="AG29" i="10"/>
  <c r="AF29" i="10"/>
  <c r="Z29" i="10"/>
  <c r="Y29" i="10"/>
  <c r="X29" i="10"/>
  <c r="T29" i="10"/>
  <c r="Q29" i="10"/>
  <c r="O29" i="10"/>
  <c r="L29" i="10"/>
  <c r="K29" i="10"/>
  <c r="J29" i="10"/>
  <c r="I29" i="10"/>
  <c r="DJ28" i="10"/>
  <c r="DI28" i="10"/>
  <c r="DG28" i="10"/>
  <c r="BV28" i="10"/>
  <c r="BU28" i="10"/>
  <c r="BM28" i="10"/>
  <c r="BG28" i="10"/>
  <c r="BA28" i="10"/>
  <c r="BN28" i="10" s="1"/>
  <c r="BQ28" i="10" s="1"/>
  <c r="AV28" i="10"/>
  <c r="AT28" i="10"/>
  <c r="O28" i="10" s="1"/>
  <c r="AM28" i="10"/>
  <c r="AH28" i="10"/>
  <c r="Z28" i="10"/>
  <c r="Y28" i="10"/>
  <c r="X28" i="10"/>
  <c r="Q28" i="10"/>
  <c r="DJ27" i="10"/>
  <c r="DI27" i="10"/>
  <c r="DG27" i="10"/>
  <c r="DH27" i="10" s="1"/>
  <c r="BI27" i="10" s="1"/>
  <c r="BV27" i="10"/>
  <c r="BU27" i="10"/>
  <c r="BM27" i="10"/>
  <c r="BJ27" i="10"/>
  <c r="BL27" i="10" s="1"/>
  <c r="BG27" i="10"/>
  <c r="BA27" i="10"/>
  <c r="BN27" i="10" s="1"/>
  <c r="BQ27" i="10" s="1"/>
  <c r="AV27" i="10"/>
  <c r="AT27" i="10"/>
  <c r="AU27" i="10" s="1"/>
  <c r="AM27" i="10"/>
  <c r="AH27" i="10"/>
  <c r="AG27" i="10"/>
  <c r="AF27" i="10"/>
  <c r="Z27" i="10"/>
  <c r="Y27" i="10"/>
  <c r="X27" i="10"/>
  <c r="T27" i="10"/>
  <c r="Q27" i="10"/>
  <c r="O27" i="10"/>
  <c r="L27" i="10"/>
  <c r="K27" i="10"/>
  <c r="J27" i="10"/>
  <c r="I27" i="10"/>
  <c r="DJ26" i="10"/>
  <c r="DI26" i="10"/>
  <c r="DG26" i="10"/>
  <c r="T26" i="10" s="1"/>
  <c r="BV26" i="10"/>
  <c r="BU26" i="10"/>
  <c r="BM26" i="10"/>
  <c r="BG26" i="10"/>
  <c r="BA26" i="10"/>
  <c r="BN26" i="10" s="1"/>
  <c r="BQ26" i="10" s="1"/>
  <c r="BR26" i="10" s="1"/>
  <c r="AV26" i="10"/>
  <c r="AT26" i="10"/>
  <c r="O26" i="10" s="1"/>
  <c r="AM26" i="10"/>
  <c r="AH26" i="10"/>
  <c r="AG26" i="10"/>
  <c r="J26" i="10" s="1"/>
  <c r="I26" i="10" s="1"/>
  <c r="AF26" i="10"/>
  <c r="K26" i="10" s="1"/>
  <c r="BJ26" i="10" s="1"/>
  <c r="Z26" i="10"/>
  <c r="Y26" i="10"/>
  <c r="X26" i="10"/>
  <c r="Q26" i="10"/>
  <c r="DJ25" i="10"/>
  <c r="DI25" i="10"/>
  <c r="DG25" i="10"/>
  <c r="DH25" i="10" s="1"/>
  <c r="BI25" i="10" s="1"/>
  <c r="BV25" i="10"/>
  <c r="BU25" i="10"/>
  <c r="BM25" i="10"/>
  <c r="BJ25" i="10"/>
  <c r="BL25" i="10" s="1"/>
  <c r="BG25" i="10"/>
  <c r="BK25" i="10" s="1"/>
  <c r="BA25" i="10"/>
  <c r="BN25" i="10" s="1"/>
  <c r="BQ25" i="10" s="1"/>
  <c r="AV25" i="10"/>
  <c r="AT25" i="10"/>
  <c r="AU25" i="10" s="1"/>
  <c r="AM25" i="10"/>
  <c r="AH25" i="10"/>
  <c r="AG25" i="10"/>
  <c r="AF25" i="10"/>
  <c r="AB25" i="10"/>
  <c r="Z25" i="10"/>
  <c r="Y25" i="10"/>
  <c r="X25" i="10"/>
  <c r="T25" i="10"/>
  <c r="Q25" i="10"/>
  <c r="O25" i="10"/>
  <c r="L25" i="10"/>
  <c r="K25" i="10"/>
  <c r="J25" i="10"/>
  <c r="I25" i="10"/>
  <c r="DJ24" i="10"/>
  <c r="DI24" i="10"/>
  <c r="DG24" i="10"/>
  <c r="T24" i="10" s="1"/>
  <c r="U24" i="10" s="1"/>
  <c r="V24" i="10" s="1"/>
  <c r="W24" i="10" s="1"/>
  <c r="AA24" i="10" s="1"/>
  <c r="BV24" i="10"/>
  <c r="BU24" i="10"/>
  <c r="BT24" i="10"/>
  <c r="BM24" i="10"/>
  <c r="BG24" i="10"/>
  <c r="BA24" i="10"/>
  <c r="BN24" i="10" s="1"/>
  <c r="BQ24" i="10" s="1"/>
  <c r="BR24" i="10" s="1"/>
  <c r="AV24" i="10"/>
  <c r="AT24" i="10"/>
  <c r="O24" i="10" s="1"/>
  <c r="AM24" i="10"/>
  <c r="AH24" i="10"/>
  <c r="AG24" i="10"/>
  <c r="J24" i="10" s="1"/>
  <c r="I24" i="10" s="1"/>
  <c r="AB24" i="10" s="1"/>
  <c r="AF24" i="10"/>
  <c r="K24" i="10" s="1"/>
  <c r="BJ24" i="10" s="1"/>
  <c r="Z24" i="10"/>
  <c r="Y24" i="10"/>
  <c r="X24" i="10"/>
  <c r="Q24" i="10"/>
  <c r="DJ23" i="10"/>
  <c r="DI23" i="10"/>
  <c r="DG23" i="10"/>
  <c r="DH23" i="10" s="1"/>
  <c r="BI23" i="10" s="1"/>
  <c r="BV23" i="10"/>
  <c r="BU23" i="10"/>
  <c r="BN23" i="10"/>
  <c r="BQ23" i="10" s="1"/>
  <c r="BM23" i="10"/>
  <c r="BL23" i="10"/>
  <c r="BK23" i="10"/>
  <c r="BJ23" i="10"/>
  <c r="BG23" i="10"/>
  <c r="BA23" i="10"/>
  <c r="AV23" i="10"/>
  <c r="AT23" i="10"/>
  <c r="AU23" i="10" s="1"/>
  <c r="AM23" i="10"/>
  <c r="AH23" i="10"/>
  <c r="AG23" i="10"/>
  <c r="AF23" i="10"/>
  <c r="AB23" i="10"/>
  <c r="Z23" i="10"/>
  <c r="Y23" i="10"/>
  <c r="X23" i="10"/>
  <c r="T23" i="10"/>
  <c r="Q23" i="10"/>
  <c r="O23" i="10"/>
  <c r="L23" i="10"/>
  <c r="K23" i="10"/>
  <c r="J23" i="10"/>
  <c r="I23" i="10"/>
  <c r="DJ22" i="10"/>
  <c r="DI22" i="10"/>
  <c r="DG22" i="10"/>
  <c r="T22" i="10" s="1"/>
  <c r="BV22" i="10"/>
  <c r="BU22" i="10"/>
  <c r="BM22" i="10"/>
  <c r="BG22" i="10"/>
  <c r="BA22" i="10"/>
  <c r="BN22" i="10" s="1"/>
  <c r="BQ22" i="10" s="1"/>
  <c r="BR22" i="10" s="1"/>
  <c r="AV22" i="10"/>
  <c r="AT22" i="10"/>
  <c r="L22" i="10" s="1"/>
  <c r="AM22" i="10"/>
  <c r="AH22" i="10"/>
  <c r="AG22" i="10"/>
  <c r="J22" i="10" s="1"/>
  <c r="I22" i="10" s="1"/>
  <c r="AB22" i="10" s="1"/>
  <c r="AF22" i="10"/>
  <c r="K22" i="10" s="1"/>
  <c r="BJ22" i="10" s="1"/>
  <c r="Z22" i="10"/>
  <c r="Y22" i="10"/>
  <c r="X22" i="10"/>
  <c r="Q22" i="10"/>
  <c r="O22" i="10"/>
  <c r="DJ21" i="10"/>
  <c r="DI21" i="10"/>
  <c r="DG21" i="10"/>
  <c r="DH21" i="10" s="1"/>
  <c r="BV21" i="10"/>
  <c r="BU21" i="10"/>
  <c r="BM21" i="10"/>
  <c r="BJ21" i="10"/>
  <c r="BL21" i="10" s="1"/>
  <c r="BI21" i="10"/>
  <c r="BG21" i="10"/>
  <c r="BK21" i="10" s="1"/>
  <c r="BA21" i="10"/>
  <c r="BN21" i="10" s="1"/>
  <c r="BQ21" i="10" s="1"/>
  <c r="AV21" i="10"/>
  <c r="AT21" i="10"/>
  <c r="AU21" i="10" s="1"/>
  <c r="AM21" i="10"/>
  <c r="AH21" i="10"/>
  <c r="AG21" i="10"/>
  <c r="AF21" i="10"/>
  <c r="AB21" i="10"/>
  <c r="Z21" i="10"/>
  <c r="Y21" i="10"/>
  <c r="X21" i="10"/>
  <c r="T21" i="10"/>
  <c r="Q21" i="10"/>
  <c r="O21" i="10"/>
  <c r="L21" i="10"/>
  <c r="K21" i="10"/>
  <c r="J21" i="10"/>
  <c r="I21" i="10"/>
  <c r="DJ20" i="10"/>
  <c r="DI20" i="10"/>
  <c r="DG20" i="10"/>
  <c r="T20" i="10" s="1"/>
  <c r="BV20" i="10"/>
  <c r="BU20" i="10"/>
  <c r="BM20" i="10"/>
  <c r="BG20" i="10"/>
  <c r="BA20" i="10"/>
  <c r="BN20" i="10" s="1"/>
  <c r="BQ20" i="10" s="1"/>
  <c r="BR20" i="10" s="1"/>
  <c r="AV20" i="10"/>
  <c r="AT20" i="10"/>
  <c r="AM20" i="10"/>
  <c r="AH20" i="10"/>
  <c r="Z20" i="10"/>
  <c r="Y20" i="10"/>
  <c r="X20" i="10"/>
  <c r="Q20" i="10"/>
  <c r="DJ19" i="10"/>
  <c r="DI19" i="10"/>
  <c r="DG19" i="10"/>
  <c r="DH19" i="10" s="1"/>
  <c r="BV19" i="10"/>
  <c r="BU19" i="10"/>
  <c r="BM19" i="10"/>
  <c r="BJ19" i="10"/>
  <c r="BI19" i="10"/>
  <c r="BG19" i="10"/>
  <c r="BK19" i="10" s="1"/>
  <c r="BA19" i="10"/>
  <c r="BN19" i="10" s="1"/>
  <c r="BQ19" i="10" s="1"/>
  <c r="AV19" i="10"/>
  <c r="AT19" i="10"/>
  <c r="AU19" i="10" s="1"/>
  <c r="AM19" i="10"/>
  <c r="AH19" i="10"/>
  <c r="AG19" i="10"/>
  <c r="AF19" i="10"/>
  <c r="Z19" i="10"/>
  <c r="Y19" i="10"/>
  <c r="X19" i="10"/>
  <c r="T19" i="10"/>
  <c r="Q19" i="10"/>
  <c r="O19" i="10"/>
  <c r="L19" i="10"/>
  <c r="K19" i="10"/>
  <c r="J19" i="10"/>
  <c r="I19" i="10"/>
  <c r="DJ18" i="10"/>
  <c r="DI18" i="10"/>
  <c r="DG18" i="10"/>
  <c r="BV18" i="10"/>
  <c r="BU18" i="10"/>
  <c r="BM18" i="10"/>
  <c r="BG18" i="10"/>
  <c r="BA18" i="10"/>
  <c r="BN18" i="10" s="1"/>
  <c r="BQ18" i="10" s="1"/>
  <c r="AV18" i="10"/>
  <c r="AT18" i="10"/>
  <c r="O18" i="10" s="1"/>
  <c r="AM18" i="10"/>
  <c r="AH18" i="10"/>
  <c r="AG18" i="10"/>
  <c r="J18" i="10" s="1"/>
  <c r="I18" i="10" s="1"/>
  <c r="AF18" i="10"/>
  <c r="K18" i="10" s="1"/>
  <c r="BJ18" i="10" s="1"/>
  <c r="Z18" i="10"/>
  <c r="Y18" i="10"/>
  <c r="X18" i="10"/>
  <c r="Q18" i="10"/>
  <c r="L18" i="10"/>
  <c r="DJ17" i="10"/>
  <c r="DI17" i="10"/>
  <c r="DG17" i="10"/>
  <c r="DH17" i="10" s="1"/>
  <c r="BI17" i="10" s="1"/>
  <c r="BV17" i="10"/>
  <c r="BU17" i="10"/>
  <c r="BM17" i="10"/>
  <c r="BJ17" i="10"/>
  <c r="BL17" i="10" s="1"/>
  <c r="BG17" i="10"/>
  <c r="BK17" i="10" s="1"/>
  <c r="BA17" i="10"/>
  <c r="BN17" i="10" s="1"/>
  <c r="BQ17" i="10" s="1"/>
  <c r="AV17" i="10"/>
  <c r="AT17" i="10"/>
  <c r="AU17" i="10" s="1"/>
  <c r="AM17" i="10"/>
  <c r="AH17" i="10"/>
  <c r="AG17" i="10"/>
  <c r="AF17" i="10"/>
  <c r="Z17" i="10"/>
  <c r="Y17" i="10"/>
  <c r="X17" i="10"/>
  <c r="T17" i="10"/>
  <c r="Q17" i="10"/>
  <c r="O17" i="10"/>
  <c r="L17" i="10"/>
  <c r="K17" i="10"/>
  <c r="J17" i="10"/>
  <c r="I17" i="10"/>
  <c r="DJ29" i="9"/>
  <c r="DI29" i="9"/>
  <c r="DG29" i="9"/>
  <c r="DH29" i="9" s="1"/>
  <c r="BV29" i="9"/>
  <c r="BU29" i="9"/>
  <c r="BM29" i="9"/>
  <c r="BI29" i="9"/>
  <c r="BG29" i="9"/>
  <c r="BK29" i="9" s="1"/>
  <c r="BA29" i="9"/>
  <c r="BN29" i="9" s="1"/>
  <c r="BQ29" i="9" s="1"/>
  <c r="AV29" i="9"/>
  <c r="AT29" i="9"/>
  <c r="AU29" i="9" s="1"/>
  <c r="AM29" i="9"/>
  <c r="AH29" i="9"/>
  <c r="AG29" i="9"/>
  <c r="AF29" i="9"/>
  <c r="Z29" i="9"/>
  <c r="Y29" i="9"/>
  <c r="X29" i="9"/>
  <c r="T29" i="9"/>
  <c r="Q29" i="9"/>
  <c r="O29" i="9"/>
  <c r="L29" i="9"/>
  <c r="K29" i="9"/>
  <c r="BJ29" i="9" s="1"/>
  <c r="BL29" i="9" s="1"/>
  <c r="J29" i="9"/>
  <c r="I29" i="9"/>
  <c r="DJ28" i="9"/>
  <c r="DI28" i="9"/>
  <c r="DG28" i="9"/>
  <c r="DH28" i="9" s="1"/>
  <c r="BV28" i="9"/>
  <c r="BU28" i="9"/>
  <c r="BM28" i="9"/>
  <c r="BI28" i="9"/>
  <c r="BK28" i="9" s="1"/>
  <c r="BG28" i="9"/>
  <c r="BA28" i="9"/>
  <c r="BN28" i="9" s="1"/>
  <c r="BQ28" i="9" s="1"/>
  <c r="AV28" i="9"/>
  <c r="AT28" i="9" s="1"/>
  <c r="L28" i="9" s="1"/>
  <c r="AM28" i="9"/>
  <c r="AH28" i="9"/>
  <c r="AF28" i="9"/>
  <c r="K28" i="9" s="1"/>
  <c r="BJ28" i="9" s="1"/>
  <c r="BL28" i="9" s="1"/>
  <c r="Z28" i="9"/>
  <c r="Y28" i="9"/>
  <c r="X28" i="9"/>
  <c r="T28" i="9"/>
  <c r="Q28" i="9"/>
  <c r="DJ27" i="9"/>
  <c r="DI27" i="9"/>
  <c r="DG27" i="9"/>
  <c r="DH27" i="9" s="1"/>
  <c r="BI27" i="9" s="1"/>
  <c r="BV27" i="9"/>
  <c r="BU27" i="9"/>
  <c r="BM27" i="9"/>
  <c r="BG27" i="9"/>
  <c r="BA27" i="9"/>
  <c r="BN27" i="9" s="1"/>
  <c r="BQ27" i="9" s="1"/>
  <c r="AV27" i="9"/>
  <c r="AT27" i="9"/>
  <c r="AU27" i="9" s="1"/>
  <c r="AM27" i="9"/>
  <c r="AH27" i="9"/>
  <c r="AG27" i="9"/>
  <c r="AF27" i="9"/>
  <c r="Z27" i="9"/>
  <c r="Y27" i="9"/>
  <c r="X27" i="9"/>
  <c r="T27" i="9"/>
  <c r="Q27" i="9"/>
  <c r="O27" i="9"/>
  <c r="L27" i="9"/>
  <c r="K27" i="9"/>
  <c r="BJ27" i="9" s="1"/>
  <c r="BL27" i="9" s="1"/>
  <c r="J27" i="9"/>
  <c r="I27" i="9"/>
  <c r="AB27" i="9" s="1"/>
  <c r="DJ26" i="9"/>
  <c r="T26" i="9" s="1"/>
  <c r="DI26" i="9"/>
  <c r="DG26" i="9"/>
  <c r="DH26" i="9" s="1"/>
  <c r="BI26" i="9" s="1"/>
  <c r="BV26" i="9"/>
  <c r="BU26" i="9"/>
  <c r="BM26" i="9"/>
  <c r="BG26" i="9"/>
  <c r="BK26" i="9" s="1"/>
  <c r="BA26" i="9"/>
  <c r="BN26" i="9" s="1"/>
  <c r="BQ26" i="9" s="1"/>
  <c r="BR26" i="9" s="1"/>
  <c r="AV26" i="9"/>
  <c r="AT26" i="9" s="1"/>
  <c r="AM26" i="9"/>
  <c r="AH26" i="9"/>
  <c r="Z26" i="9"/>
  <c r="Y26" i="9"/>
  <c r="X26" i="9"/>
  <c r="Q26" i="9"/>
  <c r="DJ25" i="9"/>
  <c r="DI25" i="9"/>
  <c r="DG25" i="9"/>
  <c r="DH25" i="9" s="1"/>
  <c r="BI25" i="9" s="1"/>
  <c r="BV25" i="9"/>
  <c r="BU25" i="9"/>
  <c r="BT25" i="9"/>
  <c r="BS25" i="9"/>
  <c r="BW25" i="9" s="1"/>
  <c r="BX25" i="9" s="1"/>
  <c r="BR25" i="9"/>
  <c r="BM25" i="9"/>
  <c r="BG25" i="9"/>
  <c r="BA25" i="9"/>
  <c r="BN25" i="9" s="1"/>
  <c r="BQ25" i="9" s="1"/>
  <c r="AV25" i="9"/>
  <c r="AT25" i="9"/>
  <c r="AU25" i="9" s="1"/>
  <c r="AM25" i="9"/>
  <c r="AH25" i="9"/>
  <c r="AG25" i="9"/>
  <c r="J25" i="9" s="1"/>
  <c r="I25" i="9" s="1"/>
  <c r="AF25" i="9"/>
  <c r="K25" i="9" s="1"/>
  <c r="BJ25" i="9" s="1"/>
  <c r="BL25" i="9" s="1"/>
  <c r="Z25" i="9"/>
  <c r="Y25" i="9"/>
  <c r="X25" i="9"/>
  <c r="T25" i="9"/>
  <c r="Q25" i="9"/>
  <c r="O25" i="9"/>
  <c r="L25" i="9"/>
  <c r="DJ24" i="9"/>
  <c r="DI24" i="9"/>
  <c r="DG24" i="9"/>
  <c r="DH24" i="9" s="1"/>
  <c r="BI24" i="9" s="1"/>
  <c r="BK24" i="9" s="1"/>
  <c r="BV24" i="9"/>
  <c r="BU24" i="9"/>
  <c r="BT24" i="9"/>
  <c r="BS24" i="9"/>
  <c r="BW24" i="9" s="1"/>
  <c r="BX24" i="9" s="1"/>
  <c r="BM24" i="9"/>
  <c r="BG24" i="9"/>
  <c r="BA24" i="9"/>
  <c r="BN24" i="9" s="1"/>
  <c r="BQ24" i="9" s="1"/>
  <c r="BR24" i="9" s="1"/>
  <c r="AV24" i="9"/>
  <c r="AT24" i="9" s="1"/>
  <c r="AM24" i="9"/>
  <c r="AH24" i="9"/>
  <c r="AF24" i="9"/>
  <c r="K24" i="9" s="1"/>
  <c r="BJ24" i="9" s="1"/>
  <c r="BL24" i="9" s="1"/>
  <c r="Z24" i="9"/>
  <c r="Y24" i="9"/>
  <c r="X24" i="9"/>
  <c r="T24" i="9"/>
  <c r="Q24" i="9"/>
  <c r="DJ23" i="9"/>
  <c r="DI23" i="9"/>
  <c r="DG23" i="9"/>
  <c r="DH23" i="9" s="1"/>
  <c r="BV23" i="9"/>
  <c r="BU23" i="9"/>
  <c r="BT23" i="9"/>
  <c r="BS23" i="9"/>
  <c r="BW23" i="9" s="1"/>
  <c r="BX23" i="9" s="1"/>
  <c r="BR23" i="9"/>
  <c r="BM23" i="9"/>
  <c r="BJ23" i="9"/>
  <c r="BI23" i="9"/>
  <c r="BG23" i="9"/>
  <c r="BK23" i="9" s="1"/>
  <c r="BA23" i="9"/>
  <c r="BN23" i="9" s="1"/>
  <c r="BQ23" i="9" s="1"/>
  <c r="AV23" i="9"/>
  <c r="AT23" i="9"/>
  <c r="AU23" i="9" s="1"/>
  <c r="AM23" i="9"/>
  <c r="AH23" i="9"/>
  <c r="AG23" i="9"/>
  <c r="AF23" i="9"/>
  <c r="K23" i="9" s="1"/>
  <c r="AB23" i="9"/>
  <c r="Z23" i="9"/>
  <c r="Y23" i="9"/>
  <c r="X23" i="9"/>
  <c r="T23" i="9"/>
  <c r="Q23" i="9"/>
  <c r="O23" i="9"/>
  <c r="L23" i="9"/>
  <c r="J23" i="9"/>
  <c r="I23" i="9"/>
  <c r="DJ22" i="9"/>
  <c r="DI22" i="9"/>
  <c r="DG22" i="9"/>
  <c r="DH22" i="9" s="1"/>
  <c r="BV22" i="9"/>
  <c r="BU22" i="9"/>
  <c r="BT22" i="9"/>
  <c r="BS22" i="9"/>
  <c r="BW22" i="9" s="1"/>
  <c r="BX22" i="9" s="1"/>
  <c r="BM22" i="9"/>
  <c r="BK22" i="9"/>
  <c r="BI22" i="9"/>
  <c r="BG22" i="9"/>
  <c r="BA22" i="9"/>
  <c r="BN22" i="9" s="1"/>
  <c r="BQ22" i="9" s="1"/>
  <c r="BR22" i="9" s="1"/>
  <c r="AV22" i="9"/>
  <c r="AT22" i="9" s="1"/>
  <c r="AM22" i="9"/>
  <c r="AH22" i="9"/>
  <c r="AG22" i="9"/>
  <c r="J22" i="9" s="1"/>
  <c r="I22" i="9" s="1"/>
  <c r="AB22" i="9" s="1"/>
  <c r="AF22" i="9"/>
  <c r="K22" i="9" s="1"/>
  <c r="BJ22" i="9" s="1"/>
  <c r="BL22" i="9" s="1"/>
  <c r="Z22" i="9"/>
  <c r="Y22" i="9"/>
  <c r="X22" i="9"/>
  <c r="T22" i="9"/>
  <c r="Q22" i="9"/>
  <c r="DJ21" i="9"/>
  <c r="DI21" i="9"/>
  <c r="DG21" i="9"/>
  <c r="DH21" i="9" s="1"/>
  <c r="BV21" i="9"/>
  <c r="BU21" i="9"/>
  <c r="BT21" i="9"/>
  <c r="BS21" i="9"/>
  <c r="BW21" i="9" s="1"/>
  <c r="BX21" i="9" s="1"/>
  <c r="BR21" i="9"/>
  <c r="BM21" i="9"/>
  <c r="BI21" i="9"/>
  <c r="BG21" i="9"/>
  <c r="BK21" i="9" s="1"/>
  <c r="BA21" i="9"/>
  <c r="BN21" i="9" s="1"/>
  <c r="BQ21" i="9" s="1"/>
  <c r="AV21" i="9"/>
  <c r="AT21" i="9"/>
  <c r="AU21" i="9" s="1"/>
  <c r="AM21" i="9"/>
  <c r="AH21" i="9"/>
  <c r="AG21" i="9"/>
  <c r="AF21" i="9"/>
  <c r="K21" i="9" s="1"/>
  <c r="BJ21" i="9" s="1"/>
  <c r="BL21" i="9" s="1"/>
  <c r="AB21" i="9"/>
  <c r="Z21" i="9"/>
  <c r="Y21" i="9"/>
  <c r="X21" i="9"/>
  <c r="T21" i="9"/>
  <c r="Q21" i="9"/>
  <c r="O21" i="9"/>
  <c r="L21" i="9"/>
  <c r="J21" i="9"/>
  <c r="I21" i="9"/>
  <c r="DJ20" i="9"/>
  <c r="DI20" i="9"/>
  <c r="DG20" i="9"/>
  <c r="DH20" i="9" s="1"/>
  <c r="BI20" i="9" s="1"/>
  <c r="BK20" i="9" s="1"/>
  <c r="BV20" i="9"/>
  <c r="BU20" i="9"/>
  <c r="BT20" i="9"/>
  <c r="BS20" i="9"/>
  <c r="BW20" i="9" s="1"/>
  <c r="BX20" i="9" s="1"/>
  <c r="BM20" i="9"/>
  <c r="BJ20" i="9"/>
  <c r="BG20" i="9"/>
  <c r="BA20" i="9"/>
  <c r="BN20" i="9" s="1"/>
  <c r="BQ20" i="9" s="1"/>
  <c r="BR20" i="9" s="1"/>
  <c r="AV20" i="9"/>
  <c r="AT20" i="9" s="1"/>
  <c r="AM20" i="9"/>
  <c r="AH20" i="9"/>
  <c r="AG20" i="9"/>
  <c r="J20" i="9" s="1"/>
  <c r="I20" i="9" s="1"/>
  <c r="AB20" i="9" s="1"/>
  <c r="AF20" i="9"/>
  <c r="K20" i="9" s="1"/>
  <c r="Z20" i="9"/>
  <c r="Y20" i="9"/>
  <c r="X20" i="9"/>
  <c r="T20" i="9"/>
  <c r="Q20" i="9"/>
  <c r="DJ19" i="9"/>
  <c r="DI19" i="9"/>
  <c r="DG19" i="9"/>
  <c r="DH19" i="9" s="1"/>
  <c r="BV19" i="9"/>
  <c r="BU19" i="9"/>
  <c r="BT19" i="9"/>
  <c r="BS19" i="9"/>
  <c r="BW19" i="9" s="1"/>
  <c r="BX19" i="9" s="1"/>
  <c r="BR19" i="9"/>
  <c r="BM19" i="9"/>
  <c r="BJ19" i="9"/>
  <c r="BI19" i="9"/>
  <c r="BG19" i="9"/>
  <c r="BK19" i="9" s="1"/>
  <c r="BA19" i="9"/>
  <c r="BN19" i="9" s="1"/>
  <c r="BQ19" i="9" s="1"/>
  <c r="AV19" i="9"/>
  <c r="AT19" i="9"/>
  <c r="AU19" i="9" s="1"/>
  <c r="AM19" i="9"/>
  <c r="AH19" i="9"/>
  <c r="AG19" i="9"/>
  <c r="AF19" i="9"/>
  <c r="K19" i="9" s="1"/>
  <c r="AB19" i="9"/>
  <c r="Z19" i="9"/>
  <c r="Y19" i="9"/>
  <c r="X19" i="9"/>
  <c r="T19" i="9"/>
  <c r="Q19" i="9"/>
  <c r="O19" i="9"/>
  <c r="L19" i="9"/>
  <c r="J19" i="9"/>
  <c r="I19" i="9"/>
  <c r="DJ18" i="9"/>
  <c r="DI18" i="9"/>
  <c r="DG18" i="9"/>
  <c r="DH18" i="9" s="1"/>
  <c r="BV18" i="9"/>
  <c r="BU18" i="9"/>
  <c r="BT18" i="9"/>
  <c r="BS18" i="9"/>
  <c r="BW18" i="9" s="1"/>
  <c r="BX18" i="9" s="1"/>
  <c r="BM18" i="9"/>
  <c r="BK18" i="9"/>
  <c r="BI18" i="9"/>
  <c r="BG18" i="9"/>
  <c r="BA18" i="9"/>
  <c r="BN18" i="9" s="1"/>
  <c r="BQ18" i="9" s="1"/>
  <c r="BR18" i="9" s="1"/>
  <c r="AV18" i="9"/>
  <c r="AT18" i="9" s="1"/>
  <c r="AM18" i="9"/>
  <c r="AH18" i="9"/>
  <c r="AG18" i="9"/>
  <c r="J18" i="9" s="1"/>
  <c r="I18" i="9" s="1"/>
  <c r="AB18" i="9" s="1"/>
  <c r="AF18" i="9"/>
  <c r="K18" i="9" s="1"/>
  <c r="BJ18" i="9" s="1"/>
  <c r="BL18" i="9" s="1"/>
  <c r="Z18" i="9"/>
  <c r="Y18" i="9"/>
  <c r="X18" i="9"/>
  <c r="T18" i="9"/>
  <c r="Q18" i="9"/>
  <c r="DJ17" i="9"/>
  <c r="DI17" i="9"/>
  <c r="DG17" i="9"/>
  <c r="DH17" i="9" s="1"/>
  <c r="BV17" i="9"/>
  <c r="BU17" i="9"/>
  <c r="BT17" i="9"/>
  <c r="BS17" i="9"/>
  <c r="BW17" i="9" s="1"/>
  <c r="BX17" i="9" s="1"/>
  <c r="BR17" i="9"/>
  <c r="BM17" i="9"/>
  <c r="BI17" i="9"/>
  <c r="BG17" i="9"/>
  <c r="BK17" i="9" s="1"/>
  <c r="BA17" i="9"/>
  <c r="BN17" i="9" s="1"/>
  <c r="BQ17" i="9" s="1"/>
  <c r="AV17" i="9"/>
  <c r="AT17" i="9"/>
  <c r="AU17" i="9" s="1"/>
  <c r="AM17" i="9"/>
  <c r="AH17" i="9"/>
  <c r="AG17" i="9"/>
  <c r="AF17" i="9"/>
  <c r="K17" i="9" s="1"/>
  <c r="BJ17" i="9" s="1"/>
  <c r="BL17" i="9" s="1"/>
  <c r="AB17" i="9"/>
  <c r="Z17" i="9"/>
  <c r="Y17" i="9"/>
  <c r="X17" i="9"/>
  <c r="T17" i="9"/>
  <c r="Q17" i="9"/>
  <c r="O17" i="9"/>
  <c r="L17" i="9"/>
  <c r="J17" i="9"/>
  <c r="I17" i="9"/>
  <c r="DJ29" i="8"/>
  <c r="DI29" i="8"/>
  <c r="DG29" i="8"/>
  <c r="DH29" i="8" s="1"/>
  <c r="BI29" i="8" s="1"/>
  <c r="BV29" i="8"/>
  <c r="BU29" i="8"/>
  <c r="BT29" i="8"/>
  <c r="BS29" i="8"/>
  <c r="BW29" i="8" s="1"/>
  <c r="BX29" i="8" s="1"/>
  <c r="BR29" i="8"/>
  <c r="BM29" i="8"/>
  <c r="BG29" i="8"/>
  <c r="BA29" i="8"/>
  <c r="BN29" i="8" s="1"/>
  <c r="BQ29" i="8" s="1"/>
  <c r="AV29" i="8"/>
  <c r="AT29" i="8"/>
  <c r="AU29" i="8" s="1"/>
  <c r="AM29" i="8"/>
  <c r="AH29" i="8"/>
  <c r="AG29" i="8"/>
  <c r="J29" i="8" s="1"/>
  <c r="I29" i="8" s="1"/>
  <c r="AF29" i="8"/>
  <c r="Z29" i="8"/>
  <c r="Y29" i="8"/>
  <c r="X29" i="8"/>
  <c r="T29" i="8"/>
  <c r="Q29" i="8"/>
  <c r="O29" i="8"/>
  <c r="L29" i="8"/>
  <c r="K29" i="8"/>
  <c r="BJ29" i="8" s="1"/>
  <c r="BL29" i="8" s="1"/>
  <c r="DJ28" i="8"/>
  <c r="DI28" i="8"/>
  <c r="DG28" i="8"/>
  <c r="DH28" i="8" s="1"/>
  <c r="BI28" i="8" s="1"/>
  <c r="BK28" i="8" s="1"/>
  <c r="BV28" i="8"/>
  <c r="BU28" i="8"/>
  <c r="BT28" i="8"/>
  <c r="BS28" i="8"/>
  <c r="BW28" i="8" s="1"/>
  <c r="BX28" i="8" s="1"/>
  <c r="BM28" i="8"/>
  <c r="BG28" i="8"/>
  <c r="BA28" i="8"/>
  <c r="BN28" i="8" s="1"/>
  <c r="BQ28" i="8" s="1"/>
  <c r="BR28" i="8" s="1"/>
  <c r="AV28" i="8"/>
  <c r="AT28" i="8" s="1"/>
  <c r="AM28" i="8"/>
  <c r="AH28" i="8"/>
  <c r="AF28" i="8"/>
  <c r="K28" i="8" s="1"/>
  <c r="BJ28" i="8" s="1"/>
  <c r="Z28" i="8"/>
  <c r="Y28" i="8"/>
  <c r="X28" i="8"/>
  <c r="T28" i="8"/>
  <c r="Q28" i="8"/>
  <c r="DJ27" i="8"/>
  <c r="DI27" i="8"/>
  <c r="DG27" i="8"/>
  <c r="DH27" i="8" s="1"/>
  <c r="BV27" i="8"/>
  <c r="BU27" i="8"/>
  <c r="BM27" i="8"/>
  <c r="BI27" i="8"/>
  <c r="BG27" i="8"/>
  <c r="BK27" i="8" s="1"/>
  <c r="BA27" i="8"/>
  <c r="BN27" i="8" s="1"/>
  <c r="BQ27" i="8" s="1"/>
  <c r="BT27" i="8" s="1"/>
  <c r="AV27" i="8"/>
  <c r="AT27" i="8"/>
  <c r="AU27" i="8" s="1"/>
  <c r="AM27" i="8"/>
  <c r="AH27" i="8"/>
  <c r="AG27" i="8"/>
  <c r="J27" i="8" s="1"/>
  <c r="I27" i="8" s="1"/>
  <c r="AF27" i="8"/>
  <c r="K27" i="8" s="1"/>
  <c r="BJ27" i="8" s="1"/>
  <c r="BL27" i="8" s="1"/>
  <c r="Z27" i="8"/>
  <c r="Y27" i="8"/>
  <c r="X27" i="8"/>
  <c r="T27" i="8"/>
  <c r="Q27" i="8"/>
  <c r="O27" i="8"/>
  <c r="L27" i="8"/>
  <c r="DJ26" i="8"/>
  <c r="T26" i="8" s="1"/>
  <c r="DI26" i="8"/>
  <c r="DG26" i="8"/>
  <c r="DH26" i="8" s="1"/>
  <c r="BV26" i="8"/>
  <c r="BU26" i="8"/>
  <c r="BM26" i="8"/>
  <c r="BI26" i="8"/>
  <c r="BG26" i="8"/>
  <c r="BK26" i="8" s="1"/>
  <c r="BA26" i="8"/>
  <c r="BN26" i="8" s="1"/>
  <c r="BQ26" i="8" s="1"/>
  <c r="BR26" i="8" s="1"/>
  <c r="AV26" i="8"/>
  <c r="AT26" i="8" s="1"/>
  <c r="AM26" i="8"/>
  <c r="AH26" i="8"/>
  <c r="Z26" i="8"/>
  <c r="Y26" i="8"/>
  <c r="X26" i="8"/>
  <c r="Q26" i="8"/>
  <c r="DJ25" i="8"/>
  <c r="DI25" i="8"/>
  <c r="DG25" i="8"/>
  <c r="DH25" i="8" s="1"/>
  <c r="BV25" i="8"/>
  <c r="BU25" i="8"/>
  <c r="BT25" i="8"/>
  <c r="BS25" i="8"/>
  <c r="BW25" i="8" s="1"/>
  <c r="BX25" i="8" s="1"/>
  <c r="BR25" i="8"/>
  <c r="BM25" i="8"/>
  <c r="BI25" i="8"/>
  <c r="BG25" i="8"/>
  <c r="BK25" i="8" s="1"/>
  <c r="BA25" i="8"/>
  <c r="BN25" i="8" s="1"/>
  <c r="BQ25" i="8" s="1"/>
  <c r="AV25" i="8"/>
  <c r="AT25" i="8"/>
  <c r="AU25" i="8" s="1"/>
  <c r="AM25" i="8"/>
  <c r="AH25" i="8"/>
  <c r="AG25" i="8"/>
  <c r="J25" i="8" s="1"/>
  <c r="I25" i="8" s="1"/>
  <c r="AF25" i="8"/>
  <c r="K25" i="8" s="1"/>
  <c r="BJ25" i="8" s="1"/>
  <c r="BL25" i="8" s="1"/>
  <c r="Z25" i="8"/>
  <c r="Y25" i="8"/>
  <c r="X25" i="8"/>
  <c r="Q25" i="8"/>
  <c r="O25" i="8"/>
  <c r="L25" i="8"/>
  <c r="DJ24" i="8"/>
  <c r="T24" i="8" s="1"/>
  <c r="DI24" i="8"/>
  <c r="DG24" i="8"/>
  <c r="DH24" i="8" s="1"/>
  <c r="BV24" i="8"/>
  <c r="BU24" i="8"/>
  <c r="BT24" i="8"/>
  <c r="BS24" i="8"/>
  <c r="BW24" i="8" s="1"/>
  <c r="BX24" i="8" s="1"/>
  <c r="BM24" i="8"/>
  <c r="BK24" i="8"/>
  <c r="BI24" i="8"/>
  <c r="BG24" i="8"/>
  <c r="BA24" i="8"/>
  <c r="BN24" i="8" s="1"/>
  <c r="BQ24" i="8" s="1"/>
  <c r="BR24" i="8" s="1"/>
  <c r="AV24" i="8"/>
  <c r="AT24" i="8" s="1"/>
  <c r="AM24" i="8"/>
  <c r="AH24" i="8"/>
  <c r="AF24" i="8"/>
  <c r="K24" i="8" s="1"/>
  <c r="BJ24" i="8" s="1"/>
  <c r="BL24" i="8" s="1"/>
  <c r="Z24" i="8"/>
  <c r="Y24" i="8"/>
  <c r="X24" i="8"/>
  <c r="Q24" i="8"/>
  <c r="DJ23" i="8"/>
  <c r="DI23" i="8"/>
  <c r="DG23" i="8"/>
  <c r="DH23" i="8" s="1"/>
  <c r="BI23" i="8" s="1"/>
  <c r="BW23" i="8"/>
  <c r="BX23" i="8" s="1"/>
  <c r="BV23" i="8"/>
  <c r="BU23" i="8"/>
  <c r="BT23" i="8"/>
  <c r="BS23" i="8"/>
  <c r="BR23" i="8"/>
  <c r="BM23" i="8"/>
  <c r="BG23" i="8"/>
  <c r="BA23" i="8"/>
  <c r="BN23" i="8" s="1"/>
  <c r="BQ23" i="8" s="1"/>
  <c r="AV23" i="8"/>
  <c r="AT23" i="8"/>
  <c r="AU23" i="8" s="1"/>
  <c r="AM23" i="8"/>
  <c r="AH23" i="8"/>
  <c r="AG23" i="8"/>
  <c r="AF23" i="8"/>
  <c r="K23" i="8" s="1"/>
  <c r="BJ23" i="8" s="1"/>
  <c r="AB23" i="8"/>
  <c r="Z23" i="8"/>
  <c r="Y23" i="8"/>
  <c r="X23" i="8"/>
  <c r="Q23" i="8"/>
  <c r="O23" i="8"/>
  <c r="L23" i="8"/>
  <c r="J23" i="8"/>
  <c r="I23" i="8"/>
  <c r="DJ22" i="8"/>
  <c r="T22" i="8" s="1"/>
  <c r="DI22" i="8"/>
  <c r="DG22" i="8"/>
  <c r="DH22" i="8" s="1"/>
  <c r="BI22" i="8" s="1"/>
  <c r="BK22" i="8" s="1"/>
  <c r="BW22" i="8"/>
  <c r="BX22" i="8" s="1"/>
  <c r="BV22" i="8"/>
  <c r="BU22" i="8"/>
  <c r="BT22" i="8"/>
  <c r="BS22" i="8"/>
  <c r="BM22" i="8"/>
  <c r="BG22" i="8"/>
  <c r="BA22" i="8"/>
  <c r="BN22" i="8" s="1"/>
  <c r="BQ22" i="8" s="1"/>
  <c r="BR22" i="8" s="1"/>
  <c r="AV22" i="8"/>
  <c r="AT22" i="8" s="1"/>
  <c r="AM22" i="8"/>
  <c r="AH22" i="8"/>
  <c r="AG22" i="8"/>
  <c r="J22" i="8" s="1"/>
  <c r="I22" i="8" s="1"/>
  <c r="AF22" i="8"/>
  <c r="K22" i="8" s="1"/>
  <c r="BJ22" i="8" s="1"/>
  <c r="BL22" i="8" s="1"/>
  <c r="Z22" i="8"/>
  <c r="Y22" i="8"/>
  <c r="X22" i="8"/>
  <c r="Q22" i="8"/>
  <c r="DJ21" i="8"/>
  <c r="DI21" i="8"/>
  <c r="DG21" i="8"/>
  <c r="DH21" i="8" s="1"/>
  <c r="BI21" i="8" s="1"/>
  <c r="BW21" i="8"/>
  <c r="BX21" i="8" s="1"/>
  <c r="BV21" i="8"/>
  <c r="BU21" i="8"/>
  <c r="BT21" i="8"/>
  <c r="BS21" i="8"/>
  <c r="BR21" i="8"/>
  <c r="BM21" i="8"/>
  <c r="BG21" i="8"/>
  <c r="BA21" i="8"/>
  <c r="BN21" i="8" s="1"/>
  <c r="BQ21" i="8" s="1"/>
  <c r="AV21" i="8"/>
  <c r="AT21" i="8"/>
  <c r="AU21" i="8" s="1"/>
  <c r="AM21" i="8"/>
  <c r="AH21" i="8"/>
  <c r="AG21" i="8"/>
  <c r="AF21" i="8"/>
  <c r="K21" i="8" s="1"/>
  <c r="BJ21" i="8" s="1"/>
  <c r="BL21" i="8" s="1"/>
  <c r="AB21" i="8"/>
  <c r="Z21" i="8"/>
  <c r="Y21" i="8"/>
  <c r="X21" i="8"/>
  <c r="Q21" i="8"/>
  <c r="O21" i="8"/>
  <c r="L21" i="8"/>
  <c r="J21" i="8"/>
  <c r="I21" i="8"/>
  <c r="DJ20" i="8"/>
  <c r="T20" i="8" s="1"/>
  <c r="DI20" i="8"/>
  <c r="DG20" i="8"/>
  <c r="DH20" i="8" s="1"/>
  <c r="BI20" i="8" s="1"/>
  <c r="BK20" i="8" s="1"/>
  <c r="BW20" i="8"/>
  <c r="BX20" i="8" s="1"/>
  <c r="BV20" i="8"/>
  <c r="BU20" i="8"/>
  <c r="BT20" i="8"/>
  <c r="BS20" i="8"/>
  <c r="BM20" i="8"/>
  <c r="BG20" i="8"/>
  <c r="BA20" i="8"/>
  <c r="BN20" i="8" s="1"/>
  <c r="BQ20" i="8" s="1"/>
  <c r="BR20" i="8" s="1"/>
  <c r="AV20" i="8"/>
  <c r="AT20" i="8" s="1"/>
  <c r="AM20" i="8"/>
  <c r="AH20" i="8"/>
  <c r="AG20" i="8"/>
  <c r="J20" i="8" s="1"/>
  <c r="I20" i="8" s="1"/>
  <c r="AF20" i="8"/>
  <c r="K20" i="8" s="1"/>
  <c r="BJ20" i="8" s="1"/>
  <c r="BL20" i="8" s="1"/>
  <c r="Z20" i="8"/>
  <c r="Y20" i="8"/>
  <c r="X20" i="8"/>
  <c r="Q20" i="8"/>
  <c r="DJ19" i="8"/>
  <c r="DI19" i="8"/>
  <c r="DG19" i="8"/>
  <c r="DH19" i="8" s="1"/>
  <c r="BI19" i="8" s="1"/>
  <c r="BW19" i="8"/>
  <c r="BX19" i="8" s="1"/>
  <c r="BV19" i="8"/>
  <c r="BU19" i="8"/>
  <c r="BT19" i="8"/>
  <c r="BS19" i="8"/>
  <c r="BR19" i="8"/>
  <c r="BM19" i="8"/>
  <c r="BG19" i="8"/>
  <c r="BK19" i="8" s="1"/>
  <c r="BA19" i="8"/>
  <c r="BN19" i="8" s="1"/>
  <c r="BQ19" i="8" s="1"/>
  <c r="AV19" i="8"/>
  <c r="AT19" i="8"/>
  <c r="AU19" i="8" s="1"/>
  <c r="AM19" i="8"/>
  <c r="AH19" i="8"/>
  <c r="AG19" i="8"/>
  <c r="AF19" i="8"/>
  <c r="K19" i="8" s="1"/>
  <c r="BJ19" i="8" s="1"/>
  <c r="BL19" i="8" s="1"/>
  <c r="AB19" i="8"/>
  <c r="Z19" i="8"/>
  <c r="Y19" i="8"/>
  <c r="X19" i="8"/>
  <c r="Q19" i="8"/>
  <c r="O19" i="8"/>
  <c r="L19" i="8"/>
  <c r="J19" i="8"/>
  <c r="I19" i="8"/>
  <c r="DJ18" i="8"/>
  <c r="T18" i="8" s="1"/>
  <c r="DI18" i="8"/>
  <c r="DG18" i="8"/>
  <c r="DH18" i="8" s="1"/>
  <c r="BI18" i="8" s="1"/>
  <c r="BK18" i="8" s="1"/>
  <c r="BW18" i="8"/>
  <c r="BX18" i="8" s="1"/>
  <c r="BV18" i="8"/>
  <c r="BU18" i="8"/>
  <c r="BT18" i="8"/>
  <c r="BS18" i="8"/>
  <c r="BM18" i="8"/>
  <c r="BG18" i="8"/>
  <c r="BA18" i="8"/>
  <c r="BN18" i="8" s="1"/>
  <c r="BQ18" i="8" s="1"/>
  <c r="BR18" i="8" s="1"/>
  <c r="AV18" i="8"/>
  <c r="AT18" i="8" s="1"/>
  <c r="AM18" i="8"/>
  <c r="AH18" i="8"/>
  <c r="AG18" i="8"/>
  <c r="J18" i="8" s="1"/>
  <c r="I18" i="8" s="1"/>
  <c r="AF18" i="8"/>
  <c r="K18" i="8" s="1"/>
  <c r="BJ18" i="8" s="1"/>
  <c r="Z18" i="8"/>
  <c r="Y18" i="8"/>
  <c r="X18" i="8"/>
  <c r="Q18" i="8"/>
  <c r="DJ17" i="8"/>
  <c r="DI17" i="8"/>
  <c r="DG17" i="8"/>
  <c r="DH17" i="8" s="1"/>
  <c r="BI17" i="8" s="1"/>
  <c r="BW17" i="8"/>
  <c r="BX17" i="8" s="1"/>
  <c r="BV17" i="8"/>
  <c r="BU17" i="8"/>
  <c r="BT17" i="8"/>
  <c r="BS17" i="8"/>
  <c r="BR17" i="8"/>
  <c r="BM17" i="8"/>
  <c r="BG17" i="8"/>
  <c r="BA17" i="8"/>
  <c r="BN17" i="8" s="1"/>
  <c r="BQ17" i="8" s="1"/>
  <c r="AV17" i="8"/>
  <c r="AT17" i="8"/>
  <c r="AU17" i="8" s="1"/>
  <c r="AM17" i="8"/>
  <c r="AH17" i="8"/>
  <c r="AG17" i="8"/>
  <c r="AF17" i="8"/>
  <c r="K17" i="8" s="1"/>
  <c r="BJ17" i="8" s="1"/>
  <c r="AB17" i="8"/>
  <c r="Z17" i="8"/>
  <c r="Y17" i="8"/>
  <c r="X17" i="8"/>
  <c r="Q17" i="8"/>
  <c r="O17" i="8"/>
  <c r="L17" i="8"/>
  <c r="J17" i="8"/>
  <c r="I17" i="8"/>
  <c r="DJ30" i="7"/>
  <c r="DI30" i="7"/>
  <c r="DG30" i="7"/>
  <c r="DH30" i="7" s="1"/>
  <c r="BV30" i="7"/>
  <c r="BU30" i="7"/>
  <c r="BM30" i="7"/>
  <c r="BJ30" i="7"/>
  <c r="BL30" i="7" s="1"/>
  <c r="BI30" i="7"/>
  <c r="BG30" i="7"/>
  <c r="BK30" i="7" s="1"/>
  <c r="BA30" i="7"/>
  <c r="BN30" i="7" s="1"/>
  <c r="BQ30" i="7" s="1"/>
  <c r="AV30" i="7"/>
  <c r="AT30" i="7"/>
  <c r="AU30" i="7" s="1"/>
  <c r="AM30" i="7"/>
  <c r="AH30" i="7"/>
  <c r="AG30" i="7"/>
  <c r="AF30" i="7"/>
  <c r="Z30" i="7"/>
  <c r="Y30" i="7"/>
  <c r="X30" i="7" s="1"/>
  <c r="T30" i="7"/>
  <c r="Q30" i="7"/>
  <c r="O30" i="7"/>
  <c r="L30" i="7"/>
  <c r="K30" i="7"/>
  <c r="J30" i="7"/>
  <c r="I30" i="7"/>
  <c r="DJ29" i="7"/>
  <c r="DI29" i="7"/>
  <c r="DG29" i="7"/>
  <c r="BV29" i="7"/>
  <c r="BU29" i="7"/>
  <c r="BT29" i="7"/>
  <c r="BM29" i="7"/>
  <c r="BG29" i="7"/>
  <c r="BA29" i="7"/>
  <c r="BN29" i="7" s="1"/>
  <c r="BQ29" i="7" s="1"/>
  <c r="BR29" i="7" s="1"/>
  <c r="AV29" i="7"/>
  <c r="AT29" i="7"/>
  <c r="AM29" i="7"/>
  <c r="AH29" i="7"/>
  <c r="Z29" i="7"/>
  <c r="Y29" i="7"/>
  <c r="X29" i="7"/>
  <c r="Q29" i="7"/>
  <c r="DJ28" i="7"/>
  <c r="DI28" i="7"/>
  <c r="DG28" i="7"/>
  <c r="DH28" i="7" s="1"/>
  <c r="BI28" i="7" s="1"/>
  <c r="BV28" i="7"/>
  <c r="BU28" i="7"/>
  <c r="BN28" i="7"/>
  <c r="BQ28" i="7" s="1"/>
  <c r="BM28" i="7"/>
  <c r="BL28" i="7"/>
  <c r="BK28" i="7"/>
  <c r="BJ28" i="7"/>
  <c r="BG28" i="7"/>
  <c r="BA28" i="7"/>
  <c r="AV28" i="7"/>
  <c r="AT28" i="7"/>
  <c r="AU28" i="7" s="1"/>
  <c r="AM28" i="7"/>
  <c r="AH28" i="7"/>
  <c r="AG28" i="7"/>
  <c r="AF28" i="7"/>
  <c r="AB28" i="7"/>
  <c r="Z28" i="7"/>
  <c r="Y28" i="7"/>
  <c r="X28" i="7"/>
  <c r="T28" i="7"/>
  <c r="Q28" i="7"/>
  <c r="O28" i="7"/>
  <c r="L28" i="7"/>
  <c r="K28" i="7"/>
  <c r="J28" i="7"/>
  <c r="I28" i="7"/>
  <c r="DJ27" i="7"/>
  <c r="DI27" i="7"/>
  <c r="DG27" i="7"/>
  <c r="T27" i="7" s="1"/>
  <c r="BV27" i="7"/>
  <c r="BU27" i="7"/>
  <c r="BM27" i="7"/>
  <c r="BG27" i="7"/>
  <c r="BA27" i="7"/>
  <c r="BN27" i="7" s="1"/>
  <c r="BQ27" i="7" s="1"/>
  <c r="AV27" i="7"/>
  <c r="AT27" i="7"/>
  <c r="L27" i="7" s="1"/>
  <c r="AM27" i="7"/>
  <c r="AH27" i="7"/>
  <c r="AG27" i="7"/>
  <c r="J27" i="7" s="1"/>
  <c r="I27" i="7" s="1"/>
  <c r="AF27" i="7"/>
  <c r="K27" i="7" s="1"/>
  <c r="BJ27" i="7" s="1"/>
  <c r="Z27" i="7"/>
  <c r="Y27" i="7"/>
  <c r="X27" i="7"/>
  <c r="Q27" i="7"/>
  <c r="O27" i="7"/>
  <c r="DJ26" i="7"/>
  <c r="DI26" i="7"/>
  <c r="DG26" i="7"/>
  <c r="DH26" i="7" s="1"/>
  <c r="BI26" i="7" s="1"/>
  <c r="BV26" i="7"/>
  <c r="BU26" i="7"/>
  <c r="BM26" i="7"/>
  <c r="BJ26" i="7"/>
  <c r="BL26" i="7" s="1"/>
  <c r="BG26" i="7"/>
  <c r="BK26" i="7" s="1"/>
  <c r="BA26" i="7"/>
  <c r="BN26" i="7" s="1"/>
  <c r="BQ26" i="7" s="1"/>
  <c r="AV26" i="7"/>
  <c r="AT26" i="7"/>
  <c r="AU26" i="7" s="1"/>
  <c r="AM26" i="7"/>
  <c r="AH26" i="7"/>
  <c r="AG26" i="7"/>
  <c r="AF26" i="7"/>
  <c r="AB26" i="7"/>
  <c r="Z26" i="7"/>
  <c r="Y26" i="7"/>
  <c r="X26" i="7" s="1"/>
  <c r="T26" i="7"/>
  <c r="Q26" i="7"/>
  <c r="O26" i="7"/>
  <c r="L26" i="7"/>
  <c r="K26" i="7"/>
  <c r="J26" i="7"/>
  <c r="I26" i="7"/>
  <c r="DJ25" i="7"/>
  <c r="DI25" i="7"/>
  <c r="DG25" i="7"/>
  <c r="BV25" i="7"/>
  <c r="BU25" i="7"/>
  <c r="BT25" i="7"/>
  <c r="BM25" i="7"/>
  <c r="BG25" i="7"/>
  <c r="BA25" i="7"/>
  <c r="BN25" i="7" s="1"/>
  <c r="BQ25" i="7" s="1"/>
  <c r="BR25" i="7" s="1"/>
  <c r="AV25" i="7"/>
  <c r="AT25" i="7"/>
  <c r="AM25" i="7"/>
  <c r="AH25" i="7"/>
  <c r="Z25" i="7"/>
  <c r="Y25" i="7"/>
  <c r="X25" i="7"/>
  <c r="Q25" i="7"/>
  <c r="DJ24" i="7"/>
  <c r="DI24" i="7"/>
  <c r="DG24" i="7"/>
  <c r="DH24" i="7" s="1"/>
  <c r="BI24" i="7" s="1"/>
  <c r="BV24" i="7"/>
  <c r="BU24" i="7"/>
  <c r="BN24" i="7"/>
  <c r="BQ24" i="7" s="1"/>
  <c r="BM24" i="7"/>
  <c r="BL24" i="7"/>
  <c r="BK24" i="7"/>
  <c r="BJ24" i="7"/>
  <c r="BG24" i="7"/>
  <c r="BA24" i="7"/>
  <c r="AV24" i="7"/>
  <c r="AT24" i="7"/>
  <c r="AU24" i="7" s="1"/>
  <c r="AM24" i="7"/>
  <c r="AH24" i="7"/>
  <c r="AG24" i="7"/>
  <c r="AF24" i="7"/>
  <c r="Z24" i="7"/>
  <c r="Y24" i="7"/>
  <c r="X24" i="7"/>
  <c r="T24" i="7"/>
  <c r="Q24" i="7"/>
  <c r="O24" i="7"/>
  <c r="L24" i="7"/>
  <c r="K24" i="7"/>
  <c r="J24" i="7"/>
  <c r="I24" i="7"/>
  <c r="DJ23" i="7"/>
  <c r="DI23" i="7"/>
  <c r="DG23" i="7"/>
  <c r="BV23" i="7"/>
  <c r="BU23" i="7"/>
  <c r="BM23" i="7"/>
  <c r="BG23" i="7"/>
  <c r="BA23" i="7"/>
  <c r="BN23" i="7" s="1"/>
  <c r="BQ23" i="7" s="1"/>
  <c r="BR23" i="7" s="1"/>
  <c r="AV23" i="7"/>
  <c r="AT23" i="7"/>
  <c r="L23" i="7" s="1"/>
  <c r="AM23" i="7"/>
  <c r="AH23" i="7"/>
  <c r="AG23" i="7"/>
  <c r="J23" i="7" s="1"/>
  <c r="I23" i="7" s="1"/>
  <c r="AB23" i="7" s="1"/>
  <c r="AF23" i="7"/>
  <c r="K23" i="7" s="1"/>
  <c r="BJ23" i="7" s="1"/>
  <c r="Z23" i="7"/>
  <c r="Y23" i="7"/>
  <c r="X23" i="7"/>
  <c r="Q23" i="7"/>
  <c r="O23" i="7"/>
  <c r="DJ22" i="7"/>
  <c r="DI22" i="7"/>
  <c r="DG22" i="7"/>
  <c r="DH22" i="7" s="1"/>
  <c r="BV22" i="7"/>
  <c r="BU22" i="7"/>
  <c r="BM22" i="7"/>
  <c r="BJ22" i="7"/>
  <c r="BL22" i="7" s="1"/>
  <c r="BI22" i="7"/>
  <c r="BK22" i="7" s="1"/>
  <c r="BG22" i="7"/>
  <c r="BA22" i="7"/>
  <c r="BN22" i="7" s="1"/>
  <c r="BQ22" i="7" s="1"/>
  <c r="AV22" i="7"/>
  <c r="AT22" i="7"/>
  <c r="AU22" i="7" s="1"/>
  <c r="AM22" i="7"/>
  <c r="AH22" i="7"/>
  <c r="AG22" i="7"/>
  <c r="AF22" i="7"/>
  <c r="AB22" i="7"/>
  <c r="Z22" i="7"/>
  <c r="Y22" i="7"/>
  <c r="X22" i="7"/>
  <c r="T22" i="7"/>
  <c r="Q22" i="7"/>
  <c r="O22" i="7"/>
  <c r="L22" i="7"/>
  <c r="K22" i="7"/>
  <c r="J22" i="7"/>
  <c r="I22" i="7"/>
  <c r="DJ21" i="7"/>
  <c r="DI21" i="7"/>
  <c r="DG21" i="7"/>
  <c r="BV21" i="7"/>
  <c r="BU21" i="7"/>
  <c r="BM21" i="7"/>
  <c r="BG21" i="7"/>
  <c r="BA21" i="7"/>
  <c r="BN21" i="7" s="1"/>
  <c r="BQ21" i="7" s="1"/>
  <c r="AV21" i="7"/>
  <c r="AT21" i="7"/>
  <c r="AU21" i="7" s="1"/>
  <c r="AM21" i="7"/>
  <c r="AH21" i="7"/>
  <c r="Z21" i="7"/>
  <c r="Y21" i="7"/>
  <c r="X21" i="7"/>
  <c r="Q21" i="7"/>
  <c r="L21" i="7"/>
  <c r="DJ20" i="7"/>
  <c r="DI20" i="7"/>
  <c r="DG20" i="7"/>
  <c r="DH20" i="7" s="1"/>
  <c r="BV20" i="7"/>
  <c r="BU20" i="7"/>
  <c r="BM20" i="7"/>
  <c r="BJ20" i="7"/>
  <c r="BL20" i="7" s="1"/>
  <c r="BI20" i="7"/>
  <c r="BG20" i="7"/>
  <c r="BK20" i="7" s="1"/>
  <c r="BA20" i="7"/>
  <c r="BN20" i="7" s="1"/>
  <c r="BQ20" i="7" s="1"/>
  <c r="AV20" i="7"/>
  <c r="AT20" i="7"/>
  <c r="AU20" i="7" s="1"/>
  <c r="AM20" i="7"/>
  <c r="AH20" i="7"/>
  <c r="AG20" i="7"/>
  <c r="AF20" i="7"/>
  <c r="Z20" i="7"/>
  <c r="Y20" i="7"/>
  <c r="X20" i="7" s="1"/>
  <c r="T20" i="7"/>
  <c r="Q20" i="7"/>
  <c r="O20" i="7"/>
  <c r="L20" i="7"/>
  <c r="K20" i="7"/>
  <c r="J20" i="7"/>
  <c r="I20" i="7"/>
  <c r="DJ19" i="7"/>
  <c r="DI19" i="7"/>
  <c r="DG19" i="7"/>
  <c r="DH19" i="7" s="1"/>
  <c r="BI19" i="7" s="1"/>
  <c r="BV19" i="7"/>
  <c r="BU19" i="7"/>
  <c r="BM19" i="7"/>
  <c r="BG19" i="7"/>
  <c r="BA19" i="7"/>
  <c r="BN19" i="7" s="1"/>
  <c r="BQ19" i="7" s="1"/>
  <c r="BR19" i="7" s="1"/>
  <c r="AV19" i="7"/>
  <c r="AT19" i="7"/>
  <c r="O19" i="7" s="1"/>
  <c r="AM19" i="7"/>
  <c r="AH19" i="7"/>
  <c r="AG19" i="7"/>
  <c r="J19" i="7" s="1"/>
  <c r="I19" i="7" s="1"/>
  <c r="AF19" i="7"/>
  <c r="K19" i="7" s="1"/>
  <c r="BJ19" i="7" s="1"/>
  <c r="BL19" i="7" s="1"/>
  <c r="Z19" i="7"/>
  <c r="Y19" i="7"/>
  <c r="X19" i="7"/>
  <c r="T19" i="7"/>
  <c r="Q19" i="7"/>
  <c r="DJ18" i="7"/>
  <c r="DI18" i="7"/>
  <c r="DG18" i="7"/>
  <c r="DH18" i="7" s="1"/>
  <c r="BV18" i="7"/>
  <c r="BU18" i="7"/>
  <c r="BN18" i="7"/>
  <c r="BQ18" i="7" s="1"/>
  <c r="BM18" i="7"/>
  <c r="BJ18" i="7"/>
  <c r="BL18" i="7" s="1"/>
  <c r="BI18" i="7"/>
  <c r="BG18" i="7"/>
  <c r="BK18" i="7" s="1"/>
  <c r="BA18" i="7"/>
  <c r="AV18" i="7"/>
  <c r="AT18" i="7"/>
  <c r="AU18" i="7" s="1"/>
  <c r="AM18" i="7"/>
  <c r="AH18" i="7"/>
  <c r="AG18" i="7"/>
  <c r="AF18" i="7"/>
  <c r="Z18" i="7"/>
  <c r="Y18" i="7"/>
  <c r="X18" i="7"/>
  <c r="T18" i="7"/>
  <c r="Q18" i="7"/>
  <c r="O18" i="7"/>
  <c r="L18" i="7"/>
  <c r="K18" i="7"/>
  <c r="J18" i="7"/>
  <c r="I18" i="7"/>
  <c r="DJ17" i="7"/>
  <c r="T17" i="7" s="1"/>
  <c r="DI17" i="7"/>
  <c r="DG17" i="7"/>
  <c r="DH17" i="7" s="1"/>
  <c r="BI17" i="7" s="1"/>
  <c r="BV17" i="7"/>
  <c r="BU17" i="7"/>
  <c r="BT17" i="7"/>
  <c r="BM17" i="7"/>
  <c r="BG17" i="7"/>
  <c r="BA17" i="7"/>
  <c r="BN17" i="7" s="1"/>
  <c r="BQ17" i="7" s="1"/>
  <c r="BR17" i="7" s="1"/>
  <c r="AV17" i="7"/>
  <c r="AT17" i="7"/>
  <c r="O17" i="7" s="1"/>
  <c r="AM17" i="7"/>
  <c r="AH17" i="7"/>
  <c r="Z17" i="7"/>
  <c r="Y17" i="7"/>
  <c r="X17" i="7"/>
  <c r="Q17" i="7"/>
  <c r="DJ29" i="6"/>
  <c r="DI29" i="6"/>
  <c r="DG29" i="6"/>
  <c r="DH29" i="6" s="1"/>
  <c r="BV29" i="6"/>
  <c r="BU29" i="6"/>
  <c r="BM29" i="6"/>
  <c r="BI29" i="6"/>
  <c r="BG29" i="6"/>
  <c r="BK29" i="6" s="1"/>
  <c r="BA29" i="6"/>
  <c r="BN29" i="6" s="1"/>
  <c r="BQ29" i="6" s="1"/>
  <c r="AV29" i="6"/>
  <c r="AT29" i="6" s="1"/>
  <c r="AM29" i="6"/>
  <c r="AH29" i="6"/>
  <c r="Z29" i="6"/>
  <c r="Y29" i="6"/>
  <c r="X29" i="6"/>
  <c r="T29" i="6"/>
  <c r="Q29" i="6"/>
  <c r="DJ28" i="6"/>
  <c r="DI28" i="6"/>
  <c r="DG28" i="6"/>
  <c r="T28" i="6" s="1"/>
  <c r="BV28" i="6"/>
  <c r="BU28" i="6"/>
  <c r="BM28" i="6"/>
  <c r="BG28" i="6"/>
  <c r="BA28" i="6"/>
  <c r="BN28" i="6" s="1"/>
  <c r="BQ28" i="6" s="1"/>
  <c r="BR28" i="6" s="1"/>
  <c r="AV28" i="6"/>
  <c r="AU28" i="6"/>
  <c r="AT28" i="6"/>
  <c r="AM28" i="6"/>
  <c r="AH28" i="6"/>
  <c r="AG28" i="6"/>
  <c r="AF28" i="6"/>
  <c r="Z28" i="6"/>
  <c r="Y28" i="6"/>
  <c r="X28" i="6"/>
  <c r="Q28" i="6"/>
  <c r="O28" i="6"/>
  <c r="L28" i="6"/>
  <c r="K28" i="6"/>
  <c r="BJ28" i="6" s="1"/>
  <c r="J28" i="6"/>
  <c r="I28" i="6"/>
  <c r="DJ27" i="6"/>
  <c r="DI27" i="6"/>
  <c r="DG27" i="6"/>
  <c r="DH27" i="6" s="1"/>
  <c r="BV27" i="6"/>
  <c r="BU27" i="6"/>
  <c r="BM27" i="6"/>
  <c r="BI27" i="6"/>
  <c r="BG27" i="6"/>
  <c r="BK27" i="6" s="1"/>
  <c r="BA27" i="6"/>
  <c r="BN27" i="6" s="1"/>
  <c r="BQ27" i="6" s="1"/>
  <c r="AV27" i="6"/>
  <c r="AT27" i="6" s="1"/>
  <c r="AM27" i="6"/>
  <c r="AH27" i="6"/>
  <c r="Z27" i="6"/>
  <c r="Y27" i="6"/>
  <c r="X27" i="6"/>
  <c r="T27" i="6"/>
  <c r="Q27" i="6"/>
  <c r="DJ26" i="6"/>
  <c r="DI26" i="6"/>
  <c r="DG26" i="6"/>
  <c r="T26" i="6" s="1"/>
  <c r="BV26" i="6"/>
  <c r="BU26" i="6"/>
  <c r="BM26" i="6"/>
  <c r="BG26" i="6"/>
  <c r="BA26" i="6"/>
  <c r="BN26" i="6" s="1"/>
  <c r="BQ26" i="6" s="1"/>
  <c r="BR26" i="6" s="1"/>
  <c r="AV26" i="6"/>
  <c r="AT26" i="6"/>
  <c r="AU26" i="6" s="1"/>
  <c r="AM26" i="6"/>
  <c r="AH26" i="6"/>
  <c r="AG26" i="6"/>
  <c r="AF26" i="6"/>
  <c r="Z26" i="6"/>
  <c r="Y26" i="6"/>
  <c r="X26" i="6"/>
  <c r="Q26" i="6"/>
  <c r="O26" i="6"/>
  <c r="L26" i="6"/>
  <c r="K26" i="6"/>
  <c r="BJ26" i="6" s="1"/>
  <c r="J26" i="6"/>
  <c r="I26" i="6" s="1"/>
  <c r="DJ25" i="6"/>
  <c r="DI25" i="6"/>
  <c r="DG25" i="6"/>
  <c r="DH25" i="6" s="1"/>
  <c r="BV25" i="6"/>
  <c r="BU25" i="6"/>
  <c r="BM25" i="6"/>
  <c r="BI25" i="6"/>
  <c r="BG25" i="6"/>
  <c r="BK25" i="6" s="1"/>
  <c r="BA25" i="6"/>
  <c r="BN25" i="6" s="1"/>
  <c r="BQ25" i="6" s="1"/>
  <c r="AV25" i="6"/>
  <c r="AT25" i="6" s="1"/>
  <c r="AM25" i="6"/>
  <c r="AH25" i="6"/>
  <c r="Z25" i="6"/>
  <c r="X25" i="6" s="1"/>
  <c r="Y25" i="6"/>
  <c r="T25" i="6"/>
  <c r="Q25" i="6"/>
  <c r="DJ24" i="6"/>
  <c r="DI24" i="6"/>
  <c r="DG24" i="6"/>
  <c r="T24" i="6" s="1"/>
  <c r="BV24" i="6"/>
  <c r="BU24" i="6"/>
  <c r="BT24" i="6"/>
  <c r="BS24" i="6"/>
  <c r="BW24" i="6" s="1"/>
  <c r="BX24" i="6" s="1"/>
  <c r="BM24" i="6"/>
  <c r="BG24" i="6"/>
  <c r="BA24" i="6"/>
  <c r="BN24" i="6" s="1"/>
  <c r="BQ24" i="6" s="1"/>
  <c r="BR24" i="6" s="1"/>
  <c r="AV24" i="6"/>
  <c r="AT24" i="6"/>
  <c r="AU24" i="6" s="1"/>
  <c r="AM24" i="6"/>
  <c r="AH24" i="6"/>
  <c r="AG24" i="6"/>
  <c r="J24" i="6" s="1"/>
  <c r="I24" i="6" s="1"/>
  <c r="AF24" i="6"/>
  <c r="K24" i="6" s="1"/>
  <c r="BJ24" i="6" s="1"/>
  <c r="Z24" i="6"/>
  <c r="Y24" i="6"/>
  <c r="X24" i="6"/>
  <c r="Q24" i="6"/>
  <c r="O24" i="6"/>
  <c r="L24" i="6"/>
  <c r="DJ23" i="6"/>
  <c r="DI23" i="6"/>
  <c r="DG23" i="6"/>
  <c r="DH23" i="6" s="1"/>
  <c r="BV23" i="6"/>
  <c r="BU23" i="6"/>
  <c r="BM23" i="6"/>
  <c r="BI23" i="6"/>
  <c r="BG23" i="6"/>
  <c r="BK23" i="6" s="1"/>
  <c r="BA23" i="6"/>
  <c r="BN23" i="6" s="1"/>
  <c r="BQ23" i="6" s="1"/>
  <c r="AV23" i="6"/>
  <c r="AT23" i="6" s="1"/>
  <c r="AM23" i="6"/>
  <c r="AH23" i="6"/>
  <c r="Z23" i="6"/>
  <c r="Y23" i="6"/>
  <c r="X23" i="6"/>
  <c r="T23" i="6"/>
  <c r="Q23" i="6"/>
  <c r="DJ22" i="6"/>
  <c r="DI22" i="6"/>
  <c r="DG22" i="6"/>
  <c r="T22" i="6" s="1"/>
  <c r="BV22" i="6"/>
  <c r="BU22" i="6"/>
  <c r="BT22" i="6"/>
  <c r="BS22" i="6"/>
  <c r="BW22" i="6" s="1"/>
  <c r="BX22" i="6" s="1"/>
  <c r="BM22" i="6"/>
  <c r="BG22" i="6"/>
  <c r="BA22" i="6"/>
  <c r="BN22" i="6" s="1"/>
  <c r="BQ22" i="6" s="1"/>
  <c r="BR22" i="6" s="1"/>
  <c r="AV22" i="6"/>
  <c r="AT22" i="6"/>
  <c r="L22" i="6" s="1"/>
  <c r="AM22" i="6"/>
  <c r="AH22" i="6"/>
  <c r="AG22" i="6"/>
  <c r="J22" i="6" s="1"/>
  <c r="I22" i="6" s="1"/>
  <c r="AF22" i="6"/>
  <c r="K22" i="6" s="1"/>
  <c r="BJ22" i="6" s="1"/>
  <c r="Z22" i="6"/>
  <c r="Y22" i="6"/>
  <c r="X22" i="6"/>
  <c r="Q22" i="6"/>
  <c r="O22" i="6"/>
  <c r="DJ21" i="6"/>
  <c r="DI21" i="6"/>
  <c r="DG21" i="6"/>
  <c r="DH21" i="6" s="1"/>
  <c r="BV21" i="6"/>
  <c r="BU21" i="6"/>
  <c r="BM21" i="6"/>
  <c r="BI21" i="6"/>
  <c r="BG21" i="6"/>
  <c r="BK21" i="6" s="1"/>
  <c r="BA21" i="6"/>
  <c r="BN21" i="6" s="1"/>
  <c r="BQ21" i="6" s="1"/>
  <c r="AV21" i="6"/>
  <c r="AT21" i="6" s="1"/>
  <c r="AM21" i="6"/>
  <c r="AH21" i="6"/>
  <c r="Z21" i="6"/>
  <c r="Y21" i="6"/>
  <c r="X21" i="6"/>
  <c r="T21" i="6"/>
  <c r="Q21" i="6"/>
  <c r="DJ20" i="6"/>
  <c r="DI20" i="6"/>
  <c r="DG20" i="6"/>
  <c r="T20" i="6" s="1"/>
  <c r="BV20" i="6"/>
  <c r="BU20" i="6"/>
  <c r="BM20" i="6"/>
  <c r="BG20" i="6"/>
  <c r="BA20" i="6"/>
  <c r="BN20" i="6" s="1"/>
  <c r="BQ20" i="6" s="1"/>
  <c r="BR20" i="6" s="1"/>
  <c r="AV20" i="6"/>
  <c r="AT20" i="6"/>
  <c r="O20" i="6" s="1"/>
  <c r="AM20" i="6"/>
  <c r="AH20" i="6"/>
  <c r="AG20" i="6"/>
  <c r="J20" i="6" s="1"/>
  <c r="I20" i="6" s="1"/>
  <c r="AF20" i="6"/>
  <c r="K20" i="6" s="1"/>
  <c r="BJ20" i="6" s="1"/>
  <c r="Z20" i="6"/>
  <c r="Y20" i="6"/>
  <c r="X20" i="6"/>
  <c r="Q20" i="6"/>
  <c r="DJ19" i="6"/>
  <c r="DI19" i="6"/>
  <c r="DG19" i="6"/>
  <c r="DH19" i="6" s="1"/>
  <c r="BV19" i="6"/>
  <c r="BU19" i="6"/>
  <c r="BN19" i="6"/>
  <c r="BQ19" i="6" s="1"/>
  <c r="BM19" i="6"/>
  <c r="BI19" i="6"/>
  <c r="BG19" i="6"/>
  <c r="BK19" i="6" s="1"/>
  <c r="BA19" i="6"/>
  <c r="AV19" i="6"/>
  <c r="AT19" i="6" s="1"/>
  <c r="AM19" i="6"/>
  <c r="AH19" i="6"/>
  <c r="Z19" i="6"/>
  <c r="Y19" i="6"/>
  <c r="X19" i="6"/>
  <c r="T19" i="6"/>
  <c r="Q19" i="6"/>
  <c r="DJ18" i="6"/>
  <c r="DI18" i="6"/>
  <c r="DG18" i="6"/>
  <c r="T18" i="6" s="1"/>
  <c r="BV18" i="6"/>
  <c r="BU18" i="6"/>
  <c r="BM18" i="6"/>
  <c r="BG18" i="6"/>
  <c r="BA18" i="6"/>
  <c r="BN18" i="6" s="1"/>
  <c r="BQ18" i="6" s="1"/>
  <c r="BR18" i="6" s="1"/>
  <c r="AV18" i="6"/>
  <c r="AT18" i="6"/>
  <c r="L18" i="6" s="1"/>
  <c r="AM18" i="6"/>
  <c r="AH18" i="6"/>
  <c r="AG18" i="6"/>
  <c r="J18" i="6" s="1"/>
  <c r="I18" i="6" s="1"/>
  <c r="AF18" i="6"/>
  <c r="K18" i="6" s="1"/>
  <c r="BJ18" i="6" s="1"/>
  <c r="Z18" i="6"/>
  <c r="Y18" i="6"/>
  <c r="X18" i="6"/>
  <c r="Q18" i="6"/>
  <c r="DJ17" i="6"/>
  <c r="DI17" i="6"/>
  <c r="DG17" i="6"/>
  <c r="DH17" i="6" s="1"/>
  <c r="BI17" i="6" s="1"/>
  <c r="BK17" i="6" s="1"/>
  <c r="BV17" i="6"/>
  <c r="BU17" i="6"/>
  <c r="BN17" i="6"/>
  <c r="BQ17" i="6" s="1"/>
  <c r="BM17" i="6"/>
  <c r="BG17" i="6"/>
  <c r="BA17" i="6"/>
  <c r="AV17" i="6"/>
  <c r="AT17" i="6" s="1"/>
  <c r="AM17" i="6"/>
  <c r="AH17" i="6"/>
  <c r="Z17" i="6"/>
  <c r="Y17" i="6"/>
  <c r="X17" i="6"/>
  <c r="T17" i="6"/>
  <c r="Q17" i="6"/>
  <c r="DJ29" i="5"/>
  <c r="DI29" i="5"/>
  <c r="DG29" i="5"/>
  <c r="DH29" i="5" s="1"/>
  <c r="BV29" i="5"/>
  <c r="BU29" i="5"/>
  <c r="BT29" i="5"/>
  <c r="BS29" i="5"/>
  <c r="BW29" i="5" s="1"/>
  <c r="BX29" i="5" s="1"/>
  <c r="BR29" i="5"/>
  <c r="BM29" i="5"/>
  <c r="BJ29" i="5"/>
  <c r="BI29" i="5"/>
  <c r="BG29" i="5"/>
  <c r="BA29" i="5"/>
  <c r="BN29" i="5" s="1"/>
  <c r="BQ29" i="5" s="1"/>
  <c r="AV29" i="5"/>
  <c r="AT29" i="5"/>
  <c r="AU29" i="5" s="1"/>
  <c r="AM29" i="5"/>
  <c r="AH29" i="5"/>
  <c r="AG29" i="5"/>
  <c r="AF29" i="5"/>
  <c r="Z29" i="5"/>
  <c r="Y29" i="5"/>
  <c r="X29" i="5"/>
  <c r="T29" i="5"/>
  <c r="Q29" i="5"/>
  <c r="O29" i="5"/>
  <c r="L29" i="5"/>
  <c r="K29" i="5"/>
  <c r="J29" i="5"/>
  <c r="I29" i="5"/>
  <c r="DJ28" i="5"/>
  <c r="T28" i="5" s="1"/>
  <c r="DI28" i="5"/>
  <c r="DG28" i="5"/>
  <c r="DH28" i="5" s="1"/>
  <c r="BV28" i="5"/>
  <c r="BU28" i="5"/>
  <c r="BM28" i="5"/>
  <c r="BI28" i="5"/>
  <c r="BG28" i="5"/>
  <c r="BK28" i="5" s="1"/>
  <c r="BA28" i="5"/>
  <c r="BN28" i="5" s="1"/>
  <c r="BQ28" i="5" s="1"/>
  <c r="BR28" i="5" s="1"/>
  <c r="AV28" i="5"/>
  <c r="AT28" i="5" s="1"/>
  <c r="AF28" i="5" s="1"/>
  <c r="K28" i="5" s="1"/>
  <c r="BJ28" i="5" s="1"/>
  <c r="BL28" i="5" s="1"/>
  <c r="AM28" i="5"/>
  <c r="AH28" i="5"/>
  <c r="Z28" i="5"/>
  <c r="Y28" i="5"/>
  <c r="X28" i="5"/>
  <c r="Q28" i="5"/>
  <c r="DJ27" i="5"/>
  <c r="DI27" i="5"/>
  <c r="DG27" i="5"/>
  <c r="DH27" i="5" s="1"/>
  <c r="BI27" i="5" s="1"/>
  <c r="BV27" i="5"/>
  <c r="BU27" i="5"/>
  <c r="BT27" i="5"/>
  <c r="BS27" i="5"/>
  <c r="BW27" i="5" s="1"/>
  <c r="BX27" i="5" s="1"/>
  <c r="BR27" i="5"/>
  <c r="BM27" i="5"/>
  <c r="BG27" i="5"/>
  <c r="BA27" i="5"/>
  <c r="BN27" i="5" s="1"/>
  <c r="BQ27" i="5" s="1"/>
  <c r="AV27" i="5"/>
  <c r="AT27" i="5"/>
  <c r="AU27" i="5" s="1"/>
  <c r="AM27" i="5"/>
  <c r="AH27" i="5"/>
  <c r="AG27" i="5"/>
  <c r="AF27" i="5"/>
  <c r="K27" i="5" s="1"/>
  <c r="BJ27" i="5" s="1"/>
  <c r="AB27" i="5"/>
  <c r="Z27" i="5"/>
  <c r="Y27" i="5"/>
  <c r="X27" i="5"/>
  <c r="T27" i="5"/>
  <c r="U27" i="5" s="1"/>
  <c r="V27" i="5" s="1"/>
  <c r="Q27" i="5"/>
  <c r="O27" i="5"/>
  <c r="L27" i="5"/>
  <c r="J27" i="5"/>
  <c r="I27" i="5"/>
  <c r="DJ26" i="5"/>
  <c r="DI26" i="5"/>
  <c r="DG26" i="5"/>
  <c r="DH26" i="5" s="1"/>
  <c r="BI26" i="5" s="1"/>
  <c r="BV26" i="5"/>
  <c r="BU26" i="5"/>
  <c r="BT26" i="5"/>
  <c r="BS26" i="5"/>
  <c r="BW26" i="5" s="1"/>
  <c r="BX26" i="5" s="1"/>
  <c r="BM26" i="5"/>
  <c r="BG26" i="5"/>
  <c r="BA26" i="5"/>
  <c r="BN26" i="5" s="1"/>
  <c r="BQ26" i="5" s="1"/>
  <c r="BR26" i="5" s="1"/>
  <c r="AV26" i="5"/>
  <c r="AT26" i="5" s="1"/>
  <c r="AF26" i="5" s="1"/>
  <c r="K26" i="5" s="1"/>
  <c r="BJ26" i="5" s="1"/>
  <c r="AM26" i="5"/>
  <c r="AH26" i="5"/>
  <c r="Z26" i="5"/>
  <c r="Y26" i="5"/>
  <c r="X26" i="5"/>
  <c r="T26" i="5"/>
  <c r="Q26" i="5"/>
  <c r="DJ25" i="5"/>
  <c r="DI25" i="5"/>
  <c r="DG25" i="5"/>
  <c r="DH25" i="5" s="1"/>
  <c r="BV25" i="5"/>
  <c r="BU25" i="5"/>
  <c r="BM25" i="5"/>
  <c r="BI25" i="5"/>
  <c r="BG25" i="5"/>
  <c r="BK25" i="5" s="1"/>
  <c r="BA25" i="5"/>
  <c r="BN25" i="5" s="1"/>
  <c r="BQ25" i="5" s="1"/>
  <c r="BT25" i="5" s="1"/>
  <c r="AV25" i="5"/>
  <c r="AT25" i="5"/>
  <c r="AU25" i="5" s="1"/>
  <c r="AM25" i="5"/>
  <c r="AH25" i="5"/>
  <c r="AG25" i="5"/>
  <c r="AF25" i="5"/>
  <c r="Z25" i="5"/>
  <c r="Y25" i="5"/>
  <c r="X25" i="5"/>
  <c r="T25" i="5"/>
  <c r="Q25" i="5"/>
  <c r="O25" i="5"/>
  <c r="L25" i="5"/>
  <c r="K25" i="5"/>
  <c r="BJ25" i="5" s="1"/>
  <c r="BL25" i="5" s="1"/>
  <c r="J25" i="5"/>
  <c r="I25" i="5" s="1"/>
  <c r="DJ24" i="5"/>
  <c r="DI24" i="5"/>
  <c r="DG24" i="5"/>
  <c r="DH24" i="5" s="1"/>
  <c r="BI24" i="5" s="1"/>
  <c r="BV24" i="5"/>
  <c r="BU24" i="5"/>
  <c r="BM24" i="5"/>
  <c r="BG24" i="5"/>
  <c r="BA24" i="5"/>
  <c r="BN24" i="5" s="1"/>
  <c r="BQ24" i="5" s="1"/>
  <c r="BR24" i="5" s="1"/>
  <c r="AV24" i="5"/>
  <c r="AT24" i="5" s="1"/>
  <c r="AM24" i="5"/>
  <c r="AH24" i="5"/>
  <c r="AF24" i="5"/>
  <c r="K24" i="5" s="1"/>
  <c r="BJ24" i="5" s="1"/>
  <c r="Z24" i="5"/>
  <c r="Y24" i="5"/>
  <c r="X24" i="5"/>
  <c r="T24" i="5"/>
  <c r="Q24" i="5"/>
  <c r="DJ23" i="5"/>
  <c r="DI23" i="5"/>
  <c r="DG23" i="5"/>
  <c r="DH23" i="5" s="1"/>
  <c r="BI23" i="5" s="1"/>
  <c r="BV23" i="5"/>
  <c r="BU23" i="5"/>
  <c r="BT23" i="5"/>
  <c r="BS23" i="5"/>
  <c r="BW23" i="5" s="1"/>
  <c r="BX23" i="5" s="1"/>
  <c r="BM23" i="5"/>
  <c r="BJ23" i="5"/>
  <c r="BG23" i="5"/>
  <c r="BA23" i="5"/>
  <c r="BN23" i="5" s="1"/>
  <c r="BQ23" i="5" s="1"/>
  <c r="BR23" i="5" s="1"/>
  <c r="AV23" i="5"/>
  <c r="AT23" i="5"/>
  <c r="AU23" i="5" s="1"/>
  <c r="AM23" i="5"/>
  <c r="AH23" i="5"/>
  <c r="AG23" i="5"/>
  <c r="AF23" i="5"/>
  <c r="AB23" i="5"/>
  <c r="Z23" i="5"/>
  <c r="Y23" i="5"/>
  <c r="X23" i="5"/>
  <c r="T23" i="5"/>
  <c r="U23" i="5" s="1"/>
  <c r="V23" i="5" s="1"/>
  <c r="Q23" i="5"/>
  <c r="O23" i="5"/>
  <c r="L23" i="5"/>
  <c r="K23" i="5"/>
  <c r="J23" i="5"/>
  <c r="I23" i="5"/>
  <c r="DJ22" i="5"/>
  <c r="DI22" i="5"/>
  <c r="DG22" i="5"/>
  <c r="DH22" i="5" s="1"/>
  <c r="BI22" i="5" s="1"/>
  <c r="BV22" i="5"/>
  <c r="BU22" i="5"/>
  <c r="BT22" i="5"/>
  <c r="BS22" i="5"/>
  <c r="BW22" i="5" s="1"/>
  <c r="BX22" i="5" s="1"/>
  <c r="BM22" i="5"/>
  <c r="BG22" i="5"/>
  <c r="BA22" i="5"/>
  <c r="BN22" i="5" s="1"/>
  <c r="BQ22" i="5" s="1"/>
  <c r="BR22" i="5" s="1"/>
  <c r="AV22" i="5"/>
  <c r="AT22" i="5" s="1"/>
  <c r="AG22" i="5" s="1"/>
  <c r="J22" i="5" s="1"/>
  <c r="I22" i="5" s="1"/>
  <c r="AM22" i="5"/>
  <c r="AH22" i="5"/>
  <c r="Z22" i="5"/>
  <c r="Y22" i="5"/>
  <c r="X22" i="5"/>
  <c r="T22" i="5"/>
  <c r="Q22" i="5"/>
  <c r="DJ21" i="5"/>
  <c r="DI21" i="5"/>
  <c r="DG21" i="5"/>
  <c r="DH21" i="5" s="1"/>
  <c r="BV21" i="5"/>
  <c r="BU21" i="5"/>
  <c r="BM21" i="5"/>
  <c r="BI21" i="5"/>
  <c r="BG21" i="5"/>
  <c r="BK21" i="5" s="1"/>
  <c r="BA21" i="5"/>
  <c r="BN21" i="5" s="1"/>
  <c r="BQ21" i="5" s="1"/>
  <c r="BT21" i="5" s="1"/>
  <c r="AV21" i="5"/>
  <c r="AT21" i="5"/>
  <c r="AU21" i="5" s="1"/>
  <c r="AM21" i="5"/>
  <c r="AH21" i="5"/>
  <c r="AG21" i="5"/>
  <c r="AF21" i="5"/>
  <c r="K21" i="5" s="1"/>
  <c r="BJ21" i="5" s="1"/>
  <c r="BL21" i="5" s="1"/>
  <c r="Z21" i="5"/>
  <c r="Y21" i="5"/>
  <c r="X21" i="5"/>
  <c r="T21" i="5"/>
  <c r="Q21" i="5"/>
  <c r="O21" i="5"/>
  <c r="L21" i="5"/>
  <c r="J21" i="5"/>
  <c r="I21" i="5"/>
  <c r="DJ20" i="5"/>
  <c r="T20" i="5" s="1"/>
  <c r="DI20" i="5"/>
  <c r="DG20" i="5"/>
  <c r="DH20" i="5" s="1"/>
  <c r="BV20" i="5"/>
  <c r="BU20" i="5"/>
  <c r="BM20" i="5"/>
  <c r="BI20" i="5"/>
  <c r="BG20" i="5"/>
  <c r="BK20" i="5" s="1"/>
  <c r="BA20" i="5"/>
  <c r="BN20" i="5" s="1"/>
  <c r="BQ20" i="5" s="1"/>
  <c r="BR20" i="5" s="1"/>
  <c r="AV20" i="5"/>
  <c r="AT20" i="5" s="1"/>
  <c r="AG20" i="5" s="1"/>
  <c r="J20" i="5" s="1"/>
  <c r="I20" i="5" s="1"/>
  <c r="AM20" i="5"/>
  <c r="AH20" i="5"/>
  <c r="Z20" i="5"/>
  <c r="Y20" i="5"/>
  <c r="X20" i="5"/>
  <c r="Q20" i="5"/>
  <c r="DJ19" i="5"/>
  <c r="DI19" i="5"/>
  <c r="DG19" i="5"/>
  <c r="DH19" i="5" s="1"/>
  <c r="BI19" i="5" s="1"/>
  <c r="BK19" i="5" s="1"/>
  <c r="BV19" i="5"/>
  <c r="BU19" i="5"/>
  <c r="BT19" i="5"/>
  <c r="BS19" i="5"/>
  <c r="BW19" i="5" s="1"/>
  <c r="BX19" i="5" s="1"/>
  <c r="BM19" i="5"/>
  <c r="BG19" i="5"/>
  <c r="BA19" i="5"/>
  <c r="BN19" i="5" s="1"/>
  <c r="BQ19" i="5" s="1"/>
  <c r="BR19" i="5" s="1"/>
  <c r="AV19" i="5"/>
  <c r="AT19" i="5"/>
  <c r="AU19" i="5" s="1"/>
  <c r="AM19" i="5"/>
  <c r="AH19" i="5"/>
  <c r="AG19" i="5"/>
  <c r="AF19" i="5"/>
  <c r="K19" i="5" s="1"/>
  <c r="BJ19" i="5" s="1"/>
  <c r="Z19" i="5"/>
  <c r="Y19" i="5"/>
  <c r="X19" i="5"/>
  <c r="T19" i="5"/>
  <c r="Q19" i="5"/>
  <c r="O19" i="5"/>
  <c r="L19" i="5"/>
  <c r="J19" i="5"/>
  <c r="I19" i="5"/>
  <c r="DJ18" i="5"/>
  <c r="T18" i="5" s="1"/>
  <c r="DI18" i="5"/>
  <c r="DG18" i="5"/>
  <c r="DH18" i="5" s="1"/>
  <c r="BI18" i="5" s="1"/>
  <c r="BV18" i="5"/>
  <c r="BU18" i="5"/>
  <c r="BT18" i="5"/>
  <c r="BS18" i="5"/>
  <c r="BW18" i="5" s="1"/>
  <c r="BX18" i="5" s="1"/>
  <c r="BM18" i="5"/>
  <c r="BG18" i="5"/>
  <c r="BA18" i="5"/>
  <c r="BN18" i="5" s="1"/>
  <c r="BQ18" i="5" s="1"/>
  <c r="BR18" i="5" s="1"/>
  <c r="AV18" i="5"/>
  <c r="AT18" i="5" s="1"/>
  <c r="AM18" i="5"/>
  <c r="AH18" i="5"/>
  <c r="AG18" i="5"/>
  <c r="J18" i="5" s="1"/>
  <c r="I18" i="5" s="1"/>
  <c r="AF18" i="5"/>
  <c r="K18" i="5" s="1"/>
  <c r="BJ18" i="5" s="1"/>
  <c r="BL18" i="5" s="1"/>
  <c r="Z18" i="5"/>
  <c r="Y18" i="5"/>
  <c r="X18" i="5"/>
  <c r="Q18" i="5"/>
  <c r="L18" i="5"/>
  <c r="DJ17" i="5"/>
  <c r="DI17" i="5"/>
  <c r="DG17" i="5"/>
  <c r="DH17" i="5" s="1"/>
  <c r="BI17" i="5" s="1"/>
  <c r="BV17" i="5"/>
  <c r="BU17" i="5"/>
  <c r="BT17" i="5"/>
  <c r="BS17" i="5"/>
  <c r="BW17" i="5" s="1"/>
  <c r="BX17" i="5" s="1"/>
  <c r="BR17" i="5"/>
  <c r="BM17" i="5"/>
  <c r="BJ17" i="5"/>
  <c r="BG17" i="5"/>
  <c r="BK17" i="5" s="1"/>
  <c r="BA17" i="5"/>
  <c r="BN17" i="5" s="1"/>
  <c r="BQ17" i="5" s="1"/>
  <c r="AV17" i="5"/>
  <c r="AT17" i="5"/>
  <c r="AU17" i="5" s="1"/>
  <c r="AM17" i="5"/>
  <c r="AH17" i="5"/>
  <c r="AG17" i="5"/>
  <c r="AF17" i="5"/>
  <c r="Z17" i="5"/>
  <c r="Y17" i="5"/>
  <c r="X17" i="5"/>
  <c r="T17" i="5"/>
  <c r="Q17" i="5"/>
  <c r="O17" i="5"/>
  <c r="L17" i="5"/>
  <c r="K17" i="5"/>
  <c r="J17" i="5"/>
  <c r="I17" i="5" s="1"/>
  <c r="DJ29" i="4"/>
  <c r="DI29" i="4"/>
  <c r="DG29" i="4"/>
  <c r="DH29" i="4" s="1"/>
  <c r="BV29" i="4"/>
  <c r="BU29" i="4"/>
  <c r="BT29" i="4"/>
  <c r="BS29" i="4"/>
  <c r="BW29" i="4" s="1"/>
  <c r="BX29" i="4" s="1"/>
  <c r="BR29" i="4"/>
  <c r="BM29" i="4"/>
  <c r="BJ29" i="4"/>
  <c r="BI29" i="4"/>
  <c r="BG29" i="4"/>
  <c r="BA29" i="4"/>
  <c r="BN29" i="4" s="1"/>
  <c r="BQ29" i="4" s="1"/>
  <c r="AV29" i="4"/>
  <c r="AU29" i="4"/>
  <c r="AT29" i="4"/>
  <c r="AM29" i="4"/>
  <c r="AH29" i="4"/>
  <c r="AG29" i="4"/>
  <c r="AF29" i="4"/>
  <c r="Z29" i="4"/>
  <c r="Y29" i="4"/>
  <c r="X29" i="4"/>
  <c r="T29" i="4"/>
  <c r="Q29" i="4"/>
  <c r="O29" i="4"/>
  <c r="L29" i="4"/>
  <c r="K29" i="4"/>
  <c r="J29" i="4"/>
  <c r="I29" i="4"/>
  <c r="DJ28" i="4"/>
  <c r="DI28" i="4"/>
  <c r="DG28" i="4"/>
  <c r="DH28" i="4" s="1"/>
  <c r="BI28" i="4" s="1"/>
  <c r="BV28" i="4"/>
  <c r="BU28" i="4"/>
  <c r="BM28" i="4"/>
  <c r="BG28" i="4"/>
  <c r="BA28" i="4"/>
  <c r="BN28" i="4" s="1"/>
  <c r="BQ28" i="4" s="1"/>
  <c r="BR28" i="4" s="1"/>
  <c r="AV28" i="4"/>
  <c r="AT28" i="4" s="1"/>
  <c r="AF28" i="4" s="1"/>
  <c r="K28" i="4" s="1"/>
  <c r="BJ28" i="4" s="1"/>
  <c r="BL28" i="4" s="1"/>
  <c r="AM28" i="4"/>
  <c r="AH28" i="4"/>
  <c r="Z28" i="4"/>
  <c r="Y28" i="4"/>
  <c r="X28" i="4"/>
  <c r="T28" i="4"/>
  <c r="Q28" i="4"/>
  <c r="DJ27" i="4"/>
  <c r="DI27" i="4"/>
  <c r="DG27" i="4"/>
  <c r="DH27" i="4" s="1"/>
  <c r="BI27" i="4" s="1"/>
  <c r="BV27" i="4"/>
  <c r="BU27" i="4"/>
  <c r="BM27" i="4"/>
  <c r="BJ27" i="4"/>
  <c r="BG27" i="4"/>
  <c r="BA27" i="4"/>
  <c r="BN27" i="4" s="1"/>
  <c r="BQ27" i="4" s="1"/>
  <c r="BT27" i="4" s="1"/>
  <c r="AV27" i="4"/>
  <c r="AU27" i="4"/>
  <c r="AT27" i="4"/>
  <c r="AM27" i="4"/>
  <c r="AH27" i="4"/>
  <c r="AG27" i="4"/>
  <c r="AF27" i="4"/>
  <c r="AB27" i="4"/>
  <c r="Z27" i="4"/>
  <c r="Y27" i="4"/>
  <c r="X27" i="4"/>
  <c r="T27" i="4"/>
  <c r="Q27" i="4"/>
  <c r="O27" i="4"/>
  <c r="L27" i="4"/>
  <c r="K27" i="4"/>
  <c r="J27" i="4"/>
  <c r="I27" i="4"/>
  <c r="DJ26" i="4"/>
  <c r="DI26" i="4"/>
  <c r="DG26" i="4"/>
  <c r="DH26" i="4" s="1"/>
  <c r="BI26" i="4" s="1"/>
  <c r="BV26" i="4"/>
  <c r="BU26" i="4"/>
  <c r="BT26" i="4"/>
  <c r="BS26" i="4"/>
  <c r="BW26" i="4" s="1"/>
  <c r="BX26" i="4" s="1"/>
  <c r="BM26" i="4"/>
  <c r="BG26" i="4"/>
  <c r="BA26" i="4"/>
  <c r="BN26" i="4" s="1"/>
  <c r="BQ26" i="4" s="1"/>
  <c r="BR26" i="4" s="1"/>
  <c r="AV26" i="4"/>
  <c r="AT26" i="4" s="1"/>
  <c r="AM26" i="4"/>
  <c r="AH26" i="4"/>
  <c r="AF26" i="4"/>
  <c r="K26" i="4" s="1"/>
  <c r="BJ26" i="4" s="1"/>
  <c r="Z26" i="4"/>
  <c r="Y26" i="4"/>
  <c r="X26" i="4"/>
  <c r="T26" i="4"/>
  <c r="Q26" i="4"/>
  <c r="L26" i="4"/>
  <c r="DJ25" i="4"/>
  <c r="DI25" i="4"/>
  <c r="DG25" i="4"/>
  <c r="DH25" i="4" s="1"/>
  <c r="BI25" i="4" s="1"/>
  <c r="BV25" i="4"/>
  <c r="BU25" i="4"/>
  <c r="BT25" i="4"/>
  <c r="BM25" i="4"/>
  <c r="BG25" i="4"/>
  <c r="BA25" i="4"/>
  <c r="BN25" i="4" s="1"/>
  <c r="BQ25" i="4" s="1"/>
  <c r="BS25" i="4" s="1"/>
  <c r="BW25" i="4" s="1"/>
  <c r="BX25" i="4" s="1"/>
  <c r="AV25" i="4"/>
  <c r="AU25" i="4"/>
  <c r="AT25" i="4"/>
  <c r="AM25" i="4"/>
  <c r="AH25" i="4"/>
  <c r="AG25" i="4"/>
  <c r="AF25" i="4"/>
  <c r="Z25" i="4"/>
  <c r="Y25" i="4"/>
  <c r="X25" i="4"/>
  <c r="T25" i="4"/>
  <c r="U25" i="4" s="1"/>
  <c r="V25" i="4" s="1"/>
  <c r="Q25" i="4"/>
  <c r="O25" i="4"/>
  <c r="L25" i="4"/>
  <c r="K25" i="4"/>
  <c r="BJ25" i="4" s="1"/>
  <c r="BL25" i="4" s="1"/>
  <c r="J25" i="4"/>
  <c r="I25" i="4"/>
  <c r="AB25" i="4" s="1"/>
  <c r="DJ24" i="4"/>
  <c r="DI24" i="4"/>
  <c r="DG24" i="4"/>
  <c r="DH24" i="4" s="1"/>
  <c r="BV24" i="4"/>
  <c r="BU24" i="4"/>
  <c r="BT24" i="4"/>
  <c r="BS24" i="4"/>
  <c r="BW24" i="4" s="1"/>
  <c r="BX24" i="4" s="1"/>
  <c r="BM24" i="4"/>
  <c r="BI24" i="4"/>
  <c r="BG24" i="4"/>
  <c r="BA24" i="4"/>
  <c r="BN24" i="4" s="1"/>
  <c r="BQ24" i="4" s="1"/>
  <c r="BR24" i="4" s="1"/>
  <c r="AV24" i="4"/>
  <c r="AT24" i="4" s="1"/>
  <c r="AM24" i="4"/>
  <c r="AH24" i="4"/>
  <c r="AF24" i="4"/>
  <c r="Z24" i="4"/>
  <c r="Y24" i="4"/>
  <c r="X24" i="4"/>
  <c r="T24" i="4"/>
  <c r="Q24" i="4"/>
  <c r="L24" i="4"/>
  <c r="K24" i="4"/>
  <c r="BJ24" i="4" s="1"/>
  <c r="DJ23" i="4"/>
  <c r="DI23" i="4"/>
  <c r="DG23" i="4"/>
  <c r="DH23" i="4" s="1"/>
  <c r="BI23" i="4" s="1"/>
  <c r="BK23" i="4" s="1"/>
  <c r="BV23" i="4"/>
  <c r="BU23" i="4"/>
  <c r="BT23" i="4"/>
  <c r="BS23" i="4"/>
  <c r="BW23" i="4" s="1"/>
  <c r="BX23" i="4" s="1"/>
  <c r="BR23" i="4"/>
  <c r="BM23" i="4"/>
  <c r="BG23" i="4"/>
  <c r="BA23" i="4"/>
  <c r="BN23" i="4" s="1"/>
  <c r="BQ23" i="4" s="1"/>
  <c r="AV23" i="4"/>
  <c r="AU23" i="4"/>
  <c r="AT23" i="4"/>
  <c r="AM23" i="4"/>
  <c r="AH23" i="4"/>
  <c r="AG23" i="4"/>
  <c r="AF23" i="4"/>
  <c r="Z23" i="4"/>
  <c r="Y23" i="4"/>
  <c r="X23" i="4"/>
  <c r="T23" i="4"/>
  <c r="U23" i="4" s="1"/>
  <c r="V23" i="4" s="1"/>
  <c r="Q23" i="4"/>
  <c r="O23" i="4"/>
  <c r="L23" i="4"/>
  <c r="K23" i="4"/>
  <c r="BJ23" i="4" s="1"/>
  <c r="BL23" i="4" s="1"/>
  <c r="J23" i="4"/>
  <c r="I23" i="4"/>
  <c r="DJ22" i="4"/>
  <c r="T22" i="4" s="1"/>
  <c r="DI22" i="4"/>
  <c r="DG22" i="4"/>
  <c r="DH22" i="4" s="1"/>
  <c r="BV22" i="4"/>
  <c r="BU22" i="4"/>
  <c r="BT22" i="4"/>
  <c r="BS22" i="4"/>
  <c r="BW22" i="4" s="1"/>
  <c r="BX22" i="4" s="1"/>
  <c r="BM22" i="4"/>
  <c r="BI22" i="4"/>
  <c r="BG22" i="4"/>
  <c r="BK22" i="4" s="1"/>
  <c r="BA22" i="4"/>
  <c r="BN22" i="4" s="1"/>
  <c r="BQ22" i="4" s="1"/>
  <c r="BR22" i="4" s="1"/>
  <c r="AV22" i="4"/>
  <c r="AT22" i="4" s="1"/>
  <c r="AM22" i="4"/>
  <c r="AH22" i="4"/>
  <c r="AG22" i="4"/>
  <c r="J22" i="4" s="1"/>
  <c r="I22" i="4" s="1"/>
  <c r="AF22" i="4"/>
  <c r="Z22" i="4"/>
  <c r="Y22" i="4"/>
  <c r="X22" i="4"/>
  <c r="Q22" i="4"/>
  <c r="L22" i="4"/>
  <c r="K22" i="4"/>
  <c r="BJ22" i="4" s="1"/>
  <c r="BL22" i="4" s="1"/>
  <c r="DJ21" i="4"/>
  <c r="DI21" i="4"/>
  <c r="DG21" i="4"/>
  <c r="DH21" i="4" s="1"/>
  <c r="BI21" i="4" s="1"/>
  <c r="BV21" i="4"/>
  <c r="BU21" i="4"/>
  <c r="BT21" i="4"/>
  <c r="BS21" i="4"/>
  <c r="BW21" i="4" s="1"/>
  <c r="BX21" i="4" s="1"/>
  <c r="BM21" i="4"/>
  <c r="BG21" i="4"/>
  <c r="BK21" i="4" s="1"/>
  <c r="BA21" i="4"/>
  <c r="BN21" i="4" s="1"/>
  <c r="BQ21" i="4" s="1"/>
  <c r="BR21" i="4" s="1"/>
  <c r="AV21" i="4"/>
  <c r="AU21" i="4"/>
  <c r="AT21" i="4"/>
  <c r="AM21" i="4"/>
  <c r="AH21" i="4"/>
  <c r="AG21" i="4"/>
  <c r="AF21" i="4"/>
  <c r="Z21" i="4"/>
  <c r="Y21" i="4"/>
  <c r="X21" i="4"/>
  <c r="T21" i="4"/>
  <c r="Q21" i="4"/>
  <c r="O21" i="4"/>
  <c r="L21" i="4"/>
  <c r="K21" i="4"/>
  <c r="BJ21" i="4" s="1"/>
  <c r="BL21" i="4" s="1"/>
  <c r="J21" i="4"/>
  <c r="I21" i="4" s="1"/>
  <c r="DJ20" i="4"/>
  <c r="DI20" i="4"/>
  <c r="DG20" i="4"/>
  <c r="DH20" i="4" s="1"/>
  <c r="BI20" i="4" s="1"/>
  <c r="BV20" i="4"/>
  <c r="BU20" i="4"/>
  <c r="BT20" i="4"/>
  <c r="BS20" i="4"/>
  <c r="BW20" i="4" s="1"/>
  <c r="BX20" i="4" s="1"/>
  <c r="BM20" i="4"/>
  <c r="BG20" i="4"/>
  <c r="BA20" i="4"/>
  <c r="BN20" i="4" s="1"/>
  <c r="BQ20" i="4" s="1"/>
  <c r="BR20" i="4" s="1"/>
  <c r="AV20" i="4"/>
  <c r="AT20" i="4" s="1"/>
  <c r="AM20" i="4"/>
  <c r="AH20" i="4"/>
  <c r="AG20" i="4"/>
  <c r="J20" i="4" s="1"/>
  <c r="I20" i="4" s="1"/>
  <c r="AF20" i="4"/>
  <c r="K20" i="4" s="1"/>
  <c r="BJ20" i="4" s="1"/>
  <c r="Z20" i="4"/>
  <c r="Y20" i="4"/>
  <c r="X20" i="4"/>
  <c r="T20" i="4"/>
  <c r="Q20" i="4"/>
  <c r="DJ19" i="4"/>
  <c r="DI19" i="4"/>
  <c r="DG19" i="4"/>
  <c r="DH19" i="4" s="1"/>
  <c r="BV19" i="4"/>
  <c r="BU19" i="4"/>
  <c r="BT19" i="4"/>
  <c r="BM19" i="4"/>
  <c r="BJ19" i="4"/>
  <c r="BI19" i="4"/>
  <c r="BG19" i="4"/>
  <c r="BK19" i="4" s="1"/>
  <c r="BA19" i="4"/>
  <c r="BN19" i="4" s="1"/>
  <c r="BQ19" i="4" s="1"/>
  <c r="BS19" i="4" s="1"/>
  <c r="BW19" i="4" s="1"/>
  <c r="BX19" i="4" s="1"/>
  <c r="AV19" i="4"/>
  <c r="AU19" i="4"/>
  <c r="AT19" i="4"/>
  <c r="AM19" i="4"/>
  <c r="AH19" i="4"/>
  <c r="AG19" i="4"/>
  <c r="AF19" i="4"/>
  <c r="AB19" i="4"/>
  <c r="Z19" i="4"/>
  <c r="Y19" i="4"/>
  <c r="X19" i="4"/>
  <c r="T19" i="4"/>
  <c r="Q19" i="4"/>
  <c r="O19" i="4"/>
  <c r="L19" i="4"/>
  <c r="K19" i="4"/>
  <c r="J19" i="4"/>
  <c r="I19" i="4"/>
  <c r="DJ18" i="4"/>
  <c r="DI18" i="4"/>
  <c r="DG18" i="4"/>
  <c r="DH18" i="4" s="1"/>
  <c r="BI18" i="4" s="1"/>
  <c r="BV18" i="4"/>
  <c r="BU18" i="4"/>
  <c r="BT18" i="4"/>
  <c r="BM18" i="4"/>
  <c r="BG18" i="4"/>
  <c r="BA18" i="4"/>
  <c r="BN18" i="4" s="1"/>
  <c r="BQ18" i="4" s="1"/>
  <c r="BR18" i="4" s="1"/>
  <c r="AV18" i="4"/>
  <c r="AT18" i="4" s="1"/>
  <c r="AM18" i="4"/>
  <c r="AH18" i="4"/>
  <c r="AG18" i="4"/>
  <c r="J18" i="4" s="1"/>
  <c r="I18" i="4" s="1"/>
  <c r="Z18" i="4"/>
  <c r="Y18" i="4"/>
  <c r="X18" i="4"/>
  <c r="T18" i="4"/>
  <c r="Q18" i="4"/>
  <c r="DJ17" i="4"/>
  <c r="DI17" i="4"/>
  <c r="DG17" i="4"/>
  <c r="DH17" i="4" s="1"/>
  <c r="BI17" i="4" s="1"/>
  <c r="BV17" i="4"/>
  <c r="BU17" i="4"/>
  <c r="BM17" i="4"/>
  <c r="BJ17" i="4"/>
  <c r="BG17" i="4"/>
  <c r="BA17" i="4"/>
  <c r="BN17" i="4" s="1"/>
  <c r="BQ17" i="4" s="1"/>
  <c r="BT17" i="4" s="1"/>
  <c r="AV17" i="4"/>
  <c r="AU17" i="4"/>
  <c r="AT17" i="4"/>
  <c r="AM17" i="4"/>
  <c r="AH17" i="4"/>
  <c r="AG17" i="4"/>
  <c r="AF17" i="4"/>
  <c r="Z17" i="4"/>
  <c r="Y17" i="4"/>
  <c r="X17" i="4"/>
  <c r="T17" i="4"/>
  <c r="U17" i="4" s="1"/>
  <c r="V17" i="4" s="1"/>
  <c r="Q17" i="4"/>
  <c r="O17" i="4"/>
  <c r="L17" i="4"/>
  <c r="K17" i="4"/>
  <c r="J17" i="4"/>
  <c r="I17" i="4"/>
  <c r="DJ29" i="3"/>
  <c r="DI29" i="3"/>
  <c r="DG29" i="3"/>
  <c r="DH29" i="3" s="1"/>
  <c r="BV29" i="3"/>
  <c r="BU29" i="3"/>
  <c r="BT29" i="3"/>
  <c r="BS29" i="3"/>
  <c r="BW29" i="3" s="1"/>
  <c r="BX29" i="3" s="1"/>
  <c r="BR29" i="3"/>
  <c r="BM29" i="3"/>
  <c r="BI29" i="3"/>
  <c r="BG29" i="3"/>
  <c r="BA29" i="3"/>
  <c r="BN29" i="3" s="1"/>
  <c r="BQ29" i="3" s="1"/>
  <c r="AV29" i="3"/>
  <c r="AT29" i="3"/>
  <c r="AU29" i="3" s="1"/>
  <c r="AM29" i="3"/>
  <c r="AH29" i="3"/>
  <c r="AG29" i="3"/>
  <c r="AF29" i="3"/>
  <c r="K29" i="3" s="1"/>
  <c r="BJ29" i="3" s="1"/>
  <c r="BL29" i="3" s="1"/>
  <c r="Z29" i="3"/>
  <c r="Y29" i="3"/>
  <c r="X29" i="3"/>
  <c r="T29" i="3"/>
  <c r="U29" i="3" s="1"/>
  <c r="V29" i="3" s="1"/>
  <c r="Q29" i="3"/>
  <c r="O29" i="3"/>
  <c r="L29" i="3"/>
  <c r="J29" i="3"/>
  <c r="I29" i="3"/>
  <c r="DJ28" i="3"/>
  <c r="T28" i="3" s="1"/>
  <c r="DI28" i="3"/>
  <c r="DG28" i="3"/>
  <c r="DH28" i="3" s="1"/>
  <c r="BI28" i="3" s="1"/>
  <c r="BV28" i="3"/>
  <c r="BU28" i="3"/>
  <c r="BM28" i="3"/>
  <c r="BG28" i="3"/>
  <c r="BA28" i="3"/>
  <c r="BN28" i="3" s="1"/>
  <c r="BQ28" i="3" s="1"/>
  <c r="BR28" i="3" s="1"/>
  <c r="AV28" i="3"/>
  <c r="AT28" i="3" s="1"/>
  <c r="L28" i="3" s="1"/>
  <c r="AM28" i="3"/>
  <c r="AH28" i="3"/>
  <c r="Z28" i="3"/>
  <c r="Y28" i="3"/>
  <c r="X28" i="3"/>
  <c r="Q28" i="3"/>
  <c r="DJ27" i="3"/>
  <c r="DI27" i="3"/>
  <c r="DG27" i="3"/>
  <c r="DH27" i="3" s="1"/>
  <c r="BI27" i="3" s="1"/>
  <c r="BV27" i="3"/>
  <c r="BU27" i="3"/>
  <c r="BT27" i="3"/>
  <c r="BS27" i="3"/>
  <c r="BW27" i="3" s="1"/>
  <c r="BX27" i="3" s="1"/>
  <c r="BR27" i="3"/>
  <c r="BM27" i="3"/>
  <c r="BG27" i="3"/>
  <c r="BA27" i="3"/>
  <c r="BN27" i="3" s="1"/>
  <c r="BQ27" i="3" s="1"/>
  <c r="AV27" i="3"/>
  <c r="AT27" i="3"/>
  <c r="AU27" i="3" s="1"/>
  <c r="AM27" i="3"/>
  <c r="AH27" i="3"/>
  <c r="AG27" i="3"/>
  <c r="AF27" i="3"/>
  <c r="K27" i="3" s="1"/>
  <c r="BJ27" i="3" s="1"/>
  <c r="BL27" i="3" s="1"/>
  <c r="AB27" i="3"/>
  <c r="Z27" i="3"/>
  <c r="Y27" i="3"/>
  <c r="X27" i="3"/>
  <c r="T27" i="3"/>
  <c r="Q27" i="3"/>
  <c r="O27" i="3"/>
  <c r="L27" i="3"/>
  <c r="J27" i="3"/>
  <c r="I27" i="3"/>
  <c r="DJ26" i="3"/>
  <c r="DI26" i="3"/>
  <c r="DG26" i="3"/>
  <c r="DH26" i="3" s="1"/>
  <c r="BI26" i="3" s="1"/>
  <c r="BV26" i="3"/>
  <c r="BU26" i="3"/>
  <c r="BT26" i="3"/>
  <c r="BS26" i="3"/>
  <c r="BW26" i="3" s="1"/>
  <c r="BX26" i="3" s="1"/>
  <c r="BM26" i="3"/>
  <c r="BG26" i="3"/>
  <c r="BA26" i="3"/>
  <c r="BN26" i="3" s="1"/>
  <c r="BQ26" i="3" s="1"/>
  <c r="BR26" i="3" s="1"/>
  <c r="AV26" i="3"/>
  <c r="AT26" i="3" s="1"/>
  <c r="AM26" i="3"/>
  <c r="AH26" i="3"/>
  <c r="AF26" i="3"/>
  <c r="K26" i="3" s="1"/>
  <c r="BJ26" i="3" s="1"/>
  <c r="BL26" i="3" s="1"/>
  <c r="Z26" i="3"/>
  <c r="Y26" i="3"/>
  <c r="X26" i="3"/>
  <c r="T26" i="3"/>
  <c r="Q26" i="3"/>
  <c r="DJ25" i="3"/>
  <c r="DI25" i="3"/>
  <c r="DG25" i="3"/>
  <c r="DH25" i="3" s="1"/>
  <c r="BI25" i="3" s="1"/>
  <c r="BV25" i="3"/>
  <c r="BU25" i="3"/>
  <c r="BM25" i="3"/>
  <c r="BG25" i="3"/>
  <c r="BA25" i="3"/>
  <c r="BN25" i="3" s="1"/>
  <c r="BQ25" i="3" s="1"/>
  <c r="BT25" i="3" s="1"/>
  <c r="AV25" i="3"/>
  <c r="AT25" i="3"/>
  <c r="AU25" i="3" s="1"/>
  <c r="AM25" i="3"/>
  <c r="AH25" i="3"/>
  <c r="AG25" i="3"/>
  <c r="AF25" i="3"/>
  <c r="Z25" i="3"/>
  <c r="Y25" i="3"/>
  <c r="X25" i="3"/>
  <c r="T25" i="3"/>
  <c r="Q25" i="3"/>
  <c r="O25" i="3"/>
  <c r="L25" i="3"/>
  <c r="K25" i="3"/>
  <c r="BJ25" i="3" s="1"/>
  <c r="J25" i="3"/>
  <c r="I25" i="3" s="1"/>
  <c r="DJ24" i="3"/>
  <c r="DI24" i="3"/>
  <c r="DG24" i="3"/>
  <c r="DH24" i="3" s="1"/>
  <c r="BI24" i="3" s="1"/>
  <c r="BV24" i="3"/>
  <c r="BU24" i="3"/>
  <c r="BT24" i="3"/>
  <c r="BS24" i="3"/>
  <c r="BW24" i="3" s="1"/>
  <c r="BX24" i="3" s="1"/>
  <c r="BM24" i="3"/>
  <c r="BG24" i="3"/>
  <c r="BA24" i="3"/>
  <c r="BN24" i="3" s="1"/>
  <c r="BQ24" i="3" s="1"/>
  <c r="BR24" i="3" s="1"/>
  <c r="AV24" i="3"/>
  <c r="AT24" i="3" s="1"/>
  <c r="AM24" i="3"/>
  <c r="AH24" i="3"/>
  <c r="AF24" i="3"/>
  <c r="K24" i="3" s="1"/>
  <c r="BJ24" i="3" s="1"/>
  <c r="BL24" i="3" s="1"/>
  <c r="Z24" i="3"/>
  <c r="Y24" i="3"/>
  <c r="X24" i="3"/>
  <c r="T24" i="3"/>
  <c r="Q24" i="3"/>
  <c r="DJ23" i="3"/>
  <c r="DI23" i="3"/>
  <c r="DG23" i="3"/>
  <c r="DH23" i="3" s="1"/>
  <c r="BI23" i="3" s="1"/>
  <c r="BV23" i="3"/>
  <c r="BU23" i="3"/>
  <c r="BT23" i="3"/>
  <c r="BS23" i="3"/>
  <c r="BW23" i="3" s="1"/>
  <c r="BX23" i="3" s="1"/>
  <c r="BM23" i="3"/>
  <c r="BG23" i="3"/>
  <c r="BK23" i="3" s="1"/>
  <c r="BA23" i="3"/>
  <c r="BN23" i="3" s="1"/>
  <c r="BQ23" i="3" s="1"/>
  <c r="BR23" i="3" s="1"/>
  <c r="AV23" i="3"/>
  <c r="AT23" i="3"/>
  <c r="AU23" i="3" s="1"/>
  <c r="AM23" i="3"/>
  <c r="AH23" i="3"/>
  <c r="AG23" i="3"/>
  <c r="AF23" i="3"/>
  <c r="AB23" i="3"/>
  <c r="Z23" i="3"/>
  <c r="Y23" i="3"/>
  <c r="X23" i="3"/>
  <c r="T23" i="3"/>
  <c r="Q23" i="3"/>
  <c r="O23" i="3"/>
  <c r="L23" i="3"/>
  <c r="K23" i="3"/>
  <c r="BJ23" i="3" s="1"/>
  <c r="BL23" i="3" s="1"/>
  <c r="J23" i="3"/>
  <c r="I23" i="3"/>
  <c r="DJ22" i="3"/>
  <c r="DI22" i="3"/>
  <c r="DG22" i="3"/>
  <c r="DH22" i="3" s="1"/>
  <c r="BI22" i="3" s="1"/>
  <c r="BV22" i="3"/>
  <c r="BU22" i="3"/>
  <c r="BT22" i="3"/>
  <c r="BS22" i="3"/>
  <c r="BW22" i="3" s="1"/>
  <c r="BX22" i="3" s="1"/>
  <c r="BM22" i="3"/>
  <c r="BG22" i="3"/>
  <c r="BA22" i="3"/>
  <c r="BN22" i="3" s="1"/>
  <c r="BQ22" i="3" s="1"/>
  <c r="BR22" i="3" s="1"/>
  <c r="AV22" i="3"/>
  <c r="AT22" i="3" s="1"/>
  <c r="AM22" i="3"/>
  <c r="AH22" i="3"/>
  <c r="AG22" i="3"/>
  <c r="J22" i="3" s="1"/>
  <c r="I22" i="3" s="1"/>
  <c r="AF22" i="3"/>
  <c r="K22" i="3" s="1"/>
  <c r="BJ22" i="3" s="1"/>
  <c r="Z22" i="3"/>
  <c r="Y22" i="3"/>
  <c r="X22" i="3"/>
  <c r="T22" i="3"/>
  <c r="Q22" i="3"/>
  <c r="DJ21" i="3"/>
  <c r="DI21" i="3"/>
  <c r="DG21" i="3"/>
  <c r="DH21" i="3" s="1"/>
  <c r="BI21" i="3" s="1"/>
  <c r="BV21" i="3"/>
  <c r="BU21" i="3"/>
  <c r="BM21" i="3"/>
  <c r="BG21" i="3"/>
  <c r="BA21" i="3"/>
  <c r="BN21" i="3" s="1"/>
  <c r="BQ21" i="3" s="1"/>
  <c r="BS21" i="3" s="1"/>
  <c r="BW21" i="3" s="1"/>
  <c r="BX21" i="3" s="1"/>
  <c r="AV21" i="3"/>
  <c r="AT21" i="3"/>
  <c r="AU21" i="3" s="1"/>
  <c r="AM21" i="3"/>
  <c r="AH21" i="3"/>
  <c r="AG21" i="3"/>
  <c r="AF21" i="3"/>
  <c r="K21" i="3" s="1"/>
  <c r="BJ21" i="3" s="1"/>
  <c r="Z21" i="3"/>
  <c r="Y21" i="3"/>
  <c r="X21" i="3"/>
  <c r="T21" i="3"/>
  <c r="U21" i="3" s="1"/>
  <c r="V21" i="3" s="1"/>
  <c r="Q21" i="3"/>
  <c r="O21" i="3"/>
  <c r="L21" i="3"/>
  <c r="J21" i="3"/>
  <c r="I21" i="3"/>
  <c r="DJ20" i="3"/>
  <c r="T20" i="3" s="1"/>
  <c r="DI20" i="3"/>
  <c r="DG20" i="3"/>
  <c r="DH20" i="3" s="1"/>
  <c r="BI20" i="3" s="1"/>
  <c r="BV20" i="3"/>
  <c r="BU20" i="3"/>
  <c r="BM20" i="3"/>
  <c r="BG20" i="3"/>
  <c r="BA20" i="3"/>
  <c r="BN20" i="3" s="1"/>
  <c r="BQ20" i="3" s="1"/>
  <c r="BR20" i="3" s="1"/>
  <c r="AV20" i="3"/>
  <c r="AT20" i="3" s="1"/>
  <c r="AG20" i="3" s="1"/>
  <c r="J20" i="3" s="1"/>
  <c r="I20" i="3" s="1"/>
  <c r="AM20" i="3"/>
  <c r="AH20" i="3"/>
  <c r="Z20" i="3"/>
  <c r="Y20" i="3"/>
  <c r="X20" i="3"/>
  <c r="Q20" i="3"/>
  <c r="DJ19" i="3"/>
  <c r="DI19" i="3"/>
  <c r="DG19" i="3"/>
  <c r="DH19" i="3" s="1"/>
  <c r="BI19" i="3" s="1"/>
  <c r="BK19" i="3" s="1"/>
  <c r="BV19" i="3"/>
  <c r="BU19" i="3"/>
  <c r="BT19" i="3"/>
  <c r="BS19" i="3"/>
  <c r="BW19" i="3" s="1"/>
  <c r="BX19" i="3" s="1"/>
  <c r="BR19" i="3"/>
  <c r="BM19" i="3"/>
  <c r="BG19" i="3"/>
  <c r="BA19" i="3"/>
  <c r="BN19" i="3" s="1"/>
  <c r="BQ19" i="3" s="1"/>
  <c r="AV19" i="3"/>
  <c r="AT19" i="3"/>
  <c r="AU19" i="3" s="1"/>
  <c r="AM19" i="3"/>
  <c r="AH19" i="3"/>
  <c r="AG19" i="3"/>
  <c r="AF19" i="3"/>
  <c r="K19" i="3" s="1"/>
  <c r="BJ19" i="3" s="1"/>
  <c r="Z19" i="3"/>
  <c r="Y19" i="3"/>
  <c r="X19" i="3"/>
  <c r="U19" i="3"/>
  <c r="V19" i="3" s="1"/>
  <c r="T19" i="3"/>
  <c r="Q19" i="3"/>
  <c r="O19" i="3"/>
  <c r="L19" i="3"/>
  <c r="J19" i="3"/>
  <c r="I19" i="3"/>
  <c r="AB19" i="3" s="1"/>
  <c r="DJ18" i="3"/>
  <c r="T18" i="3" s="1"/>
  <c r="DI18" i="3"/>
  <c r="DG18" i="3"/>
  <c r="DH18" i="3" s="1"/>
  <c r="BI18" i="3" s="1"/>
  <c r="BV18" i="3"/>
  <c r="BU18" i="3"/>
  <c r="BT18" i="3"/>
  <c r="BS18" i="3"/>
  <c r="BW18" i="3" s="1"/>
  <c r="BX18" i="3" s="1"/>
  <c r="BM18" i="3"/>
  <c r="BG18" i="3"/>
  <c r="BA18" i="3"/>
  <c r="BN18" i="3" s="1"/>
  <c r="BQ18" i="3" s="1"/>
  <c r="BR18" i="3" s="1"/>
  <c r="AV18" i="3"/>
  <c r="AT18" i="3" s="1"/>
  <c r="AM18" i="3"/>
  <c r="AH18" i="3"/>
  <c r="AG18" i="3"/>
  <c r="J18" i="3" s="1"/>
  <c r="I18" i="3" s="1"/>
  <c r="AF18" i="3"/>
  <c r="K18" i="3" s="1"/>
  <c r="BJ18" i="3" s="1"/>
  <c r="BL18" i="3" s="1"/>
  <c r="Z18" i="3"/>
  <c r="Y18" i="3"/>
  <c r="X18" i="3"/>
  <c r="Q18" i="3"/>
  <c r="L18" i="3"/>
  <c r="DJ17" i="3"/>
  <c r="DI17" i="3"/>
  <c r="DG17" i="3"/>
  <c r="DH17" i="3" s="1"/>
  <c r="BI17" i="3" s="1"/>
  <c r="BV17" i="3"/>
  <c r="BU17" i="3"/>
  <c r="BT17" i="3"/>
  <c r="BS17" i="3"/>
  <c r="BW17" i="3" s="1"/>
  <c r="BX17" i="3" s="1"/>
  <c r="BR17" i="3"/>
  <c r="BM17" i="3"/>
  <c r="BG17" i="3"/>
  <c r="BA17" i="3"/>
  <c r="BN17" i="3" s="1"/>
  <c r="BQ17" i="3" s="1"/>
  <c r="AV17" i="3"/>
  <c r="AT17" i="3"/>
  <c r="AU17" i="3" s="1"/>
  <c r="AM17" i="3"/>
  <c r="AH17" i="3"/>
  <c r="AG17" i="3"/>
  <c r="AF17" i="3"/>
  <c r="AB17" i="3"/>
  <c r="Z17" i="3"/>
  <c r="Y17" i="3"/>
  <c r="X17" i="3"/>
  <c r="T17" i="3"/>
  <c r="U17" i="3" s="1"/>
  <c r="V17" i="3" s="1"/>
  <c r="Q17" i="3"/>
  <c r="O17" i="3"/>
  <c r="L17" i="3"/>
  <c r="K17" i="3"/>
  <c r="BJ17" i="3" s="1"/>
  <c r="BL17" i="3" s="1"/>
  <c r="J17" i="3"/>
  <c r="I17" i="3"/>
  <c r="DJ29" i="2"/>
  <c r="DI29" i="2"/>
  <c r="DG29" i="2"/>
  <c r="DH29" i="2" s="1"/>
  <c r="BV29" i="2"/>
  <c r="BU29" i="2"/>
  <c r="BM29" i="2"/>
  <c r="BI29" i="2"/>
  <c r="BG29" i="2"/>
  <c r="BK29" i="2" s="1"/>
  <c r="BA29" i="2"/>
  <c r="BN29" i="2" s="1"/>
  <c r="BQ29" i="2" s="1"/>
  <c r="BR29" i="2" s="1"/>
  <c r="AV29" i="2"/>
  <c r="AT29" i="2"/>
  <c r="AU29" i="2" s="1"/>
  <c r="AM29" i="2"/>
  <c r="AH29" i="2"/>
  <c r="AG29" i="2"/>
  <c r="AF29" i="2"/>
  <c r="K29" i="2" s="1"/>
  <c r="BJ29" i="2" s="1"/>
  <c r="BL29" i="2" s="1"/>
  <c r="Z29" i="2"/>
  <c r="Y29" i="2"/>
  <c r="X29" i="2"/>
  <c r="T29" i="2"/>
  <c r="Q29" i="2"/>
  <c r="O29" i="2"/>
  <c r="L29" i="2"/>
  <c r="J29" i="2"/>
  <c r="I29" i="2"/>
  <c r="DJ28" i="2"/>
  <c r="DI28" i="2"/>
  <c r="DG28" i="2"/>
  <c r="DH28" i="2" s="1"/>
  <c r="BI28" i="2" s="1"/>
  <c r="BV28" i="2"/>
  <c r="BU28" i="2"/>
  <c r="BM28" i="2"/>
  <c r="BG28" i="2"/>
  <c r="BA28" i="2"/>
  <c r="BN28" i="2" s="1"/>
  <c r="BQ28" i="2" s="1"/>
  <c r="BR28" i="2" s="1"/>
  <c r="AV28" i="2"/>
  <c r="AT28" i="2"/>
  <c r="AU28" i="2" s="1"/>
  <c r="AM28" i="2"/>
  <c r="AH28" i="2"/>
  <c r="AG28" i="2"/>
  <c r="J28" i="2" s="1"/>
  <c r="I28" i="2" s="1"/>
  <c r="AF28" i="2"/>
  <c r="K28" i="2" s="1"/>
  <c r="BJ28" i="2" s="1"/>
  <c r="BL28" i="2" s="1"/>
  <c r="Z28" i="2"/>
  <c r="Y28" i="2"/>
  <c r="X28" i="2"/>
  <c r="T28" i="2"/>
  <c r="Q28" i="2"/>
  <c r="O28" i="2"/>
  <c r="L28" i="2"/>
  <c r="DJ27" i="2"/>
  <c r="DI27" i="2"/>
  <c r="DG27" i="2"/>
  <c r="DH27" i="2" s="1"/>
  <c r="BI27" i="2" s="1"/>
  <c r="BV27" i="2"/>
  <c r="BU27" i="2"/>
  <c r="BM27" i="2"/>
  <c r="BG27" i="2"/>
  <c r="BK27" i="2" s="1"/>
  <c r="BA27" i="2"/>
  <c r="BN27" i="2" s="1"/>
  <c r="BQ27" i="2" s="1"/>
  <c r="BR27" i="2" s="1"/>
  <c r="AV27" i="2"/>
  <c r="AT27" i="2"/>
  <c r="AU27" i="2" s="1"/>
  <c r="AM27" i="2"/>
  <c r="AH27" i="2"/>
  <c r="AG27" i="2"/>
  <c r="AF27" i="2"/>
  <c r="K27" i="2" s="1"/>
  <c r="BJ27" i="2" s="1"/>
  <c r="Z27" i="2"/>
  <c r="Y27" i="2"/>
  <c r="X27" i="2"/>
  <c r="T27" i="2"/>
  <c r="U27" i="2" s="1"/>
  <c r="V27" i="2" s="1"/>
  <c r="Q27" i="2"/>
  <c r="O27" i="2"/>
  <c r="L27" i="2"/>
  <c r="J27" i="2"/>
  <c r="I27" i="2"/>
  <c r="DJ26" i="2"/>
  <c r="DI26" i="2"/>
  <c r="DG26" i="2"/>
  <c r="DH26" i="2" s="1"/>
  <c r="BI26" i="2" s="1"/>
  <c r="BV26" i="2"/>
  <c r="BU26" i="2"/>
  <c r="BT26" i="2"/>
  <c r="BM26" i="2"/>
  <c r="BG26" i="2"/>
  <c r="BA26" i="2"/>
  <c r="BN26" i="2" s="1"/>
  <c r="BQ26" i="2" s="1"/>
  <c r="BR26" i="2" s="1"/>
  <c r="AV26" i="2"/>
  <c r="AT26" i="2"/>
  <c r="AU26" i="2" s="1"/>
  <c r="AM26" i="2"/>
  <c r="AH26" i="2"/>
  <c r="AG26" i="2"/>
  <c r="J26" i="2" s="1"/>
  <c r="I26" i="2" s="1"/>
  <c r="AF26" i="2"/>
  <c r="K26" i="2" s="1"/>
  <c r="BJ26" i="2" s="1"/>
  <c r="BL26" i="2" s="1"/>
  <c r="Z26" i="2"/>
  <c r="Y26" i="2"/>
  <c r="X26" i="2"/>
  <c r="T26" i="2"/>
  <c r="Q26" i="2"/>
  <c r="O26" i="2"/>
  <c r="L26" i="2"/>
  <c r="DJ25" i="2"/>
  <c r="DI25" i="2"/>
  <c r="DG25" i="2"/>
  <c r="DH25" i="2" s="1"/>
  <c r="BI25" i="2" s="1"/>
  <c r="BV25" i="2"/>
  <c r="BU25" i="2"/>
  <c r="BT25" i="2"/>
  <c r="BS25" i="2"/>
  <c r="BW25" i="2" s="1"/>
  <c r="BX25" i="2" s="1"/>
  <c r="BM25" i="2"/>
  <c r="BG25" i="2"/>
  <c r="BA25" i="2"/>
  <c r="BN25" i="2" s="1"/>
  <c r="BQ25" i="2" s="1"/>
  <c r="BR25" i="2" s="1"/>
  <c r="AV25" i="2"/>
  <c r="AT25" i="2"/>
  <c r="AU25" i="2" s="1"/>
  <c r="AM25" i="2"/>
  <c r="AH25" i="2"/>
  <c r="AG25" i="2"/>
  <c r="J25" i="2" s="1"/>
  <c r="I25" i="2" s="1"/>
  <c r="AF25" i="2"/>
  <c r="K25" i="2" s="1"/>
  <c r="BJ25" i="2" s="1"/>
  <c r="Z25" i="2"/>
  <c r="Y25" i="2"/>
  <c r="X25" i="2"/>
  <c r="T25" i="2"/>
  <c r="U25" i="2" s="1"/>
  <c r="V25" i="2" s="1"/>
  <c r="Q25" i="2"/>
  <c r="O25" i="2"/>
  <c r="L25" i="2"/>
  <c r="DJ24" i="2"/>
  <c r="DI24" i="2"/>
  <c r="DG24" i="2"/>
  <c r="DH24" i="2" s="1"/>
  <c r="BI24" i="2" s="1"/>
  <c r="BV24" i="2"/>
  <c r="BU24" i="2"/>
  <c r="BT24" i="2"/>
  <c r="BS24" i="2"/>
  <c r="BW24" i="2" s="1"/>
  <c r="BX24" i="2" s="1"/>
  <c r="BM24" i="2"/>
  <c r="BG24" i="2"/>
  <c r="BK24" i="2" s="1"/>
  <c r="BA24" i="2"/>
  <c r="BN24" i="2" s="1"/>
  <c r="BQ24" i="2" s="1"/>
  <c r="BR24" i="2" s="1"/>
  <c r="AV24" i="2"/>
  <c r="AT24" i="2"/>
  <c r="AU24" i="2" s="1"/>
  <c r="AM24" i="2"/>
  <c r="AH24" i="2"/>
  <c r="AG24" i="2"/>
  <c r="J24" i="2" s="1"/>
  <c r="I24" i="2" s="1"/>
  <c r="AF24" i="2"/>
  <c r="K24" i="2" s="1"/>
  <c r="BJ24" i="2" s="1"/>
  <c r="BL24" i="2" s="1"/>
  <c r="Z24" i="2"/>
  <c r="Y24" i="2"/>
  <c r="X24" i="2"/>
  <c r="T24" i="2"/>
  <c r="Q24" i="2"/>
  <c r="O24" i="2"/>
  <c r="L24" i="2"/>
  <c r="DJ23" i="2"/>
  <c r="DI23" i="2"/>
  <c r="DG23" i="2"/>
  <c r="DH23" i="2" s="1"/>
  <c r="BI23" i="2" s="1"/>
  <c r="BL23" i="2" s="1"/>
  <c r="BV23" i="2"/>
  <c r="BU23" i="2"/>
  <c r="BT23" i="2"/>
  <c r="BS23" i="2"/>
  <c r="BW23" i="2" s="1"/>
  <c r="BX23" i="2" s="1"/>
  <c r="BM23" i="2"/>
  <c r="BG23" i="2"/>
  <c r="BA23" i="2"/>
  <c r="BN23" i="2" s="1"/>
  <c r="BQ23" i="2" s="1"/>
  <c r="BR23" i="2" s="1"/>
  <c r="AV23" i="2"/>
  <c r="AT23" i="2"/>
  <c r="AU23" i="2" s="1"/>
  <c r="AM23" i="2"/>
  <c r="AH23" i="2"/>
  <c r="AG23" i="2"/>
  <c r="J23" i="2" s="1"/>
  <c r="I23" i="2" s="1"/>
  <c r="AF23" i="2"/>
  <c r="K23" i="2" s="1"/>
  <c r="BJ23" i="2" s="1"/>
  <c r="Z23" i="2"/>
  <c r="Y23" i="2"/>
  <c r="X23" i="2"/>
  <c r="U23" i="2"/>
  <c r="V23" i="2" s="1"/>
  <c r="T23" i="2"/>
  <c r="Q23" i="2"/>
  <c r="O23" i="2"/>
  <c r="L23" i="2"/>
  <c r="DJ22" i="2"/>
  <c r="DI22" i="2"/>
  <c r="DG22" i="2"/>
  <c r="DH22" i="2" s="1"/>
  <c r="BI22" i="2" s="1"/>
  <c r="BK22" i="2" s="1"/>
  <c r="BV22" i="2"/>
  <c r="BU22" i="2"/>
  <c r="BT22" i="2"/>
  <c r="BS22" i="2"/>
  <c r="BW22" i="2" s="1"/>
  <c r="BX22" i="2" s="1"/>
  <c r="BM22" i="2"/>
  <c r="BG22" i="2"/>
  <c r="BA22" i="2"/>
  <c r="BN22" i="2" s="1"/>
  <c r="BQ22" i="2" s="1"/>
  <c r="BR22" i="2" s="1"/>
  <c r="AV22" i="2"/>
  <c r="AT22" i="2"/>
  <c r="AU22" i="2" s="1"/>
  <c r="AM22" i="2"/>
  <c r="AH22" i="2"/>
  <c r="AG22" i="2"/>
  <c r="J22" i="2" s="1"/>
  <c r="I22" i="2" s="1"/>
  <c r="AF22" i="2"/>
  <c r="K22" i="2" s="1"/>
  <c r="BJ22" i="2" s="1"/>
  <c r="Z22" i="2"/>
  <c r="Y22" i="2"/>
  <c r="X22" i="2"/>
  <c r="T22" i="2"/>
  <c r="Q22" i="2"/>
  <c r="O22" i="2"/>
  <c r="L22" i="2"/>
  <c r="DJ21" i="2"/>
  <c r="DI21" i="2"/>
  <c r="DG21" i="2"/>
  <c r="DH21" i="2" s="1"/>
  <c r="BI21" i="2" s="1"/>
  <c r="BV21" i="2"/>
  <c r="BU21" i="2"/>
  <c r="BT21" i="2"/>
  <c r="BS21" i="2"/>
  <c r="BW21" i="2" s="1"/>
  <c r="BX21" i="2" s="1"/>
  <c r="BM21" i="2"/>
  <c r="BL21" i="2"/>
  <c r="BK21" i="2"/>
  <c r="BG21" i="2"/>
  <c r="BA21" i="2"/>
  <c r="BN21" i="2" s="1"/>
  <c r="BQ21" i="2" s="1"/>
  <c r="BR21" i="2" s="1"/>
  <c r="AV21" i="2"/>
  <c r="AT21" i="2"/>
  <c r="AU21" i="2" s="1"/>
  <c r="AM21" i="2"/>
  <c r="AH21" i="2"/>
  <c r="AG21" i="2"/>
  <c r="J21" i="2" s="1"/>
  <c r="I21" i="2" s="1"/>
  <c r="AF21" i="2"/>
  <c r="K21" i="2" s="1"/>
  <c r="BJ21" i="2" s="1"/>
  <c r="Z21" i="2"/>
  <c r="Y21" i="2"/>
  <c r="X21" i="2"/>
  <c r="T21" i="2"/>
  <c r="Q21" i="2"/>
  <c r="O21" i="2"/>
  <c r="L21" i="2"/>
  <c r="DJ20" i="2"/>
  <c r="DI20" i="2"/>
  <c r="DG20" i="2"/>
  <c r="DH20" i="2" s="1"/>
  <c r="BI20" i="2" s="1"/>
  <c r="BK20" i="2" s="1"/>
  <c r="BV20" i="2"/>
  <c r="BU20" i="2"/>
  <c r="BT20" i="2"/>
  <c r="BS20" i="2"/>
  <c r="BW20" i="2" s="1"/>
  <c r="BX20" i="2" s="1"/>
  <c r="BM20" i="2"/>
  <c r="BJ20" i="2"/>
  <c r="BG20" i="2"/>
  <c r="BA20" i="2"/>
  <c r="BN20" i="2" s="1"/>
  <c r="BQ20" i="2" s="1"/>
  <c r="BR20" i="2" s="1"/>
  <c r="AV20" i="2"/>
  <c r="AT20" i="2"/>
  <c r="AU20" i="2" s="1"/>
  <c r="AM20" i="2"/>
  <c r="AH20" i="2"/>
  <c r="AG20" i="2"/>
  <c r="J20" i="2" s="1"/>
  <c r="I20" i="2" s="1"/>
  <c r="AF20" i="2"/>
  <c r="K20" i="2" s="1"/>
  <c r="Z20" i="2"/>
  <c r="Y20" i="2"/>
  <c r="X20" i="2"/>
  <c r="T20" i="2"/>
  <c r="Q20" i="2"/>
  <c r="O20" i="2"/>
  <c r="L20" i="2"/>
  <c r="DJ19" i="2"/>
  <c r="DI19" i="2"/>
  <c r="DG19" i="2"/>
  <c r="DH19" i="2" s="1"/>
  <c r="BI19" i="2" s="1"/>
  <c r="BK19" i="2" s="1"/>
  <c r="BV19" i="2"/>
  <c r="BU19" i="2"/>
  <c r="BT19" i="2"/>
  <c r="BS19" i="2"/>
  <c r="BW19" i="2" s="1"/>
  <c r="BX19" i="2" s="1"/>
  <c r="BM19" i="2"/>
  <c r="BJ19" i="2"/>
  <c r="BL19" i="2" s="1"/>
  <c r="BG19" i="2"/>
  <c r="BA19" i="2"/>
  <c r="BN19" i="2" s="1"/>
  <c r="BQ19" i="2" s="1"/>
  <c r="BR19" i="2" s="1"/>
  <c r="AV19" i="2"/>
  <c r="AT19" i="2"/>
  <c r="AU19" i="2" s="1"/>
  <c r="AM19" i="2"/>
  <c r="AH19" i="2"/>
  <c r="AG19" i="2"/>
  <c r="J19" i="2" s="1"/>
  <c r="I19" i="2" s="1"/>
  <c r="AF19" i="2"/>
  <c r="K19" i="2" s="1"/>
  <c r="Z19" i="2"/>
  <c r="Y19" i="2"/>
  <c r="X19" i="2"/>
  <c r="T19" i="2"/>
  <c r="Q19" i="2"/>
  <c r="O19" i="2"/>
  <c r="L19" i="2"/>
  <c r="DJ18" i="2"/>
  <c r="DI18" i="2"/>
  <c r="DG18" i="2"/>
  <c r="DH18" i="2" s="1"/>
  <c r="BV18" i="2"/>
  <c r="BU18" i="2"/>
  <c r="BT18" i="2"/>
  <c r="BS18" i="2"/>
  <c r="BW18" i="2" s="1"/>
  <c r="BX18" i="2" s="1"/>
  <c r="BM18" i="2"/>
  <c r="BJ18" i="2"/>
  <c r="BI18" i="2"/>
  <c r="BK18" i="2" s="1"/>
  <c r="BG18" i="2"/>
  <c r="BA18" i="2"/>
  <c r="BN18" i="2" s="1"/>
  <c r="BQ18" i="2" s="1"/>
  <c r="BR18" i="2" s="1"/>
  <c r="AV18" i="2"/>
  <c r="AT18" i="2"/>
  <c r="AU18" i="2" s="1"/>
  <c r="AM18" i="2"/>
  <c r="AH18" i="2"/>
  <c r="AG18" i="2"/>
  <c r="J18" i="2" s="1"/>
  <c r="I18" i="2" s="1"/>
  <c r="AF18" i="2"/>
  <c r="K18" i="2" s="1"/>
  <c r="Z18" i="2"/>
  <c r="Y18" i="2"/>
  <c r="X18" i="2"/>
  <c r="T18" i="2"/>
  <c r="Q18" i="2"/>
  <c r="O18" i="2"/>
  <c r="L18" i="2"/>
  <c r="DJ17" i="2"/>
  <c r="DI17" i="2"/>
  <c r="DG17" i="2"/>
  <c r="DH17" i="2" s="1"/>
  <c r="BV17" i="2"/>
  <c r="BU17" i="2"/>
  <c r="BT17" i="2"/>
  <c r="BS17" i="2"/>
  <c r="BW17" i="2" s="1"/>
  <c r="BX17" i="2" s="1"/>
  <c r="BM17" i="2"/>
  <c r="BK17" i="2"/>
  <c r="BJ17" i="2"/>
  <c r="BL17" i="2" s="1"/>
  <c r="BI17" i="2"/>
  <c r="BG17" i="2"/>
  <c r="BA17" i="2"/>
  <c r="BN17" i="2" s="1"/>
  <c r="BQ17" i="2" s="1"/>
  <c r="BR17" i="2" s="1"/>
  <c r="AV17" i="2"/>
  <c r="AT17" i="2"/>
  <c r="AU17" i="2" s="1"/>
  <c r="AM17" i="2"/>
  <c r="AH17" i="2"/>
  <c r="AG17" i="2"/>
  <c r="J17" i="2" s="1"/>
  <c r="I17" i="2" s="1"/>
  <c r="AF17" i="2"/>
  <c r="K17" i="2" s="1"/>
  <c r="Z17" i="2"/>
  <c r="Y17" i="2"/>
  <c r="X17" i="2"/>
  <c r="T17" i="2"/>
  <c r="Q17" i="2"/>
  <c r="O17" i="2"/>
  <c r="L17" i="2"/>
  <c r="DJ30" i="1"/>
  <c r="DI30" i="1"/>
  <c r="DG30" i="1"/>
  <c r="DH30" i="1" s="1"/>
  <c r="BV30" i="1"/>
  <c r="BU30" i="1"/>
  <c r="BN30" i="1"/>
  <c r="BQ30" i="1" s="1"/>
  <c r="BM30" i="1"/>
  <c r="BI30" i="1"/>
  <c r="BG30" i="1"/>
  <c r="BK30" i="1" s="1"/>
  <c r="BA30" i="1"/>
  <c r="AV30" i="1"/>
  <c r="AT30" i="1"/>
  <c r="AU30" i="1" s="1"/>
  <c r="AM30" i="1"/>
  <c r="AH30" i="1"/>
  <c r="AG30" i="1"/>
  <c r="AF30" i="1"/>
  <c r="K30" i="1" s="1"/>
  <c r="BJ30" i="1" s="1"/>
  <c r="BL30" i="1" s="1"/>
  <c r="AB30" i="1"/>
  <c r="Z30" i="1"/>
  <c r="Y30" i="1"/>
  <c r="X30" i="1"/>
  <c r="T30" i="1"/>
  <c r="U30" i="1" s="1"/>
  <c r="V30" i="1" s="1"/>
  <c r="Q30" i="1"/>
  <c r="O30" i="1"/>
  <c r="L30" i="1"/>
  <c r="J30" i="1"/>
  <c r="I30" i="1"/>
  <c r="DJ29" i="1"/>
  <c r="DI29" i="1"/>
  <c r="DG29" i="1"/>
  <c r="T29" i="1" s="1"/>
  <c r="BV29" i="1"/>
  <c r="BU29" i="1"/>
  <c r="BM29" i="1"/>
  <c r="BG29" i="1"/>
  <c r="BA29" i="1"/>
  <c r="BN29" i="1" s="1"/>
  <c r="BQ29" i="1" s="1"/>
  <c r="AV29" i="1"/>
  <c r="AT29" i="1" s="1"/>
  <c r="AM29" i="1"/>
  <c r="AH29" i="1"/>
  <c r="AF29" i="1"/>
  <c r="K29" i="1" s="1"/>
  <c r="BJ29" i="1" s="1"/>
  <c r="Z29" i="1"/>
  <c r="Y29" i="1"/>
  <c r="X29" i="1"/>
  <c r="Q29" i="1"/>
  <c r="DJ28" i="1"/>
  <c r="DI28" i="1"/>
  <c r="DG28" i="1"/>
  <c r="DH28" i="1" s="1"/>
  <c r="BI28" i="1" s="1"/>
  <c r="BV28" i="1"/>
  <c r="BU28" i="1"/>
  <c r="BN28" i="1"/>
  <c r="BQ28" i="1" s="1"/>
  <c r="BM28" i="1"/>
  <c r="BL28" i="1"/>
  <c r="BG28" i="1"/>
  <c r="BA28" i="1"/>
  <c r="AV28" i="1"/>
  <c r="AT28" i="1"/>
  <c r="AU28" i="1" s="1"/>
  <c r="AM28" i="1"/>
  <c r="AH28" i="1"/>
  <c r="AG28" i="1"/>
  <c r="AF28" i="1"/>
  <c r="Z28" i="1"/>
  <c r="Y28" i="1"/>
  <c r="X28" i="1"/>
  <c r="T28" i="1"/>
  <c r="Q28" i="1"/>
  <c r="O28" i="1"/>
  <c r="L28" i="1"/>
  <c r="K28" i="1"/>
  <c r="BJ28" i="1" s="1"/>
  <c r="J28" i="1"/>
  <c r="I28" i="1"/>
  <c r="DJ27" i="1"/>
  <c r="DI27" i="1"/>
  <c r="DG27" i="1"/>
  <c r="DH27" i="1" s="1"/>
  <c r="BI27" i="1" s="1"/>
  <c r="BV27" i="1"/>
  <c r="BU27" i="1"/>
  <c r="BT27" i="1"/>
  <c r="BM27" i="1"/>
  <c r="BG27" i="1"/>
  <c r="BK27" i="1" s="1"/>
  <c r="BA27" i="1"/>
  <c r="BN27" i="1" s="1"/>
  <c r="BQ27" i="1" s="1"/>
  <c r="AV27" i="1"/>
  <c r="AT27" i="1"/>
  <c r="AM27" i="1"/>
  <c r="AH27" i="1"/>
  <c r="Z27" i="1"/>
  <c r="Y27" i="1"/>
  <c r="X27" i="1"/>
  <c r="T27" i="1"/>
  <c r="Q27" i="1"/>
  <c r="DJ26" i="1"/>
  <c r="DI26" i="1"/>
  <c r="DG26" i="1"/>
  <c r="DH26" i="1" s="1"/>
  <c r="BV26" i="1"/>
  <c r="BU26" i="1"/>
  <c r="BN26" i="1"/>
  <c r="BQ26" i="1" s="1"/>
  <c r="BM26" i="1"/>
  <c r="BI26" i="1"/>
  <c r="BK26" i="1" s="1"/>
  <c r="BG26" i="1"/>
  <c r="BA26" i="1"/>
  <c r="AV26" i="1"/>
  <c r="AT26" i="1"/>
  <c r="AU26" i="1" s="1"/>
  <c r="AM26" i="1"/>
  <c r="AH26" i="1"/>
  <c r="AG26" i="1"/>
  <c r="AF26" i="1"/>
  <c r="Z26" i="1"/>
  <c r="Y26" i="1"/>
  <c r="X26" i="1" s="1"/>
  <c r="T26" i="1"/>
  <c r="Q26" i="1"/>
  <c r="O26" i="1"/>
  <c r="L26" i="1"/>
  <c r="K26" i="1"/>
  <c r="BJ26" i="1" s="1"/>
  <c r="BL26" i="1" s="1"/>
  <c r="J26" i="1"/>
  <c r="I26" i="1"/>
  <c r="DJ25" i="1"/>
  <c r="DI25" i="1"/>
  <c r="DG25" i="1"/>
  <c r="DH25" i="1" s="1"/>
  <c r="BI25" i="1" s="1"/>
  <c r="BV25" i="1"/>
  <c r="BU25" i="1"/>
  <c r="BT25" i="1"/>
  <c r="BS25" i="1"/>
  <c r="BW25" i="1" s="1"/>
  <c r="BX25" i="1" s="1"/>
  <c r="BM25" i="1"/>
  <c r="BK25" i="1"/>
  <c r="BG25" i="1"/>
  <c r="BA25" i="1"/>
  <c r="BN25" i="1" s="1"/>
  <c r="BQ25" i="1" s="1"/>
  <c r="BR25" i="1" s="1"/>
  <c r="AV25" i="1"/>
  <c r="AT25" i="1"/>
  <c r="AM25" i="1"/>
  <c r="AH25" i="1"/>
  <c r="Z25" i="1"/>
  <c r="Y25" i="1"/>
  <c r="X25" i="1"/>
  <c r="Q25" i="1"/>
  <c r="DJ24" i="1"/>
  <c r="DI24" i="1"/>
  <c r="DG24" i="1"/>
  <c r="DH24" i="1" s="1"/>
  <c r="BV24" i="1"/>
  <c r="BU24" i="1"/>
  <c r="BN24" i="1"/>
  <c r="BQ24" i="1" s="1"/>
  <c r="BR24" i="1" s="1"/>
  <c r="BM24" i="1"/>
  <c r="BJ24" i="1"/>
  <c r="BI24" i="1"/>
  <c r="BK24" i="1" s="1"/>
  <c r="BG24" i="1"/>
  <c r="BA24" i="1"/>
  <c r="AV24" i="1"/>
  <c r="AT24" i="1"/>
  <c r="AU24" i="1" s="1"/>
  <c r="AM24" i="1"/>
  <c r="AH24" i="1"/>
  <c r="AG24" i="1"/>
  <c r="J24" i="1" s="1"/>
  <c r="I24" i="1" s="1"/>
  <c r="AF24" i="1"/>
  <c r="K24" i="1" s="1"/>
  <c r="Z24" i="1"/>
  <c r="Y24" i="1"/>
  <c r="X24" i="1"/>
  <c r="T24" i="1"/>
  <c r="Q24" i="1"/>
  <c r="O24" i="1"/>
  <c r="L24" i="1"/>
  <c r="DJ23" i="1"/>
  <c r="DI23" i="1"/>
  <c r="DG23" i="1"/>
  <c r="DH23" i="1" s="1"/>
  <c r="BI23" i="1" s="1"/>
  <c r="BK23" i="1" s="1"/>
  <c r="BV23" i="1"/>
  <c r="BU23" i="1"/>
  <c r="BT23" i="1"/>
  <c r="BS23" i="1"/>
  <c r="BW23" i="1" s="1"/>
  <c r="BX23" i="1" s="1"/>
  <c r="BM23" i="1"/>
  <c r="BG23" i="1"/>
  <c r="BA23" i="1"/>
  <c r="BN23" i="1" s="1"/>
  <c r="BQ23" i="1" s="1"/>
  <c r="BR23" i="1" s="1"/>
  <c r="AV23" i="1"/>
  <c r="AT23" i="1"/>
  <c r="AG23" i="1" s="1"/>
  <c r="J23" i="1" s="1"/>
  <c r="I23" i="1" s="1"/>
  <c r="AM23" i="1"/>
  <c r="AH23" i="1"/>
  <c r="Z23" i="1"/>
  <c r="Y23" i="1"/>
  <c r="X23" i="1"/>
  <c r="T23" i="1"/>
  <c r="Q23" i="1"/>
  <c r="DJ22" i="1"/>
  <c r="DI22" i="1"/>
  <c r="DG22" i="1"/>
  <c r="DH22" i="1" s="1"/>
  <c r="BV22" i="1"/>
  <c r="BU22" i="1"/>
  <c r="BM22" i="1"/>
  <c r="BI22" i="1"/>
  <c r="BG22" i="1"/>
  <c r="BA22" i="1"/>
  <c r="BN22" i="1" s="1"/>
  <c r="BQ22" i="1" s="1"/>
  <c r="BT22" i="1" s="1"/>
  <c r="AV22" i="1"/>
  <c r="AT22" i="1"/>
  <c r="AU22" i="1" s="1"/>
  <c r="AM22" i="1"/>
  <c r="AH22" i="1"/>
  <c r="AG22" i="1"/>
  <c r="AF22" i="1"/>
  <c r="K22" i="1" s="1"/>
  <c r="BJ22" i="1" s="1"/>
  <c r="BL22" i="1" s="1"/>
  <c r="AB22" i="1"/>
  <c r="Z22" i="1"/>
  <c r="Y22" i="1"/>
  <c r="X22" i="1"/>
  <c r="T22" i="1"/>
  <c r="Q22" i="1"/>
  <c r="O22" i="1"/>
  <c r="L22" i="1"/>
  <c r="J22" i="1"/>
  <c r="I22" i="1"/>
  <c r="DJ21" i="1"/>
  <c r="DI21" i="1"/>
  <c r="DG21" i="1"/>
  <c r="DH21" i="1" s="1"/>
  <c r="BI21" i="1" s="1"/>
  <c r="BV21" i="1"/>
  <c r="BU21" i="1"/>
  <c r="BM21" i="1"/>
  <c r="BG21" i="1"/>
  <c r="BK21" i="1" s="1"/>
  <c r="BA21" i="1"/>
  <c r="BN21" i="1" s="1"/>
  <c r="BQ21" i="1" s="1"/>
  <c r="AV21" i="1"/>
  <c r="AT21" i="1"/>
  <c r="AU21" i="1" s="1"/>
  <c r="AM21" i="1"/>
  <c r="AH21" i="1"/>
  <c r="AG21" i="1"/>
  <c r="J21" i="1" s="1"/>
  <c r="I21" i="1" s="1"/>
  <c r="AF21" i="1"/>
  <c r="K21" i="1" s="1"/>
  <c r="BJ21" i="1" s="1"/>
  <c r="BL21" i="1" s="1"/>
  <c r="Z21" i="1"/>
  <c r="Y21" i="1"/>
  <c r="X21" i="1"/>
  <c r="T21" i="1"/>
  <c r="Q21" i="1"/>
  <c r="L21" i="1"/>
  <c r="DJ20" i="1"/>
  <c r="DI20" i="1"/>
  <c r="DG20" i="1"/>
  <c r="DH20" i="1" s="1"/>
  <c r="BV20" i="1"/>
  <c r="BU20" i="1"/>
  <c r="BN20" i="1"/>
  <c r="BQ20" i="1" s="1"/>
  <c r="BM20" i="1"/>
  <c r="BI20" i="1"/>
  <c r="BG20" i="1"/>
  <c r="BK20" i="1" s="1"/>
  <c r="BA20" i="1"/>
  <c r="AV20" i="1"/>
  <c r="AT20" i="1"/>
  <c r="AU20" i="1" s="1"/>
  <c r="AM20" i="1"/>
  <c r="AH20" i="1"/>
  <c r="AG20" i="1"/>
  <c r="AF20" i="1"/>
  <c r="K20" i="1" s="1"/>
  <c r="BJ20" i="1" s="1"/>
  <c r="BL20" i="1" s="1"/>
  <c r="AB20" i="1"/>
  <c r="Z20" i="1"/>
  <c r="Y20" i="1"/>
  <c r="X20" i="1"/>
  <c r="T20" i="1"/>
  <c r="Q20" i="1"/>
  <c r="O20" i="1"/>
  <c r="L20" i="1"/>
  <c r="J20" i="1"/>
  <c r="I20" i="1"/>
  <c r="DJ19" i="1"/>
  <c r="DI19" i="1"/>
  <c r="DG19" i="1"/>
  <c r="DH19" i="1" s="1"/>
  <c r="BI19" i="1" s="1"/>
  <c r="BV19" i="1"/>
  <c r="BU19" i="1"/>
  <c r="BM19" i="1"/>
  <c r="BG19" i="1"/>
  <c r="BA19" i="1"/>
  <c r="BN19" i="1" s="1"/>
  <c r="BQ19" i="1" s="1"/>
  <c r="AV19" i="1"/>
  <c r="AT19" i="1" s="1"/>
  <c r="AM19" i="1"/>
  <c r="AH19" i="1"/>
  <c r="AF19" i="1"/>
  <c r="K19" i="1" s="1"/>
  <c r="BJ19" i="1" s="1"/>
  <c r="Z19" i="1"/>
  <c r="Y19" i="1"/>
  <c r="X19" i="1"/>
  <c r="T19" i="1"/>
  <c r="Q19" i="1"/>
  <c r="DJ18" i="1"/>
  <c r="DI18" i="1"/>
  <c r="DG18" i="1"/>
  <c r="DH18" i="1" s="1"/>
  <c r="BI18" i="1" s="1"/>
  <c r="BV18" i="1"/>
  <c r="BU18" i="1"/>
  <c r="BN18" i="1"/>
  <c r="BQ18" i="1" s="1"/>
  <c r="BM18" i="1"/>
  <c r="BG18" i="1"/>
  <c r="BA18" i="1"/>
  <c r="AV18" i="1"/>
  <c r="AT18" i="1"/>
  <c r="AU18" i="1" s="1"/>
  <c r="AM18" i="1"/>
  <c r="AH18" i="1"/>
  <c r="AG18" i="1"/>
  <c r="J18" i="1" s="1"/>
  <c r="I18" i="1" s="1"/>
  <c r="AF18" i="1"/>
  <c r="K18" i="1" s="1"/>
  <c r="BJ18" i="1" s="1"/>
  <c r="BL18" i="1" s="1"/>
  <c r="Z18" i="1"/>
  <c r="Y18" i="1"/>
  <c r="X18" i="1"/>
  <c r="T18" i="1"/>
  <c r="Q18" i="1"/>
  <c r="O18" i="1"/>
  <c r="L18" i="1"/>
  <c r="DJ17" i="1"/>
  <c r="DI17" i="1"/>
  <c r="DG17" i="1"/>
  <c r="T17" i="1" s="1"/>
  <c r="BV17" i="1"/>
  <c r="BU17" i="1"/>
  <c r="BM17" i="1"/>
  <c r="BG17" i="1"/>
  <c r="BA17" i="1"/>
  <c r="BN17" i="1" s="1"/>
  <c r="BQ17" i="1" s="1"/>
  <c r="AV17" i="1"/>
  <c r="AT17" i="1"/>
  <c r="AM17" i="1"/>
  <c r="AH17" i="1"/>
  <c r="Z17" i="1"/>
  <c r="Y17" i="1"/>
  <c r="X17" i="1"/>
  <c r="Q17" i="1"/>
  <c r="AD33" i="14" l="1"/>
  <c r="W33" i="14"/>
  <c r="AA33" i="14" s="1"/>
  <c r="BT27" i="14"/>
  <c r="BR27" i="14"/>
  <c r="BS27" i="14"/>
  <c r="BW27" i="14" s="1"/>
  <c r="BX27" i="14" s="1"/>
  <c r="AB32" i="14"/>
  <c r="R32" i="14"/>
  <c r="P32" i="14" s="1"/>
  <c r="S32" i="14" s="1"/>
  <c r="M32" i="14" s="1"/>
  <c r="N32" i="14" s="1"/>
  <c r="AD21" i="14"/>
  <c r="AE21" i="14" s="1"/>
  <c r="W21" i="14"/>
  <c r="AA21" i="14" s="1"/>
  <c r="R33" i="14"/>
  <c r="P33" i="14" s="1"/>
  <c r="S33" i="14" s="1"/>
  <c r="M33" i="14" s="1"/>
  <c r="N33" i="14" s="1"/>
  <c r="AB33" i="14"/>
  <c r="U17" i="14"/>
  <c r="V17" i="14" s="1"/>
  <c r="BT19" i="14"/>
  <c r="BS19" i="14"/>
  <c r="BW19" i="14" s="1"/>
  <c r="BX19" i="14" s="1"/>
  <c r="BR19" i="14"/>
  <c r="BR30" i="14"/>
  <c r="BT30" i="14"/>
  <c r="BS30" i="14"/>
  <c r="BW30" i="14" s="1"/>
  <c r="BX30" i="14" s="1"/>
  <c r="BT31" i="14"/>
  <c r="BS31" i="14"/>
  <c r="BW31" i="14" s="1"/>
  <c r="BX31" i="14" s="1"/>
  <c r="BR31" i="14"/>
  <c r="AB19" i="14"/>
  <c r="AB20" i="14"/>
  <c r="R20" i="14"/>
  <c r="P20" i="14" s="1"/>
  <c r="S20" i="14" s="1"/>
  <c r="M20" i="14" s="1"/>
  <c r="N20" i="14" s="1"/>
  <c r="U24" i="14"/>
  <c r="V24" i="14" s="1"/>
  <c r="BR24" i="14"/>
  <c r="BT24" i="14"/>
  <c r="BS24" i="14"/>
  <c r="BW24" i="14" s="1"/>
  <c r="BX24" i="14" s="1"/>
  <c r="U18" i="14"/>
  <c r="V18" i="14" s="1"/>
  <c r="BL19" i="14"/>
  <c r="U23" i="14"/>
  <c r="V23" i="14" s="1"/>
  <c r="AC23" i="14" s="1"/>
  <c r="BL31" i="14"/>
  <c r="R31" i="14"/>
  <c r="P31" i="14" s="1"/>
  <c r="S31" i="14" s="1"/>
  <c r="M31" i="14" s="1"/>
  <c r="N31" i="14" s="1"/>
  <c r="AB31" i="14"/>
  <c r="R21" i="14"/>
  <c r="P21" i="14" s="1"/>
  <c r="S21" i="14" s="1"/>
  <c r="M21" i="14" s="1"/>
  <c r="N21" i="14" s="1"/>
  <c r="AB21" i="14"/>
  <c r="U30" i="14"/>
  <c r="V30" i="14" s="1"/>
  <c r="AB22" i="14"/>
  <c r="BR32" i="14"/>
  <c r="BT32" i="14"/>
  <c r="BS32" i="14"/>
  <c r="BW32" i="14" s="1"/>
  <c r="BX32" i="14" s="1"/>
  <c r="BT33" i="14"/>
  <c r="BS33" i="14"/>
  <c r="BW33" i="14" s="1"/>
  <c r="BX33" i="14" s="1"/>
  <c r="BR33" i="14"/>
  <c r="U22" i="14"/>
  <c r="V22" i="14" s="1"/>
  <c r="AB24" i="14"/>
  <c r="R24" i="14"/>
  <c r="P24" i="14" s="1"/>
  <c r="S24" i="14" s="1"/>
  <c r="M24" i="14" s="1"/>
  <c r="N24" i="14" s="1"/>
  <c r="U19" i="14"/>
  <c r="V19" i="14" s="1"/>
  <c r="R19" i="14" s="1"/>
  <c r="P19" i="14" s="1"/>
  <c r="S19" i="14" s="1"/>
  <c r="M19" i="14" s="1"/>
  <c r="N19" i="14" s="1"/>
  <c r="AC31" i="14"/>
  <c r="BL21" i="14"/>
  <c r="U31" i="14"/>
  <c r="V31" i="14" s="1"/>
  <c r="AB17" i="14"/>
  <c r="AD27" i="14"/>
  <c r="W27" i="14"/>
  <c r="AA27" i="14" s="1"/>
  <c r="BT17" i="14"/>
  <c r="BR17" i="14"/>
  <c r="BS17" i="14"/>
  <c r="BW17" i="14" s="1"/>
  <c r="BX17" i="14" s="1"/>
  <c r="U20" i="14"/>
  <c r="V20" i="14" s="1"/>
  <c r="R27" i="14"/>
  <c r="P27" i="14" s="1"/>
  <c r="S27" i="14" s="1"/>
  <c r="M27" i="14" s="1"/>
  <c r="N27" i="14" s="1"/>
  <c r="AB27" i="14"/>
  <c r="BL18" i="14"/>
  <c r="AB18" i="14"/>
  <c r="R18" i="14"/>
  <c r="P18" i="14" s="1"/>
  <c r="S18" i="14" s="1"/>
  <c r="M18" i="14" s="1"/>
  <c r="N18" i="14" s="1"/>
  <c r="R23" i="14"/>
  <c r="P23" i="14" s="1"/>
  <c r="S23" i="14" s="1"/>
  <c r="M23" i="14" s="1"/>
  <c r="N23" i="14" s="1"/>
  <c r="AB23" i="14"/>
  <c r="U32" i="14"/>
  <c r="V32" i="14" s="1"/>
  <c r="BT21" i="14"/>
  <c r="BS21" i="14"/>
  <c r="BW21" i="14" s="1"/>
  <c r="BX21" i="14" s="1"/>
  <c r="BR21" i="14"/>
  <c r="BR22" i="14"/>
  <c r="BT22" i="14"/>
  <c r="BS22" i="14"/>
  <c r="BW22" i="14" s="1"/>
  <c r="BX22" i="14" s="1"/>
  <c r="BT23" i="14"/>
  <c r="BR23" i="14"/>
  <c r="BS23" i="14"/>
  <c r="BW23" i="14" s="1"/>
  <c r="BX23" i="14" s="1"/>
  <c r="AB30" i="14"/>
  <c r="R30" i="14"/>
  <c r="P30" i="14" s="1"/>
  <c r="S30" i="14" s="1"/>
  <c r="M30" i="14" s="1"/>
  <c r="N30" i="14" s="1"/>
  <c r="DH18" i="14"/>
  <c r="BI18" i="14" s="1"/>
  <c r="BK18" i="14" s="1"/>
  <c r="DH20" i="14"/>
  <c r="BI20" i="14" s="1"/>
  <c r="BK20" i="14" s="1"/>
  <c r="DH22" i="14"/>
  <c r="BI22" i="14" s="1"/>
  <c r="BK22" i="14" s="1"/>
  <c r="DH24" i="14"/>
  <c r="BI24" i="14" s="1"/>
  <c r="BK24" i="14" s="1"/>
  <c r="DH30" i="14"/>
  <c r="BI30" i="14" s="1"/>
  <c r="BK30" i="14" s="1"/>
  <c r="DH32" i="14"/>
  <c r="BI32" i="14" s="1"/>
  <c r="BK32" i="14" s="1"/>
  <c r="AD26" i="13"/>
  <c r="AE26" i="13" s="1"/>
  <c r="AC26" i="13"/>
  <c r="W26" i="13"/>
  <c r="AA26" i="13" s="1"/>
  <c r="AU17" i="13"/>
  <c r="AF17" i="13"/>
  <c r="K17" i="13" s="1"/>
  <c r="BJ17" i="13" s="1"/>
  <c r="BL17" i="13" s="1"/>
  <c r="O17" i="13"/>
  <c r="AG17" i="13"/>
  <c r="J17" i="13" s="1"/>
  <c r="I17" i="13" s="1"/>
  <c r="U17" i="13" s="1"/>
  <c r="V17" i="13" s="1"/>
  <c r="L17" i="13"/>
  <c r="AU19" i="13"/>
  <c r="AF19" i="13"/>
  <c r="K19" i="13" s="1"/>
  <c r="BJ19" i="13" s="1"/>
  <c r="BL19" i="13" s="1"/>
  <c r="L19" i="13"/>
  <c r="O19" i="13"/>
  <c r="AG19" i="13"/>
  <c r="J19" i="13" s="1"/>
  <c r="I19" i="13" s="1"/>
  <c r="AU21" i="13"/>
  <c r="L21" i="13"/>
  <c r="O21" i="13"/>
  <c r="AF21" i="13"/>
  <c r="K21" i="13" s="1"/>
  <c r="BJ21" i="13" s="1"/>
  <c r="BL21" i="13" s="1"/>
  <c r="AG21" i="13"/>
  <c r="J21" i="13" s="1"/>
  <c r="I21" i="13" s="1"/>
  <c r="U21" i="13" s="1"/>
  <c r="V21" i="13" s="1"/>
  <c r="AU23" i="13"/>
  <c r="O23" i="13"/>
  <c r="AG23" i="13"/>
  <c r="J23" i="13" s="1"/>
  <c r="I23" i="13" s="1"/>
  <c r="AF23" i="13"/>
  <c r="K23" i="13" s="1"/>
  <c r="BJ23" i="13" s="1"/>
  <c r="BL23" i="13" s="1"/>
  <c r="L23" i="13"/>
  <c r="AU25" i="13"/>
  <c r="AF25" i="13"/>
  <c r="K25" i="13" s="1"/>
  <c r="BJ25" i="13" s="1"/>
  <c r="BL25" i="13" s="1"/>
  <c r="O25" i="13"/>
  <c r="AG25" i="13"/>
  <c r="J25" i="13" s="1"/>
  <c r="I25" i="13" s="1"/>
  <c r="L25" i="13"/>
  <c r="AU27" i="13"/>
  <c r="O27" i="13"/>
  <c r="AG27" i="13"/>
  <c r="J27" i="13" s="1"/>
  <c r="I27" i="13" s="1"/>
  <c r="AF27" i="13"/>
  <c r="K27" i="13" s="1"/>
  <c r="BJ27" i="13" s="1"/>
  <c r="BL27" i="13" s="1"/>
  <c r="L27" i="13"/>
  <c r="AU29" i="13"/>
  <c r="L29" i="13"/>
  <c r="O29" i="13"/>
  <c r="AF29" i="13"/>
  <c r="K29" i="13" s="1"/>
  <c r="BJ29" i="13" s="1"/>
  <c r="BL29" i="13" s="1"/>
  <c r="AG29" i="13"/>
  <c r="J29" i="13" s="1"/>
  <c r="I29" i="13" s="1"/>
  <c r="U29" i="13" s="1"/>
  <c r="V29" i="13" s="1"/>
  <c r="BT17" i="13"/>
  <c r="BS17" i="13"/>
  <c r="BW17" i="13" s="1"/>
  <c r="BX17" i="13" s="1"/>
  <c r="BR17" i="13"/>
  <c r="BT19" i="13"/>
  <c r="BS19" i="13"/>
  <c r="BW19" i="13" s="1"/>
  <c r="BX19" i="13" s="1"/>
  <c r="BR19" i="13"/>
  <c r="BT21" i="13"/>
  <c r="BS21" i="13"/>
  <c r="BW21" i="13" s="1"/>
  <c r="BX21" i="13" s="1"/>
  <c r="BR21" i="13"/>
  <c r="BT23" i="13"/>
  <c r="BS23" i="13"/>
  <c r="BW23" i="13" s="1"/>
  <c r="BX23" i="13" s="1"/>
  <c r="BR23" i="13"/>
  <c r="BS25" i="13"/>
  <c r="BW25" i="13" s="1"/>
  <c r="BX25" i="13" s="1"/>
  <c r="BT25" i="13"/>
  <c r="BR25" i="13"/>
  <c r="BT27" i="13"/>
  <c r="BS27" i="13"/>
  <c r="BW27" i="13" s="1"/>
  <c r="BX27" i="13" s="1"/>
  <c r="BR27" i="13"/>
  <c r="BT29" i="13"/>
  <c r="BS29" i="13"/>
  <c r="BW29" i="13" s="1"/>
  <c r="BX29" i="13" s="1"/>
  <c r="BR29" i="13"/>
  <c r="AD24" i="13"/>
  <c r="AC24" i="13"/>
  <c r="W24" i="13"/>
  <c r="AA24" i="13" s="1"/>
  <c r="BL18" i="13"/>
  <c r="BL28" i="13"/>
  <c r="AD28" i="13"/>
  <c r="W28" i="13"/>
  <c r="AA28" i="13" s="1"/>
  <c r="AC28" i="13"/>
  <c r="BL26" i="13"/>
  <c r="U25" i="13"/>
  <c r="V25" i="13" s="1"/>
  <c r="AC18" i="13"/>
  <c r="W18" i="13"/>
  <c r="AA18" i="13" s="1"/>
  <c r="AD18" i="13"/>
  <c r="AE18" i="13" s="1"/>
  <c r="BL24" i="13"/>
  <c r="U27" i="13"/>
  <c r="V27" i="13" s="1"/>
  <c r="BR24" i="13"/>
  <c r="BT24" i="13"/>
  <c r="BS24" i="13"/>
  <c r="BW24" i="13" s="1"/>
  <c r="BX24" i="13" s="1"/>
  <c r="BR28" i="13"/>
  <c r="BT28" i="13"/>
  <c r="BS28" i="13"/>
  <c r="BW28" i="13" s="1"/>
  <c r="BX28" i="13" s="1"/>
  <c r="W22" i="13"/>
  <c r="AA22" i="13" s="1"/>
  <c r="AD22" i="13"/>
  <c r="AC22" i="13"/>
  <c r="BR18" i="13"/>
  <c r="BS18" i="13"/>
  <c r="BW18" i="13" s="1"/>
  <c r="BX18" i="13" s="1"/>
  <c r="BT18" i="13"/>
  <c r="BR20" i="13"/>
  <c r="BS20" i="13"/>
  <c r="BW20" i="13" s="1"/>
  <c r="BX20" i="13" s="1"/>
  <c r="BT20" i="13"/>
  <c r="BR22" i="13"/>
  <c r="BT22" i="13"/>
  <c r="BS22" i="13"/>
  <c r="BW22" i="13" s="1"/>
  <c r="BX22" i="13" s="1"/>
  <c r="BR26" i="13"/>
  <c r="BS26" i="13"/>
  <c r="BW26" i="13" s="1"/>
  <c r="BX26" i="13" s="1"/>
  <c r="BT26" i="13"/>
  <c r="BK18" i="13"/>
  <c r="BK20" i="13"/>
  <c r="BK22" i="13"/>
  <c r="BK24" i="13"/>
  <c r="BK26" i="13"/>
  <c r="BK28" i="13"/>
  <c r="BL20" i="13"/>
  <c r="AD20" i="13"/>
  <c r="W20" i="13"/>
  <c r="AA20" i="13" s="1"/>
  <c r="AC20" i="13"/>
  <c r="BL22" i="13"/>
  <c r="R18" i="13"/>
  <c r="P18" i="13" s="1"/>
  <c r="S18" i="13" s="1"/>
  <c r="M18" i="13" s="1"/>
  <c r="N18" i="13" s="1"/>
  <c r="R20" i="13"/>
  <c r="P20" i="13" s="1"/>
  <c r="S20" i="13" s="1"/>
  <c r="M20" i="13" s="1"/>
  <c r="N20" i="13" s="1"/>
  <c r="R22" i="13"/>
  <c r="P22" i="13" s="1"/>
  <c r="S22" i="13" s="1"/>
  <c r="M22" i="13" s="1"/>
  <c r="N22" i="13" s="1"/>
  <c r="R24" i="13"/>
  <c r="P24" i="13" s="1"/>
  <c r="S24" i="13" s="1"/>
  <c r="M24" i="13" s="1"/>
  <c r="N24" i="13" s="1"/>
  <c r="R26" i="13"/>
  <c r="P26" i="13" s="1"/>
  <c r="S26" i="13" s="1"/>
  <c r="M26" i="13" s="1"/>
  <c r="N26" i="13" s="1"/>
  <c r="R28" i="13"/>
  <c r="P28" i="13" s="1"/>
  <c r="S28" i="13" s="1"/>
  <c r="M28" i="13" s="1"/>
  <c r="N28" i="13" s="1"/>
  <c r="AU17" i="12"/>
  <c r="O17" i="12"/>
  <c r="AG17" i="12"/>
  <c r="J17" i="12" s="1"/>
  <c r="I17" i="12" s="1"/>
  <c r="AF17" i="12"/>
  <c r="K17" i="12" s="1"/>
  <c r="BJ17" i="12" s="1"/>
  <c r="BL17" i="12" s="1"/>
  <c r="L17" i="12"/>
  <c r="BR17" i="12"/>
  <c r="BS17" i="12"/>
  <c r="BW17" i="12" s="1"/>
  <c r="BX17" i="12" s="1"/>
  <c r="BT17" i="12"/>
  <c r="AU19" i="12"/>
  <c r="O19" i="12"/>
  <c r="AG19" i="12"/>
  <c r="J19" i="12" s="1"/>
  <c r="I19" i="12" s="1"/>
  <c r="AF19" i="12"/>
  <c r="K19" i="12" s="1"/>
  <c r="BJ19" i="12" s="1"/>
  <c r="BL19" i="12" s="1"/>
  <c r="L19" i="12"/>
  <c r="BR19" i="12"/>
  <c r="BT19" i="12"/>
  <c r="BS19" i="12"/>
  <c r="BW19" i="12" s="1"/>
  <c r="BX19" i="12" s="1"/>
  <c r="AU21" i="12"/>
  <c r="O21" i="12"/>
  <c r="AG21" i="12"/>
  <c r="J21" i="12" s="1"/>
  <c r="I21" i="12" s="1"/>
  <c r="AF21" i="12"/>
  <c r="K21" i="12" s="1"/>
  <c r="BJ21" i="12" s="1"/>
  <c r="BL21" i="12" s="1"/>
  <c r="L21" i="12"/>
  <c r="BR21" i="12"/>
  <c r="BT21" i="12"/>
  <c r="BS21" i="12"/>
  <c r="BW21" i="12" s="1"/>
  <c r="BX21" i="12" s="1"/>
  <c r="BS18" i="12"/>
  <c r="BW18" i="12" s="1"/>
  <c r="BX18" i="12" s="1"/>
  <c r="BR18" i="12"/>
  <c r="BT18" i="12"/>
  <c r="BK18" i="12"/>
  <c r="BT20" i="12"/>
  <c r="BS20" i="12"/>
  <c r="BW20" i="12" s="1"/>
  <c r="BX20" i="12" s="1"/>
  <c r="BR20" i="12"/>
  <c r="U17" i="12"/>
  <c r="V17" i="12" s="1"/>
  <c r="BL18" i="12"/>
  <c r="BK20" i="12"/>
  <c r="BT22" i="12"/>
  <c r="BS22" i="12"/>
  <c r="BW22" i="12" s="1"/>
  <c r="BX22" i="12" s="1"/>
  <c r="BR22" i="12"/>
  <c r="R18" i="12"/>
  <c r="P18" i="12" s="1"/>
  <c r="S18" i="12" s="1"/>
  <c r="M18" i="12" s="1"/>
  <c r="N18" i="12" s="1"/>
  <c r="R22" i="12"/>
  <c r="P22" i="12" s="1"/>
  <c r="S22" i="12" s="1"/>
  <c r="M22" i="12" s="1"/>
  <c r="N22" i="12" s="1"/>
  <c r="U18" i="12"/>
  <c r="V18" i="12" s="1"/>
  <c r="U20" i="12"/>
  <c r="V20" i="12" s="1"/>
  <c r="U22" i="12"/>
  <c r="V22" i="12" s="1"/>
  <c r="BT25" i="11"/>
  <c r="BS25" i="11"/>
  <c r="BW25" i="11" s="1"/>
  <c r="BX25" i="11" s="1"/>
  <c r="BR25" i="11"/>
  <c r="BT19" i="11"/>
  <c r="BS19" i="11"/>
  <c r="BW19" i="11" s="1"/>
  <c r="BX19" i="11" s="1"/>
  <c r="BR19" i="11"/>
  <c r="AB22" i="11"/>
  <c r="R22" i="11"/>
  <c r="P22" i="11" s="1"/>
  <c r="S22" i="11" s="1"/>
  <c r="AC18" i="11"/>
  <c r="BS27" i="11"/>
  <c r="BW27" i="11" s="1"/>
  <c r="BX27" i="11" s="1"/>
  <c r="BT27" i="11"/>
  <c r="BR27" i="11"/>
  <c r="BK27" i="11"/>
  <c r="BL27" i="11"/>
  <c r="AC26" i="11"/>
  <c r="BT29" i="11"/>
  <c r="BS29" i="11"/>
  <c r="BW29" i="11" s="1"/>
  <c r="BX29" i="11" s="1"/>
  <c r="BR29" i="11"/>
  <c r="BT21" i="11"/>
  <c r="BS21" i="11"/>
  <c r="BW21" i="11" s="1"/>
  <c r="BX21" i="11" s="1"/>
  <c r="BR21" i="11"/>
  <c r="BT23" i="11"/>
  <c r="BS23" i="11"/>
  <c r="BW23" i="11" s="1"/>
  <c r="BX23" i="11" s="1"/>
  <c r="BR23" i="11"/>
  <c r="AB26" i="11"/>
  <c r="R26" i="11"/>
  <c r="P26" i="11" s="1"/>
  <c r="S26" i="11" s="1"/>
  <c r="M26" i="11" s="1"/>
  <c r="N26" i="11" s="1"/>
  <c r="BT17" i="11"/>
  <c r="BS17" i="11"/>
  <c r="BW17" i="11" s="1"/>
  <c r="BX17" i="11" s="1"/>
  <c r="BR17" i="11"/>
  <c r="AB20" i="11"/>
  <c r="R20" i="11"/>
  <c r="P20" i="11" s="1"/>
  <c r="S20" i="11" s="1"/>
  <c r="M20" i="11" s="1"/>
  <c r="N20" i="11" s="1"/>
  <c r="AC20" i="11"/>
  <c r="AB18" i="11"/>
  <c r="R18" i="11"/>
  <c r="P18" i="11" s="1"/>
  <c r="S18" i="11" s="1"/>
  <c r="M18" i="11" s="1"/>
  <c r="N18" i="11" s="1"/>
  <c r="AB28" i="11"/>
  <c r="U22" i="11"/>
  <c r="V22" i="11" s="1"/>
  <c r="AU18" i="11"/>
  <c r="L18" i="11"/>
  <c r="L24" i="11"/>
  <c r="BK24" i="11"/>
  <c r="BT18" i="11"/>
  <c r="U20" i="11"/>
  <c r="V20" i="11" s="1"/>
  <c r="BS24" i="11"/>
  <c r="BW24" i="11" s="1"/>
  <c r="BX24" i="11" s="1"/>
  <c r="DH20" i="11"/>
  <c r="BI20" i="11" s="1"/>
  <c r="BL20" i="11" s="1"/>
  <c r="BT24" i="11"/>
  <c r="AU28" i="11"/>
  <c r="R27" i="11"/>
  <c r="P27" i="11" s="1"/>
  <c r="S27" i="11" s="1"/>
  <c r="M27" i="11" s="1"/>
  <c r="N27" i="11" s="1"/>
  <c r="L28" i="11"/>
  <c r="L22" i="11"/>
  <c r="BK28" i="11"/>
  <c r="U29" i="11"/>
  <c r="V29" i="11" s="1"/>
  <c r="AF18" i="11"/>
  <c r="K18" i="11" s="1"/>
  <c r="BJ18" i="11" s="1"/>
  <c r="R19" i="11"/>
  <c r="P19" i="11" s="1"/>
  <c r="S19" i="11" s="1"/>
  <c r="M19" i="11" s="1"/>
  <c r="N19" i="11" s="1"/>
  <c r="AU20" i="11"/>
  <c r="AF24" i="11"/>
  <c r="K24" i="11" s="1"/>
  <c r="BJ24" i="11" s="1"/>
  <c r="BL24" i="11" s="1"/>
  <c r="L26" i="11"/>
  <c r="AE21" i="11"/>
  <c r="AG24" i="11"/>
  <c r="J24" i="11" s="1"/>
  <c r="I24" i="11" s="1"/>
  <c r="U27" i="11"/>
  <c r="V27" i="11" s="1"/>
  <c r="AC21" i="11"/>
  <c r="AD21" i="11"/>
  <c r="W21" i="11"/>
  <c r="AA21" i="11" s="1"/>
  <c r="DH22" i="11"/>
  <c r="BI22" i="11" s="1"/>
  <c r="BL22" i="11" s="1"/>
  <c r="AU24" i="11"/>
  <c r="U19" i="11"/>
  <c r="V19" i="11" s="1"/>
  <c r="O18" i="11"/>
  <c r="U25" i="11"/>
  <c r="V25" i="11" s="1"/>
  <c r="BS18" i="11"/>
  <c r="BW18" i="11" s="1"/>
  <c r="BX18" i="11" s="1"/>
  <c r="U26" i="11"/>
  <c r="V26" i="11" s="1"/>
  <c r="DH26" i="11"/>
  <c r="BI26" i="11" s="1"/>
  <c r="BL26" i="11" s="1"/>
  <c r="U17" i="11"/>
  <c r="V17" i="11" s="1"/>
  <c r="R17" i="11" s="1"/>
  <c r="P17" i="11" s="1"/>
  <c r="S17" i="11" s="1"/>
  <c r="M17" i="11" s="1"/>
  <c r="N17" i="11" s="1"/>
  <c r="AU22" i="11"/>
  <c r="R21" i="11"/>
  <c r="P21" i="11" s="1"/>
  <c r="S21" i="11" s="1"/>
  <c r="M21" i="11" s="1"/>
  <c r="N21" i="11" s="1"/>
  <c r="U18" i="11"/>
  <c r="V18" i="11" s="1"/>
  <c r="U23" i="11"/>
  <c r="V23" i="11" s="1"/>
  <c r="DH18" i="11"/>
  <c r="BI18" i="11" s="1"/>
  <c r="BK18" i="11" s="1"/>
  <c r="U24" i="11"/>
  <c r="V24" i="11" s="1"/>
  <c r="BS28" i="11"/>
  <c r="BW28" i="11" s="1"/>
  <c r="BX28" i="11" s="1"/>
  <c r="BS22" i="11"/>
  <c r="BW22" i="11" s="1"/>
  <c r="BX22" i="11" s="1"/>
  <c r="DH24" i="11"/>
  <c r="BI24" i="11" s="1"/>
  <c r="BT28" i="11"/>
  <c r="AB17" i="11"/>
  <c r="BT22" i="11"/>
  <c r="R25" i="11"/>
  <c r="P25" i="11" s="1"/>
  <c r="S25" i="11" s="1"/>
  <c r="M25" i="11" s="1"/>
  <c r="N25" i="11" s="1"/>
  <c r="BK20" i="11"/>
  <c r="T28" i="11"/>
  <c r="AB18" i="10"/>
  <c r="AB26" i="10"/>
  <c r="BT23" i="10"/>
  <c r="BS23" i="10"/>
  <c r="BW23" i="10" s="1"/>
  <c r="BX23" i="10" s="1"/>
  <c r="BR23" i="10"/>
  <c r="BT25" i="10"/>
  <c r="BS25" i="10"/>
  <c r="BW25" i="10" s="1"/>
  <c r="BX25" i="10" s="1"/>
  <c r="BR25" i="10"/>
  <c r="BT21" i="10"/>
  <c r="BS21" i="10"/>
  <c r="BW21" i="10" s="1"/>
  <c r="BX21" i="10" s="1"/>
  <c r="BR21" i="10"/>
  <c r="BL18" i="10"/>
  <c r="BT19" i="10"/>
  <c r="BS19" i="10"/>
  <c r="BW19" i="10" s="1"/>
  <c r="BX19" i="10" s="1"/>
  <c r="BR19" i="10"/>
  <c r="DH24" i="10"/>
  <c r="BI24" i="10" s="1"/>
  <c r="BL24" i="10" s="1"/>
  <c r="AU28" i="10"/>
  <c r="AB19" i="10"/>
  <c r="BL19" i="10"/>
  <c r="BL22" i="10"/>
  <c r="AC24" i="10"/>
  <c r="BR28" i="10"/>
  <c r="BS28" i="10"/>
  <c r="BW28" i="10" s="1"/>
  <c r="BX28" i="10" s="1"/>
  <c r="BT28" i="10"/>
  <c r="AD24" i="10"/>
  <c r="AG20" i="10"/>
  <c r="J20" i="10" s="1"/>
  <c r="I20" i="10" s="1"/>
  <c r="AF20" i="10"/>
  <c r="K20" i="10" s="1"/>
  <c r="BJ20" i="10" s="1"/>
  <c r="BL20" i="10" s="1"/>
  <c r="AE24" i="10"/>
  <c r="AU20" i="10"/>
  <c r="U21" i="10"/>
  <c r="V21" i="10" s="1"/>
  <c r="BT17" i="10"/>
  <c r="BS17" i="10"/>
  <c r="BW17" i="10" s="1"/>
  <c r="BX17" i="10" s="1"/>
  <c r="BR17" i="10"/>
  <c r="U23" i="10"/>
  <c r="V23" i="10" s="1"/>
  <c r="BT29" i="10"/>
  <c r="BS29" i="10"/>
  <c r="BW29" i="10" s="1"/>
  <c r="BX29" i="10" s="1"/>
  <c r="BR29" i="10"/>
  <c r="AB17" i="10"/>
  <c r="U19" i="10"/>
  <c r="V19" i="10" s="1"/>
  <c r="AB27" i="10"/>
  <c r="L28" i="10"/>
  <c r="BK22" i="10"/>
  <c r="BS20" i="10"/>
  <c r="BW20" i="10" s="1"/>
  <c r="BX20" i="10" s="1"/>
  <c r="R29" i="10"/>
  <c r="P29" i="10" s="1"/>
  <c r="S29" i="10" s="1"/>
  <c r="M29" i="10" s="1"/>
  <c r="N29" i="10" s="1"/>
  <c r="AB29" i="10"/>
  <c r="BL29" i="10"/>
  <c r="AU18" i="10"/>
  <c r="BT20" i="10"/>
  <c r="BS22" i="10"/>
  <c r="BW22" i="10" s="1"/>
  <c r="BX22" i="10" s="1"/>
  <c r="L20" i="10"/>
  <c r="BT22" i="10"/>
  <c r="BR18" i="10"/>
  <c r="BT18" i="10"/>
  <c r="BS18" i="10"/>
  <c r="BW18" i="10" s="1"/>
  <c r="BX18" i="10" s="1"/>
  <c r="U17" i="10"/>
  <c r="V17" i="10" s="1"/>
  <c r="U26" i="10"/>
  <c r="V26" i="10" s="1"/>
  <c r="O20" i="10"/>
  <c r="DH26" i="10"/>
  <c r="BI26" i="10" s="1"/>
  <c r="BL26" i="10" s="1"/>
  <c r="AF28" i="10"/>
  <c r="K28" i="10" s="1"/>
  <c r="BJ28" i="10" s="1"/>
  <c r="BL28" i="10" s="1"/>
  <c r="BT27" i="10"/>
  <c r="BS27" i="10"/>
  <c r="BW27" i="10" s="1"/>
  <c r="BX27" i="10" s="1"/>
  <c r="BR27" i="10"/>
  <c r="AG28" i="10"/>
  <c r="J28" i="10" s="1"/>
  <c r="I28" i="10" s="1"/>
  <c r="R24" i="10"/>
  <c r="P24" i="10" s="1"/>
  <c r="S24" i="10" s="1"/>
  <c r="BK27" i="10"/>
  <c r="U29" i="10"/>
  <c r="V29" i="10" s="1"/>
  <c r="AU26" i="10"/>
  <c r="L26" i="10"/>
  <c r="R23" i="10"/>
  <c r="P23" i="10" s="1"/>
  <c r="S23" i="10" s="1"/>
  <c r="M23" i="10" s="1"/>
  <c r="N23" i="10" s="1"/>
  <c r="DH20" i="10"/>
  <c r="BI20" i="10" s="1"/>
  <c r="BK20" i="10" s="1"/>
  <c r="BS26" i="10"/>
  <c r="BW26" i="10" s="1"/>
  <c r="BX26" i="10" s="1"/>
  <c r="BK24" i="10"/>
  <c r="U22" i="10"/>
  <c r="V22" i="10" s="1"/>
  <c r="R25" i="10"/>
  <c r="P25" i="10" s="1"/>
  <c r="S25" i="10" s="1"/>
  <c r="M25" i="10" s="1"/>
  <c r="N25" i="10" s="1"/>
  <c r="DH22" i="10"/>
  <c r="BI22" i="10" s="1"/>
  <c r="U27" i="10"/>
  <c r="V27" i="10" s="1"/>
  <c r="AU24" i="10"/>
  <c r="L24" i="10"/>
  <c r="BT26" i="10"/>
  <c r="T18" i="10"/>
  <c r="U25" i="10"/>
  <c r="V25" i="10" s="1"/>
  <c r="T28" i="10"/>
  <c r="DH18" i="10"/>
  <c r="BI18" i="10" s="1"/>
  <c r="BK18" i="10" s="1"/>
  <c r="AU22" i="10"/>
  <c r="DH28" i="10"/>
  <c r="BI28" i="10" s="1"/>
  <c r="BK28" i="10" s="1"/>
  <c r="BS24" i="10"/>
  <c r="BW24" i="10" s="1"/>
  <c r="BX24" i="10" s="1"/>
  <c r="AB25" i="9"/>
  <c r="U25" i="9"/>
  <c r="V25" i="9" s="1"/>
  <c r="BL20" i="9"/>
  <c r="U26" i="9"/>
  <c r="V26" i="9" s="1"/>
  <c r="AB29" i="9"/>
  <c r="R18" i="9"/>
  <c r="P18" i="9" s="1"/>
  <c r="S18" i="9" s="1"/>
  <c r="M18" i="9" s="1"/>
  <c r="N18" i="9" s="1"/>
  <c r="R22" i="9"/>
  <c r="P22" i="9" s="1"/>
  <c r="S22" i="9" s="1"/>
  <c r="M22" i="9" s="1"/>
  <c r="N22" i="9" s="1"/>
  <c r="AU26" i="9"/>
  <c r="O26" i="9"/>
  <c r="AG26" i="9"/>
  <c r="J26" i="9" s="1"/>
  <c r="I26" i="9" s="1"/>
  <c r="L26" i="9"/>
  <c r="U18" i="9"/>
  <c r="V18" i="9" s="1"/>
  <c r="U22" i="9"/>
  <c r="V22" i="9" s="1"/>
  <c r="U17" i="9"/>
  <c r="V17" i="9" s="1"/>
  <c r="U21" i="9"/>
  <c r="V21" i="9" s="1"/>
  <c r="U28" i="9"/>
  <c r="V28" i="9" s="1"/>
  <c r="BT29" i="9"/>
  <c r="BS29" i="9"/>
  <c r="BW29" i="9" s="1"/>
  <c r="BX29" i="9" s="1"/>
  <c r="U24" i="9"/>
  <c r="V24" i="9" s="1"/>
  <c r="BT27" i="9"/>
  <c r="BS27" i="9"/>
  <c r="BW27" i="9" s="1"/>
  <c r="BX27" i="9" s="1"/>
  <c r="BR27" i="9"/>
  <c r="U20" i="9"/>
  <c r="V20" i="9" s="1"/>
  <c r="BR29" i="9"/>
  <c r="BL19" i="9"/>
  <c r="BL23" i="9"/>
  <c r="AU28" i="9"/>
  <c r="O28" i="9"/>
  <c r="AG28" i="9"/>
  <c r="J28" i="9" s="1"/>
  <c r="I28" i="9" s="1"/>
  <c r="U19" i="9"/>
  <c r="V19" i="9" s="1"/>
  <c r="U23" i="9"/>
  <c r="V23" i="9" s="1"/>
  <c r="AF26" i="9"/>
  <c r="K26" i="9" s="1"/>
  <c r="BJ26" i="9" s="1"/>
  <c r="BL26" i="9" s="1"/>
  <c r="U27" i="9"/>
  <c r="V27" i="9" s="1"/>
  <c r="BR28" i="9"/>
  <c r="BT28" i="9"/>
  <c r="BS28" i="9"/>
  <c r="BW28" i="9" s="1"/>
  <c r="BX28" i="9" s="1"/>
  <c r="U29" i="9"/>
  <c r="V29" i="9" s="1"/>
  <c r="BK27" i="9"/>
  <c r="R19" i="9"/>
  <c r="P19" i="9" s="1"/>
  <c r="S19" i="9" s="1"/>
  <c r="M19" i="9" s="1"/>
  <c r="N19" i="9" s="1"/>
  <c r="R21" i="9"/>
  <c r="P21" i="9" s="1"/>
  <c r="S21" i="9" s="1"/>
  <c r="M21" i="9" s="1"/>
  <c r="N21" i="9" s="1"/>
  <c r="R23" i="9"/>
  <c r="P23" i="9" s="1"/>
  <c r="S23" i="9" s="1"/>
  <c r="M23" i="9" s="1"/>
  <c r="N23" i="9" s="1"/>
  <c r="AU24" i="9"/>
  <c r="O24" i="9"/>
  <c r="AG24" i="9"/>
  <c r="J24" i="9" s="1"/>
  <c r="I24" i="9" s="1"/>
  <c r="BK25" i="9"/>
  <c r="AU18" i="9"/>
  <c r="O18" i="9"/>
  <c r="AU20" i="9"/>
  <c r="O20" i="9"/>
  <c r="AU22" i="9"/>
  <c r="O22" i="9"/>
  <c r="L18" i="9"/>
  <c r="L20" i="9"/>
  <c r="L22" i="9"/>
  <c r="L24" i="9"/>
  <c r="BS26" i="9"/>
  <c r="BW26" i="9" s="1"/>
  <c r="BX26" i="9" s="1"/>
  <c r="BT26" i="9"/>
  <c r="AB25" i="8"/>
  <c r="BL28" i="8"/>
  <c r="BK17" i="8"/>
  <c r="AB27" i="8"/>
  <c r="BK23" i="8"/>
  <c r="AB29" i="8"/>
  <c r="AB20" i="8"/>
  <c r="R20" i="8"/>
  <c r="P20" i="8" s="1"/>
  <c r="S20" i="8" s="1"/>
  <c r="M20" i="8" s="1"/>
  <c r="N20" i="8" s="1"/>
  <c r="U22" i="8"/>
  <c r="V22" i="8" s="1"/>
  <c r="U18" i="8"/>
  <c r="V18" i="8" s="1"/>
  <c r="AB22" i="8"/>
  <c r="R22" i="8"/>
  <c r="P22" i="8" s="1"/>
  <c r="S22" i="8" s="1"/>
  <c r="M22" i="8" s="1"/>
  <c r="N22" i="8" s="1"/>
  <c r="U24" i="8"/>
  <c r="V24" i="8" s="1"/>
  <c r="U26" i="8"/>
  <c r="V26" i="8" s="1"/>
  <c r="BL17" i="8"/>
  <c r="BK21" i="8"/>
  <c r="BL23" i="8"/>
  <c r="BL18" i="8"/>
  <c r="U27" i="8"/>
  <c r="V27" i="8" s="1"/>
  <c r="U28" i="8"/>
  <c r="V28" i="8" s="1"/>
  <c r="AB18" i="8"/>
  <c r="R18" i="8"/>
  <c r="P18" i="8" s="1"/>
  <c r="S18" i="8" s="1"/>
  <c r="M18" i="8" s="1"/>
  <c r="N18" i="8" s="1"/>
  <c r="U20" i="8"/>
  <c r="V20" i="8" s="1"/>
  <c r="AU26" i="8"/>
  <c r="O26" i="8"/>
  <c r="AG26" i="8"/>
  <c r="J26" i="8" s="1"/>
  <c r="I26" i="8" s="1"/>
  <c r="T17" i="8"/>
  <c r="T19" i="8"/>
  <c r="T21" i="8"/>
  <c r="T23" i="8"/>
  <c r="AU28" i="8"/>
  <c r="O28" i="8"/>
  <c r="AG28" i="8"/>
  <c r="J28" i="8" s="1"/>
  <c r="I28" i="8" s="1"/>
  <c r="BK29" i="8"/>
  <c r="AF26" i="8"/>
  <c r="K26" i="8" s="1"/>
  <c r="BJ26" i="8" s="1"/>
  <c r="BL26" i="8" s="1"/>
  <c r="L28" i="8"/>
  <c r="U29" i="8"/>
  <c r="V29" i="8" s="1"/>
  <c r="L26" i="8"/>
  <c r="AU24" i="8"/>
  <c r="O24" i="8"/>
  <c r="AG24" i="8"/>
  <c r="J24" i="8" s="1"/>
  <c r="I24" i="8" s="1"/>
  <c r="BR27" i="8"/>
  <c r="BS27" i="8"/>
  <c r="BW27" i="8" s="1"/>
  <c r="BX27" i="8" s="1"/>
  <c r="AU18" i="8"/>
  <c r="O18" i="8"/>
  <c r="AU20" i="8"/>
  <c r="O20" i="8"/>
  <c r="AU22" i="8"/>
  <c r="O22" i="8"/>
  <c r="L18" i="8"/>
  <c r="L20" i="8"/>
  <c r="L22" i="8"/>
  <c r="L24" i="8"/>
  <c r="BS26" i="8"/>
  <c r="BW26" i="8" s="1"/>
  <c r="BX26" i="8" s="1"/>
  <c r="T25" i="8"/>
  <c r="BT26" i="8"/>
  <c r="BT26" i="7"/>
  <c r="BS26" i="7"/>
  <c r="BW26" i="7" s="1"/>
  <c r="BX26" i="7" s="1"/>
  <c r="BR26" i="7"/>
  <c r="BT18" i="7"/>
  <c r="BS18" i="7"/>
  <c r="BW18" i="7" s="1"/>
  <c r="BX18" i="7" s="1"/>
  <c r="BR18" i="7"/>
  <c r="BT20" i="7"/>
  <c r="BS20" i="7"/>
  <c r="BW20" i="7" s="1"/>
  <c r="BX20" i="7" s="1"/>
  <c r="BR20" i="7"/>
  <c r="BT24" i="7"/>
  <c r="BS24" i="7"/>
  <c r="BW24" i="7" s="1"/>
  <c r="BX24" i="7" s="1"/>
  <c r="BR24" i="7"/>
  <c r="BT30" i="7"/>
  <c r="BS30" i="7"/>
  <c r="BW30" i="7" s="1"/>
  <c r="BX30" i="7" s="1"/>
  <c r="BR30" i="7"/>
  <c r="AB19" i="7"/>
  <c r="R19" i="7"/>
  <c r="P19" i="7" s="1"/>
  <c r="S19" i="7" s="1"/>
  <c r="M19" i="7" s="1"/>
  <c r="N19" i="7" s="1"/>
  <c r="BL27" i="7"/>
  <c r="AB27" i="7"/>
  <c r="BT28" i="7"/>
  <c r="BS28" i="7"/>
  <c r="BW28" i="7" s="1"/>
  <c r="BX28" i="7" s="1"/>
  <c r="BR28" i="7"/>
  <c r="T21" i="7"/>
  <c r="DH21" i="7"/>
  <c r="BI21" i="7" s="1"/>
  <c r="BK21" i="7" s="1"/>
  <c r="AB24" i="7"/>
  <c r="U28" i="7"/>
  <c r="V28" i="7" s="1"/>
  <c r="R28" i="7" s="1"/>
  <c r="P28" i="7" s="1"/>
  <c r="S28" i="7" s="1"/>
  <c r="M28" i="7" s="1"/>
  <c r="N28" i="7" s="1"/>
  <c r="AF17" i="7"/>
  <c r="K17" i="7" s="1"/>
  <c r="BJ17" i="7" s="1"/>
  <c r="BL17" i="7" s="1"/>
  <c r="AU19" i="7"/>
  <c r="AG17" i="7"/>
  <c r="J17" i="7" s="1"/>
  <c r="I17" i="7" s="1"/>
  <c r="BT22" i="7"/>
  <c r="BS22" i="7"/>
  <c r="BW22" i="7" s="1"/>
  <c r="BX22" i="7" s="1"/>
  <c r="BR22" i="7"/>
  <c r="O25" i="7"/>
  <c r="L25" i="7"/>
  <c r="AU25" i="7"/>
  <c r="AG25" i="7"/>
  <c r="J25" i="7" s="1"/>
  <c r="I25" i="7" s="1"/>
  <c r="AF25" i="7"/>
  <c r="K25" i="7" s="1"/>
  <c r="BJ25" i="7" s="1"/>
  <c r="BR27" i="7"/>
  <c r="BT27" i="7"/>
  <c r="BS27" i="7"/>
  <c r="BW27" i="7" s="1"/>
  <c r="BX27" i="7" s="1"/>
  <c r="O29" i="7"/>
  <c r="L29" i="7"/>
  <c r="AU29" i="7"/>
  <c r="AB18" i="7"/>
  <c r="L19" i="7"/>
  <c r="R20" i="7"/>
  <c r="P20" i="7" s="1"/>
  <c r="S20" i="7" s="1"/>
  <c r="M20" i="7" s="1"/>
  <c r="N20" i="7" s="1"/>
  <c r="AB20" i="7"/>
  <c r="AF29" i="7"/>
  <c r="K29" i="7" s="1"/>
  <c r="BJ29" i="7" s="1"/>
  <c r="BL29" i="7" s="1"/>
  <c r="L17" i="7"/>
  <c r="BR21" i="7"/>
  <c r="BT21" i="7"/>
  <c r="BS21" i="7"/>
  <c r="BW21" i="7" s="1"/>
  <c r="BX21" i="7" s="1"/>
  <c r="BS23" i="7"/>
  <c r="BW23" i="7" s="1"/>
  <c r="BX23" i="7" s="1"/>
  <c r="T25" i="7"/>
  <c r="DH25" i="7"/>
  <c r="BI25" i="7" s="1"/>
  <c r="AG29" i="7"/>
  <c r="J29" i="7" s="1"/>
  <c r="I29" i="7" s="1"/>
  <c r="BK27" i="7"/>
  <c r="AU17" i="7"/>
  <c r="U24" i="7"/>
  <c r="V24" i="7" s="1"/>
  <c r="AB30" i="7"/>
  <c r="U27" i="7"/>
  <c r="V27" i="7" s="1"/>
  <c r="R27" i="7" s="1"/>
  <c r="P27" i="7" s="1"/>
  <c r="S27" i="7" s="1"/>
  <c r="M27" i="7" s="1"/>
  <c r="N27" i="7" s="1"/>
  <c r="AG21" i="7"/>
  <c r="J21" i="7" s="1"/>
  <c r="I21" i="7" s="1"/>
  <c r="AF21" i="7"/>
  <c r="K21" i="7" s="1"/>
  <c r="BJ21" i="7" s="1"/>
  <c r="BL21" i="7" s="1"/>
  <c r="O21" i="7"/>
  <c r="U22" i="7"/>
  <c r="V22" i="7" s="1"/>
  <c r="DH27" i="7"/>
  <c r="BI27" i="7" s="1"/>
  <c r="U19" i="7"/>
  <c r="V19" i="7" s="1"/>
  <c r="BT23" i="7"/>
  <c r="BK19" i="7"/>
  <c r="U20" i="7"/>
  <c r="V20" i="7" s="1"/>
  <c r="BK17" i="7"/>
  <c r="U18" i="7"/>
  <c r="V18" i="7" s="1"/>
  <c r="T23" i="7"/>
  <c r="R26" i="7"/>
  <c r="P26" i="7" s="1"/>
  <c r="S26" i="7" s="1"/>
  <c r="M26" i="7" s="1"/>
  <c r="N26" i="7" s="1"/>
  <c r="BK29" i="7"/>
  <c r="U30" i="7"/>
  <c r="V30" i="7" s="1"/>
  <c r="BS19" i="7"/>
  <c r="BW19" i="7" s="1"/>
  <c r="BX19" i="7" s="1"/>
  <c r="DH23" i="7"/>
  <c r="BI23" i="7" s="1"/>
  <c r="BL23" i="7" s="1"/>
  <c r="AU27" i="7"/>
  <c r="BS17" i="7"/>
  <c r="BW17" i="7" s="1"/>
  <c r="BX17" i="7" s="1"/>
  <c r="BT19" i="7"/>
  <c r="BS29" i="7"/>
  <c r="BW29" i="7" s="1"/>
  <c r="BX29" i="7" s="1"/>
  <c r="BK25" i="7"/>
  <c r="U26" i="7"/>
  <c r="V26" i="7" s="1"/>
  <c r="T29" i="7"/>
  <c r="AU23" i="7"/>
  <c r="DH29" i="7"/>
  <c r="BI29" i="7" s="1"/>
  <c r="BS25" i="7"/>
  <c r="BW25" i="7" s="1"/>
  <c r="BX25" i="7" s="1"/>
  <c r="BR19" i="6"/>
  <c r="BT19" i="6"/>
  <c r="BS19" i="6"/>
  <c r="BW19" i="6" s="1"/>
  <c r="BX19" i="6" s="1"/>
  <c r="BT17" i="6"/>
  <c r="BR17" i="6"/>
  <c r="BS17" i="6"/>
  <c r="BW17" i="6" s="1"/>
  <c r="BX17" i="6" s="1"/>
  <c r="U21" i="6"/>
  <c r="V21" i="6" s="1"/>
  <c r="AC20" i="6"/>
  <c r="AB24" i="6"/>
  <c r="R24" i="6"/>
  <c r="P24" i="6" s="1"/>
  <c r="S24" i="6" s="1"/>
  <c r="M24" i="6" s="1"/>
  <c r="N24" i="6" s="1"/>
  <c r="AB22" i="6"/>
  <c r="R22" i="6"/>
  <c r="P22" i="6" s="1"/>
  <c r="S22" i="6" s="1"/>
  <c r="M22" i="6" s="1"/>
  <c r="N22" i="6" s="1"/>
  <c r="BT25" i="6"/>
  <c r="BS25" i="6"/>
  <c r="BW25" i="6" s="1"/>
  <c r="BX25" i="6" s="1"/>
  <c r="BR25" i="6"/>
  <c r="BS23" i="6"/>
  <c r="BW23" i="6" s="1"/>
  <c r="BX23" i="6" s="1"/>
  <c r="BT23" i="6"/>
  <c r="BR23" i="6"/>
  <c r="U17" i="6"/>
  <c r="V17" i="6" s="1"/>
  <c r="BT29" i="6"/>
  <c r="BS29" i="6"/>
  <c r="BW29" i="6" s="1"/>
  <c r="BX29" i="6" s="1"/>
  <c r="BR29" i="6"/>
  <c r="AB20" i="6"/>
  <c r="R20" i="6"/>
  <c r="P20" i="6" s="1"/>
  <c r="S20" i="6" s="1"/>
  <c r="M20" i="6" s="1"/>
  <c r="N20" i="6" s="1"/>
  <c r="BS21" i="6"/>
  <c r="BW21" i="6" s="1"/>
  <c r="BX21" i="6" s="1"/>
  <c r="BR21" i="6"/>
  <c r="BT21" i="6"/>
  <c r="AB18" i="6"/>
  <c r="R18" i="6"/>
  <c r="P18" i="6" s="1"/>
  <c r="S18" i="6" s="1"/>
  <c r="M18" i="6" s="1"/>
  <c r="N18" i="6" s="1"/>
  <c r="AB26" i="6"/>
  <c r="BT27" i="6"/>
  <c r="BR27" i="6"/>
  <c r="BS27" i="6"/>
  <c r="BW27" i="6" s="1"/>
  <c r="BX27" i="6" s="1"/>
  <c r="U18" i="6"/>
  <c r="V18" i="6" s="1"/>
  <c r="AU23" i="6"/>
  <c r="AF23" i="6"/>
  <c r="K23" i="6" s="1"/>
  <c r="BJ23" i="6" s="1"/>
  <c r="BL23" i="6" s="1"/>
  <c r="AG23" i="6"/>
  <c r="J23" i="6" s="1"/>
  <c r="I23" i="6" s="1"/>
  <c r="U23" i="6" s="1"/>
  <c r="V23" i="6" s="1"/>
  <c r="O23" i="6"/>
  <c r="L23" i="6"/>
  <c r="BK26" i="6"/>
  <c r="DH18" i="6"/>
  <c r="BI18" i="6" s="1"/>
  <c r="BK18" i="6" s="1"/>
  <c r="U22" i="6"/>
  <c r="V22" i="6" s="1"/>
  <c r="AU29" i="6"/>
  <c r="L29" i="6"/>
  <c r="AG29" i="6"/>
  <c r="J29" i="6" s="1"/>
  <c r="I29" i="6" s="1"/>
  <c r="O29" i="6"/>
  <c r="AF29" i="6"/>
  <c r="K29" i="6" s="1"/>
  <c r="BJ29" i="6" s="1"/>
  <c r="BL29" i="6" s="1"/>
  <c r="DH22" i="6"/>
  <c r="BI22" i="6" s="1"/>
  <c r="BL22" i="6" s="1"/>
  <c r="AU17" i="6"/>
  <c r="AF17" i="6"/>
  <c r="K17" i="6" s="1"/>
  <c r="BJ17" i="6" s="1"/>
  <c r="BL17" i="6" s="1"/>
  <c r="AG17" i="6"/>
  <c r="J17" i="6" s="1"/>
  <c r="I17" i="6" s="1"/>
  <c r="L17" i="6"/>
  <c r="O17" i="6"/>
  <c r="BS18" i="6"/>
  <c r="BW18" i="6" s="1"/>
  <c r="BX18" i="6" s="1"/>
  <c r="L20" i="6"/>
  <c r="AB28" i="6"/>
  <c r="DH20" i="6"/>
  <c r="BI20" i="6" s="1"/>
  <c r="BK20" i="6" s="1"/>
  <c r="BT26" i="6"/>
  <c r="U19" i="6"/>
  <c r="V19" i="6" s="1"/>
  <c r="DH24" i="6"/>
  <c r="BI24" i="6" s="1"/>
  <c r="BL24" i="6" s="1"/>
  <c r="U28" i="6"/>
  <c r="V28" i="6" s="1"/>
  <c r="DH28" i="6"/>
  <c r="BI28" i="6" s="1"/>
  <c r="BK28" i="6" s="1"/>
  <c r="AU20" i="6"/>
  <c r="AU22" i="6"/>
  <c r="O18" i="6"/>
  <c r="BT18" i="6"/>
  <c r="U27" i="6"/>
  <c r="V27" i="6" s="1"/>
  <c r="AU21" i="6"/>
  <c r="AG21" i="6"/>
  <c r="J21" i="6" s="1"/>
  <c r="I21" i="6" s="1"/>
  <c r="AF21" i="6"/>
  <c r="K21" i="6" s="1"/>
  <c r="BJ21" i="6" s="1"/>
  <c r="BL21" i="6" s="1"/>
  <c r="L21" i="6"/>
  <c r="O21" i="6"/>
  <c r="BL26" i="6"/>
  <c r="AU25" i="6"/>
  <c r="AF25" i="6"/>
  <c r="K25" i="6" s="1"/>
  <c r="BJ25" i="6" s="1"/>
  <c r="BL25" i="6" s="1"/>
  <c r="L25" i="6"/>
  <c r="O25" i="6"/>
  <c r="AG25" i="6"/>
  <c r="J25" i="6" s="1"/>
  <c r="I25" i="6" s="1"/>
  <c r="U25" i="6" s="1"/>
  <c r="V25" i="6" s="1"/>
  <c r="AU27" i="6"/>
  <c r="AG27" i="6"/>
  <c r="J27" i="6" s="1"/>
  <c r="I27" i="6" s="1"/>
  <c r="AF27" i="6"/>
  <c r="K27" i="6" s="1"/>
  <c r="BJ27" i="6" s="1"/>
  <c r="BL27" i="6" s="1"/>
  <c r="O27" i="6"/>
  <c r="L27" i="6"/>
  <c r="U24" i="6"/>
  <c r="V24" i="6" s="1"/>
  <c r="AC24" i="6" s="1"/>
  <c r="AU18" i="6"/>
  <c r="DH26" i="6"/>
  <c r="BI26" i="6" s="1"/>
  <c r="AU19" i="6"/>
  <c r="AF19" i="6"/>
  <c r="K19" i="6" s="1"/>
  <c r="BJ19" i="6" s="1"/>
  <c r="BL19" i="6" s="1"/>
  <c r="O19" i="6"/>
  <c r="AG19" i="6"/>
  <c r="J19" i="6" s="1"/>
  <c r="I19" i="6" s="1"/>
  <c r="L19" i="6"/>
  <c r="BS20" i="6"/>
  <c r="BW20" i="6" s="1"/>
  <c r="BX20" i="6" s="1"/>
  <c r="U29" i="6"/>
  <c r="V29" i="6" s="1"/>
  <c r="BK24" i="6"/>
  <c r="BL28" i="6"/>
  <c r="U20" i="6"/>
  <c r="V20" i="6" s="1"/>
  <c r="BS26" i="6"/>
  <c r="BW26" i="6" s="1"/>
  <c r="BX26" i="6" s="1"/>
  <c r="BS28" i="6"/>
  <c r="BW28" i="6" s="1"/>
  <c r="BX28" i="6" s="1"/>
  <c r="BT28" i="6"/>
  <c r="U26" i="6"/>
  <c r="V26" i="6" s="1"/>
  <c r="AC26" i="6" s="1"/>
  <c r="BT20" i="6"/>
  <c r="AB25" i="5"/>
  <c r="BL19" i="5"/>
  <c r="AB22" i="5"/>
  <c r="U24" i="5"/>
  <c r="V24" i="5" s="1"/>
  <c r="R17" i="5"/>
  <c r="P17" i="5" s="1"/>
  <c r="S17" i="5" s="1"/>
  <c r="M17" i="5" s="1"/>
  <c r="N17" i="5" s="1"/>
  <c r="AB17" i="5"/>
  <c r="W27" i="5"/>
  <c r="AA27" i="5" s="1"/>
  <c r="AC27" i="5"/>
  <c r="AD27" i="5"/>
  <c r="AE27" i="5" s="1"/>
  <c r="W23" i="5"/>
  <c r="AA23" i="5" s="1"/>
  <c r="AD23" i="5"/>
  <c r="AC23" i="5"/>
  <c r="AB20" i="5"/>
  <c r="U25" i="5"/>
  <c r="V25" i="5" s="1"/>
  <c r="U17" i="5"/>
  <c r="V17" i="5" s="1"/>
  <c r="BL26" i="5"/>
  <c r="U20" i="5"/>
  <c r="V20" i="5" s="1"/>
  <c r="R20" i="5" s="1"/>
  <c r="P20" i="5" s="1"/>
  <c r="S20" i="5" s="1"/>
  <c r="M20" i="5" s="1"/>
  <c r="N20" i="5" s="1"/>
  <c r="BL27" i="5"/>
  <c r="AB18" i="5"/>
  <c r="R18" i="5"/>
  <c r="P18" i="5" s="1"/>
  <c r="S18" i="5" s="1"/>
  <c r="M18" i="5" s="1"/>
  <c r="N18" i="5" s="1"/>
  <c r="BL24" i="5"/>
  <c r="U18" i="5"/>
  <c r="V18" i="5" s="1"/>
  <c r="BK23" i="5"/>
  <c r="R19" i="5"/>
  <c r="P19" i="5" s="1"/>
  <c r="S19" i="5" s="1"/>
  <c r="M19" i="5" s="1"/>
  <c r="N19" i="5" s="1"/>
  <c r="U22" i="5"/>
  <c r="V22" i="5" s="1"/>
  <c r="U29" i="5"/>
  <c r="V29" i="5" s="1"/>
  <c r="L20" i="5"/>
  <c r="U21" i="5"/>
  <c r="V21" i="5" s="1"/>
  <c r="BK18" i="5"/>
  <c r="U19" i="5"/>
  <c r="V19" i="5" s="1"/>
  <c r="AF22" i="5"/>
  <c r="K22" i="5" s="1"/>
  <c r="BJ22" i="5" s="1"/>
  <c r="BL22" i="5" s="1"/>
  <c r="BK27" i="5"/>
  <c r="BS24" i="5"/>
  <c r="BW24" i="5" s="1"/>
  <c r="BX24" i="5" s="1"/>
  <c r="BT24" i="5"/>
  <c r="AU26" i="5"/>
  <c r="O26" i="5"/>
  <c r="AG26" i="5"/>
  <c r="J26" i="5" s="1"/>
  <c r="I26" i="5" s="1"/>
  <c r="U26" i="5" s="1"/>
  <c r="V26" i="5" s="1"/>
  <c r="AU22" i="5"/>
  <c r="O22" i="5"/>
  <c r="R29" i="5"/>
  <c r="P29" i="5" s="1"/>
  <c r="S29" i="5" s="1"/>
  <c r="M29" i="5" s="1"/>
  <c r="N29" i="5" s="1"/>
  <c r="R21" i="5"/>
  <c r="P21" i="5" s="1"/>
  <c r="S21" i="5" s="1"/>
  <c r="M21" i="5" s="1"/>
  <c r="N21" i="5" s="1"/>
  <c r="BL23" i="5"/>
  <c r="BK26" i="5"/>
  <c r="BL17" i="5"/>
  <c r="AB19" i="5"/>
  <c r="L22" i="5"/>
  <c r="BK22" i="5"/>
  <c r="AF20" i="5"/>
  <c r="K20" i="5" s="1"/>
  <c r="BJ20" i="5" s="1"/>
  <c r="BL20" i="5" s="1"/>
  <c r="L26" i="5"/>
  <c r="BK29" i="5"/>
  <c r="BL29" i="5"/>
  <c r="AU20" i="5"/>
  <c r="O20" i="5"/>
  <c r="AU28" i="5"/>
  <c r="O28" i="5"/>
  <c r="AG28" i="5"/>
  <c r="J28" i="5" s="1"/>
  <c r="I28" i="5" s="1"/>
  <c r="BR21" i="5"/>
  <c r="AU24" i="5"/>
  <c r="O24" i="5"/>
  <c r="AG24" i="5"/>
  <c r="J24" i="5" s="1"/>
  <c r="I24" i="5" s="1"/>
  <c r="L28" i="5"/>
  <c r="BS21" i="5"/>
  <c r="BW21" i="5" s="1"/>
  <c r="BX21" i="5" s="1"/>
  <c r="BR25" i="5"/>
  <c r="R27" i="5"/>
  <c r="P27" i="5" s="1"/>
  <c r="S27" i="5" s="1"/>
  <c r="M27" i="5" s="1"/>
  <c r="N27" i="5" s="1"/>
  <c r="BS20" i="5"/>
  <c r="BW20" i="5" s="1"/>
  <c r="BX20" i="5" s="1"/>
  <c r="BK24" i="5"/>
  <c r="BS25" i="5"/>
  <c r="BW25" i="5" s="1"/>
  <c r="BX25" i="5" s="1"/>
  <c r="BS28" i="5"/>
  <c r="BW28" i="5" s="1"/>
  <c r="BX28" i="5" s="1"/>
  <c r="AB29" i="5"/>
  <c r="AU18" i="5"/>
  <c r="O18" i="5"/>
  <c r="BT20" i="5"/>
  <c r="R23" i="5"/>
  <c r="P23" i="5" s="1"/>
  <c r="S23" i="5" s="1"/>
  <c r="M23" i="5" s="1"/>
  <c r="N23" i="5" s="1"/>
  <c r="BT28" i="5"/>
  <c r="AB21" i="5"/>
  <c r="L24" i="5"/>
  <c r="AB18" i="4"/>
  <c r="AB21" i="4"/>
  <c r="U20" i="4"/>
  <c r="V20" i="4" s="1"/>
  <c r="W25" i="4"/>
  <c r="AA25" i="4" s="1"/>
  <c r="AD25" i="4"/>
  <c r="AC25" i="4"/>
  <c r="BK17" i="4"/>
  <c r="BL20" i="4"/>
  <c r="U21" i="4"/>
  <c r="V21" i="4" s="1"/>
  <c r="U26" i="4"/>
  <c r="V26" i="4" s="1"/>
  <c r="AB20" i="4"/>
  <c r="R20" i="4"/>
  <c r="P20" i="4" s="1"/>
  <c r="S20" i="4" s="1"/>
  <c r="M20" i="4" s="1"/>
  <c r="N20" i="4" s="1"/>
  <c r="AD23" i="4"/>
  <c r="AC23" i="4"/>
  <c r="W23" i="4"/>
  <c r="AA23" i="4" s="1"/>
  <c r="U22" i="4"/>
  <c r="V22" i="4" s="1"/>
  <c r="BL26" i="4"/>
  <c r="AC17" i="4"/>
  <c r="W17" i="4"/>
  <c r="AA17" i="4" s="1"/>
  <c r="AD17" i="4"/>
  <c r="AE17" i="4" s="1"/>
  <c r="AB22" i="4"/>
  <c r="R22" i="4"/>
  <c r="P22" i="4" s="1"/>
  <c r="S22" i="4" s="1"/>
  <c r="M22" i="4" s="1"/>
  <c r="N22" i="4" s="1"/>
  <c r="R23" i="4"/>
  <c r="P23" i="4" s="1"/>
  <c r="S23" i="4" s="1"/>
  <c r="M23" i="4" s="1"/>
  <c r="N23" i="4" s="1"/>
  <c r="BL24" i="4"/>
  <c r="BK27" i="4"/>
  <c r="U28" i="4"/>
  <c r="V28" i="4" s="1"/>
  <c r="AU18" i="4"/>
  <c r="O18" i="4"/>
  <c r="BL27" i="4"/>
  <c r="R17" i="4"/>
  <c r="P17" i="4" s="1"/>
  <c r="S17" i="4" s="1"/>
  <c r="M17" i="4" s="1"/>
  <c r="N17" i="4" s="1"/>
  <c r="U19" i="4"/>
  <c r="V19" i="4" s="1"/>
  <c r="BL19" i="4"/>
  <c r="AU26" i="4"/>
  <c r="O26" i="4"/>
  <c r="AG26" i="4"/>
  <c r="J26" i="4" s="1"/>
  <c r="I26" i="4" s="1"/>
  <c r="U27" i="4"/>
  <c r="V27" i="4" s="1"/>
  <c r="BK18" i="4"/>
  <c r="BR27" i="4"/>
  <c r="L18" i="4"/>
  <c r="BK26" i="4"/>
  <c r="BS27" i="4"/>
  <c r="BW27" i="4" s="1"/>
  <c r="BX27" i="4" s="1"/>
  <c r="BR19" i="4"/>
  <c r="AU22" i="4"/>
  <c r="O22" i="4"/>
  <c r="BS18" i="4"/>
  <c r="BW18" i="4" s="1"/>
  <c r="BX18" i="4" s="1"/>
  <c r="BK29" i="4"/>
  <c r="R25" i="4"/>
  <c r="P25" i="4" s="1"/>
  <c r="S25" i="4" s="1"/>
  <c r="M25" i="4" s="1"/>
  <c r="N25" i="4" s="1"/>
  <c r="BL29" i="4"/>
  <c r="U29" i="4"/>
  <c r="V29" i="4" s="1"/>
  <c r="U18" i="4"/>
  <c r="V18" i="4" s="1"/>
  <c r="BR17" i="4"/>
  <c r="AU20" i="4"/>
  <c r="O20" i="4"/>
  <c r="BS17" i="4"/>
  <c r="BW17" i="4" s="1"/>
  <c r="BX17" i="4" s="1"/>
  <c r="BS28" i="4"/>
  <c r="BW28" i="4" s="1"/>
  <c r="BX28" i="4" s="1"/>
  <c r="BK20" i="4"/>
  <c r="AU24" i="4"/>
  <c r="O24" i="4"/>
  <c r="AG24" i="4"/>
  <c r="J24" i="4" s="1"/>
  <c r="I24" i="4" s="1"/>
  <c r="BT28" i="4"/>
  <c r="AU28" i="4"/>
  <c r="O28" i="4"/>
  <c r="AG28" i="4"/>
  <c r="J28" i="4" s="1"/>
  <c r="I28" i="4" s="1"/>
  <c r="BL17" i="4"/>
  <c r="BK28" i="4"/>
  <c r="AB23" i="4"/>
  <c r="BK25" i="4"/>
  <c r="R19" i="4"/>
  <c r="P19" i="4" s="1"/>
  <c r="S19" i="4" s="1"/>
  <c r="M19" i="4" s="1"/>
  <c r="N19" i="4" s="1"/>
  <c r="L28" i="4"/>
  <c r="AB29" i="4"/>
  <c r="AB17" i="4"/>
  <c r="L20" i="4"/>
  <c r="BR25" i="4"/>
  <c r="AF18" i="4"/>
  <c r="K18" i="4" s="1"/>
  <c r="BJ18" i="4" s="1"/>
  <c r="BL18" i="4" s="1"/>
  <c r="BK24" i="4"/>
  <c r="AB18" i="3"/>
  <c r="AD19" i="3"/>
  <c r="AC19" i="3"/>
  <c r="W19" i="3"/>
  <c r="AA19" i="3" s="1"/>
  <c r="W21" i="3"/>
  <c r="AA21" i="3" s="1"/>
  <c r="AC21" i="3"/>
  <c r="AD21" i="3"/>
  <c r="AE21" i="3" s="1"/>
  <c r="BK17" i="3"/>
  <c r="BL19" i="3"/>
  <c r="BL22" i="3"/>
  <c r="AB22" i="3"/>
  <c r="U24" i="3"/>
  <c r="V24" i="3" s="1"/>
  <c r="U25" i="3"/>
  <c r="V25" i="3" s="1"/>
  <c r="W29" i="3"/>
  <c r="AA29" i="3" s="1"/>
  <c r="AD29" i="3"/>
  <c r="AC29" i="3"/>
  <c r="BL21" i="3"/>
  <c r="AB25" i="3"/>
  <c r="BL25" i="3"/>
  <c r="AB20" i="3"/>
  <c r="U28" i="3"/>
  <c r="V28" i="3" s="1"/>
  <c r="AD17" i="3"/>
  <c r="AC17" i="3"/>
  <c r="W17" i="3"/>
  <c r="AA17" i="3" s="1"/>
  <c r="BK21" i="3"/>
  <c r="U18" i="3"/>
  <c r="V18" i="3" s="1"/>
  <c r="U20" i="3"/>
  <c r="V20" i="3" s="1"/>
  <c r="BK27" i="3"/>
  <c r="AU26" i="3"/>
  <c r="O26" i="3"/>
  <c r="AG26" i="3"/>
  <c r="J26" i="3" s="1"/>
  <c r="I26" i="3" s="1"/>
  <c r="AU22" i="3"/>
  <c r="O22" i="3"/>
  <c r="U27" i="3"/>
  <c r="V27" i="3" s="1"/>
  <c r="R29" i="3"/>
  <c r="P29" i="3" s="1"/>
  <c r="S29" i="3" s="1"/>
  <c r="M29" i="3" s="1"/>
  <c r="N29" i="3" s="1"/>
  <c r="R21" i="3"/>
  <c r="P21" i="3" s="1"/>
  <c r="S21" i="3" s="1"/>
  <c r="M21" i="3" s="1"/>
  <c r="N21" i="3" s="1"/>
  <c r="BK26" i="3"/>
  <c r="L22" i="3"/>
  <c r="BK22" i="3"/>
  <c r="U23" i="3"/>
  <c r="V23" i="3" s="1"/>
  <c r="AF20" i="3"/>
  <c r="K20" i="3" s="1"/>
  <c r="BJ20" i="3" s="1"/>
  <c r="BL20" i="3" s="1"/>
  <c r="L26" i="3"/>
  <c r="AF28" i="3"/>
  <c r="K28" i="3" s="1"/>
  <c r="BJ28" i="3" s="1"/>
  <c r="BL28" i="3" s="1"/>
  <c r="BK29" i="3"/>
  <c r="AU20" i="3"/>
  <c r="O20" i="3"/>
  <c r="U26" i="3"/>
  <c r="V26" i="3" s="1"/>
  <c r="L20" i="3"/>
  <c r="BK28" i="3"/>
  <c r="AU24" i="3"/>
  <c r="O24" i="3"/>
  <c r="AG24" i="3"/>
  <c r="J24" i="3" s="1"/>
  <c r="I24" i="3" s="1"/>
  <c r="BS20" i="3"/>
  <c r="BW20" i="3" s="1"/>
  <c r="BX20" i="3" s="1"/>
  <c r="BT21" i="3"/>
  <c r="BK24" i="3"/>
  <c r="BS25" i="3"/>
  <c r="BW25" i="3" s="1"/>
  <c r="BX25" i="3" s="1"/>
  <c r="BS28" i="3"/>
  <c r="BW28" i="3" s="1"/>
  <c r="BX28" i="3" s="1"/>
  <c r="AB29" i="3"/>
  <c r="BK18" i="3"/>
  <c r="AU28" i="3"/>
  <c r="O28" i="3"/>
  <c r="AG28" i="3"/>
  <c r="J28" i="3" s="1"/>
  <c r="I28" i="3" s="1"/>
  <c r="R19" i="3"/>
  <c r="P19" i="3" s="1"/>
  <c r="S19" i="3" s="1"/>
  <c r="M19" i="3" s="1"/>
  <c r="N19" i="3" s="1"/>
  <c r="U22" i="3"/>
  <c r="V22" i="3" s="1"/>
  <c r="BK25" i="3"/>
  <c r="BK20" i="3"/>
  <c r="BR21" i="3"/>
  <c r="BR25" i="3"/>
  <c r="R17" i="3"/>
  <c r="P17" i="3" s="1"/>
  <c r="S17" i="3" s="1"/>
  <c r="M17" i="3" s="1"/>
  <c r="N17" i="3" s="1"/>
  <c r="AU18" i="3"/>
  <c r="O18" i="3"/>
  <c r="BT20" i="3"/>
  <c r="BT28" i="3"/>
  <c r="AB21" i="3"/>
  <c r="L24" i="3"/>
  <c r="AD25" i="2"/>
  <c r="AC25" i="2"/>
  <c r="W25" i="2"/>
  <c r="AA25" i="2" s="1"/>
  <c r="AD23" i="2"/>
  <c r="AC23" i="2"/>
  <c r="W23" i="2"/>
  <c r="AA23" i="2" s="1"/>
  <c r="AB18" i="2"/>
  <c r="R18" i="2"/>
  <c r="P18" i="2" s="1"/>
  <c r="S18" i="2" s="1"/>
  <c r="M18" i="2" s="1"/>
  <c r="N18" i="2" s="1"/>
  <c r="U19" i="2"/>
  <c r="V19" i="2" s="1"/>
  <c r="BL20" i="2"/>
  <c r="AB21" i="2"/>
  <c r="BK23" i="2"/>
  <c r="AB28" i="2"/>
  <c r="U22" i="2"/>
  <c r="V22" i="2" s="1"/>
  <c r="AB24" i="2"/>
  <c r="R24" i="2"/>
  <c r="P24" i="2" s="1"/>
  <c r="S24" i="2" s="1"/>
  <c r="M24" i="2" s="1"/>
  <c r="N24" i="2" s="1"/>
  <c r="U17" i="2"/>
  <c r="V17" i="2" s="1"/>
  <c r="U26" i="2"/>
  <c r="V26" i="2" s="1"/>
  <c r="BL18" i="2"/>
  <c r="R19" i="2"/>
  <c r="P19" i="2" s="1"/>
  <c r="S19" i="2" s="1"/>
  <c r="M19" i="2" s="1"/>
  <c r="N19" i="2" s="1"/>
  <c r="AB19" i="2"/>
  <c r="BL25" i="2"/>
  <c r="BL22" i="2"/>
  <c r="R25" i="2"/>
  <c r="P25" i="2" s="1"/>
  <c r="S25" i="2" s="1"/>
  <c r="M25" i="2" s="1"/>
  <c r="N25" i="2" s="1"/>
  <c r="AB25" i="2"/>
  <c r="AB22" i="2"/>
  <c r="U20" i="2"/>
  <c r="V20" i="2" s="1"/>
  <c r="AB17" i="2"/>
  <c r="W27" i="2"/>
  <c r="AA27" i="2" s="1"/>
  <c r="AD27" i="2"/>
  <c r="AE27" i="2" s="1"/>
  <c r="AB26" i="2"/>
  <c r="U18" i="2"/>
  <c r="V18" i="2" s="1"/>
  <c r="BK25" i="2"/>
  <c r="U28" i="2"/>
  <c r="V28" i="2" s="1"/>
  <c r="AB20" i="2"/>
  <c r="R20" i="2"/>
  <c r="P20" i="2" s="1"/>
  <c r="S20" i="2" s="1"/>
  <c r="M20" i="2" s="1"/>
  <c r="N20" i="2" s="1"/>
  <c r="U21" i="2"/>
  <c r="V21" i="2" s="1"/>
  <c r="R23" i="2"/>
  <c r="P23" i="2" s="1"/>
  <c r="S23" i="2" s="1"/>
  <c r="M23" i="2" s="1"/>
  <c r="N23" i="2" s="1"/>
  <c r="AB23" i="2"/>
  <c r="U24" i="2"/>
  <c r="V24" i="2" s="1"/>
  <c r="AC27" i="2"/>
  <c r="BL27" i="2"/>
  <c r="AB29" i="2"/>
  <c r="R27" i="2"/>
  <c r="P27" i="2" s="1"/>
  <c r="S27" i="2" s="1"/>
  <c r="M27" i="2" s="1"/>
  <c r="N27" i="2" s="1"/>
  <c r="AB27" i="2"/>
  <c r="BK28" i="2"/>
  <c r="U29" i="2"/>
  <c r="V29" i="2" s="1"/>
  <c r="BS29" i="2"/>
  <c r="BW29" i="2" s="1"/>
  <c r="BX29" i="2" s="1"/>
  <c r="BS28" i="2"/>
  <c r="BW28" i="2" s="1"/>
  <c r="BX28" i="2" s="1"/>
  <c r="BT29" i="2"/>
  <c r="BK26" i="2"/>
  <c r="BT28" i="2"/>
  <c r="BS27" i="2"/>
  <c r="BW27" i="2" s="1"/>
  <c r="BX27" i="2" s="1"/>
  <c r="BS26" i="2"/>
  <c r="BW26" i="2" s="1"/>
  <c r="BX26" i="2" s="1"/>
  <c r="BT27" i="2"/>
  <c r="AB21" i="1"/>
  <c r="AC17" i="1"/>
  <c r="BL19" i="1"/>
  <c r="AB18" i="1"/>
  <c r="U23" i="1"/>
  <c r="V23" i="1" s="1"/>
  <c r="R23" i="1" s="1"/>
  <c r="P23" i="1" s="1"/>
  <c r="S23" i="1" s="1"/>
  <c r="M23" i="1" s="1"/>
  <c r="N23" i="1" s="1"/>
  <c r="BT28" i="1"/>
  <c r="BS28" i="1"/>
  <c r="BW28" i="1" s="1"/>
  <c r="BX28" i="1" s="1"/>
  <c r="BR28" i="1"/>
  <c r="BT18" i="1"/>
  <c r="BS18" i="1"/>
  <c r="BW18" i="1" s="1"/>
  <c r="BX18" i="1" s="1"/>
  <c r="BR18" i="1"/>
  <c r="AB23" i="1"/>
  <c r="R24" i="1"/>
  <c r="P24" i="1" s="1"/>
  <c r="S24" i="1" s="1"/>
  <c r="M24" i="1" s="1"/>
  <c r="N24" i="1" s="1"/>
  <c r="AB24" i="1"/>
  <c r="BT30" i="1"/>
  <c r="BS30" i="1"/>
  <c r="BW30" i="1" s="1"/>
  <c r="BX30" i="1" s="1"/>
  <c r="BR30" i="1"/>
  <c r="BT20" i="1"/>
  <c r="BS20" i="1"/>
  <c r="BW20" i="1" s="1"/>
  <c r="BX20" i="1" s="1"/>
  <c r="BR20" i="1"/>
  <c r="U27" i="1"/>
  <c r="V27" i="1" s="1"/>
  <c r="U21" i="1"/>
  <c r="V21" i="1" s="1"/>
  <c r="AC21" i="1" s="1"/>
  <c r="BL24" i="1"/>
  <c r="L17" i="1"/>
  <c r="AG17" i="1"/>
  <c r="J17" i="1" s="1"/>
  <c r="I17" i="1" s="1"/>
  <c r="AF17" i="1"/>
  <c r="K17" i="1" s="1"/>
  <c r="BJ17" i="1" s="1"/>
  <c r="U24" i="1"/>
  <c r="V24" i="1" s="1"/>
  <c r="AD30" i="1"/>
  <c r="W30" i="1"/>
  <c r="AA30" i="1" s="1"/>
  <c r="AU19" i="1"/>
  <c r="O19" i="1"/>
  <c r="L19" i="1"/>
  <c r="AG19" i="1"/>
  <c r="J19" i="1" s="1"/>
  <c r="I19" i="1" s="1"/>
  <c r="L23" i="1"/>
  <c r="BR17" i="1"/>
  <c r="BS17" i="1"/>
  <c r="BW17" i="1" s="1"/>
  <c r="BX17" i="1" s="1"/>
  <c r="BT24" i="1"/>
  <c r="AG25" i="1"/>
  <c r="J25" i="1" s="1"/>
  <c r="I25" i="1" s="1"/>
  <c r="AF25" i="1"/>
  <c r="K25" i="1" s="1"/>
  <c r="BJ25" i="1" s="1"/>
  <c r="BL25" i="1" s="1"/>
  <c r="BK19" i="1"/>
  <c r="AU25" i="1"/>
  <c r="U26" i="1"/>
  <c r="V26" i="1" s="1"/>
  <c r="L27" i="1"/>
  <c r="AG27" i="1"/>
  <c r="J27" i="1" s="1"/>
  <c r="I27" i="1" s="1"/>
  <c r="AF27" i="1"/>
  <c r="K27" i="1" s="1"/>
  <c r="BJ27" i="1" s="1"/>
  <c r="BL27" i="1" s="1"/>
  <c r="U28" i="1"/>
  <c r="V28" i="1" s="1"/>
  <c r="BK29" i="1"/>
  <c r="AU27" i="1"/>
  <c r="BT17" i="1"/>
  <c r="O17" i="1"/>
  <c r="L25" i="1"/>
  <c r="U17" i="1"/>
  <c r="V17" i="1" s="1"/>
  <c r="BR21" i="1"/>
  <c r="BT21" i="1"/>
  <c r="BS21" i="1"/>
  <c r="BW21" i="1" s="1"/>
  <c r="BX21" i="1" s="1"/>
  <c r="BR22" i="1"/>
  <c r="U29" i="1"/>
  <c r="V29" i="1" s="1"/>
  <c r="U19" i="1"/>
  <c r="V19" i="1" s="1"/>
  <c r="U22" i="1"/>
  <c r="V22" i="1" s="1"/>
  <c r="R22" i="1" s="1"/>
  <c r="P22" i="1" s="1"/>
  <c r="S22" i="1" s="1"/>
  <c r="M22" i="1" s="1"/>
  <c r="N22" i="1" s="1"/>
  <c r="BS22" i="1"/>
  <c r="BW22" i="1" s="1"/>
  <c r="BX22" i="1" s="1"/>
  <c r="DH29" i="1"/>
  <c r="BI29" i="1" s="1"/>
  <c r="O25" i="1"/>
  <c r="O27" i="1"/>
  <c r="BK18" i="1"/>
  <c r="AF23" i="1"/>
  <c r="K23" i="1" s="1"/>
  <c r="BJ23" i="1" s="1"/>
  <c r="BL23" i="1" s="1"/>
  <c r="BK28" i="1"/>
  <c r="AB26" i="1"/>
  <c r="R28" i="1"/>
  <c r="P28" i="1" s="1"/>
  <c r="S28" i="1" s="1"/>
  <c r="M28" i="1" s="1"/>
  <c r="N28" i="1" s="1"/>
  <c r="AB28" i="1"/>
  <c r="AU23" i="1"/>
  <c r="O23" i="1"/>
  <c r="BL29" i="1"/>
  <c r="AU17" i="1"/>
  <c r="U18" i="1"/>
  <c r="V18" i="1" s="1"/>
  <c r="BS24" i="1"/>
  <c r="BW24" i="1" s="1"/>
  <c r="BX24" i="1" s="1"/>
  <c r="AU29" i="1"/>
  <c r="O29" i="1"/>
  <c r="L29" i="1"/>
  <c r="AG29" i="1"/>
  <c r="J29" i="1" s="1"/>
  <c r="I29" i="1" s="1"/>
  <c r="BR19" i="1"/>
  <c r="BT19" i="1"/>
  <c r="BS19" i="1"/>
  <c r="BW19" i="1" s="1"/>
  <c r="BX19" i="1" s="1"/>
  <c r="BR29" i="1"/>
  <c r="BT29" i="1"/>
  <c r="BS29" i="1"/>
  <c r="BW29" i="1" s="1"/>
  <c r="BX29" i="1" s="1"/>
  <c r="BT26" i="1"/>
  <c r="BS26" i="1"/>
  <c r="BW26" i="1" s="1"/>
  <c r="BX26" i="1" s="1"/>
  <c r="BR26" i="1"/>
  <c r="BK22" i="1"/>
  <c r="BR27" i="1"/>
  <c r="BS27" i="1"/>
  <c r="BW27" i="1" s="1"/>
  <c r="BX27" i="1" s="1"/>
  <c r="AC30" i="1"/>
  <c r="DH17" i="1"/>
  <c r="BI17" i="1" s="1"/>
  <c r="BK17" i="1" s="1"/>
  <c r="U20" i="1"/>
  <c r="V20" i="1" s="1"/>
  <c r="O21" i="1"/>
  <c r="T25" i="1"/>
  <c r="R20" i="1"/>
  <c r="P20" i="1" s="1"/>
  <c r="S20" i="1" s="1"/>
  <c r="M20" i="1" s="1"/>
  <c r="N20" i="1" s="1"/>
  <c r="R30" i="1"/>
  <c r="P30" i="1" s="1"/>
  <c r="S30" i="1" s="1"/>
  <c r="M30" i="1" s="1"/>
  <c r="N30" i="1" s="1"/>
  <c r="W18" i="14" l="1"/>
  <c r="AA18" i="14" s="1"/>
  <c r="AD18" i="14"/>
  <c r="AC18" i="14"/>
  <c r="AD17" i="14"/>
  <c r="W17" i="14"/>
  <c r="AA17" i="14" s="1"/>
  <c r="W20" i="14"/>
  <c r="AA20" i="14" s="1"/>
  <c r="AD20" i="14"/>
  <c r="AC20" i="14"/>
  <c r="AC17" i="14"/>
  <c r="W22" i="14"/>
  <c r="AA22" i="14" s="1"/>
  <c r="AD22" i="14"/>
  <c r="AE22" i="14" s="1"/>
  <c r="AC22" i="14"/>
  <c r="W24" i="14"/>
  <c r="AA24" i="14" s="1"/>
  <c r="AD24" i="14"/>
  <c r="AC24" i="14"/>
  <c r="AD23" i="14"/>
  <c r="AE23" i="14" s="1"/>
  <c r="W23" i="14"/>
  <c r="AA23" i="14" s="1"/>
  <c r="R22" i="14"/>
  <c r="P22" i="14" s="1"/>
  <c r="S22" i="14" s="1"/>
  <c r="M22" i="14" s="1"/>
  <c r="N22" i="14" s="1"/>
  <c r="W30" i="14"/>
  <c r="AA30" i="14" s="1"/>
  <c r="AD30" i="14"/>
  <c r="AE30" i="14" s="1"/>
  <c r="AC30" i="14"/>
  <c r="BL20" i="14"/>
  <c r="BL32" i="14"/>
  <c r="BL30" i="14"/>
  <c r="BL24" i="14"/>
  <c r="BL22" i="14"/>
  <c r="AD19" i="14"/>
  <c r="W19" i="14"/>
  <c r="AA19" i="14" s="1"/>
  <c r="R17" i="14"/>
  <c r="P17" i="14" s="1"/>
  <c r="S17" i="14" s="1"/>
  <c r="M17" i="14" s="1"/>
  <c r="N17" i="14" s="1"/>
  <c r="AE27" i="14"/>
  <c r="W32" i="14"/>
  <c r="AA32" i="14" s="1"/>
  <c r="AD32" i="14"/>
  <c r="AC32" i="14"/>
  <c r="AD31" i="14"/>
  <c r="AE31" i="14" s="1"/>
  <c r="W31" i="14"/>
  <c r="AA31" i="14" s="1"/>
  <c r="AC19" i="14"/>
  <c r="AE33" i="14"/>
  <c r="AD29" i="13"/>
  <c r="AE29" i="13" s="1"/>
  <c r="AC29" i="13"/>
  <c r="W29" i="13"/>
  <c r="AA29" i="13" s="1"/>
  <c r="AC17" i="13"/>
  <c r="AD17" i="13"/>
  <c r="W17" i="13"/>
  <c r="AA17" i="13" s="1"/>
  <c r="AD21" i="13"/>
  <c r="AC21" i="13"/>
  <c r="W21" i="13"/>
  <c r="AA21" i="13" s="1"/>
  <c r="AB19" i="13"/>
  <c r="U19" i="13"/>
  <c r="V19" i="13" s="1"/>
  <c r="AD25" i="13"/>
  <c r="AC25" i="13"/>
  <c r="W25" i="13"/>
  <c r="AA25" i="13" s="1"/>
  <c r="R27" i="13"/>
  <c r="P27" i="13" s="1"/>
  <c r="S27" i="13" s="1"/>
  <c r="M27" i="13" s="1"/>
  <c r="N27" i="13" s="1"/>
  <c r="AB27" i="13"/>
  <c r="R17" i="13"/>
  <c r="P17" i="13" s="1"/>
  <c r="S17" i="13" s="1"/>
  <c r="M17" i="13" s="1"/>
  <c r="N17" i="13" s="1"/>
  <c r="AB17" i="13"/>
  <c r="AE20" i="13"/>
  <c r="R25" i="13"/>
  <c r="P25" i="13" s="1"/>
  <c r="S25" i="13" s="1"/>
  <c r="M25" i="13" s="1"/>
  <c r="N25" i="13" s="1"/>
  <c r="AB25" i="13"/>
  <c r="AE22" i="13"/>
  <c r="AC27" i="13"/>
  <c r="AD27" i="13"/>
  <c r="W27" i="13"/>
  <c r="AA27" i="13" s="1"/>
  <c r="R21" i="13"/>
  <c r="P21" i="13" s="1"/>
  <c r="S21" i="13" s="1"/>
  <c r="M21" i="13" s="1"/>
  <c r="N21" i="13" s="1"/>
  <c r="AB21" i="13"/>
  <c r="AE28" i="13"/>
  <c r="R29" i="13"/>
  <c r="P29" i="13" s="1"/>
  <c r="S29" i="13" s="1"/>
  <c r="M29" i="13" s="1"/>
  <c r="N29" i="13" s="1"/>
  <c r="AB29" i="13"/>
  <c r="AB23" i="13"/>
  <c r="AE24" i="13"/>
  <c r="U23" i="13"/>
  <c r="V23" i="13" s="1"/>
  <c r="AB21" i="12"/>
  <c r="AC17" i="12"/>
  <c r="W17" i="12"/>
  <c r="AA17" i="12" s="1"/>
  <c r="AD17" i="12"/>
  <c r="AB19" i="12"/>
  <c r="R19" i="12"/>
  <c r="P19" i="12" s="1"/>
  <c r="S19" i="12" s="1"/>
  <c r="M19" i="12" s="1"/>
  <c r="N19" i="12" s="1"/>
  <c r="AD22" i="12"/>
  <c r="AC22" i="12"/>
  <c r="W22" i="12"/>
  <c r="AA22" i="12" s="1"/>
  <c r="AD20" i="12"/>
  <c r="AE20" i="12" s="1"/>
  <c r="AC20" i="12"/>
  <c r="W20" i="12"/>
  <c r="AA20" i="12" s="1"/>
  <c r="U21" i="12"/>
  <c r="V21" i="12" s="1"/>
  <c r="AD18" i="12"/>
  <c r="AC18" i="12"/>
  <c r="W18" i="12"/>
  <c r="AA18" i="12" s="1"/>
  <c r="AB17" i="12"/>
  <c r="R17" i="12"/>
  <c r="P17" i="12" s="1"/>
  <c r="S17" i="12" s="1"/>
  <c r="M17" i="12" s="1"/>
  <c r="N17" i="12" s="1"/>
  <c r="R20" i="12"/>
  <c r="P20" i="12" s="1"/>
  <c r="S20" i="12" s="1"/>
  <c r="M20" i="12" s="1"/>
  <c r="N20" i="12" s="1"/>
  <c r="U19" i="12"/>
  <c r="V19" i="12" s="1"/>
  <c r="W24" i="11"/>
  <c r="AA24" i="11" s="1"/>
  <c r="AD24" i="11"/>
  <c r="AD23" i="11"/>
  <c r="AC23" i="11"/>
  <c r="W23" i="11"/>
  <c r="AA23" i="11" s="1"/>
  <c r="BK22" i="11"/>
  <c r="W18" i="11"/>
  <c r="AA18" i="11" s="1"/>
  <c r="AD18" i="11"/>
  <c r="AE18" i="11" s="1"/>
  <c r="AD27" i="11"/>
  <c r="AC27" i="11"/>
  <c r="W27" i="11"/>
  <c r="AA27" i="11" s="1"/>
  <c r="BK26" i="11"/>
  <c r="W20" i="11"/>
  <c r="AA20" i="11" s="1"/>
  <c r="AD20" i="11"/>
  <c r="AE20" i="11" s="1"/>
  <c r="AB24" i="11"/>
  <c r="R24" i="11"/>
  <c r="P24" i="11" s="1"/>
  <c r="S24" i="11" s="1"/>
  <c r="M24" i="11" s="1"/>
  <c r="N24" i="11" s="1"/>
  <c r="AC24" i="11"/>
  <c r="W26" i="11"/>
  <c r="AA26" i="11" s="1"/>
  <c r="AD26" i="11"/>
  <c r="AE26" i="11" s="1"/>
  <c r="AD29" i="11"/>
  <c r="AE29" i="11" s="1"/>
  <c r="AC29" i="11"/>
  <c r="W29" i="11"/>
  <c r="AA29" i="11" s="1"/>
  <c r="AD17" i="11"/>
  <c r="AC17" i="11"/>
  <c r="W17" i="11"/>
  <c r="AA17" i="11" s="1"/>
  <c r="R23" i="11"/>
  <c r="P23" i="11" s="1"/>
  <c r="S23" i="11" s="1"/>
  <c r="M23" i="11" s="1"/>
  <c r="N23" i="11" s="1"/>
  <c r="AD19" i="11"/>
  <c r="AE19" i="11" s="1"/>
  <c r="AC19" i="11"/>
  <c r="W19" i="11"/>
  <c r="AA19" i="11" s="1"/>
  <c r="W22" i="11"/>
  <c r="AA22" i="11" s="1"/>
  <c r="AD22" i="11"/>
  <c r="AC22" i="11"/>
  <c r="M22" i="11"/>
  <c r="N22" i="11" s="1"/>
  <c r="U28" i="11"/>
  <c r="V28" i="11" s="1"/>
  <c r="AD25" i="11"/>
  <c r="AC25" i="11"/>
  <c r="W25" i="11"/>
  <c r="AA25" i="11" s="1"/>
  <c r="BL18" i="11"/>
  <c r="R29" i="11"/>
  <c r="P29" i="11" s="1"/>
  <c r="S29" i="11" s="1"/>
  <c r="M29" i="11" s="1"/>
  <c r="N29" i="11" s="1"/>
  <c r="AD21" i="10"/>
  <c r="AC21" i="10"/>
  <c r="W21" i="10"/>
  <c r="AA21" i="10" s="1"/>
  <c r="W22" i="10"/>
  <c r="AA22" i="10" s="1"/>
  <c r="AD22" i="10"/>
  <c r="AC22" i="10"/>
  <c r="AB20" i="10"/>
  <c r="R20" i="10"/>
  <c r="P20" i="10" s="1"/>
  <c r="S20" i="10" s="1"/>
  <c r="M20" i="10" s="1"/>
  <c r="N20" i="10" s="1"/>
  <c r="BK26" i="10"/>
  <c r="W26" i="10"/>
  <c r="AA26" i="10" s="1"/>
  <c r="AD26" i="10"/>
  <c r="AC26" i="10"/>
  <c r="AD19" i="10"/>
  <c r="AC19" i="10"/>
  <c r="W19" i="10"/>
  <c r="AA19" i="10" s="1"/>
  <c r="U28" i="10"/>
  <c r="V28" i="10" s="1"/>
  <c r="AD25" i="10"/>
  <c r="W25" i="10"/>
  <c r="AA25" i="10" s="1"/>
  <c r="AC25" i="10"/>
  <c r="W17" i="10"/>
  <c r="AA17" i="10" s="1"/>
  <c r="AD17" i="10"/>
  <c r="AC17" i="10"/>
  <c r="R21" i="10"/>
  <c r="P21" i="10" s="1"/>
  <c r="S21" i="10" s="1"/>
  <c r="M21" i="10" s="1"/>
  <c r="N21" i="10" s="1"/>
  <c r="R17" i="10"/>
  <c r="P17" i="10" s="1"/>
  <c r="S17" i="10" s="1"/>
  <c r="M17" i="10" s="1"/>
  <c r="N17" i="10" s="1"/>
  <c r="U18" i="10"/>
  <c r="V18" i="10" s="1"/>
  <c r="AD29" i="10"/>
  <c r="AC29" i="10"/>
  <c r="W29" i="10"/>
  <c r="AA29" i="10" s="1"/>
  <c r="M24" i="10"/>
  <c r="N24" i="10" s="1"/>
  <c r="AD23" i="10"/>
  <c r="AC23" i="10"/>
  <c r="W23" i="10"/>
  <c r="AA23" i="10" s="1"/>
  <c r="AD27" i="10"/>
  <c r="W27" i="10"/>
  <c r="AA27" i="10" s="1"/>
  <c r="AC27" i="10"/>
  <c r="R19" i="10"/>
  <c r="P19" i="10" s="1"/>
  <c r="S19" i="10" s="1"/>
  <c r="M19" i="10" s="1"/>
  <c r="N19" i="10" s="1"/>
  <c r="AB28" i="10"/>
  <c r="R27" i="10"/>
  <c r="P27" i="10" s="1"/>
  <c r="S27" i="10" s="1"/>
  <c r="M27" i="10" s="1"/>
  <c r="N27" i="10" s="1"/>
  <c r="R26" i="10"/>
  <c r="P26" i="10" s="1"/>
  <c r="S26" i="10" s="1"/>
  <c r="M26" i="10" s="1"/>
  <c r="N26" i="10" s="1"/>
  <c r="U20" i="10"/>
  <c r="V20" i="10" s="1"/>
  <c r="R22" i="10"/>
  <c r="P22" i="10" s="1"/>
  <c r="S22" i="10" s="1"/>
  <c r="M22" i="10" s="1"/>
  <c r="N22" i="10" s="1"/>
  <c r="AD17" i="9"/>
  <c r="AC17" i="9"/>
  <c r="W17" i="9"/>
  <c r="AA17" i="9" s="1"/>
  <c r="AB24" i="9"/>
  <c r="R24" i="9"/>
  <c r="P24" i="9" s="1"/>
  <c r="S24" i="9" s="1"/>
  <c r="M24" i="9" s="1"/>
  <c r="N24" i="9" s="1"/>
  <c r="AC22" i="9"/>
  <c r="W22" i="9"/>
  <c r="AA22" i="9" s="1"/>
  <c r="AD22" i="9"/>
  <c r="AE22" i="9" s="1"/>
  <c r="AD18" i="9"/>
  <c r="AC18" i="9"/>
  <c r="W18" i="9"/>
  <c r="AA18" i="9" s="1"/>
  <c r="R17" i="9"/>
  <c r="P17" i="9" s="1"/>
  <c r="S17" i="9" s="1"/>
  <c r="M17" i="9" s="1"/>
  <c r="N17" i="9" s="1"/>
  <c r="AC20" i="9"/>
  <c r="W20" i="9"/>
  <c r="AA20" i="9" s="1"/>
  <c r="AD20" i="9"/>
  <c r="AE20" i="9" s="1"/>
  <c r="R20" i="9"/>
  <c r="P20" i="9" s="1"/>
  <c r="S20" i="9" s="1"/>
  <c r="M20" i="9" s="1"/>
  <c r="N20" i="9" s="1"/>
  <c r="AB26" i="9"/>
  <c r="R26" i="9"/>
  <c r="P26" i="9" s="1"/>
  <c r="S26" i="9" s="1"/>
  <c r="M26" i="9" s="1"/>
  <c r="N26" i="9" s="1"/>
  <c r="W29" i="9"/>
  <c r="AA29" i="9" s="1"/>
  <c r="AD29" i="9"/>
  <c r="AE29" i="9" s="1"/>
  <c r="AC29" i="9"/>
  <c r="AD24" i="9"/>
  <c r="AC24" i="9"/>
  <c r="W24" i="9"/>
  <c r="AA24" i="9" s="1"/>
  <c r="R29" i="9"/>
  <c r="P29" i="9" s="1"/>
  <c r="S29" i="9" s="1"/>
  <c r="M29" i="9" s="1"/>
  <c r="N29" i="9" s="1"/>
  <c r="W27" i="9"/>
  <c r="AA27" i="9" s="1"/>
  <c r="AD27" i="9"/>
  <c r="AC27" i="9"/>
  <c r="R27" i="9"/>
  <c r="P27" i="9" s="1"/>
  <c r="S27" i="9" s="1"/>
  <c r="M27" i="9" s="1"/>
  <c r="N27" i="9" s="1"/>
  <c r="AD26" i="9"/>
  <c r="AC26" i="9"/>
  <c r="W26" i="9"/>
  <c r="AA26" i="9" s="1"/>
  <c r="AD23" i="9"/>
  <c r="AC23" i="9"/>
  <c r="W23" i="9"/>
  <c r="AA23" i="9" s="1"/>
  <c r="W25" i="9"/>
  <c r="AA25" i="9" s="1"/>
  <c r="AD25" i="9"/>
  <c r="AC25" i="9"/>
  <c r="AD19" i="9"/>
  <c r="AC19" i="9"/>
  <c r="W19" i="9"/>
  <c r="AA19" i="9" s="1"/>
  <c r="AC28" i="9"/>
  <c r="W28" i="9"/>
  <c r="AA28" i="9" s="1"/>
  <c r="AD28" i="9"/>
  <c r="AB28" i="9"/>
  <c r="R28" i="9"/>
  <c r="P28" i="9" s="1"/>
  <c r="S28" i="9" s="1"/>
  <c r="M28" i="9" s="1"/>
  <c r="N28" i="9" s="1"/>
  <c r="AD21" i="9"/>
  <c r="AC21" i="9"/>
  <c r="W21" i="9"/>
  <c r="AA21" i="9" s="1"/>
  <c r="R25" i="9"/>
  <c r="P25" i="9" s="1"/>
  <c r="S25" i="9" s="1"/>
  <c r="M25" i="9" s="1"/>
  <c r="N25" i="9" s="1"/>
  <c r="U23" i="8"/>
  <c r="V23" i="8" s="1"/>
  <c r="U21" i="8"/>
  <c r="V21" i="8" s="1"/>
  <c r="U19" i="8"/>
  <c r="V19" i="8" s="1"/>
  <c r="U17" i="8"/>
  <c r="V17" i="8" s="1"/>
  <c r="AB24" i="8"/>
  <c r="R24" i="8"/>
  <c r="P24" i="8" s="1"/>
  <c r="S24" i="8" s="1"/>
  <c r="M24" i="8" s="1"/>
  <c r="N24" i="8" s="1"/>
  <c r="AB26" i="8"/>
  <c r="R26" i="8"/>
  <c r="P26" i="8" s="1"/>
  <c r="S26" i="8" s="1"/>
  <c r="M26" i="8" s="1"/>
  <c r="N26" i="8" s="1"/>
  <c r="W18" i="8"/>
  <c r="AA18" i="8" s="1"/>
  <c r="AD18" i="8"/>
  <c r="AC18" i="8"/>
  <c r="W22" i="8"/>
  <c r="AA22" i="8" s="1"/>
  <c r="AD22" i="8"/>
  <c r="AC22" i="8"/>
  <c r="AD26" i="8"/>
  <c r="AC26" i="8"/>
  <c r="W26" i="8"/>
  <c r="AA26" i="8" s="1"/>
  <c r="W24" i="8"/>
  <c r="AA24" i="8" s="1"/>
  <c r="AD24" i="8"/>
  <c r="AC24" i="8"/>
  <c r="U25" i="8"/>
  <c r="V25" i="8" s="1"/>
  <c r="W20" i="8"/>
  <c r="AA20" i="8" s="1"/>
  <c r="AD20" i="8"/>
  <c r="AC20" i="8"/>
  <c r="W29" i="8"/>
  <c r="AA29" i="8" s="1"/>
  <c r="AD29" i="8"/>
  <c r="AE29" i="8" s="1"/>
  <c r="AC29" i="8"/>
  <c r="R29" i="8"/>
  <c r="P29" i="8" s="1"/>
  <c r="S29" i="8" s="1"/>
  <c r="M29" i="8" s="1"/>
  <c r="N29" i="8" s="1"/>
  <c r="AC28" i="8"/>
  <c r="W28" i="8"/>
  <c r="AA28" i="8" s="1"/>
  <c r="AD28" i="8"/>
  <c r="AE28" i="8" s="1"/>
  <c r="W27" i="8"/>
  <c r="AA27" i="8" s="1"/>
  <c r="AD27" i="8"/>
  <c r="AC27" i="8"/>
  <c r="R27" i="8"/>
  <c r="P27" i="8" s="1"/>
  <c r="S27" i="8" s="1"/>
  <c r="M27" i="8" s="1"/>
  <c r="N27" i="8" s="1"/>
  <c r="AB28" i="8"/>
  <c r="R28" i="8"/>
  <c r="P28" i="8" s="1"/>
  <c r="S28" i="8" s="1"/>
  <c r="M28" i="8" s="1"/>
  <c r="N28" i="8" s="1"/>
  <c r="AD30" i="7"/>
  <c r="AC30" i="7"/>
  <c r="W30" i="7"/>
  <c r="AA30" i="7" s="1"/>
  <c r="BK23" i="7"/>
  <c r="R30" i="7"/>
  <c r="P30" i="7" s="1"/>
  <c r="S30" i="7" s="1"/>
  <c r="M30" i="7" s="1"/>
  <c r="N30" i="7" s="1"/>
  <c r="U23" i="7"/>
  <c r="V23" i="7" s="1"/>
  <c r="AD18" i="7"/>
  <c r="AC18" i="7"/>
  <c r="W18" i="7"/>
  <c r="AA18" i="7" s="1"/>
  <c r="U29" i="7"/>
  <c r="V29" i="7" s="1"/>
  <c r="AB29" i="7"/>
  <c r="R29" i="7"/>
  <c r="P29" i="7" s="1"/>
  <c r="S29" i="7" s="1"/>
  <c r="M29" i="7" s="1"/>
  <c r="N29" i="7" s="1"/>
  <c r="U25" i="7"/>
  <c r="V25" i="7" s="1"/>
  <c r="R25" i="7" s="1"/>
  <c r="P25" i="7" s="1"/>
  <c r="S25" i="7" s="1"/>
  <c r="M25" i="7" s="1"/>
  <c r="N25" i="7" s="1"/>
  <c r="W19" i="7"/>
  <c r="AA19" i="7" s="1"/>
  <c r="AD19" i="7"/>
  <c r="AC19" i="7"/>
  <c r="AD22" i="7"/>
  <c r="AE22" i="7" s="1"/>
  <c r="W22" i="7"/>
  <c r="AA22" i="7" s="1"/>
  <c r="AC22" i="7"/>
  <c r="AB21" i="7"/>
  <c r="W27" i="7"/>
  <c r="AA27" i="7" s="1"/>
  <c r="AC27" i="7"/>
  <c r="AD27" i="7"/>
  <c r="AE27" i="7" s="1"/>
  <c r="AB17" i="7"/>
  <c r="R17" i="7"/>
  <c r="P17" i="7" s="1"/>
  <c r="S17" i="7" s="1"/>
  <c r="M17" i="7" s="1"/>
  <c r="N17" i="7" s="1"/>
  <c r="AD24" i="7"/>
  <c r="AC24" i="7"/>
  <c r="W24" i="7"/>
  <c r="AA24" i="7" s="1"/>
  <c r="AD28" i="7"/>
  <c r="W28" i="7"/>
  <c r="AA28" i="7" s="1"/>
  <c r="AC28" i="7"/>
  <c r="R18" i="7"/>
  <c r="P18" i="7" s="1"/>
  <c r="S18" i="7" s="1"/>
  <c r="M18" i="7" s="1"/>
  <c r="N18" i="7" s="1"/>
  <c r="AD20" i="7"/>
  <c r="AC20" i="7"/>
  <c r="W20" i="7"/>
  <c r="AA20" i="7" s="1"/>
  <c r="R24" i="7"/>
  <c r="P24" i="7" s="1"/>
  <c r="S24" i="7" s="1"/>
  <c r="M24" i="7" s="1"/>
  <c r="N24" i="7" s="1"/>
  <c r="AD26" i="7"/>
  <c r="W26" i="7"/>
  <c r="AA26" i="7" s="1"/>
  <c r="AC26" i="7"/>
  <c r="U17" i="7"/>
  <c r="V17" i="7" s="1"/>
  <c r="U21" i="7"/>
  <c r="V21" i="7" s="1"/>
  <c r="R22" i="7"/>
  <c r="P22" i="7" s="1"/>
  <c r="S22" i="7" s="1"/>
  <c r="M22" i="7" s="1"/>
  <c r="N22" i="7" s="1"/>
  <c r="BL25" i="7"/>
  <c r="AB25" i="7"/>
  <c r="AC23" i="6"/>
  <c r="AD23" i="6"/>
  <c r="W23" i="6"/>
  <c r="AA23" i="6" s="1"/>
  <c r="AC25" i="6"/>
  <c r="AD25" i="6"/>
  <c r="W25" i="6"/>
  <c r="AA25" i="6" s="1"/>
  <c r="AC19" i="6"/>
  <c r="AD19" i="6"/>
  <c r="W19" i="6"/>
  <c r="AA19" i="6" s="1"/>
  <c r="BL18" i="6"/>
  <c r="AC27" i="6"/>
  <c r="AD27" i="6"/>
  <c r="W27" i="6"/>
  <c r="AA27" i="6" s="1"/>
  <c r="R17" i="6"/>
  <c r="P17" i="6" s="1"/>
  <c r="S17" i="6" s="1"/>
  <c r="M17" i="6" s="1"/>
  <c r="N17" i="6" s="1"/>
  <c r="AB17" i="6"/>
  <c r="R25" i="6"/>
  <c r="P25" i="6" s="1"/>
  <c r="S25" i="6" s="1"/>
  <c r="M25" i="6" s="1"/>
  <c r="N25" i="6" s="1"/>
  <c r="AB25" i="6"/>
  <c r="W28" i="6"/>
  <c r="AA28" i="6" s="1"/>
  <c r="AD28" i="6"/>
  <c r="AC28" i="6"/>
  <c r="BK22" i="6"/>
  <c r="R29" i="6"/>
  <c r="P29" i="6" s="1"/>
  <c r="S29" i="6" s="1"/>
  <c r="M29" i="6" s="1"/>
  <c r="N29" i="6" s="1"/>
  <c r="AB29" i="6"/>
  <c r="W22" i="6"/>
  <c r="AA22" i="6" s="1"/>
  <c r="AD22" i="6"/>
  <c r="R23" i="6"/>
  <c r="P23" i="6" s="1"/>
  <c r="S23" i="6" s="1"/>
  <c r="M23" i="6" s="1"/>
  <c r="N23" i="6" s="1"/>
  <c r="AB23" i="6"/>
  <c r="AC22" i="6"/>
  <c r="W18" i="6"/>
  <c r="AA18" i="6" s="1"/>
  <c r="AD18" i="6"/>
  <c r="AC18" i="6"/>
  <c r="BL20" i="6"/>
  <c r="R19" i="6"/>
  <c r="P19" i="6" s="1"/>
  <c r="S19" i="6" s="1"/>
  <c r="M19" i="6" s="1"/>
  <c r="N19" i="6" s="1"/>
  <c r="AB19" i="6"/>
  <c r="AD21" i="6"/>
  <c r="AC21" i="6"/>
  <c r="W21" i="6"/>
  <c r="AA21" i="6" s="1"/>
  <c r="AD29" i="6"/>
  <c r="AC29" i="6"/>
  <c r="W29" i="6"/>
  <c r="AA29" i="6" s="1"/>
  <c r="R28" i="6"/>
  <c r="P28" i="6" s="1"/>
  <c r="S28" i="6" s="1"/>
  <c r="M28" i="6" s="1"/>
  <c r="N28" i="6" s="1"/>
  <c r="R21" i="6"/>
  <c r="P21" i="6" s="1"/>
  <c r="S21" i="6" s="1"/>
  <c r="M21" i="6" s="1"/>
  <c r="N21" i="6" s="1"/>
  <c r="AB21" i="6"/>
  <c r="W26" i="6"/>
  <c r="AA26" i="6" s="1"/>
  <c r="AD26" i="6"/>
  <c r="AE26" i="6" s="1"/>
  <c r="W24" i="6"/>
  <c r="AA24" i="6" s="1"/>
  <c r="AD24" i="6"/>
  <c r="AE24" i="6" s="1"/>
  <c r="AC17" i="6"/>
  <c r="AD17" i="6"/>
  <c r="W17" i="6"/>
  <c r="AA17" i="6" s="1"/>
  <c r="R27" i="6"/>
  <c r="P27" i="6" s="1"/>
  <c r="S27" i="6" s="1"/>
  <c r="M27" i="6" s="1"/>
  <c r="N27" i="6" s="1"/>
  <c r="AB27" i="6"/>
  <c r="W20" i="6"/>
  <c r="AA20" i="6" s="1"/>
  <c r="AD20" i="6"/>
  <c r="AE20" i="6" s="1"/>
  <c r="R26" i="6"/>
  <c r="P26" i="6" s="1"/>
  <c r="S26" i="6" s="1"/>
  <c r="M26" i="6" s="1"/>
  <c r="N26" i="6" s="1"/>
  <c r="W26" i="5"/>
  <c r="AA26" i="5" s="1"/>
  <c r="AD26" i="5"/>
  <c r="AC26" i="5"/>
  <c r="W21" i="5"/>
  <c r="AA21" i="5" s="1"/>
  <c r="AD21" i="5"/>
  <c r="AC21" i="5"/>
  <c r="W29" i="5"/>
  <c r="AA29" i="5" s="1"/>
  <c r="AD29" i="5"/>
  <c r="AC29" i="5"/>
  <c r="W22" i="5"/>
  <c r="AA22" i="5" s="1"/>
  <c r="AD22" i="5"/>
  <c r="AE22" i="5" s="1"/>
  <c r="AC22" i="5"/>
  <c r="AE23" i="5"/>
  <c r="AB24" i="5"/>
  <c r="R24" i="5"/>
  <c r="P24" i="5" s="1"/>
  <c r="S24" i="5" s="1"/>
  <c r="M24" i="5" s="1"/>
  <c r="N24" i="5" s="1"/>
  <c r="W18" i="5"/>
  <c r="AA18" i="5" s="1"/>
  <c r="AD18" i="5"/>
  <c r="AC18" i="5"/>
  <c r="AB26" i="5"/>
  <c r="R26" i="5"/>
  <c r="P26" i="5" s="1"/>
  <c r="S26" i="5" s="1"/>
  <c r="M26" i="5" s="1"/>
  <c r="N26" i="5" s="1"/>
  <c r="AB28" i="5"/>
  <c r="W24" i="5"/>
  <c r="AA24" i="5" s="1"/>
  <c r="AD24" i="5"/>
  <c r="AC24" i="5"/>
  <c r="R22" i="5"/>
  <c r="P22" i="5" s="1"/>
  <c r="S22" i="5" s="1"/>
  <c r="M22" i="5" s="1"/>
  <c r="N22" i="5" s="1"/>
  <c r="W20" i="5"/>
  <c r="AA20" i="5" s="1"/>
  <c r="AD20" i="5"/>
  <c r="AC20" i="5"/>
  <c r="AD17" i="5"/>
  <c r="AC17" i="5"/>
  <c r="W17" i="5"/>
  <c r="AA17" i="5" s="1"/>
  <c r="AD19" i="5"/>
  <c r="AC19" i="5"/>
  <c r="W19" i="5"/>
  <c r="AA19" i="5" s="1"/>
  <c r="W25" i="5"/>
  <c r="AA25" i="5" s="1"/>
  <c r="AD25" i="5"/>
  <c r="AC25" i="5"/>
  <c r="R25" i="5"/>
  <c r="P25" i="5" s="1"/>
  <c r="S25" i="5" s="1"/>
  <c r="M25" i="5" s="1"/>
  <c r="N25" i="5" s="1"/>
  <c r="U28" i="5"/>
  <c r="V28" i="5" s="1"/>
  <c r="W18" i="4"/>
  <c r="AA18" i="4" s="1"/>
  <c r="AD18" i="4"/>
  <c r="AC18" i="4"/>
  <c r="W29" i="4"/>
  <c r="AA29" i="4" s="1"/>
  <c r="AD29" i="4"/>
  <c r="AC29" i="4"/>
  <c r="W28" i="4"/>
  <c r="AA28" i="4" s="1"/>
  <c r="AD28" i="4"/>
  <c r="AC28" i="4"/>
  <c r="R29" i="4"/>
  <c r="P29" i="4" s="1"/>
  <c r="S29" i="4" s="1"/>
  <c r="M29" i="4" s="1"/>
  <c r="N29" i="4" s="1"/>
  <c r="AB24" i="4"/>
  <c r="W20" i="4"/>
  <c r="AA20" i="4" s="1"/>
  <c r="AD20" i="4"/>
  <c r="AC20" i="4"/>
  <c r="R18" i="4"/>
  <c r="P18" i="4" s="1"/>
  <c r="S18" i="4" s="1"/>
  <c r="M18" i="4" s="1"/>
  <c r="N18" i="4" s="1"/>
  <c r="W26" i="4"/>
  <c r="AA26" i="4" s="1"/>
  <c r="AD26" i="4"/>
  <c r="AC26" i="4"/>
  <c r="AB26" i="4"/>
  <c r="R26" i="4"/>
  <c r="P26" i="4" s="1"/>
  <c r="S26" i="4" s="1"/>
  <c r="M26" i="4" s="1"/>
  <c r="N26" i="4" s="1"/>
  <c r="U24" i="4"/>
  <c r="V24" i="4" s="1"/>
  <c r="R24" i="4" s="1"/>
  <c r="P24" i="4" s="1"/>
  <c r="S24" i="4" s="1"/>
  <c r="M24" i="4" s="1"/>
  <c r="N24" i="4" s="1"/>
  <c r="W22" i="4"/>
  <c r="AA22" i="4" s="1"/>
  <c r="AD22" i="4"/>
  <c r="AC22" i="4"/>
  <c r="AE23" i="4"/>
  <c r="AB28" i="4"/>
  <c r="R28" i="4"/>
  <c r="P28" i="4" s="1"/>
  <c r="S28" i="4" s="1"/>
  <c r="M28" i="4" s="1"/>
  <c r="N28" i="4" s="1"/>
  <c r="W21" i="4"/>
  <c r="AA21" i="4" s="1"/>
  <c r="AD21" i="4"/>
  <c r="AC21" i="4"/>
  <c r="AE25" i="4"/>
  <c r="W27" i="4"/>
  <c r="AA27" i="4" s="1"/>
  <c r="AC27" i="4"/>
  <c r="AD27" i="4"/>
  <c r="AE27" i="4" s="1"/>
  <c r="R27" i="4"/>
  <c r="P27" i="4" s="1"/>
  <c r="S27" i="4" s="1"/>
  <c r="M27" i="4" s="1"/>
  <c r="N27" i="4" s="1"/>
  <c r="R21" i="4"/>
  <c r="P21" i="4" s="1"/>
  <c r="S21" i="4" s="1"/>
  <c r="M21" i="4" s="1"/>
  <c r="N21" i="4" s="1"/>
  <c r="AD19" i="4"/>
  <c r="AC19" i="4"/>
  <c r="W19" i="4"/>
  <c r="AA19" i="4" s="1"/>
  <c r="W20" i="3"/>
  <c r="AA20" i="3" s="1"/>
  <c r="AD20" i="3"/>
  <c r="AC20" i="3"/>
  <c r="W25" i="3"/>
  <c r="AA25" i="3" s="1"/>
  <c r="AD25" i="3"/>
  <c r="AC25" i="3"/>
  <c r="W22" i="3"/>
  <c r="AA22" i="3" s="1"/>
  <c r="AD22" i="3"/>
  <c r="AC22" i="3"/>
  <c r="W18" i="3"/>
  <c r="AA18" i="3" s="1"/>
  <c r="AD18" i="3"/>
  <c r="AE18" i="3" s="1"/>
  <c r="AC18" i="3"/>
  <c r="W24" i="3"/>
  <c r="AA24" i="3" s="1"/>
  <c r="AD24" i="3"/>
  <c r="AC24" i="3"/>
  <c r="AB28" i="3"/>
  <c r="R28" i="3"/>
  <c r="P28" i="3" s="1"/>
  <c r="S28" i="3" s="1"/>
  <c r="M28" i="3" s="1"/>
  <c r="N28" i="3" s="1"/>
  <c r="R22" i="3"/>
  <c r="P22" i="3" s="1"/>
  <c r="S22" i="3" s="1"/>
  <c r="M22" i="3" s="1"/>
  <c r="N22" i="3" s="1"/>
  <c r="AE29" i="3"/>
  <c r="AE17" i="3"/>
  <c r="R20" i="3"/>
  <c r="P20" i="3" s="1"/>
  <c r="S20" i="3" s="1"/>
  <c r="M20" i="3" s="1"/>
  <c r="N20" i="3" s="1"/>
  <c r="W27" i="3"/>
  <c r="AA27" i="3" s="1"/>
  <c r="AD27" i="3"/>
  <c r="AC27" i="3"/>
  <c r="W26" i="3"/>
  <c r="AA26" i="3" s="1"/>
  <c r="AD26" i="3"/>
  <c r="AC26" i="3"/>
  <c r="AC23" i="3"/>
  <c r="AD23" i="3"/>
  <c r="AE23" i="3" s="1"/>
  <c r="W23" i="3"/>
  <c r="AA23" i="3" s="1"/>
  <c r="W28" i="3"/>
  <c r="AA28" i="3" s="1"/>
  <c r="AD28" i="3"/>
  <c r="AC28" i="3"/>
  <c r="R23" i="3"/>
  <c r="P23" i="3" s="1"/>
  <c r="S23" i="3" s="1"/>
  <c r="M23" i="3" s="1"/>
  <c r="N23" i="3" s="1"/>
  <c r="R27" i="3"/>
  <c r="P27" i="3" s="1"/>
  <c r="S27" i="3" s="1"/>
  <c r="M27" i="3" s="1"/>
  <c r="N27" i="3" s="1"/>
  <c r="AB24" i="3"/>
  <c r="R24" i="3"/>
  <c r="P24" i="3" s="1"/>
  <c r="S24" i="3" s="1"/>
  <c r="M24" i="3" s="1"/>
  <c r="N24" i="3" s="1"/>
  <c r="R25" i="3"/>
  <c r="P25" i="3" s="1"/>
  <c r="S25" i="3" s="1"/>
  <c r="M25" i="3" s="1"/>
  <c r="N25" i="3" s="1"/>
  <c r="AE19" i="3"/>
  <c r="AB26" i="3"/>
  <c r="R26" i="3"/>
  <c r="P26" i="3" s="1"/>
  <c r="S26" i="3" s="1"/>
  <c r="M26" i="3" s="1"/>
  <c r="N26" i="3" s="1"/>
  <c r="R18" i="3"/>
  <c r="P18" i="3" s="1"/>
  <c r="S18" i="3" s="1"/>
  <c r="M18" i="3" s="1"/>
  <c r="N18" i="3" s="1"/>
  <c r="W28" i="2"/>
  <c r="AA28" i="2" s="1"/>
  <c r="AC28" i="2"/>
  <c r="AD28" i="2"/>
  <c r="AE28" i="2" s="1"/>
  <c r="AD26" i="2"/>
  <c r="AC26" i="2"/>
  <c r="W26" i="2"/>
  <c r="AA26" i="2" s="1"/>
  <c r="AD17" i="2"/>
  <c r="AC17" i="2"/>
  <c r="W17" i="2"/>
  <c r="AA17" i="2" s="1"/>
  <c r="AD29" i="2"/>
  <c r="AE29" i="2" s="1"/>
  <c r="AC29" i="2"/>
  <c r="W29" i="2"/>
  <c r="AA29" i="2" s="1"/>
  <c r="AD22" i="2"/>
  <c r="AC22" i="2"/>
  <c r="W22" i="2"/>
  <c r="AA22" i="2" s="1"/>
  <c r="R28" i="2"/>
  <c r="P28" i="2" s="1"/>
  <c r="S28" i="2" s="1"/>
  <c r="M28" i="2" s="1"/>
  <c r="N28" i="2" s="1"/>
  <c r="R29" i="2"/>
  <c r="P29" i="2" s="1"/>
  <c r="S29" i="2" s="1"/>
  <c r="M29" i="2" s="1"/>
  <c r="N29" i="2" s="1"/>
  <c r="AD24" i="2"/>
  <c r="AC24" i="2"/>
  <c r="W24" i="2"/>
  <c r="AA24" i="2" s="1"/>
  <c r="AD21" i="2"/>
  <c r="AC21" i="2"/>
  <c r="W21" i="2"/>
  <c r="AA21" i="2" s="1"/>
  <c r="AE23" i="2"/>
  <c r="AD18" i="2"/>
  <c r="AC18" i="2"/>
  <c r="W18" i="2"/>
  <c r="AA18" i="2" s="1"/>
  <c r="R26" i="2"/>
  <c r="P26" i="2" s="1"/>
  <c r="S26" i="2" s="1"/>
  <c r="M26" i="2" s="1"/>
  <c r="N26" i="2" s="1"/>
  <c r="AE25" i="2"/>
  <c r="R17" i="2"/>
  <c r="P17" i="2" s="1"/>
  <c r="S17" i="2" s="1"/>
  <c r="M17" i="2" s="1"/>
  <c r="N17" i="2" s="1"/>
  <c r="AD20" i="2"/>
  <c r="AC20" i="2"/>
  <c r="W20" i="2"/>
  <c r="AA20" i="2" s="1"/>
  <c r="R22" i="2"/>
  <c r="P22" i="2" s="1"/>
  <c r="S22" i="2" s="1"/>
  <c r="M22" i="2" s="1"/>
  <c r="N22" i="2" s="1"/>
  <c r="R21" i="2"/>
  <c r="P21" i="2" s="1"/>
  <c r="S21" i="2" s="1"/>
  <c r="M21" i="2" s="1"/>
  <c r="N21" i="2" s="1"/>
  <c r="AD19" i="2"/>
  <c r="AC19" i="2"/>
  <c r="W19" i="2"/>
  <c r="AA19" i="2" s="1"/>
  <c r="AD26" i="1"/>
  <c r="AC26" i="1"/>
  <c r="W26" i="1"/>
  <c r="AA26" i="1" s="1"/>
  <c r="W19" i="1"/>
  <c r="AA19" i="1" s="1"/>
  <c r="AD19" i="1"/>
  <c r="W29" i="1"/>
  <c r="AA29" i="1" s="1"/>
  <c r="AD29" i="1"/>
  <c r="W27" i="1"/>
  <c r="AA27" i="1" s="1"/>
  <c r="AD27" i="1"/>
  <c r="AC27" i="1"/>
  <c r="AC29" i="1"/>
  <c r="AC23" i="1"/>
  <c r="AE30" i="1"/>
  <c r="U25" i="1"/>
  <c r="V25" i="1" s="1"/>
  <c r="AD28" i="1"/>
  <c r="AC28" i="1"/>
  <c r="W28" i="1"/>
  <c r="AA28" i="1" s="1"/>
  <c r="W24" i="1"/>
  <c r="AA24" i="1" s="1"/>
  <c r="AD24" i="1"/>
  <c r="AC24" i="1"/>
  <c r="AB29" i="1"/>
  <c r="R29" i="1"/>
  <c r="P29" i="1" s="1"/>
  <c r="S29" i="1" s="1"/>
  <c r="M29" i="1" s="1"/>
  <c r="N29" i="1" s="1"/>
  <c r="BL17" i="1"/>
  <c r="AB27" i="1"/>
  <c r="R27" i="1"/>
  <c r="P27" i="1" s="1"/>
  <c r="S27" i="1" s="1"/>
  <c r="M27" i="1" s="1"/>
  <c r="N27" i="1" s="1"/>
  <c r="AB17" i="1"/>
  <c r="R17" i="1"/>
  <c r="P17" i="1" s="1"/>
  <c r="S17" i="1" s="1"/>
  <c r="M17" i="1" s="1"/>
  <c r="N17" i="1" s="1"/>
  <c r="AD20" i="1"/>
  <c r="W20" i="1"/>
  <c r="AA20" i="1" s="1"/>
  <c r="AC20" i="1"/>
  <c r="W22" i="1"/>
  <c r="AA22" i="1" s="1"/>
  <c r="AD22" i="1"/>
  <c r="AC22" i="1"/>
  <c r="W21" i="1"/>
  <c r="AA21" i="1" s="1"/>
  <c r="AD21" i="1"/>
  <c r="AE21" i="1" s="1"/>
  <c r="AD18" i="1"/>
  <c r="AC18" i="1"/>
  <c r="W18" i="1"/>
  <c r="AA18" i="1" s="1"/>
  <c r="AD23" i="1"/>
  <c r="AE23" i="1" s="1"/>
  <c r="W23" i="1"/>
  <c r="AA23" i="1" s="1"/>
  <c r="AC19" i="1"/>
  <c r="R18" i="1"/>
  <c r="P18" i="1" s="1"/>
  <c r="S18" i="1" s="1"/>
  <c r="M18" i="1" s="1"/>
  <c r="N18" i="1" s="1"/>
  <c r="AB25" i="1"/>
  <c r="R25" i="1"/>
  <c r="P25" i="1" s="1"/>
  <c r="S25" i="1" s="1"/>
  <c r="M25" i="1" s="1"/>
  <c r="N25" i="1" s="1"/>
  <c r="W17" i="1"/>
  <c r="AA17" i="1" s="1"/>
  <c r="AD17" i="1"/>
  <c r="AE17" i="1" s="1"/>
  <c r="R21" i="1"/>
  <c r="P21" i="1" s="1"/>
  <c r="S21" i="1" s="1"/>
  <c r="M21" i="1" s="1"/>
  <c r="N21" i="1" s="1"/>
  <c r="R26" i="1"/>
  <c r="P26" i="1" s="1"/>
  <c r="S26" i="1" s="1"/>
  <c r="M26" i="1" s="1"/>
  <c r="N26" i="1" s="1"/>
  <c r="AB19" i="1"/>
  <c r="R19" i="1"/>
  <c r="P19" i="1" s="1"/>
  <c r="S19" i="1" s="1"/>
  <c r="M19" i="1" s="1"/>
  <c r="N19" i="1" s="1"/>
  <c r="AE24" i="14" l="1"/>
  <c r="AE32" i="14"/>
  <c r="AE19" i="14"/>
  <c r="AE20" i="14"/>
  <c r="AE18" i="14"/>
  <c r="AE17" i="14"/>
  <c r="AE21" i="13"/>
  <c r="AE27" i="13"/>
  <c r="AE17" i="13"/>
  <c r="AD23" i="13"/>
  <c r="AC23" i="13"/>
  <c r="W23" i="13"/>
  <c r="AA23" i="13" s="1"/>
  <c r="R23" i="13"/>
  <c r="P23" i="13" s="1"/>
  <c r="S23" i="13" s="1"/>
  <c r="M23" i="13" s="1"/>
  <c r="N23" i="13" s="1"/>
  <c r="AE25" i="13"/>
  <c r="AD19" i="13"/>
  <c r="AC19" i="13"/>
  <c r="W19" i="13"/>
  <c r="AA19" i="13" s="1"/>
  <c r="R19" i="13"/>
  <c r="P19" i="13" s="1"/>
  <c r="S19" i="13" s="1"/>
  <c r="M19" i="13" s="1"/>
  <c r="N19" i="13" s="1"/>
  <c r="AE18" i="12"/>
  <c r="W21" i="12"/>
  <c r="AA21" i="12" s="1"/>
  <c r="AC21" i="12"/>
  <c r="AD21" i="12"/>
  <c r="AE21" i="12" s="1"/>
  <c r="AE22" i="12"/>
  <c r="AE17" i="12"/>
  <c r="R21" i="12"/>
  <c r="P21" i="12" s="1"/>
  <c r="S21" i="12" s="1"/>
  <c r="M21" i="12" s="1"/>
  <c r="N21" i="12" s="1"/>
  <c r="AC19" i="12"/>
  <c r="W19" i="12"/>
  <c r="AA19" i="12" s="1"/>
  <c r="AD19" i="12"/>
  <c r="W28" i="11"/>
  <c r="AA28" i="11" s="1"/>
  <c r="AD28" i="11"/>
  <c r="AC28" i="11"/>
  <c r="R28" i="11"/>
  <c r="P28" i="11" s="1"/>
  <c r="S28" i="11" s="1"/>
  <c r="M28" i="11" s="1"/>
  <c r="N28" i="11" s="1"/>
  <c r="AE22" i="11"/>
  <c r="AE27" i="11"/>
  <c r="AE25" i="11"/>
  <c r="AE17" i="11"/>
  <c r="AE23" i="11"/>
  <c r="AE24" i="11"/>
  <c r="W28" i="10"/>
  <c r="AA28" i="10" s="1"/>
  <c r="AD28" i="10"/>
  <c r="AC28" i="10"/>
  <c r="AE27" i="10"/>
  <c r="AE19" i="10"/>
  <c r="W18" i="10"/>
  <c r="AA18" i="10" s="1"/>
  <c r="AD18" i="10"/>
  <c r="AC18" i="10"/>
  <c r="R18" i="10"/>
  <c r="P18" i="10" s="1"/>
  <c r="S18" i="10" s="1"/>
  <c r="M18" i="10" s="1"/>
  <c r="N18" i="10" s="1"/>
  <c r="AE22" i="10"/>
  <c r="W20" i="10"/>
  <c r="AA20" i="10" s="1"/>
  <c r="AD20" i="10"/>
  <c r="AE20" i="10" s="1"/>
  <c r="AC20" i="10"/>
  <c r="AE17" i="10"/>
  <c r="R28" i="10"/>
  <c r="P28" i="10" s="1"/>
  <c r="S28" i="10" s="1"/>
  <c r="M28" i="10" s="1"/>
  <c r="N28" i="10" s="1"/>
  <c r="AE25" i="10"/>
  <c r="AE23" i="10"/>
  <c r="AE26" i="10"/>
  <c r="AE29" i="10"/>
  <c r="AE21" i="10"/>
  <c r="AE18" i="9"/>
  <c r="AE21" i="9"/>
  <c r="AE19" i="9"/>
  <c r="AE25" i="9"/>
  <c r="AE23" i="9"/>
  <c r="AE26" i="9"/>
  <c r="AE27" i="9"/>
  <c r="AE28" i="9"/>
  <c r="AE24" i="9"/>
  <c r="AE17" i="9"/>
  <c r="AE18" i="8"/>
  <c r="AE26" i="8"/>
  <c r="AE27" i="8"/>
  <c r="AE22" i="8"/>
  <c r="AE20" i="8"/>
  <c r="W17" i="8"/>
  <c r="AA17" i="8" s="1"/>
  <c r="AD17" i="8"/>
  <c r="AC17" i="8"/>
  <c r="R17" i="8"/>
  <c r="P17" i="8" s="1"/>
  <c r="S17" i="8" s="1"/>
  <c r="M17" i="8" s="1"/>
  <c r="N17" i="8" s="1"/>
  <c r="W25" i="8"/>
  <c r="AA25" i="8" s="1"/>
  <c r="AD25" i="8"/>
  <c r="AC25" i="8"/>
  <c r="R25" i="8"/>
  <c r="P25" i="8" s="1"/>
  <c r="S25" i="8" s="1"/>
  <c r="M25" i="8" s="1"/>
  <c r="N25" i="8" s="1"/>
  <c r="W19" i="8"/>
  <c r="AA19" i="8" s="1"/>
  <c r="AD19" i="8"/>
  <c r="AC19" i="8"/>
  <c r="R19" i="8"/>
  <c r="P19" i="8" s="1"/>
  <c r="S19" i="8" s="1"/>
  <c r="M19" i="8" s="1"/>
  <c r="N19" i="8" s="1"/>
  <c r="W21" i="8"/>
  <c r="AA21" i="8" s="1"/>
  <c r="AD21" i="8"/>
  <c r="AC21" i="8"/>
  <c r="R21" i="8"/>
  <c r="P21" i="8" s="1"/>
  <c r="S21" i="8" s="1"/>
  <c r="M21" i="8" s="1"/>
  <c r="N21" i="8" s="1"/>
  <c r="AE24" i="8"/>
  <c r="W23" i="8"/>
  <c r="AA23" i="8" s="1"/>
  <c r="AD23" i="8"/>
  <c r="AC23" i="8"/>
  <c r="R23" i="8"/>
  <c r="P23" i="8" s="1"/>
  <c r="S23" i="8" s="1"/>
  <c r="M23" i="8" s="1"/>
  <c r="N23" i="8" s="1"/>
  <c r="W29" i="7"/>
  <c r="AA29" i="7" s="1"/>
  <c r="AD29" i="7"/>
  <c r="AC29" i="7"/>
  <c r="AE24" i="7"/>
  <c r="AE19" i="7"/>
  <c r="AE20" i="7"/>
  <c r="W25" i="7"/>
  <c r="AA25" i="7" s="1"/>
  <c r="AD25" i="7"/>
  <c r="AC25" i="7"/>
  <c r="AE28" i="7"/>
  <c r="AE18" i="7"/>
  <c r="W23" i="7"/>
  <c r="AA23" i="7" s="1"/>
  <c r="AD23" i="7"/>
  <c r="R23" i="7"/>
  <c r="P23" i="7" s="1"/>
  <c r="S23" i="7" s="1"/>
  <c r="M23" i="7" s="1"/>
  <c r="N23" i="7" s="1"/>
  <c r="AC23" i="7"/>
  <c r="W21" i="7"/>
  <c r="AA21" i="7" s="1"/>
  <c r="AD21" i="7"/>
  <c r="AC21" i="7"/>
  <c r="W17" i="7"/>
  <c r="AA17" i="7" s="1"/>
  <c r="AD17" i="7"/>
  <c r="AE17" i="7" s="1"/>
  <c r="AC17" i="7"/>
  <c r="R21" i="7"/>
  <c r="P21" i="7" s="1"/>
  <c r="S21" i="7" s="1"/>
  <c r="M21" i="7" s="1"/>
  <c r="N21" i="7" s="1"/>
  <c r="AE26" i="7"/>
  <c r="AE30" i="7"/>
  <c r="AE28" i="6"/>
  <c r="AE27" i="6"/>
  <c r="AE17" i="6"/>
  <c r="AE29" i="6"/>
  <c r="AE21" i="6"/>
  <c r="AE18" i="6"/>
  <c r="AE22" i="6"/>
  <c r="AE23" i="6"/>
  <c r="AE19" i="6"/>
  <c r="AE25" i="6"/>
  <c r="AE17" i="5"/>
  <c r="W28" i="5"/>
  <c r="AA28" i="5" s="1"/>
  <c r="AD28" i="5"/>
  <c r="AE28" i="5" s="1"/>
  <c r="AC28" i="5"/>
  <c r="AE25" i="5"/>
  <c r="AE18" i="5"/>
  <c r="AE19" i="5"/>
  <c r="AE20" i="5"/>
  <c r="AE29" i="5"/>
  <c r="AE21" i="5"/>
  <c r="AE24" i="5"/>
  <c r="R28" i="5"/>
  <c r="P28" i="5" s="1"/>
  <c r="S28" i="5" s="1"/>
  <c r="M28" i="5" s="1"/>
  <c r="N28" i="5" s="1"/>
  <c r="AE26" i="5"/>
  <c r="AE26" i="4"/>
  <c r="AE20" i="4"/>
  <c r="AE19" i="4"/>
  <c r="AE21" i="4"/>
  <c r="AE29" i="4"/>
  <c r="AE28" i="4"/>
  <c r="AE22" i="4"/>
  <c r="W24" i="4"/>
  <c r="AA24" i="4" s="1"/>
  <c r="AD24" i="4"/>
  <c r="AC24" i="4"/>
  <c r="AE18" i="4"/>
  <c r="AE24" i="3"/>
  <c r="AE28" i="3"/>
  <c r="AE22" i="3"/>
  <c r="AE26" i="3"/>
  <c r="AE27" i="3"/>
  <c r="AE25" i="3"/>
  <c r="AE20" i="3"/>
  <c r="AE17" i="2"/>
  <c r="AE21" i="2"/>
  <c r="AE24" i="2"/>
  <c r="AE18" i="2"/>
  <c r="AE26" i="2"/>
  <c r="AE19" i="2"/>
  <c r="AE22" i="2"/>
  <c r="AE20" i="2"/>
  <c r="AE27" i="1"/>
  <c r="AE29" i="1"/>
  <c r="AE19" i="1"/>
  <c r="AE24" i="1"/>
  <c r="AE18" i="1"/>
  <c r="AE28" i="1"/>
  <c r="AD25" i="1"/>
  <c r="AC25" i="1"/>
  <c r="W25" i="1"/>
  <c r="AA25" i="1" s="1"/>
  <c r="AE22" i="1"/>
  <c r="AE20" i="1"/>
  <c r="AE26" i="1"/>
  <c r="AE19" i="13" l="1"/>
  <c r="AE23" i="13"/>
  <c r="AE19" i="12"/>
  <c r="AE28" i="11"/>
  <c r="AE18" i="10"/>
  <c r="AE28" i="10"/>
  <c r="AE21" i="8"/>
  <c r="AE19" i="8"/>
  <c r="AE25" i="8"/>
  <c r="AE17" i="8"/>
  <c r="AE23" i="8"/>
  <c r="AE21" i="7"/>
  <c r="AE23" i="7"/>
  <c r="AE25" i="7"/>
  <c r="AE29" i="7"/>
  <c r="AE24" i="4"/>
  <c r="AE25" i="1"/>
</calcChain>
</file>

<file path=xl/sharedStrings.xml><?xml version="1.0" encoding="utf-8"?>
<sst xmlns="http://schemas.openxmlformats.org/spreadsheetml/2006/main" count="14413" uniqueCount="1131">
  <si>
    <t>SysConst</t>
  </si>
  <si>
    <t>AvgTime</t>
  </si>
  <si>
    <t>Oxygen</t>
  </si>
  <si>
    <t>0.5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</si>
  <si>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</si>
  <si>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</si>
  <si>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</si>
  <si>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</si>
  <si>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</si>
  <si>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</si>
  <si>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</si>
  <si>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</si>
  <si>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</si>
  <si>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</si>
  <si>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</si>
  <si>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6800-01A</t>
  </si>
  <si>
    <t>6 cm²</t>
  </si>
  <si>
    <t>LTConst</t>
  </si>
  <si>
    <t>deltaTw</t>
  </si>
  <si>
    <t>fT1</t>
  </si>
  <si>
    <t>fT2</t>
  </si>
  <si>
    <t>fTeb</t>
  </si>
  <si>
    <t>LQConst</t>
  </si>
  <si>
    <t>Leaf</t>
  </si>
  <si>
    <t>Ambient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</si>
  <si>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</si>
  <si>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</si>
  <si>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</si>
  <si>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</si>
  <si>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</si>
  <si>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</si>
  <si>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</si>
  <si>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</si>
  <si>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</si>
  <si>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</si>
  <si>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</si>
  <si>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</si>
  <si>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</si>
  <si>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</si>
  <si>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standard</t>
  </si>
  <si>
    <t>Sun+Sky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</si>
  <si>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</si>
  <si>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</si>
  <si>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</si>
  <si>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</si>
  <si>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</si>
  <si>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</si>
  <si>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</si>
  <si>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</si>
  <si>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</si>
  <si>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</si>
  <si>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</si>
  <si>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</si>
  <si>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Fs_true</t>
  </si>
  <si>
    <t>leak_wt</t>
  </si>
  <si>
    <t>9.80706 226.333 384.122 630.263 897.627 1100.16 1258.69 1386.43</t>
  </si>
  <si>
    <t>0.252918 221.676 377.36 592.559 805.939 1004.51 1201.26 1401.74</t>
  </si>
  <si>
    <t>SysObs</t>
  </si>
  <si>
    <t>UserDefCon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</si>
  <si>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</si>
  <si>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</si>
  <si>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</si>
  <si>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</si>
  <si>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</si>
  <si>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</si>
  <si>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</si>
  <si>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</si>
  <si>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</si>
  <si>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</si>
  <si>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</si>
  <si>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</si>
  <si>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</si>
  <si>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</si>
  <si>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</si>
  <si>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</si>
  <si>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</si>
  <si>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</si>
  <si>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</si>
  <si>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</si>
  <si>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</si>
  <si>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</si>
  <si>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</si>
  <si>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</si>
  <si>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</si>
  <si>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</si>
  <si>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newDef_0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</si>
  <si>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</si>
  <si>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</si>
  <si>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</si>
  <si>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</si>
  <si>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</si>
  <si>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</si>
  <si>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</si>
  <si>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</si>
  <si>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</si>
  <si>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</si>
  <si>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</si>
  <si>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</si>
  <si>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</si>
  <si>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</si>
  <si>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</si>
  <si>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</si>
  <si>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</si>
  <si>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</si>
  <si>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</si>
  <si>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</si>
  <si>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</si>
  <si>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</si>
  <si>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</si>
  <si>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</si>
  <si>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</si>
  <si>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</si>
  <si>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</si>
  <si>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</si>
  <si>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</si>
  <si>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</si>
  <si>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</si>
  <si>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</si>
  <si>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</si>
  <si>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</si>
  <si>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</si>
  <si>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</si>
  <si>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</si>
  <si>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</si>
  <si>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</si>
  <si>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</si>
  <si>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</si>
  <si>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</si>
  <si>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</si>
  <si>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</si>
  <si>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</si>
  <si>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</si>
  <si>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</si>
  <si>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</si>
  <si>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</si>
  <si>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</si>
  <si>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</si>
  <si>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</si>
  <si>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</si>
  <si>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</si>
  <si>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</si>
  <si>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</si>
  <si>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</si>
  <si>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</si>
  <si>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</si>
  <si>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</si>
  <si>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</si>
  <si>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</si>
  <si>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</si>
  <si>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</si>
  <si>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</si>
  <si>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</si>
  <si>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</si>
  <si>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</si>
  <si>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</si>
  <si>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</si>
  <si>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</si>
  <si>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</si>
  <si>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</si>
  <si>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</si>
  <si>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</si>
  <si>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</si>
  <si>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</si>
  <si>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</si>
  <si>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</si>
  <si>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</si>
  <si>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</si>
  <si>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</si>
  <si>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</si>
  <si>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</si>
  <si>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</si>
  <si>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</si>
  <si>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</si>
  <si>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</si>
  <si>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</si>
  <si>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</si>
  <si>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</si>
  <si>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</si>
  <si>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</si>
  <si>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</si>
  <si>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</si>
  <si>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</si>
  <si>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</si>
  <si>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</si>
  <si>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</si>
  <si>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</si>
  <si>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</si>
  <si>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</si>
  <si>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</si>
  <si>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</si>
  <si>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</si>
  <si>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</si>
  <si>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</si>
  <si>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</si>
  <si>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</si>
  <si>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</si>
  <si>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</si>
  <si>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</si>
  <si>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</si>
  <si>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</si>
  <si>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</si>
  <si>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</si>
  <si>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</si>
  <si>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</si>
  <si>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</si>
  <si>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</si>
  <si>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</si>
  <si>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</si>
  <si>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</si>
  <si>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</si>
  <si>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</si>
  <si>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</si>
  <si>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</si>
  <si>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</si>
  <si>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</si>
  <si>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</si>
  <si>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</si>
  <si>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</si>
  <si>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</si>
  <si>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</si>
  <si>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</si>
  <si>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</si>
  <si>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</si>
  <si>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</si>
  <si>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</si>
  <si>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</si>
  <si>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</si>
  <si>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</si>
  <si>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</si>
  <si>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</si>
  <si>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</si>
  <si>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</si>
  <si>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</si>
  <si>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</si>
  <si>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</si>
  <si>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</si>
  <si>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</si>
  <si>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</si>
  <si>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</si>
  <si>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</si>
  <si>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</si>
  <si>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</si>
  <si>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</si>
  <si>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</si>
  <si>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</si>
  <si>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</si>
  <si>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</si>
  <si>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</si>
  <si>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</si>
  <si>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</si>
  <si>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</si>
  <si>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</si>
  <si>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</si>
  <si>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</si>
  <si>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</si>
  <si>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</si>
  <si>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CO2_s:MN</t>
  </si>
  <si>
    <t>CO2_s:SLP</t>
  </si>
  <si>
    <t>CO2_s:SD</t>
  </si>
  <si>
    <t>CO2_s:OK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</si>
  <si>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</si>
  <si>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</si>
  <si>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</si>
  <si>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</si>
  <si>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</si>
  <si>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</si>
  <si>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</si>
  <si>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</si>
  <si>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</si>
  <si>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</si>
  <si>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</si>
  <si>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</si>
  <si>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</si>
  <si>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</si>
  <si>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</si>
  <si>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</si>
  <si>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</si>
  <si>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</si>
  <si>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</si>
  <si>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</si>
  <si>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</si>
  <si>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</si>
  <si>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</si>
  <si>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</si>
  <si>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</si>
  <si>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</si>
  <si>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</si>
  <si>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</si>
  <si>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</si>
  <si>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</si>
  <si>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</si>
  <si>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</si>
  <si>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</si>
  <si>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</si>
  <si>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</si>
  <si>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</si>
  <si>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</si>
  <si>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</si>
  <si>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</si>
  <si>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</si>
  <si>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</si>
  <si>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</si>
  <si>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</si>
  <si>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</si>
  <si>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</si>
  <si>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</si>
  <si>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</si>
  <si>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</si>
  <si>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</si>
  <si>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</si>
  <si>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</si>
  <si>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</si>
  <si>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</si>
  <si>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</si>
  <si>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</si>
  <si>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</si>
  <si>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</si>
  <si>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</si>
  <si>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</si>
  <si>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</si>
  <si>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</si>
  <si>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</si>
  <si>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</si>
  <si>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</si>
  <si>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</si>
  <si>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</si>
  <si>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</si>
  <si>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</si>
  <si>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</si>
  <si>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</si>
  <si>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</si>
  <si>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</si>
  <si>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</si>
  <si>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</si>
  <si>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</si>
  <si>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</si>
  <si>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</si>
  <si>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</si>
  <si>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</si>
  <si>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</si>
  <si>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</si>
  <si>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</si>
  <si>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</si>
  <si>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</si>
  <si>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</si>
  <si>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</si>
  <si>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</si>
  <si>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</si>
  <si>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</si>
  <si>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</si>
  <si>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</si>
  <si>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</si>
  <si>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</si>
  <si>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</si>
  <si>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</si>
  <si>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</si>
  <si>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</si>
  <si>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</si>
  <si>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</si>
  <si>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</si>
  <si>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</si>
  <si>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</si>
  <si>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</si>
  <si>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</si>
  <si>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</si>
  <si>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</si>
  <si>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</si>
  <si>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</si>
  <si>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</si>
  <si>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</si>
  <si>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</si>
  <si>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</si>
  <si>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</si>
  <si>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</si>
  <si>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</si>
  <si>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</si>
  <si>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</si>
  <si>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</si>
  <si>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</si>
  <si>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</si>
  <si>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</si>
  <si>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</si>
  <si>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</si>
  <si>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</si>
  <si>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</si>
  <si>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</si>
  <si>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</si>
  <si>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</si>
  <si>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</si>
  <si>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</si>
  <si>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rpm</t>
  </si>
  <si>
    <t>min⁻¹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</si>
  <si>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</si>
  <si>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</si>
  <si>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</si>
  <si>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</si>
  <si>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</si>
  <si>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</si>
  <si>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</si>
  <si>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</si>
  <si>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</si>
  <si>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</si>
  <si>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</si>
  <si>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20260713 11:22:29</t>
  </si>
  <si>
    <t>11:22:29</t>
  </si>
  <si>
    <t>RECT-4299-20260713-10_52_01</t>
  </si>
  <si>
    <t>RECT-4300-20260713-11_22_21</t>
  </si>
  <si>
    <t>-</t>
  </si>
  <si>
    <t>0: Broadleaf</t>
  </si>
  <si>
    <t>11:20:35</t>
  </si>
  <si>
    <t>1/2</t>
  </si>
  <si>
    <t>00000000</t>
  </si>
  <si>
    <t>iiiiiiii</t>
  </si>
  <si>
    <t>off</t>
  </si>
  <si>
    <t>on</t>
  </si>
  <si>
    <t>20260713 11:26:28</t>
  </si>
  <si>
    <t>11:26:28</t>
  </si>
  <si>
    <t>RECT-4301-20260713-11_26_21</t>
  </si>
  <si>
    <t>11:25:25</t>
  </si>
  <si>
    <t>20260713 11:29:31</t>
  </si>
  <si>
    <t>11:29:31</t>
  </si>
  <si>
    <t>RECT-4302-20260713-11_29_23</t>
  </si>
  <si>
    <t>11:27:28</t>
  </si>
  <si>
    <t>2/2</t>
  </si>
  <si>
    <t>20260713 11:32:33</t>
  </si>
  <si>
    <t>11:32:33</t>
  </si>
  <si>
    <t>RECT-4303-20260713-11_32_25</t>
  </si>
  <si>
    <t>11:30:43</t>
  </si>
  <si>
    <t>20260713 11:35:35</t>
  </si>
  <si>
    <t>11:35:35</t>
  </si>
  <si>
    <t>RECT-4304-20260713-11_35_28</t>
  </si>
  <si>
    <t>11:33:58</t>
  </si>
  <si>
    <t>20260713 11:38:38</t>
  </si>
  <si>
    <t>11:38:38</t>
  </si>
  <si>
    <t>RECT-4305-20260713-11_38_31</t>
  </si>
  <si>
    <t>11:37:06</t>
  </si>
  <si>
    <t>20260713 11:41:41</t>
  </si>
  <si>
    <t>11:41:41</t>
  </si>
  <si>
    <t>RECT-4306-20260713-11_41_33</t>
  </si>
  <si>
    <t>11:40:16</t>
  </si>
  <si>
    <t>0/2</t>
  </si>
  <si>
    <t>20260713 11:44:43</t>
  </si>
  <si>
    <t>11:44:43</t>
  </si>
  <si>
    <t>RECT-4307-20260713-11_44_36</t>
  </si>
  <si>
    <t>11:43:36</t>
  </si>
  <si>
    <t>20260713 11:47:46</t>
  </si>
  <si>
    <t>11:47:46</t>
  </si>
  <si>
    <t>RECT-4308-20260713-11_47_38</t>
  </si>
  <si>
    <t>11:46:40</t>
  </si>
  <si>
    <t>20260713 11:50:48</t>
  </si>
  <si>
    <t>11:50:48</t>
  </si>
  <si>
    <t>RECT-4309-20260713-11_50_41</t>
  </si>
  <si>
    <t>11:50:01</t>
  </si>
  <si>
    <t>20260713 11:53:51</t>
  </si>
  <si>
    <t>11:53:51</t>
  </si>
  <si>
    <t>RECT-4310-20260713-11_53_43</t>
  </si>
  <si>
    <t>11:52:33</t>
  </si>
  <si>
    <t>20260713 11:56:53</t>
  </si>
  <si>
    <t>11:56:53</t>
  </si>
  <si>
    <t>RECT-4311-20260713-11_56_46</t>
  </si>
  <si>
    <t>11:55:58</t>
  </si>
  <si>
    <t>20260713 11:59:56</t>
  </si>
  <si>
    <t>11:59:56</t>
  </si>
  <si>
    <t>RECT-4312-20260713-11_59_48</t>
  </si>
  <si>
    <t>11:58:46</t>
  </si>
  <si>
    <t>20260713 12:02:58</t>
  </si>
  <si>
    <t>12:02:58</t>
  </si>
  <si>
    <t>RECT-4313-20260713-12_02_51</t>
  </si>
  <si>
    <t>12:03:15</t>
  </si>
  <si>
    <t>20260713 10:13:41</t>
  </si>
  <si>
    <t>10:13:41</t>
  </si>
  <si>
    <t>RECT-4286-20260712-12_57_46</t>
  </si>
  <si>
    <t>RECT-4287-20260713-10_13_33</t>
  </si>
  <si>
    <t>10:14:06</t>
  </si>
  <si>
    <t>20260713 10:17:07</t>
  </si>
  <si>
    <t>10:17:07</t>
  </si>
  <si>
    <t>RECT-4288-20260713-10_16_59</t>
  </si>
  <si>
    <t>10:15:36</t>
  </si>
  <si>
    <t>20260713 10:20:09</t>
  </si>
  <si>
    <t>10:20:09</t>
  </si>
  <si>
    <t>RECT-4289-20260713-10_20_02</t>
  </si>
  <si>
    <t>10:18:11</t>
  </si>
  <si>
    <t>20260713 10:23:12</t>
  </si>
  <si>
    <t>10:23:12</t>
  </si>
  <si>
    <t>RECT-4290-20260713-10_23_04</t>
  </si>
  <si>
    <t>10:22:29</t>
  </si>
  <si>
    <t>20260713 10:26:14</t>
  </si>
  <si>
    <t>10:26:14</t>
  </si>
  <si>
    <t>RECT-4291-20260713-10_26_07</t>
  </si>
  <si>
    <t>10:26:37</t>
  </si>
  <si>
    <t>20260713 10:29:38</t>
  </si>
  <si>
    <t>10:29:38</t>
  </si>
  <si>
    <t>RECT-4292-20260713-10_29_30</t>
  </si>
  <si>
    <t>10:27:54</t>
  </si>
  <si>
    <t>20260713 10:32:40</t>
  </si>
  <si>
    <t>10:32:40</t>
  </si>
  <si>
    <t>RECT-4293-20260713-10_32_33</t>
  </si>
  <si>
    <t>10:33:02</t>
  </si>
  <si>
    <t>20260713 10:36:03</t>
  </si>
  <si>
    <t>10:36:03</t>
  </si>
  <si>
    <t>RECT-4294-20260713-10_35_56</t>
  </si>
  <si>
    <t>10:36:22</t>
  </si>
  <si>
    <t>20260713 10:39:23</t>
  </si>
  <si>
    <t>10:39:23</t>
  </si>
  <si>
    <t>RECT-4295-20260713-10_39_15</t>
  </si>
  <si>
    <t>10:37:32</t>
  </si>
  <si>
    <t>20260713 10:42:26</t>
  </si>
  <si>
    <t>10:42:26</t>
  </si>
  <si>
    <t>RECT-4296-20260713-10_42_18</t>
  </si>
  <si>
    <t>10:42:43</t>
  </si>
  <si>
    <t>20260713 10:45:44</t>
  </si>
  <si>
    <t>10:45:44</t>
  </si>
  <si>
    <t>RECT-4297-20260713-10_45_36</t>
  </si>
  <si>
    <t>10:46:05</t>
  </si>
  <si>
    <t>20260713 10:49:06</t>
  </si>
  <si>
    <t>10:49:06</t>
  </si>
  <si>
    <t>RECT-4298-20260713-10_48_58</t>
  </si>
  <si>
    <t>10:48:17</t>
  </si>
  <si>
    <t>20260713 10:52:08</t>
  </si>
  <si>
    <t>10:52:08</t>
  </si>
  <si>
    <t>10:52:23</t>
  </si>
  <si>
    <t>9.23104 222.163 391.899 630.357 896.074 1100.96 1260.75 1358.14</t>
  </si>
  <si>
    <t>0.17531 222.132 385.138 592.443 806.359 1005.04 1200.82 1401</t>
  </si>
  <si>
    <t>20260712 12:20:48</t>
  </si>
  <si>
    <t>12:20:48</t>
  </si>
  <si>
    <t>RECT-4273-20260712-11_40_49</t>
  </si>
  <si>
    <t>RECT-4274-20260712-12_20_42</t>
  </si>
  <si>
    <t>12:18:53</t>
  </si>
  <si>
    <t>20260712 12:23:50</t>
  </si>
  <si>
    <t>12:23:50</t>
  </si>
  <si>
    <t>RECT-4275-20260712-12_23_44</t>
  </si>
  <si>
    <t>12:21:51</t>
  </si>
  <si>
    <t>20260712 12:26:53</t>
  </si>
  <si>
    <t>12:26:53</t>
  </si>
  <si>
    <t>RECT-4276-20260712-12_26_47</t>
  </si>
  <si>
    <t>12:25:13</t>
  </si>
  <si>
    <t>20260712 12:29:56</t>
  </si>
  <si>
    <t>12:29:56</t>
  </si>
  <si>
    <t>RECT-4277-20260712-12_29_50</t>
  </si>
  <si>
    <t>12:28:17</t>
  </si>
  <si>
    <t>20260712 12:32:58</t>
  </si>
  <si>
    <t>12:32:58</t>
  </si>
  <si>
    <t>RECT-4278-20260712-12_32_52</t>
  </si>
  <si>
    <t>12:33:18</t>
  </si>
  <si>
    <t>20260712 12:36:19</t>
  </si>
  <si>
    <t>12:36:19</t>
  </si>
  <si>
    <t>RECT-4279-20260712-12_36_13</t>
  </si>
  <si>
    <t>12:34:19</t>
  </si>
  <si>
    <t>20260712 12:39:22</t>
  </si>
  <si>
    <t>12:39:22</t>
  </si>
  <si>
    <t>RECT-4280-20260712-12_39_16</t>
  </si>
  <si>
    <t>12:38:17</t>
  </si>
  <si>
    <t>20260712 12:42:24</t>
  </si>
  <si>
    <t>12:42:24</t>
  </si>
  <si>
    <t>RECT-4281-20260712-12_42_18</t>
  </si>
  <si>
    <t>12:41:06</t>
  </si>
  <si>
    <t>20260712 12:45:27</t>
  </si>
  <si>
    <t>12:45:27</t>
  </si>
  <si>
    <t>RECT-4282-20260712-12_45_21</t>
  </si>
  <si>
    <t>12:44:26</t>
  </si>
  <si>
    <t>20260712 12:48:29</t>
  </si>
  <si>
    <t>12:48:29</t>
  </si>
  <si>
    <t>RECT-4283-20260712-12_48_23</t>
  </si>
  <si>
    <t>12:47:29</t>
  </si>
  <si>
    <t>20260712 12:51:32</t>
  </si>
  <si>
    <t>12:51:32</t>
  </si>
  <si>
    <t>RECT-4284-20260712-12_51_26</t>
  </si>
  <si>
    <t>12:50:37</t>
  </si>
  <si>
    <t>20260712 12:54:34</t>
  </si>
  <si>
    <t>12:54:34</t>
  </si>
  <si>
    <t>RECT-4285-20260712-12_54_28</t>
  </si>
  <si>
    <t>12:54:51</t>
  </si>
  <si>
    <t>20260712 12:57:52</t>
  </si>
  <si>
    <t>12:57:52</t>
  </si>
  <si>
    <t>12:58:12</t>
  </si>
  <si>
    <t>20260712 11:03:39</t>
  </si>
  <si>
    <t>11:03:39</t>
  </si>
  <si>
    <t>RECT-4260-20260712-10_39_47</t>
  </si>
  <si>
    <t>RECT-4261-20260712-11_03_32</t>
  </si>
  <si>
    <t>11:01:40</t>
  </si>
  <si>
    <t>20260712 11:06:41</t>
  </si>
  <si>
    <t>11:06:41</t>
  </si>
  <si>
    <t>RECT-4262-20260712-11_06_35</t>
  </si>
  <si>
    <t>11:04:58</t>
  </si>
  <si>
    <t>20260712 11:09:44</t>
  </si>
  <si>
    <t>11:09:44</t>
  </si>
  <si>
    <t>RECT-4263-20260712-11_09_37</t>
  </si>
  <si>
    <t>11:07:57</t>
  </si>
  <si>
    <t>20260712 11:12:46</t>
  </si>
  <si>
    <t>11:12:46</t>
  </si>
  <si>
    <t>RECT-4264-20260712-11_12_40</t>
  </si>
  <si>
    <t>11:13:15</t>
  </si>
  <si>
    <t>20260712 11:16:16</t>
  </si>
  <si>
    <t>11:16:16</t>
  </si>
  <si>
    <t>RECT-4265-20260712-11_16_10</t>
  </si>
  <si>
    <t>11:14:34</t>
  </si>
  <si>
    <t>20260712 11:19:19</t>
  </si>
  <si>
    <t>11:19:19</t>
  </si>
  <si>
    <t>RECT-4266-20260712-11_19_12</t>
  </si>
  <si>
    <t>11:18:43</t>
  </si>
  <si>
    <t>20260712 11:22:21</t>
  </si>
  <si>
    <t>11:22:21</t>
  </si>
  <si>
    <t>RECT-4267-20260712-11_22_15</t>
  </si>
  <si>
    <t>11:21:39</t>
  </si>
  <si>
    <t>20260712 11:25:23</t>
  </si>
  <si>
    <t>11:25:23</t>
  </si>
  <si>
    <t>RECT-4268-20260712-11_25_17</t>
  </si>
  <si>
    <t>11:23:57</t>
  </si>
  <si>
    <t>20260712 11:28:26</t>
  </si>
  <si>
    <t>11:28:26</t>
  </si>
  <si>
    <t>RECT-4269-20260712-11_28_19</t>
  </si>
  <si>
    <t>11:28:47</t>
  </si>
  <si>
    <t>20260712 11:31:48</t>
  </si>
  <si>
    <t>11:31:48</t>
  </si>
  <si>
    <t>RECT-4270-20260712-11_31_42</t>
  </si>
  <si>
    <t>11:30:30</t>
  </si>
  <si>
    <t>20260712 11:34:51</t>
  </si>
  <si>
    <t>11:34:51</t>
  </si>
  <si>
    <t>RECT-4271-20260712-11_34_44</t>
  </si>
  <si>
    <t>11:34:04</t>
  </si>
  <si>
    <t>20260712 11:37:53</t>
  </si>
  <si>
    <t>11:37:53</t>
  </si>
  <si>
    <t>RECT-4272-20260712-11_37_47</t>
  </si>
  <si>
    <t>11:35:41</t>
  </si>
  <si>
    <t>20260712 11:40:56</t>
  </si>
  <si>
    <t>11:40:56</t>
  </si>
  <si>
    <t>11:40:06</t>
  </si>
  <si>
    <t>20260712 10:02:41</t>
  </si>
  <si>
    <t>10:02:41</t>
  </si>
  <si>
    <t>RECT-4247-20260710-12_51_10</t>
  </si>
  <si>
    <t>RECT-4248-20260712-10_02_35</t>
  </si>
  <si>
    <t>10:03:05</t>
  </si>
  <si>
    <t>20260712 10:06:06</t>
  </si>
  <si>
    <t>10:06:06</t>
  </si>
  <si>
    <t>RECT-4249-20260712-10_06_00</t>
  </si>
  <si>
    <t>10:04:42</t>
  </si>
  <si>
    <t>20260712 10:09:09</t>
  </si>
  <si>
    <t>10:09:09</t>
  </si>
  <si>
    <t>RECT-4250-20260712-10_09_02</t>
  </si>
  <si>
    <t>10:07:16</t>
  </si>
  <si>
    <t>20260712 10:12:11</t>
  </si>
  <si>
    <t>10:12:11</t>
  </si>
  <si>
    <t>RECT-4251-20260712-10_12_05</t>
  </si>
  <si>
    <t>10:10:37</t>
  </si>
  <si>
    <t>20260712 10:15:14</t>
  </si>
  <si>
    <t>10:15:14</t>
  </si>
  <si>
    <t>RECT-4252-20260712-10_15_07</t>
  </si>
  <si>
    <t>10:14:01</t>
  </si>
  <si>
    <t>20260712 10:18:16</t>
  </si>
  <si>
    <t>10:18:16</t>
  </si>
  <si>
    <t>RECT-4253-20260712-10_18_10</t>
  </si>
  <si>
    <t>10:16:49</t>
  </si>
  <si>
    <t>20260712 10:21:19</t>
  </si>
  <si>
    <t>10:21:19</t>
  </si>
  <si>
    <t>RECT-4254-20260712-10_21_12</t>
  </si>
  <si>
    <t>10:19:57</t>
  </si>
  <si>
    <t>20260712 10:24:21</t>
  </si>
  <si>
    <t>10:24:21</t>
  </si>
  <si>
    <t>RECT-4255-20260712-10_24_15</t>
  </si>
  <si>
    <t>10:23:32</t>
  </si>
  <si>
    <t>20260712 10:27:24</t>
  </si>
  <si>
    <t>10:27:24</t>
  </si>
  <si>
    <t>RECT-4256-20260712-10_27_17</t>
  </si>
  <si>
    <t>10:25:58</t>
  </si>
  <si>
    <t>20260712 10:30:26</t>
  </si>
  <si>
    <t>10:30:26</t>
  </si>
  <si>
    <t>RECT-4257-20260712-10_30_20</t>
  </si>
  <si>
    <t>10:29:09</t>
  </si>
  <si>
    <t>20260712 10:33:29</t>
  </si>
  <si>
    <t>10:33:29</t>
  </si>
  <si>
    <t>RECT-4258-20260712-10_33_22</t>
  </si>
  <si>
    <t>10:32:43</t>
  </si>
  <si>
    <t>20260712 10:36:32</t>
  </si>
  <si>
    <t>10:36:32</t>
  </si>
  <si>
    <t>RECT-4259-20260712-10_36_25</t>
  </si>
  <si>
    <t>10:36:52</t>
  </si>
  <si>
    <t>20260712 10:39:53</t>
  </si>
  <si>
    <t>10:39:53</t>
  </si>
  <si>
    <t>10:38:51</t>
  </si>
  <si>
    <t>9.25346 220.152 380.084 619.583 888.868 1091.99 1254.13 1366.52</t>
  </si>
  <si>
    <t>-0.376216 222.529 382.543 592.853 806.873 1002.89 1200.91 1400.85</t>
  </si>
  <si>
    <t>20260710 11:19:40</t>
  </si>
  <si>
    <t>11:19:40</t>
  </si>
  <si>
    <t>RECT-4220-20260710-10_58_35</t>
  </si>
  <si>
    <t>RECT-4221-20260710-11_19_37</t>
  </si>
  <si>
    <t>11:20:01</t>
  </si>
  <si>
    <t>20260710 11:23:02</t>
  </si>
  <si>
    <t>11:23:02</t>
  </si>
  <si>
    <t>RECT-4222-20260710-11_23_00</t>
  </si>
  <si>
    <t>11:21:16</t>
  </si>
  <si>
    <t>20260710 11:26:05</t>
  </si>
  <si>
    <t>11:26:05</t>
  </si>
  <si>
    <t>RECT-4223-20260710-11_26_02</t>
  </si>
  <si>
    <t>11:24:00</t>
  </si>
  <si>
    <t>20260710 11:29:07</t>
  </si>
  <si>
    <t>11:29:07</t>
  </si>
  <si>
    <t>RECT-4224-20260710-11_29_05</t>
  </si>
  <si>
    <t>20260710 11:32:10</t>
  </si>
  <si>
    <t>11:32:10</t>
  </si>
  <si>
    <t>RECT-4225-20260710-11_32_07</t>
  </si>
  <si>
    <t>11:30:37</t>
  </si>
  <si>
    <t>20260710 11:35:12</t>
  </si>
  <si>
    <t>11:35:12</t>
  </si>
  <si>
    <t>RECT-4226-20260710-11_35_10</t>
  </si>
  <si>
    <t>11:33:55</t>
  </si>
  <si>
    <t>20260710 11:38:15</t>
  </si>
  <si>
    <t>11:38:15</t>
  </si>
  <si>
    <t>RECT-4227-20260710-11_38_12</t>
  </si>
  <si>
    <t>11:37:26</t>
  </si>
  <si>
    <t>20260710 11:41:17</t>
  </si>
  <si>
    <t>11:41:17</t>
  </si>
  <si>
    <t>RECT-4228-20260710-11_41_15</t>
  </si>
  <si>
    <t>11:41:38</t>
  </si>
  <si>
    <t>20260710 11:44:39</t>
  </si>
  <si>
    <t>11:44:39</t>
  </si>
  <si>
    <t>RECT-4229-20260710-11_44_37</t>
  </si>
  <si>
    <t>11:43:25</t>
  </si>
  <si>
    <t>20260710 11:47:42</t>
  </si>
  <si>
    <t>11:47:42</t>
  </si>
  <si>
    <t>RECT-4230-20260710-11_47_40</t>
  </si>
  <si>
    <t>11:46:21</t>
  </si>
  <si>
    <t>20260710 11:50:44</t>
  </si>
  <si>
    <t>11:50:44</t>
  </si>
  <si>
    <t>RECT-4231-20260710-11_50_42</t>
  </si>
  <si>
    <t>11:49:42</t>
  </si>
  <si>
    <t>20260710 11:53:47</t>
  </si>
  <si>
    <t>11:53:47</t>
  </si>
  <si>
    <t>RECT-4232-20260710-11_53_45</t>
  </si>
  <si>
    <t>11:52:25</t>
  </si>
  <si>
    <t>20260710 11:56:49</t>
  </si>
  <si>
    <t>11:56:49</t>
  </si>
  <si>
    <t>RECT-4233-20260710-11_56_47</t>
  </si>
  <si>
    <t>11:55:56</t>
  </si>
  <si>
    <t>20260710 12:07:10</t>
  </si>
  <si>
    <t>12:07:10</t>
  </si>
  <si>
    <t>RECT-4234-20260710-12_07_08</t>
  </si>
  <si>
    <t>12:07:44</t>
  </si>
  <si>
    <t>20260710 12:12:26</t>
  </si>
  <si>
    <t>12:12:26</t>
  </si>
  <si>
    <t>RECT-4235-20260710-12_12_24</t>
  </si>
  <si>
    <t>12:12:57</t>
  </si>
  <si>
    <t>20260710 12:15:58</t>
  </si>
  <si>
    <t>12:15:58</t>
  </si>
  <si>
    <t>RECT-4236-20260710-12_15_56</t>
  </si>
  <si>
    <t>12:16:25</t>
  </si>
  <si>
    <t>20260710 12:19:26</t>
  </si>
  <si>
    <t>12:19:26</t>
  </si>
  <si>
    <t>RECT-4237-20260710-12_19_24</t>
  </si>
  <si>
    <t>12:17:45</t>
  </si>
  <si>
    <t>20260710 12:22:29</t>
  </si>
  <si>
    <t>12:22:29</t>
  </si>
  <si>
    <t>RECT-4238-20260710-12_22_27</t>
  </si>
  <si>
    <t>12:22:55</t>
  </si>
  <si>
    <t>20260710 12:25:56</t>
  </si>
  <si>
    <t>12:25:56</t>
  </si>
  <si>
    <t>RECT-4239-20260710-12_25_54</t>
  </si>
  <si>
    <t>12:24:16</t>
  </si>
  <si>
    <t>20260710 12:28:59</t>
  </si>
  <si>
    <t>12:28:59</t>
  </si>
  <si>
    <t>RECT-4240-20260710-12_28_57</t>
  </si>
  <si>
    <t>12:27:38</t>
  </si>
  <si>
    <t>20260710 12:32:01</t>
  </si>
  <si>
    <t>12:32:01</t>
  </si>
  <si>
    <t>RECT-4241-20260710-12_31_59</t>
  </si>
  <si>
    <t>12:30:55</t>
  </si>
  <si>
    <t>20260710 12:35:04</t>
  </si>
  <si>
    <t>12:35:04</t>
  </si>
  <si>
    <t>RECT-4242-20260710-12_35_02</t>
  </si>
  <si>
    <t>12:35:30</t>
  </si>
  <si>
    <t>20260710 12:38:31</t>
  </si>
  <si>
    <t>12:38:31</t>
  </si>
  <si>
    <t>RECT-4243-20260710-12_38_29</t>
  </si>
  <si>
    <t>12:37:13</t>
  </si>
  <si>
    <t>20260710 12:41:33</t>
  </si>
  <si>
    <t>12:41:33</t>
  </si>
  <si>
    <t>RECT-4244-20260710-12_41_31</t>
  </si>
  <si>
    <t>12:41:49</t>
  </si>
  <si>
    <t>20260710 12:44:50</t>
  </si>
  <si>
    <t>12:44:50</t>
  </si>
  <si>
    <t>RECT-4245-20260710-12_44_48</t>
  </si>
  <si>
    <t>12:45:09</t>
  </si>
  <si>
    <t>20260710 12:48:10</t>
  </si>
  <si>
    <t>12:48:10</t>
  </si>
  <si>
    <t>RECT-4246-20260710-12_48_08</t>
  </si>
  <si>
    <t>12:46:46</t>
  </si>
  <si>
    <t>20260710 12:51:12</t>
  </si>
  <si>
    <t>12:51:12</t>
  </si>
  <si>
    <t>12:49:11</t>
  </si>
  <si>
    <t>20260710 09:51:25</t>
  </si>
  <si>
    <t>09:51:25</t>
  </si>
  <si>
    <t>RECT-4207-20260708-12_33_32</t>
  </si>
  <si>
    <t>RECT-4208-20260710-09_51_22</t>
  </si>
  <si>
    <t>09:51:49</t>
  </si>
  <si>
    <t>20260710 09:54:50</t>
  </si>
  <si>
    <t>09:54:50</t>
  </si>
  <si>
    <t>RECT-4209-20260710-09_54_47</t>
  </si>
  <si>
    <t>09:52:53</t>
  </si>
  <si>
    <t>20260710 09:57:52</t>
  </si>
  <si>
    <t>09:57:52</t>
  </si>
  <si>
    <t>RECT-4210-20260710-09_57_50</t>
  </si>
  <si>
    <t>09:55:49</t>
  </si>
  <si>
    <t>20260710 10:00:55</t>
  </si>
  <si>
    <t>10:00:55</t>
  </si>
  <si>
    <t>RECT-4211-20260710-10_00_52</t>
  </si>
  <si>
    <t>10:01:16</t>
  </si>
  <si>
    <t>20260710 10:04:17</t>
  </si>
  <si>
    <t>10:04:17</t>
  </si>
  <si>
    <t>RECT-4212-20260710-10_04_14</t>
  </si>
  <si>
    <t>10:04:46</t>
  </si>
  <si>
    <t>20260710 10:07:47</t>
  </si>
  <si>
    <t>10:07:47</t>
  </si>
  <si>
    <t>RECT-4213-20260710-10_07_44</t>
  </si>
  <si>
    <t>10:08:15</t>
  </si>
  <si>
    <t>20260710 10:11:16</t>
  </si>
  <si>
    <t>10:11:16</t>
  </si>
  <si>
    <t>RECT-4214-20260710-10_11_13</t>
  </si>
  <si>
    <t>10:11:46</t>
  </si>
  <si>
    <t>20260710 10:14:47</t>
  </si>
  <si>
    <t>10:14:47</t>
  </si>
  <si>
    <t>RECT-4215-20260710-10_14_44</t>
  </si>
  <si>
    <t>10:15:15</t>
  </si>
  <si>
    <t>20260710 10:46:28</t>
  </si>
  <si>
    <t>10:46:28</t>
  </si>
  <si>
    <t>RECT-4216-20260710-10_46_25</t>
  </si>
  <si>
    <t>10:45:17</t>
  </si>
  <si>
    <t>20260710 10:49:30</t>
  </si>
  <si>
    <t>10:49:30</t>
  </si>
  <si>
    <t>RECT-4217-20260710-10_49_28</t>
  </si>
  <si>
    <t>10:48:31</t>
  </si>
  <si>
    <t>20260710 10:52:33</t>
  </si>
  <si>
    <t>10:52:33</t>
  </si>
  <si>
    <t>RECT-4218-20260710-10_52_30</t>
  </si>
  <si>
    <t>10:51:34</t>
  </si>
  <si>
    <t>20260710 10:55:35</t>
  </si>
  <si>
    <t>10:55:35</t>
  </si>
  <si>
    <t>RECT-4219-20260710-10_55_33</t>
  </si>
  <si>
    <t>10:54:16</t>
  </si>
  <si>
    <t>20260710 10:58:38</t>
  </si>
  <si>
    <t>10:58:38</t>
  </si>
  <si>
    <t>10:56:23</t>
  </si>
  <si>
    <t>9.88198 233.312 401.121 635.193 893.457 1092.49 1245.84 1372.7</t>
  </si>
  <si>
    <t>1.6685 227.149 391.652 596.24 805.816 1004.27 1200.73 1400.79</t>
  </si>
  <si>
    <t>20260708 11:55:59</t>
  </si>
  <si>
    <t>11:55:59</t>
  </si>
  <si>
    <t>RECT-4194-20260708-11_40_50</t>
  </si>
  <si>
    <t>RECT-4195-20260708-11_55_59</t>
  </si>
  <si>
    <t>11:54:24</t>
  </si>
  <si>
    <t>20260708 11:59:01</t>
  </si>
  <si>
    <t>11:59:01</t>
  </si>
  <si>
    <t>RECT-4196-20260708-11_59_01</t>
  </si>
  <si>
    <t>11:57:30</t>
  </si>
  <si>
    <t>20260708 12:02:04</t>
  </si>
  <si>
    <t>12:02:04</t>
  </si>
  <si>
    <t>RECT-4197-20260708-12_02_03</t>
  </si>
  <si>
    <t>12:00:05</t>
  </si>
  <si>
    <t>20260708 12:05:06</t>
  </si>
  <si>
    <t>12:05:06</t>
  </si>
  <si>
    <t>RECT-4198-20260708-12_05_06</t>
  </si>
  <si>
    <t>12:03:33</t>
  </si>
  <si>
    <t>20260708 12:08:09</t>
  </si>
  <si>
    <t>12:08:09</t>
  </si>
  <si>
    <t>RECT-4199-20260708-12_08_09</t>
  </si>
  <si>
    <t>12:06:50</t>
  </si>
  <si>
    <t>20260708 12:11:11</t>
  </si>
  <si>
    <t>12:11:11</t>
  </si>
  <si>
    <t>RECT-4200-20260708-12_11_11</t>
  </si>
  <si>
    <t>12:11:37</t>
  </si>
  <si>
    <t>20260708 12:14:38</t>
  </si>
  <si>
    <t>12:14:38</t>
  </si>
  <si>
    <t>RECT-4201-20260708-12_14_38</t>
  </si>
  <si>
    <t>12:12:49</t>
  </si>
  <si>
    <t>20260708 12:17:41</t>
  </si>
  <si>
    <t>12:17:41</t>
  </si>
  <si>
    <t>RECT-4202-20260708-12_17_41</t>
  </si>
  <si>
    <t>12:18:04</t>
  </si>
  <si>
    <t>20260708 12:21:05</t>
  </si>
  <si>
    <t>12:21:05</t>
  </si>
  <si>
    <t>RECT-4203-20260708-12_21_05</t>
  </si>
  <si>
    <t>12:19:11</t>
  </si>
  <si>
    <t>20260708 12:24:08</t>
  </si>
  <si>
    <t>12:24:08</t>
  </si>
  <si>
    <t>RECT-4204-20260708-12_24_08</t>
  </si>
  <si>
    <t>12:24:26</t>
  </si>
  <si>
    <t>20260708 12:27:27</t>
  </si>
  <si>
    <t>12:27:27</t>
  </si>
  <si>
    <t>RECT-4205-20260708-12_27_27</t>
  </si>
  <si>
    <t>12:26:36</t>
  </si>
  <si>
    <t>20260708 12:30:30</t>
  </si>
  <si>
    <t>12:30:30</t>
  </si>
  <si>
    <t>RECT-4206-20260708-12_30_30</t>
  </si>
  <si>
    <t>12:29:18</t>
  </si>
  <si>
    <t>20260708 12:33:32</t>
  </si>
  <si>
    <t>12:33:32</t>
  </si>
  <si>
    <t>12:33:48</t>
  </si>
  <si>
    <t>20260708 11:03:22</t>
  </si>
  <si>
    <t>11:03:22</t>
  </si>
  <si>
    <t>RECT-4181-20260708-10_30_52</t>
  </si>
  <si>
    <t>RECT-4182-20260708-11_03_22</t>
  </si>
  <si>
    <t>11:03:57</t>
  </si>
  <si>
    <t>20260708 11:06:58</t>
  </si>
  <si>
    <t>11:06:58</t>
  </si>
  <si>
    <t>RECT-4183-20260708-11_06_57</t>
  </si>
  <si>
    <t>11:05:10</t>
  </si>
  <si>
    <t>20260708 11:10:00</t>
  </si>
  <si>
    <t>11:10:00</t>
  </si>
  <si>
    <t>RECT-4184-20260708-11_10_00</t>
  </si>
  <si>
    <t>11:08:33</t>
  </si>
  <si>
    <t>20260708 11:13:03</t>
  </si>
  <si>
    <t>11:13:03</t>
  </si>
  <si>
    <t>RECT-4185-20260708-11_13_02</t>
  </si>
  <si>
    <t>11:11:26</t>
  </si>
  <si>
    <t>20260708 11:16:05</t>
  </si>
  <si>
    <t>11:16:05</t>
  </si>
  <si>
    <t>RECT-4186-20260708-11_16_05</t>
  </si>
  <si>
    <t>11:15:37</t>
  </si>
  <si>
    <t>20260708 11:19:08</t>
  </si>
  <si>
    <t>11:19:08</t>
  </si>
  <si>
    <t>RECT-4187-20260708-11_19_07</t>
  </si>
  <si>
    <t>11:19:35</t>
  </si>
  <si>
    <t>20260708 11:22:36</t>
  </si>
  <si>
    <t>11:22:36</t>
  </si>
  <si>
    <t>RECT-4188-20260708-11_22_36</t>
  </si>
  <si>
    <t>11:21:31</t>
  </si>
  <si>
    <t>20260708 11:25:39</t>
  </si>
  <si>
    <t>11:25:39</t>
  </si>
  <si>
    <t>RECT-4189-20260708-11_25_38</t>
  </si>
  <si>
    <t>11:24:23</t>
  </si>
  <si>
    <t>20260708 11:28:41</t>
  </si>
  <si>
    <t>11:28:41</t>
  </si>
  <si>
    <t>RECT-4190-20260708-11_28_41</t>
  </si>
  <si>
    <t>11:27:11</t>
  </si>
  <si>
    <t>20260708 11:31:44</t>
  </si>
  <si>
    <t>11:31:44</t>
  </si>
  <si>
    <t>RECT-4191-20260708-11_31_43</t>
  </si>
  <si>
    <t>11:30:14</t>
  </si>
  <si>
    <t>20260708 11:34:46</t>
  </si>
  <si>
    <t>11:34:46</t>
  </si>
  <si>
    <t>RECT-4192-20260708-11_34_45</t>
  </si>
  <si>
    <t>11:33:19</t>
  </si>
  <si>
    <t>20260708 11:37:48</t>
  </si>
  <si>
    <t>11:37:48</t>
  </si>
  <si>
    <t>RECT-4193-20260708-11_37_48</t>
  </si>
  <si>
    <t>11:36:42</t>
  </si>
  <si>
    <t>20260708 11:40:51</t>
  </si>
  <si>
    <t>11:40:51</t>
  </si>
  <si>
    <t>11:39:45</t>
  </si>
  <si>
    <t>20260708 09:54:01</t>
  </si>
  <si>
    <t>09:54:01</t>
  </si>
  <si>
    <t>RECT-4162-20260707-11_48_39</t>
  </si>
  <si>
    <t>RECT-4169-20260708-09_54_00</t>
  </si>
  <si>
    <t>09:52:34</t>
  </si>
  <si>
    <t>20260708 09:57:04</t>
  </si>
  <si>
    <t>09:57:04</t>
  </si>
  <si>
    <t>RECT-4170-20260708-09_57_03</t>
  </si>
  <si>
    <t>09:55:05</t>
  </si>
  <si>
    <t>20260708 10:00:06</t>
  </si>
  <si>
    <t>10:00:06</t>
  </si>
  <si>
    <t>RECT-4171-20260708-10_00_06</t>
  </si>
  <si>
    <t>09:58:20</t>
  </si>
  <si>
    <t>20260708 10:03:09</t>
  </si>
  <si>
    <t>10:03:09</t>
  </si>
  <si>
    <t>RECT-4172-20260708-10_03_08</t>
  </si>
  <si>
    <t>10:01:02</t>
  </si>
  <si>
    <t>20260708 10:06:11</t>
  </si>
  <si>
    <t>10:06:11</t>
  </si>
  <si>
    <t>RECT-4173-20260708-10_06_11</t>
  </si>
  <si>
    <t>10:04:29</t>
  </si>
  <si>
    <t>20260708 10:09:14</t>
  </si>
  <si>
    <t>10:09:14</t>
  </si>
  <si>
    <t>RECT-4174-20260708-10_09_13</t>
  </si>
  <si>
    <t>10:07:40</t>
  </si>
  <si>
    <t>20260708 10:12:16</t>
  </si>
  <si>
    <t>10:12:16</t>
  </si>
  <si>
    <t>RECT-4175-20260708-10_12_16</t>
  </si>
  <si>
    <t>10:12:39</t>
  </si>
  <si>
    <t>20260708 10:15:40</t>
  </si>
  <si>
    <t>10:15:40</t>
  </si>
  <si>
    <t>RECT-4176-20260708-10_15_39</t>
  </si>
  <si>
    <t>10:14:51</t>
  </si>
  <si>
    <t>20260708 10:18:42</t>
  </si>
  <si>
    <t>10:18:42</t>
  </si>
  <si>
    <t>RECT-4177-20260708-10_18_42</t>
  </si>
  <si>
    <t>10:17:20</t>
  </si>
  <si>
    <t>20260708 10:21:45</t>
  </si>
  <si>
    <t>10:21:45</t>
  </si>
  <si>
    <t>RECT-4178-20260708-10_21_44</t>
  </si>
  <si>
    <t>10:20:16</t>
  </si>
  <si>
    <t>20260708 10:24:47</t>
  </si>
  <si>
    <t>10:24:47</t>
  </si>
  <si>
    <t>RECT-4179-20260708-10_24_47</t>
  </si>
  <si>
    <t>10:23:17</t>
  </si>
  <si>
    <t>20260708 10:27:50</t>
  </si>
  <si>
    <t>10:27:50</t>
  </si>
  <si>
    <t>RECT-4180-20260708-10_27_49</t>
  </si>
  <si>
    <t>10:26:23</t>
  </si>
  <si>
    <t>20260708 10:30:52</t>
  </si>
  <si>
    <t>10:30:52</t>
  </si>
  <si>
    <t>10:29:56</t>
  </si>
  <si>
    <t>12.0223 228.412 408.286 651.848 914.068 1116.84 1278.33 1399.04</t>
  </si>
  <si>
    <t>0.768331 216.092 386.124 595.237 804.952 1003.29 1200.74 1400.74</t>
  </si>
  <si>
    <t>20260707 12:29:13</t>
  </si>
  <si>
    <t>12:29:13</t>
  </si>
  <si>
    <t>RECT-4163-20260707-12_29_15</t>
  </si>
  <si>
    <t>12:29:48</t>
  </si>
  <si>
    <t>20260707 12:32:49</t>
  </si>
  <si>
    <t>12:32:49</t>
  </si>
  <si>
    <t>RECT-4164-20260707-12_32_51</t>
  </si>
  <si>
    <t>12:31:58</t>
  </si>
  <si>
    <t>20260707 12:35:51</t>
  </si>
  <si>
    <t>12:35:51</t>
  </si>
  <si>
    <t>RECT-4165-20260707-12_35_53</t>
  </si>
  <si>
    <t>12:34:43</t>
  </si>
  <si>
    <t>20260707 12:38:54</t>
  </si>
  <si>
    <t>12:38:54</t>
  </si>
  <si>
    <t>RECT-4166-20260707-12_38_56</t>
  </si>
  <si>
    <t>12:37:37</t>
  </si>
  <si>
    <t>20260707 12:41:56</t>
  </si>
  <si>
    <t>12:41:56</t>
  </si>
  <si>
    <t>RECT-4167-20260707-12_41_58</t>
  </si>
  <si>
    <t>12:40:53</t>
  </si>
  <si>
    <t>20260707 12:44:59</t>
  </si>
  <si>
    <t>12:44:59</t>
  </si>
  <si>
    <t>RECT-4168-20260707-12_45_01</t>
  </si>
  <si>
    <t>12:44:07</t>
  </si>
  <si>
    <t>20260707 11:11:09</t>
  </si>
  <si>
    <t>11:11:09</t>
  </si>
  <si>
    <t>RECT-4149-20260707-10_17_24</t>
  </si>
  <si>
    <t>RECT-4150-20260707-11_11_11</t>
  </si>
  <si>
    <t>11:11:35</t>
  </si>
  <si>
    <t>20260707 11:14:36</t>
  </si>
  <si>
    <t>11:14:36</t>
  </si>
  <si>
    <t>RECT-4151-20260707-11_14_38</t>
  </si>
  <si>
    <t>11:12:41</t>
  </si>
  <si>
    <t>20260707 11:17:38</t>
  </si>
  <si>
    <t>11:17:38</t>
  </si>
  <si>
    <t>RECT-4152-20260707-11_17_40</t>
  </si>
  <si>
    <t>11:15:54</t>
  </si>
  <si>
    <t>20260707 11:20:41</t>
  </si>
  <si>
    <t>11:20:41</t>
  </si>
  <si>
    <t>RECT-4153-20260707-11_20_43</t>
  </si>
  <si>
    <t>11:18:46</t>
  </si>
  <si>
    <t>20260707 11:23:43</t>
  </si>
  <si>
    <t>11:23:43</t>
  </si>
  <si>
    <t>RECT-4154-20260707-11_23_45</t>
  </si>
  <si>
    <t>20260707 11:26:46</t>
  </si>
  <si>
    <t>11:26:46</t>
  </si>
  <si>
    <t>RECT-4155-20260707-11_26_48</t>
  </si>
  <si>
    <t>11:25:21</t>
  </si>
  <si>
    <t>20260707 11:29:48</t>
  </si>
  <si>
    <t>11:29:48</t>
  </si>
  <si>
    <t>RECT-4156-20260707-11_29_50</t>
  </si>
  <si>
    <t>11:28:31</t>
  </si>
  <si>
    <t>20260707 11:32:51</t>
  </si>
  <si>
    <t>11:32:51</t>
  </si>
  <si>
    <t>RECT-4157-20260707-11_32_53</t>
  </si>
  <si>
    <t>11:31:34</t>
  </si>
  <si>
    <t>20260707 11:35:53</t>
  </si>
  <si>
    <t>11:35:53</t>
  </si>
  <si>
    <t>RECT-4158-20260707-11_35_55</t>
  </si>
  <si>
    <t>11:36:13</t>
  </si>
  <si>
    <t>20260707 11:39:14</t>
  </si>
  <si>
    <t>11:39:14</t>
  </si>
  <si>
    <t>RECT-4159-20260707-11_39_16</t>
  </si>
  <si>
    <t>11:37:23</t>
  </si>
  <si>
    <t>20260707 11:42:17</t>
  </si>
  <si>
    <t>11:42:17</t>
  </si>
  <si>
    <t>RECT-4160-20260707-11_42_19</t>
  </si>
  <si>
    <t>11:42:34</t>
  </si>
  <si>
    <t>20260707 11:45:35</t>
  </si>
  <si>
    <t>11:45:35</t>
  </si>
  <si>
    <t>RECT-4161-20260707-11_45_37</t>
  </si>
  <si>
    <t>11:44:11</t>
  </si>
  <si>
    <t>20260707 11:48:37</t>
  </si>
  <si>
    <t>11:48:37</t>
  </si>
  <si>
    <t>11:48:55</t>
  </si>
  <si>
    <t>21</t>
  </si>
  <si>
    <t>8.71218 224.869 399.16 643.047 906.835 1110.12 1268.37 1388.82</t>
  </si>
  <si>
    <t>0.990001 222.06 385.407 594.916 805.549 1003.85 1200.98 1401.36</t>
  </si>
  <si>
    <t>20260707 09:40:15</t>
  </si>
  <si>
    <t>09:40:15</t>
  </si>
  <si>
    <t>RECT-4136-20260703-12_21_55</t>
  </si>
  <si>
    <t>RECT-4137-20260707-09_40_16</t>
  </si>
  <si>
    <t>09:40:32</t>
  </si>
  <si>
    <t>20260707 09:43:33</t>
  </si>
  <si>
    <t>09:43:33</t>
  </si>
  <si>
    <t>RECT-4138-20260707-09_43_35</t>
  </si>
  <si>
    <t>09:41:53</t>
  </si>
  <si>
    <t>20260707 09:46:35</t>
  </si>
  <si>
    <t>09:46:35</t>
  </si>
  <si>
    <t>RECT-4139-20260707-09_46_37</t>
  </si>
  <si>
    <t>09:44:45</t>
  </si>
  <si>
    <t>20260707 09:49:38</t>
  </si>
  <si>
    <t>09:49:38</t>
  </si>
  <si>
    <t>RECT-4140-20260707-09_49_39</t>
  </si>
  <si>
    <t>09:47:58</t>
  </si>
  <si>
    <t>20260707 09:52:40</t>
  </si>
  <si>
    <t>09:52:40</t>
  </si>
  <si>
    <t>RECT-4141-20260707-09_52_42</t>
  </si>
  <si>
    <t>09:51:16</t>
  </si>
  <si>
    <t>20260707 09:55:43</t>
  </si>
  <si>
    <t>09:55:43</t>
  </si>
  <si>
    <t>RECT-4142-20260707-09_55_44</t>
  </si>
  <si>
    <t>09:54:18</t>
  </si>
  <si>
    <t>20260707 09:58:45</t>
  </si>
  <si>
    <t>09:58:45</t>
  </si>
  <si>
    <t>RECT-4143-20260707-09_58_47</t>
  </si>
  <si>
    <t>09:57:27</t>
  </si>
  <si>
    <t>20260707 10:01:48</t>
  </si>
  <si>
    <t>10:01:48</t>
  </si>
  <si>
    <t>RECT-4144-20260707-10_01_49</t>
  </si>
  <si>
    <t>10:01:01</t>
  </si>
  <si>
    <t>4</t>
  </si>
  <si>
    <t>20260707 10:04:51</t>
  </si>
  <si>
    <t>10:04:51</t>
  </si>
  <si>
    <t>RECT-4145-20260707-10_04_52</t>
  </si>
  <si>
    <t>10:03:26</t>
  </si>
  <si>
    <t>20260707 10:07:53</t>
  </si>
  <si>
    <t>10:07:53</t>
  </si>
  <si>
    <t>RECT-4146-20260707-10_07_55</t>
  </si>
  <si>
    <t>10:08:16</t>
  </si>
  <si>
    <t>20260707 10:11:17</t>
  </si>
  <si>
    <t>10:11:17</t>
  </si>
  <si>
    <t>RECT-4147-20260707-10_11_19</t>
  </si>
  <si>
    <t>10:10:08</t>
  </si>
  <si>
    <t>20260707 10:14:20</t>
  </si>
  <si>
    <t>10:14:20</t>
  </si>
  <si>
    <t>RECT-4148-20260707-10_14_21</t>
  </si>
  <si>
    <t>10:13:04</t>
  </si>
  <si>
    <t>20260707 10:17:22</t>
  </si>
  <si>
    <t>10:17:22</t>
  </si>
  <si>
    <t>10:16:27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</si>
</sst>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J30"/>
  <sheetViews>
    <sheetView workbookViewId="0">
      <selection activeCell="L34" sqref="L34"/>
    </sheetView>
  </sheetViews>
  <sheetFormatPr defaultRowHeight="14.4" x14ac:dyDescent="0.3"/>
  <sheetData>
    <row r="2" spans="1:296" x14ac:dyDescent="0.3">
      <c r="A2" t="s">
        <v>0</v>
      </c>
      <c r="B2" t="s">
        <v>1</v>
      </c>
      <c r="C2" t="s">
        <v>2</v>
      </c>
    </row>
    <row r="3" spans="1:296" x14ac:dyDescent="0.3">
      <c r="B3" t="s">
        <v>3</v>
      </c>
      <c r="C3">
        <v>21</v>
      </c>
    </row>
    <row r="4" spans="1:296" x14ac:dyDescent="0.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</row>
    <row r="5" spans="1:296" x14ac:dyDescent="0.3">
      <c r="B5" t="s">
        <v>15</v>
      </c>
      <c r="C5" t="s">
        <v>16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96" x14ac:dyDescent="0.3">
      <c r="A6" t="s">
        <v>17</v>
      </c>
      <c r="B6" t="s">
        <v>18</v>
      </c>
      <c r="C6" t="s">
        <v>19</v>
      </c>
      <c r="D6" t="s">
        <v>20</v>
      </c>
      <c r="E6" t="s">
        <v>21</v>
      </c>
    </row>
    <row r="7" spans="1:296" x14ac:dyDescent="0.3">
      <c r="B7">
        <v>0</v>
      </c>
      <c r="C7">
        <v>1</v>
      </c>
      <c r="D7">
        <v>0</v>
      </c>
      <c r="E7">
        <v>0</v>
      </c>
    </row>
    <row r="8" spans="1:296" x14ac:dyDescent="0.3">
      <c r="A8" t="s">
        <v>22</v>
      </c>
      <c r="B8" t="s">
        <v>23</v>
      </c>
      <c r="C8" t="s">
        <v>24</v>
      </c>
      <c r="D8" t="s">
        <v>25</v>
      </c>
      <c r="E8" t="s">
        <v>26</v>
      </c>
      <c r="F8" t="s">
        <v>27</v>
      </c>
      <c r="G8" t="s">
        <v>28</v>
      </c>
      <c r="H8" t="s">
        <v>29</v>
      </c>
      <c r="I8" t="s">
        <v>30</v>
      </c>
      <c r="J8" t="s">
        <v>31</v>
      </c>
      <c r="K8" t="s">
        <v>32</v>
      </c>
      <c r="L8" t="s">
        <v>33</v>
      </c>
      <c r="M8" t="s">
        <v>34</v>
      </c>
      <c r="N8" t="s">
        <v>35</v>
      </c>
      <c r="O8" t="s">
        <v>36</v>
      </c>
      <c r="P8" t="s">
        <v>37</v>
      </c>
      <c r="Q8" t="s">
        <v>38</v>
      </c>
    </row>
    <row r="9" spans="1:296" x14ac:dyDescent="0.3">
      <c r="B9" t="s">
        <v>39</v>
      </c>
      <c r="C9" t="s">
        <v>40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96" x14ac:dyDescent="0.3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</row>
    <row r="11" spans="1:296" x14ac:dyDescent="0.3">
      <c r="B11">
        <v>0</v>
      </c>
      <c r="C11">
        <v>0</v>
      </c>
      <c r="D11">
        <v>0</v>
      </c>
      <c r="E11">
        <v>0</v>
      </c>
      <c r="F11">
        <v>1</v>
      </c>
    </row>
    <row r="12" spans="1:296" x14ac:dyDescent="0.3">
      <c r="A12" t="s">
        <v>47</v>
      </c>
      <c r="B12" t="s">
        <v>48</v>
      </c>
      <c r="C12" t="s">
        <v>49</v>
      </c>
      <c r="D12" t="s">
        <v>50</v>
      </c>
      <c r="E12" t="s">
        <v>51</v>
      </c>
      <c r="F12" t="s">
        <v>52</v>
      </c>
      <c r="G12" t="s">
        <v>53</v>
      </c>
      <c r="H12" t="s">
        <v>54</v>
      </c>
    </row>
    <row r="13" spans="1:296" x14ac:dyDescent="0.3">
      <c r="B13">
        <v>-6276</v>
      </c>
      <c r="C13">
        <v>6.6</v>
      </c>
      <c r="D13">
        <v>1.7090000000000001E-5</v>
      </c>
      <c r="E13">
        <v>3.11</v>
      </c>
      <c r="F13" t="s">
        <v>55</v>
      </c>
      <c r="G13" t="s">
        <v>56</v>
      </c>
      <c r="H13">
        <v>0</v>
      </c>
    </row>
    <row r="14" spans="1:296" x14ac:dyDescent="0.3">
      <c r="A14" t="s">
        <v>57</v>
      </c>
      <c r="B14" t="s">
        <v>57</v>
      </c>
      <c r="C14" t="s">
        <v>57</v>
      </c>
      <c r="D14" t="s">
        <v>57</v>
      </c>
      <c r="E14" t="s">
        <v>57</v>
      </c>
      <c r="F14" t="s">
        <v>57</v>
      </c>
      <c r="G14" t="s">
        <v>58</v>
      </c>
      <c r="H14" t="s">
        <v>59</v>
      </c>
      <c r="I14" t="s">
        <v>59</v>
      </c>
      <c r="J14" t="s">
        <v>59</v>
      </c>
      <c r="K14" t="s">
        <v>59</v>
      </c>
      <c r="L14" t="s">
        <v>59</v>
      </c>
      <c r="M14" t="s">
        <v>59</v>
      </c>
      <c r="N14" t="s">
        <v>59</v>
      </c>
      <c r="O14" t="s">
        <v>59</v>
      </c>
      <c r="P14" t="s">
        <v>59</v>
      </c>
      <c r="Q14" t="s">
        <v>59</v>
      </c>
      <c r="R14" t="s">
        <v>59</v>
      </c>
      <c r="S14" t="s">
        <v>59</v>
      </c>
      <c r="T14" t="s">
        <v>59</v>
      </c>
      <c r="U14" t="s">
        <v>59</v>
      </c>
      <c r="V14" t="s">
        <v>59</v>
      </c>
      <c r="W14" t="s">
        <v>59</v>
      </c>
      <c r="X14" t="s">
        <v>59</v>
      </c>
      <c r="Y14" t="s">
        <v>59</v>
      </c>
      <c r="Z14" t="s">
        <v>59</v>
      </c>
      <c r="AA14" t="s">
        <v>59</v>
      </c>
      <c r="AB14" t="s">
        <v>59</v>
      </c>
      <c r="AC14" t="s">
        <v>59</v>
      </c>
      <c r="AD14" t="s">
        <v>59</v>
      </c>
      <c r="AE14" t="s">
        <v>59</v>
      </c>
      <c r="AF14" t="s">
        <v>59</v>
      </c>
      <c r="AG14" t="s">
        <v>59</v>
      </c>
      <c r="AH14" t="s">
        <v>60</v>
      </c>
      <c r="AI14" t="s">
        <v>60</v>
      </c>
      <c r="AJ14" t="s">
        <v>60</v>
      </c>
      <c r="AK14" t="s">
        <v>60</v>
      </c>
      <c r="AL14" t="s">
        <v>60</v>
      </c>
      <c r="AM14" t="s">
        <v>60</v>
      </c>
      <c r="AN14" t="s">
        <v>60</v>
      </c>
      <c r="AO14" t="s">
        <v>60</v>
      </c>
      <c r="AP14" t="s">
        <v>60</v>
      </c>
      <c r="AQ14" t="s">
        <v>60</v>
      </c>
      <c r="AR14" t="s">
        <v>61</v>
      </c>
      <c r="AS14" t="s">
        <v>61</v>
      </c>
      <c r="AT14" t="s">
        <v>61</v>
      </c>
      <c r="AU14" t="s">
        <v>61</v>
      </c>
      <c r="AV14" t="s">
        <v>61</v>
      </c>
      <c r="AW14" t="s">
        <v>62</v>
      </c>
      <c r="AX14" t="s">
        <v>62</v>
      </c>
      <c r="AY14" t="s">
        <v>62</v>
      </c>
      <c r="AZ14" t="s">
        <v>62</v>
      </c>
      <c r="BA14" t="s">
        <v>62</v>
      </c>
      <c r="BB14" t="s">
        <v>62</v>
      </c>
      <c r="BC14" t="s">
        <v>62</v>
      </c>
      <c r="BD14" t="s">
        <v>62</v>
      </c>
      <c r="BE14" t="s">
        <v>62</v>
      </c>
      <c r="BF14" t="s">
        <v>62</v>
      </c>
      <c r="BG14" t="s">
        <v>62</v>
      </c>
      <c r="BH14" t="s">
        <v>62</v>
      </c>
      <c r="BI14" t="s">
        <v>62</v>
      </c>
      <c r="BJ14" t="s">
        <v>62</v>
      </c>
      <c r="BK14" t="s">
        <v>62</v>
      </c>
      <c r="BL14" t="s">
        <v>62</v>
      </c>
      <c r="BM14" t="s">
        <v>62</v>
      </c>
      <c r="BN14" t="s">
        <v>62</v>
      </c>
      <c r="BO14" t="s">
        <v>62</v>
      </c>
      <c r="BP14" t="s">
        <v>62</v>
      </c>
      <c r="BQ14" t="s">
        <v>62</v>
      </c>
      <c r="BR14" t="s">
        <v>62</v>
      </c>
      <c r="BS14" t="s">
        <v>62</v>
      </c>
      <c r="BT14" t="s">
        <v>62</v>
      </c>
      <c r="BU14" t="s">
        <v>62</v>
      </c>
      <c r="BV14" t="s">
        <v>62</v>
      </c>
      <c r="BW14" t="s">
        <v>62</v>
      </c>
      <c r="BX14" t="s">
        <v>62</v>
      </c>
      <c r="BY14" t="s">
        <v>63</v>
      </c>
      <c r="BZ14" t="s">
        <v>63</v>
      </c>
      <c r="CA14" t="s">
        <v>63</v>
      </c>
      <c r="CB14" t="s">
        <v>63</v>
      </c>
      <c r="CC14" t="s">
        <v>63</v>
      </c>
      <c r="CD14" t="s">
        <v>63</v>
      </c>
      <c r="CE14" t="s">
        <v>63</v>
      </c>
      <c r="CF14" t="s">
        <v>63</v>
      </c>
      <c r="CG14" t="s">
        <v>63</v>
      </c>
      <c r="CH14" t="s">
        <v>63</v>
      </c>
      <c r="CI14" t="s">
        <v>63</v>
      </c>
      <c r="CJ14" t="s">
        <v>63</v>
      </c>
      <c r="CK14" t="s">
        <v>63</v>
      </c>
      <c r="CL14" t="s">
        <v>63</v>
      </c>
      <c r="CM14" t="s">
        <v>63</v>
      </c>
      <c r="CN14" t="s">
        <v>63</v>
      </c>
      <c r="CO14" t="s">
        <v>63</v>
      </c>
      <c r="CP14" t="s">
        <v>63</v>
      </c>
      <c r="CQ14" t="s">
        <v>63</v>
      </c>
      <c r="CR14" t="s">
        <v>63</v>
      </c>
      <c r="CS14" t="s">
        <v>63</v>
      </c>
      <c r="CT14" t="s">
        <v>64</v>
      </c>
      <c r="CU14" t="s">
        <v>64</v>
      </c>
      <c r="CV14" t="s">
        <v>64</v>
      </c>
      <c r="CW14" t="s">
        <v>64</v>
      </c>
      <c r="CX14" t="s">
        <v>64</v>
      </c>
      <c r="CY14" t="s">
        <v>64</v>
      </c>
      <c r="CZ14" t="s">
        <v>64</v>
      </c>
      <c r="DA14" t="s">
        <v>64</v>
      </c>
      <c r="DB14" t="s">
        <v>64</v>
      </c>
      <c r="DC14" t="s">
        <v>64</v>
      </c>
      <c r="DD14" t="s">
        <v>64</v>
      </c>
      <c r="DE14" t="s">
        <v>64</v>
      </c>
      <c r="DF14" t="s">
        <v>64</v>
      </c>
      <c r="DG14" t="s">
        <v>65</v>
      </c>
      <c r="DH14" t="s">
        <v>65</v>
      </c>
      <c r="DI14" t="s">
        <v>65</v>
      </c>
      <c r="DJ14" t="s">
        <v>65</v>
      </c>
      <c r="DK14" t="s">
        <v>66</v>
      </c>
      <c r="DL14" t="s">
        <v>66</v>
      </c>
      <c r="DM14" t="s">
        <v>66</v>
      </c>
      <c r="DN14" t="s">
        <v>66</v>
      </c>
      <c r="DO14" t="s">
        <v>66</v>
      </c>
      <c r="DP14" t="s">
        <v>67</v>
      </c>
      <c r="DQ14" t="s">
        <v>67</v>
      </c>
      <c r="DR14" t="s">
        <v>67</v>
      </c>
      <c r="DS14" t="s">
        <v>67</v>
      </c>
      <c r="DT14" t="s">
        <v>67</v>
      </c>
      <c r="DU14" t="s">
        <v>67</v>
      </c>
      <c r="DV14" t="s">
        <v>67</v>
      </c>
      <c r="DW14" t="s">
        <v>67</v>
      </c>
      <c r="DX14" t="s">
        <v>67</v>
      </c>
      <c r="DY14" t="s">
        <v>67</v>
      </c>
      <c r="DZ14" t="s">
        <v>67</v>
      </c>
      <c r="EA14" t="s">
        <v>67</v>
      </c>
      <c r="EB14" t="s">
        <v>67</v>
      </c>
      <c r="EC14" t="s">
        <v>67</v>
      </c>
      <c r="ED14" t="s">
        <v>67</v>
      </c>
      <c r="EE14" t="s">
        <v>67</v>
      </c>
      <c r="EF14" t="s">
        <v>67</v>
      </c>
      <c r="EG14" t="s">
        <v>67</v>
      </c>
      <c r="EH14" t="s">
        <v>68</v>
      </c>
      <c r="EI14" t="s">
        <v>68</v>
      </c>
      <c r="EJ14" t="s">
        <v>68</v>
      </c>
      <c r="EK14" t="s">
        <v>68</v>
      </c>
      <c r="EL14" t="s">
        <v>68</v>
      </c>
      <c r="EM14" t="s">
        <v>68</v>
      </c>
      <c r="EN14" t="s">
        <v>68</v>
      </c>
      <c r="EO14" t="s">
        <v>68</v>
      </c>
      <c r="EP14" t="s">
        <v>68</v>
      </c>
      <c r="EQ14" t="s">
        <v>68</v>
      </c>
      <c r="ER14" t="s">
        <v>69</v>
      </c>
      <c r="ES14" t="s">
        <v>69</v>
      </c>
      <c r="ET14" t="s">
        <v>69</v>
      </c>
      <c r="EU14" t="s">
        <v>69</v>
      </c>
      <c r="EV14" t="s">
        <v>69</v>
      </c>
      <c r="EW14" t="s">
        <v>69</v>
      </c>
      <c r="EX14" t="s">
        <v>69</v>
      </c>
      <c r="EY14" t="s">
        <v>69</v>
      </c>
      <c r="EZ14" t="s">
        <v>69</v>
      </c>
      <c r="FA14" t="s">
        <v>69</v>
      </c>
      <c r="FB14" t="s">
        <v>69</v>
      </c>
      <c r="FC14" t="s">
        <v>69</v>
      </c>
      <c r="FD14" t="s">
        <v>69</v>
      </c>
      <c r="FE14" t="s">
        <v>69</v>
      </c>
      <c r="FF14" t="s">
        <v>69</v>
      </c>
      <c r="FG14" t="s">
        <v>69</v>
      </c>
      <c r="FH14" t="s">
        <v>69</v>
      </c>
      <c r="FI14" t="s">
        <v>69</v>
      </c>
      <c r="FJ14" t="s">
        <v>70</v>
      </c>
      <c r="FK14" t="s">
        <v>70</v>
      </c>
      <c r="FL14" t="s">
        <v>70</v>
      </c>
      <c r="FM14" t="s">
        <v>70</v>
      </c>
      <c r="FN14" t="s">
        <v>70</v>
      </c>
      <c r="FO14" t="s">
        <v>71</v>
      </c>
      <c r="FP14" t="s">
        <v>71</v>
      </c>
      <c r="FQ14" t="s">
        <v>71</v>
      </c>
      <c r="FR14" t="s">
        <v>71</v>
      </c>
      <c r="FS14" t="s">
        <v>71</v>
      </c>
      <c r="FT14" t="s">
        <v>71</v>
      </c>
      <c r="FU14" t="s">
        <v>71</v>
      </c>
      <c r="FV14" t="s">
        <v>71</v>
      </c>
      <c r="FW14" t="s">
        <v>71</v>
      </c>
      <c r="FX14" t="s">
        <v>71</v>
      </c>
      <c r="FY14" t="s">
        <v>71</v>
      </c>
      <c r="FZ14" t="s">
        <v>71</v>
      </c>
      <c r="GA14" t="s">
        <v>71</v>
      </c>
      <c r="GB14" t="s">
        <v>72</v>
      </c>
      <c r="GC14" t="s">
        <v>72</v>
      </c>
      <c r="GD14" t="s">
        <v>72</v>
      </c>
      <c r="GE14" t="s">
        <v>72</v>
      </c>
      <c r="GF14" t="s">
        <v>72</v>
      </c>
      <c r="GG14" t="s">
        <v>72</v>
      </c>
      <c r="GH14" t="s">
        <v>72</v>
      </c>
      <c r="GI14" t="s">
        <v>72</v>
      </c>
      <c r="GJ14" t="s">
        <v>72</v>
      </c>
      <c r="GK14" t="s">
        <v>72</v>
      </c>
      <c r="GL14" t="s">
        <v>72</v>
      </c>
      <c r="GM14" t="s">
        <v>72</v>
      </c>
      <c r="GN14" t="s">
        <v>72</v>
      </c>
      <c r="GO14" t="s">
        <v>72</v>
      </c>
      <c r="GP14" t="s">
        <v>72</v>
      </c>
      <c r="GQ14" t="s">
        <v>73</v>
      </c>
      <c r="GR14" t="s">
        <v>73</v>
      </c>
      <c r="GS14" t="s">
        <v>73</v>
      </c>
      <c r="GT14" t="s">
        <v>73</v>
      </c>
      <c r="GU14" t="s">
        <v>73</v>
      </c>
      <c r="GV14" t="s">
        <v>73</v>
      </c>
      <c r="GW14" t="s">
        <v>73</v>
      </c>
      <c r="GX14" t="s">
        <v>73</v>
      </c>
      <c r="GY14" t="s">
        <v>73</v>
      </c>
      <c r="GZ14" t="s">
        <v>73</v>
      </c>
      <c r="HA14" t="s">
        <v>73</v>
      </c>
      <c r="HB14" t="s">
        <v>73</v>
      </c>
      <c r="HC14" t="s">
        <v>73</v>
      </c>
      <c r="HD14" t="s">
        <v>73</v>
      </c>
      <c r="HE14" t="s">
        <v>73</v>
      </c>
      <c r="HF14" t="s">
        <v>73</v>
      </c>
      <c r="HG14" t="s">
        <v>73</v>
      </c>
      <c r="HH14" t="s">
        <v>73</v>
      </c>
      <c r="HI14" t="s">
        <v>74</v>
      </c>
      <c r="HJ14" t="s">
        <v>74</v>
      </c>
      <c r="HK14" t="s">
        <v>74</v>
      </c>
      <c r="HL14" t="s">
        <v>74</v>
      </c>
      <c r="HM14" t="s">
        <v>74</v>
      </c>
      <c r="HN14" t="s">
        <v>74</v>
      </c>
      <c r="HO14" t="s">
        <v>74</v>
      </c>
      <c r="HP14" t="s">
        <v>74</v>
      </c>
      <c r="HQ14" t="s">
        <v>74</v>
      </c>
      <c r="HR14" t="s">
        <v>74</v>
      </c>
      <c r="HS14" t="s">
        <v>74</v>
      </c>
      <c r="HT14" t="s">
        <v>74</v>
      </c>
      <c r="HU14" t="s">
        <v>74</v>
      </c>
      <c r="HV14" t="s">
        <v>74</v>
      </c>
      <c r="HW14" t="s">
        <v>74</v>
      </c>
      <c r="HX14" t="s">
        <v>74</v>
      </c>
      <c r="HY14" t="s">
        <v>74</v>
      </c>
      <c r="HZ14" t="s">
        <v>74</v>
      </c>
      <c r="IA14" t="s">
        <v>74</v>
      </c>
      <c r="IB14" t="s">
        <v>75</v>
      </c>
      <c r="IC14" t="s">
        <v>75</v>
      </c>
      <c r="ID14" t="s">
        <v>75</v>
      </c>
      <c r="IE14" t="s">
        <v>75</v>
      </c>
      <c r="IF14" t="s">
        <v>75</v>
      </c>
      <c r="IG14" t="s">
        <v>75</v>
      </c>
      <c r="IH14" t="s">
        <v>75</v>
      </c>
      <c r="II14" t="s">
        <v>75</v>
      </c>
      <c r="IJ14" t="s">
        <v>75</v>
      </c>
      <c r="IK14" t="s">
        <v>75</v>
      </c>
      <c r="IL14" t="s">
        <v>75</v>
      </c>
      <c r="IM14" t="s">
        <v>75</v>
      </c>
      <c r="IN14" t="s">
        <v>75</v>
      </c>
      <c r="IO14" t="s">
        <v>75</v>
      </c>
      <c r="IP14" t="s">
        <v>75</v>
      </c>
      <c r="IQ14" t="s">
        <v>75</v>
      </c>
      <c r="IR14" t="s">
        <v>75</v>
      </c>
      <c r="IS14" t="s">
        <v>75</v>
      </c>
      <c r="IT14" t="s">
        <v>75</v>
      </c>
      <c r="IU14" t="s">
        <v>76</v>
      </c>
      <c r="IV14" t="s">
        <v>76</v>
      </c>
      <c r="IW14" t="s">
        <v>76</v>
      </c>
      <c r="IX14" t="s">
        <v>76</v>
      </c>
      <c r="IY14" t="s">
        <v>76</v>
      </c>
      <c r="IZ14" t="s">
        <v>76</v>
      </c>
      <c r="JA14" t="s">
        <v>76</v>
      </c>
      <c r="JB14" t="s">
        <v>76</v>
      </c>
      <c r="JC14" t="s">
        <v>76</v>
      </c>
      <c r="JD14" t="s">
        <v>76</v>
      </c>
      <c r="JE14" t="s">
        <v>76</v>
      </c>
      <c r="JF14" t="s">
        <v>76</v>
      </c>
      <c r="JG14" t="s">
        <v>76</v>
      </c>
      <c r="JH14" t="s">
        <v>76</v>
      </c>
      <c r="JI14" t="s">
        <v>76</v>
      </c>
      <c r="JJ14" t="s">
        <v>76</v>
      </c>
      <c r="JK14" t="s">
        <v>76</v>
      </c>
      <c r="JL14" t="s">
        <v>76</v>
      </c>
      <c r="JM14" t="s">
        <v>77</v>
      </c>
      <c r="JN14" t="s">
        <v>77</v>
      </c>
      <c r="JO14" t="s">
        <v>77</v>
      </c>
      <c r="JP14" t="s">
        <v>77</v>
      </c>
      <c r="JQ14" t="s">
        <v>77</v>
      </c>
      <c r="JR14" t="s">
        <v>77</v>
      </c>
      <c r="JS14" t="s">
        <v>77</v>
      </c>
      <c r="JT14" t="s">
        <v>77</v>
      </c>
      <c r="JU14" t="s">
        <v>78</v>
      </c>
      <c r="JV14" t="s">
        <v>78</v>
      </c>
      <c r="JW14" t="s">
        <v>78</v>
      </c>
      <c r="JX14" t="s">
        <v>78</v>
      </c>
      <c r="JY14" t="s">
        <v>78</v>
      </c>
      <c r="JZ14" t="s">
        <v>78</v>
      </c>
      <c r="KA14" t="s">
        <v>78</v>
      </c>
      <c r="KB14" t="s">
        <v>78</v>
      </c>
      <c r="KC14" t="s">
        <v>78</v>
      </c>
      <c r="KD14" t="s">
        <v>78</v>
      </c>
      <c r="KE14" t="s">
        <v>78</v>
      </c>
      <c r="KF14" t="s">
        <v>78</v>
      </c>
      <c r="KG14" t="s">
        <v>78</v>
      </c>
      <c r="KH14" t="s">
        <v>78</v>
      </c>
      <c r="KI14" t="s">
        <v>78</v>
      </c>
      <c r="KJ14" t="s">
        <v>78</v>
      </c>
    </row>
    <row r="15" spans="1:296" x14ac:dyDescent="0.3">
      <c r="A15" t="s">
        <v>79</v>
      </c>
      <c r="B15" t="s">
        <v>80</v>
      </c>
      <c r="C15" t="s">
        <v>81</v>
      </c>
      <c r="D15" t="s">
        <v>82</v>
      </c>
      <c r="E15" t="s">
        <v>83</v>
      </c>
      <c r="F15" t="s">
        <v>84</v>
      </c>
      <c r="G15" t="s">
        <v>85</v>
      </c>
      <c r="H15" t="s">
        <v>86</v>
      </c>
      <c r="I15" t="s">
        <v>87</v>
      </c>
      <c r="J15" t="s">
        <v>88</v>
      </c>
      <c r="K15" t="s">
        <v>89</v>
      </c>
      <c r="L15" t="s">
        <v>90</v>
      </c>
      <c r="M15" t="s">
        <v>91</v>
      </c>
      <c r="N15" t="s">
        <v>92</v>
      </c>
      <c r="O15" t="s">
        <v>93</v>
      </c>
      <c r="P15" t="s">
        <v>94</v>
      </c>
      <c r="Q15" t="s">
        <v>95</v>
      </c>
      <c r="R15" t="s">
        <v>96</v>
      </c>
      <c r="S15" t="s">
        <v>97</v>
      </c>
      <c r="T15" t="s">
        <v>98</v>
      </c>
      <c r="U15" t="s">
        <v>99</v>
      </c>
      <c r="V15" t="s">
        <v>100</v>
      </c>
      <c r="W15" t="s">
        <v>101</v>
      </c>
      <c r="X15" t="s">
        <v>102</v>
      </c>
      <c r="Y15" t="s">
        <v>103</v>
      </c>
      <c r="Z15" t="s">
        <v>104</v>
      </c>
      <c r="AA15" t="s">
        <v>105</v>
      </c>
      <c r="AB15" t="s">
        <v>106</v>
      </c>
      <c r="AC15" t="s">
        <v>107</v>
      </c>
      <c r="AD15" t="s">
        <v>108</v>
      </c>
      <c r="AE15" t="s">
        <v>109</v>
      </c>
      <c r="AF15" t="s">
        <v>110</v>
      </c>
      <c r="AG15" t="s">
        <v>111</v>
      </c>
      <c r="AH15" t="s">
        <v>112</v>
      </c>
      <c r="AI15" t="s">
        <v>113</v>
      </c>
      <c r="AJ15" t="s">
        <v>114</v>
      </c>
      <c r="AK15" t="s">
        <v>115</v>
      </c>
      <c r="AL15" t="s">
        <v>116</v>
      </c>
      <c r="AM15" t="s">
        <v>117</v>
      </c>
      <c r="AN15" t="s">
        <v>118</v>
      </c>
      <c r="AO15" t="s">
        <v>119</v>
      </c>
      <c r="AP15" t="s">
        <v>120</v>
      </c>
      <c r="AQ15" t="s">
        <v>121</v>
      </c>
      <c r="AR15" t="s">
        <v>61</v>
      </c>
      <c r="AS15" t="s">
        <v>122</v>
      </c>
      <c r="AT15" t="s">
        <v>123</v>
      </c>
      <c r="AU15" t="s">
        <v>124</v>
      </c>
      <c r="AV15" t="s">
        <v>125</v>
      </c>
      <c r="AW15" t="s">
        <v>126</v>
      </c>
      <c r="AX15" t="s">
        <v>127</v>
      </c>
      <c r="AY15" t="s">
        <v>128</v>
      </c>
      <c r="AZ15" t="s">
        <v>129</v>
      </c>
      <c r="BA15" t="s">
        <v>130</v>
      </c>
      <c r="BB15" t="s">
        <v>131</v>
      </c>
      <c r="BC15" t="s">
        <v>132</v>
      </c>
      <c r="BD15" t="s">
        <v>133</v>
      </c>
      <c r="BE15" t="s">
        <v>134</v>
      </c>
      <c r="BF15" t="s">
        <v>135</v>
      </c>
      <c r="BG15" t="s">
        <v>136</v>
      </c>
      <c r="BH15" t="s">
        <v>137</v>
      </c>
      <c r="BI15" t="s">
        <v>138</v>
      </c>
      <c r="BJ15" t="s">
        <v>139</v>
      </c>
      <c r="BK15" t="s">
        <v>140</v>
      </c>
      <c r="BL15" t="s">
        <v>141</v>
      </c>
      <c r="BM15" t="s">
        <v>142</v>
      </c>
      <c r="BN15" t="s">
        <v>143</v>
      </c>
      <c r="BO15" t="s">
        <v>144</v>
      </c>
      <c r="BP15" t="s">
        <v>145</v>
      </c>
      <c r="BQ15" t="s">
        <v>146</v>
      </c>
      <c r="BR15" t="s">
        <v>147</v>
      </c>
      <c r="BS15" t="s">
        <v>148</v>
      </c>
      <c r="BT15" t="s">
        <v>149</v>
      </c>
      <c r="BU15" t="s">
        <v>150</v>
      </c>
      <c r="BV15" t="s">
        <v>151</v>
      </c>
      <c r="BW15" t="s">
        <v>152</v>
      </c>
      <c r="BX15" t="s">
        <v>153</v>
      </c>
      <c r="BY15" t="s">
        <v>154</v>
      </c>
      <c r="BZ15" t="s">
        <v>155</v>
      </c>
      <c r="CA15" t="s">
        <v>156</v>
      </c>
      <c r="CB15" t="s">
        <v>157</v>
      </c>
      <c r="CC15" t="s">
        <v>158</v>
      </c>
      <c r="CD15" t="s">
        <v>159</v>
      </c>
      <c r="CE15" t="s">
        <v>160</v>
      </c>
      <c r="CF15" t="s">
        <v>161</v>
      </c>
      <c r="CG15" t="s">
        <v>162</v>
      </c>
      <c r="CH15" t="s">
        <v>163</v>
      </c>
      <c r="CI15" t="s">
        <v>164</v>
      </c>
      <c r="CJ15" t="s">
        <v>165</v>
      </c>
      <c r="CK15" t="s">
        <v>166</v>
      </c>
      <c r="CL15" t="s">
        <v>167</v>
      </c>
      <c r="CM15" t="s">
        <v>168</v>
      </c>
      <c r="CN15" t="s">
        <v>169</v>
      </c>
      <c r="CO15" t="s">
        <v>170</v>
      </c>
      <c r="CP15" t="s">
        <v>171</v>
      </c>
      <c r="CQ15" t="s">
        <v>172</v>
      </c>
      <c r="CR15" t="s">
        <v>173</v>
      </c>
      <c r="CS15" t="s">
        <v>174</v>
      </c>
      <c r="CT15" t="s">
        <v>154</v>
      </c>
      <c r="CU15" t="s">
        <v>175</v>
      </c>
      <c r="CV15" t="s">
        <v>176</v>
      </c>
      <c r="CW15" t="s">
        <v>177</v>
      </c>
      <c r="CX15" t="s">
        <v>128</v>
      </c>
      <c r="CY15" t="s">
        <v>178</v>
      </c>
      <c r="CZ15" t="s">
        <v>179</v>
      </c>
      <c r="DA15" t="s">
        <v>180</v>
      </c>
      <c r="DB15" t="s">
        <v>181</v>
      </c>
      <c r="DC15" t="s">
        <v>182</v>
      </c>
      <c r="DD15" t="s">
        <v>183</v>
      </c>
      <c r="DE15" t="s">
        <v>184</v>
      </c>
      <c r="DF15" t="s">
        <v>185</v>
      </c>
      <c r="DG15" t="s">
        <v>186</v>
      </c>
      <c r="DH15" t="s">
        <v>187</v>
      </c>
      <c r="DI15" t="s">
        <v>188</v>
      </c>
      <c r="DJ15" t="s">
        <v>189</v>
      </c>
      <c r="DK15" t="s">
        <v>190</v>
      </c>
      <c r="DL15" t="s">
        <v>191</v>
      </c>
      <c r="DM15" t="s">
        <v>192</v>
      </c>
      <c r="DN15" t="s">
        <v>193</v>
      </c>
      <c r="DO15" t="s">
        <v>194</v>
      </c>
      <c r="DP15" t="s">
        <v>86</v>
      </c>
      <c r="DQ15" t="s">
        <v>195</v>
      </c>
      <c r="DR15" t="s">
        <v>196</v>
      </c>
      <c r="DS15" t="s">
        <v>197</v>
      </c>
      <c r="DT15" t="s">
        <v>198</v>
      </c>
      <c r="DU15" t="s">
        <v>199</v>
      </c>
      <c r="DV15" t="s">
        <v>200</v>
      </c>
      <c r="DW15" t="s">
        <v>201</v>
      </c>
      <c r="DX15" t="s">
        <v>202</v>
      </c>
      <c r="DY15" t="s">
        <v>203</v>
      </c>
      <c r="DZ15" t="s">
        <v>204</v>
      </c>
      <c r="EA15" t="s">
        <v>205</v>
      </c>
      <c r="EB15" t="s">
        <v>206</v>
      </c>
      <c r="EC15" t="s">
        <v>207</v>
      </c>
      <c r="ED15" t="s">
        <v>208</v>
      </c>
      <c r="EE15" t="s">
        <v>209</v>
      </c>
      <c r="EF15" t="s">
        <v>210</v>
      </c>
      <c r="EG15" t="s">
        <v>211</v>
      </c>
      <c r="EH15" t="s">
        <v>212</v>
      </c>
      <c r="EI15" t="s">
        <v>213</v>
      </c>
      <c r="EJ15" t="s">
        <v>214</v>
      </c>
      <c r="EK15" t="s">
        <v>215</v>
      </c>
      <c r="EL15" t="s">
        <v>216</v>
      </c>
      <c r="EM15" t="s">
        <v>217</v>
      </c>
      <c r="EN15" t="s">
        <v>218</v>
      </c>
      <c r="EO15" t="s">
        <v>219</v>
      </c>
      <c r="EP15" t="s">
        <v>220</v>
      </c>
      <c r="EQ15" t="s">
        <v>221</v>
      </c>
      <c r="ER15" t="s">
        <v>222</v>
      </c>
      <c r="ES15" t="s">
        <v>223</v>
      </c>
      <c r="ET15" t="s">
        <v>224</v>
      </c>
      <c r="EU15" t="s">
        <v>225</v>
      </c>
      <c r="EV15" t="s">
        <v>226</v>
      </c>
      <c r="EW15" t="s">
        <v>227</v>
      </c>
      <c r="EX15" t="s">
        <v>228</v>
      </c>
      <c r="EY15" t="s">
        <v>229</v>
      </c>
      <c r="EZ15" t="s">
        <v>230</v>
      </c>
      <c r="FA15" t="s">
        <v>231</v>
      </c>
      <c r="FB15" t="s">
        <v>232</v>
      </c>
      <c r="FC15" t="s">
        <v>233</v>
      </c>
      <c r="FD15" t="s">
        <v>234</v>
      </c>
      <c r="FE15" t="s">
        <v>235</v>
      </c>
      <c r="FF15" t="s">
        <v>236</v>
      </c>
      <c r="FG15" t="s">
        <v>237</v>
      </c>
      <c r="FH15" t="s">
        <v>238</v>
      </c>
      <c r="FI15" t="s">
        <v>239</v>
      </c>
      <c r="FJ15" t="s">
        <v>240</v>
      </c>
      <c r="FK15" t="s">
        <v>241</v>
      </c>
      <c r="FL15" t="s">
        <v>242</v>
      </c>
      <c r="FM15" t="s">
        <v>243</v>
      </c>
      <c r="FN15" t="s">
        <v>244</v>
      </c>
      <c r="FO15" t="s">
        <v>80</v>
      </c>
      <c r="FP15" t="s">
        <v>83</v>
      </c>
      <c r="FQ15" t="s">
        <v>245</v>
      </c>
      <c r="FR15" t="s">
        <v>246</v>
      </c>
      <c r="FS15" t="s">
        <v>247</v>
      </c>
      <c r="FT15" t="s">
        <v>248</v>
      </c>
      <c r="FU15" t="s">
        <v>249</v>
      </c>
      <c r="FV15" t="s">
        <v>250</v>
      </c>
      <c r="FW15" t="s">
        <v>251</v>
      </c>
      <c r="FX15" t="s">
        <v>252</v>
      </c>
      <c r="FY15" t="s">
        <v>253</v>
      </c>
      <c r="FZ15" t="s">
        <v>254</v>
      </c>
      <c r="GA15" t="s">
        <v>255</v>
      </c>
      <c r="GB15" t="s">
        <v>256</v>
      </c>
      <c r="GC15" t="s">
        <v>257</v>
      </c>
      <c r="GD15" t="s">
        <v>258</v>
      </c>
      <c r="GE15" t="s">
        <v>259</v>
      </c>
      <c r="GF15" t="s">
        <v>260</v>
      </c>
      <c r="GG15" t="s">
        <v>261</v>
      </c>
      <c r="GH15" t="s">
        <v>262</v>
      </c>
      <c r="GI15" t="s">
        <v>263</v>
      </c>
      <c r="GJ15" t="s">
        <v>264</v>
      </c>
      <c r="GK15" t="s">
        <v>265</v>
      </c>
      <c r="GL15" t="s">
        <v>266</v>
      </c>
      <c r="GM15" t="s">
        <v>267</v>
      </c>
      <c r="GN15" t="s">
        <v>268</v>
      </c>
      <c r="GO15" t="s">
        <v>269</v>
      </c>
      <c r="GP15" t="s">
        <v>270</v>
      </c>
      <c r="GQ15" t="s">
        <v>271</v>
      </c>
      <c r="GR15" t="s">
        <v>272</v>
      </c>
      <c r="GS15" t="s">
        <v>273</v>
      </c>
      <c r="GT15" t="s">
        <v>274</v>
      </c>
      <c r="GU15" t="s">
        <v>275</v>
      </c>
      <c r="GV15" t="s">
        <v>276</v>
      </c>
      <c r="GW15" t="s">
        <v>277</v>
      </c>
      <c r="GX15" t="s">
        <v>278</v>
      </c>
      <c r="GY15" t="s">
        <v>279</v>
      </c>
      <c r="GZ15" t="s">
        <v>280</v>
      </c>
      <c r="HA15" t="s">
        <v>281</v>
      </c>
      <c r="HB15" t="s">
        <v>282</v>
      </c>
      <c r="HC15" t="s">
        <v>283</v>
      </c>
      <c r="HD15" t="s">
        <v>284</v>
      </c>
      <c r="HE15" t="s">
        <v>285</v>
      </c>
      <c r="HF15" t="s">
        <v>286</v>
      </c>
      <c r="HG15" t="s">
        <v>287</v>
      </c>
      <c r="HH15" t="s">
        <v>288</v>
      </c>
      <c r="HI15" t="s">
        <v>289</v>
      </c>
      <c r="HJ15" t="s">
        <v>290</v>
      </c>
      <c r="HK15" t="s">
        <v>291</v>
      </c>
      <c r="HL15" t="s">
        <v>292</v>
      </c>
      <c r="HM15" t="s">
        <v>293</v>
      </c>
      <c r="HN15" t="s">
        <v>294</v>
      </c>
      <c r="HO15" t="s">
        <v>295</v>
      </c>
      <c r="HP15" t="s">
        <v>296</v>
      </c>
      <c r="HQ15" t="s">
        <v>297</v>
      </c>
      <c r="HR15" t="s">
        <v>298</v>
      </c>
      <c r="HS15" t="s">
        <v>299</v>
      </c>
      <c r="HT15" t="s">
        <v>300</v>
      </c>
      <c r="HU15" t="s">
        <v>301</v>
      </c>
      <c r="HV15" t="s">
        <v>302</v>
      </c>
      <c r="HW15" t="s">
        <v>303</v>
      </c>
      <c r="HX15" t="s">
        <v>304</v>
      </c>
      <c r="HY15" t="s">
        <v>305</v>
      </c>
      <c r="HZ15" t="s">
        <v>306</v>
      </c>
      <c r="IA15" t="s">
        <v>307</v>
      </c>
      <c r="IB15" t="s">
        <v>308</v>
      </c>
      <c r="IC15" t="s">
        <v>309</v>
      </c>
      <c r="ID15" t="s">
        <v>310</v>
      </c>
      <c r="IE15" t="s">
        <v>311</v>
      </c>
      <c r="IF15" t="s">
        <v>312</v>
      </c>
      <c r="IG15" t="s">
        <v>313</v>
      </c>
      <c r="IH15" t="s">
        <v>314</v>
      </c>
      <c r="II15" t="s">
        <v>315</v>
      </c>
      <c r="IJ15" t="s">
        <v>316</v>
      </c>
      <c r="IK15" t="s">
        <v>317</v>
      </c>
      <c r="IL15" t="s">
        <v>318</v>
      </c>
      <c r="IM15" t="s">
        <v>319</v>
      </c>
      <c r="IN15" t="s">
        <v>320</v>
      </c>
      <c r="IO15" t="s">
        <v>321</v>
      </c>
      <c r="IP15" t="s">
        <v>322</v>
      </c>
      <c r="IQ15" t="s">
        <v>323</v>
      </c>
      <c r="IR15" t="s">
        <v>324</v>
      </c>
      <c r="IS15" t="s">
        <v>325</v>
      </c>
      <c r="IT15" t="s">
        <v>326</v>
      </c>
      <c r="IU15" t="s">
        <v>327</v>
      </c>
      <c r="IV15" t="s">
        <v>328</v>
      </c>
      <c r="IW15" t="s">
        <v>329</v>
      </c>
      <c r="IX15" t="s">
        <v>330</v>
      </c>
      <c r="IY15" t="s">
        <v>331</v>
      </c>
      <c r="IZ15" t="s">
        <v>332</v>
      </c>
      <c r="JA15" t="s">
        <v>333</v>
      </c>
      <c r="JB15" t="s">
        <v>334</v>
      </c>
      <c r="JC15" t="s">
        <v>335</v>
      </c>
      <c r="JD15" t="s">
        <v>336</v>
      </c>
      <c r="JE15" t="s">
        <v>337</v>
      </c>
      <c r="JF15" t="s">
        <v>338</v>
      </c>
      <c r="JG15" t="s">
        <v>339</v>
      </c>
      <c r="JH15" t="s">
        <v>340</v>
      </c>
      <c r="JI15" t="s">
        <v>341</v>
      </c>
      <c r="JJ15" t="s">
        <v>342</v>
      </c>
      <c r="JK15" t="s">
        <v>343</v>
      </c>
      <c r="JL15" t="s">
        <v>344</v>
      </c>
      <c r="JM15" t="s">
        <v>345</v>
      </c>
      <c r="JN15" t="s">
        <v>346</v>
      </c>
      <c r="JO15" t="s">
        <v>347</v>
      </c>
      <c r="JP15" t="s">
        <v>348</v>
      </c>
      <c r="JQ15" t="s">
        <v>349</v>
      </c>
      <c r="JR15" t="s">
        <v>350</v>
      </c>
      <c r="JS15" t="s">
        <v>351</v>
      </c>
      <c r="JT15" t="s">
        <v>352</v>
      </c>
      <c r="JU15" t="s">
        <v>353</v>
      </c>
      <c r="JV15" t="s">
        <v>354</v>
      </c>
      <c r="JW15" t="s">
        <v>355</v>
      </c>
      <c r="JX15" t="s">
        <v>356</v>
      </c>
      <c r="JY15" t="s">
        <v>357</v>
      </c>
      <c r="JZ15" t="s">
        <v>358</v>
      </c>
      <c r="KA15" t="s">
        <v>359</v>
      </c>
      <c r="KB15" t="s">
        <v>360</v>
      </c>
      <c r="KC15" t="s">
        <v>361</v>
      </c>
      <c r="KD15" t="s">
        <v>362</v>
      </c>
      <c r="KE15" t="s">
        <v>363</v>
      </c>
      <c r="KF15" t="s">
        <v>364</v>
      </c>
      <c r="KG15" t="s">
        <v>365</v>
      </c>
      <c r="KH15" t="s">
        <v>366</v>
      </c>
      <c r="KI15" t="s">
        <v>367</v>
      </c>
      <c r="KJ15" t="s">
        <v>368</v>
      </c>
    </row>
    <row r="16" spans="1:296" x14ac:dyDescent="0.3">
      <c r="B16" t="s">
        <v>369</v>
      </c>
      <c r="C16" t="s">
        <v>369</v>
      </c>
      <c r="F16" t="s">
        <v>369</v>
      </c>
      <c r="H16" t="s">
        <v>369</v>
      </c>
      <c r="I16" t="s">
        <v>370</v>
      </c>
      <c r="J16" t="s">
        <v>371</v>
      </c>
      <c r="K16" t="s">
        <v>372</v>
      </c>
      <c r="L16" t="s">
        <v>373</v>
      </c>
      <c r="M16" t="s">
        <v>373</v>
      </c>
      <c r="N16" t="s">
        <v>202</v>
      </c>
      <c r="O16" t="s">
        <v>202</v>
      </c>
      <c r="P16" t="s">
        <v>370</v>
      </c>
      <c r="Q16" t="s">
        <v>370</v>
      </c>
      <c r="R16" t="s">
        <v>370</v>
      </c>
      <c r="S16" t="s">
        <v>370</v>
      </c>
      <c r="T16" t="s">
        <v>374</v>
      </c>
      <c r="U16" t="s">
        <v>375</v>
      </c>
      <c r="V16" t="s">
        <v>375</v>
      </c>
      <c r="W16" t="s">
        <v>376</v>
      </c>
      <c r="X16" t="s">
        <v>377</v>
      </c>
      <c r="Y16" t="s">
        <v>376</v>
      </c>
      <c r="Z16" t="s">
        <v>376</v>
      </c>
      <c r="AA16" t="s">
        <v>376</v>
      </c>
      <c r="AB16" t="s">
        <v>374</v>
      </c>
      <c r="AC16" t="s">
        <v>374</v>
      </c>
      <c r="AD16" t="s">
        <v>374</v>
      </c>
      <c r="AE16" t="s">
        <v>374</v>
      </c>
      <c r="AF16" t="s">
        <v>372</v>
      </c>
      <c r="AG16" t="s">
        <v>371</v>
      </c>
      <c r="AH16" t="s">
        <v>372</v>
      </c>
      <c r="AI16" t="s">
        <v>373</v>
      </c>
      <c r="AJ16" t="s">
        <v>373</v>
      </c>
      <c r="AK16" t="s">
        <v>378</v>
      </c>
      <c r="AL16" t="s">
        <v>379</v>
      </c>
      <c r="AM16" t="s">
        <v>371</v>
      </c>
      <c r="AN16" t="s">
        <v>380</v>
      </c>
      <c r="AO16" t="s">
        <v>380</v>
      </c>
      <c r="AP16" t="s">
        <v>381</v>
      </c>
      <c r="AQ16" t="s">
        <v>379</v>
      </c>
      <c r="AR16" t="s">
        <v>382</v>
      </c>
      <c r="AS16" t="s">
        <v>377</v>
      </c>
      <c r="AU16" t="s">
        <v>377</v>
      </c>
      <c r="AV16" t="s">
        <v>382</v>
      </c>
      <c r="BB16" t="s">
        <v>372</v>
      </c>
      <c r="BI16" t="s">
        <v>372</v>
      </c>
      <c r="BJ16" t="s">
        <v>372</v>
      </c>
      <c r="BK16" t="s">
        <v>372</v>
      </c>
      <c r="BL16" t="s">
        <v>383</v>
      </c>
      <c r="BZ16" t="s">
        <v>384</v>
      </c>
      <c r="CB16" t="s">
        <v>384</v>
      </c>
      <c r="CC16" t="s">
        <v>372</v>
      </c>
      <c r="CF16" t="s">
        <v>384</v>
      </c>
      <c r="CG16" t="s">
        <v>377</v>
      </c>
      <c r="CJ16" t="s">
        <v>385</v>
      </c>
      <c r="CK16" t="s">
        <v>385</v>
      </c>
      <c r="CM16" t="s">
        <v>386</v>
      </c>
      <c r="CN16" t="s">
        <v>384</v>
      </c>
      <c r="CP16" t="s">
        <v>384</v>
      </c>
      <c r="CQ16" t="s">
        <v>372</v>
      </c>
      <c r="CU16" t="s">
        <v>384</v>
      </c>
      <c r="CW16" t="s">
        <v>387</v>
      </c>
      <c r="CZ16" t="s">
        <v>384</v>
      </c>
      <c r="DA16" t="s">
        <v>384</v>
      </c>
      <c r="DC16" t="s">
        <v>384</v>
      </c>
      <c r="DE16" t="s">
        <v>384</v>
      </c>
      <c r="DG16" t="s">
        <v>372</v>
      </c>
      <c r="DH16" t="s">
        <v>372</v>
      </c>
      <c r="DJ16" t="s">
        <v>388</v>
      </c>
      <c r="DK16" t="s">
        <v>389</v>
      </c>
      <c r="DN16" t="s">
        <v>370</v>
      </c>
      <c r="DP16" t="s">
        <v>369</v>
      </c>
      <c r="DQ16" t="s">
        <v>373</v>
      </c>
      <c r="DR16" t="s">
        <v>373</v>
      </c>
      <c r="DS16" t="s">
        <v>380</v>
      </c>
      <c r="DT16" t="s">
        <v>380</v>
      </c>
      <c r="DU16" t="s">
        <v>373</v>
      </c>
      <c r="DV16" t="s">
        <v>380</v>
      </c>
      <c r="DW16" t="s">
        <v>382</v>
      </c>
      <c r="DX16" t="s">
        <v>376</v>
      </c>
      <c r="DY16" t="s">
        <v>376</v>
      </c>
      <c r="DZ16" t="s">
        <v>375</v>
      </c>
      <c r="EA16" t="s">
        <v>375</v>
      </c>
      <c r="EB16" t="s">
        <v>375</v>
      </c>
      <c r="EC16" t="s">
        <v>375</v>
      </c>
      <c r="ED16" t="s">
        <v>375</v>
      </c>
      <c r="EE16" t="s">
        <v>390</v>
      </c>
      <c r="EF16" t="s">
        <v>372</v>
      </c>
      <c r="EG16" t="s">
        <v>372</v>
      </c>
      <c r="EH16" t="s">
        <v>373</v>
      </c>
      <c r="EI16" t="s">
        <v>373</v>
      </c>
      <c r="EJ16" t="s">
        <v>373</v>
      </c>
      <c r="EK16" t="s">
        <v>380</v>
      </c>
      <c r="EL16" t="s">
        <v>373</v>
      </c>
      <c r="EM16" t="s">
        <v>380</v>
      </c>
      <c r="EN16" t="s">
        <v>376</v>
      </c>
      <c r="EO16" t="s">
        <v>376</v>
      </c>
      <c r="EP16" t="s">
        <v>375</v>
      </c>
      <c r="EQ16" t="s">
        <v>375</v>
      </c>
      <c r="ER16" t="s">
        <v>372</v>
      </c>
      <c r="EW16" t="s">
        <v>372</v>
      </c>
      <c r="EZ16" t="s">
        <v>375</v>
      </c>
      <c r="FA16" t="s">
        <v>375</v>
      </c>
      <c r="FB16" t="s">
        <v>375</v>
      </c>
      <c r="FC16" t="s">
        <v>375</v>
      </c>
      <c r="FD16" t="s">
        <v>375</v>
      </c>
      <c r="FE16" t="s">
        <v>372</v>
      </c>
      <c r="FF16" t="s">
        <v>372</v>
      </c>
      <c r="FG16" t="s">
        <v>372</v>
      </c>
      <c r="FH16" t="s">
        <v>369</v>
      </c>
      <c r="FK16" t="s">
        <v>391</v>
      </c>
      <c r="FL16" t="s">
        <v>391</v>
      </c>
      <c r="FN16" t="s">
        <v>369</v>
      </c>
      <c r="FO16" t="s">
        <v>392</v>
      </c>
      <c r="FQ16" t="s">
        <v>369</v>
      </c>
      <c r="FR16" t="s">
        <v>369</v>
      </c>
      <c r="FT16" t="s">
        <v>393</v>
      </c>
      <c r="FU16" t="s">
        <v>394</v>
      </c>
      <c r="FV16" t="s">
        <v>393</v>
      </c>
      <c r="FW16" t="s">
        <v>394</v>
      </c>
      <c r="FX16" t="s">
        <v>393</v>
      </c>
      <c r="FY16" t="s">
        <v>394</v>
      </c>
      <c r="FZ16" t="s">
        <v>377</v>
      </c>
      <c r="GA16" t="s">
        <v>377</v>
      </c>
      <c r="GB16" t="s">
        <v>373</v>
      </c>
      <c r="GC16" t="s">
        <v>395</v>
      </c>
      <c r="GD16" t="s">
        <v>373</v>
      </c>
      <c r="GG16" t="s">
        <v>396</v>
      </c>
      <c r="GJ16" t="s">
        <v>380</v>
      </c>
      <c r="GK16" t="s">
        <v>397</v>
      </c>
      <c r="GL16" t="s">
        <v>380</v>
      </c>
      <c r="GQ16" t="s">
        <v>398</v>
      </c>
      <c r="GR16" t="s">
        <v>398</v>
      </c>
      <c r="HE16" t="s">
        <v>398</v>
      </c>
      <c r="HF16" t="s">
        <v>398</v>
      </c>
      <c r="HG16" t="s">
        <v>399</v>
      </c>
      <c r="HH16" t="s">
        <v>399</v>
      </c>
      <c r="HI16" t="s">
        <v>375</v>
      </c>
      <c r="HJ16" t="s">
        <v>375</v>
      </c>
      <c r="HK16" t="s">
        <v>377</v>
      </c>
      <c r="HL16" t="s">
        <v>375</v>
      </c>
      <c r="HM16" t="s">
        <v>380</v>
      </c>
      <c r="HN16" t="s">
        <v>377</v>
      </c>
      <c r="HO16" t="s">
        <v>377</v>
      </c>
      <c r="HQ16" t="s">
        <v>398</v>
      </c>
      <c r="HR16" t="s">
        <v>398</v>
      </c>
      <c r="HS16" t="s">
        <v>398</v>
      </c>
      <c r="HT16" t="s">
        <v>398</v>
      </c>
      <c r="HU16" t="s">
        <v>398</v>
      </c>
      <c r="HV16" t="s">
        <v>398</v>
      </c>
      <c r="HW16" t="s">
        <v>398</v>
      </c>
      <c r="HX16" t="s">
        <v>400</v>
      </c>
      <c r="HY16" t="s">
        <v>400</v>
      </c>
      <c r="HZ16" t="s">
        <v>400</v>
      </c>
      <c r="IA16" t="s">
        <v>401</v>
      </c>
      <c r="IB16" t="s">
        <v>398</v>
      </c>
      <c r="IC16" t="s">
        <v>398</v>
      </c>
      <c r="ID16" t="s">
        <v>398</v>
      </c>
      <c r="IE16" t="s">
        <v>398</v>
      </c>
      <c r="IF16" t="s">
        <v>398</v>
      </c>
      <c r="IG16" t="s">
        <v>398</v>
      </c>
      <c r="IH16" t="s">
        <v>398</v>
      </c>
      <c r="II16" t="s">
        <v>398</v>
      </c>
      <c r="IJ16" t="s">
        <v>398</v>
      </c>
      <c r="IK16" t="s">
        <v>398</v>
      </c>
      <c r="IL16" t="s">
        <v>398</v>
      </c>
      <c r="IM16" t="s">
        <v>398</v>
      </c>
      <c r="IT16" t="s">
        <v>398</v>
      </c>
      <c r="IU16" t="s">
        <v>377</v>
      </c>
      <c r="IV16" t="s">
        <v>377</v>
      </c>
      <c r="IW16" t="s">
        <v>393</v>
      </c>
      <c r="IX16" t="s">
        <v>394</v>
      </c>
      <c r="IY16" t="s">
        <v>393</v>
      </c>
      <c r="JC16" t="s">
        <v>394</v>
      </c>
      <c r="JG16" t="s">
        <v>373</v>
      </c>
      <c r="JH16" t="s">
        <v>373</v>
      </c>
      <c r="JI16" t="s">
        <v>380</v>
      </c>
      <c r="JJ16" t="s">
        <v>380</v>
      </c>
      <c r="JK16" t="s">
        <v>402</v>
      </c>
      <c r="JL16" t="s">
        <v>402</v>
      </c>
      <c r="JM16" t="s">
        <v>398</v>
      </c>
      <c r="JN16" t="s">
        <v>398</v>
      </c>
      <c r="JO16" t="s">
        <v>398</v>
      </c>
      <c r="JP16" t="s">
        <v>398</v>
      </c>
      <c r="JQ16" t="s">
        <v>398</v>
      </c>
      <c r="JR16" t="s">
        <v>398</v>
      </c>
      <c r="JS16" t="s">
        <v>375</v>
      </c>
      <c r="JT16" t="s">
        <v>398</v>
      </c>
      <c r="JV16" t="s">
        <v>382</v>
      </c>
      <c r="JW16" t="s">
        <v>382</v>
      </c>
      <c r="JX16" t="s">
        <v>375</v>
      </c>
      <c r="JY16" t="s">
        <v>375</v>
      </c>
      <c r="JZ16" t="s">
        <v>375</v>
      </c>
      <c r="KA16" t="s">
        <v>375</v>
      </c>
      <c r="KB16" t="s">
        <v>375</v>
      </c>
      <c r="KC16" t="s">
        <v>377</v>
      </c>
      <c r="KD16" t="s">
        <v>377</v>
      </c>
      <c r="KE16" t="s">
        <v>377</v>
      </c>
      <c r="KF16" t="s">
        <v>375</v>
      </c>
      <c r="KG16" t="s">
        <v>373</v>
      </c>
      <c r="KH16" t="s">
        <v>380</v>
      </c>
      <c r="KI16" t="s">
        <v>377</v>
      </c>
      <c r="KJ16" t="s">
        <v>377</v>
      </c>
    </row>
    <row r="17" spans="1:296" x14ac:dyDescent="0.3">
      <c r="A17">
        <v>1</v>
      </c>
      <c r="B17">
        <v>1783959749.0999999</v>
      </c>
      <c r="C17">
        <v>0</v>
      </c>
      <c r="D17" t="s">
        <v>403</v>
      </c>
      <c r="E17" t="s">
        <v>404</v>
      </c>
      <c r="F17">
        <v>15</v>
      </c>
      <c r="H17">
        <v>1783959741.349999</v>
      </c>
      <c r="I17">
        <f t="shared" ref="I17:I30" si="0">(J17)/1000</f>
        <v>2.4921037338138264E-3</v>
      </c>
      <c r="J17">
        <f t="shared" ref="J17:J30" si="1">IF(DO17, AM17, AG17)</f>
        <v>2.4921037338138263</v>
      </c>
      <c r="K17">
        <f t="shared" ref="K17:K30" si="2">IF(DO17, AH17, AF17)</f>
        <v>28.09295086384153</v>
      </c>
      <c r="L17">
        <f t="shared" ref="L17:L30" si="3">DQ17 - IF(AT17&gt;1, K17*DK17*100/(AV17), 0)</f>
        <v>416.40976666666671</v>
      </c>
      <c r="M17">
        <f t="shared" ref="M17:M30" si="4">((S17-I17/2)*L17-K17)/(S17+I17/2)</f>
        <v>198.16334267188896</v>
      </c>
      <c r="N17">
        <f t="shared" ref="N17:N30" si="5">M17*(DX17+DY17)/1000</f>
        <v>19.547601418994244</v>
      </c>
      <c r="O17">
        <f t="shared" ref="O17:O30" si="6">(DQ17 - IF(AT17&gt;1, K17*DK17*100/(AV17), 0))*(DX17+DY17)/1000</f>
        <v>41.076275945011567</v>
      </c>
      <c r="P17">
        <f t="shared" ref="P17:P30" si="7">2/((1/R17-1/Q17)+SIGN(R17)*SQRT((1/R17-1/Q17)*(1/R17-1/Q17) + 4*DL17/((DL17+1)*(DL17+1))*(2*1/R17*1/Q17-1/Q17*1/Q17)))</f>
        <v>0.21913882337994225</v>
      </c>
      <c r="Q17">
        <f t="shared" ref="Q17:Q30" si="8">IF(LEFT(DM17,1)&lt;&gt;"0",IF(LEFT(DM17,1)="1",3,DN17),$D$5+$E$5*(EE17*DX17/($K$5*1000))+$F$5*(EE17*DX17/($K$5*1000))*MAX(MIN(DK17,$J$5),$I$5)*MAX(MIN(DK17,$J$5),$I$5)+$G$5*MAX(MIN(DK17,$J$5),$I$5)*(EE17*DX17/($K$5*1000))+$H$5*(EE17*DX17/($K$5*1000))*(EE17*DX17/($K$5*1000)))</f>
        <v>2.9050103595040699</v>
      </c>
      <c r="R17">
        <f t="shared" ref="R17:R30" si="9">I17*(1000-(1000*0.61365*EXP(17.502*V17/(240.97+V17))/(DX17+DY17)+DS17)/2)/(1000*0.61365*EXP(17.502*V17/(240.97+V17))/(DX17+DY17)-DS17)</f>
        <v>0.21035194589898959</v>
      </c>
      <c r="S17">
        <f t="shared" ref="S17:S30" si="10">1/((DL17+1)/(P17/1.6)+1/(Q17/1.37)) + DL17/((DL17+1)/(P17/1.6) + DL17/(Q17/1.37))</f>
        <v>0.13223007417878316</v>
      </c>
      <c r="T17">
        <f t="shared" ref="T17:T30" si="11">(DG17*DJ17)</f>
        <v>319.7818254905481</v>
      </c>
      <c r="U17">
        <f t="shared" ref="U17:U30" si="12">(DZ17+(T17+2*0.95*0.0000000567*(((DZ17+$B$7)+273)^4-(DZ17+273)^4)-44100*I17)/(1.84*29.3*Q17+8*0.95*0.0000000567*(DZ17+273)^3))</f>
        <v>25.661275704656148</v>
      </c>
      <c r="V17">
        <f t="shared" ref="V17:V30" si="13">($C$7*EA17+$D$7*EB17+$E$7*U17)</f>
        <v>25.005570000000009</v>
      </c>
      <c r="W17">
        <f t="shared" ref="W17:W30" si="14">0.61365*EXP(17.502*V17/(240.97+V17))</f>
        <v>3.1807336452459372</v>
      </c>
      <c r="X17">
        <f t="shared" ref="X17:X30" si="15">(Y17/Z17*100)</f>
        <v>66.551239573686303</v>
      </c>
      <c r="Y17">
        <f t="shared" ref="Y17:Y30" si="16">DS17*(DX17+DY17)/1000</f>
        <v>2.0430131141885997</v>
      </c>
      <c r="Z17">
        <f t="shared" ref="Z17:Z30" si="17">0.61365*EXP(17.502*DZ17/(240.97+DZ17))</f>
        <v>3.0698348028913149</v>
      </c>
      <c r="AA17">
        <f t="shared" ref="AA17:AA30" si="18">(W17-DS17*(DX17+DY17)/1000)</f>
        <v>1.1377205310573375</v>
      </c>
      <c r="AB17">
        <f t="shared" ref="AB17:AB30" si="19">(-I17*44100)</f>
        <v>-109.90177466118975</v>
      </c>
      <c r="AC17">
        <f t="shared" ref="AC17:AC30" si="20">2*29.3*Q17*0.92*(DZ17-V17)</f>
        <v>-93.020386744559687</v>
      </c>
      <c r="AD17">
        <f t="shared" ref="AD17:AD30" si="21">2*0.95*0.0000000567*(((DZ17+$B$7)+273)^4-(V17+273)^4)</f>
        <v>-6.7533029017265029</v>
      </c>
      <c r="AE17">
        <f t="shared" ref="AE17:AE30" si="22">T17+AD17+AB17+AC17</f>
        <v>110.10636118307218</v>
      </c>
      <c r="AF17">
        <f t="shared" ref="AF17:AF30" si="23">DW17*AT17*(DR17-DQ17*(1000-AT17*DT17)/(1000-AT17*DS17))/(100*DK17)</f>
        <v>28.09295086384153</v>
      </c>
      <c r="AG17">
        <f t="shared" ref="AG17:AG30" si="24">1000*DW17*AT17*(DS17-DT17)/(100*DK17*(1000-AT17*DS17))</f>
        <v>2.4921037338138263</v>
      </c>
      <c r="AH17">
        <f t="shared" ref="AH17:AH30" si="25">(AI17 - AJ17 - DX17*1000/(8.314*(DZ17+273.15)) * AL17/DW17 * AK17) * DW17/(100*DK17) * (1000 - DT17)/1000</f>
        <v>27.910256558294471</v>
      </c>
      <c r="AI17">
        <v>460.51589210546479</v>
      </c>
      <c r="AJ17">
        <v>425.90006060606038</v>
      </c>
      <c r="AK17">
        <v>9.6862829537678621E-2</v>
      </c>
      <c r="AL17">
        <v>67.027862984223731</v>
      </c>
      <c r="AM17">
        <f t="shared" ref="AM17:AM30" si="26">(AO17 - AN17 + DX17*1000/(8.314*(DZ17+273.15)) * AQ17/DW17 * AP17) * DW17/(100*DK17) * 1000/(1000 - AO17)</f>
        <v>2.4221822054419642</v>
      </c>
      <c r="AN17">
        <v>17.68707107566841</v>
      </c>
      <c r="AO17">
        <v>20.619844848484838</v>
      </c>
      <c r="AP17">
        <v>-1.38436808769037E-2</v>
      </c>
      <c r="AQ17">
        <v>78.047712995522218</v>
      </c>
      <c r="AR17">
        <v>0</v>
      </c>
      <c r="AS17">
        <v>0</v>
      </c>
      <c r="AT17">
        <f t="shared" ref="AT17:AT30" si="27">IF(AR17*$H$13&gt;=AV17,1,(AV17/(AV17-AR17*$H$13)))</f>
        <v>1</v>
      </c>
      <c r="AU17">
        <f t="shared" ref="AU17:AU30" si="28">(AT17-1)*100</f>
        <v>0</v>
      </c>
      <c r="AV17">
        <f t="shared" ref="AV17:AV30" si="29">MAX(0,($B$13+$C$13*EE17)/(1+$D$13*EE17)*DX17/(DZ17+273)*$E$13)</f>
        <v>52594.29730803438</v>
      </c>
      <c r="AW17" t="s">
        <v>405</v>
      </c>
      <c r="AX17">
        <v>5100.5</v>
      </c>
      <c r="AY17">
        <v>580.05000000000007</v>
      </c>
      <c r="AZ17">
        <v>2506.0700000000002</v>
      </c>
      <c r="BA17">
        <f t="shared" ref="BA17:BA30" si="30">1-AY17/AZ17</f>
        <v>0.76854198007238428</v>
      </c>
      <c r="BB17">
        <v>-3.471690147891815</v>
      </c>
      <c r="BC17" t="s">
        <v>406</v>
      </c>
      <c r="BD17">
        <v>5083.45</v>
      </c>
      <c r="BE17">
        <v>799.84423529411765</v>
      </c>
      <c r="BF17">
        <v>880.77</v>
      </c>
      <c r="BG17">
        <f t="shared" ref="BG17:BG30" si="31">1-BE17/BF17</f>
        <v>9.1880700643621305E-2</v>
      </c>
      <c r="BH17">
        <v>0.5</v>
      </c>
      <c r="BI17">
        <f t="shared" ref="BI17:BI30" si="32">DH17</f>
        <v>1680.3176198396618</v>
      </c>
      <c r="BJ17">
        <f t="shared" ref="BJ17:BJ30" si="33">K17</f>
        <v>28.09295086384153</v>
      </c>
      <c r="BK17">
        <f t="shared" ref="BK17:BK30" si="34">BG17*BH17*BI17</f>
        <v>77.194380107345111</v>
      </c>
      <c r="BL17">
        <f t="shared" ref="BL17:BL30" si="35">(BJ17-BB17)/BI17</f>
        <v>1.8784925325454414E-2</v>
      </c>
      <c r="BM17">
        <f t="shared" ref="BM17:BM30" si="36">(AZ17-BF17)/BF17</f>
        <v>1.8453171656618643</v>
      </c>
      <c r="BN17">
        <f t="shared" ref="BN17:BN30" si="37">AY17/(BA17+AY17/BF17)</f>
        <v>406.44981450625806</v>
      </c>
      <c r="BO17" t="s">
        <v>407</v>
      </c>
      <c r="BP17">
        <v>0</v>
      </c>
      <c r="BQ17">
        <f t="shared" ref="BQ17:BQ30" si="38">IF(BP17&lt;&gt;0, BP17, BN17)</f>
        <v>406.44981450625806</v>
      </c>
      <c r="BR17">
        <f t="shared" ref="BR17:BR30" si="39">1-BQ17/BF17</f>
        <v>0.53852899791516728</v>
      </c>
      <c r="BS17">
        <f t="shared" ref="BS17:BS30" si="40">(BF17-BE17)/(BF17-BQ17)</f>
        <v>0.17061421204674843</v>
      </c>
      <c r="BT17">
        <f t="shared" ref="BT17:BT30" si="41">(AZ17-BF17)/(AZ17-BQ17)</f>
        <v>0.7740923864369299</v>
      </c>
      <c r="BU17">
        <f t="shared" ref="BU17:BU30" si="42">(BF17-BE17)/(BF17-AY17)</f>
        <v>0.26910669295651224</v>
      </c>
      <c r="BV17">
        <f t="shared" ref="BV17:BV30" si="43">(AZ17-BF17)/(AZ17-AY17)</f>
        <v>0.84386454969314972</v>
      </c>
      <c r="BW17">
        <f t="shared" ref="BW17:BW30" si="44">(BS17*BQ17/BE17)</f>
        <v>8.6699524455574037E-2</v>
      </c>
      <c r="BX17">
        <f t="shared" ref="BX17:BX30" si="45">(1-BW17)</f>
        <v>0.91330047554442595</v>
      </c>
      <c r="DG17">
        <f t="shared" ref="DG17:DG30" si="46">$B$11*EF17+$C$11*EG17+$F$11*ER17*(1-EU17)</f>
        <v>2000.0213333333329</v>
      </c>
      <c r="DH17">
        <f t="shared" ref="DH17:DH30" si="47">DG17*DI17</f>
        <v>1680.3176198396618</v>
      </c>
      <c r="DI17">
        <f t="shared" ref="DI17:DI30" si="48">($B$11*$D$9+$C$11*$D$9+$F$11*((FE17+EW17)/MAX(FE17+EW17+FF17, 0.1)*$I$9+FF17/MAX(FE17+EW17+FF17, 0.1)*$J$9))/($B$11+$C$11+$F$11)</f>
        <v>0.84014984832144901</v>
      </c>
      <c r="DJ17">
        <f t="shared" ref="DJ17:DJ30" si="49">($B$11*$K$9+$C$11*$K$9+$F$11*((FE17+EW17)/MAX(FE17+EW17+FF17, 0.1)*$P$9+FF17/MAX(FE17+EW17+FF17, 0.1)*$Q$9))/($B$11+$C$11+$F$11)</f>
        <v>0.15988920726039665</v>
      </c>
      <c r="DK17">
        <v>6</v>
      </c>
      <c r="DL17">
        <v>0.5</v>
      </c>
      <c r="DM17" t="s">
        <v>408</v>
      </c>
      <c r="DN17">
        <v>2</v>
      </c>
      <c r="DO17" t="b">
        <v>0</v>
      </c>
      <c r="DP17">
        <v>1783959741.349999</v>
      </c>
      <c r="DQ17">
        <v>416.40976666666671</v>
      </c>
      <c r="DR17">
        <v>451.36630000000002</v>
      </c>
      <c r="DS17">
        <v>20.71099666666667</v>
      </c>
      <c r="DT17">
        <v>17.78243333333333</v>
      </c>
      <c r="DU17">
        <v>422.52593333333351</v>
      </c>
      <c r="DV17">
        <v>21.303233333333331</v>
      </c>
      <c r="DW17">
        <v>500.00416666666661</v>
      </c>
      <c r="DX17">
        <v>98.586373333333327</v>
      </c>
      <c r="DY17">
        <v>5.7508806666666662E-2</v>
      </c>
      <c r="DZ17">
        <v>24.41162666666667</v>
      </c>
      <c r="EA17">
        <v>25.005570000000009</v>
      </c>
      <c r="EB17">
        <v>999.9000000000002</v>
      </c>
      <c r="EC17">
        <v>0</v>
      </c>
      <c r="ED17">
        <v>0</v>
      </c>
      <c r="EE17">
        <v>10002.16666666667</v>
      </c>
      <c r="EF17">
        <v>0</v>
      </c>
      <c r="EG17">
        <v>1881.6393333333331</v>
      </c>
      <c r="EH17">
        <v>-34.956679999999999</v>
      </c>
      <c r="EI17">
        <v>425.21640000000008</v>
      </c>
      <c r="EJ17">
        <v>459.53809999999999</v>
      </c>
      <c r="EK17">
        <v>2.9285679999999998</v>
      </c>
      <c r="EL17">
        <v>451.36630000000002</v>
      </c>
      <c r="EM17">
        <v>17.78243333333333</v>
      </c>
      <c r="EN17">
        <v>2.0418223333333332</v>
      </c>
      <c r="EO17">
        <v>1.753106333333333</v>
      </c>
      <c r="EP17">
        <v>17.77237666666667</v>
      </c>
      <c r="EQ17">
        <v>15.374463333333329</v>
      </c>
      <c r="ER17">
        <v>2000.0213333333329</v>
      </c>
      <c r="ES17">
        <v>0.99499399999999971</v>
      </c>
      <c r="ET17">
        <v>5.0058369999999991E-3</v>
      </c>
      <c r="EU17">
        <v>0</v>
      </c>
      <c r="EV17">
        <v>799.53520000000003</v>
      </c>
      <c r="EW17">
        <v>5.0010700000000003</v>
      </c>
      <c r="EX17">
        <v>20046.91333333333</v>
      </c>
      <c r="EY17">
        <v>18241.796666666669</v>
      </c>
      <c r="EZ17">
        <v>41.006199999999993</v>
      </c>
      <c r="FA17">
        <v>42.497899999999987</v>
      </c>
      <c r="FB17">
        <v>41.668399999999977</v>
      </c>
      <c r="FC17">
        <v>41.88326666666665</v>
      </c>
      <c r="FD17">
        <v>41.936999999999983</v>
      </c>
      <c r="FE17">
        <v>1985.031333333334</v>
      </c>
      <c r="FF17">
        <v>9.990000000000002</v>
      </c>
      <c r="FG17">
        <v>0</v>
      </c>
      <c r="FH17">
        <v>1819.900000095367</v>
      </c>
      <c r="FI17">
        <v>0</v>
      </c>
      <c r="FJ17">
        <v>799.84423529411765</v>
      </c>
      <c r="FK17">
        <v>6.5607843278469407</v>
      </c>
      <c r="FL17">
        <v>-239.4852957684497</v>
      </c>
      <c r="FM17">
        <v>20051.25882352941</v>
      </c>
      <c r="FN17">
        <v>10</v>
      </c>
      <c r="FO17">
        <v>1783959635.0999999</v>
      </c>
      <c r="FP17" t="s">
        <v>409</v>
      </c>
      <c r="FQ17">
        <v>1783959633.0999999</v>
      </c>
      <c r="FR17">
        <v>1783959635.0999999</v>
      </c>
      <c r="FS17">
        <v>15</v>
      </c>
      <c r="FT17">
        <v>-7.4999999999999997E-2</v>
      </c>
      <c r="FU17">
        <v>2.5999999999999999E-2</v>
      </c>
      <c r="FV17">
        <v>-6.2779999999999996</v>
      </c>
      <c r="FW17">
        <v>-0.66100000000000003</v>
      </c>
      <c r="FX17">
        <v>460</v>
      </c>
      <c r="FY17">
        <v>18</v>
      </c>
      <c r="FZ17">
        <v>0.12</v>
      </c>
      <c r="GA17">
        <v>0.08</v>
      </c>
      <c r="GB17">
        <v>416.35840000000007</v>
      </c>
      <c r="GC17">
        <v>5.9479955506118536</v>
      </c>
      <c r="GD17">
        <v>0.43165762667496732</v>
      </c>
      <c r="GE17">
        <v>-1</v>
      </c>
      <c r="GF17">
        <v>799.17458823529421</v>
      </c>
      <c r="GG17">
        <v>6.7217417875609744</v>
      </c>
      <c r="GH17">
        <v>0.70030548450394936</v>
      </c>
      <c r="GI17">
        <v>1</v>
      </c>
      <c r="GJ17">
        <v>2.89215475</v>
      </c>
      <c r="GK17">
        <v>0.78550322701688813</v>
      </c>
      <c r="GL17">
        <v>8.2509278750559356E-2</v>
      </c>
      <c r="GM17">
        <v>0</v>
      </c>
      <c r="GN17">
        <v>1</v>
      </c>
      <c r="GO17">
        <v>2</v>
      </c>
      <c r="GP17" t="s">
        <v>410</v>
      </c>
      <c r="GQ17">
        <v>3.1296599999999999</v>
      </c>
      <c r="GR17">
        <v>2.7338399999999998</v>
      </c>
      <c r="GS17">
        <v>9.1591500000000006E-2</v>
      </c>
      <c r="GT17">
        <v>9.7104399999999993E-2</v>
      </c>
      <c r="GU17">
        <v>0.10310800000000001</v>
      </c>
      <c r="GV17">
        <v>9.0487700000000004E-2</v>
      </c>
      <c r="GW17">
        <v>22740</v>
      </c>
      <c r="GX17">
        <v>30352.5</v>
      </c>
      <c r="GY17">
        <v>27158.3</v>
      </c>
      <c r="GZ17">
        <v>34574.1</v>
      </c>
      <c r="HA17">
        <v>35686.5</v>
      </c>
      <c r="HB17">
        <v>39813.699999999997</v>
      </c>
      <c r="HC17">
        <v>40113.599999999999</v>
      </c>
      <c r="HD17">
        <v>43853.9</v>
      </c>
      <c r="HE17">
        <v>1.9596</v>
      </c>
      <c r="HF17">
        <v>1.7154</v>
      </c>
      <c r="HG17">
        <v>-9.5039600000000002E-2</v>
      </c>
      <c r="HH17">
        <v>0</v>
      </c>
      <c r="HI17">
        <v>26.561900000000001</v>
      </c>
      <c r="HJ17">
        <v>999.9</v>
      </c>
      <c r="HK17">
        <v>49</v>
      </c>
      <c r="HL17">
        <v>42.9</v>
      </c>
      <c r="HM17">
        <v>42.9542</v>
      </c>
      <c r="HN17">
        <v>61.364899999999999</v>
      </c>
      <c r="HO17">
        <v>6.4302900000000003</v>
      </c>
      <c r="HP17">
        <v>1</v>
      </c>
      <c r="HQ17">
        <v>0.62731700000000001</v>
      </c>
      <c r="HR17">
        <v>7.3368200000000003</v>
      </c>
      <c r="HS17">
        <v>20.082000000000001</v>
      </c>
      <c r="HT17">
        <v>5.2100999999999997</v>
      </c>
      <c r="HU17">
        <v>11.914099999999999</v>
      </c>
      <c r="HV17">
        <v>4.984</v>
      </c>
      <c r="HW17">
        <v>3.2709999999999999</v>
      </c>
      <c r="HX17">
        <v>9999</v>
      </c>
      <c r="HY17">
        <v>9999</v>
      </c>
      <c r="HZ17">
        <v>9999</v>
      </c>
      <c r="IA17">
        <v>999.9</v>
      </c>
      <c r="IB17">
        <v>1.8677999999999999</v>
      </c>
      <c r="IC17">
        <v>1.8635299999999999</v>
      </c>
      <c r="ID17">
        <v>1.8629500000000001</v>
      </c>
      <c r="IE17">
        <v>1.86249</v>
      </c>
      <c r="IF17">
        <v>1.86249</v>
      </c>
      <c r="IG17">
        <v>1.8629800000000001</v>
      </c>
      <c r="IH17">
        <v>1.8640099999999999</v>
      </c>
      <c r="II17">
        <v>1.86188</v>
      </c>
      <c r="IJ17">
        <v>0</v>
      </c>
      <c r="IK17">
        <v>0</v>
      </c>
      <c r="IL17">
        <v>0</v>
      </c>
      <c r="IM17">
        <v>4.5</v>
      </c>
      <c r="IN17" t="s">
        <v>411</v>
      </c>
      <c r="IO17" t="s">
        <v>412</v>
      </c>
      <c r="IP17" t="s">
        <v>413</v>
      </c>
      <c r="IQ17" t="s">
        <v>414</v>
      </c>
      <c r="IR17" t="s">
        <v>414</v>
      </c>
      <c r="IS17" t="s">
        <v>413</v>
      </c>
      <c r="IT17">
        <v>0</v>
      </c>
      <c r="IU17">
        <v>100</v>
      </c>
      <c r="IV17">
        <v>100</v>
      </c>
      <c r="IW17">
        <v>-6.1189999999999998</v>
      </c>
      <c r="IX17">
        <v>-0.59470000000000001</v>
      </c>
      <c r="IY17">
        <v>-4.1417617122518653</v>
      </c>
      <c r="IZ17">
        <v>-5.6215304933332991E-3</v>
      </c>
      <c r="JA17">
        <v>2.3979931213773931E-6</v>
      </c>
      <c r="JB17">
        <v>-3.6297174575716598E-10</v>
      </c>
      <c r="JC17">
        <v>-0.91198403746641521</v>
      </c>
      <c r="JD17">
        <v>2.7492919904454862E-4</v>
      </c>
      <c r="JE17">
        <v>8.6739513355948885E-4</v>
      </c>
      <c r="JF17">
        <v>-8.2500691715147318E-6</v>
      </c>
      <c r="JG17">
        <v>17</v>
      </c>
      <c r="JH17">
        <v>1914</v>
      </c>
      <c r="JI17">
        <v>2</v>
      </c>
      <c r="JJ17">
        <v>37</v>
      </c>
      <c r="JK17">
        <v>1.9</v>
      </c>
      <c r="JL17">
        <v>1.9</v>
      </c>
      <c r="JM17">
        <v>1.15967</v>
      </c>
      <c r="JN17">
        <v>2.5634800000000002</v>
      </c>
      <c r="JO17">
        <v>1.50024</v>
      </c>
      <c r="JP17">
        <v>2.2656200000000002</v>
      </c>
      <c r="JQ17">
        <v>1.4477500000000001</v>
      </c>
      <c r="JR17">
        <v>2.4694799999999999</v>
      </c>
      <c r="JS17">
        <v>47.783099999999997</v>
      </c>
      <c r="JT17">
        <v>23.780999999999999</v>
      </c>
      <c r="JU17">
        <v>18</v>
      </c>
      <c r="JV17">
        <v>543.69299999999998</v>
      </c>
      <c r="JW17">
        <v>400.20600000000002</v>
      </c>
      <c r="JX17">
        <v>19.129100000000001</v>
      </c>
      <c r="JY17">
        <v>34.619</v>
      </c>
      <c r="JZ17">
        <v>30.0002</v>
      </c>
      <c r="KA17">
        <v>34.610700000000001</v>
      </c>
      <c r="KB17">
        <v>34.618000000000002</v>
      </c>
      <c r="KC17">
        <v>23.194099999999999</v>
      </c>
      <c r="KD17">
        <v>56.275100000000002</v>
      </c>
      <c r="KE17">
        <v>0</v>
      </c>
      <c r="KF17">
        <v>19.134599999999999</v>
      </c>
      <c r="KG17">
        <v>453.51900000000001</v>
      </c>
      <c r="KH17">
        <v>17.4559</v>
      </c>
      <c r="KI17">
        <v>100.246</v>
      </c>
      <c r="KJ17">
        <v>98.679100000000005</v>
      </c>
    </row>
    <row r="18" spans="1:296" x14ac:dyDescent="0.3">
      <c r="A18">
        <v>2</v>
      </c>
      <c r="B18">
        <v>1783959988.5999999</v>
      </c>
      <c r="C18">
        <v>239.5</v>
      </c>
      <c r="D18" t="s">
        <v>415</v>
      </c>
      <c r="E18" t="s">
        <v>416</v>
      </c>
      <c r="F18">
        <v>15</v>
      </c>
      <c r="H18">
        <v>1783959980.849999</v>
      </c>
      <c r="I18">
        <f t="shared" si="0"/>
        <v>2.8324490810281541E-3</v>
      </c>
      <c r="J18">
        <f t="shared" si="1"/>
        <v>2.832449081028154</v>
      </c>
      <c r="K18">
        <f t="shared" si="2"/>
        <v>35.44900761878835</v>
      </c>
      <c r="L18">
        <f t="shared" si="3"/>
        <v>419.66973333333328</v>
      </c>
      <c r="M18">
        <f t="shared" si="4"/>
        <v>177.20320881983963</v>
      </c>
      <c r="N18">
        <f t="shared" si="5"/>
        <v>17.479148888344657</v>
      </c>
      <c r="O18">
        <f t="shared" si="6"/>
        <v>41.395806552933891</v>
      </c>
      <c r="P18">
        <f t="shared" si="7"/>
        <v>0.24924688204479933</v>
      </c>
      <c r="Q18">
        <f t="shared" si="8"/>
        <v>2.9043861393145893</v>
      </c>
      <c r="R18">
        <f t="shared" si="9"/>
        <v>0.23794425069223649</v>
      </c>
      <c r="S18">
        <f t="shared" si="10"/>
        <v>0.14968793650941564</v>
      </c>
      <c r="T18">
        <f t="shared" si="11"/>
        <v>319.77731258008038</v>
      </c>
      <c r="U18">
        <f t="shared" si="12"/>
        <v>25.56854091062484</v>
      </c>
      <c r="V18">
        <f t="shared" si="13"/>
        <v>24.977816666666669</v>
      </c>
      <c r="W18">
        <f t="shared" si="14"/>
        <v>3.1754747361555933</v>
      </c>
      <c r="X18">
        <f t="shared" si="15"/>
        <v>66.216063766648787</v>
      </c>
      <c r="Y18">
        <f t="shared" si="16"/>
        <v>2.0322884340639122</v>
      </c>
      <c r="Z18">
        <f t="shared" si="17"/>
        <v>3.0691773543439171</v>
      </c>
      <c r="AA18">
        <f t="shared" si="18"/>
        <v>1.143186302091681</v>
      </c>
      <c r="AB18">
        <f t="shared" si="19"/>
        <v>-124.91100447334159</v>
      </c>
      <c r="AC18">
        <f t="shared" si="20"/>
        <v>-89.214785730728906</v>
      </c>
      <c r="AD18">
        <f t="shared" si="21"/>
        <v>-6.4773842825639854</v>
      </c>
      <c r="AE18">
        <f t="shared" si="22"/>
        <v>99.174138093445876</v>
      </c>
      <c r="AF18">
        <f t="shared" si="23"/>
        <v>35.44900761878835</v>
      </c>
      <c r="AG18">
        <f t="shared" si="24"/>
        <v>2.832449081028154</v>
      </c>
      <c r="AH18">
        <f t="shared" si="25"/>
        <v>35.518586025783684</v>
      </c>
      <c r="AI18">
        <v>471.70349298784851</v>
      </c>
      <c r="AJ18">
        <v>428.45297575757559</v>
      </c>
      <c r="AK18">
        <v>-2.3527077162272349E-2</v>
      </c>
      <c r="AL18">
        <v>67.090225595027633</v>
      </c>
      <c r="AM18">
        <f t="shared" si="26"/>
        <v>2.9167181356640763</v>
      </c>
      <c r="AN18">
        <v>17.09910078792208</v>
      </c>
      <c r="AO18">
        <v>20.559335757575759</v>
      </c>
      <c r="AP18">
        <v>-5.0712034632003538E-3</v>
      </c>
      <c r="AQ18">
        <v>78.55</v>
      </c>
      <c r="AR18">
        <v>0</v>
      </c>
      <c r="AS18">
        <v>0</v>
      </c>
      <c r="AT18">
        <f t="shared" si="27"/>
        <v>1</v>
      </c>
      <c r="AU18">
        <f t="shared" si="28"/>
        <v>0</v>
      </c>
      <c r="AV18">
        <f t="shared" si="29"/>
        <v>52576.811543402524</v>
      </c>
      <c r="AW18" t="s">
        <v>405</v>
      </c>
      <c r="AX18">
        <v>5100.5</v>
      </c>
      <c r="AY18">
        <v>580.05000000000007</v>
      </c>
      <c r="AZ18">
        <v>2506.0700000000002</v>
      </c>
      <c r="BA18">
        <f t="shared" si="30"/>
        <v>0.76854198007238428</v>
      </c>
      <c r="BB18">
        <v>-3.471690147891815</v>
      </c>
      <c r="BC18" t="s">
        <v>417</v>
      </c>
      <c r="BD18">
        <v>5082.32</v>
      </c>
      <c r="BE18">
        <v>801.4881764705882</v>
      </c>
      <c r="BF18">
        <v>907.36</v>
      </c>
      <c r="BG18">
        <f t="shared" si="31"/>
        <v>0.11668116682398588</v>
      </c>
      <c r="BH18">
        <v>0.5</v>
      </c>
      <c r="BI18">
        <f t="shared" si="32"/>
        <v>1680.2966013368296</v>
      </c>
      <c r="BJ18">
        <f t="shared" si="33"/>
        <v>35.44900761878835</v>
      </c>
      <c r="BK18">
        <f t="shared" si="34"/>
        <v>98.029484027179549</v>
      </c>
      <c r="BL18">
        <f t="shared" si="35"/>
        <v>2.3162992614348676E-2</v>
      </c>
      <c r="BM18">
        <f t="shared" si="36"/>
        <v>1.7619357256215835</v>
      </c>
      <c r="BN18">
        <f t="shared" si="37"/>
        <v>412.0217133998562</v>
      </c>
      <c r="BO18" t="s">
        <v>407</v>
      </c>
      <c r="BP18">
        <v>0</v>
      </c>
      <c r="BQ18">
        <f t="shared" si="38"/>
        <v>412.0217133998562</v>
      </c>
      <c r="BR18">
        <f t="shared" si="39"/>
        <v>0.54591153081482968</v>
      </c>
      <c r="BS18">
        <f t="shared" si="40"/>
        <v>0.21373640276443165</v>
      </c>
      <c r="BT18">
        <f t="shared" si="41"/>
        <v>0.76345421938461333</v>
      </c>
      <c r="BU18">
        <f t="shared" si="42"/>
        <v>0.32346040001653426</v>
      </c>
      <c r="BV18">
        <f t="shared" si="43"/>
        <v>0.83005887789327215</v>
      </c>
      <c r="BW18">
        <f t="shared" si="44"/>
        <v>0.10987565564687345</v>
      </c>
      <c r="BX18">
        <f t="shared" si="45"/>
        <v>0.8901243443531266</v>
      </c>
      <c r="DG18">
        <f t="shared" si="46"/>
        <v>1999.9966666666669</v>
      </c>
      <c r="DH18">
        <f t="shared" si="47"/>
        <v>1680.2966013368296</v>
      </c>
      <c r="DI18">
        <f t="shared" si="48"/>
        <v>0.84014970091791619</v>
      </c>
      <c r="DJ18">
        <f t="shared" si="49"/>
        <v>0.15988892277157812</v>
      </c>
      <c r="DK18">
        <v>6</v>
      </c>
      <c r="DL18">
        <v>0.5</v>
      </c>
      <c r="DM18" t="s">
        <v>408</v>
      </c>
      <c r="DN18">
        <v>2</v>
      </c>
      <c r="DO18" t="b">
        <v>0</v>
      </c>
      <c r="DP18">
        <v>1783959980.849999</v>
      </c>
      <c r="DQ18">
        <v>419.66973333333328</v>
      </c>
      <c r="DR18">
        <v>463.63986666666659</v>
      </c>
      <c r="DS18">
        <v>20.60329333333334</v>
      </c>
      <c r="DT18">
        <v>17.27401333333334</v>
      </c>
      <c r="DU18">
        <v>425.83156666666667</v>
      </c>
      <c r="DV18">
        <v>21.202870000000001</v>
      </c>
      <c r="DW18">
        <v>499.94436666666661</v>
      </c>
      <c r="DX18">
        <v>98.582346666666666</v>
      </c>
      <c r="DY18">
        <v>5.6662213333333343E-2</v>
      </c>
      <c r="DZ18">
        <v>24.408049999999999</v>
      </c>
      <c r="EA18">
        <v>24.977816666666669</v>
      </c>
      <c r="EB18">
        <v>999.9000000000002</v>
      </c>
      <c r="EC18">
        <v>0</v>
      </c>
      <c r="ED18">
        <v>0</v>
      </c>
      <c r="EE18">
        <v>9999</v>
      </c>
      <c r="EF18">
        <v>0</v>
      </c>
      <c r="EG18">
        <v>1657.1948</v>
      </c>
      <c r="EH18">
        <v>-43.970239999999997</v>
      </c>
      <c r="EI18">
        <v>428.4982</v>
      </c>
      <c r="EJ18">
        <v>471.78963333333343</v>
      </c>
      <c r="EK18">
        <v>3.3292929999999998</v>
      </c>
      <c r="EL18">
        <v>463.63986666666659</v>
      </c>
      <c r="EM18">
        <v>17.27401333333334</v>
      </c>
      <c r="EN18">
        <v>2.0311210000000002</v>
      </c>
      <c r="EO18">
        <v>1.702912</v>
      </c>
      <c r="EP18">
        <v>17.689039999999999</v>
      </c>
      <c r="EQ18">
        <v>14.922446666666669</v>
      </c>
      <c r="ER18">
        <v>1999.9966666666669</v>
      </c>
      <c r="ES18">
        <v>0.99499496666666654</v>
      </c>
      <c r="ET18">
        <v>5.0049356666666657E-3</v>
      </c>
      <c r="EU18">
        <v>0</v>
      </c>
      <c r="EV18">
        <v>801.56436666666684</v>
      </c>
      <c r="EW18">
        <v>5.0010700000000003</v>
      </c>
      <c r="EX18">
        <v>20026.673333333329</v>
      </c>
      <c r="EY18">
        <v>18241.57666666666</v>
      </c>
      <c r="EZ18">
        <v>41.291333333333313</v>
      </c>
      <c r="FA18">
        <v>42.75</v>
      </c>
      <c r="FB18">
        <v>42</v>
      </c>
      <c r="FC18">
        <v>42.125</v>
      </c>
      <c r="FD18">
        <v>42.207999999999998</v>
      </c>
      <c r="FE18">
        <v>1985.006666666666</v>
      </c>
      <c r="FF18">
        <v>9.9800000000000022</v>
      </c>
      <c r="FG18">
        <v>0</v>
      </c>
      <c r="FH18">
        <v>239</v>
      </c>
      <c r="FI18">
        <v>0</v>
      </c>
      <c r="FJ18">
        <v>801.4881764705882</v>
      </c>
      <c r="FK18">
        <v>-1.8044117399615249</v>
      </c>
      <c r="FL18">
        <v>-197.94117258500211</v>
      </c>
      <c r="FM18">
        <v>20023.31764705883</v>
      </c>
      <c r="FN18">
        <v>10</v>
      </c>
      <c r="FO18">
        <v>1783959925.5999999</v>
      </c>
      <c r="FP18" t="s">
        <v>418</v>
      </c>
      <c r="FQ18">
        <v>1783959923.5999999</v>
      </c>
      <c r="FR18">
        <v>1783959925.5999999</v>
      </c>
      <c r="FS18">
        <v>16</v>
      </c>
      <c r="FT18">
        <v>-3.3000000000000002E-2</v>
      </c>
      <c r="FU18">
        <v>-5.0000000000000001E-3</v>
      </c>
      <c r="FV18">
        <v>-6.32</v>
      </c>
      <c r="FW18">
        <v>-0.66400000000000003</v>
      </c>
      <c r="FX18">
        <v>462</v>
      </c>
      <c r="FY18">
        <v>18</v>
      </c>
      <c r="FZ18">
        <v>0.16</v>
      </c>
      <c r="GA18">
        <v>0.11</v>
      </c>
      <c r="GB18">
        <v>419.66674193548403</v>
      </c>
      <c r="GC18">
        <v>0.20743548386985239</v>
      </c>
      <c r="GD18">
        <v>6.2311893827607261E-2</v>
      </c>
      <c r="GE18">
        <v>-1</v>
      </c>
      <c r="GF18">
        <v>801.72111764705892</v>
      </c>
      <c r="GG18">
        <v>-2.413812070797297</v>
      </c>
      <c r="GH18">
        <v>0.32831761565196849</v>
      </c>
      <c r="GI18">
        <v>1</v>
      </c>
      <c r="GJ18">
        <v>3.2560753658536581</v>
      </c>
      <c r="GK18">
        <v>1.5581715679442469</v>
      </c>
      <c r="GL18">
        <v>0.16126641396659949</v>
      </c>
      <c r="GM18">
        <v>0</v>
      </c>
      <c r="GN18">
        <v>1</v>
      </c>
      <c r="GO18">
        <v>2</v>
      </c>
      <c r="GP18" t="s">
        <v>410</v>
      </c>
      <c r="GQ18">
        <v>3.1309300000000002</v>
      </c>
      <c r="GR18">
        <v>2.7337699999999998</v>
      </c>
      <c r="GS18">
        <v>9.2015899999999998E-2</v>
      </c>
      <c r="GT18">
        <v>9.8833900000000002E-2</v>
      </c>
      <c r="GU18">
        <v>0.102919</v>
      </c>
      <c r="GV18">
        <v>8.8628799999999994E-2</v>
      </c>
      <c r="GW18">
        <v>22730</v>
      </c>
      <c r="GX18">
        <v>30294.400000000001</v>
      </c>
      <c r="GY18">
        <v>27159</v>
      </c>
      <c r="GZ18">
        <v>34574.199999999997</v>
      </c>
      <c r="HA18">
        <v>35694.699999999997</v>
      </c>
      <c r="HB18">
        <v>39895.5</v>
      </c>
      <c r="HC18">
        <v>40114.400000000001</v>
      </c>
      <c r="HD18">
        <v>43854.1</v>
      </c>
      <c r="HE18">
        <v>1.964</v>
      </c>
      <c r="HF18">
        <v>1.712</v>
      </c>
      <c r="HG18">
        <v>-9.6708500000000003E-2</v>
      </c>
      <c r="HH18">
        <v>0</v>
      </c>
      <c r="HI18">
        <v>26.566400000000002</v>
      </c>
      <c r="HJ18">
        <v>999.9</v>
      </c>
      <c r="HK18">
        <v>48.8</v>
      </c>
      <c r="HL18">
        <v>42.9</v>
      </c>
      <c r="HM18">
        <v>42.782600000000002</v>
      </c>
      <c r="HN18">
        <v>61.554900000000004</v>
      </c>
      <c r="HO18">
        <v>6.6025600000000004</v>
      </c>
      <c r="HP18">
        <v>1</v>
      </c>
      <c r="HQ18">
        <v>0.62682899999999997</v>
      </c>
      <c r="HR18">
        <v>7.4623100000000004</v>
      </c>
      <c r="HS18">
        <v>20.076899999999998</v>
      </c>
      <c r="HT18">
        <v>5.2100999999999997</v>
      </c>
      <c r="HU18">
        <v>11.914099999999999</v>
      </c>
      <c r="HV18">
        <v>4.9855999999999998</v>
      </c>
      <c r="HW18">
        <v>3.2707999999999999</v>
      </c>
      <c r="HX18">
        <v>9999</v>
      </c>
      <c r="HY18">
        <v>9999</v>
      </c>
      <c r="HZ18">
        <v>9999</v>
      </c>
      <c r="IA18">
        <v>999.9</v>
      </c>
      <c r="IB18">
        <v>1.8678300000000001</v>
      </c>
      <c r="IC18">
        <v>1.8635600000000001</v>
      </c>
      <c r="ID18">
        <v>1.8629500000000001</v>
      </c>
      <c r="IE18">
        <v>1.86249</v>
      </c>
      <c r="IF18">
        <v>1.86249</v>
      </c>
      <c r="IG18">
        <v>1.86307</v>
      </c>
      <c r="IH18">
        <v>1.8640099999999999</v>
      </c>
      <c r="II18">
        <v>1.86188</v>
      </c>
      <c r="IJ18">
        <v>0</v>
      </c>
      <c r="IK18">
        <v>0</v>
      </c>
      <c r="IL18">
        <v>0</v>
      </c>
      <c r="IM18">
        <v>4.5</v>
      </c>
      <c r="IN18" t="s">
        <v>411</v>
      </c>
      <c r="IO18" t="s">
        <v>412</v>
      </c>
      <c r="IP18" t="s">
        <v>413</v>
      </c>
      <c r="IQ18" t="s">
        <v>414</v>
      </c>
      <c r="IR18" t="s">
        <v>414</v>
      </c>
      <c r="IS18" t="s">
        <v>413</v>
      </c>
      <c r="IT18">
        <v>0</v>
      </c>
      <c r="IU18">
        <v>100</v>
      </c>
      <c r="IV18">
        <v>100</v>
      </c>
      <c r="IW18">
        <v>-6.1619999999999999</v>
      </c>
      <c r="IX18">
        <v>-0.6008</v>
      </c>
      <c r="IY18">
        <v>-4.1748581601656447</v>
      </c>
      <c r="IZ18">
        <v>-5.6215304933332991E-3</v>
      </c>
      <c r="JA18">
        <v>2.3979931213773931E-6</v>
      </c>
      <c r="JB18">
        <v>-3.6297174575716598E-10</v>
      </c>
      <c r="JC18">
        <v>-0.91671406859447124</v>
      </c>
      <c r="JD18">
        <v>2.7492919904454862E-4</v>
      </c>
      <c r="JE18">
        <v>8.6739513355948885E-4</v>
      </c>
      <c r="JF18">
        <v>-8.2500691715147318E-6</v>
      </c>
      <c r="JG18">
        <v>17</v>
      </c>
      <c r="JH18">
        <v>1914</v>
      </c>
      <c r="JI18">
        <v>2</v>
      </c>
      <c r="JJ18">
        <v>37</v>
      </c>
      <c r="JK18">
        <v>1.1000000000000001</v>
      </c>
      <c r="JL18">
        <v>1.1000000000000001</v>
      </c>
      <c r="JM18">
        <v>1.18164</v>
      </c>
      <c r="JN18">
        <v>2.5708000000000002</v>
      </c>
      <c r="JO18">
        <v>1.50024</v>
      </c>
      <c r="JP18">
        <v>2.2644000000000002</v>
      </c>
      <c r="JQ18">
        <v>1.4477500000000001</v>
      </c>
      <c r="JR18">
        <v>2.4462899999999999</v>
      </c>
      <c r="JS18">
        <v>47.783099999999997</v>
      </c>
      <c r="JT18">
        <v>23.780999999999999</v>
      </c>
      <c r="JU18">
        <v>18</v>
      </c>
      <c r="JV18">
        <v>546.80200000000002</v>
      </c>
      <c r="JW18">
        <v>398.34399999999999</v>
      </c>
      <c r="JX18">
        <v>18.884399999999999</v>
      </c>
      <c r="JY18">
        <v>34.609499999999997</v>
      </c>
      <c r="JZ18">
        <v>29.9999</v>
      </c>
      <c r="KA18">
        <v>34.629300000000001</v>
      </c>
      <c r="KB18">
        <v>34.639600000000002</v>
      </c>
      <c r="KC18">
        <v>23.621600000000001</v>
      </c>
      <c r="KD18">
        <v>56.953699999999998</v>
      </c>
      <c r="KE18">
        <v>0</v>
      </c>
      <c r="KF18">
        <v>18.8916</v>
      </c>
      <c r="KG18">
        <v>463.77499999999998</v>
      </c>
      <c r="KH18">
        <v>17.009899999999998</v>
      </c>
      <c r="KI18">
        <v>100.248</v>
      </c>
      <c r="KJ18">
        <v>98.679599999999994</v>
      </c>
    </row>
    <row r="19" spans="1:296" x14ac:dyDescent="0.3">
      <c r="A19">
        <v>3</v>
      </c>
      <c r="B19">
        <v>1783960171.0999999</v>
      </c>
      <c r="C19">
        <v>422</v>
      </c>
      <c r="D19" t="s">
        <v>419</v>
      </c>
      <c r="E19" t="s">
        <v>420</v>
      </c>
      <c r="F19">
        <v>15</v>
      </c>
      <c r="H19">
        <v>1783960163.349999</v>
      </c>
      <c r="I19">
        <f t="shared" si="0"/>
        <v>2.6443498290031351E-3</v>
      </c>
      <c r="J19">
        <f t="shared" si="1"/>
        <v>2.6443498290031351</v>
      </c>
      <c r="K19">
        <f t="shared" si="2"/>
        <v>36.114165707606176</v>
      </c>
      <c r="L19">
        <f t="shared" si="3"/>
        <v>419.91993333333329</v>
      </c>
      <c r="M19">
        <f t="shared" si="4"/>
        <v>147.45040211822973</v>
      </c>
      <c r="N19">
        <f t="shared" si="5"/>
        <v>14.544265793200562</v>
      </c>
      <c r="O19">
        <f t="shared" si="6"/>
        <v>41.42021340413816</v>
      </c>
      <c r="P19">
        <f t="shared" si="7"/>
        <v>0.22440939918370342</v>
      </c>
      <c r="Q19">
        <f t="shared" si="8"/>
        <v>2.9042764544322601</v>
      </c>
      <c r="R19">
        <f t="shared" si="9"/>
        <v>0.21520208952113454</v>
      </c>
      <c r="S19">
        <f t="shared" si="10"/>
        <v>0.13529706741143727</v>
      </c>
      <c r="T19">
        <f t="shared" si="11"/>
        <v>271.90922434408162</v>
      </c>
      <c r="U19">
        <f t="shared" si="12"/>
        <v>25.426258678604473</v>
      </c>
      <c r="V19">
        <f t="shared" si="13"/>
        <v>25.024799999999999</v>
      </c>
      <c r="W19">
        <f t="shared" si="14"/>
        <v>3.1843819515917198</v>
      </c>
      <c r="X19">
        <f t="shared" si="15"/>
        <v>64.937265441227538</v>
      </c>
      <c r="Y19">
        <f t="shared" si="16"/>
        <v>2.004216389798553</v>
      </c>
      <c r="Z19">
        <f t="shared" si="17"/>
        <v>3.0863886493842272</v>
      </c>
      <c r="AA19">
        <f t="shared" si="18"/>
        <v>1.1801655617931668</v>
      </c>
      <c r="AB19">
        <f t="shared" si="19"/>
        <v>-116.61582745903826</v>
      </c>
      <c r="AC19">
        <f t="shared" si="20"/>
        <v>-81.941622908448636</v>
      </c>
      <c r="AD19">
        <f t="shared" si="21"/>
        <v>-5.953754471698347</v>
      </c>
      <c r="AE19">
        <f t="shared" si="22"/>
        <v>67.398019504896382</v>
      </c>
      <c r="AF19">
        <f t="shared" si="23"/>
        <v>36.114165707606176</v>
      </c>
      <c r="AG19">
        <f t="shared" si="24"/>
        <v>2.6443498290031351</v>
      </c>
      <c r="AH19">
        <f t="shared" si="25"/>
        <v>36.222226473185884</v>
      </c>
      <c r="AI19">
        <v>472.81405191470333</v>
      </c>
      <c r="AJ19">
        <v>428.62973333333338</v>
      </c>
      <c r="AK19">
        <v>-7.4780731566743463E-3</v>
      </c>
      <c r="AL19">
        <v>67.08905993798804</v>
      </c>
      <c r="AM19">
        <f t="shared" si="26"/>
        <v>2.5561779341915263</v>
      </c>
      <c r="AN19">
        <v>17.21058442666666</v>
      </c>
      <c r="AO19">
        <v>20.270024242424238</v>
      </c>
      <c r="AP19">
        <v>-8.7004155844136889E-3</v>
      </c>
      <c r="AQ19">
        <v>78.55</v>
      </c>
      <c r="AR19">
        <v>0</v>
      </c>
      <c r="AS19">
        <v>0</v>
      </c>
      <c r="AT19">
        <f t="shared" si="27"/>
        <v>1</v>
      </c>
      <c r="AU19">
        <f t="shared" si="28"/>
        <v>0</v>
      </c>
      <c r="AV19">
        <f t="shared" si="29"/>
        <v>52557.108337268073</v>
      </c>
      <c r="AW19" t="s">
        <v>405</v>
      </c>
      <c r="AX19">
        <v>5100.5</v>
      </c>
      <c r="AY19">
        <v>580.05000000000007</v>
      </c>
      <c r="AZ19">
        <v>2506.0700000000002</v>
      </c>
      <c r="BA19">
        <f t="shared" si="30"/>
        <v>0.76854198007238428</v>
      </c>
      <c r="BB19">
        <v>-3.471690147891815</v>
      </c>
      <c r="BC19" t="s">
        <v>421</v>
      </c>
      <c r="BD19">
        <v>5085.6000000000004</v>
      </c>
      <c r="BE19">
        <v>804.66611764705885</v>
      </c>
      <c r="BF19">
        <v>950.72</v>
      </c>
      <c r="BG19">
        <f t="shared" si="31"/>
        <v>0.15362449759439289</v>
      </c>
      <c r="BH19">
        <v>0.5</v>
      </c>
      <c r="BI19">
        <f t="shared" si="32"/>
        <v>1428.3098414218039</v>
      </c>
      <c r="BJ19">
        <f t="shared" si="33"/>
        <v>36.114165707606176</v>
      </c>
      <c r="BK19">
        <f t="shared" si="34"/>
        <v>109.7116908987758</v>
      </c>
      <c r="BL19">
        <f t="shared" si="35"/>
        <v>2.7715174052215762E-2</v>
      </c>
      <c r="BM19">
        <f t="shared" si="36"/>
        <v>1.6359706327835746</v>
      </c>
      <c r="BN19">
        <f t="shared" si="37"/>
        <v>420.73507702368141</v>
      </c>
      <c r="BO19" t="s">
        <v>407</v>
      </c>
      <c r="BP19">
        <v>0</v>
      </c>
      <c r="BQ19">
        <f t="shared" si="38"/>
        <v>420.73507702368141</v>
      </c>
      <c r="BR19">
        <f t="shared" si="39"/>
        <v>0.55745637303971574</v>
      </c>
      <c r="BS19">
        <f t="shared" si="40"/>
        <v>0.27558120244765405</v>
      </c>
      <c r="BT19">
        <f t="shared" si="41"/>
        <v>0.74585141353702</v>
      </c>
      <c r="BU19">
        <f t="shared" si="42"/>
        <v>0.39402671474071599</v>
      </c>
      <c r="BV19">
        <f t="shared" si="43"/>
        <v>0.8075461314005048</v>
      </c>
      <c r="BW19">
        <f t="shared" si="44"/>
        <v>0.14409290498913335</v>
      </c>
      <c r="BX19">
        <f t="shared" si="45"/>
        <v>0.8559070950108667</v>
      </c>
      <c r="DG19">
        <f t="shared" si="46"/>
        <v>1700.0060000000001</v>
      </c>
      <c r="DH19">
        <f t="shared" si="47"/>
        <v>1428.3098414218039</v>
      </c>
      <c r="DI19">
        <f t="shared" si="48"/>
        <v>0.84017929432119876</v>
      </c>
      <c r="DJ19">
        <f t="shared" si="49"/>
        <v>0.15994603803991375</v>
      </c>
      <c r="DK19">
        <v>6</v>
      </c>
      <c r="DL19">
        <v>0.5</v>
      </c>
      <c r="DM19" t="s">
        <v>408</v>
      </c>
      <c r="DN19">
        <v>2</v>
      </c>
      <c r="DO19" t="b">
        <v>0</v>
      </c>
      <c r="DP19">
        <v>1783960163.349999</v>
      </c>
      <c r="DQ19">
        <v>419.91993333333329</v>
      </c>
      <c r="DR19">
        <v>464.58583333333343</v>
      </c>
      <c r="DS19">
        <v>20.31883333333333</v>
      </c>
      <c r="DT19">
        <v>17.210339999999999</v>
      </c>
      <c r="DU19">
        <v>426.07106666666658</v>
      </c>
      <c r="DV19">
        <v>20.901403333333331</v>
      </c>
      <c r="DW19">
        <v>500.0402666666667</v>
      </c>
      <c r="DX19">
        <v>98.581083333333339</v>
      </c>
      <c r="DY19">
        <v>5.7276306666666651E-2</v>
      </c>
      <c r="DZ19">
        <v>24.50146333333333</v>
      </c>
      <c r="EA19">
        <v>25.024799999999999</v>
      </c>
      <c r="EB19">
        <v>999.9000000000002</v>
      </c>
      <c r="EC19">
        <v>0</v>
      </c>
      <c r="ED19">
        <v>0</v>
      </c>
      <c r="EE19">
        <v>9998.5</v>
      </c>
      <c r="EF19">
        <v>0</v>
      </c>
      <c r="EG19">
        <v>1873.1469999999999</v>
      </c>
      <c r="EH19">
        <v>-44.665840000000003</v>
      </c>
      <c r="EI19">
        <v>428.62926666666658</v>
      </c>
      <c r="EJ19">
        <v>472.72156666666672</v>
      </c>
      <c r="EK19">
        <v>3.1084986666666672</v>
      </c>
      <c r="EL19">
        <v>464.58583333333343</v>
      </c>
      <c r="EM19">
        <v>17.210339999999999</v>
      </c>
      <c r="EN19">
        <v>2.0030533333333329</v>
      </c>
      <c r="EO19">
        <v>1.6966143333333339</v>
      </c>
      <c r="EP19">
        <v>17.468483333333332</v>
      </c>
      <c r="EQ19">
        <v>14.86548333333333</v>
      </c>
      <c r="ER19">
        <v>1700.0060000000001</v>
      </c>
      <c r="ES19">
        <v>0.99400346666666661</v>
      </c>
      <c r="ET19">
        <v>5.9963193333333322E-3</v>
      </c>
      <c r="EU19">
        <v>0</v>
      </c>
      <c r="EV19">
        <v>804.66243333333341</v>
      </c>
      <c r="EW19">
        <v>5.0010700000000003</v>
      </c>
      <c r="EX19">
        <v>17476.73</v>
      </c>
      <c r="EY19">
        <v>15492.60333333334</v>
      </c>
      <c r="EZ19">
        <v>41.129133333333328</v>
      </c>
      <c r="FA19">
        <v>42.936999999999983</v>
      </c>
      <c r="FB19">
        <v>42.066199999999988</v>
      </c>
      <c r="FC19">
        <v>42.297533333333313</v>
      </c>
      <c r="FD19">
        <v>42.186999999999983</v>
      </c>
      <c r="FE19">
        <v>1684.837</v>
      </c>
      <c r="FF19">
        <v>10.16</v>
      </c>
      <c r="FG19">
        <v>0</v>
      </c>
      <c r="FH19">
        <v>181.60000014305109</v>
      </c>
      <c r="FI19">
        <v>0</v>
      </c>
      <c r="FJ19">
        <v>804.66611764705885</v>
      </c>
      <c r="FK19">
        <v>-2.183333350799912</v>
      </c>
      <c r="FL19">
        <v>-175.49019570246779</v>
      </c>
      <c r="FM19">
        <v>17463.605882352938</v>
      </c>
      <c r="FN19">
        <v>10</v>
      </c>
      <c r="FO19">
        <v>1783960048.0999999</v>
      </c>
      <c r="FP19" t="s">
        <v>422</v>
      </c>
      <c r="FQ19">
        <v>1783960043.0999999</v>
      </c>
      <c r="FR19">
        <v>1783960048.0999999</v>
      </c>
      <c r="FS19">
        <v>17</v>
      </c>
      <c r="FT19">
        <v>1.2E-2</v>
      </c>
      <c r="FU19">
        <v>2.5000000000000001E-2</v>
      </c>
      <c r="FV19">
        <v>-6.3140000000000001</v>
      </c>
      <c r="FW19">
        <v>-0.66900000000000004</v>
      </c>
      <c r="FX19">
        <v>464</v>
      </c>
      <c r="FY19">
        <v>17</v>
      </c>
      <c r="FZ19">
        <v>0.2</v>
      </c>
      <c r="GA19">
        <v>0.06</v>
      </c>
      <c r="GB19">
        <v>419.92103225806437</v>
      </c>
      <c r="GC19">
        <v>0.13954838709543629</v>
      </c>
      <c r="GD19">
        <v>6.186899993506613E-2</v>
      </c>
      <c r="GE19">
        <v>-1</v>
      </c>
      <c r="GF19">
        <v>804.70270588235292</v>
      </c>
      <c r="GG19">
        <v>-0.74258212410467783</v>
      </c>
      <c r="GH19">
        <v>0.24113085651860031</v>
      </c>
      <c r="GI19">
        <v>1</v>
      </c>
      <c r="GJ19">
        <v>3.110968292682927</v>
      </c>
      <c r="GK19">
        <v>-0.12968675958188591</v>
      </c>
      <c r="GL19">
        <v>1.888438003430851E-2</v>
      </c>
      <c r="GM19">
        <v>1</v>
      </c>
      <c r="GN19">
        <v>2</v>
      </c>
      <c r="GO19">
        <v>2</v>
      </c>
      <c r="GP19" t="s">
        <v>423</v>
      </c>
      <c r="GQ19">
        <v>3.1296900000000001</v>
      </c>
      <c r="GR19">
        <v>2.7339000000000002</v>
      </c>
      <c r="GS19">
        <v>9.2056299999999994E-2</v>
      </c>
      <c r="GT19">
        <v>9.8967299999999994E-2</v>
      </c>
      <c r="GU19">
        <v>0.10185</v>
      </c>
      <c r="GV19">
        <v>8.9070899999999995E-2</v>
      </c>
      <c r="GW19">
        <v>22729</v>
      </c>
      <c r="GX19">
        <v>30291.7</v>
      </c>
      <c r="GY19">
        <v>27158.799999999999</v>
      </c>
      <c r="GZ19">
        <v>34576</v>
      </c>
      <c r="HA19">
        <v>35737.699999999997</v>
      </c>
      <c r="HB19">
        <v>39877.5</v>
      </c>
      <c r="HC19">
        <v>40115.1</v>
      </c>
      <c r="HD19">
        <v>43855.7</v>
      </c>
      <c r="HE19">
        <v>1.9625999999999999</v>
      </c>
      <c r="HF19">
        <v>1.7145999999999999</v>
      </c>
      <c r="HG19">
        <v>-9.7900600000000004E-2</v>
      </c>
      <c r="HH19">
        <v>0</v>
      </c>
      <c r="HI19">
        <v>26.645600000000002</v>
      </c>
      <c r="HJ19">
        <v>999.9</v>
      </c>
      <c r="HK19">
        <v>48.7</v>
      </c>
      <c r="HL19">
        <v>43</v>
      </c>
      <c r="HM19">
        <v>42.917200000000001</v>
      </c>
      <c r="HN19">
        <v>61.585000000000001</v>
      </c>
      <c r="HO19">
        <v>6.3942300000000003</v>
      </c>
      <c r="HP19">
        <v>1</v>
      </c>
      <c r="HQ19">
        <v>0.62518300000000004</v>
      </c>
      <c r="HR19">
        <v>7.4801299999999999</v>
      </c>
      <c r="HS19">
        <v>20.0777</v>
      </c>
      <c r="HT19">
        <v>5.2088999999999999</v>
      </c>
      <c r="HU19">
        <v>11.914099999999999</v>
      </c>
      <c r="HV19">
        <v>4.9843999999999999</v>
      </c>
      <c r="HW19">
        <v>3.2707999999999999</v>
      </c>
      <c r="HX19">
        <v>9999</v>
      </c>
      <c r="HY19">
        <v>9999</v>
      </c>
      <c r="HZ19">
        <v>9999</v>
      </c>
      <c r="IA19">
        <v>999.9</v>
      </c>
      <c r="IB19">
        <v>1.86768</v>
      </c>
      <c r="IC19">
        <v>1.8633999999999999</v>
      </c>
      <c r="ID19">
        <v>1.8628199999999999</v>
      </c>
      <c r="IE19">
        <v>1.8623700000000001</v>
      </c>
      <c r="IF19">
        <v>1.8623700000000001</v>
      </c>
      <c r="IG19">
        <v>1.8629500000000001</v>
      </c>
      <c r="IH19">
        <v>1.8638600000000001</v>
      </c>
      <c r="II19">
        <v>1.86182</v>
      </c>
      <c r="IJ19">
        <v>0</v>
      </c>
      <c r="IK19">
        <v>0</v>
      </c>
      <c r="IL19">
        <v>0</v>
      </c>
      <c r="IM19">
        <v>4.5</v>
      </c>
      <c r="IN19" t="s">
        <v>411</v>
      </c>
      <c r="IO19" t="s">
        <v>412</v>
      </c>
      <c r="IP19" t="s">
        <v>413</v>
      </c>
      <c r="IQ19" t="s">
        <v>414</v>
      </c>
      <c r="IR19" t="s">
        <v>414</v>
      </c>
      <c r="IS19" t="s">
        <v>413</v>
      </c>
      <c r="IT19">
        <v>0</v>
      </c>
      <c r="IU19">
        <v>100</v>
      </c>
      <c r="IV19">
        <v>100</v>
      </c>
      <c r="IW19">
        <v>-6.1509999999999998</v>
      </c>
      <c r="IX19">
        <v>-0.58389999999999997</v>
      </c>
      <c r="IY19">
        <v>-4.1631357024154587</v>
      </c>
      <c r="IZ19">
        <v>-5.6215304933332991E-3</v>
      </c>
      <c r="JA19">
        <v>2.3979931213773931E-6</v>
      </c>
      <c r="JB19">
        <v>-3.6297174575716598E-10</v>
      </c>
      <c r="JC19">
        <v>-0.89191059845169218</v>
      </c>
      <c r="JD19">
        <v>2.7492919904454862E-4</v>
      </c>
      <c r="JE19">
        <v>8.6739513355948885E-4</v>
      </c>
      <c r="JF19">
        <v>-8.2500691715147318E-6</v>
      </c>
      <c r="JG19">
        <v>17</v>
      </c>
      <c r="JH19">
        <v>1914</v>
      </c>
      <c r="JI19">
        <v>2</v>
      </c>
      <c r="JJ19">
        <v>37</v>
      </c>
      <c r="JK19">
        <v>2.1</v>
      </c>
      <c r="JL19">
        <v>2</v>
      </c>
      <c r="JM19">
        <v>1.18286</v>
      </c>
      <c r="JN19">
        <v>2.5659200000000002</v>
      </c>
      <c r="JO19">
        <v>1.50024</v>
      </c>
      <c r="JP19">
        <v>2.2644000000000002</v>
      </c>
      <c r="JQ19">
        <v>1.4477500000000001</v>
      </c>
      <c r="JR19">
        <v>2.49268</v>
      </c>
      <c r="JS19">
        <v>47.4816</v>
      </c>
      <c r="JT19">
        <v>23.877400000000002</v>
      </c>
      <c r="JU19">
        <v>18</v>
      </c>
      <c r="JV19">
        <v>545.78200000000004</v>
      </c>
      <c r="JW19">
        <v>399.86900000000003</v>
      </c>
      <c r="JX19">
        <v>19.210799999999999</v>
      </c>
      <c r="JY19">
        <v>34.5749</v>
      </c>
      <c r="JZ19">
        <v>30.0015</v>
      </c>
      <c r="KA19">
        <v>34.619900000000001</v>
      </c>
      <c r="KB19">
        <v>34.639600000000002</v>
      </c>
      <c r="KC19">
        <v>23.655100000000001</v>
      </c>
      <c r="KD19">
        <v>56.442700000000002</v>
      </c>
      <c r="KE19">
        <v>0</v>
      </c>
      <c r="KF19">
        <v>19.1539</v>
      </c>
      <c r="KG19">
        <v>464.548</v>
      </c>
      <c r="KH19">
        <v>17.296099999999999</v>
      </c>
      <c r="KI19">
        <v>100.248</v>
      </c>
      <c r="KJ19">
        <v>98.683800000000005</v>
      </c>
    </row>
    <row r="20" spans="1:296" x14ac:dyDescent="0.3">
      <c r="A20">
        <v>4</v>
      </c>
      <c r="B20">
        <v>1783960353.0999999</v>
      </c>
      <c r="C20">
        <v>604</v>
      </c>
      <c r="D20" t="s">
        <v>424</v>
      </c>
      <c r="E20" t="s">
        <v>425</v>
      </c>
      <c r="F20">
        <v>15</v>
      </c>
      <c r="H20">
        <v>1783960345.349999</v>
      </c>
      <c r="I20">
        <f t="shared" si="0"/>
        <v>2.6730858472665941E-3</v>
      </c>
      <c r="J20">
        <f t="shared" si="1"/>
        <v>2.6730858472665942</v>
      </c>
      <c r="K20">
        <f t="shared" si="2"/>
        <v>36.853357391719477</v>
      </c>
      <c r="L20">
        <f t="shared" si="3"/>
        <v>419.98450000000003</v>
      </c>
      <c r="M20">
        <f t="shared" si="4"/>
        <v>151.65320347191025</v>
      </c>
      <c r="N20">
        <f t="shared" si="5"/>
        <v>14.958676275699281</v>
      </c>
      <c r="O20">
        <f t="shared" si="6"/>
        <v>41.426175197644781</v>
      </c>
      <c r="P20">
        <f t="shared" si="7"/>
        <v>0.23283361061445423</v>
      </c>
      <c r="Q20">
        <f t="shared" si="8"/>
        <v>2.9040048261369802</v>
      </c>
      <c r="R20">
        <f t="shared" si="9"/>
        <v>0.22293755405724569</v>
      </c>
      <c r="S20">
        <f t="shared" si="10"/>
        <v>0.14019004195896673</v>
      </c>
      <c r="T20">
        <f t="shared" si="11"/>
        <v>255.91330462944254</v>
      </c>
      <c r="U20">
        <f t="shared" si="12"/>
        <v>25.278344221785662</v>
      </c>
      <c r="V20">
        <f t="shared" si="13"/>
        <v>24.98163666666666</v>
      </c>
      <c r="W20">
        <f t="shared" si="14"/>
        <v>3.1761981270669692</v>
      </c>
      <c r="X20">
        <f t="shared" si="15"/>
        <v>65.778270265571635</v>
      </c>
      <c r="Y20">
        <f t="shared" si="16"/>
        <v>2.0246873039998365</v>
      </c>
      <c r="Z20">
        <f t="shared" si="17"/>
        <v>3.078048869064832</v>
      </c>
      <c r="AA20">
        <f t="shared" si="18"/>
        <v>1.1515108230671327</v>
      </c>
      <c r="AB20">
        <f t="shared" si="19"/>
        <v>-117.8830858644568</v>
      </c>
      <c r="AC20">
        <f t="shared" si="20"/>
        <v>-82.253864867125444</v>
      </c>
      <c r="AD20">
        <f t="shared" si="21"/>
        <v>-5.9743401667309834</v>
      </c>
      <c r="AE20">
        <f t="shared" si="22"/>
        <v>49.802013731129293</v>
      </c>
      <c r="AF20">
        <f t="shared" si="23"/>
        <v>36.853357391719477</v>
      </c>
      <c r="AG20">
        <f t="shared" si="24"/>
        <v>2.6730858472665942</v>
      </c>
      <c r="AH20">
        <f t="shared" si="25"/>
        <v>36.732186954697035</v>
      </c>
      <c r="AI20">
        <v>473.63976735192608</v>
      </c>
      <c r="AJ20">
        <v>428.79163030303022</v>
      </c>
      <c r="AK20">
        <v>-2.200425074255179E-3</v>
      </c>
      <c r="AL20">
        <v>67.090404685904758</v>
      </c>
      <c r="AM20">
        <f t="shared" si="26"/>
        <v>2.7041044228037423</v>
      </c>
      <c r="AN20">
        <v>17.278333038528139</v>
      </c>
      <c r="AO20">
        <v>20.49518545454546</v>
      </c>
      <c r="AP20">
        <v>-6.1238268398208966E-3</v>
      </c>
      <c r="AQ20">
        <v>78.55</v>
      </c>
      <c r="AR20">
        <v>0</v>
      </c>
      <c r="AS20">
        <v>0</v>
      </c>
      <c r="AT20">
        <f t="shared" si="27"/>
        <v>1</v>
      </c>
      <c r="AU20">
        <f t="shared" si="28"/>
        <v>0</v>
      </c>
      <c r="AV20">
        <f t="shared" si="29"/>
        <v>52557.2403091366</v>
      </c>
      <c r="AW20" t="s">
        <v>405</v>
      </c>
      <c r="AX20">
        <v>5100.5</v>
      </c>
      <c r="AY20">
        <v>580.05000000000007</v>
      </c>
      <c r="AZ20">
        <v>2506.0700000000002</v>
      </c>
      <c r="BA20">
        <f t="shared" si="30"/>
        <v>0.76854198007238428</v>
      </c>
      <c r="BB20">
        <v>-3.471690147891815</v>
      </c>
      <c r="BC20" t="s">
        <v>426</v>
      </c>
      <c r="BD20">
        <v>5085.63</v>
      </c>
      <c r="BE20">
        <v>808.51511764705879</v>
      </c>
      <c r="BF20">
        <v>978</v>
      </c>
      <c r="BG20">
        <f t="shared" si="31"/>
        <v>0.17329742571875384</v>
      </c>
      <c r="BH20">
        <v>0.5</v>
      </c>
      <c r="BI20">
        <f t="shared" si="32"/>
        <v>1344.2828998080004</v>
      </c>
      <c r="BJ20">
        <f t="shared" si="33"/>
        <v>36.853357391719477</v>
      </c>
      <c r="BK20">
        <f t="shared" si="34"/>
        <v>116.48038298723398</v>
      </c>
      <c r="BL20">
        <f t="shared" si="35"/>
        <v>2.9997441420530447E-2</v>
      </c>
      <c r="BM20">
        <f t="shared" si="36"/>
        <v>1.5624437627811862</v>
      </c>
      <c r="BN20">
        <f t="shared" si="37"/>
        <v>425.99361104193173</v>
      </c>
      <c r="BO20" t="s">
        <v>407</v>
      </c>
      <c r="BP20">
        <v>0</v>
      </c>
      <c r="BQ20">
        <f t="shared" si="38"/>
        <v>425.99361104193173</v>
      </c>
      <c r="BR20">
        <f t="shared" si="39"/>
        <v>0.56442371059107188</v>
      </c>
      <c r="BS20">
        <f t="shared" si="40"/>
        <v>0.30703427667359057</v>
      </c>
      <c r="BT20">
        <f t="shared" si="41"/>
        <v>0.7346220591280429</v>
      </c>
      <c r="BU20">
        <f t="shared" si="42"/>
        <v>0.42589491733368828</v>
      </c>
      <c r="BV20">
        <f t="shared" si="43"/>
        <v>0.79338220786907721</v>
      </c>
      <c r="BW20">
        <f t="shared" si="44"/>
        <v>0.16177142193020341</v>
      </c>
      <c r="BX20">
        <f t="shared" si="45"/>
        <v>0.83822857806979656</v>
      </c>
      <c r="DG20">
        <f t="shared" si="46"/>
        <v>1599.994999999999</v>
      </c>
      <c r="DH20">
        <f t="shared" si="47"/>
        <v>1344.2828998080004</v>
      </c>
      <c r="DI20">
        <f t="shared" si="48"/>
        <v>0.84017943794074434</v>
      </c>
      <c r="DJ20">
        <f t="shared" si="49"/>
        <v>0.15994631522563676</v>
      </c>
      <c r="DK20">
        <v>6</v>
      </c>
      <c r="DL20">
        <v>0.5</v>
      </c>
      <c r="DM20" t="s">
        <v>408</v>
      </c>
      <c r="DN20">
        <v>2</v>
      </c>
      <c r="DO20" t="b">
        <v>0</v>
      </c>
      <c r="DP20">
        <v>1783960345.349999</v>
      </c>
      <c r="DQ20">
        <v>419.98450000000003</v>
      </c>
      <c r="DR20">
        <v>465.55716666666677</v>
      </c>
      <c r="DS20">
        <v>20.52657</v>
      </c>
      <c r="DT20">
        <v>17.384609999999999</v>
      </c>
      <c r="DU20">
        <v>426.10993333333329</v>
      </c>
      <c r="DV20">
        <v>21.119303333333331</v>
      </c>
      <c r="DW20">
        <v>499.98406666666659</v>
      </c>
      <c r="DX20">
        <v>98.580536666666674</v>
      </c>
      <c r="DY20">
        <v>5.6853993333333318E-2</v>
      </c>
      <c r="DZ20">
        <v>24.456256666666668</v>
      </c>
      <c r="EA20">
        <v>24.98163666666666</v>
      </c>
      <c r="EB20">
        <v>999.9000000000002</v>
      </c>
      <c r="EC20">
        <v>0</v>
      </c>
      <c r="ED20">
        <v>0</v>
      </c>
      <c r="EE20">
        <v>9997</v>
      </c>
      <c r="EF20">
        <v>0</v>
      </c>
      <c r="EG20">
        <v>1999.7603333333329</v>
      </c>
      <c r="EH20">
        <v>-45.572523333333343</v>
      </c>
      <c r="EI20">
        <v>428.78613333333328</v>
      </c>
      <c r="EJ20">
        <v>473.79390000000001</v>
      </c>
      <c r="EK20">
        <v>3.141958666666667</v>
      </c>
      <c r="EL20">
        <v>465.55716666666677</v>
      </c>
      <c r="EM20">
        <v>17.384609999999999</v>
      </c>
      <c r="EN20">
        <v>2.0235210000000001</v>
      </c>
      <c r="EO20">
        <v>1.713784</v>
      </c>
      <c r="EP20">
        <v>17.629586666666668</v>
      </c>
      <c r="EQ20">
        <v>15.02154666666666</v>
      </c>
      <c r="ER20">
        <v>1599.994999999999</v>
      </c>
      <c r="ES20">
        <v>0.99400260000000007</v>
      </c>
      <c r="ET20">
        <v>5.9977510000000008E-3</v>
      </c>
      <c r="EU20">
        <v>0</v>
      </c>
      <c r="EV20">
        <v>808.62456666666674</v>
      </c>
      <c r="EW20">
        <v>5.0010700000000003</v>
      </c>
      <c r="EX20">
        <v>16710.240000000002</v>
      </c>
      <c r="EY20">
        <v>14578.47666666666</v>
      </c>
      <c r="EZ20">
        <v>40.811999999999983</v>
      </c>
      <c r="FA20">
        <v>42.762399999999992</v>
      </c>
      <c r="FB20">
        <v>41.875</v>
      </c>
      <c r="FC20">
        <v>42.125</v>
      </c>
      <c r="FD20">
        <v>41.928733333333319</v>
      </c>
      <c r="FE20">
        <v>1585.425</v>
      </c>
      <c r="FF20">
        <v>9.5699999999999985</v>
      </c>
      <c r="FG20">
        <v>0</v>
      </c>
      <c r="FH20">
        <v>181.4000000953674</v>
      </c>
      <c r="FI20">
        <v>0</v>
      </c>
      <c r="FJ20">
        <v>808.51511764705879</v>
      </c>
      <c r="FK20">
        <v>-5.415441166664519</v>
      </c>
      <c r="FL20">
        <v>-238.9705877022071</v>
      </c>
      <c r="FM20">
        <v>16707.576470588239</v>
      </c>
      <c r="FN20">
        <v>10</v>
      </c>
      <c r="FO20">
        <v>1783960243.0999999</v>
      </c>
      <c r="FP20" t="s">
        <v>427</v>
      </c>
      <c r="FQ20">
        <v>1783960236.5999999</v>
      </c>
      <c r="FR20">
        <v>1783960243.0999999</v>
      </c>
      <c r="FS20">
        <v>18</v>
      </c>
      <c r="FT20">
        <v>2.5999999999999999E-2</v>
      </c>
      <c r="FU20">
        <v>-1.6E-2</v>
      </c>
      <c r="FV20">
        <v>-6.2910000000000004</v>
      </c>
      <c r="FW20">
        <v>-0.66600000000000004</v>
      </c>
      <c r="FX20">
        <v>465</v>
      </c>
      <c r="FY20">
        <v>18</v>
      </c>
      <c r="FZ20">
        <v>0.19</v>
      </c>
      <c r="GA20">
        <v>7.0000000000000007E-2</v>
      </c>
      <c r="GB20">
        <v>419.97996774193552</v>
      </c>
      <c r="GC20">
        <v>0.41758064516085891</v>
      </c>
      <c r="GD20">
        <v>6.1144716687309052E-2</v>
      </c>
      <c r="GE20">
        <v>-1</v>
      </c>
      <c r="GF20">
        <v>808.72432352941189</v>
      </c>
      <c r="GG20">
        <v>-1.6045683688525889</v>
      </c>
      <c r="GH20">
        <v>0.28851574741283298</v>
      </c>
      <c r="GI20">
        <v>1</v>
      </c>
      <c r="GJ20">
        <v>3.0573126829268289</v>
      </c>
      <c r="GK20">
        <v>1.4296386062717761</v>
      </c>
      <c r="GL20">
        <v>0.14621884371945901</v>
      </c>
      <c r="GM20">
        <v>0</v>
      </c>
      <c r="GN20">
        <v>1</v>
      </c>
      <c r="GO20">
        <v>2</v>
      </c>
      <c r="GP20" t="s">
        <v>410</v>
      </c>
      <c r="GQ20">
        <v>3.1301299999999999</v>
      </c>
      <c r="GR20">
        <v>2.7324000000000002</v>
      </c>
      <c r="GS20">
        <v>9.2057299999999995E-2</v>
      </c>
      <c r="GT20">
        <v>9.9128099999999997E-2</v>
      </c>
      <c r="GU20">
        <v>0.10266400000000001</v>
      </c>
      <c r="GV20">
        <v>8.9300099999999993E-2</v>
      </c>
      <c r="GW20">
        <v>22731</v>
      </c>
      <c r="GX20">
        <v>30288.5</v>
      </c>
      <c r="GY20">
        <v>27161</v>
      </c>
      <c r="GZ20">
        <v>34578.300000000003</v>
      </c>
      <c r="HA20">
        <v>35708.199999999997</v>
      </c>
      <c r="HB20">
        <v>39869.199999999997</v>
      </c>
      <c r="HC20">
        <v>40118.400000000001</v>
      </c>
      <c r="HD20">
        <v>43857.599999999999</v>
      </c>
      <c r="HE20">
        <v>1.9630000000000001</v>
      </c>
      <c r="HF20">
        <v>1.7141999999999999</v>
      </c>
      <c r="HG20">
        <v>-0.102878</v>
      </c>
      <c r="HH20">
        <v>0</v>
      </c>
      <c r="HI20">
        <v>26.659099999999999</v>
      </c>
      <c r="HJ20">
        <v>999.9</v>
      </c>
      <c r="HK20">
        <v>48.6</v>
      </c>
      <c r="HL20">
        <v>43</v>
      </c>
      <c r="HM20">
        <v>42.830100000000002</v>
      </c>
      <c r="HN20">
        <v>61.7151</v>
      </c>
      <c r="HO20">
        <v>6.8589700000000002</v>
      </c>
      <c r="HP20">
        <v>1</v>
      </c>
      <c r="HQ20">
        <v>0.61959399999999998</v>
      </c>
      <c r="HR20">
        <v>7.3668199999999997</v>
      </c>
      <c r="HS20">
        <v>20.085000000000001</v>
      </c>
      <c r="HT20">
        <v>5.2112999999999996</v>
      </c>
      <c r="HU20">
        <v>11.914099999999999</v>
      </c>
      <c r="HV20">
        <v>4.9859999999999998</v>
      </c>
      <c r="HW20">
        <v>3.2709999999999999</v>
      </c>
      <c r="HX20">
        <v>9999</v>
      </c>
      <c r="HY20">
        <v>9999</v>
      </c>
      <c r="HZ20">
        <v>9999</v>
      </c>
      <c r="IA20">
        <v>999.9</v>
      </c>
      <c r="IB20">
        <v>1.86768</v>
      </c>
      <c r="IC20">
        <v>1.8633999999999999</v>
      </c>
      <c r="ID20">
        <v>1.8628499999999999</v>
      </c>
      <c r="IE20">
        <v>1.8623400000000001</v>
      </c>
      <c r="IF20">
        <v>1.86243</v>
      </c>
      <c r="IG20">
        <v>1.8629500000000001</v>
      </c>
      <c r="IH20">
        <v>1.8638600000000001</v>
      </c>
      <c r="II20">
        <v>1.86182</v>
      </c>
      <c r="IJ20">
        <v>0</v>
      </c>
      <c r="IK20">
        <v>0</v>
      </c>
      <c r="IL20">
        <v>0</v>
      </c>
      <c r="IM20">
        <v>4.5</v>
      </c>
      <c r="IN20" t="s">
        <v>411</v>
      </c>
      <c r="IO20" t="s">
        <v>412</v>
      </c>
      <c r="IP20" t="s">
        <v>413</v>
      </c>
      <c r="IQ20" t="s">
        <v>414</v>
      </c>
      <c r="IR20" t="s">
        <v>414</v>
      </c>
      <c r="IS20" t="s">
        <v>413</v>
      </c>
      <c r="IT20">
        <v>0</v>
      </c>
      <c r="IU20">
        <v>100</v>
      </c>
      <c r="IV20">
        <v>100</v>
      </c>
      <c r="IW20">
        <v>-6.125</v>
      </c>
      <c r="IX20">
        <v>-0.59379999999999999</v>
      </c>
      <c r="IY20">
        <v>-4.1372127414910853</v>
      </c>
      <c r="IZ20">
        <v>-5.6215304933332991E-3</v>
      </c>
      <c r="JA20">
        <v>2.3979931213773931E-6</v>
      </c>
      <c r="JB20">
        <v>-3.6297174575716598E-10</v>
      </c>
      <c r="JC20">
        <v>-0.90770154967354966</v>
      </c>
      <c r="JD20">
        <v>2.7492919904454862E-4</v>
      </c>
      <c r="JE20">
        <v>8.6739513355948885E-4</v>
      </c>
      <c r="JF20">
        <v>-8.2500691715147318E-6</v>
      </c>
      <c r="JG20">
        <v>17</v>
      </c>
      <c r="JH20">
        <v>1914</v>
      </c>
      <c r="JI20">
        <v>2</v>
      </c>
      <c r="JJ20">
        <v>37</v>
      </c>
      <c r="JK20">
        <v>1.9</v>
      </c>
      <c r="JL20">
        <v>1.8</v>
      </c>
      <c r="JM20">
        <v>1.1853</v>
      </c>
      <c r="JN20">
        <v>2.5793499999999998</v>
      </c>
      <c r="JO20">
        <v>1.50024</v>
      </c>
      <c r="JP20">
        <v>2.2644000000000002</v>
      </c>
      <c r="JQ20">
        <v>1.4477500000000001</v>
      </c>
      <c r="JR20">
        <v>2.34985</v>
      </c>
      <c r="JS20">
        <v>47.212299999999999</v>
      </c>
      <c r="JT20">
        <v>23.877400000000002</v>
      </c>
      <c r="JU20">
        <v>18</v>
      </c>
      <c r="JV20">
        <v>545.77200000000005</v>
      </c>
      <c r="JW20">
        <v>399.387</v>
      </c>
      <c r="JX20">
        <v>19.081600000000002</v>
      </c>
      <c r="JY20">
        <v>34.534100000000002</v>
      </c>
      <c r="JZ20">
        <v>30</v>
      </c>
      <c r="KA20">
        <v>34.585900000000002</v>
      </c>
      <c r="KB20">
        <v>34.599600000000002</v>
      </c>
      <c r="KC20">
        <v>23.700900000000001</v>
      </c>
      <c r="KD20">
        <v>56.564399999999999</v>
      </c>
      <c r="KE20">
        <v>0</v>
      </c>
      <c r="KF20">
        <v>19.091100000000001</v>
      </c>
      <c r="KG20">
        <v>465.52</v>
      </c>
      <c r="KH20">
        <v>17.2896</v>
      </c>
      <c r="KI20">
        <v>100.25700000000001</v>
      </c>
      <c r="KJ20">
        <v>98.688999999999993</v>
      </c>
    </row>
    <row r="21" spans="1:296" x14ac:dyDescent="0.3">
      <c r="A21">
        <v>5</v>
      </c>
      <c r="B21">
        <v>1783960535.5999999</v>
      </c>
      <c r="C21">
        <v>786.5</v>
      </c>
      <c r="D21" t="s">
        <v>428</v>
      </c>
      <c r="E21" t="s">
        <v>429</v>
      </c>
      <c r="F21">
        <v>15</v>
      </c>
      <c r="H21">
        <v>1783960527.849999</v>
      </c>
      <c r="I21">
        <f t="shared" si="0"/>
        <v>2.4202816544399591E-3</v>
      </c>
      <c r="J21">
        <f t="shared" si="1"/>
        <v>2.4202816544399592</v>
      </c>
      <c r="K21">
        <f t="shared" si="2"/>
        <v>36.977071820641775</v>
      </c>
      <c r="L21">
        <f t="shared" si="3"/>
        <v>420.02453333333341</v>
      </c>
      <c r="M21">
        <f t="shared" si="4"/>
        <v>116.32323093727052</v>
      </c>
      <c r="N21">
        <f t="shared" si="5"/>
        <v>11.473354273125638</v>
      </c>
      <c r="O21">
        <f t="shared" si="6"/>
        <v>41.42844241436508</v>
      </c>
      <c r="P21">
        <f t="shared" si="7"/>
        <v>0.20486118209756024</v>
      </c>
      <c r="Q21">
        <f t="shared" si="8"/>
        <v>2.9042091520264486</v>
      </c>
      <c r="R21">
        <f t="shared" si="9"/>
        <v>0.19715831840861889</v>
      </c>
      <c r="S21">
        <f t="shared" si="10"/>
        <v>0.1238918893364007</v>
      </c>
      <c r="T21">
        <f t="shared" si="11"/>
        <v>224.0040098678754</v>
      </c>
      <c r="U21">
        <f t="shared" si="12"/>
        <v>25.233936750092347</v>
      </c>
      <c r="V21">
        <f t="shared" si="13"/>
        <v>25.02023333333333</v>
      </c>
      <c r="W21">
        <f t="shared" si="14"/>
        <v>3.1835152348669915</v>
      </c>
      <c r="X21">
        <f t="shared" si="15"/>
        <v>64.815710501866576</v>
      </c>
      <c r="Y21">
        <f t="shared" si="16"/>
        <v>2.0045526295570006</v>
      </c>
      <c r="Z21">
        <f t="shared" si="17"/>
        <v>3.0926956042536524</v>
      </c>
      <c r="AA21">
        <f t="shared" si="18"/>
        <v>1.1789626053099909</v>
      </c>
      <c r="AB21">
        <f t="shared" si="19"/>
        <v>-106.7344209608022</v>
      </c>
      <c r="AC21">
        <f t="shared" si="20"/>
        <v>-75.883007847378352</v>
      </c>
      <c r="AD21">
        <f t="shared" si="21"/>
        <v>-5.5144926288839775</v>
      </c>
      <c r="AE21">
        <f t="shared" si="22"/>
        <v>35.872088430810877</v>
      </c>
      <c r="AF21">
        <f t="shared" si="23"/>
        <v>36.977071820641775</v>
      </c>
      <c r="AG21">
        <f t="shared" si="24"/>
        <v>2.4202816544399592</v>
      </c>
      <c r="AH21">
        <f t="shared" si="25"/>
        <v>36.91111069123594</v>
      </c>
      <c r="AI21">
        <v>473.93173886311592</v>
      </c>
      <c r="AJ21">
        <v>428.69054545454532</v>
      </c>
      <c r="AK21">
        <v>3.0157369725490529E-2</v>
      </c>
      <c r="AL21">
        <v>67.073369725843307</v>
      </c>
      <c r="AM21">
        <f t="shared" si="26"/>
        <v>2.4027532756266394</v>
      </c>
      <c r="AN21">
        <v>17.474459099826841</v>
      </c>
      <c r="AO21">
        <v>20.30232181818182</v>
      </c>
      <c r="AP21">
        <v>-5.0689369889294787E-4</v>
      </c>
      <c r="AQ21">
        <v>78.55</v>
      </c>
      <c r="AR21">
        <v>0</v>
      </c>
      <c r="AS21">
        <v>0</v>
      </c>
      <c r="AT21">
        <f t="shared" si="27"/>
        <v>1</v>
      </c>
      <c r="AU21">
        <f t="shared" si="28"/>
        <v>0</v>
      </c>
      <c r="AV21">
        <f t="shared" si="29"/>
        <v>52549.056236830249</v>
      </c>
      <c r="AW21" t="s">
        <v>405</v>
      </c>
      <c r="AX21">
        <v>5100.5</v>
      </c>
      <c r="AY21">
        <v>580.05000000000007</v>
      </c>
      <c r="AZ21">
        <v>2506.0700000000002</v>
      </c>
      <c r="BA21">
        <f t="shared" si="30"/>
        <v>0.76854198007238428</v>
      </c>
      <c r="BB21">
        <v>-3.471690147891815</v>
      </c>
      <c r="BC21" t="s">
        <v>430</v>
      </c>
      <c r="BD21">
        <v>5088.09</v>
      </c>
      <c r="BE21">
        <v>812.22</v>
      </c>
      <c r="BF21">
        <v>1028.6600000000001</v>
      </c>
      <c r="BG21">
        <f t="shared" si="31"/>
        <v>0.21040965916823828</v>
      </c>
      <c r="BH21">
        <v>0.5</v>
      </c>
      <c r="BI21">
        <f t="shared" si="32"/>
        <v>1176.2856697761008</v>
      </c>
      <c r="BJ21">
        <f t="shared" si="33"/>
        <v>36.977071820641775</v>
      </c>
      <c r="BK21">
        <f t="shared" si="34"/>
        <v>123.75093343103613</v>
      </c>
      <c r="BL21">
        <f t="shared" si="35"/>
        <v>3.4386852622486488E-2</v>
      </c>
      <c r="BM21">
        <f t="shared" si="36"/>
        <v>1.4362471564948573</v>
      </c>
      <c r="BN21">
        <f t="shared" si="37"/>
        <v>435.33213617371825</v>
      </c>
      <c r="BO21" t="s">
        <v>407</v>
      </c>
      <c r="BP21">
        <v>0</v>
      </c>
      <c r="BQ21">
        <f t="shared" si="38"/>
        <v>435.33213617371825</v>
      </c>
      <c r="BR21">
        <f t="shared" si="39"/>
        <v>0.57679686565656463</v>
      </c>
      <c r="BS21">
        <f t="shared" si="40"/>
        <v>0.36478987958564962</v>
      </c>
      <c r="BT21">
        <f t="shared" si="41"/>
        <v>0.71347031693816698</v>
      </c>
      <c r="BU21">
        <f t="shared" si="42"/>
        <v>0.48246806803236675</v>
      </c>
      <c r="BV21">
        <f t="shared" si="43"/>
        <v>0.76707926189759201</v>
      </c>
      <c r="BW21">
        <f t="shared" si="44"/>
        <v>0.19551938826250806</v>
      </c>
      <c r="BX21">
        <f t="shared" si="45"/>
        <v>0.80448061173749197</v>
      </c>
      <c r="DG21">
        <f t="shared" si="46"/>
        <v>1399.9913333333329</v>
      </c>
      <c r="DH21">
        <f t="shared" si="47"/>
        <v>1176.2856697761008</v>
      </c>
      <c r="DI21">
        <f t="shared" si="48"/>
        <v>0.84020925113543643</v>
      </c>
      <c r="DJ21">
        <f t="shared" si="49"/>
        <v>0.16000385469139247</v>
      </c>
      <c r="DK21">
        <v>6</v>
      </c>
      <c r="DL21">
        <v>0.5</v>
      </c>
      <c r="DM21" t="s">
        <v>408</v>
      </c>
      <c r="DN21">
        <v>2</v>
      </c>
      <c r="DO21" t="b">
        <v>0</v>
      </c>
      <c r="DP21">
        <v>1783960527.849999</v>
      </c>
      <c r="DQ21">
        <v>420.02453333333341</v>
      </c>
      <c r="DR21">
        <v>465.61569999999989</v>
      </c>
      <c r="DS21">
        <v>20.323266666666669</v>
      </c>
      <c r="DT21">
        <v>17.47803</v>
      </c>
      <c r="DU21">
        <v>426.20790000000011</v>
      </c>
      <c r="DV21">
        <v>20.90878</v>
      </c>
      <c r="DW21">
        <v>500.01330000000002</v>
      </c>
      <c r="DX21">
        <v>98.577283333333341</v>
      </c>
      <c r="DY21">
        <v>5.6103829999999993E-2</v>
      </c>
      <c r="DZ21">
        <v>24.53558</v>
      </c>
      <c r="EA21">
        <v>25.02023333333333</v>
      </c>
      <c r="EB21">
        <v>999.9000000000002</v>
      </c>
      <c r="EC21">
        <v>0</v>
      </c>
      <c r="ED21">
        <v>0</v>
      </c>
      <c r="EE21">
        <v>9998.5</v>
      </c>
      <c r="EF21">
        <v>0</v>
      </c>
      <c r="EG21">
        <v>2094.0740000000001</v>
      </c>
      <c r="EH21">
        <v>-45.591176666666662</v>
      </c>
      <c r="EI21">
        <v>428.73783333333319</v>
      </c>
      <c r="EJ21">
        <v>473.89846666666659</v>
      </c>
      <c r="EK21">
        <v>2.8452426666666661</v>
      </c>
      <c r="EL21">
        <v>465.61569999999989</v>
      </c>
      <c r="EM21">
        <v>17.47803</v>
      </c>
      <c r="EN21">
        <v>2.0034126666666658</v>
      </c>
      <c r="EO21">
        <v>1.7229350000000001</v>
      </c>
      <c r="EP21">
        <v>17.471329999999998</v>
      </c>
      <c r="EQ21">
        <v>15.10463</v>
      </c>
      <c r="ER21">
        <v>1399.9913333333329</v>
      </c>
      <c r="ES21">
        <v>0.99299949999999981</v>
      </c>
      <c r="ET21">
        <v>7.0002599999999986E-3</v>
      </c>
      <c r="EU21">
        <v>0</v>
      </c>
      <c r="EV21">
        <v>812.18319999999994</v>
      </c>
      <c r="EW21">
        <v>5.0010700000000003</v>
      </c>
      <c r="EX21">
        <v>15029.47333333333</v>
      </c>
      <c r="EY21">
        <v>12745.44</v>
      </c>
      <c r="EZ21">
        <v>40.309933333333319</v>
      </c>
      <c r="FA21">
        <v>42.625</v>
      </c>
      <c r="FB21">
        <v>41.516533333333342</v>
      </c>
      <c r="FC21">
        <v>41.974799999999981</v>
      </c>
      <c r="FD21">
        <v>41.561999999999983</v>
      </c>
      <c r="FE21">
        <v>1385.2263333333331</v>
      </c>
      <c r="FF21">
        <v>9.764999999999997</v>
      </c>
      <c r="FG21">
        <v>0</v>
      </c>
      <c r="FH21">
        <v>181.60000014305109</v>
      </c>
      <c r="FI21">
        <v>0</v>
      </c>
      <c r="FJ21">
        <v>812.22</v>
      </c>
      <c r="FK21">
        <v>-1.1080882127626881</v>
      </c>
      <c r="FL21">
        <v>219.65686227146961</v>
      </c>
      <c r="FM21">
        <v>15021.21764705882</v>
      </c>
      <c r="FN21">
        <v>10</v>
      </c>
      <c r="FO21">
        <v>1783960438.5999999</v>
      </c>
      <c r="FP21" t="s">
        <v>431</v>
      </c>
      <c r="FQ21">
        <v>1783960437.0999999</v>
      </c>
      <c r="FR21">
        <v>1783960438.5999999</v>
      </c>
      <c r="FS21">
        <v>19</v>
      </c>
      <c r="FT21">
        <v>-5.8000000000000003E-2</v>
      </c>
      <c r="FU21">
        <v>1.2999999999999999E-2</v>
      </c>
      <c r="FV21">
        <v>-6.3520000000000003</v>
      </c>
      <c r="FW21">
        <v>-0.66800000000000004</v>
      </c>
      <c r="FX21">
        <v>466</v>
      </c>
      <c r="FY21">
        <v>17</v>
      </c>
      <c r="FZ21">
        <v>0.17</v>
      </c>
      <c r="GA21">
        <v>0.08</v>
      </c>
      <c r="GB21">
        <v>420.0310322580645</v>
      </c>
      <c r="GC21">
        <v>-0.66430645161387569</v>
      </c>
      <c r="GD21">
        <v>9.2358168114585401E-2</v>
      </c>
      <c r="GE21">
        <v>-1</v>
      </c>
      <c r="GF21">
        <v>812.31020588235288</v>
      </c>
      <c r="GG21">
        <v>-1.2750038260863501</v>
      </c>
      <c r="GH21">
        <v>0.33843226617586353</v>
      </c>
      <c r="GI21">
        <v>1</v>
      </c>
      <c r="GJ21">
        <v>2.8540387804878051</v>
      </c>
      <c r="GK21">
        <v>-0.16968773519163449</v>
      </c>
      <c r="GL21">
        <v>1.7070569909917361E-2</v>
      </c>
      <c r="GM21">
        <v>1</v>
      </c>
      <c r="GN21">
        <v>2</v>
      </c>
      <c r="GO21">
        <v>2</v>
      </c>
      <c r="GP21" t="s">
        <v>423</v>
      </c>
      <c r="GQ21">
        <v>3.1299299999999999</v>
      </c>
      <c r="GR21">
        <v>2.7329500000000002</v>
      </c>
      <c r="GS21">
        <v>9.2090400000000003E-2</v>
      </c>
      <c r="GT21">
        <v>9.9127400000000004E-2</v>
      </c>
      <c r="GU21">
        <v>0.101992</v>
      </c>
      <c r="GV21">
        <v>9.0108599999999997E-2</v>
      </c>
      <c r="GW21">
        <v>22735.1</v>
      </c>
      <c r="GX21">
        <v>30296.6</v>
      </c>
      <c r="GY21">
        <v>27166.3</v>
      </c>
      <c r="GZ21">
        <v>34586.5</v>
      </c>
      <c r="HA21">
        <v>35741</v>
      </c>
      <c r="HB21">
        <v>39842.199999999997</v>
      </c>
      <c r="HC21">
        <v>40125.800000000003</v>
      </c>
      <c r="HD21">
        <v>43867</v>
      </c>
      <c r="HE21">
        <v>1.9634</v>
      </c>
      <c r="HF21">
        <v>1.7172000000000001</v>
      </c>
      <c r="HG21">
        <v>-0.10401000000000001</v>
      </c>
      <c r="HH21">
        <v>0</v>
      </c>
      <c r="HI21">
        <v>26.717400000000001</v>
      </c>
      <c r="HJ21">
        <v>999.9</v>
      </c>
      <c r="HK21">
        <v>48.3</v>
      </c>
      <c r="HL21">
        <v>42.9</v>
      </c>
      <c r="HM21">
        <v>42.346699999999998</v>
      </c>
      <c r="HN21">
        <v>61.905099999999997</v>
      </c>
      <c r="HO21">
        <v>6.4302900000000003</v>
      </c>
      <c r="HP21">
        <v>1</v>
      </c>
      <c r="HQ21">
        <v>0.607236</v>
      </c>
      <c r="HR21">
        <v>7.3546800000000001</v>
      </c>
      <c r="HS21">
        <v>20.085100000000001</v>
      </c>
      <c r="HT21">
        <v>5.2112999999999996</v>
      </c>
      <c r="HU21">
        <v>11.914099999999999</v>
      </c>
      <c r="HV21">
        <v>4.9851999999999999</v>
      </c>
      <c r="HW21">
        <v>3.2709999999999999</v>
      </c>
      <c r="HX21">
        <v>9999</v>
      </c>
      <c r="HY21">
        <v>9999</v>
      </c>
      <c r="HZ21">
        <v>9999</v>
      </c>
      <c r="IA21">
        <v>999.9</v>
      </c>
      <c r="IB21">
        <v>1.86768</v>
      </c>
      <c r="IC21">
        <v>1.8633999999999999</v>
      </c>
      <c r="ID21">
        <v>1.8628199999999999</v>
      </c>
      <c r="IE21">
        <v>1.8623400000000001</v>
      </c>
      <c r="IF21">
        <v>1.8623400000000001</v>
      </c>
      <c r="IG21">
        <v>1.8629500000000001</v>
      </c>
      <c r="IH21">
        <v>1.8638300000000001</v>
      </c>
      <c r="II21">
        <v>1.86178</v>
      </c>
      <c r="IJ21">
        <v>0</v>
      </c>
      <c r="IK21">
        <v>0</v>
      </c>
      <c r="IL21">
        <v>0</v>
      </c>
      <c r="IM21">
        <v>4.5</v>
      </c>
      <c r="IN21" t="s">
        <v>411</v>
      </c>
      <c r="IO21" t="s">
        <v>412</v>
      </c>
      <c r="IP21" t="s">
        <v>413</v>
      </c>
      <c r="IQ21" t="s">
        <v>414</v>
      </c>
      <c r="IR21" t="s">
        <v>414</v>
      </c>
      <c r="IS21" t="s">
        <v>413</v>
      </c>
      <c r="IT21">
        <v>0</v>
      </c>
      <c r="IU21">
        <v>100</v>
      </c>
      <c r="IV21">
        <v>100</v>
      </c>
      <c r="IW21">
        <v>-6.1829999999999998</v>
      </c>
      <c r="IX21">
        <v>-0.58620000000000005</v>
      </c>
      <c r="IY21">
        <v>-4.1949799162546668</v>
      </c>
      <c r="IZ21">
        <v>-5.6215304933332991E-3</v>
      </c>
      <c r="JA21">
        <v>2.3979931213773931E-6</v>
      </c>
      <c r="JB21">
        <v>-3.6297174575716598E-10</v>
      </c>
      <c r="JC21">
        <v>-0.89504446658616077</v>
      </c>
      <c r="JD21">
        <v>2.7492919904454862E-4</v>
      </c>
      <c r="JE21">
        <v>8.6739513355948885E-4</v>
      </c>
      <c r="JF21">
        <v>-8.2500691715147318E-6</v>
      </c>
      <c r="JG21">
        <v>17</v>
      </c>
      <c r="JH21">
        <v>1914</v>
      </c>
      <c r="JI21">
        <v>2</v>
      </c>
      <c r="JJ21">
        <v>37</v>
      </c>
      <c r="JK21">
        <v>1.6</v>
      </c>
      <c r="JL21">
        <v>1.6</v>
      </c>
      <c r="JM21">
        <v>1.1853</v>
      </c>
      <c r="JN21">
        <v>2.5598100000000001</v>
      </c>
      <c r="JO21">
        <v>1.50024</v>
      </c>
      <c r="JP21">
        <v>2.2631800000000002</v>
      </c>
      <c r="JQ21">
        <v>1.4477500000000001</v>
      </c>
      <c r="JR21">
        <v>2.47559</v>
      </c>
      <c r="JS21">
        <v>46.944800000000001</v>
      </c>
      <c r="JT21">
        <v>23.8949</v>
      </c>
      <c r="JU21">
        <v>18</v>
      </c>
      <c r="JV21">
        <v>545.149</v>
      </c>
      <c r="JW21">
        <v>400.51299999999998</v>
      </c>
      <c r="JX21">
        <v>19.212900000000001</v>
      </c>
      <c r="JY21">
        <v>34.396500000000003</v>
      </c>
      <c r="JZ21">
        <v>29.9998</v>
      </c>
      <c r="KA21">
        <v>34.477699999999999</v>
      </c>
      <c r="KB21">
        <v>34.495800000000003</v>
      </c>
      <c r="KC21">
        <v>23.718</v>
      </c>
      <c r="KD21">
        <v>55.967599999999997</v>
      </c>
      <c r="KE21">
        <v>0</v>
      </c>
      <c r="KF21">
        <v>19.2119</v>
      </c>
      <c r="KG21">
        <v>465.58800000000002</v>
      </c>
      <c r="KH21">
        <v>17.4329</v>
      </c>
      <c r="KI21">
        <v>100.276</v>
      </c>
      <c r="KJ21">
        <v>98.711200000000005</v>
      </c>
    </row>
    <row r="22" spans="1:296" x14ac:dyDescent="0.3">
      <c r="A22">
        <v>6</v>
      </c>
      <c r="B22">
        <v>1783960718.5</v>
      </c>
      <c r="C22">
        <v>969.40000009536743</v>
      </c>
      <c r="D22" t="s">
        <v>432</v>
      </c>
      <c r="E22" t="s">
        <v>433</v>
      </c>
      <c r="F22">
        <v>15</v>
      </c>
      <c r="H22">
        <v>1783960710.5</v>
      </c>
      <c r="I22">
        <f t="shared" si="0"/>
        <v>1.974864190911967E-3</v>
      </c>
      <c r="J22">
        <f t="shared" si="1"/>
        <v>1.9748641909119671</v>
      </c>
      <c r="K22">
        <f t="shared" si="2"/>
        <v>34.319647443386863</v>
      </c>
      <c r="L22">
        <f t="shared" si="3"/>
        <v>419.96280645161289</v>
      </c>
      <c r="M22">
        <f t="shared" si="4"/>
        <v>77.060985325593506</v>
      </c>
      <c r="N22">
        <f t="shared" si="5"/>
        <v>7.6008591272989241</v>
      </c>
      <c r="O22">
        <f t="shared" si="6"/>
        <v>41.422752603757061</v>
      </c>
      <c r="P22">
        <f t="shared" si="7"/>
        <v>0.16685709402788965</v>
      </c>
      <c r="Q22">
        <f t="shared" si="8"/>
        <v>2.9042660576705948</v>
      </c>
      <c r="R22">
        <f t="shared" si="9"/>
        <v>0.16170853114736408</v>
      </c>
      <c r="S22">
        <f t="shared" si="10"/>
        <v>0.1015171764713369</v>
      </c>
      <c r="T22">
        <f t="shared" si="11"/>
        <v>160.17656568154609</v>
      </c>
      <c r="U22">
        <f t="shared" si="12"/>
        <v>25.041699474067876</v>
      </c>
      <c r="V22">
        <f t="shared" si="13"/>
        <v>25.031109677419359</v>
      </c>
      <c r="W22">
        <f t="shared" si="14"/>
        <v>3.1855798170557006</v>
      </c>
      <c r="X22">
        <f t="shared" si="15"/>
        <v>64.805333506826585</v>
      </c>
      <c r="Y22">
        <f t="shared" si="16"/>
        <v>2.0127510349296398</v>
      </c>
      <c r="Z22">
        <f t="shared" si="17"/>
        <v>3.1058416429839322</v>
      </c>
      <c r="AA22">
        <f t="shared" si="18"/>
        <v>1.1728287821260608</v>
      </c>
      <c r="AB22">
        <f t="shared" si="19"/>
        <v>-87.091510819217746</v>
      </c>
      <c r="AC22">
        <f t="shared" si="20"/>
        <v>-66.483676876194679</v>
      </c>
      <c r="AD22">
        <f t="shared" si="21"/>
        <v>-4.8333294839831247</v>
      </c>
      <c r="AE22">
        <f t="shared" si="22"/>
        <v>1.7680485021505348</v>
      </c>
      <c r="AF22">
        <f t="shared" si="23"/>
        <v>34.319647443386863</v>
      </c>
      <c r="AG22">
        <f t="shared" si="24"/>
        <v>1.9748641909119671</v>
      </c>
      <c r="AH22">
        <f t="shared" si="25"/>
        <v>34.376776424816363</v>
      </c>
      <c r="AI22">
        <v>470.69583840198038</v>
      </c>
      <c r="AJ22">
        <v>428.73370303030299</v>
      </c>
      <c r="AK22">
        <v>-9.3904807164723429E-3</v>
      </c>
      <c r="AL22">
        <v>67.086150919965689</v>
      </c>
      <c r="AM22">
        <f t="shared" si="26"/>
        <v>1.9765451788995958</v>
      </c>
      <c r="AN22">
        <v>18.098845037724761</v>
      </c>
      <c r="AO22">
        <v>20.421526060606048</v>
      </c>
      <c r="AP22">
        <v>1.217388006486393E-4</v>
      </c>
      <c r="AQ22">
        <v>78.246386901608631</v>
      </c>
      <c r="AR22">
        <v>0</v>
      </c>
      <c r="AS22">
        <v>0</v>
      </c>
      <c r="AT22">
        <f t="shared" si="27"/>
        <v>1</v>
      </c>
      <c r="AU22">
        <f t="shared" si="28"/>
        <v>0</v>
      </c>
      <c r="AV22">
        <f t="shared" si="29"/>
        <v>52538.201653825781</v>
      </c>
      <c r="AW22" t="s">
        <v>405</v>
      </c>
      <c r="AX22">
        <v>5100.5</v>
      </c>
      <c r="AY22">
        <v>580.05000000000007</v>
      </c>
      <c r="AZ22">
        <v>2506.0700000000002</v>
      </c>
      <c r="BA22">
        <f t="shared" si="30"/>
        <v>0.76854198007238428</v>
      </c>
      <c r="BB22">
        <v>-3.471690147891815</v>
      </c>
      <c r="BC22" t="s">
        <v>434</v>
      </c>
      <c r="BD22">
        <v>5091.8999999999996</v>
      </c>
      <c r="BE22">
        <v>824.64011764705879</v>
      </c>
      <c r="BF22">
        <v>1183.1300000000001</v>
      </c>
      <c r="BG22">
        <f t="shared" si="31"/>
        <v>0.30300126136007144</v>
      </c>
      <c r="BH22">
        <v>0.5</v>
      </c>
      <c r="BI22">
        <f t="shared" si="32"/>
        <v>840.29649120721922</v>
      </c>
      <c r="BJ22">
        <f t="shared" si="33"/>
        <v>34.319647443386863</v>
      </c>
      <c r="BK22">
        <f t="shared" si="34"/>
        <v>127.3054483761148</v>
      </c>
      <c r="BL22">
        <f t="shared" si="35"/>
        <v>4.4973813394109767E-2</v>
      </c>
      <c r="BM22">
        <f t="shared" si="36"/>
        <v>1.1181696009736883</v>
      </c>
      <c r="BN22">
        <f t="shared" si="37"/>
        <v>460.79258388209217</v>
      </c>
      <c r="BO22" t="s">
        <v>407</v>
      </c>
      <c r="BP22">
        <v>0</v>
      </c>
      <c r="BQ22">
        <f t="shared" si="38"/>
        <v>460.79258388209217</v>
      </c>
      <c r="BR22">
        <f t="shared" si="39"/>
        <v>0.61053089357712831</v>
      </c>
      <c r="BS22">
        <f t="shared" si="40"/>
        <v>0.4962914482259419</v>
      </c>
      <c r="BT22">
        <f t="shared" si="41"/>
        <v>0.64682667963500073</v>
      </c>
      <c r="BU22">
        <f t="shared" si="42"/>
        <v>0.59443172108665732</v>
      </c>
      <c r="BV22">
        <f t="shared" si="43"/>
        <v>0.68687760251710783</v>
      </c>
      <c r="BW22">
        <f t="shared" si="44"/>
        <v>0.27731784313274732</v>
      </c>
      <c r="BX22">
        <f t="shared" si="45"/>
        <v>0.72268215686725268</v>
      </c>
      <c r="DG22">
        <f t="shared" si="46"/>
        <v>999.99703225806445</v>
      </c>
      <c r="DH22">
        <f t="shared" si="47"/>
        <v>840.29649120721922</v>
      </c>
      <c r="DI22">
        <f t="shared" si="48"/>
        <v>0.84029898499775535</v>
      </c>
      <c r="DJ22">
        <f t="shared" si="49"/>
        <v>0.16017704104566791</v>
      </c>
      <c r="DK22">
        <v>6</v>
      </c>
      <c r="DL22">
        <v>0.5</v>
      </c>
      <c r="DM22" t="s">
        <v>408</v>
      </c>
      <c r="DN22">
        <v>2</v>
      </c>
      <c r="DO22" t="b">
        <v>0</v>
      </c>
      <c r="DP22">
        <v>1783960710.5</v>
      </c>
      <c r="DQ22">
        <v>419.96280645161289</v>
      </c>
      <c r="DR22">
        <v>462.14203225806438</v>
      </c>
      <c r="DS22">
        <v>20.406190322580649</v>
      </c>
      <c r="DT22">
        <v>18.084690322580649</v>
      </c>
      <c r="DU22">
        <v>426.13809677419351</v>
      </c>
      <c r="DV22">
        <v>20.995693548387099</v>
      </c>
      <c r="DW22">
        <v>499.99519354838708</v>
      </c>
      <c r="DX22">
        <v>98.578429032258057</v>
      </c>
      <c r="DY22">
        <v>5.5907074193548387E-2</v>
      </c>
      <c r="DZ22">
        <v>24.606496774193559</v>
      </c>
      <c r="EA22">
        <v>25.031109677419359</v>
      </c>
      <c r="EB22">
        <v>999.90000000000032</v>
      </c>
      <c r="EC22">
        <v>0</v>
      </c>
      <c r="ED22">
        <v>0</v>
      </c>
      <c r="EE22">
        <v>9998.7096774193542</v>
      </c>
      <c r="EF22">
        <v>0</v>
      </c>
      <c r="EG22">
        <v>1582.4741935483869</v>
      </c>
      <c r="EH22">
        <v>-42.179293548387093</v>
      </c>
      <c r="EI22">
        <v>428.71119354838697</v>
      </c>
      <c r="EJ22">
        <v>470.65370967741927</v>
      </c>
      <c r="EK22">
        <v>2.321489677419355</v>
      </c>
      <c r="EL22">
        <v>462.14203225806438</v>
      </c>
      <c r="EM22">
        <v>18.084690322580649</v>
      </c>
      <c r="EN22">
        <v>2.01160935483871</v>
      </c>
      <c r="EO22">
        <v>1.7827612903225809</v>
      </c>
      <c r="EP22">
        <v>17.53600322580645</v>
      </c>
      <c r="EQ22">
        <v>15.63643225806452</v>
      </c>
      <c r="ER22">
        <v>999.99703225806445</v>
      </c>
      <c r="ES22">
        <v>0.98998451612903238</v>
      </c>
      <c r="ET22">
        <v>1.0015183870967739E-2</v>
      </c>
      <c r="EU22">
        <v>0</v>
      </c>
      <c r="EV22">
        <v>824.431548387097</v>
      </c>
      <c r="EW22">
        <v>5.0010700000000003</v>
      </c>
      <c r="EX22">
        <v>11160.11612903226</v>
      </c>
      <c r="EY22">
        <v>9080.2032258064537</v>
      </c>
      <c r="EZ22">
        <v>39.682999999999993</v>
      </c>
      <c r="FA22">
        <v>42.547999999999988</v>
      </c>
      <c r="FB22">
        <v>41.186999999999983</v>
      </c>
      <c r="FC22">
        <v>41.875</v>
      </c>
      <c r="FD22">
        <v>41.141000000000012</v>
      </c>
      <c r="FE22">
        <v>985.02903225806449</v>
      </c>
      <c r="FF22">
        <v>9.9661290322580687</v>
      </c>
      <c r="FG22">
        <v>0</v>
      </c>
      <c r="FH22">
        <v>182.4000000953674</v>
      </c>
      <c r="FI22">
        <v>0</v>
      </c>
      <c r="FJ22">
        <v>824.64011764705879</v>
      </c>
      <c r="FK22">
        <v>4.8345588079146502</v>
      </c>
      <c r="FL22">
        <v>4414.6078556116299</v>
      </c>
      <c r="FM22">
        <v>10955.38823529412</v>
      </c>
      <c r="FN22">
        <v>10</v>
      </c>
      <c r="FO22">
        <v>1783960626.0999999</v>
      </c>
      <c r="FP22" t="s">
        <v>435</v>
      </c>
      <c r="FQ22">
        <v>1783960626.0999999</v>
      </c>
      <c r="FR22">
        <v>1783960625.5999999</v>
      </c>
      <c r="FS22">
        <v>20</v>
      </c>
      <c r="FT22">
        <v>8.0000000000000002E-3</v>
      </c>
      <c r="FU22">
        <v>-6.0000000000000001E-3</v>
      </c>
      <c r="FV22">
        <v>-6.3339999999999996</v>
      </c>
      <c r="FW22">
        <v>-0.66900000000000004</v>
      </c>
      <c r="FX22">
        <v>463</v>
      </c>
      <c r="FY22">
        <v>17</v>
      </c>
      <c r="FZ22">
        <v>0.28000000000000003</v>
      </c>
      <c r="GA22">
        <v>0.09</v>
      </c>
      <c r="GB22">
        <v>419.96280645161289</v>
      </c>
      <c r="GC22">
        <v>0.16509677419265981</v>
      </c>
      <c r="GD22">
        <v>6.1585198973212678E-2</v>
      </c>
      <c r="GE22">
        <v>-1</v>
      </c>
      <c r="GF22">
        <v>824.30535294117647</v>
      </c>
      <c r="GG22">
        <v>3.6316271874298631</v>
      </c>
      <c r="GH22">
        <v>0.3998974782110834</v>
      </c>
      <c r="GI22">
        <v>1</v>
      </c>
      <c r="GJ22">
        <v>2.361543902439025</v>
      </c>
      <c r="GK22">
        <v>-0.55640090592334113</v>
      </c>
      <c r="GL22">
        <v>7.2397731903499421E-2</v>
      </c>
      <c r="GM22">
        <v>0</v>
      </c>
      <c r="GN22">
        <v>1</v>
      </c>
      <c r="GO22">
        <v>2</v>
      </c>
      <c r="GP22" t="s">
        <v>410</v>
      </c>
      <c r="GQ22">
        <v>3.1300300000000001</v>
      </c>
      <c r="GR22">
        <v>2.7319399999999998</v>
      </c>
      <c r="GS22">
        <v>9.2106999999999994E-2</v>
      </c>
      <c r="GT22">
        <v>9.8659200000000002E-2</v>
      </c>
      <c r="GU22">
        <v>0.102461</v>
      </c>
      <c r="GV22">
        <v>9.2421199999999995E-2</v>
      </c>
      <c r="GW22">
        <v>22735.9</v>
      </c>
      <c r="GX22">
        <v>30314.5</v>
      </c>
      <c r="GY22">
        <v>27167.4</v>
      </c>
      <c r="GZ22">
        <v>34588.199999999997</v>
      </c>
      <c r="HA22">
        <v>35724.6</v>
      </c>
      <c r="HB22">
        <v>39741.4</v>
      </c>
      <c r="HC22">
        <v>40128.800000000003</v>
      </c>
      <c r="HD22">
        <v>43867.7</v>
      </c>
      <c r="HE22">
        <v>1.964</v>
      </c>
      <c r="HF22">
        <v>1.7202</v>
      </c>
      <c r="HG22">
        <v>-0.11071599999999999</v>
      </c>
      <c r="HH22">
        <v>0</v>
      </c>
      <c r="HI22">
        <v>26.828600000000002</v>
      </c>
      <c r="HJ22">
        <v>999.9</v>
      </c>
      <c r="HK22">
        <v>48.2</v>
      </c>
      <c r="HL22">
        <v>42.9</v>
      </c>
      <c r="HM22">
        <v>42.256900000000002</v>
      </c>
      <c r="HN22">
        <v>61.725200000000001</v>
      </c>
      <c r="HO22">
        <v>6.3461499999999997</v>
      </c>
      <c r="HP22">
        <v>1</v>
      </c>
      <c r="HQ22">
        <v>0.59926800000000002</v>
      </c>
      <c r="HR22">
        <v>7.1783700000000001</v>
      </c>
      <c r="HS22">
        <v>20.094799999999999</v>
      </c>
      <c r="HT22">
        <v>5.2088999999999999</v>
      </c>
      <c r="HU22">
        <v>11.914099999999999</v>
      </c>
      <c r="HV22">
        <v>4.984</v>
      </c>
      <c r="HW22">
        <v>3.2702</v>
      </c>
      <c r="HX22">
        <v>9999</v>
      </c>
      <c r="HY22">
        <v>9999</v>
      </c>
      <c r="HZ22">
        <v>9999</v>
      </c>
      <c r="IA22">
        <v>999.9</v>
      </c>
      <c r="IB22">
        <v>1.86768</v>
      </c>
      <c r="IC22">
        <v>1.8633999999999999</v>
      </c>
      <c r="ID22">
        <v>1.8628199999999999</v>
      </c>
      <c r="IE22">
        <v>1.8623400000000001</v>
      </c>
      <c r="IF22">
        <v>1.8623400000000001</v>
      </c>
      <c r="IG22">
        <v>1.8629500000000001</v>
      </c>
      <c r="IH22">
        <v>1.8638600000000001</v>
      </c>
      <c r="II22">
        <v>1.86178</v>
      </c>
      <c r="IJ22">
        <v>0</v>
      </c>
      <c r="IK22">
        <v>0</v>
      </c>
      <c r="IL22">
        <v>0</v>
      </c>
      <c r="IM22">
        <v>4.5</v>
      </c>
      <c r="IN22" t="s">
        <v>411</v>
      </c>
      <c r="IO22" t="s">
        <v>412</v>
      </c>
      <c r="IP22" t="s">
        <v>413</v>
      </c>
      <c r="IQ22" t="s">
        <v>414</v>
      </c>
      <c r="IR22" t="s">
        <v>414</v>
      </c>
      <c r="IS22" t="s">
        <v>413</v>
      </c>
      <c r="IT22">
        <v>0</v>
      </c>
      <c r="IU22">
        <v>100</v>
      </c>
      <c r="IV22">
        <v>100</v>
      </c>
      <c r="IW22">
        <v>-6.1749999999999998</v>
      </c>
      <c r="IX22">
        <v>-0.58909999999999996</v>
      </c>
      <c r="IY22">
        <v>-4.1871377852376259</v>
      </c>
      <c r="IZ22">
        <v>-5.6215304933332991E-3</v>
      </c>
      <c r="JA22">
        <v>2.3979931213773931E-6</v>
      </c>
      <c r="JB22">
        <v>-3.6297174575716598E-10</v>
      </c>
      <c r="JC22">
        <v>-0.90129893694498819</v>
      </c>
      <c r="JD22">
        <v>2.7492919904454862E-4</v>
      </c>
      <c r="JE22">
        <v>8.6739513355948885E-4</v>
      </c>
      <c r="JF22">
        <v>-8.2500691715147318E-6</v>
      </c>
      <c r="JG22">
        <v>17</v>
      </c>
      <c r="JH22">
        <v>1914</v>
      </c>
      <c r="JI22">
        <v>2</v>
      </c>
      <c r="JJ22">
        <v>37</v>
      </c>
      <c r="JK22">
        <v>1.5</v>
      </c>
      <c r="JL22">
        <v>1.5</v>
      </c>
      <c r="JM22">
        <v>1.1792</v>
      </c>
      <c r="JN22">
        <v>2.5647000000000002</v>
      </c>
      <c r="JO22">
        <v>1.50024</v>
      </c>
      <c r="JP22">
        <v>2.2631800000000002</v>
      </c>
      <c r="JQ22">
        <v>1.4477500000000001</v>
      </c>
      <c r="JR22">
        <v>2.4853499999999999</v>
      </c>
      <c r="JS22">
        <v>46.796900000000001</v>
      </c>
      <c r="JT22">
        <v>23.8949</v>
      </c>
      <c r="JU22">
        <v>18</v>
      </c>
      <c r="JV22">
        <v>544.96900000000005</v>
      </c>
      <c r="JW22">
        <v>401.93</v>
      </c>
      <c r="JX22">
        <v>19.5792</v>
      </c>
      <c r="JY22">
        <v>34.299999999999997</v>
      </c>
      <c r="JZ22">
        <v>30.000299999999999</v>
      </c>
      <c r="KA22">
        <v>34.4069</v>
      </c>
      <c r="KB22">
        <v>34.440100000000001</v>
      </c>
      <c r="KC22">
        <v>23.58</v>
      </c>
      <c r="KD22">
        <v>54.913899999999998</v>
      </c>
      <c r="KE22">
        <v>0</v>
      </c>
      <c r="KF22">
        <v>19.558700000000002</v>
      </c>
      <c r="KG22">
        <v>462.17</v>
      </c>
      <c r="KH22">
        <v>18.040400000000002</v>
      </c>
      <c r="KI22">
        <v>100.282</v>
      </c>
      <c r="KJ22">
        <v>98.714200000000005</v>
      </c>
    </row>
    <row r="23" spans="1:296" x14ac:dyDescent="0.3">
      <c r="A23">
        <v>7</v>
      </c>
      <c r="B23">
        <v>1783960901</v>
      </c>
      <c r="C23">
        <v>1151.900000095367</v>
      </c>
      <c r="D23" t="s">
        <v>436</v>
      </c>
      <c r="E23" t="s">
        <v>437</v>
      </c>
      <c r="F23">
        <v>15</v>
      </c>
      <c r="H23">
        <v>1783960893.25</v>
      </c>
      <c r="I23">
        <f t="shared" si="0"/>
        <v>1.9035131686687135E-3</v>
      </c>
      <c r="J23">
        <f t="shared" si="1"/>
        <v>1.9035131686687135</v>
      </c>
      <c r="K23">
        <f t="shared" si="2"/>
        <v>29.530935647157943</v>
      </c>
      <c r="L23">
        <f t="shared" si="3"/>
        <v>420.51139999999998</v>
      </c>
      <c r="M23">
        <f t="shared" si="4"/>
        <v>114.95358066275053</v>
      </c>
      <c r="N23">
        <f t="shared" si="5"/>
        <v>11.337877132940704</v>
      </c>
      <c r="O23">
        <f t="shared" si="6"/>
        <v>41.475059399744353</v>
      </c>
      <c r="P23">
        <f t="shared" si="7"/>
        <v>0.16145165975293693</v>
      </c>
      <c r="Q23">
        <f t="shared" si="8"/>
        <v>2.9054308316967443</v>
      </c>
      <c r="R23">
        <f t="shared" si="9"/>
        <v>0.15662795472046673</v>
      </c>
      <c r="S23">
        <f t="shared" si="10"/>
        <v>9.8313857695874876E-2</v>
      </c>
      <c r="T23">
        <f t="shared" si="11"/>
        <v>128.27865683338317</v>
      </c>
      <c r="U23">
        <f t="shared" si="12"/>
        <v>24.867534435647944</v>
      </c>
      <c r="V23">
        <f t="shared" si="13"/>
        <v>24.930313333333331</v>
      </c>
      <c r="W23">
        <f t="shared" si="14"/>
        <v>3.1664910809581537</v>
      </c>
      <c r="X23">
        <f t="shared" si="15"/>
        <v>64.380717914221293</v>
      </c>
      <c r="Y23">
        <f t="shared" si="16"/>
        <v>1.9992212019148066</v>
      </c>
      <c r="Z23">
        <f t="shared" si="17"/>
        <v>3.1053105132789942</v>
      </c>
      <c r="AA23">
        <f t="shared" si="18"/>
        <v>1.1672698790433471</v>
      </c>
      <c r="AB23">
        <f t="shared" si="19"/>
        <v>-83.944930738290267</v>
      </c>
      <c r="AC23">
        <f t="shared" si="20"/>
        <v>-51.169844795357754</v>
      </c>
      <c r="AD23">
        <f t="shared" si="21"/>
        <v>-3.7165885472782469</v>
      </c>
      <c r="AE23">
        <f t="shared" si="22"/>
        <v>-10.552707247543104</v>
      </c>
      <c r="AF23">
        <f t="shared" si="23"/>
        <v>29.530935647157943</v>
      </c>
      <c r="AG23">
        <f t="shared" si="24"/>
        <v>1.9035131686687135</v>
      </c>
      <c r="AH23">
        <f t="shared" si="25"/>
        <v>29.324080782717697</v>
      </c>
      <c r="AI23">
        <v>465.14108335805872</v>
      </c>
      <c r="AJ23">
        <v>429.26926666666668</v>
      </c>
      <c r="AK23">
        <v>7.2006397774301272E-3</v>
      </c>
      <c r="AL23">
        <v>67.091752456036104</v>
      </c>
      <c r="AM23">
        <f t="shared" si="26"/>
        <v>1.8786827710312113</v>
      </c>
      <c r="AN23">
        <v>18.142402407988079</v>
      </c>
      <c r="AO23">
        <v>20.310983030303031</v>
      </c>
      <c r="AP23">
        <v>6.4089971222040061E-3</v>
      </c>
      <c r="AQ23">
        <v>78.258587367765486</v>
      </c>
      <c r="AR23">
        <v>0</v>
      </c>
      <c r="AS23">
        <v>0</v>
      </c>
      <c r="AT23">
        <f t="shared" si="27"/>
        <v>1</v>
      </c>
      <c r="AU23">
        <f t="shared" si="28"/>
        <v>0</v>
      </c>
      <c r="AV23">
        <f t="shared" si="29"/>
        <v>52572.267737129718</v>
      </c>
      <c r="AW23" t="s">
        <v>405</v>
      </c>
      <c r="AX23">
        <v>5100.5</v>
      </c>
      <c r="AY23">
        <v>580.05000000000007</v>
      </c>
      <c r="AZ23">
        <v>2506.0700000000002</v>
      </c>
      <c r="BA23">
        <f t="shared" si="30"/>
        <v>0.76854198007238428</v>
      </c>
      <c r="BB23">
        <v>-3.471690147891815</v>
      </c>
      <c r="BC23" t="s">
        <v>438</v>
      </c>
      <c r="BD23">
        <v>5095</v>
      </c>
      <c r="BE23">
        <v>825.62141176470595</v>
      </c>
      <c r="BF23">
        <v>1275.67</v>
      </c>
      <c r="BG23">
        <f t="shared" si="31"/>
        <v>0.35279389515728532</v>
      </c>
      <c r="BH23">
        <v>0.5</v>
      </c>
      <c r="BI23">
        <f t="shared" si="32"/>
        <v>672.31553651470631</v>
      </c>
      <c r="BJ23">
        <f t="shared" si="33"/>
        <v>29.530935647157943</v>
      </c>
      <c r="BK23">
        <f t="shared" si="34"/>
        <v>118.59440845089166</v>
      </c>
      <c r="BL23">
        <f t="shared" si="35"/>
        <v>4.9088001098614886E-2</v>
      </c>
      <c r="BM23">
        <f t="shared" si="36"/>
        <v>0.96451276584069545</v>
      </c>
      <c r="BN23">
        <f t="shared" si="37"/>
        <v>474.1898575103362</v>
      </c>
      <c r="BO23" t="s">
        <v>407</v>
      </c>
      <c r="BP23">
        <v>0</v>
      </c>
      <c r="BQ23">
        <f t="shared" si="38"/>
        <v>474.1898575103362</v>
      </c>
      <c r="BR23">
        <f t="shared" si="39"/>
        <v>0.62828172057794252</v>
      </c>
      <c r="BS23">
        <f t="shared" si="40"/>
        <v>0.56152181991345851</v>
      </c>
      <c r="BT23">
        <f t="shared" si="41"/>
        <v>0.60554752924175448</v>
      </c>
      <c r="BU23">
        <f t="shared" si="42"/>
        <v>0.6469747681712632</v>
      </c>
      <c r="BV23">
        <f t="shared" si="43"/>
        <v>0.6388303340567596</v>
      </c>
      <c r="BW23">
        <f t="shared" si="44"/>
        <v>0.32250611234098098</v>
      </c>
      <c r="BX23">
        <f t="shared" si="45"/>
        <v>0.67749388765901908</v>
      </c>
      <c r="DG23">
        <f t="shared" si="46"/>
        <v>800.00706666666679</v>
      </c>
      <c r="DH23">
        <f t="shared" si="47"/>
        <v>672.31553651470631</v>
      </c>
      <c r="DI23">
        <f t="shared" si="48"/>
        <v>0.84038699722490728</v>
      </c>
      <c r="DJ23">
        <f t="shared" si="49"/>
        <v>0.16034690464407125</v>
      </c>
      <c r="DK23">
        <v>6</v>
      </c>
      <c r="DL23">
        <v>0.5</v>
      </c>
      <c r="DM23" t="s">
        <v>408</v>
      </c>
      <c r="DN23">
        <v>2</v>
      </c>
      <c r="DO23" t="b">
        <v>0</v>
      </c>
      <c r="DP23">
        <v>1783960893.25</v>
      </c>
      <c r="DQ23">
        <v>420.51139999999998</v>
      </c>
      <c r="DR23">
        <v>456.90729999999991</v>
      </c>
      <c r="DS23">
        <v>20.2699</v>
      </c>
      <c r="DT23">
        <v>18.032093333333329</v>
      </c>
      <c r="DU23">
        <v>426.64463333333327</v>
      </c>
      <c r="DV23">
        <v>20.872743333333339</v>
      </c>
      <c r="DW23">
        <v>500.02420000000012</v>
      </c>
      <c r="DX23">
        <v>98.575620000000015</v>
      </c>
      <c r="DY23">
        <v>5.4427603333333331E-2</v>
      </c>
      <c r="DZ23">
        <v>24.60363666666667</v>
      </c>
      <c r="EA23">
        <v>24.930313333333331</v>
      </c>
      <c r="EB23">
        <v>999.9000000000002</v>
      </c>
      <c r="EC23">
        <v>0</v>
      </c>
      <c r="ED23">
        <v>0</v>
      </c>
      <c r="EE23">
        <v>10005.66666666667</v>
      </c>
      <c r="EF23">
        <v>0</v>
      </c>
      <c r="EG23">
        <v>361.52890000000008</v>
      </c>
      <c r="EH23">
        <v>-36.395879999999998</v>
      </c>
      <c r="EI23">
        <v>429.21156666666673</v>
      </c>
      <c r="EJ23">
        <v>465.29759999999999</v>
      </c>
      <c r="EK23">
        <v>2.2377959999999999</v>
      </c>
      <c r="EL23">
        <v>456.90729999999991</v>
      </c>
      <c r="EM23">
        <v>18.032093333333329</v>
      </c>
      <c r="EN23">
        <v>1.998117333333334</v>
      </c>
      <c r="EO23">
        <v>1.777525666666667</v>
      </c>
      <c r="EP23">
        <v>17.429416666666668</v>
      </c>
      <c r="EQ23">
        <v>15.590249999999999</v>
      </c>
      <c r="ER23">
        <v>800.00706666666679</v>
      </c>
      <c r="ES23">
        <v>0.98701783333333359</v>
      </c>
      <c r="ET23">
        <v>1.29818E-2</v>
      </c>
      <c r="EU23">
        <v>0</v>
      </c>
      <c r="EV23">
        <v>826.27333333333331</v>
      </c>
      <c r="EW23">
        <v>5.0010700000000003</v>
      </c>
      <c r="EX23">
        <v>7533.4783333333316</v>
      </c>
      <c r="EY23">
        <v>7246.7360000000008</v>
      </c>
      <c r="EZ23">
        <v>39.057866666666662</v>
      </c>
      <c r="FA23">
        <v>42.139466666666657</v>
      </c>
      <c r="FB23">
        <v>40.75</v>
      </c>
      <c r="FC23">
        <v>41.580899999999978</v>
      </c>
      <c r="FD23">
        <v>40.664266666666663</v>
      </c>
      <c r="FE23">
        <v>784.68466666666666</v>
      </c>
      <c r="FF23">
        <v>10.32</v>
      </c>
      <c r="FG23">
        <v>0</v>
      </c>
      <c r="FH23">
        <v>181.60000014305109</v>
      </c>
      <c r="FI23">
        <v>0</v>
      </c>
      <c r="FJ23">
        <v>825.62141176470595</v>
      </c>
      <c r="FK23">
        <v>-10.98725487238355</v>
      </c>
      <c r="FL23">
        <v>-320.28921523837352</v>
      </c>
      <c r="FM23">
        <v>7530.7194117647068</v>
      </c>
      <c r="FN23">
        <v>10</v>
      </c>
      <c r="FO23">
        <v>1783960816</v>
      </c>
      <c r="FP23" t="s">
        <v>439</v>
      </c>
      <c r="FQ23">
        <v>1783960809.5</v>
      </c>
      <c r="FR23">
        <v>1783960816</v>
      </c>
      <c r="FS23">
        <v>21</v>
      </c>
      <c r="FT23">
        <v>4.3999999999999997E-2</v>
      </c>
      <c r="FU23">
        <v>-0.01</v>
      </c>
      <c r="FV23">
        <v>-6.28</v>
      </c>
      <c r="FW23">
        <v>-0.66500000000000004</v>
      </c>
      <c r="FX23">
        <v>460</v>
      </c>
      <c r="FY23">
        <v>18</v>
      </c>
      <c r="FZ23">
        <v>0.2</v>
      </c>
      <c r="GA23">
        <v>0.11</v>
      </c>
      <c r="GB23">
        <v>420.50873333333328</v>
      </c>
      <c r="GC23">
        <v>0.12408453837646061</v>
      </c>
      <c r="GD23">
        <v>4.5061390223659278E-2</v>
      </c>
      <c r="GE23">
        <v>-1</v>
      </c>
      <c r="GF23">
        <v>827.12447058823534</v>
      </c>
      <c r="GG23">
        <v>-13.843697478668259</v>
      </c>
      <c r="GH23">
        <v>1.385868388524474</v>
      </c>
      <c r="GI23">
        <v>0</v>
      </c>
      <c r="GJ23">
        <v>2.2961292499999999</v>
      </c>
      <c r="GK23">
        <v>-1.1623730206379059</v>
      </c>
      <c r="GL23">
        <v>0.11978430369600809</v>
      </c>
      <c r="GM23">
        <v>0</v>
      </c>
      <c r="GN23">
        <v>0</v>
      </c>
      <c r="GO23">
        <v>2</v>
      </c>
      <c r="GP23" t="s">
        <v>440</v>
      </c>
      <c r="GQ23">
        <v>3.12995</v>
      </c>
      <c r="GR23">
        <v>2.7280500000000001</v>
      </c>
      <c r="GS23">
        <v>9.2182700000000006E-2</v>
      </c>
      <c r="GT23">
        <v>9.7771999999999998E-2</v>
      </c>
      <c r="GU23">
        <v>0.102131</v>
      </c>
      <c r="GV23">
        <v>9.2599500000000001E-2</v>
      </c>
      <c r="GW23">
        <v>22734.799999999999</v>
      </c>
      <c r="GX23">
        <v>30347.8</v>
      </c>
      <c r="GY23">
        <v>27168.1</v>
      </c>
      <c r="GZ23">
        <v>34591.800000000003</v>
      </c>
      <c r="HA23">
        <v>35738.1</v>
      </c>
      <c r="HB23">
        <v>39737.199999999997</v>
      </c>
      <c r="HC23">
        <v>40129.300000000003</v>
      </c>
      <c r="HD23">
        <v>43871.8</v>
      </c>
      <c r="HE23">
        <v>1.9638</v>
      </c>
      <c r="HF23">
        <v>1.7212000000000001</v>
      </c>
      <c r="HG23">
        <v>-9.2864000000000002E-2</v>
      </c>
      <c r="HH23">
        <v>0</v>
      </c>
      <c r="HI23">
        <v>26.476600000000001</v>
      </c>
      <c r="HJ23">
        <v>999.9</v>
      </c>
      <c r="HK23">
        <v>48.1</v>
      </c>
      <c r="HL23">
        <v>42.9</v>
      </c>
      <c r="HM23">
        <v>42.171700000000001</v>
      </c>
      <c r="HN23">
        <v>61.035299999999999</v>
      </c>
      <c r="HO23">
        <v>6.6145899999999997</v>
      </c>
      <c r="HP23">
        <v>1</v>
      </c>
      <c r="HQ23">
        <v>0.58201199999999997</v>
      </c>
      <c r="HR23">
        <v>4.7782099999999996</v>
      </c>
      <c r="HS23">
        <v>20.175999999999998</v>
      </c>
      <c r="HT23">
        <v>5.1981200000000003</v>
      </c>
      <c r="HU23">
        <v>11.908099999999999</v>
      </c>
      <c r="HV23">
        <v>4.9791999999999996</v>
      </c>
      <c r="HW23">
        <v>3.2679999999999998</v>
      </c>
      <c r="HX23">
        <v>9999</v>
      </c>
      <c r="HY23">
        <v>9999</v>
      </c>
      <c r="HZ23">
        <v>9999</v>
      </c>
      <c r="IA23">
        <v>999.9</v>
      </c>
      <c r="IB23">
        <v>1.8678300000000001</v>
      </c>
      <c r="IC23">
        <v>1.8634599999999999</v>
      </c>
      <c r="ID23">
        <v>1.8629500000000001</v>
      </c>
      <c r="IE23">
        <v>1.86246</v>
      </c>
      <c r="IF23">
        <v>1.86249</v>
      </c>
      <c r="IG23">
        <v>1.8629800000000001</v>
      </c>
      <c r="IH23">
        <v>1.86398</v>
      </c>
      <c r="II23">
        <v>1.86188</v>
      </c>
      <c r="IJ23">
        <v>0</v>
      </c>
      <c r="IK23">
        <v>0</v>
      </c>
      <c r="IL23">
        <v>0</v>
      </c>
      <c r="IM23">
        <v>4.5</v>
      </c>
      <c r="IN23" t="s">
        <v>411</v>
      </c>
      <c r="IO23" t="s">
        <v>412</v>
      </c>
      <c r="IP23" t="s">
        <v>413</v>
      </c>
      <c r="IQ23" t="s">
        <v>414</v>
      </c>
      <c r="IR23" t="s">
        <v>414</v>
      </c>
      <c r="IS23" t="s">
        <v>413</v>
      </c>
      <c r="IT23">
        <v>0</v>
      </c>
      <c r="IU23">
        <v>100</v>
      </c>
      <c r="IV23">
        <v>100</v>
      </c>
      <c r="IW23">
        <v>-6.133</v>
      </c>
      <c r="IX23">
        <v>-0.60170000000000001</v>
      </c>
      <c r="IY23">
        <v>-4.143149085498802</v>
      </c>
      <c r="IZ23">
        <v>-5.6215304933332991E-3</v>
      </c>
      <c r="JA23">
        <v>2.3979931213773931E-6</v>
      </c>
      <c r="JB23">
        <v>-3.6297174575716598E-10</v>
      </c>
      <c r="JC23">
        <v>-0.91145934033808418</v>
      </c>
      <c r="JD23">
        <v>2.7492919904454862E-4</v>
      </c>
      <c r="JE23">
        <v>8.6739513355948885E-4</v>
      </c>
      <c r="JF23">
        <v>-8.2500691715147318E-6</v>
      </c>
      <c r="JG23">
        <v>17</v>
      </c>
      <c r="JH23">
        <v>1914</v>
      </c>
      <c r="JI23">
        <v>2</v>
      </c>
      <c r="JJ23">
        <v>37</v>
      </c>
      <c r="JK23">
        <v>1.5</v>
      </c>
      <c r="JL23">
        <v>1.4</v>
      </c>
      <c r="JM23">
        <v>1.16699</v>
      </c>
      <c r="JN23">
        <v>2.5732400000000002</v>
      </c>
      <c r="JO23">
        <v>1.50024</v>
      </c>
      <c r="JP23">
        <v>2.2631800000000002</v>
      </c>
      <c r="JQ23">
        <v>1.4477500000000001</v>
      </c>
      <c r="JR23">
        <v>2.3571800000000001</v>
      </c>
      <c r="JS23">
        <v>46.974400000000003</v>
      </c>
      <c r="JT23">
        <v>23.833600000000001</v>
      </c>
      <c r="JU23">
        <v>18</v>
      </c>
      <c r="JV23">
        <v>544.55799999999999</v>
      </c>
      <c r="JW23">
        <v>402.23399999999998</v>
      </c>
      <c r="JX23">
        <v>21.155999999999999</v>
      </c>
      <c r="JY23">
        <v>34.252299999999998</v>
      </c>
      <c r="JZ23">
        <v>29.999700000000001</v>
      </c>
      <c r="KA23">
        <v>34.373199999999997</v>
      </c>
      <c r="KB23">
        <v>34.394300000000001</v>
      </c>
      <c r="KC23">
        <v>23.347200000000001</v>
      </c>
      <c r="KD23">
        <v>54.706099999999999</v>
      </c>
      <c r="KE23">
        <v>0</v>
      </c>
      <c r="KF23">
        <v>21.1798</v>
      </c>
      <c r="KG23">
        <v>456.40300000000002</v>
      </c>
      <c r="KH23">
        <v>18.129799999999999</v>
      </c>
      <c r="KI23">
        <v>100.283</v>
      </c>
      <c r="KJ23">
        <v>98.7239</v>
      </c>
    </row>
    <row r="24" spans="1:296" x14ac:dyDescent="0.3">
      <c r="A24">
        <v>8</v>
      </c>
      <c r="B24">
        <v>1783961083.5</v>
      </c>
      <c r="C24">
        <v>1334.400000095367</v>
      </c>
      <c r="D24" t="s">
        <v>441</v>
      </c>
      <c r="E24" t="s">
        <v>442</v>
      </c>
      <c r="F24">
        <v>15</v>
      </c>
      <c r="H24">
        <v>1783961075.5</v>
      </c>
      <c r="I24">
        <f t="shared" si="0"/>
        <v>1.2871605751021504E-3</v>
      </c>
      <c r="J24">
        <f t="shared" si="1"/>
        <v>1.2871605751021504</v>
      </c>
      <c r="K24">
        <f t="shared" si="2"/>
        <v>28.708411605017943</v>
      </c>
      <c r="L24">
        <f t="shared" si="3"/>
        <v>419.64354838709681</v>
      </c>
      <c r="M24">
        <f t="shared" si="4"/>
        <v>-2.1731141639268095</v>
      </c>
      <c r="N24">
        <f t="shared" si="5"/>
        <v>-0.21430863737014322</v>
      </c>
      <c r="O24">
        <f t="shared" si="6"/>
        <v>41.384497201703134</v>
      </c>
      <c r="P24">
        <f t="shared" si="7"/>
        <v>0.11192360990257746</v>
      </c>
      <c r="Q24">
        <f t="shared" si="8"/>
        <v>2.9070353963087316</v>
      </c>
      <c r="R24">
        <f t="shared" si="9"/>
        <v>0.10958362376407085</v>
      </c>
      <c r="S24">
        <f t="shared" si="10"/>
        <v>6.869592863372069E-2</v>
      </c>
      <c r="T24">
        <f t="shared" si="11"/>
        <v>96.345767549075177</v>
      </c>
      <c r="U24">
        <f t="shared" si="12"/>
        <v>24.953482965613482</v>
      </c>
      <c r="V24">
        <f t="shared" si="13"/>
        <v>25.003429032258069</v>
      </c>
      <c r="W24">
        <f t="shared" si="14"/>
        <v>3.1803276879350033</v>
      </c>
      <c r="X24">
        <f t="shared" si="15"/>
        <v>65.652514085039741</v>
      </c>
      <c r="Y24">
        <f t="shared" si="16"/>
        <v>2.0526993105508993</v>
      </c>
      <c r="Z24">
        <f t="shared" si="17"/>
        <v>3.1266118886049616</v>
      </c>
      <c r="AA24">
        <f t="shared" si="18"/>
        <v>1.127628377384104</v>
      </c>
      <c r="AB24">
        <f t="shared" si="19"/>
        <v>-56.763781362004835</v>
      </c>
      <c r="AC24">
        <f t="shared" si="20"/>
        <v>-44.732089307895905</v>
      </c>
      <c r="AD24">
        <f t="shared" si="21"/>
        <v>-3.250273246070436</v>
      </c>
      <c r="AE24">
        <f t="shared" si="22"/>
        <v>-8.4003763668959976</v>
      </c>
      <c r="AF24">
        <f t="shared" si="23"/>
        <v>28.708411605017943</v>
      </c>
      <c r="AG24">
        <f t="shared" si="24"/>
        <v>1.2871605751021504</v>
      </c>
      <c r="AH24">
        <f t="shared" si="25"/>
        <v>28.394321619532924</v>
      </c>
      <c r="AI24">
        <v>463.63842763640241</v>
      </c>
      <c r="AJ24">
        <v>428.63255151515182</v>
      </c>
      <c r="AK24">
        <v>4.9114073305115337E-2</v>
      </c>
      <c r="AL24">
        <v>67.093261198033758</v>
      </c>
      <c r="AM24">
        <f t="shared" si="26"/>
        <v>1.7801780959983042</v>
      </c>
      <c r="AN24">
        <v>19.200471109857801</v>
      </c>
      <c r="AO24">
        <v>21.036350303030289</v>
      </c>
      <c r="AP24">
        <v>4.0996666601354502E-2</v>
      </c>
      <c r="AQ24">
        <v>78.25896902498917</v>
      </c>
      <c r="AR24">
        <v>0</v>
      </c>
      <c r="AS24">
        <v>0</v>
      </c>
      <c r="AT24">
        <f t="shared" si="27"/>
        <v>1</v>
      </c>
      <c r="AU24">
        <f t="shared" si="28"/>
        <v>0</v>
      </c>
      <c r="AV24">
        <f t="shared" si="29"/>
        <v>52598.110217132409</v>
      </c>
      <c r="AW24" t="s">
        <v>405</v>
      </c>
      <c r="AX24">
        <v>5100.5</v>
      </c>
      <c r="AY24">
        <v>580.05000000000007</v>
      </c>
      <c r="AZ24">
        <v>2506.0700000000002</v>
      </c>
      <c r="BA24">
        <f t="shared" si="30"/>
        <v>0.76854198007238428</v>
      </c>
      <c r="BB24">
        <v>-3.471690147891815</v>
      </c>
      <c r="BC24" t="s">
        <v>443</v>
      </c>
      <c r="BD24">
        <v>5099.55</v>
      </c>
      <c r="BE24">
        <v>848.38947058823533</v>
      </c>
      <c r="BF24">
        <v>1515.51</v>
      </c>
      <c r="BG24">
        <f t="shared" si="31"/>
        <v>0.44019539918031858</v>
      </c>
      <c r="BH24">
        <v>0.5</v>
      </c>
      <c r="BI24">
        <f t="shared" si="32"/>
        <v>504.30265147954765</v>
      </c>
      <c r="BJ24">
        <f t="shared" si="33"/>
        <v>28.708411605017943</v>
      </c>
      <c r="BK24">
        <f t="shared" si="34"/>
        <v>110.99585348786628</v>
      </c>
      <c r="BL24">
        <f t="shared" si="35"/>
        <v>6.3811089746401706E-2</v>
      </c>
      <c r="BM24">
        <f t="shared" si="36"/>
        <v>0.65361495470171771</v>
      </c>
      <c r="BN24">
        <f t="shared" si="37"/>
        <v>503.8285833682524</v>
      </c>
      <c r="BO24" t="s">
        <v>407</v>
      </c>
      <c r="BP24">
        <v>0</v>
      </c>
      <c r="BQ24">
        <f t="shared" si="38"/>
        <v>503.8285833682524</v>
      </c>
      <c r="BR24">
        <f t="shared" si="39"/>
        <v>0.6675517922229135</v>
      </c>
      <c r="BS24">
        <f t="shared" si="40"/>
        <v>0.65941759771850861</v>
      </c>
      <c r="BT24">
        <f t="shared" si="41"/>
        <v>0.49472555695424614</v>
      </c>
      <c r="BU24">
        <f t="shared" si="42"/>
        <v>0.71314703933013135</v>
      </c>
      <c r="BV24">
        <f t="shared" si="43"/>
        <v>0.5143041089915994</v>
      </c>
      <c r="BW24">
        <f t="shared" si="44"/>
        <v>0.39160485322414068</v>
      </c>
      <c r="BX24">
        <f t="shared" si="45"/>
        <v>0.60839514677585926</v>
      </c>
      <c r="DG24">
        <f t="shared" si="46"/>
        <v>599.99887096774205</v>
      </c>
      <c r="DH24">
        <f t="shared" si="47"/>
        <v>504.30265147954765</v>
      </c>
      <c r="DI24">
        <f t="shared" si="48"/>
        <v>0.84050600072989246</v>
      </c>
      <c r="DJ24">
        <f t="shared" si="49"/>
        <v>0.16057658140869244</v>
      </c>
      <c r="DK24">
        <v>6</v>
      </c>
      <c r="DL24">
        <v>0.5</v>
      </c>
      <c r="DM24" t="s">
        <v>408</v>
      </c>
      <c r="DN24">
        <v>2</v>
      </c>
      <c r="DO24" t="b">
        <v>0</v>
      </c>
      <c r="DP24">
        <v>1783961075.5</v>
      </c>
      <c r="DQ24">
        <v>419.64354838709681</v>
      </c>
      <c r="DR24">
        <v>454.74158064516132</v>
      </c>
      <c r="DS24">
        <v>20.81460645161291</v>
      </c>
      <c r="DT24">
        <v>19.302174193548389</v>
      </c>
      <c r="DU24">
        <v>425.77912903225808</v>
      </c>
      <c r="DV24">
        <v>21.419745161290319</v>
      </c>
      <c r="DW24">
        <v>500.00341935483863</v>
      </c>
      <c r="DX24">
        <v>98.563158064516116</v>
      </c>
      <c r="DY24">
        <v>5.5055800000000009E-2</v>
      </c>
      <c r="DZ24">
        <v>24.718009677419349</v>
      </c>
      <c r="EA24">
        <v>25.003429032258069</v>
      </c>
      <c r="EB24">
        <v>999.90000000000032</v>
      </c>
      <c r="EC24">
        <v>0</v>
      </c>
      <c r="ED24">
        <v>0</v>
      </c>
      <c r="EE24">
        <v>10016.129032258061</v>
      </c>
      <c r="EF24">
        <v>0</v>
      </c>
      <c r="EG24">
        <v>1532.818774193549</v>
      </c>
      <c r="EH24">
        <v>-35.097964516129032</v>
      </c>
      <c r="EI24">
        <v>428.56409677419362</v>
      </c>
      <c r="EJ24">
        <v>463.69183870967743</v>
      </c>
      <c r="EK24">
        <v>1.5124338709677421</v>
      </c>
      <c r="EL24">
        <v>454.74158064516132</v>
      </c>
      <c r="EM24">
        <v>19.302174193548389</v>
      </c>
      <c r="EN24">
        <v>2.0515538709677421</v>
      </c>
      <c r="EO24">
        <v>1.902484516129032</v>
      </c>
      <c r="EP24">
        <v>17.847851612903231</v>
      </c>
      <c r="EQ24">
        <v>16.655100000000001</v>
      </c>
      <c r="ER24">
        <v>599.99887096774205</v>
      </c>
      <c r="ES24">
        <v>0.98299222580645174</v>
      </c>
      <c r="ET24">
        <v>1.7007416129032251E-2</v>
      </c>
      <c r="EU24">
        <v>0</v>
      </c>
      <c r="EV24">
        <v>847.88516129032257</v>
      </c>
      <c r="EW24">
        <v>5.0010700000000003</v>
      </c>
      <c r="EX24">
        <v>8477.4432258064498</v>
      </c>
      <c r="EY24">
        <v>5415.0851612903234</v>
      </c>
      <c r="EZ24">
        <v>38.112806451612897</v>
      </c>
      <c r="FA24">
        <v>41.375</v>
      </c>
      <c r="FB24">
        <v>39.949193548387079</v>
      </c>
      <c r="FC24">
        <v>40.811999999999983</v>
      </c>
      <c r="FD24">
        <v>39.875</v>
      </c>
      <c r="FE24">
        <v>584.8780645161288</v>
      </c>
      <c r="FF24">
        <v>10.119999999999999</v>
      </c>
      <c r="FG24">
        <v>0</v>
      </c>
      <c r="FH24">
        <v>181.80000019073489</v>
      </c>
      <c r="FI24">
        <v>0</v>
      </c>
      <c r="FJ24">
        <v>848.38947058823533</v>
      </c>
      <c r="FK24">
        <v>7.8862745199719244</v>
      </c>
      <c r="FL24">
        <v>305.41912128507369</v>
      </c>
      <c r="FM24">
        <v>8466.8452941176474</v>
      </c>
      <c r="FN24">
        <v>10</v>
      </c>
      <c r="FO24">
        <v>1783961016</v>
      </c>
      <c r="FP24" t="s">
        <v>444</v>
      </c>
      <c r="FQ24">
        <v>1783961016</v>
      </c>
      <c r="FR24">
        <v>1783961000</v>
      </c>
      <c r="FS24">
        <v>22</v>
      </c>
      <c r="FT24">
        <v>-6.0000000000000001E-3</v>
      </c>
      <c r="FU24">
        <v>-1.6E-2</v>
      </c>
      <c r="FV24">
        <v>-6.26</v>
      </c>
      <c r="FW24">
        <v>-0.66</v>
      </c>
      <c r="FX24">
        <v>453</v>
      </c>
      <c r="FY24">
        <v>19</v>
      </c>
      <c r="FZ24">
        <v>0.23</v>
      </c>
      <c r="GA24">
        <v>0.17</v>
      </c>
      <c r="GB24">
        <v>419.64490000000001</v>
      </c>
      <c r="GC24">
        <v>-0.34430255839790419</v>
      </c>
      <c r="GD24">
        <v>6.0654953081617141E-2</v>
      </c>
      <c r="GE24">
        <v>-1</v>
      </c>
      <c r="GF24">
        <v>847.34511764705883</v>
      </c>
      <c r="GG24">
        <v>10.27364400755148</v>
      </c>
      <c r="GH24">
        <v>1.022273152305132</v>
      </c>
      <c r="GI24">
        <v>0</v>
      </c>
      <c r="GJ24">
        <v>1.4420975</v>
      </c>
      <c r="GK24">
        <v>1.663667842401501</v>
      </c>
      <c r="GL24">
        <v>0.1651572488683134</v>
      </c>
      <c r="GM24">
        <v>0</v>
      </c>
      <c r="GN24">
        <v>0</v>
      </c>
      <c r="GO24">
        <v>2</v>
      </c>
      <c r="GP24" t="s">
        <v>440</v>
      </c>
      <c r="GQ24">
        <v>3.1304699999999999</v>
      </c>
      <c r="GR24">
        <v>2.7291400000000001</v>
      </c>
      <c r="GS24">
        <v>9.2086000000000001E-2</v>
      </c>
      <c r="GT24">
        <v>9.7535499999999997E-2</v>
      </c>
      <c r="GU24">
        <v>0.10483000000000001</v>
      </c>
      <c r="GV24">
        <v>9.6530099999999994E-2</v>
      </c>
      <c r="GW24">
        <v>22751.8</v>
      </c>
      <c r="GX24">
        <v>30377.8</v>
      </c>
      <c r="GY24">
        <v>27183.5</v>
      </c>
      <c r="GZ24">
        <v>34613.800000000003</v>
      </c>
      <c r="HA24">
        <v>35648.6</v>
      </c>
      <c r="HB24">
        <v>39587.1</v>
      </c>
      <c r="HC24">
        <v>40151.4</v>
      </c>
      <c r="HD24">
        <v>43897</v>
      </c>
      <c r="HE24">
        <v>1.9678</v>
      </c>
      <c r="HF24">
        <v>1.7283999999999999</v>
      </c>
      <c r="HG24">
        <v>-9.6112500000000003E-2</v>
      </c>
      <c r="HH24">
        <v>0</v>
      </c>
      <c r="HI24">
        <v>26.5974</v>
      </c>
      <c r="HJ24">
        <v>999.9</v>
      </c>
      <c r="HK24">
        <v>47.8</v>
      </c>
      <c r="HL24">
        <v>42.8</v>
      </c>
      <c r="HM24">
        <v>41.690600000000003</v>
      </c>
      <c r="HN24">
        <v>61.255299999999998</v>
      </c>
      <c r="HO24">
        <v>6.6867000000000001</v>
      </c>
      <c r="HP24">
        <v>1</v>
      </c>
      <c r="HQ24">
        <v>0.53691100000000003</v>
      </c>
      <c r="HR24">
        <v>4.3973899999999997</v>
      </c>
      <c r="HS24">
        <v>20.1938</v>
      </c>
      <c r="HT24">
        <v>5.2100999999999997</v>
      </c>
      <c r="HU24">
        <v>11.908099999999999</v>
      </c>
      <c r="HV24">
        <v>4.9855999999999998</v>
      </c>
      <c r="HW24">
        <v>3.2709999999999999</v>
      </c>
      <c r="HX24">
        <v>9999</v>
      </c>
      <c r="HY24">
        <v>9999</v>
      </c>
      <c r="HZ24">
        <v>9999</v>
      </c>
      <c r="IA24">
        <v>999.9</v>
      </c>
      <c r="IB24">
        <v>1.8678300000000001</v>
      </c>
      <c r="IC24">
        <v>1.8634999999999999</v>
      </c>
      <c r="ID24">
        <v>1.8629500000000001</v>
      </c>
      <c r="IE24">
        <v>1.86249</v>
      </c>
      <c r="IF24">
        <v>1.86249</v>
      </c>
      <c r="IG24">
        <v>1.86307</v>
      </c>
      <c r="IH24">
        <v>1.86398</v>
      </c>
      <c r="II24">
        <v>1.86188</v>
      </c>
      <c r="IJ24">
        <v>0</v>
      </c>
      <c r="IK24">
        <v>0</v>
      </c>
      <c r="IL24">
        <v>0</v>
      </c>
      <c r="IM24">
        <v>4.5</v>
      </c>
      <c r="IN24" t="s">
        <v>411</v>
      </c>
      <c r="IO24" t="s">
        <v>412</v>
      </c>
      <c r="IP24" t="s">
        <v>413</v>
      </c>
      <c r="IQ24" t="s">
        <v>414</v>
      </c>
      <c r="IR24" t="s">
        <v>414</v>
      </c>
      <c r="IS24" t="s">
        <v>413</v>
      </c>
      <c r="IT24">
        <v>0</v>
      </c>
      <c r="IU24">
        <v>100</v>
      </c>
      <c r="IV24">
        <v>100</v>
      </c>
      <c r="IW24">
        <v>-6.1340000000000003</v>
      </c>
      <c r="IX24">
        <v>-0.59870000000000001</v>
      </c>
      <c r="IY24">
        <v>-4.1486236253509716</v>
      </c>
      <c r="IZ24">
        <v>-5.6215304933332991E-3</v>
      </c>
      <c r="JA24">
        <v>2.3979931213773931E-6</v>
      </c>
      <c r="JB24">
        <v>-3.6297174575716598E-10</v>
      </c>
      <c r="JC24">
        <v>-0.92791202249845339</v>
      </c>
      <c r="JD24">
        <v>2.7492919904454862E-4</v>
      </c>
      <c r="JE24">
        <v>8.6739513355948885E-4</v>
      </c>
      <c r="JF24">
        <v>-8.2500691715147318E-6</v>
      </c>
      <c r="JG24">
        <v>17</v>
      </c>
      <c r="JH24">
        <v>1914</v>
      </c>
      <c r="JI24">
        <v>2</v>
      </c>
      <c r="JJ24">
        <v>37</v>
      </c>
      <c r="JK24">
        <v>1.1000000000000001</v>
      </c>
      <c r="JL24">
        <v>1.4</v>
      </c>
      <c r="JM24">
        <v>1.16455</v>
      </c>
      <c r="JN24">
        <v>2.5708000000000002</v>
      </c>
      <c r="JO24">
        <v>1.50024</v>
      </c>
      <c r="JP24">
        <v>2.2631800000000002</v>
      </c>
      <c r="JQ24">
        <v>1.4477500000000001</v>
      </c>
      <c r="JR24">
        <v>2.35229</v>
      </c>
      <c r="JS24">
        <v>46.915100000000002</v>
      </c>
      <c r="JT24">
        <v>23.833600000000001</v>
      </c>
      <c r="JU24">
        <v>18</v>
      </c>
      <c r="JV24">
        <v>544.553</v>
      </c>
      <c r="JW24">
        <v>404.60199999999998</v>
      </c>
      <c r="JX24">
        <v>20.457899999999999</v>
      </c>
      <c r="JY24">
        <v>33.817399999999999</v>
      </c>
      <c r="JZ24">
        <v>29.989100000000001</v>
      </c>
      <c r="KA24">
        <v>34.047600000000003</v>
      </c>
      <c r="KB24">
        <v>34.094200000000001</v>
      </c>
      <c r="KC24">
        <v>23.305399999999999</v>
      </c>
      <c r="KD24">
        <v>53.235700000000001</v>
      </c>
      <c r="KE24">
        <v>0</v>
      </c>
      <c r="KF24">
        <v>20.486899999999999</v>
      </c>
      <c r="KG24">
        <v>455.26600000000002</v>
      </c>
      <c r="KH24">
        <v>18.8825</v>
      </c>
      <c r="KI24">
        <v>100.339</v>
      </c>
      <c r="KJ24">
        <v>98.783299999999997</v>
      </c>
    </row>
    <row r="25" spans="1:296" x14ac:dyDescent="0.3">
      <c r="A25">
        <v>9</v>
      </c>
      <c r="B25">
        <v>1783961266</v>
      </c>
      <c r="C25">
        <v>1516.900000095367</v>
      </c>
      <c r="D25" t="s">
        <v>445</v>
      </c>
      <c r="E25" t="s">
        <v>446</v>
      </c>
      <c r="F25">
        <v>15</v>
      </c>
      <c r="H25">
        <v>1783961258.25</v>
      </c>
      <c r="I25">
        <f t="shared" si="0"/>
        <v>1.8274784993168589E-3</v>
      </c>
      <c r="J25">
        <f t="shared" si="1"/>
        <v>1.8274784993168589</v>
      </c>
      <c r="K25">
        <f t="shared" si="2"/>
        <v>22.751204406059223</v>
      </c>
      <c r="L25">
        <f t="shared" si="3"/>
        <v>420.03463333333337</v>
      </c>
      <c r="M25">
        <f t="shared" si="4"/>
        <v>172.93261279135905</v>
      </c>
      <c r="N25">
        <f t="shared" si="5"/>
        <v>17.054099470965248</v>
      </c>
      <c r="O25">
        <f t="shared" si="6"/>
        <v>41.42256513963347</v>
      </c>
      <c r="P25">
        <f t="shared" si="7"/>
        <v>0.15463566699454492</v>
      </c>
      <c r="Q25">
        <f t="shared" si="8"/>
        <v>2.9046385133124524</v>
      </c>
      <c r="R25">
        <f t="shared" si="9"/>
        <v>0.15020346021160322</v>
      </c>
      <c r="S25">
        <f t="shared" si="10"/>
        <v>9.4264797193953032E-2</v>
      </c>
      <c r="T25">
        <f t="shared" si="11"/>
        <v>64.410579956833516</v>
      </c>
      <c r="U25">
        <f t="shared" si="12"/>
        <v>24.486221601419015</v>
      </c>
      <c r="V25">
        <f t="shared" si="13"/>
        <v>25.011973333333341</v>
      </c>
      <c r="W25">
        <f t="shared" si="14"/>
        <v>3.1819480767182915</v>
      </c>
      <c r="X25">
        <f t="shared" si="15"/>
        <v>64.929144008623197</v>
      </c>
      <c r="Y25">
        <f t="shared" si="16"/>
        <v>2.0137126043223876</v>
      </c>
      <c r="Z25">
        <f t="shared" si="17"/>
        <v>3.1014002033585224</v>
      </c>
      <c r="AA25">
        <f t="shared" si="18"/>
        <v>1.1682354723959039</v>
      </c>
      <c r="AB25">
        <f t="shared" si="19"/>
        <v>-80.591801819873481</v>
      </c>
      <c r="AC25">
        <f t="shared" si="20"/>
        <v>-67.242881800665771</v>
      </c>
      <c r="AD25">
        <f t="shared" si="21"/>
        <v>-4.8868363538115478</v>
      </c>
      <c r="AE25">
        <f t="shared" si="22"/>
        <v>-88.310940017517282</v>
      </c>
      <c r="AF25">
        <f t="shared" si="23"/>
        <v>22.751204406059223</v>
      </c>
      <c r="AG25">
        <f t="shared" si="24"/>
        <v>1.8274784993168589</v>
      </c>
      <c r="AH25">
        <f t="shared" si="25"/>
        <v>22.83074314154646</v>
      </c>
      <c r="AI25">
        <v>456.55037735388379</v>
      </c>
      <c r="AJ25">
        <v>428.75599999999991</v>
      </c>
      <c r="AK25">
        <v>-2.099527715025996E-2</v>
      </c>
      <c r="AL25">
        <v>67.092330235884319</v>
      </c>
      <c r="AM25">
        <f t="shared" si="26"/>
        <v>1.8104671719227401</v>
      </c>
      <c r="AN25">
        <v>18.271178148256169</v>
      </c>
      <c r="AO25">
        <v>20.39991333333333</v>
      </c>
      <c r="AP25">
        <v>-8.2236591477588943E-5</v>
      </c>
      <c r="AQ25">
        <v>78.258617398255168</v>
      </c>
      <c r="AR25">
        <v>0</v>
      </c>
      <c r="AS25">
        <v>0</v>
      </c>
      <c r="AT25">
        <f t="shared" si="27"/>
        <v>1</v>
      </c>
      <c r="AU25">
        <f t="shared" si="28"/>
        <v>0</v>
      </c>
      <c r="AV25">
        <f t="shared" si="29"/>
        <v>52552.821488036047</v>
      </c>
      <c r="AW25" t="s">
        <v>405</v>
      </c>
      <c r="AX25">
        <v>5100.5</v>
      </c>
      <c r="AY25">
        <v>580.05000000000007</v>
      </c>
      <c r="AZ25">
        <v>2506.0700000000002</v>
      </c>
      <c r="BA25">
        <f t="shared" si="30"/>
        <v>0.76854198007238428</v>
      </c>
      <c r="BB25">
        <v>-3.471690147891815</v>
      </c>
      <c r="BC25" t="s">
        <v>447</v>
      </c>
      <c r="BD25">
        <v>5102.26</v>
      </c>
      <c r="BE25">
        <v>839.48205882352943</v>
      </c>
      <c r="BF25">
        <v>1797.76</v>
      </c>
      <c r="BG25">
        <f t="shared" si="31"/>
        <v>0.5330399726195213</v>
      </c>
      <c r="BH25">
        <v>0.5</v>
      </c>
      <c r="BI25">
        <f t="shared" si="32"/>
        <v>336.28867007089826</v>
      </c>
      <c r="BJ25">
        <f t="shared" si="33"/>
        <v>22.751204406059223</v>
      </c>
      <c r="BK25">
        <f t="shared" si="34"/>
        <v>89.627651743423414</v>
      </c>
      <c r="BL25">
        <f t="shared" si="35"/>
        <v>7.7977335806236281E-2</v>
      </c>
      <c r="BM25">
        <f t="shared" si="36"/>
        <v>0.39399586151655402</v>
      </c>
      <c r="BN25">
        <f t="shared" si="37"/>
        <v>531.57391329289271</v>
      </c>
      <c r="BO25" t="s">
        <v>407</v>
      </c>
      <c r="BP25">
        <v>0</v>
      </c>
      <c r="BQ25">
        <f t="shared" si="38"/>
        <v>531.57391329289271</v>
      </c>
      <c r="BR25">
        <f t="shared" si="39"/>
        <v>0.70431319347805443</v>
      </c>
      <c r="BS25">
        <f t="shared" si="40"/>
        <v>0.75682235908041395</v>
      </c>
      <c r="BT25">
        <f t="shared" si="41"/>
        <v>0.35872950307096219</v>
      </c>
      <c r="BU25">
        <f t="shared" si="42"/>
        <v>0.78695086775707723</v>
      </c>
      <c r="BV25">
        <f t="shared" si="43"/>
        <v>0.36775838257131294</v>
      </c>
      <c r="BW25">
        <f t="shared" si="44"/>
        <v>0.4792324253453818</v>
      </c>
      <c r="BX25">
        <f t="shared" si="45"/>
        <v>0.5207675746546182</v>
      </c>
      <c r="DG25">
        <f t="shared" si="46"/>
        <v>399.99080000000009</v>
      </c>
      <c r="DH25">
        <f t="shared" si="47"/>
        <v>336.28867007089826</v>
      </c>
      <c r="DI25">
        <f t="shared" si="48"/>
        <v>0.84074101222052655</v>
      </c>
      <c r="DJ25">
        <f t="shared" si="49"/>
        <v>0.1610301535856162</v>
      </c>
      <c r="DK25">
        <v>6</v>
      </c>
      <c r="DL25">
        <v>0.5</v>
      </c>
      <c r="DM25" t="s">
        <v>408</v>
      </c>
      <c r="DN25">
        <v>2</v>
      </c>
      <c r="DO25" t="b">
        <v>0</v>
      </c>
      <c r="DP25">
        <v>1783961258.25</v>
      </c>
      <c r="DQ25">
        <v>420.03463333333337</v>
      </c>
      <c r="DR25">
        <v>448.25696666666659</v>
      </c>
      <c r="DS25">
        <v>20.419523333333341</v>
      </c>
      <c r="DT25">
        <v>18.27134666666667</v>
      </c>
      <c r="DU25">
        <v>426.14946666666668</v>
      </c>
      <c r="DV25">
        <v>21.025110000000002</v>
      </c>
      <c r="DW25">
        <v>500.00420000000008</v>
      </c>
      <c r="DX25">
        <v>98.562096666666648</v>
      </c>
      <c r="DY25">
        <v>5.4926436666666668E-2</v>
      </c>
      <c r="DZ25">
        <v>24.582566666666661</v>
      </c>
      <c r="EA25">
        <v>25.011973333333341</v>
      </c>
      <c r="EB25">
        <v>999.9000000000002</v>
      </c>
      <c r="EC25">
        <v>0</v>
      </c>
      <c r="ED25">
        <v>0</v>
      </c>
      <c r="EE25">
        <v>10002.5</v>
      </c>
      <c r="EF25">
        <v>0</v>
      </c>
      <c r="EG25">
        <v>1991.510666666667</v>
      </c>
      <c r="EH25">
        <v>-28.222429999999999</v>
      </c>
      <c r="EI25">
        <v>428.79023333333328</v>
      </c>
      <c r="EJ25">
        <v>456.59966666666668</v>
      </c>
      <c r="EK25">
        <v>2.1481783333333331</v>
      </c>
      <c r="EL25">
        <v>448.25696666666659</v>
      </c>
      <c r="EM25">
        <v>18.27134666666667</v>
      </c>
      <c r="EN25">
        <v>2.0125899999999999</v>
      </c>
      <c r="EO25">
        <v>1.800861333333333</v>
      </c>
      <c r="EP25">
        <v>17.543743333333339</v>
      </c>
      <c r="EQ25">
        <v>15.794273333333329</v>
      </c>
      <c r="ER25">
        <v>399.99080000000009</v>
      </c>
      <c r="ES25">
        <v>0.97499313333333304</v>
      </c>
      <c r="ET25">
        <v>2.500721333333333E-2</v>
      </c>
      <c r="EU25">
        <v>0</v>
      </c>
      <c r="EV25">
        <v>839.51913333333334</v>
      </c>
      <c r="EW25">
        <v>5.0010700000000003</v>
      </c>
      <c r="EX25">
        <v>6647.9613333333336</v>
      </c>
      <c r="EY25">
        <v>3583.579666666667</v>
      </c>
      <c r="EZ25">
        <v>37.559933333333333</v>
      </c>
      <c r="FA25">
        <v>41.307866666666648</v>
      </c>
      <c r="FB25">
        <v>39.561999999999983</v>
      </c>
      <c r="FC25">
        <v>40.686999999999983</v>
      </c>
      <c r="FD25">
        <v>39.436999999999983</v>
      </c>
      <c r="FE25">
        <v>385.11233333333342</v>
      </c>
      <c r="FF25">
        <v>9.879999999999999</v>
      </c>
      <c r="FG25">
        <v>0</v>
      </c>
      <c r="FH25">
        <v>181.60000014305109</v>
      </c>
      <c r="FI25">
        <v>0</v>
      </c>
      <c r="FJ25">
        <v>839.48205882352943</v>
      </c>
      <c r="FK25">
        <v>-4.2007352656529466</v>
      </c>
      <c r="FL25">
        <v>56.107843318887561</v>
      </c>
      <c r="FM25">
        <v>6643.7417647058828</v>
      </c>
      <c r="FN25">
        <v>10</v>
      </c>
      <c r="FO25">
        <v>1783961200</v>
      </c>
      <c r="FP25" t="s">
        <v>448</v>
      </c>
      <c r="FQ25">
        <v>1783961200</v>
      </c>
      <c r="FR25">
        <v>1783961198</v>
      </c>
      <c r="FS25">
        <v>23</v>
      </c>
      <c r="FT25">
        <v>2.1999999999999999E-2</v>
      </c>
      <c r="FU25">
        <v>0.01</v>
      </c>
      <c r="FV25">
        <v>-6.2229999999999999</v>
      </c>
      <c r="FW25">
        <v>-0.65600000000000003</v>
      </c>
      <c r="FX25">
        <v>449</v>
      </c>
      <c r="FY25">
        <v>18</v>
      </c>
      <c r="FZ25">
        <v>0.35</v>
      </c>
      <c r="GA25">
        <v>0.11</v>
      </c>
      <c r="GB25">
        <v>420.03463333333337</v>
      </c>
      <c r="GC25">
        <v>-3.07274749721278E-2</v>
      </c>
      <c r="GD25">
        <v>4.1077555374624639E-2</v>
      </c>
      <c r="GE25">
        <v>-1</v>
      </c>
      <c r="GF25">
        <v>839.64108823529409</v>
      </c>
      <c r="GG25">
        <v>-2.4695951161820879</v>
      </c>
      <c r="GH25">
        <v>0.37380841016308292</v>
      </c>
      <c r="GI25">
        <v>1</v>
      </c>
      <c r="GJ25">
        <v>2.1543562500000002</v>
      </c>
      <c r="GK25">
        <v>-0.14442833020637749</v>
      </c>
      <c r="GL25">
        <v>1.417875941108742E-2</v>
      </c>
      <c r="GM25">
        <v>1</v>
      </c>
      <c r="GN25">
        <v>2</v>
      </c>
      <c r="GO25">
        <v>2</v>
      </c>
      <c r="GP25" t="s">
        <v>423</v>
      </c>
      <c r="GQ25">
        <v>3.1295999999999999</v>
      </c>
      <c r="GR25">
        <v>2.73028</v>
      </c>
      <c r="GS25">
        <v>9.2185600000000006E-2</v>
      </c>
      <c r="GT25">
        <v>9.6511899999999998E-2</v>
      </c>
      <c r="GU25">
        <v>0.102516</v>
      </c>
      <c r="GV25">
        <v>9.31564E-2</v>
      </c>
      <c r="GW25">
        <v>22748</v>
      </c>
      <c r="GX25">
        <v>30411.200000000001</v>
      </c>
      <c r="GY25">
        <v>27181.9</v>
      </c>
      <c r="GZ25">
        <v>34612.800000000003</v>
      </c>
      <c r="HA25">
        <v>35738.699999999997</v>
      </c>
      <c r="HB25">
        <v>39731.599999999999</v>
      </c>
      <c r="HC25">
        <v>40148.9</v>
      </c>
      <c r="HD25">
        <v>43893.4</v>
      </c>
      <c r="HE25">
        <v>1.9668000000000001</v>
      </c>
      <c r="HF25">
        <v>1.7285999999999999</v>
      </c>
      <c r="HG25">
        <v>-0.111431</v>
      </c>
      <c r="HH25">
        <v>0</v>
      </c>
      <c r="HI25">
        <v>26.860399999999998</v>
      </c>
      <c r="HJ25">
        <v>999.9</v>
      </c>
      <c r="HK25">
        <v>47.7</v>
      </c>
      <c r="HL25">
        <v>42.8</v>
      </c>
      <c r="HM25">
        <v>41.606699999999996</v>
      </c>
      <c r="HN25">
        <v>61.615400000000001</v>
      </c>
      <c r="HO25">
        <v>6.3541600000000003</v>
      </c>
      <c r="HP25">
        <v>1</v>
      </c>
      <c r="HQ25">
        <v>0.55264199999999997</v>
      </c>
      <c r="HR25">
        <v>5.9167500000000004</v>
      </c>
      <c r="HS25">
        <v>20.147500000000001</v>
      </c>
      <c r="HT25">
        <v>5.2100999999999997</v>
      </c>
      <c r="HU25">
        <v>11.908099999999999</v>
      </c>
      <c r="HV25">
        <v>4.9855999999999998</v>
      </c>
      <c r="HW25">
        <v>3.2709999999999999</v>
      </c>
      <c r="HX25">
        <v>9999</v>
      </c>
      <c r="HY25">
        <v>9999</v>
      </c>
      <c r="HZ25">
        <v>9999</v>
      </c>
      <c r="IA25">
        <v>999.9</v>
      </c>
      <c r="IB25">
        <v>1.86774</v>
      </c>
      <c r="IC25">
        <v>1.8635299999999999</v>
      </c>
      <c r="ID25">
        <v>1.8629500000000001</v>
      </c>
      <c r="IE25">
        <v>1.86249</v>
      </c>
      <c r="IF25">
        <v>1.86249</v>
      </c>
      <c r="IG25">
        <v>1.8630100000000001</v>
      </c>
      <c r="IH25">
        <v>1.86392</v>
      </c>
      <c r="II25">
        <v>1.86188</v>
      </c>
      <c r="IJ25">
        <v>0</v>
      </c>
      <c r="IK25">
        <v>0</v>
      </c>
      <c r="IL25">
        <v>0</v>
      </c>
      <c r="IM25">
        <v>4.5</v>
      </c>
      <c r="IN25" t="s">
        <v>411</v>
      </c>
      <c r="IO25" t="s">
        <v>412</v>
      </c>
      <c r="IP25" t="s">
        <v>413</v>
      </c>
      <c r="IQ25" t="s">
        <v>414</v>
      </c>
      <c r="IR25" t="s">
        <v>414</v>
      </c>
      <c r="IS25" t="s">
        <v>413</v>
      </c>
      <c r="IT25">
        <v>0</v>
      </c>
      <c r="IU25">
        <v>100</v>
      </c>
      <c r="IV25">
        <v>100</v>
      </c>
      <c r="IW25">
        <v>-6.1150000000000002</v>
      </c>
      <c r="IX25">
        <v>-0.60609999999999997</v>
      </c>
      <c r="IY25">
        <v>-4.1267868742996274</v>
      </c>
      <c r="IZ25">
        <v>-5.6215304933332991E-3</v>
      </c>
      <c r="JA25">
        <v>2.3979931213773931E-6</v>
      </c>
      <c r="JB25">
        <v>-3.6297174575716598E-10</v>
      </c>
      <c r="JC25">
        <v>-0.91812312068767765</v>
      </c>
      <c r="JD25">
        <v>2.7492919904454862E-4</v>
      </c>
      <c r="JE25">
        <v>8.6739513355948885E-4</v>
      </c>
      <c r="JF25">
        <v>-8.2500691715147318E-6</v>
      </c>
      <c r="JG25">
        <v>17</v>
      </c>
      <c r="JH25">
        <v>1914</v>
      </c>
      <c r="JI25">
        <v>2</v>
      </c>
      <c r="JJ25">
        <v>37</v>
      </c>
      <c r="JK25">
        <v>1.1000000000000001</v>
      </c>
      <c r="JL25">
        <v>1.1000000000000001</v>
      </c>
      <c r="JM25">
        <v>1.1498999999999999</v>
      </c>
      <c r="JN25">
        <v>2.5610400000000002</v>
      </c>
      <c r="JO25">
        <v>1.50024</v>
      </c>
      <c r="JP25">
        <v>2.2631800000000002</v>
      </c>
      <c r="JQ25">
        <v>1.4477500000000001</v>
      </c>
      <c r="JR25">
        <v>2.4841299999999999</v>
      </c>
      <c r="JS25">
        <v>46.915100000000002</v>
      </c>
      <c r="JT25">
        <v>23.8248</v>
      </c>
      <c r="JU25">
        <v>18</v>
      </c>
      <c r="JV25">
        <v>543.399</v>
      </c>
      <c r="JW25">
        <v>404.34</v>
      </c>
      <c r="JX25">
        <v>20.411300000000001</v>
      </c>
      <c r="JY25">
        <v>33.8264</v>
      </c>
      <c r="JZ25">
        <v>30.0001</v>
      </c>
      <c r="KA25">
        <v>33.989600000000003</v>
      </c>
      <c r="KB25">
        <v>34.033999999999999</v>
      </c>
      <c r="KC25">
        <v>23.004799999999999</v>
      </c>
      <c r="KD25">
        <v>54.031300000000002</v>
      </c>
      <c r="KE25">
        <v>0</v>
      </c>
      <c r="KF25">
        <v>20.408200000000001</v>
      </c>
      <c r="KG25">
        <v>448.209</v>
      </c>
      <c r="KH25">
        <v>18.3445</v>
      </c>
      <c r="KI25">
        <v>100.333</v>
      </c>
      <c r="KJ25">
        <v>98.777500000000003</v>
      </c>
    </row>
    <row r="26" spans="1:296" x14ac:dyDescent="0.3">
      <c r="A26">
        <v>10</v>
      </c>
      <c r="B26">
        <v>1783961448.5</v>
      </c>
      <c r="C26">
        <v>1699.400000095367</v>
      </c>
      <c r="D26" t="s">
        <v>449</v>
      </c>
      <c r="E26" t="s">
        <v>450</v>
      </c>
      <c r="F26">
        <v>15</v>
      </c>
      <c r="H26">
        <v>1783961440.75</v>
      </c>
      <c r="I26">
        <f t="shared" si="0"/>
        <v>1.4737839395463645E-3</v>
      </c>
      <c r="J26">
        <f t="shared" si="1"/>
        <v>1.4737839395463646</v>
      </c>
      <c r="K26">
        <f t="shared" si="2"/>
        <v>17.054263880082441</v>
      </c>
      <c r="L26">
        <f t="shared" si="3"/>
        <v>419.99470000000002</v>
      </c>
      <c r="M26">
        <f t="shared" si="4"/>
        <v>189.22380714868211</v>
      </c>
      <c r="N26">
        <f t="shared" si="5"/>
        <v>18.661222579880363</v>
      </c>
      <c r="O26">
        <f t="shared" si="6"/>
        <v>41.419812322620132</v>
      </c>
      <c r="P26">
        <f t="shared" si="7"/>
        <v>0.1238115203222912</v>
      </c>
      <c r="Q26">
        <f t="shared" si="8"/>
        <v>2.9044163927232187</v>
      </c>
      <c r="R26">
        <f t="shared" si="9"/>
        <v>0.1209523777524804</v>
      </c>
      <c r="S26">
        <f t="shared" si="10"/>
        <v>7.5846619517629305E-2</v>
      </c>
      <c r="T26">
        <f t="shared" si="11"/>
        <v>48.439632281795497</v>
      </c>
      <c r="U26">
        <f t="shared" si="12"/>
        <v>24.426309703420994</v>
      </c>
      <c r="V26">
        <f t="shared" si="13"/>
        <v>25.025686666666669</v>
      </c>
      <c r="W26">
        <f t="shared" si="14"/>
        <v>3.1845502577196863</v>
      </c>
      <c r="X26">
        <f t="shared" si="15"/>
        <v>65.18096424074777</v>
      </c>
      <c r="Y26">
        <f t="shared" si="16"/>
        <v>2.0145595188430985</v>
      </c>
      <c r="Z26">
        <f t="shared" si="17"/>
        <v>3.0907175773010427</v>
      </c>
      <c r="AA26">
        <f t="shared" si="18"/>
        <v>1.1699907388765878</v>
      </c>
      <c r="AB26">
        <f t="shared" si="19"/>
        <v>-64.993871733994681</v>
      </c>
      <c r="AC26">
        <f t="shared" si="20"/>
        <v>-78.416714599498391</v>
      </c>
      <c r="AD26">
        <f t="shared" si="21"/>
        <v>-5.6980628168684273</v>
      </c>
      <c r="AE26">
        <f t="shared" si="22"/>
        <v>-100.669016868566</v>
      </c>
      <c r="AF26">
        <f t="shared" si="23"/>
        <v>17.054263880082441</v>
      </c>
      <c r="AG26">
        <f t="shared" si="24"/>
        <v>1.4737839395463646</v>
      </c>
      <c r="AH26">
        <f t="shared" si="25"/>
        <v>17.244832290840375</v>
      </c>
      <c r="AI26">
        <v>449.72205509830701</v>
      </c>
      <c r="AJ26">
        <v>428.65945454545482</v>
      </c>
      <c r="AK26">
        <v>-4.8050346743613529E-3</v>
      </c>
      <c r="AL26">
        <v>67.092500734740867</v>
      </c>
      <c r="AM26">
        <f t="shared" si="26"/>
        <v>1.3836023891152451</v>
      </c>
      <c r="AN26">
        <v>18.691533996043461</v>
      </c>
      <c r="AO26">
        <v>20.36892969696969</v>
      </c>
      <c r="AP26">
        <v>-8.1612125478816525E-3</v>
      </c>
      <c r="AQ26">
        <v>78.25903878082849</v>
      </c>
      <c r="AR26">
        <v>0</v>
      </c>
      <c r="AS26">
        <v>0</v>
      </c>
      <c r="AT26">
        <f t="shared" si="27"/>
        <v>1</v>
      </c>
      <c r="AU26">
        <f t="shared" si="28"/>
        <v>0</v>
      </c>
      <c r="AV26">
        <f t="shared" si="29"/>
        <v>52556.645900973839</v>
      </c>
      <c r="AW26" t="s">
        <v>405</v>
      </c>
      <c r="AX26">
        <v>5100.5</v>
      </c>
      <c r="AY26">
        <v>580.05000000000007</v>
      </c>
      <c r="AZ26">
        <v>2506.0700000000002</v>
      </c>
      <c r="BA26">
        <f t="shared" si="30"/>
        <v>0.76854198007238428</v>
      </c>
      <c r="BB26">
        <v>-3.471690147891815</v>
      </c>
      <c r="BC26" t="s">
        <v>451</v>
      </c>
      <c r="BD26">
        <v>5102.58</v>
      </c>
      <c r="BE26">
        <v>809.34829411764701</v>
      </c>
      <c r="BF26">
        <v>1895.69</v>
      </c>
      <c r="BG26">
        <f t="shared" si="31"/>
        <v>0.57305873105958938</v>
      </c>
      <c r="BH26">
        <v>0.5</v>
      </c>
      <c r="BI26">
        <f t="shared" si="32"/>
        <v>252.26951765896141</v>
      </c>
      <c r="BJ26">
        <f t="shared" si="33"/>
        <v>17.054263880082441</v>
      </c>
      <c r="BK26">
        <f t="shared" si="34"/>
        <v>72.28262483732955</v>
      </c>
      <c r="BL26">
        <f t="shared" si="35"/>
        <v>8.1365177285203844E-2</v>
      </c>
      <c r="BM26">
        <f t="shared" si="36"/>
        <v>0.32198302465065498</v>
      </c>
      <c r="BN26">
        <f t="shared" si="37"/>
        <v>539.81964244516212</v>
      </c>
      <c r="BO26" t="s">
        <v>407</v>
      </c>
      <c r="BP26">
        <v>0</v>
      </c>
      <c r="BQ26">
        <f t="shared" si="38"/>
        <v>539.81964244516212</v>
      </c>
      <c r="BR26">
        <f t="shared" si="39"/>
        <v>0.71523843959446842</v>
      </c>
      <c r="BS26">
        <f t="shared" si="40"/>
        <v>0.8012135524825913</v>
      </c>
      <c r="BT26">
        <f t="shared" si="41"/>
        <v>0.31042842416010946</v>
      </c>
      <c r="BU26">
        <f t="shared" si="42"/>
        <v>0.82571349752390699</v>
      </c>
      <c r="BV26">
        <f t="shared" si="43"/>
        <v>0.31691259696161</v>
      </c>
      <c r="BW26">
        <f t="shared" si="44"/>
        <v>0.53439392727069945</v>
      </c>
      <c r="BX26">
        <f t="shared" si="45"/>
        <v>0.46560607272930055</v>
      </c>
      <c r="DG26">
        <f t="shared" si="46"/>
        <v>299.97300000000001</v>
      </c>
      <c r="DH26">
        <f t="shared" si="47"/>
        <v>252.26951765896141</v>
      </c>
      <c r="DI26">
        <f t="shared" si="48"/>
        <v>0.84097407986372574</v>
      </c>
      <c r="DJ26">
        <f t="shared" si="49"/>
        <v>0.16147997413699064</v>
      </c>
      <c r="DK26">
        <v>6</v>
      </c>
      <c r="DL26">
        <v>0.5</v>
      </c>
      <c r="DM26" t="s">
        <v>408</v>
      </c>
      <c r="DN26">
        <v>2</v>
      </c>
      <c r="DO26" t="b">
        <v>0</v>
      </c>
      <c r="DP26">
        <v>1783961440.75</v>
      </c>
      <c r="DQ26">
        <v>419.99470000000002</v>
      </c>
      <c r="DR26">
        <v>441.20283333333339</v>
      </c>
      <c r="DS26">
        <v>20.427526666666669</v>
      </c>
      <c r="DT26">
        <v>18.695093333333329</v>
      </c>
      <c r="DU26">
        <v>426.0413666666667</v>
      </c>
      <c r="DV26">
        <v>21.039719999999999</v>
      </c>
      <c r="DW26">
        <v>499.99436666666668</v>
      </c>
      <c r="DX26">
        <v>98.564339999999987</v>
      </c>
      <c r="DY26">
        <v>5.5505256666666662E-2</v>
      </c>
      <c r="DZ26">
        <v>24.524886666666671</v>
      </c>
      <c r="EA26">
        <v>25.025686666666669</v>
      </c>
      <c r="EB26">
        <v>999.9000000000002</v>
      </c>
      <c r="EC26">
        <v>0</v>
      </c>
      <c r="ED26">
        <v>0</v>
      </c>
      <c r="EE26">
        <v>10001</v>
      </c>
      <c r="EF26">
        <v>0</v>
      </c>
      <c r="EG26">
        <v>1806.7266666666669</v>
      </c>
      <c r="EH26">
        <v>-21.20807666666666</v>
      </c>
      <c r="EI26">
        <v>428.75303333333329</v>
      </c>
      <c r="EJ26">
        <v>449.60826666666668</v>
      </c>
      <c r="EK26">
        <v>1.7324366666666671</v>
      </c>
      <c r="EL26">
        <v>441.20283333333339</v>
      </c>
      <c r="EM26">
        <v>18.695093333333329</v>
      </c>
      <c r="EN26">
        <v>2.0134263333333342</v>
      </c>
      <c r="EO26">
        <v>1.842669333333333</v>
      </c>
      <c r="EP26">
        <v>17.550286666666668</v>
      </c>
      <c r="EQ26">
        <v>16.153533333333328</v>
      </c>
      <c r="ER26">
        <v>299.97300000000001</v>
      </c>
      <c r="ES26">
        <v>0.96698483333333329</v>
      </c>
      <c r="ET26">
        <v>3.3014933333333329E-2</v>
      </c>
      <c r="EU26">
        <v>0</v>
      </c>
      <c r="EV26">
        <v>809.52379999999982</v>
      </c>
      <c r="EW26">
        <v>5.0010700000000003</v>
      </c>
      <c r="EX26">
        <v>5700.706666666666</v>
      </c>
      <c r="EY26">
        <v>2667.7666666666669</v>
      </c>
      <c r="EZ26">
        <v>37.186999999999991</v>
      </c>
      <c r="FA26">
        <v>41.186999999999983</v>
      </c>
      <c r="FB26">
        <v>39.307866666666662</v>
      </c>
      <c r="FC26">
        <v>40.561999999999983</v>
      </c>
      <c r="FD26">
        <v>39.125</v>
      </c>
      <c r="FE26">
        <v>285.23433333333338</v>
      </c>
      <c r="FF26">
        <v>9.740000000000002</v>
      </c>
      <c r="FG26">
        <v>0</v>
      </c>
      <c r="FH26">
        <v>182</v>
      </c>
      <c r="FI26">
        <v>0</v>
      </c>
      <c r="FJ26">
        <v>809.34829411764701</v>
      </c>
      <c r="FK26">
        <v>-1.299509749213263</v>
      </c>
      <c r="FL26">
        <v>-14.11764589371211</v>
      </c>
      <c r="FM26">
        <v>5691.0035294117642</v>
      </c>
      <c r="FN26">
        <v>10</v>
      </c>
      <c r="FO26">
        <v>1783961401.5</v>
      </c>
      <c r="FP26" t="s">
        <v>452</v>
      </c>
      <c r="FQ26">
        <v>1783961398.5</v>
      </c>
      <c r="FR26">
        <v>1783961401.5</v>
      </c>
      <c r="FS26">
        <v>24</v>
      </c>
      <c r="FT26">
        <v>6.8000000000000005E-2</v>
      </c>
      <c r="FU26">
        <v>-7.0000000000000001E-3</v>
      </c>
      <c r="FV26">
        <v>-6.1289999999999996</v>
      </c>
      <c r="FW26">
        <v>-0.65500000000000003</v>
      </c>
      <c r="FX26">
        <v>442</v>
      </c>
      <c r="FY26">
        <v>19</v>
      </c>
      <c r="FZ26">
        <v>0.41</v>
      </c>
      <c r="GA26">
        <v>0.12</v>
      </c>
      <c r="GB26">
        <v>420.00254838709668</v>
      </c>
      <c r="GC26">
        <v>-1.052467741936052</v>
      </c>
      <c r="GD26">
        <v>9.7464580401718223E-2</v>
      </c>
      <c r="GE26">
        <v>-1</v>
      </c>
      <c r="GF26">
        <v>809.68702941176468</v>
      </c>
      <c r="GG26">
        <v>-3.318854080282355</v>
      </c>
      <c r="GH26">
        <v>0.41004701920447661</v>
      </c>
      <c r="GI26">
        <v>1</v>
      </c>
      <c r="GJ26">
        <v>1.7461895121951221</v>
      </c>
      <c r="GK26">
        <v>-0.34238926829268218</v>
      </c>
      <c r="GL26">
        <v>3.7044822879871757E-2</v>
      </c>
      <c r="GM26">
        <v>1</v>
      </c>
      <c r="GN26">
        <v>2</v>
      </c>
      <c r="GO26">
        <v>2</v>
      </c>
      <c r="GP26" t="s">
        <v>423</v>
      </c>
      <c r="GQ26">
        <v>3.1312000000000002</v>
      </c>
      <c r="GR26">
        <v>2.7317499999999999</v>
      </c>
      <c r="GS26">
        <v>9.2160500000000006E-2</v>
      </c>
      <c r="GT26">
        <v>9.5366800000000002E-2</v>
      </c>
      <c r="GU26">
        <v>0.102432</v>
      </c>
      <c r="GV26">
        <v>9.4699500000000006E-2</v>
      </c>
      <c r="GW26">
        <v>22746.5</v>
      </c>
      <c r="GX26">
        <v>30446.3</v>
      </c>
      <c r="GY26">
        <v>27179.8</v>
      </c>
      <c r="GZ26">
        <v>34609.4</v>
      </c>
      <c r="HA26">
        <v>35740.1</v>
      </c>
      <c r="HB26">
        <v>39660.699999999997</v>
      </c>
      <c r="HC26">
        <v>40146.400000000001</v>
      </c>
      <c r="HD26">
        <v>43889.8</v>
      </c>
      <c r="HE26">
        <v>1.9663999999999999</v>
      </c>
      <c r="HF26">
        <v>1.728</v>
      </c>
      <c r="HG26">
        <v>-0.118911</v>
      </c>
      <c r="HH26">
        <v>0</v>
      </c>
      <c r="HI26">
        <v>26.965299999999999</v>
      </c>
      <c r="HJ26">
        <v>999.9</v>
      </c>
      <c r="HK26">
        <v>47.7</v>
      </c>
      <c r="HL26">
        <v>42.8</v>
      </c>
      <c r="HM26">
        <v>41.605400000000003</v>
      </c>
      <c r="HN26">
        <v>61.775399999999998</v>
      </c>
      <c r="HO26">
        <v>6.3341399999999997</v>
      </c>
      <c r="HP26">
        <v>1</v>
      </c>
      <c r="HQ26">
        <v>0.563415</v>
      </c>
      <c r="HR26">
        <v>6.6187399999999998</v>
      </c>
      <c r="HS26">
        <v>20.1234</v>
      </c>
      <c r="HT26">
        <v>5.2100999999999997</v>
      </c>
      <c r="HU26">
        <v>11.9129</v>
      </c>
      <c r="HV26">
        <v>4.9843999999999999</v>
      </c>
      <c r="HW26">
        <v>3.2709999999999999</v>
      </c>
      <c r="HX26">
        <v>9999</v>
      </c>
      <c r="HY26">
        <v>9999</v>
      </c>
      <c r="HZ26">
        <v>9999</v>
      </c>
      <c r="IA26">
        <v>999.9</v>
      </c>
      <c r="IB26">
        <v>1.8678300000000001</v>
      </c>
      <c r="IC26">
        <v>1.8634999999999999</v>
      </c>
      <c r="ID26">
        <v>1.8629500000000001</v>
      </c>
      <c r="IE26">
        <v>1.86249</v>
      </c>
      <c r="IF26">
        <v>1.86249</v>
      </c>
      <c r="IG26">
        <v>1.8629800000000001</v>
      </c>
      <c r="IH26">
        <v>1.86395</v>
      </c>
      <c r="II26">
        <v>1.86188</v>
      </c>
      <c r="IJ26">
        <v>0</v>
      </c>
      <c r="IK26">
        <v>0</v>
      </c>
      <c r="IL26">
        <v>0</v>
      </c>
      <c r="IM26">
        <v>4.5</v>
      </c>
      <c r="IN26" t="s">
        <v>411</v>
      </c>
      <c r="IO26" t="s">
        <v>412</v>
      </c>
      <c r="IP26" t="s">
        <v>413</v>
      </c>
      <c r="IQ26" t="s">
        <v>414</v>
      </c>
      <c r="IR26" t="s">
        <v>414</v>
      </c>
      <c r="IS26" t="s">
        <v>413</v>
      </c>
      <c r="IT26">
        <v>0</v>
      </c>
      <c r="IU26">
        <v>100</v>
      </c>
      <c r="IV26">
        <v>100</v>
      </c>
      <c r="IW26">
        <v>-6.0460000000000003</v>
      </c>
      <c r="IX26">
        <v>-0.61370000000000002</v>
      </c>
      <c r="IY26">
        <v>-4.0587037025913189</v>
      </c>
      <c r="IZ26">
        <v>-5.6215304933332991E-3</v>
      </c>
      <c r="JA26">
        <v>2.3979931213773931E-6</v>
      </c>
      <c r="JB26">
        <v>-3.6297174575716598E-10</v>
      </c>
      <c r="JC26">
        <v>-0.92511006228577286</v>
      </c>
      <c r="JD26">
        <v>2.7492919904454862E-4</v>
      </c>
      <c r="JE26">
        <v>8.6739513355948885E-4</v>
      </c>
      <c r="JF26">
        <v>-8.2500691715147318E-6</v>
      </c>
      <c r="JG26">
        <v>17</v>
      </c>
      <c r="JH26">
        <v>1914</v>
      </c>
      <c r="JI26">
        <v>2</v>
      </c>
      <c r="JJ26">
        <v>37</v>
      </c>
      <c r="JK26">
        <v>0.8</v>
      </c>
      <c r="JL26">
        <v>0.8</v>
      </c>
      <c r="JM26">
        <v>1.1364700000000001</v>
      </c>
      <c r="JN26">
        <v>2.5549300000000001</v>
      </c>
      <c r="JO26">
        <v>1.50024</v>
      </c>
      <c r="JP26">
        <v>2.2631800000000002</v>
      </c>
      <c r="JQ26">
        <v>1.4477500000000001</v>
      </c>
      <c r="JR26">
        <v>2.4853499999999999</v>
      </c>
      <c r="JS26">
        <v>46.944800000000001</v>
      </c>
      <c r="JT26">
        <v>23.8248</v>
      </c>
      <c r="JU26">
        <v>18</v>
      </c>
      <c r="JV26">
        <v>543.40700000000004</v>
      </c>
      <c r="JW26">
        <v>404.137</v>
      </c>
      <c r="JX26">
        <v>20.0749</v>
      </c>
      <c r="JY26">
        <v>33.908799999999999</v>
      </c>
      <c r="JZ26">
        <v>30.000800000000002</v>
      </c>
      <c r="KA26">
        <v>34.022799999999997</v>
      </c>
      <c r="KB26">
        <v>34.058100000000003</v>
      </c>
      <c r="KC26">
        <v>22.727699999999999</v>
      </c>
      <c r="KD26">
        <v>53.397399999999998</v>
      </c>
      <c r="KE26">
        <v>0</v>
      </c>
      <c r="KF26">
        <v>20.043500000000002</v>
      </c>
      <c r="KG26">
        <v>441.36</v>
      </c>
      <c r="KH26">
        <v>18.758600000000001</v>
      </c>
      <c r="KI26">
        <v>100.32599999999999</v>
      </c>
      <c r="KJ26">
        <v>98.768600000000006</v>
      </c>
    </row>
    <row r="27" spans="1:296" x14ac:dyDescent="0.3">
      <c r="A27">
        <v>11</v>
      </c>
      <c r="B27">
        <v>1783961631</v>
      </c>
      <c r="C27">
        <v>1881.900000095367</v>
      </c>
      <c r="D27" t="s">
        <v>453</v>
      </c>
      <c r="E27" t="s">
        <v>454</v>
      </c>
      <c r="F27">
        <v>15</v>
      </c>
      <c r="H27">
        <v>1783961623</v>
      </c>
      <c r="I27">
        <f t="shared" si="0"/>
        <v>1.0567243334339968E-3</v>
      </c>
      <c r="J27">
        <f t="shared" si="1"/>
        <v>1.0567243334339969</v>
      </c>
      <c r="K27">
        <f t="shared" si="2"/>
        <v>10.642216398763946</v>
      </c>
      <c r="L27">
        <f t="shared" si="3"/>
        <v>420.14280645161278</v>
      </c>
      <c r="M27">
        <f t="shared" si="4"/>
        <v>217.77210875028308</v>
      </c>
      <c r="N27">
        <f t="shared" si="5"/>
        <v>21.477287388922651</v>
      </c>
      <c r="O27">
        <f t="shared" si="6"/>
        <v>41.435645043493494</v>
      </c>
      <c r="P27">
        <f t="shared" si="7"/>
        <v>8.8055584675865634E-2</v>
      </c>
      <c r="Q27">
        <f t="shared" si="8"/>
        <v>2.9046055290713411</v>
      </c>
      <c r="R27">
        <f t="shared" si="9"/>
        <v>8.6599011148303678E-2</v>
      </c>
      <c r="S27">
        <f t="shared" si="10"/>
        <v>5.4253242343142695E-2</v>
      </c>
      <c r="T27">
        <f t="shared" si="11"/>
        <v>32.480263250314422</v>
      </c>
      <c r="U27">
        <f t="shared" si="12"/>
        <v>24.339871406838238</v>
      </c>
      <c r="V27">
        <f t="shared" si="13"/>
        <v>24.947377419354829</v>
      </c>
      <c r="W27">
        <f t="shared" si="14"/>
        <v>3.1697156183995214</v>
      </c>
      <c r="X27">
        <f t="shared" si="15"/>
        <v>65.030362510952955</v>
      </c>
      <c r="Y27">
        <f t="shared" si="16"/>
        <v>1.9977997491332988</v>
      </c>
      <c r="Z27">
        <f t="shared" si="17"/>
        <v>3.0721030484749532</v>
      </c>
      <c r="AA27">
        <f t="shared" si="18"/>
        <v>1.1719158692662226</v>
      </c>
      <c r="AB27">
        <f t="shared" si="19"/>
        <v>-46.601543104439259</v>
      </c>
      <c r="AC27">
        <f t="shared" si="20"/>
        <v>-81.963350719527682</v>
      </c>
      <c r="AD27">
        <f t="shared" si="21"/>
        <v>-5.9500124230164726</v>
      </c>
      <c r="AE27">
        <f t="shared" si="22"/>
        <v>-102.03464299666899</v>
      </c>
      <c r="AF27">
        <f t="shared" si="23"/>
        <v>10.642216398763946</v>
      </c>
      <c r="AG27">
        <f t="shared" si="24"/>
        <v>1.0567243334339969</v>
      </c>
      <c r="AH27">
        <f t="shared" si="25"/>
        <v>10.454268413248194</v>
      </c>
      <c r="AI27">
        <v>441.7967402335367</v>
      </c>
      <c r="AJ27">
        <v>428.85966666666661</v>
      </c>
      <c r="AK27">
        <v>2.8205244891828591E-2</v>
      </c>
      <c r="AL27">
        <v>67.030139299683256</v>
      </c>
      <c r="AM27">
        <f t="shared" si="26"/>
        <v>1.0475919421635791</v>
      </c>
      <c r="AN27">
        <v>19.011778142018411</v>
      </c>
      <c r="AO27">
        <v>20.245086060606042</v>
      </c>
      <c r="AP27">
        <v>-2.9349178608255831E-4</v>
      </c>
      <c r="AQ27">
        <v>78.052645793407535</v>
      </c>
      <c r="AR27">
        <v>0</v>
      </c>
      <c r="AS27">
        <v>0</v>
      </c>
      <c r="AT27">
        <f t="shared" si="27"/>
        <v>1</v>
      </c>
      <c r="AU27">
        <f t="shared" si="28"/>
        <v>0</v>
      </c>
      <c r="AV27">
        <f t="shared" si="29"/>
        <v>52580.008873146086</v>
      </c>
      <c r="AW27" t="s">
        <v>405</v>
      </c>
      <c r="AX27">
        <v>5100.5</v>
      </c>
      <c r="AY27">
        <v>580.05000000000007</v>
      </c>
      <c r="AZ27">
        <v>2506.0700000000002</v>
      </c>
      <c r="BA27">
        <f t="shared" si="30"/>
        <v>0.76854198007238428</v>
      </c>
      <c r="BB27">
        <v>-3.471690147891815</v>
      </c>
      <c r="BC27" t="s">
        <v>455</v>
      </c>
      <c r="BD27">
        <v>5104.46</v>
      </c>
      <c r="BE27">
        <v>784.83164705882348</v>
      </c>
      <c r="BF27">
        <v>1984.8</v>
      </c>
      <c r="BG27">
        <f t="shared" si="31"/>
        <v>0.60457897669345861</v>
      </c>
      <c r="BH27">
        <v>0.5</v>
      </c>
      <c r="BI27">
        <f t="shared" si="32"/>
        <v>168.27282495002086</v>
      </c>
      <c r="BJ27">
        <f t="shared" si="33"/>
        <v>10.642216398763946</v>
      </c>
      <c r="BK27">
        <f t="shared" si="34"/>
        <v>50.867106156800553</v>
      </c>
      <c r="BL27">
        <f t="shared" si="35"/>
        <v>8.3875138786359396E-2</v>
      </c>
      <c r="BM27">
        <f t="shared" si="36"/>
        <v>0.26263099556630404</v>
      </c>
      <c r="BN27">
        <f t="shared" si="37"/>
        <v>546.81045840183424</v>
      </c>
      <c r="BO27" t="s">
        <v>407</v>
      </c>
      <c r="BP27">
        <v>0</v>
      </c>
      <c r="BQ27">
        <f t="shared" si="38"/>
        <v>546.81045840183424</v>
      </c>
      <c r="BR27">
        <f t="shared" si="39"/>
        <v>0.72450097823365867</v>
      </c>
      <c r="BS27">
        <f t="shared" si="40"/>
        <v>0.83447641184340238</v>
      </c>
      <c r="BT27">
        <f t="shared" si="41"/>
        <v>0.26605459304018536</v>
      </c>
      <c r="BU27">
        <f t="shared" si="42"/>
        <v>0.85422199889031958</v>
      </c>
      <c r="BV27">
        <f t="shared" si="43"/>
        <v>0.27064620305085108</v>
      </c>
      <c r="BW27">
        <f t="shared" si="44"/>
        <v>0.58139912042997521</v>
      </c>
      <c r="BX27">
        <f t="shared" si="45"/>
        <v>0.41860087957002479</v>
      </c>
      <c r="DG27">
        <f t="shared" si="46"/>
        <v>199.97693548387099</v>
      </c>
      <c r="DH27">
        <f t="shared" si="47"/>
        <v>168.27282495002086</v>
      </c>
      <c r="DI27">
        <f t="shared" si="48"/>
        <v>0.84146116422307515</v>
      </c>
      <c r="DJ27">
        <f t="shared" si="49"/>
        <v>0.16242004695053494</v>
      </c>
      <c r="DK27">
        <v>6</v>
      </c>
      <c r="DL27">
        <v>0.5</v>
      </c>
      <c r="DM27" t="s">
        <v>408</v>
      </c>
      <c r="DN27">
        <v>2</v>
      </c>
      <c r="DO27" t="b">
        <v>0</v>
      </c>
      <c r="DP27">
        <v>1783961623</v>
      </c>
      <c r="DQ27">
        <v>420.14280645161278</v>
      </c>
      <c r="DR27">
        <v>433.44432258064518</v>
      </c>
      <c r="DS27">
        <v>20.256983870967741</v>
      </c>
      <c r="DT27">
        <v>19.014780645161292</v>
      </c>
      <c r="DU27">
        <v>426.15067741935479</v>
      </c>
      <c r="DV27">
        <v>20.877380645161288</v>
      </c>
      <c r="DW27">
        <v>500.07193548387102</v>
      </c>
      <c r="DX27">
        <v>98.567387096774183</v>
      </c>
      <c r="DY27">
        <v>5.5377370967741937E-2</v>
      </c>
      <c r="DZ27">
        <v>24.42396129032258</v>
      </c>
      <c r="EA27">
        <v>24.947377419354829</v>
      </c>
      <c r="EB27">
        <v>999.90000000000032</v>
      </c>
      <c r="EC27">
        <v>0</v>
      </c>
      <c r="ED27">
        <v>0</v>
      </c>
      <c r="EE27">
        <v>10001.77419354839</v>
      </c>
      <c r="EF27">
        <v>0</v>
      </c>
      <c r="EG27">
        <v>1565.276290322581</v>
      </c>
      <c r="EH27">
        <v>-13.301545161290321</v>
      </c>
      <c r="EI27">
        <v>428.82954838709679</v>
      </c>
      <c r="EJ27">
        <v>441.8459354838709</v>
      </c>
      <c r="EK27">
        <v>1.242204516129032</v>
      </c>
      <c r="EL27">
        <v>433.44432258064518</v>
      </c>
      <c r="EM27">
        <v>19.014780645161292</v>
      </c>
      <c r="EN27">
        <v>1.9966774193548389</v>
      </c>
      <c r="EO27">
        <v>1.874237096774193</v>
      </c>
      <c r="EP27">
        <v>17.418012903225801</v>
      </c>
      <c r="EQ27">
        <v>16.42007741935484</v>
      </c>
      <c r="ER27">
        <v>199.97693548387099</v>
      </c>
      <c r="ES27">
        <v>0.95004351612903215</v>
      </c>
      <c r="ET27">
        <v>4.9956038709677401E-2</v>
      </c>
      <c r="EU27">
        <v>0</v>
      </c>
      <c r="EV27">
        <v>784.86538709677438</v>
      </c>
      <c r="EW27">
        <v>5.0010700000000003</v>
      </c>
      <c r="EX27">
        <v>4797.6403225806453</v>
      </c>
      <c r="EY27">
        <v>1751.6506451612911</v>
      </c>
      <c r="EZ27">
        <v>36.858741935483863</v>
      </c>
      <c r="FA27">
        <v>41.125</v>
      </c>
      <c r="FB27">
        <v>39.092483870967733</v>
      </c>
      <c r="FC27">
        <v>40.48780645161289</v>
      </c>
      <c r="FD27">
        <v>38.877000000000002</v>
      </c>
      <c r="FE27">
        <v>185.23645161290329</v>
      </c>
      <c r="FF27">
        <v>9.740000000000002</v>
      </c>
      <c r="FG27">
        <v>0</v>
      </c>
      <c r="FH27">
        <v>181.60000014305109</v>
      </c>
      <c r="FI27">
        <v>0</v>
      </c>
      <c r="FJ27">
        <v>784.83164705882348</v>
      </c>
      <c r="FK27">
        <v>-2.261029422287705</v>
      </c>
      <c r="FL27">
        <v>-257.42892223651643</v>
      </c>
      <c r="FM27">
        <v>4799.1029411764694</v>
      </c>
      <c r="FN27">
        <v>10</v>
      </c>
      <c r="FO27">
        <v>1783961553.5</v>
      </c>
      <c r="FP27" t="s">
        <v>456</v>
      </c>
      <c r="FQ27">
        <v>1783961550.5</v>
      </c>
      <c r="FR27">
        <v>1783961553.5</v>
      </c>
      <c r="FS27">
        <v>25</v>
      </c>
      <c r="FT27">
        <v>3.9E-2</v>
      </c>
      <c r="FU27">
        <v>-4.0000000000000001E-3</v>
      </c>
      <c r="FV27">
        <v>-6.0620000000000003</v>
      </c>
      <c r="FW27">
        <v>-0.65700000000000003</v>
      </c>
      <c r="FX27">
        <v>434</v>
      </c>
      <c r="FY27">
        <v>19</v>
      </c>
      <c r="FZ27">
        <v>0.59</v>
      </c>
      <c r="GA27">
        <v>0.23</v>
      </c>
      <c r="GB27">
        <v>420.13869999999997</v>
      </c>
      <c r="GC27">
        <v>-0.38151724137855991</v>
      </c>
      <c r="GD27">
        <v>6.8245708045754888E-2</v>
      </c>
      <c r="GE27">
        <v>-1</v>
      </c>
      <c r="GF27">
        <v>784.90820588235295</v>
      </c>
      <c r="GG27">
        <v>-1.120687550115852</v>
      </c>
      <c r="GH27">
        <v>0.25783097283614342</v>
      </c>
      <c r="GI27">
        <v>1</v>
      </c>
      <c r="GJ27">
        <v>1.2215065000000001</v>
      </c>
      <c r="GK27">
        <v>0.29489358348967892</v>
      </c>
      <c r="GL27">
        <v>5.4487467070419043E-2</v>
      </c>
      <c r="GM27">
        <v>1</v>
      </c>
      <c r="GN27">
        <v>2</v>
      </c>
      <c r="GO27">
        <v>2</v>
      </c>
      <c r="GP27" t="s">
        <v>423</v>
      </c>
      <c r="GQ27">
        <v>3.1292200000000001</v>
      </c>
      <c r="GR27">
        <v>2.73108</v>
      </c>
      <c r="GS27">
        <v>9.2143600000000006E-2</v>
      </c>
      <c r="GT27">
        <v>9.4085199999999994E-2</v>
      </c>
      <c r="GU27">
        <v>0.10199999999999999</v>
      </c>
      <c r="GV27">
        <v>9.5850099999999994E-2</v>
      </c>
      <c r="GW27">
        <v>22742.400000000001</v>
      </c>
      <c r="GX27">
        <v>30482.799999999999</v>
      </c>
      <c r="GY27">
        <v>27175</v>
      </c>
      <c r="GZ27">
        <v>34602.6</v>
      </c>
      <c r="HA27">
        <v>35751.300000000003</v>
      </c>
      <c r="HB27">
        <v>39603.300000000003</v>
      </c>
      <c r="HC27">
        <v>40139.199999999997</v>
      </c>
      <c r="HD27">
        <v>43882</v>
      </c>
      <c r="HE27">
        <v>1.9643999999999999</v>
      </c>
      <c r="HF27">
        <v>1.7278</v>
      </c>
      <c r="HG27">
        <v>-0.12138500000000001</v>
      </c>
      <c r="HH27">
        <v>0</v>
      </c>
      <c r="HI27">
        <v>26.953900000000001</v>
      </c>
      <c r="HJ27">
        <v>999.9</v>
      </c>
      <c r="HK27">
        <v>47.8</v>
      </c>
      <c r="HL27">
        <v>42.7</v>
      </c>
      <c r="HM27">
        <v>41.476199999999999</v>
      </c>
      <c r="HN27">
        <v>61.685499999999998</v>
      </c>
      <c r="HO27">
        <v>6.5584899999999999</v>
      </c>
      <c r="HP27">
        <v>1</v>
      </c>
      <c r="HQ27">
        <v>0.56865900000000003</v>
      </c>
      <c r="HR27">
        <v>5.7089100000000004</v>
      </c>
      <c r="HS27">
        <v>20.1557</v>
      </c>
      <c r="HT27">
        <v>5.2100999999999997</v>
      </c>
      <c r="HU27">
        <v>11.908099999999999</v>
      </c>
      <c r="HV27">
        <v>4.984</v>
      </c>
      <c r="HW27">
        <v>3.2709999999999999</v>
      </c>
      <c r="HX27">
        <v>9999</v>
      </c>
      <c r="HY27">
        <v>9999</v>
      </c>
      <c r="HZ27">
        <v>9999</v>
      </c>
      <c r="IA27">
        <v>999.9</v>
      </c>
      <c r="IB27">
        <v>1.8677699999999999</v>
      </c>
      <c r="IC27">
        <v>1.8634299999999999</v>
      </c>
      <c r="ID27">
        <v>1.8629500000000001</v>
      </c>
      <c r="IE27">
        <v>1.86249</v>
      </c>
      <c r="IF27">
        <v>1.86249</v>
      </c>
      <c r="IG27">
        <v>1.86304</v>
      </c>
      <c r="IH27">
        <v>1.8640099999999999</v>
      </c>
      <c r="II27">
        <v>1.86188</v>
      </c>
      <c r="IJ27">
        <v>0</v>
      </c>
      <c r="IK27">
        <v>0</v>
      </c>
      <c r="IL27">
        <v>0</v>
      </c>
      <c r="IM27">
        <v>4.5</v>
      </c>
      <c r="IN27" t="s">
        <v>411</v>
      </c>
      <c r="IO27" t="s">
        <v>412</v>
      </c>
      <c r="IP27" t="s">
        <v>413</v>
      </c>
      <c r="IQ27" t="s">
        <v>414</v>
      </c>
      <c r="IR27" t="s">
        <v>414</v>
      </c>
      <c r="IS27" t="s">
        <v>413</v>
      </c>
      <c r="IT27">
        <v>0</v>
      </c>
      <c r="IU27">
        <v>100</v>
      </c>
      <c r="IV27">
        <v>100</v>
      </c>
      <c r="IW27">
        <v>-6.008</v>
      </c>
      <c r="IX27">
        <v>-0.62080000000000002</v>
      </c>
      <c r="IY27">
        <v>-4.0197237851431611</v>
      </c>
      <c r="IZ27">
        <v>-5.6215304933332991E-3</v>
      </c>
      <c r="JA27">
        <v>2.3979931213773931E-6</v>
      </c>
      <c r="JB27">
        <v>-3.6297174575716598E-10</v>
      </c>
      <c r="JC27">
        <v>-0.92912986421200894</v>
      </c>
      <c r="JD27">
        <v>2.7492919904454862E-4</v>
      </c>
      <c r="JE27">
        <v>8.6739513355948885E-4</v>
      </c>
      <c r="JF27">
        <v>-8.2500691715147318E-6</v>
      </c>
      <c r="JG27">
        <v>17</v>
      </c>
      <c r="JH27">
        <v>1914</v>
      </c>
      <c r="JI27">
        <v>2</v>
      </c>
      <c r="JJ27">
        <v>37</v>
      </c>
      <c r="JK27">
        <v>1.3</v>
      </c>
      <c r="JL27">
        <v>1.3</v>
      </c>
      <c r="JM27">
        <v>1.11938</v>
      </c>
      <c r="JN27">
        <v>2.5598100000000001</v>
      </c>
      <c r="JO27">
        <v>1.50024</v>
      </c>
      <c r="JP27">
        <v>2.2644000000000002</v>
      </c>
      <c r="JQ27">
        <v>1.4477500000000001</v>
      </c>
      <c r="JR27">
        <v>2.3547400000000001</v>
      </c>
      <c r="JS27">
        <v>47.004100000000001</v>
      </c>
      <c r="JT27">
        <v>23.8248</v>
      </c>
      <c r="JU27">
        <v>18</v>
      </c>
      <c r="JV27">
        <v>542.79499999999996</v>
      </c>
      <c r="JW27">
        <v>404.51299999999998</v>
      </c>
      <c r="JX27">
        <v>20.430199999999999</v>
      </c>
      <c r="JY27">
        <v>34.028300000000002</v>
      </c>
      <c r="JZ27">
        <v>29.999700000000001</v>
      </c>
      <c r="KA27">
        <v>34.110700000000001</v>
      </c>
      <c r="KB27">
        <v>34.136400000000002</v>
      </c>
      <c r="KC27">
        <v>22.396899999999999</v>
      </c>
      <c r="KD27">
        <v>52.796900000000001</v>
      </c>
      <c r="KE27">
        <v>0</v>
      </c>
      <c r="KF27">
        <v>20.4603</v>
      </c>
      <c r="KG27">
        <v>433.38799999999998</v>
      </c>
      <c r="KH27">
        <v>19.0824</v>
      </c>
      <c r="KI27">
        <v>100.30800000000001</v>
      </c>
      <c r="KJ27">
        <v>98.750399999999999</v>
      </c>
    </row>
    <row r="28" spans="1:296" x14ac:dyDescent="0.3">
      <c r="A28">
        <v>12</v>
      </c>
      <c r="B28">
        <v>1783961813.5</v>
      </c>
      <c r="C28">
        <v>2064.400000095367</v>
      </c>
      <c r="D28" t="s">
        <v>457</v>
      </c>
      <c r="E28" t="s">
        <v>458</v>
      </c>
      <c r="F28">
        <v>15</v>
      </c>
      <c r="H28">
        <v>1783961805.75</v>
      </c>
      <c r="I28">
        <f t="shared" si="0"/>
        <v>4.14127476728821E-4</v>
      </c>
      <c r="J28">
        <f t="shared" si="1"/>
        <v>0.414127476728821</v>
      </c>
      <c r="K28">
        <f t="shared" si="2"/>
        <v>3.5111650247144479</v>
      </c>
      <c r="L28">
        <f t="shared" si="3"/>
        <v>420.15186666666659</v>
      </c>
      <c r="M28">
        <f t="shared" si="4"/>
        <v>244.28999550058467</v>
      </c>
      <c r="N28">
        <f t="shared" si="5"/>
        <v>24.093033908244198</v>
      </c>
      <c r="O28">
        <f t="shared" si="6"/>
        <v>41.437362792811818</v>
      </c>
      <c r="P28">
        <f t="shared" si="7"/>
        <v>3.3377860464179933E-2</v>
      </c>
      <c r="Q28">
        <f t="shared" si="8"/>
        <v>2.9046713363122367</v>
      </c>
      <c r="R28">
        <f t="shared" si="9"/>
        <v>3.3166236689572776E-2</v>
      </c>
      <c r="S28">
        <f t="shared" si="10"/>
        <v>2.0747799488467712E-2</v>
      </c>
      <c r="T28">
        <f t="shared" si="11"/>
        <v>16.509517508079359</v>
      </c>
      <c r="U28">
        <f t="shared" si="12"/>
        <v>24.506419054034048</v>
      </c>
      <c r="V28">
        <f t="shared" si="13"/>
        <v>25.06224666666667</v>
      </c>
      <c r="W28">
        <f t="shared" si="14"/>
        <v>3.1914968100976631</v>
      </c>
      <c r="X28">
        <f t="shared" si="15"/>
        <v>64.494683599270019</v>
      </c>
      <c r="Y28">
        <f t="shared" si="16"/>
        <v>1.9923914040699271</v>
      </c>
      <c r="Z28">
        <f t="shared" si="17"/>
        <v>3.0892335505503246</v>
      </c>
      <c r="AA28">
        <f t="shared" si="18"/>
        <v>1.199105406027736</v>
      </c>
      <c r="AB28">
        <f t="shared" si="19"/>
        <v>-18.263021723741005</v>
      </c>
      <c r="AC28">
        <f t="shared" si="20"/>
        <v>-85.405720091598837</v>
      </c>
      <c r="AD28">
        <f t="shared" si="21"/>
        <v>-6.206259157640841</v>
      </c>
      <c r="AE28">
        <f t="shared" si="22"/>
        <v>-93.365483464901331</v>
      </c>
      <c r="AF28">
        <f t="shared" si="23"/>
        <v>3.5111650247144479</v>
      </c>
      <c r="AG28">
        <f t="shared" si="24"/>
        <v>0.414127476728821</v>
      </c>
      <c r="AH28">
        <f t="shared" si="25"/>
        <v>3.4100314004058463</v>
      </c>
      <c r="AI28">
        <v>433.00345460382482</v>
      </c>
      <c r="AJ28">
        <v>428.79301818181813</v>
      </c>
      <c r="AK28">
        <v>6.7717820304795621E-3</v>
      </c>
      <c r="AL28">
        <v>67.092878473418338</v>
      </c>
      <c r="AM28">
        <f t="shared" si="26"/>
        <v>0.35524393810934707</v>
      </c>
      <c r="AN28">
        <v>19.776025811020521</v>
      </c>
      <c r="AO28">
        <v>20.19359575757575</v>
      </c>
      <c r="AP28">
        <v>1.6930361844313582E-5</v>
      </c>
      <c r="AQ28">
        <v>78.259459006779409</v>
      </c>
      <c r="AR28">
        <v>0</v>
      </c>
      <c r="AS28">
        <v>0</v>
      </c>
      <c r="AT28">
        <f t="shared" si="27"/>
        <v>1</v>
      </c>
      <c r="AU28">
        <f t="shared" si="28"/>
        <v>0</v>
      </c>
      <c r="AV28">
        <f t="shared" si="29"/>
        <v>52565.523449090739</v>
      </c>
      <c r="AW28" t="s">
        <v>405</v>
      </c>
      <c r="AX28">
        <v>5100.5</v>
      </c>
      <c r="AY28">
        <v>580.05000000000007</v>
      </c>
      <c r="AZ28">
        <v>2506.0700000000002</v>
      </c>
      <c r="BA28">
        <f t="shared" si="30"/>
        <v>0.76854198007238428</v>
      </c>
      <c r="BB28">
        <v>-3.471690147891815</v>
      </c>
      <c r="BC28" t="s">
        <v>459</v>
      </c>
      <c r="BD28">
        <v>5106.51</v>
      </c>
      <c r="BE28">
        <v>771.00229411764712</v>
      </c>
      <c r="BF28">
        <v>2076.35</v>
      </c>
      <c r="BG28">
        <f t="shared" si="31"/>
        <v>0.62867421479151053</v>
      </c>
      <c r="BH28">
        <v>0.5</v>
      </c>
      <c r="BI28">
        <f t="shared" si="32"/>
        <v>84.278928184497076</v>
      </c>
      <c r="BJ28">
        <f t="shared" si="33"/>
        <v>3.5111650247144479</v>
      </c>
      <c r="BK28">
        <f t="shared" si="34"/>
        <v>26.491994499929401</v>
      </c>
      <c r="BL28">
        <f t="shared" si="35"/>
        <v>8.2854105089233243E-2</v>
      </c>
      <c r="BM28">
        <f t="shared" si="36"/>
        <v>0.20695932766633771</v>
      </c>
      <c r="BN28">
        <f t="shared" si="37"/>
        <v>553.53437697109507</v>
      </c>
      <c r="BO28" t="s">
        <v>407</v>
      </c>
      <c r="BP28">
        <v>0</v>
      </c>
      <c r="BQ28">
        <f t="shared" si="38"/>
        <v>553.53437697109507</v>
      </c>
      <c r="BR28">
        <f t="shared" si="39"/>
        <v>0.73340988900180837</v>
      </c>
      <c r="BS28">
        <f t="shared" si="40"/>
        <v>0.85719353422838884</v>
      </c>
      <c r="BT28">
        <f t="shared" si="41"/>
        <v>0.22008305248402565</v>
      </c>
      <c r="BU28">
        <f t="shared" si="42"/>
        <v>0.87238368367463281</v>
      </c>
      <c r="BV28">
        <f t="shared" si="43"/>
        <v>0.22311294794446593</v>
      </c>
      <c r="BW28">
        <f t="shared" si="44"/>
        <v>0.61541462656187707</v>
      </c>
      <c r="BX28">
        <f t="shared" si="45"/>
        <v>0.38458537343812293</v>
      </c>
      <c r="DG28">
        <f t="shared" si="46"/>
        <v>99.992346666666663</v>
      </c>
      <c r="DH28">
        <f t="shared" si="47"/>
        <v>84.278928184497076</v>
      </c>
      <c r="DI28">
        <f t="shared" si="48"/>
        <v>0.84285378825489854</v>
      </c>
      <c r="DJ28">
        <f t="shared" si="49"/>
        <v>0.16510781133195421</v>
      </c>
      <c r="DK28">
        <v>6</v>
      </c>
      <c r="DL28">
        <v>0.5</v>
      </c>
      <c r="DM28" t="s">
        <v>408</v>
      </c>
      <c r="DN28">
        <v>2</v>
      </c>
      <c r="DO28" t="b">
        <v>0</v>
      </c>
      <c r="DP28">
        <v>1783961805.75</v>
      </c>
      <c r="DQ28">
        <v>420.15186666666659</v>
      </c>
      <c r="DR28">
        <v>424.57396666666659</v>
      </c>
      <c r="DS28">
        <v>20.201743333333329</v>
      </c>
      <c r="DT28">
        <v>19.714839999999999</v>
      </c>
      <c r="DU28">
        <v>426.1769333333333</v>
      </c>
      <c r="DV28">
        <v>20.830373333333331</v>
      </c>
      <c r="DW28">
        <v>500.01060000000001</v>
      </c>
      <c r="DX28">
        <v>98.568876666666668</v>
      </c>
      <c r="DY28">
        <v>5.5849486666666677E-2</v>
      </c>
      <c r="DZ28">
        <v>24.516860000000001</v>
      </c>
      <c r="EA28">
        <v>25.06224666666667</v>
      </c>
      <c r="EB28">
        <v>999.9000000000002</v>
      </c>
      <c r="EC28">
        <v>0</v>
      </c>
      <c r="ED28">
        <v>0</v>
      </c>
      <c r="EE28">
        <v>10002</v>
      </c>
      <c r="EF28">
        <v>0</v>
      </c>
      <c r="EG28">
        <v>1459.746333333333</v>
      </c>
      <c r="EH28">
        <v>-4.4220716666666666</v>
      </c>
      <c r="EI28">
        <v>428.81473333333332</v>
      </c>
      <c r="EJ28">
        <v>433.11270000000002</v>
      </c>
      <c r="EK28">
        <v>0.48691099999999998</v>
      </c>
      <c r="EL28">
        <v>424.57396666666659</v>
      </c>
      <c r="EM28">
        <v>19.714839999999999</v>
      </c>
      <c r="EN28">
        <v>1.9912639999999999</v>
      </c>
      <c r="EO28">
        <v>1.9432700000000001</v>
      </c>
      <c r="EP28">
        <v>17.375039999999998</v>
      </c>
      <c r="EQ28">
        <v>16.98949</v>
      </c>
      <c r="ER28">
        <v>99.992346666666663</v>
      </c>
      <c r="ES28">
        <v>0.8998782666666667</v>
      </c>
      <c r="ET28">
        <v>0.10012174</v>
      </c>
      <c r="EU28">
        <v>0</v>
      </c>
      <c r="EV28">
        <v>770.9174999999999</v>
      </c>
      <c r="EW28">
        <v>5.0010700000000003</v>
      </c>
      <c r="EX28">
        <v>4007.4396666666671</v>
      </c>
      <c r="EY28">
        <v>836.46269999999993</v>
      </c>
      <c r="EZ28">
        <v>36.747899999999987</v>
      </c>
      <c r="FA28">
        <v>41.311999999999983</v>
      </c>
      <c r="FB28">
        <v>39</v>
      </c>
      <c r="FC28">
        <v>40.635333333333328</v>
      </c>
      <c r="FD28">
        <v>38.811999999999991</v>
      </c>
      <c r="FE28">
        <v>85.480333333333363</v>
      </c>
      <c r="FF28">
        <v>9.5119999999999987</v>
      </c>
      <c r="FG28">
        <v>0</v>
      </c>
      <c r="FH28">
        <v>182</v>
      </c>
      <c r="FI28">
        <v>0</v>
      </c>
      <c r="FJ28">
        <v>771.00229411764712</v>
      </c>
      <c r="FK28">
        <v>1.011029379445241</v>
      </c>
      <c r="FL28">
        <v>-6.2965703443480763</v>
      </c>
      <c r="FM28">
        <v>4010.1464705882349</v>
      </c>
      <c r="FN28">
        <v>10</v>
      </c>
      <c r="FO28">
        <v>1783961758.5</v>
      </c>
      <c r="FP28" t="s">
        <v>460</v>
      </c>
      <c r="FQ28">
        <v>1783961750</v>
      </c>
      <c r="FR28">
        <v>1783961758.5</v>
      </c>
      <c r="FS28">
        <v>26</v>
      </c>
      <c r="FT28">
        <v>-1.7000000000000001E-2</v>
      </c>
      <c r="FU28">
        <v>-7.0000000000000001E-3</v>
      </c>
      <c r="FV28">
        <v>-6.0439999999999996</v>
      </c>
      <c r="FW28">
        <v>-0.65</v>
      </c>
      <c r="FX28">
        <v>425</v>
      </c>
      <c r="FY28">
        <v>19</v>
      </c>
      <c r="FZ28">
        <v>1.76</v>
      </c>
      <c r="GA28">
        <v>0.27</v>
      </c>
      <c r="GB28">
        <v>420.15029032258059</v>
      </c>
      <c r="GC28">
        <v>-0.34306451612990913</v>
      </c>
      <c r="GD28">
        <v>5.5347694854458077E-2</v>
      </c>
      <c r="GE28">
        <v>-1</v>
      </c>
      <c r="GF28">
        <v>770.94205882352935</v>
      </c>
      <c r="GG28">
        <v>0.43801374997947767</v>
      </c>
      <c r="GH28">
        <v>0.20860911112813871</v>
      </c>
      <c r="GI28">
        <v>1</v>
      </c>
      <c r="GJ28">
        <v>0.49896356097560962</v>
      </c>
      <c r="GK28">
        <v>-0.40736393728222942</v>
      </c>
      <c r="GL28">
        <v>4.8244120410652132E-2</v>
      </c>
      <c r="GM28">
        <v>1</v>
      </c>
      <c r="GN28">
        <v>2</v>
      </c>
      <c r="GO28">
        <v>2</v>
      </c>
      <c r="GP28" t="s">
        <v>423</v>
      </c>
      <c r="GQ28">
        <v>3.1308500000000001</v>
      </c>
      <c r="GR28">
        <v>2.7319</v>
      </c>
      <c r="GS28">
        <v>9.2140299999999994E-2</v>
      </c>
      <c r="GT28">
        <v>9.2553300000000005E-2</v>
      </c>
      <c r="GU28">
        <v>0.10183399999999999</v>
      </c>
      <c r="GV28">
        <v>9.8614499999999994E-2</v>
      </c>
      <c r="GW28">
        <v>22737.3</v>
      </c>
      <c r="GX28">
        <v>30527.5</v>
      </c>
      <c r="GY28">
        <v>27169.200000000001</v>
      </c>
      <c r="GZ28">
        <v>34595.199999999997</v>
      </c>
      <c r="HA28">
        <v>35751.4</v>
      </c>
      <c r="HB28">
        <v>39474.800000000003</v>
      </c>
      <c r="HC28">
        <v>40131.5</v>
      </c>
      <c r="HD28">
        <v>43873.8</v>
      </c>
      <c r="HE28">
        <v>1.9638</v>
      </c>
      <c r="HF28">
        <v>1.7270000000000001</v>
      </c>
      <c r="HG28">
        <v>-0.122488</v>
      </c>
      <c r="HH28">
        <v>0</v>
      </c>
      <c r="HI28">
        <v>27.0822</v>
      </c>
      <c r="HJ28">
        <v>999.9</v>
      </c>
      <c r="HK28">
        <v>47.8</v>
      </c>
      <c r="HL28">
        <v>42.7</v>
      </c>
      <c r="HM28">
        <v>41.472200000000001</v>
      </c>
      <c r="HN28">
        <v>61.725499999999997</v>
      </c>
      <c r="HO28">
        <v>6.5625</v>
      </c>
      <c r="HP28">
        <v>1</v>
      </c>
      <c r="HQ28">
        <v>0.58420700000000003</v>
      </c>
      <c r="HR28">
        <v>6.7425699999999997</v>
      </c>
      <c r="HS28">
        <v>20.119199999999999</v>
      </c>
      <c r="HT28">
        <v>5.2112999999999996</v>
      </c>
      <c r="HU28">
        <v>11.914099999999999</v>
      </c>
      <c r="HV28">
        <v>4.9851999999999999</v>
      </c>
      <c r="HW28">
        <v>3.2707999999999999</v>
      </c>
      <c r="HX28">
        <v>9999</v>
      </c>
      <c r="HY28">
        <v>9999</v>
      </c>
      <c r="HZ28">
        <v>9999</v>
      </c>
      <c r="IA28">
        <v>999.9</v>
      </c>
      <c r="IB28">
        <v>1.8678300000000001</v>
      </c>
      <c r="IC28">
        <v>1.8635299999999999</v>
      </c>
      <c r="ID28">
        <v>1.8629500000000001</v>
      </c>
      <c r="IE28">
        <v>1.86249</v>
      </c>
      <c r="IF28">
        <v>1.86249</v>
      </c>
      <c r="IG28">
        <v>1.8629500000000001</v>
      </c>
      <c r="IH28">
        <v>1.86395</v>
      </c>
      <c r="II28">
        <v>1.86191</v>
      </c>
      <c r="IJ28">
        <v>0</v>
      </c>
      <c r="IK28">
        <v>0</v>
      </c>
      <c r="IL28">
        <v>0</v>
      </c>
      <c r="IM28">
        <v>4.5</v>
      </c>
      <c r="IN28" t="s">
        <v>411</v>
      </c>
      <c r="IO28" t="s">
        <v>412</v>
      </c>
      <c r="IP28" t="s">
        <v>413</v>
      </c>
      <c r="IQ28" t="s">
        <v>414</v>
      </c>
      <c r="IR28" t="s">
        <v>414</v>
      </c>
      <c r="IS28" t="s">
        <v>413</v>
      </c>
      <c r="IT28">
        <v>0</v>
      </c>
      <c r="IU28">
        <v>100</v>
      </c>
      <c r="IV28">
        <v>100</v>
      </c>
      <c r="IW28">
        <v>-6.0250000000000004</v>
      </c>
      <c r="IX28">
        <v>-0.62890000000000001</v>
      </c>
      <c r="IY28">
        <v>-4.0367151863030593</v>
      </c>
      <c r="IZ28">
        <v>-5.6215304933332991E-3</v>
      </c>
      <c r="JA28">
        <v>2.3979931213773931E-6</v>
      </c>
      <c r="JB28">
        <v>-3.6297174575716598E-10</v>
      </c>
      <c r="JC28">
        <v>-0.9361502338867369</v>
      </c>
      <c r="JD28">
        <v>2.7492919904454862E-4</v>
      </c>
      <c r="JE28">
        <v>8.6739513355948885E-4</v>
      </c>
      <c r="JF28">
        <v>-8.2500691715147318E-6</v>
      </c>
      <c r="JG28">
        <v>17</v>
      </c>
      <c r="JH28">
        <v>1914</v>
      </c>
      <c r="JI28">
        <v>2</v>
      </c>
      <c r="JJ28">
        <v>37</v>
      </c>
      <c r="JK28">
        <v>1.1000000000000001</v>
      </c>
      <c r="JL28">
        <v>0.9</v>
      </c>
      <c r="JM28">
        <v>1.10107</v>
      </c>
      <c r="JN28">
        <v>2.5598100000000001</v>
      </c>
      <c r="JO28">
        <v>1.50024</v>
      </c>
      <c r="JP28">
        <v>2.2644000000000002</v>
      </c>
      <c r="JQ28">
        <v>1.4477500000000001</v>
      </c>
      <c r="JR28">
        <v>2.4462899999999999</v>
      </c>
      <c r="JS28">
        <v>47.093200000000003</v>
      </c>
      <c r="JT28">
        <v>23.816099999999999</v>
      </c>
      <c r="JU28">
        <v>18</v>
      </c>
      <c r="JV28">
        <v>543.09900000000005</v>
      </c>
      <c r="JW28">
        <v>404.649</v>
      </c>
      <c r="JX28">
        <v>20.108599999999999</v>
      </c>
      <c r="JY28">
        <v>34.1021</v>
      </c>
      <c r="JZ28">
        <v>30.0014</v>
      </c>
      <c r="KA28">
        <v>34.195799999999998</v>
      </c>
      <c r="KB28">
        <v>34.233199999999997</v>
      </c>
      <c r="KC28">
        <v>22.0304</v>
      </c>
      <c r="KD28">
        <v>51.474600000000002</v>
      </c>
      <c r="KE28">
        <v>0</v>
      </c>
      <c r="KF28">
        <v>20.1098</v>
      </c>
      <c r="KG28">
        <v>424.471</v>
      </c>
      <c r="KH28">
        <v>19.855899999999998</v>
      </c>
      <c r="KI28">
        <v>100.288</v>
      </c>
      <c r="KJ28">
        <v>98.730800000000002</v>
      </c>
    </row>
    <row r="29" spans="1:296" x14ac:dyDescent="0.3">
      <c r="A29">
        <v>13</v>
      </c>
      <c r="B29">
        <v>1783961996</v>
      </c>
      <c r="C29">
        <v>2246.900000095367</v>
      </c>
      <c r="D29" t="s">
        <v>461</v>
      </c>
      <c r="E29" t="s">
        <v>462</v>
      </c>
      <c r="F29">
        <v>15</v>
      </c>
      <c r="H29">
        <v>1783961988</v>
      </c>
      <c r="I29">
        <f t="shared" si="0"/>
        <v>2.8455726390137786E-4</v>
      </c>
      <c r="J29">
        <f t="shared" si="1"/>
        <v>0.28455726390137787</v>
      </c>
      <c r="K29">
        <f t="shared" si="2"/>
        <v>0.56427620449076155</v>
      </c>
      <c r="L29">
        <f t="shared" si="3"/>
        <v>420.01248387096769</v>
      </c>
      <c r="M29">
        <f t="shared" si="4"/>
        <v>372.6724969670492</v>
      </c>
      <c r="N29">
        <f t="shared" si="5"/>
        <v>36.751829213378194</v>
      </c>
      <c r="O29">
        <f t="shared" si="6"/>
        <v>41.420354870129849</v>
      </c>
      <c r="P29">
        <f t="shared" si="7"/>
        <v>2.2969311843763933E-2</v>
      </c>
      <c r="Q29">
        <f t="shared" si="8"/>
        <v>2.9047960888681774</v>
      </c>
      <c r="R29">
        <f t="shared" si="9"/>
        <v>2.2868884335915812E-2</v>
      </c>
      <c r="S29">
        <f t="shared" si="10"/>
        <v>1.4302039003652737E-2</v>
      </c>
      <c r="T29">
        <f t="shared" si="11"/>
        <v>8.2405317170827885</v>
      </c>
      <c r="U29">
        <f t="shared" si="12"/>
        <v>24.387519506151385</v>
      </c>
      <c r="V29">
        <f t="shared" si="13"/>
        <v>24.99699032258065</v>
      </c>
      <c r="W29">
        <f t="shared" si="14"/>
        <v>3.1791070917008621</v>
      </c>
      <c r="X29">
        <f t="shared" si="15"/>
        <v>64.627472111686018</v>
      </c>
      <c r="Y29">
        <f t="shared" si="16"/>
        <v>1.9841404952051138</v>
      </c>
      <c r="Z29">
        <f t="shared" si="17"/>
        <v>3.0701193012411494</v>
      </c>
      <c r="AA29">
        <f t="shared" si="18"/>
        <v>1.1949665964957483</v>
      </c>
      <c r="AB29">
        <f t="shared" si="19"/>
        <v>-12.548975338050763</v>
      </c>
      <c r="AC29">
        <f t="shared" si="20"/>
        <v>-91.427571365353501</v>
      </c>
      <c r="AD29">
        <f t="shared" si="21"/>
        <v>-6.6379183185732433</v>
      </c>
      <c r="AE29">
        <f t="shared" si="22"/>
        <v>-102.37393330489472</v>
      </c>
      <c r="AF29">
        <f t="shared" si="23"/>
        <v>0.56427620449076155</v>
      </c>
      <c r="AG29">
        <f t="shared" si="24"/>
        <v>0.28455726390137787</v>
      </c>
      <c r="AH29">
        <f t="shared" si="25"/>
        <v>0.51370316202111388</v>
      </c>
      <c r="AI29">
        <v>429.30336406104323</v>
      </c>
      <c r="AJ29">
        <v>428.66937575757572</v>
      </c>
      <c r="AK29">
        <v>9.5497840842867574E-4</v>
      </c>
      <c r="AL29">
        <v>67.092354635499362</v>
      </c>
      <c r="AM29">
        <f t="shared" si="26"/>
        <v>0.29427863989022907</v>
      </c>
      <c r="AN29">
        <v>19.784450762021361</v>
      </c>
      <c r="AO29">
        <v>20.129492727272719</v>
      </c>
      <c r="AP29">
        <v>1.575223333086327E-4</v>
      </c>
      <c r="AQ29">
        <v>78.257490444809889</v>
      </c>
      <c r="AR29">
        <v>0</v>
      </c>
      <c r="AS29">
        <v>0</v>
      </c>
      <c r="AT29">
        <f t="shared" si="27"/>
        <v>1</v>
      </c>
      <c r="AU29">
        <f t="shared" si="28"/>
        <v>0</v>
      </c>
      <c r="AV29">
        <f t="shared" si="29"/>
        <v>52587.272894929702</v>
      </c>
      <c r="AW29" t="s">
        <v>405</v>
      </c>
      <c r="AX29">
        <v>5100.5</v>
      </c>
      <c r="AY29">
        <v>580.05000000000007</v>
      </c>
      <c r="AZ29">
        <v>2506.0700000000002</v>
      </c>
      <c r="BA29">
        <f t="shared" si="30"/>
        <v>0.76854198007238428</v>
      </c>
      <c r="BB29">
        <v>-3.471690147891815</v>
      </c>
      <c r="BC29" t="s">
        <v>463</v>
      </c>
      <c r="BD29">
        <v>5102</v>
      </c>
      <c r="BE29">
        <v>750.98664705882345</v>
      </c>
      <c r="BF29">
        <v>2129.21</v>
      </c>
      <c r="BG29">
        <f t="shared" si="31"/>
        <v>0.64729329325955476</v>
      </c>
      <c r="BH29">
        <v>0.5</v>
      </c>
      <c r="BI29">
        <f t="shared" si="32"/>
        <v>42.134768221119295</v>
      </c>
      <c r="BJ29">
        <f t="shared" si="33"/>
        <v>0.56427620449076155</v>
      </c>
      <c r="BK29">
        <f t="shared" si="34"/>
        <v>13.63677644128817</v>
      </c>
      <c r="BL29">
        <f t="shared" si="35"/>
        <v>9.5787078528644209E-2</v>
      </c>
      <c r="BM29">
        <f t="shared" si="36"/>
        <v>0.1769952235805769</v>
      </c>
      <c r="BN29">
        <f t="shared" si="37"/>
        <v>557.22229433542668</v>
      </c>
      <c r="BO29" t="s">
        <v>407</v>
      </c>
      <c r="BP29">
        <v>0</v>
      </c>
      <c r="BQ29">
        <f t="shared" si="38"/>
        <v>557.22229433542668</v>
      </c>
      <c r="BR29">
        <f t="shared" si="39"/>
        <v>0.73829622520304405</v>
      </c>
      <c r="BS29">
        <f t="shared" si="40"/>
        <v>0.87673926963602999</v>
      </c>
      <c r="BT29">
        <f t="shared" si="41"/>
        <v>0.19337580812734043</v>
      </c>
      <c r="BU29">
        <f t="shared" si="42"/>
        <v>0.88965849424280041</v>
      </c>
      <c r="BV29">
        <f t="shared" si="43"/>
        <v>0.19566775007528486</v>
      </c>
      <c r="BW29">
        <f t="shared" si="44"/>
        <v>0.65052909965027461</v>
      </c>
      <c r="BX29">
        <f t="shared" si="45"/>
        <v>0.34947090034972539</v>
      </c>
      <c r="DG29">
        <f t="shared" si="46"/>
        <v>49.999706451612923</v>
      </c>
      <c r="DH29">
        <f t="shared" si="47"/>
        <v>42.134768221119295</v>
      </c>
      <c r="DI29">
        <f t="shared" si="48"/>
        <v>0.84270031188873273</v>
      </c>
      <c r="DJ29">
        <f t="shared" si="49"/>
        <v>0.16481160194525421</v>
      </c>
      <c r="DK29">
        <v>6</v>
      </c>
      <c r="DL29">
        <v>0.5</v>
      </c>
      <c r="DM29" t="s">
        <v>408</v>
      </c>
      <c r="DN29">
        <v>2</v>
      </c>
      <c r="DO29" t="b">
        <v>0</v>
      </c>
      <c r="DP29">
        <v>1783961988</v>
      </c>
      <c r="DQ29">
        <v>420.01248387096769</v>
      </c>
      <c r="DR29">
        <v>420.83303225806441</v>
      </c>
      <c r="DS29">
        <v>20.11966774193548</v>
      </c>
      <c r="DT29">
        <v>19.78507096774193</v>
      </c>
      <c r="DU29">
        <v>426.10077419354832</v>
      </c>
      <c r="DV29">
        <v>20.76181935483871</v>
      </c>
      <c r="DW29">
        <v>500.00254838709668</v>
      </c>
      <c r="DX29">
        <v>98.560661290322585</v>
      </c>
      <c r="DY29">
        <v>5.6300016129032258E-2</v>
      </c>
      <c r="DZ29">
        <v>24.413174193548389</v>
      </c>
      <c r="EA29">
        <v>24.99699032258065</v>
      </c>
      <c r="EB29">
        <v>999.90000000000032</v>
      </c>
      <c r="EC29">
        <v>0</v>
      </c>
      <c r="ED29">
        <v>0</v>
      </c>
      <c r="EE29">
        <v>10003.548387096769</v>
      </c>
      <c r="EF29">
        <v>0</v>
      </c>
      <c r="EG29">
        <v>1701.881967741936</v>
      </c>
      <c r="EH29">
        <v>-0.82049567741935481</v>
      </c>
      <c r="EI29">
        <v>428.6365806451613</v>
      </c>
      <c r="EJ29">
        <v>429.32738709677432</v>
      </c>
      <c r="EK29">
        <v>0.33459845161290308</v>
      </c>
      <c r="EL29">
        <v>420.83303225806441</v>
      </c>
      <c r="EM29">
        <v>19.78507096774193</v>
      </c>
      <c r="EN29">
        <v>1.98300870967742</v>
      </c>
      <c r="EO29">
        <v>1.950030322580645</v>
      </c>
      <c r="EP29">
        <v>17.309316129032261</v>
      </c>
      <c r="EQ29">
        <v>17.04432580645161</v>
      </c>
      <c r="ER29">
        <v>49.999706451612923</v>
      </c>
      <c r="ES29">
        <v>0.90000348387096785</v>
      </c>
      <c r="ET29">
        <v>9.9996751612903209E-2</v>
      </c>
      <c r="EU29">
        <v>0</v>
      </c>
      <c r="EV29">
        <v>751.04587096774208</v>
      </c>
      <c r="EW29">
        <v>5.0010700000000003</v>
      </c>
      <c r="EX29">
        <v>3688.7816129032258</v>
      </c>
      <c r="EY29">
        <v>396.26358064516143</v>
      </c>
      <c r="EZ29">
        <v>36.776000000000003</v>
      </c>
      <c r="FA29">
        <v>41.670999999999992</v>
      </c>
      <c r="FB29">
        <v>39.125</v>
      </c>
      <c r="FC29">
        <v>40.995935483870973</v>
      </c>
      <c r="FD29">
        <v>38.923000000000002</v>
      </c>
      <c r="FE29">
        <v>40.499677419354832</v>
      </c>
      <c r="FF29">
        <v>4.500645161290322</v>
      </c>
      <c r="FG29">
        <v>0</v>
      </c>
      <c r="FH29">
        <v>182.20000004768369</v>
      </c>
      <c r="FI29">
        <v>0</v>
      </c>
      <c r="FJ29">
        <v>750.98664705882345</v>
      </c>
      <c r="FK29">
        <v>-0.45245097557365482</v>
      </c>
      <c r="FL29">
        <v>-441.80391720067098</v>
      </c>
      <c r="FM29">
        <v>3704.484705882353</v>
      </c>
      <c r="FN29">
        <v>10</v>
      </c>
      <c r="FO29">
        <v>1783961926.5</v>
      </c>
      <c r="FP29" t="s">
        <v>464</v>
      </c>
      <c r="FQ29">
        <v>1783961926.5</v>
      </c>
      <c r="FR29">
        <v>1783961926</v>
      </c>
      <c r="FS29">
        <v>27</v>
      </c>
      <c r="FT29">
        <v>-6.3E-2</v>
      </c>
      <c r="FU29">
        <v>-1.2E-2</v>
      </c>
      <c r="FV29">
        <v>-6.0919999999999996</v>
      </c>
      <c r="FW29">
        <v>-0.65400000000000003</v>
      </c>
      <c r="FX29">
        <v>421</v>
      </c>
      <c r="FY29">
        <v>20</v>
      </c>
      <c r="FZ29">
        <v>2.0099999999999998</v>
      </c>
      <c r="GA29">
        <v>0.54</v>
      </c>
      <c r="GB29">
        <v>420.01022580645161</v>
      </c>
      <c r="GC29">
        <v>0.13219354838548489</v>
      </c>
      <c r="GD29">
        <v>4.5824144697449318E-2</v>
      </c>
      <c r="GE29">
        <v>-1</v>
      </c>
      <c r="GF29">
        <v>751.10108823529401</v>
      </c>
      <c r="GG29">
        <v>-1.1150343800068301</v>
      </c>
      <c r="GH29">
        <v>0.23951953962378389</v>
      </c>
      <c r="GI29">
        <v>1</v>
      </c>
      <c r="GJ29">
        <v>0.32697582926829272</v>
      </c>
      <c r="GK29">
        <v>0.14560521951219529</v>
      </c>
      <c r="GL29">
        <v>1.511616526075191E-2</v>
      </c>
      <c r="GM29">
        <v>1</v>
      </c>
      <c r="GN29">
        <v>2</v>
      </c>
      <c r="GO29">
        <v>2</v>
      </c>
      <c r="GP29" t="s">
        <v>423</v>
      </c>
      <c r="GQ29">
        <v>3.1309999999999998</v>
      </c>
      <c r="GR29">
        <v>2.7325900000000001</v>
      </c>
      <c r="GS29">
        <v>9.2057899999999998E-2</v>
      </c>
      <c r="GT29">
        <v>9.1920299999999996E-2</v>
      </c>
      <c r="GU29">
        <v>0.101578</v>
      </c>
      <c r="GV29">
        <v>9.8555400000000001E-2</v>
      </c>
      <c r="GW29">
        <v>22729.5</v>
      </c>
      <c r="GX29">
        <v>30532.7</v>
      </c>
      <c r="GY29">
        <v>27158.7</v>
      </c>
      <c r="GZ29">
        <v>34579</v>
      </c>
      <c r="HA29">
        <v>35749.800000000003</v>
      </c>
      <c r="HB29">
        <v>39462.199999999997</v>
      </c>
      <c r="HC29">
        <v>40117.1</v>
      </c>
      <c r="HD29">
        <v>43856.5</v>
      </c>
      <c r="HE29">
        <v>1.9603999999999999</v>
      </c>
      <c r="HF29">
        <v>1.7232000000000001</v>
      </c>
      <c r="HG29">
        <v>-0.12850800000000001</v>
      </c>
      <c r="HH29">
        <v>0</v>
      </c>
      <c r="HI29">
        <v>27.1052</v>
      </c>
      <c r="HJ29">
        <v>999.9</v>
      </c>
      <c r="HK29">
        <v>47.7</v>
      </c>
      <c r="HL29">
        <v>42.7</v>
      </c>
      <c r="HM29">
        <v>41.389600000000002</v>
      </c>
      <c r="HN29">
        <v>61.815600000000003</v>
      </c>
      <c r="HO29">
        <v>6.3742000000000001</v>
      </c>
      <c r="HP29">
        <v>1</v>
      </c>
      <c r="HQ29">
        <v>0.607012</v>
      </c>
      <c r="HR29">
        <v>6.2489100000000004</v>
      </c>
      <c r="HS29">
        <v>20.1374</v>
      </c>
      <c r="HT29">
        <v>5.2065099999999997</v>
      </c>
      <c r="HU29">
        <v>11.914099999999999</v>
      </c>
      <c r="HV29">
        <v>4.9851999999999999</v>
      </c>
      <c r="HW29">
        <v>3.2709999999999999</v>
      </c>
      <c r="HX29">
        <v>9999</v>
      </c>
      <c r="HY29">
        <v>9999</v>
      </c>
      <c r="HZ29">
        <v>9999</v>
      </c>
      <c r="IA29">
        <v>999.9</v>
      </c>
      <c r="IB29">
        <v>1.86768</v>
      </c>
      <c r="IC29">
        <v>1.8633999999999999</v>
      </c>
      <c r="ID29">
        <v>1.8629199999999999</v>
      </c>
      <c r="IE29">
        <v>1.86246</v>
      </c>
      <c r="IF29">
        <v>1.86249</v>
      </c>
      <c r="IG29">
        <v>1.8629500000000001</v>
      </c>
      <c r="IH29">
        <v>1.8638600000000001</v>
      </c>
      <c r="II29">
        <v>1.86185</v>
      </c>
      <c r="IJ29">
        <v>0</v>
      </c>
      <c r="IK29">
        <v>0</v>
      </c>
      <c r="IL29">
        <v>0</v>
      </c>
      <c r="IM29">
        <v>4.5</v>
      </c>
      <c r="IN29" t="s">
        <v>411</v>
      </c>
      <c r="IO29" t="s">
        <v>412</v>
      </c>
      <c r="IP29" t="s">
        <v>413</v>
      </c>
      <c r="IQ29" t="s">
        <v>414</v>
      </c>
      <c r="IR29" t="s">
        <v>414</v>
      </c>
      <c r="IS29" t="s">
        <v>413</v>
      </c>
      <c r="IT29">
        <v>0</v>
      </c>
      <c r="IU29">
        <v>100</v>
      </c>
      <c r="IV29">
        <v>100</v>
      </c>
      <c r="IW29">
        <v>-6.0880000000000001</v>
      </c>
      <c r="IX29">
        <v>-0.64200000000000002</v>
      </c>
      <c r="IY29">
        <v>-4.1001228894868014</v>
      </c>
      <c r="IZ29">
        <v>-5.6215304933332991E-3</v>
      </c>
      <c r="JA29">
        <v>2.3979931213773931E-6</v>
      </c>
      <c r="JB29">
        <v>-3.6297174575716598E-10</v>
      </c>
      <c r="JC29">
        <v>-0.94790945440315011</v>
      </c>
      <c r="JD29">
        <v>2.7492919904454862E-4</v>
      </c>
      <c r="JE29">
        <v>8.6739513355948885E-4</v>
      </c>
      <c r="JF29">
        <v>-8.2500691715147318E-6</v>
      </c>
      <c r="JG29">
        <v>17</v>
      </c>
      <c r="JH29">
        <v>1914</v>
      </c>
      <c r="JI29">
        <v>2</v>
      </c>
      <c r="JJ29">
        <v>37</v>
      </c>
      <c r="JK29">
        <v>1.2</v>
      </c>
      <c r="JL29">
        <v>1.2</v>
      </c>
      <c r="JM29">
        <v>1.09375</v>
      </c>
      <c r="JN29">
        <v>2.5585900000000001</v>
      </c>
      <c r="JO29">
        <v>1.50024</v>
      </c>
      <c r="JP29">
        <v>2.2644000000000002</v>
      </c>
      <c r="JQ29">
        <v>1.4477500000000001</v>
      </c>
      <c r="JR29">
        <v>2.4633799999999999</v>
      </c>
      <c r="JS29">
        <v>47.271999999999998</v>
      </c>
      <c r="JT29">
        <v>23.912400000000002</v>
      </c>
      <c r="JU29">
        <v>18</v>
      </c>
      <c r="JV29">
        <v>542.83399999999995</v>
      </c>
      <c r="JW29">
        <v>403.87200000000001</v>
      </c>
      <c r="JX29">
        <v>20.2925</v>
      </c>
      <c r="JY29">
        <v>34.402799999999999</v>
      </c>
      <c r="JZ29">
        <v>30.001000000000001</v>
      </c>
      <c r="KA29">
        <v>34.440800000000003</v>
      </c>
      <c r="KB29">
        <v>34.467599999999997</v>
      </c>
      <c r="KC29">
        <v>21.876899999999999</v>
      </c>
      <c r="KD29">
        <v>51.543100000000003</v>
      </c>
      <c r="KE29">
        <v>0</v>
      </c>
      <c r="KF29">
        <v>20.290600000000001</v>
      </c>
      <c r="KG29">
        <v>420.86500000000001</v>
      </c>
      <c r="KH29">
        <v>19.870799999999999</v>
      </c>
      <c r="KI29">
        <v>100.251</v>
      </c>
      <c r="KJ29">
        <v>98.688599999999994</v>
      </c>
    </row>
    <row r="30" spans="1:296" x14ac:dyDescent="0.3">
      <c r="A30">
        <v>14</v>
      </c>
      <c r="B30">
        <v>1783962178.5</v>
      </c>
      <c r="C30">
        <v>2429.400000095367</v>
      </c>
      <c r="D30" t="s">
        <v>465</v>
      </c>
      <c r="E30" t="s">
        <v>466</v>
      </c>
      <c r="F30">
        <v>15</v>
      </c>
      <c r="H30">
        <v>1783962170.75</v>
      </c>
      <c r="I30">
        <f t="shared" si="0"/>
        <v>2.0231203339167613E-4</v>
      </c>
      <c r="J30">
        <f t="shared" si="1"/>
        <v>0.20231203339167614</v>
      </c>
      <c r="K30">
        <f t="shared" si="2"/>
        <v>-2.5855627598635023</v>
      </c>
      <c r="L30">
        <f t="shared" si="3"/>
        <v>420.07363333333331</v>
      </c>
      <c r="M30">
        <f t="shared" si="4"/>
        <v>648.30802551707961</v>
      </c>
      <c r="N30">
        <f t="shared" si="5"/>
        <v>63.936141132951661</v>
      </c>
      <c r="O30">
        <f t="shared" si="6"/>
        <v>41.427664088548624</v>
      </c>
      <c r="P30">
        <f t="shared" si="7"/>
        <v>1.7417587687903087E-2</v>
      </c>
      <c r="Q30">
        <f t="shared" si="8"/>
        <v>2.9034435480837968</v>
      </c>
      <c r="R30">
        <f t="shared" si="9"/>
        <v>1.735974745698168E-2</v>
      </c>
      <c r="S30">
        <f t="shared" si="10"/>
        <v>1.0855022782669553E-2</v>
      </c>
      <c r="T30">
        <f t="shared" si="11"/>
        <v>1.5966703903835998E-4</v>
      </c>
      <c r="U30">
        <f t="shared" si="12"/>
        <v>24.507120596182983</v>
      </c>
      <c r="V30">
        <f t="shared" si="13"/>
        <v>24.831103333333331</v>
      </c>
      <c r="W30">
        <f t="shared" si="14"/>
        <v>3.1478004551009144</v>
      </c>
      <c r="X30">
        <f t="shared" si="15"/>
        <v>65.497691013540845</v>
      </c>
      <c r="Y30">
        <f t="shared" si="16"/>
        <v>2.0286375135495058</v>
      </c>
      <c r="Z30">
        <f t="shared" si="17"/>
        <v>3.0972656931220826</v>
      </c>
      <c r="AA30">
        <f t="shared" si="18"/>
        <v>1.1191629415514086</v>
      </c>
      <c r="AB30">
        <f t="shared" si="19"/>
        <v>-8.9219606725729168</v>
      </c>
      <c r="AC30">
        <f t="shared" si="20"/>
        <v>-42.394706689152144</v>
      </c>
      <c r="AD30">
        <f t="shared" si="21"/>
        <v>-3.0791238530576921</v>
      </c>
      <c r="AE30">
        <f t="shared" si="22"/>
        <v>-54.395631547743719</v>
      </c>
      <c r="AF30">
        <f t="shared" si="23"/>
        <v>-2.5855627598635023</v>
      </c>
      <c r="AG30">
        <f t="shared" si="24"/>
        <v>0.20231203339167614</v>
      </c>
      <c r="AH30">
        <f t="shared" si="25"/>
        <v>-2.5500271418029459</v>
      </c>
      <c r="AI30">
        <v>425.59059280051861</v>
      </c>
      <c r="AJ30">
        <v>428.8316181818181</v>
      </c>
      <c r="AK30">
        <v>-2.2038693399105299E-2</v>
      </c>
      <c r="AL30">
        <v>67.092354635499362</v>
      </c>
      <c r="AM30">
        <f t="shared" si="26"/>
        <v>0.2556844226171896</v>
      </c>
      <c r="AN30">
        <v>20.30000169856029</v>
      </c>
      <c r="AO30">
        <v>20.598883636363631</v>
      </c>
      <c r="AP30">
        <v>2.5565325439892288E-4</v>
      </c>
      <c r="AQ30">
        <v>78.257490444809889</v>
      </c>
      <c r="AR30">
        <v>0</v>
      </c>
      <c r="AS30">
        <v>0</v>
      </c>
      <c r="AT30">
        <f t="shared" si="27"/>
        <v>1</v>
      </c>
      <c r="AU30">
        <f t="shared" si="28"/>
        <v>0</v>
      </c>
      <c r="AV30">
        <f t="shared" si="29"/>
        <v>52522.338168685259</v>
      </c>
      <c r="AW30" t="s">
        <v>467</v>
      </c>
      <c r="AX30">
        <v>5097.1400000000003</v>
      </c>
      <c r="AY30">
        <v>605.0617647058823</v>
      </c>
      <c r="AZ30">
        <v>2408.86</v>
      </c>
      <c r="BA30">
        <f t="shared" si="30"/>
        <v>0.74881821081097188</v>
      </c>
      <c r="BB30">
        <v>-2.5855627598635031</v>
      </c>
      <c r="BC30" t="s">
        <v>407</v>
      </c>
      <c r="BD30" t="s">
        <v>407</v>
      </c>
      <c r="BE30">
        <v>0</v>
      </c>
      <c r="BF30">
        <v>0</v>
      </c>
      <c r="BG30" t="e">
        <f t="shared" si="31"/>
        <v>#DIV/0!</v>
      </c>
      <c r="BH30">
        <v>0.5</v>
      </c>
      <c r="BI30">
        <f t="shared" si="32"/>
        <v>8.4035283704399992E-4</v>
      </c>
      <c r="BJ30">
        <f t="shared" si="33"/>
        <v>-2.5855627598635023</v>
      </c>
      <c r="BK30" t="e">
        <f t="shared" si="34"/>
        <v>#DIV/0!</v>
      </c>
      <c r="BL30">
        <f t="shared" si="35"/>
        <v>1.056911312186861E-12</v>
      </c>
      <c r="BM30" t="e">
        <f t="shared" si="36"/>
        <v>#DIV/0!</v>
      </c>
      <c r="BN30" t="e">
        <f t="shared" si="37"/>
        <v>#DIV/0!</v>
      </c>
      <c r="BO30" t="s">
        <v>407</v>
      </c>
      <c r="BP30">
        <v>0</v>
      </c>
      <c r="BQ30" t="e">
        <f t="shared" si="38"/>
        <v>#DIV/0!</v>
      </c>
      <c r="BR30" t="e">
        <f t="shared" si="39"/>
        <v>#DIV/0!</v>
      </c>
      <c r="BS30" t="e">
        <f t="shared" si="40"/>
        <v>#DIV/0!</v>
      </c>
      <c r="BT30" t="e">
        <f t="shared" si="41"/>
        <v>#DIV/0!</v>
      </c>
      <c r="BU30">
        <f t="shared" si="42"/>
        <v>0</v>
      </c>
      <c r="BV30">
        <f t="shared" si="43"/>
        <v>1.3354376076364352</v>
      </c>
      <c r="BW30" t="e">
        <f t="shared" si="44"/>
        <v>#DIV/0!</v>
      </c>
      <c r="BX30" t="e">
        <f t="shared" si="45"/>
        <v>#DIV/0!</v>
      </c>
      <c r="DG30">
        <f t="shared" si="46"/>
        <v>1.00021E-2</v>
      </c>
      <c r="DH30">
        <f t="shared" si="47"/>
        <v>8.4035283704399992E-4</v>
      </c>
      <c r="DI30">
        <f t="shared" si="48"/>
        <v>8.4017639999999991E-2</v>
      </c>
      <c r="DJ30">
        <f t="shared" si="49"/>
        <v>1.5963351599999998E-2</v>
      </c>
      <c r="DK30">
        <v>6</v>
      </c>
      <c r="DL30">
        <v>0.5</v>
      </c>
      <c r="DM30" t="s">
        <v>408</v>
      </c>
      <c r="DN30">
        <v>2</v>
      </c>
      <c r="DO30" t="b">
        <v>0</v>
      </c>
      <c r="DP30">
        <v>1783962170.75</v>
      </c>
      <c r="DQ30">
        <v>420.07363333333331</v>
      </c>
      <c r="DR30">
        <v>417.07319999999999</v>
      </c>
      <c r="DS30">
        <v>20.57024333333333</v>
      </c>
      <c r="DT30">
        <v>20.332483333333339</v>
      </c>
      <c r="DU30">
        <v>426.13063333333332</v>
      </c>
      <c r="DV30">
        <v>21.21824333333333</v>
      </c>
      <c r="DW30">
        <v>500.04313333333329</v>
      </c>
      <c r="DX30">
        <v>98.565280000000016</v>
      </c>
      <c r="DY30">
        <v>5.4725640000000013E-2</v>
      </c>
      <c r="DZ30">
        <v>24.560263333333339</v>
      </c>
      <c r="EA30">
        <v>24.831103333333331</v>
      </c>
      <c r="EB30">
        <v>999.9000000000002</v>
      </c>
      <c r="EC30">
        <v>0</v>
      </c>
      <c r="ED30">
        <v>0</v>
      </c>
      <c r="EE30">
        <v>9995.3333333333339</v>
      </c>
      <c r="EF30">
        <v>0</v>
      </c>
      <c r="EG30">
        <v>656.24583333333328</v>
      </c>
      <c r="EH30">
        <v>2.969117666666667</v>
      </c>
      <c r="EI30">
        <v>428.87183333333343</v>
      </c>
      <c r="EJ30">
        <v>425.72936666666658</v>
      </c>
      <c r="EK30">
        <v>0.25538253333333327</v>
      </c>
      <c r="EL30">
        <v>417.07319999999999</v>
      </c>
      <c r="EM30">
        <v>20.332483333333339</v>
      </c>
      <c r="EN30">
        <v>2.0292479999999999</v>
      </c>
      <c r="EO30">
        <v>2.0040766666666672</v>
      </c>
      <c r="EP30">
        <v>17.674420000000001</v>
      </c>
      <c r="EQ30">
        <v>17.476563333333331</v>
      </c>
      <c r="ER30">
        <v>1.00021E-2</v>
      </c>
      <c r="ES30">
        <v>0</v>
      </c>
      <c r="ET30">
        <v>0</v>
      </c>
      <c r="EU30">
        <v>0</v>
      </c>
      <c r="EV30">
        <v>606.15833333333342</v>
      </c>
      <c r="EW30">
        <v>1.00021E-2</v>
      </c>
      <c r="EX30">
        <v>1241.7983333333329</v>
      </c>
      <c r="EY30">
        <v>0.72166666666666657</v>
      </c>
      <c r="EZ30">
        <v>36.170533333333331</v>
      </c>
      <c r="FA30">
        <v>40.537266666666667</v>
      </c>
      <c r="FB30">
        <v>38.582999999999977</v>
      </c>
      <c r="FC30">
        <v>40.08306666666666</v>
      </c>
      <c r="FD30">
        <v>38.166333333333327</v>
      </c>
      <c r="FE30">
        <v>0</v>
      </c>
      <c r="FF30">
        <v>0</v>
      </c>
      <c r="FG30">
        <v>0</v>
      </c>
      <c r="FH30">
        <v>181.9000000953674</v>
      </c>
      <c r="FI30">
        <v>0</v>
      </c>
      <c r="FJ30">
        <v>605.0617647058823</v>
      </c>
      <c r="FK30">
        <v>17.4387257916324</v>
      </c>
      <c r="FL30">
        <v>6473.5171686369431</v>
      </c>
      <c r="FM30">
        <v>1500.7264705882351</v>
      </c>
      <c r="FN30">
        <v>10</v>
      </c>
      <c r="FO30">
        <v>1783962195</v>
      </c>
      <c r="FP30" t="s">
        <v>468</v>
      </c>
      <c r="FQ30">
        <v>1783962193.5</v>
      </c>
      <c r="FR30">
        <v>1783962195</v>
      </c>
      <c r="FS30">
        <v>28</v>
      </c>
      <c r="FT30">
        <v>0.02</v>
      </c>
      <c r="FU30">
        <v>-8.9999999999999993E-3</v>
      </c>
      <c r="FV30">
        <v>-6.0570000000000004</v>
      </c>
      <c r="FW30">
        <v>-0.64800000000000002</v>
      </c>
      <c r="FX30">
        <v>417</v>
      </c>
      <c r="FY30">
        <v>20</v>
      </c>
      <c r="FZ30">
        <v>1.51</v>
      </c>
      <c r="GA30">
        <v>0.8</v>
      </c>
      <c r="GB30">
        <v>420.04460000000012</v>
      </c>
      <c r="GC30">
        <v>-5.2271412681001508E-2</v>
      </c>
      <c r="GD30">
        <v>4.9142378181494237E-2</v>
      </c>
      <c r="GE30">
        <v>-1</v>
      </c>
      <c r="GF30">
        <v>606.34558823529414</v>
      </c>
      <c r="GG30">
        <v>-11.452253576533661</v>
      </c>
      <c r="GH30">
        <v>4.5165930621734569</v>
      </c>
      <c r="GI30">
        <v>0</v>
      </c>
      <c r="GJ30">
        <v>0.23903654999999999</v>
      </c>
      <c r="GK30">
        <v>0.34664886303939962</v>
      </c>
      <c r="GL30">
        <v>3.8167851763591568E-2</v>
      </c>
      <c r="GM30">
        <v>1</v>
      </c>
      <c r="GN30">
        <v>1</v>
      </c>
      <c r="GO30">
        <v>2</v>
      </c>
      <c r="GP30" t="s">
        <v>410</v>
      </c>
      <c r="GQ30">
        <v>3.1303700000000001</v>
      </c>
      <c r="GR30">
        <v>2.7309199999999998</v>
      </c>
      <c r="GS30">
        <v>9.2089699999999997E-2</v>
      </c>
      <c r="GT30">
        <v>9.1322200000000006E-2</v>
      </c>
      <c r="GU30">
        <v>0.103225</v>
      </c>
      <c r="GV30">
        <v>0.100218</v>
      </c>
      <c r="GW30">
        <v>22737.3</v>
      </c>
      <c r="GX30">
        <v>30562.3</v>
      </c>
      <c r="GY30">
        <v>27168</v>
      </c>
      <c r="GZ30">
        <v>34588.199999999997</v>
      </c>
      <c r="HA30">
        <v>35695.300000000003</v>
      </c>
      <c r="HB30">
        <v>39398.9</v>
      </c>
      <c r="HC30">
        <v>40130.400000000001</v>
      </c>
      <c r="HD30">
        <v>43867.5</v>
      </c>
      <c r="HE30">
        <v>1.9630000000000001</v>
      </c>
      <c r="HF30">
        <v>1.7267999999999999</v>
      </c>
      <c r="HG30">
        <v>-8.4191600000000005E-2</v>
      </c>
      <c r="HH30">
        <v>0</v>
      </c>
      <c r="HI30">
        <v>26.2102</v>
      </c>
      <c r="HJ30">
        <v>999.9</v>
      </c>
      <c r="HK30">
        <v>47.5</v>
      </c>
      <c r="HL30">
        <v>42.7</v>
      </c>
      <c r="HM30">
        <v>41.215899999999998</v>
      </c>
      <c r="HN30">
        <v>61.0456</v>
      </c>
      <c r="HO30">
        <v>6.0056099999999999</v>
      </c>
      <c r="HP30">
        <v>1</v>
      </c>
      <c r="HQ30">
        <v>0.57012200000000002</v>
      </c>
      <c r="HR30">
        <v>3.1965599999999998</v>
      </c>
      <c r="HS30">
        <v>20.221</v>
      </c>
      <c r="HT30">
        <v>5.2088999999999999</v>
      </c>
      <c r="HU30">
        <v>11.908099999999999</v>
      </c>
      <c r="HV30">
        <v>4.9855999999999998</v>
      </c>
      <c r="HW30">
        <v>3.2709999999999999</v>
      </c>
      <c r="HX30">
        <v>9999</v>
      </c>
      <c r="HY30">
        <v>9999</v>
      </c>
      <c r="HZ30">
        <v>9999</v>
      </c>
      <c r="IA30">
        <v>999.9</v>
      </c>
      <c r="IB30">
        <v>1.86768</v>
      </c>
      <c r="IC30">
        <v>1.8633999999999999</v>
      </c>
      <c r="ID30">
        <v>1.8628899999999999</v>
      </c>
      <c r="IE30">
        <v>1.8623400000000001</v>
      </c>
      <c r="IF30">
        <v>1.8624000000000001</v>
      </c>
      <c r="IG30">
        <v>1.8629199999999999</v>
      </c>
      <c r="IH30">
        <v>1.8638600000000001</v>
      </c>
      <c r="II30">
        <v>1.86175</v>
      </c>
      <c r="IJ30">
        <v>0</v>
      </c>
      <c r="IK30">
        <v>0</v>
      </c>
      <c r="IL30">
        <v>0</v>
      </c>
      <c r="IM30">
        <v>4.5</v>
      </c>
      <c r="IN30" t="s">
        <v>411</v>
      </c>
      <c r="IO30" t="s">
        <v>412</v>
      </c>
      <c r="IP30" t="s">
        <v>413</v>
      </c>
      <c r="IQ30" t="s">
        <v>414</v>
      </c>
      <c r="IR30" t="s">
        <v>414</v>
      </c>
      <c r="IS30" t="s">
        <v>413</v>
      </c>
      <c r="IT30">
        <v>0</v>
      </c>
      <c r="IU30">
        <v>100</v>
      </c>
      <c r="IV30">
        <v>100</v>
      </c>
      <c r="IW30">
        <v>-6.0570000000000004</v>
      </c>
      <c r="IX30">
        <v>-0.64800000000000002</v>
      </c>
      <c r="IY30">
        <v>-4.1001228894868014</v>
      </c>
      <c r="IZ30">
        <v>-5.6215304933332991E-3</v>
      </c>
      <c r="JA30">
        <v>2.3979931213773931E-6</v>
      </c>
      <c r="JB30">
        <v>-3.6297174575716598E-10</v>
      </c>
      <c r="JC30">
        <v>-0.94790945440315011</v>
      </c>
      <c r="JD30">
        <v>2.7492919904454862E-4</v>
      </c>
      <c r="JE30">
        <v>8.6739513355948885E-4</v>
      </c>
      <c r="JF30">
        <v>-8.2500691715147318E-6</v>
      </c>
      <c r="JG30">
        <v>17</v>
      </c>
      <c r="JH30">
        <v>1914</v>
      </c>
      <c r="JI30">
        <v>2</v>
      </c>
      <c r="JJ30">
        <v>37</v>
      </c>
      <c r="JK30">
        <v>4.2</v>
      </c>
      <c r="JL30">
        <v>4.2</v>
      </c>
      <c r="JM30">
        <v>1.08521</v>
      </c>
      <c r="JN30">
        <v>2.5598100000000001</v>
      </c>
      <c r="JO30">
        <v>1.50024</v>
      </c>
      <c r="JP30">
        <v>2.2644000000000002</v>
      </c>
      <c r="JQ30">
        <v>1.4477500000000001</v>
      </c>
      <c r="JR30">
        <v>2.3742700000000001</v>
      </c>
      <c r="JS30">
        <v>47.004100000000001</v>
      </c>
      <c r="JT30">
        <v>23.947399999999998</v>
      </c>
      <c r="JU30">
        <v>18</v>
      </c>
      <c r="JV30">
        <v>543.77099999999996</v>
      </c>
      <c r="JW30">
        <v>405.315</v>
      </c>
      <c r="JX30">
        <v>22.040600000000001</v>
      </c>
      <c r="JY30">
        <v>34.188499999999998</v>
      </c>
      <c r="JZ30">
        <v>29.9984</v>
      </c>
      <c r="KA30">
        <v>34.342500000000001</v>
      </c>
      <c r="KB30">
        <v>34.357700000000001</v>
      </c>
      <c r="KC30">
        <v>21.7258</v>
      </c>
      <c r="KD30">
        <v>50.627699999999997</v>
      </c>
      <c r="KE30">
        <v>0</v>
      </c>
      <c r="KF30">
        <v>22.127300000000002</v>
      </c>
      <c r="KG30">
        <v>417.11500000000001</v>
      </c>
      <c r="KH30">
        <v>20.1568</v>
      </c>
      <c r="KI30">
        <v>100.285</v>
      </c>
      <c r="KJ30">
        <v>98.713999999999999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A0586-6468-42CD-AC33-CC8473D85EC4}">
  <dimension ref="A2:KJ29"/>
  <sheetViews>
    <sheetView workbookViewId="0">
      <selection activeCell="K35" sqref="K35"/>
    </sheetView>
  </sheetViews>
  <sheetFormatPr defaultRowHeight="14.4" x14ac:dyDescent="0.3"/>
  <sheetData>
    <row r="2" spans="1:296" x14ac:dyDescent="0.3">
      <c r="A2" t="s">
        <v>0</v>
      </c>
      <c r="B2" t="s">
        <v>1</v>
      </c>
      <c r="C2" t="s">
        <v>2</v>
      </c>
    </row>
    <row r="3" spans="1:296" x14ac:dyDescent="0.3">
      <c r="B3" t="s">
        <v>3</v>
      </c>
      <c r="C3">
        <v>21</v>
      </c>
    </row>
    <row r="4" spans="1:296" x14ac:dyDescent="0.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</row>
    <row r="5" spans="1:296" x14ac:dyDescent="0.3">
      <c r="B5" t="s">
        <v>15</v>
      </c>
      <c r="C5" t="s">
        <v>16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96" x14ac:dyDescent="0.3">
      <c r="A6" t="s">
        <v>17</v>
      </c>
      <c r="B6" t="s">
        <v>18</v>
      </c>
      <c r="C6" t="s">
        <v>19</v>
      </c>
      <c r="D6" t="s">
        <v>20</v>
      </c>
      <c r="E6" t="s">
        <v>21</v>
      </c>
    </row>
    <row r="7" spans="1:296" x14ac:dyDescent="0.3">
      <c r="B7">
        <v>0</v>
      </c>
      <c r="C7">
        <v>1</v>
      </c>
      <c r="D7">
        <v>0</v>
      </c>
      <c r="E7">
        <v>0</v>
      </c>
    </row>
    <row r="8" spans="1:296" x14ac:dyDescent="0.3">
      <c r="A8" t="s">
        <v>22</v>
      </c>
      <c r="B8" t="s">
        <v>23</v>
      </c>
      <c r="C8" t="s">
        <v>24</v>
      </c>
      <c r="D8" t="s">
        <v>25</v>
      </c>
      <c r="E8" t="s">
        <v>26</v>
      </c>
      <c r="F8" t="s">
        <v>27</v>
      </c>
      <c r="G8" t="s">
        <v>28</v>
      </c>
      <c r="H8" t="s">
        <v>29</v>
      </c>
      <c r="I8" t="s">
        <v>30</v>
      </c>
      <c r="J8" t="s">
        <v>31</v>
      </c>
      <c r="K8" t="s">
        <v>32</v>
      </c>
      <c r="L8" t="s">
        <v>33</v>
      </c>
      <c r="M8" t="s">
        <v>34</v>
      </c>
      <c r="N8" t="s">
        <v>35</v>
      </c>
      <c r="O8" t="s">
        <v>36</v>
      </c>
      <c r="P8" t="s">
        <v>37</v>
      </c>
      <c r="Q8" t="s">
        <v>38</v>
      </c>
    </row>
    <row r="9" spans="1:296" x14ac:dyDescent="0.3">
      <c r="B9" t="s">
        <v>39</v>
      </c>
      <c r="C9" t="s">
        <v>40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96" x14ac:dyDescent="0.3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</row>
    <row r="11" spans="1:296" x14ac:dyDescent="0.3">
      <c r="B11">
        <v>0</v>
      </c>
      <c r="C11">
        <v>0</v>
      </c>
      <c r="D11">
        <v>0</v>
      </c>
      <c r="E11">
        <v>0</v>
      </c>
      <c r="F11">
        <v>1</v>
      </c>
    </row>
    <row r="12" spans="1:296" x14ac:dyDescent="0.3">
      <c r="A12" t="s">
        <v>47</v>
      </c>
      <c r="B12" t="s">
        <v>48</v>
      </c>
      <c r="C12" t="s">
        <v>49</v>
      </c>
      <c r="D12" t="s">
        <v>50</v>
      </c>
      <c r="E12" t="s">
        <v>51</v>
      </c>
      <c r="F12" t="s">
        <v>52</v>
      </c>
      <c r="G12" t="s">
        <v>53</v>
      </c>
      <c r="H12" t="s">
        <v>54</v>
      </c>
    </row>
    <row r="13" spans="1:296" x14ac:dyDescent="0.3">
      <c r="B13">
        <v>-6276</v>
      </c>
      <c r="C13">
        <v>6.6</v>
      </c>
      <c r="D13">
        <v>1.7090000000000001E-5</v>
      </c>
      <c r="E13">
        <v>3.11</v>
      </c>
      <c r="F13" t="s">
        <v>55</v>
      </c>
      <c r="G13" t="s">
        <v>56</v>
      </c>
      <c r="H13">
        <v>0</v>
      </c>
    </row>
    <row r="14" spans="1:296" x14ac:dyDescent="0.3">
      <c r="A14" t="s">
        <v>57</v>
      </c>
      <c r="B14" t="s">
        <v>57</v>
      </c>
      <c r="C14" t="s">
        <v>57</v>
      </c>
      <c r="D14" t="s">
        <v>57</v>
      </c>
      <c r="E14" t="s">
        <v>57</v>
      </c>
      <c r="F14" t="s">
        <v>57</v>
      </c>
      <c r="G14" t="s">
        <v>58</v>
      </c>
      <c r="H14" t="s">
        <v>59</v>
      </c>
      <c r="I14" t="s">
        <v>59</v>
      </c>
      <c r="J14" t="s">
        <v>59</v>
      </c>
      <c r="K14" t="s">
        <v>59</v>
      </c>
      <c r="L14" t="s">
        <v>59</v>
      </c>
      <c r="M14" t="s">
        <v>59</v>
      </c>
      <c r="N14" t="s">
        <v>59</v>
      </c>
      <c r="O14" t="s">
        <v>59</v>
      </c>
      <c r="P14" t="s">
        <v>59</v>
      </c>
      <c r="Q14" t="s">
        <v>59</v>
      </c>
      <c r="R14" t="s">
        <v>59</v>
      </c>
      <c r="S14" t="s">
        <v>59</v>
      </c>
      <c r="T14" t="s">
        <v>59</v>
      </c>
      <c r="U14" t="s">
        <v>59</v>
      </c>
      <c r="V14" t="s">
        <v>59</v>
      </c>
      <c r="W14" t="s">
        <v>59</v>
      </c>
      <c r="X14" t="s">
        <v>59</v>
      </c>
      <c r="Y14" t="s">
        <v>59</v>
      </c>
      <c r="Z14" t="s">
        <v>59</v>
      </c>
      <c r="AA14" t="s">
        <v>59</v>
      </c>
      <c r="AB14" t="s">
        <v>59</v>
      </c>
      <c r="AC14" t="s">
        <v>59</v>
      </c>
      <c r="AD14" t="s">
        <v>59</v>
      </c>
      <c r="AE14" t="s">
        <v>59</v>
      </c>
      <c r="AF14" t="s">
        <v>59</v>
      </c>
      <c r="AG14" t="s">
        <v>59</v>
      </c>
      <c r="AH14" t="s">
        <v>60</v>
      </c>
      <c r="AI14" t="s">
        <v>60</v>
      </c>
      <c r="AJ14" t="s">
        <v>60</v>
      </c>
      <c r="AK14" t="s">
        <v>60</v>
      </c>
      <c r="AL14" t="s">
        <v>60</v>
      </c>
      <c r="AM14" t="s">
        <v>60</v>
      </c>
      <c r="AN14" t="s">
        <v>60</v>
      </c>
      <c r="AO14" t="s">
        <v>60</v>
      </c>
      <c r="AP14" t="s">
        <v>60</v>
      </c>
      <c r="AQ14" t="s">
        <v>60</v>
      </c>
      <c r="AR14" t="s">
        <v>61</v>
      </c>
      <c r="AS14" t="s">
        <v>61</v>
      </c>
      <c r="AT14" t="s">
        <v>61</v>
      </c>
      <c r="AU14" t="s">
        <v>61</v>
      </c>
      <c r="AV14" t="s">
        <v>61</v>
      </c>
      <c r="AW14" t="s">
        <v>62</v>
      </c>
      <c r="AX14" t="s">
        <v>62</v>
      </c>
      <c r="AY14" t="s">
        <v>62</v>
      </c>
      <c r="AZ14" t="s">
        <v>62</v>
      </c>
      <c r="BA14" t="s">
        <v>62</v>
      </c>
      <c r="BB14" t="s">
        <v>62</v>
      </c>
      <c r="BC14" t="s">
        <v>62</v>
      </c>
      <c r="BD14" t="s">
        <v>62</v>
      </c>
      <c r="BE14" t="s">
        <v>62</v>
      </c>
      <c r="BF14" t="s">
        <v>62</v>
      </c>
      <c r="BG14" t="s">
        <v>62</v>
      </c>
      <c r="BH14" t="s">
        <v>62</v>
      </c>
      <c r="BI14" t="s">
        <v>62</v>
      </c>
      <c r="BJ14" t="s">
        <v>62</v>
      </c>
      <c r="BK14" t="s">
        <v>62</v>
      </c>
      <c r="BL14" t="s">
        <v>62</v>
      </c>
      <c r="BM14" t="s">
        <v>62</v>
      </c>
      <c r="BN14" t="s">
        <v>62</v>
      </c>
      <c r="BO14" t="s">
        <v>62</v>
      </c>
      <c r="BP14" t="s">
        <v>62</v>
      </c>
      <c r="BQ14" t="s">
        <v>62</v>
      </c>
      <c r="BR14" t="s">
        <v>62</v>
      </c>
      <c r="BS14" t="s">
        <v>62</v>
      </c>
      <c r="BT14" t="s">
        <v>62</v>
      </c>
      <c r="BU14" t="s">
        <v>62</v>
      </c>
      <c r="BV14" t="s">
        <v>62</v>
      </c>
      <c r="BW14" t="s">
        <v>62</v>
      </c>
      <c r="BX14" t="s">
        <v>62</v>
      </c>
      <c r="BY14" t="s">
        <v>63</v>
      </c>
      <c r="BZ14" t="s">
        <v>63</v>
      </c>
      <c r="CA14" t="s">
        <v>63</v>
      </c>
      <c r="CB14" t="s">
        <v>63</v>
      </c>
      <c r="CC14" t="s">
        <v>63</v>
      </c>
      <c r="CD14" t="s">
        <v>63</v>
      </c>
      <c r="CE14" t="s">
        <v>63</v>
      </c>
      <c r="CF14" t="s">
        <v>63</v>
      </c>
      <c r="CG14" t="s">
        <v>63</v>
      </c>
      <c r="CH14" t="s">
        <v>63</v>
      </c>
      <c r="CI14" t="s">
        <v>63</v>
      </c>
      <c r="CJ14" t="s">
        <v>63</v>
      </c>
      <c r="CK14" t="s">
        <v>63</v>
      </c>
      <c r="CL14" t="s">
        <v>63</v>
      </c>
      <c r="CM14" t="s">
        <v>63</v>
      </c>
      <c r="CN14" t="s">
        <v>63</v>
      </c>
      <c r="CO14" t="s">
        <v>63</v>
      </c>
      <c r="CP14" t="s">
        <v>63</v>
      </c>
      <c r="CQ14" t="s">
        <v>63</v>
      </c>
      <c r="CR14" t="s">
        <v>63</v>
      </c>
      <c r="CS14" t="s">
        <v>63</v>
      </c>
      <c r="CT14" t="s">
        <v>64</v>
      </c>
      <c r="CU14" t="s">
        <v>64</v>
      </c>
      <c r="CV14" t="s">
        <v>64</v>
      </c>
      <c r="CW14" t="s">
        <v>64</v>
      </c>
      <c r="CX14" t="s">
        <v>64</v>
      </c>
      <c r="CY14" t="s">
        <v>64</v>
      </c>
      <c r="CZ14" t="s">
        <v>64</v>
      </c>
      <c r="DA14" t="s">
        <v>64</v>
      </c>
      <c r="DB14" t="s">
        <v>64</v>
      </c>
      <c r="DC14" t="s">
        <v>64</v>
      </c>
      <c r="DD14" t="s">
        <v>64</v>
      </c>
      <c r="DE14" t="s">
        <v>64</v>
      </c>
      <c r="DF14" t="s">
        <v>64</v>
      </c>
      <c r="DG14" t="s">
        <v>65</v>
      </c>
      <c r="DH14" t="s">
        <v>65</v>
      </c>
      <c r="DI14" t="s">
        <v>65</v>
      </c>
      <c r="DJ14" t="s">
        <v>65</v>
      </c>
      <c r="DK14" t="s">
        <v>66</v>
      </c>
      <c r="DL14" t="s">
        <v>66</v>
      </c>
      <c r="DM14" t="s">
        <v>66</v>
      </c>
      <c r="DN14" t="s">
        <v>66</v>
      </c>
      <c r="DO14" t="s">
        <v>66</v>
      </c>
      <c r="DP14" t="s">
        <v>67</v>
      </c>
      <c r="DQ14" t="s">
        <v>67</v>
      </c>
      <c r="DR14" t="s">
        <v>67</v>
      </c>
      <c r="DS14" t="s">
        <v>67</v>
      </c>
      <c r="DT14" t="s">
        <v>67</v>
      </c>
      <c r="DU14" t="s">
        <v>67</v>
      </c>
      <c r="DV14" t="s">
        <v>67</v>
      </c>
      <c r="DW14" t="s">
        <v>67</v>
      </c>
      <c r="DX14" t="s">
        <v>67</v>
      </c>
      <c r="DY14" t="s">
        <v>67</v>
      </c>
      <c r="DZ14" t="s">
        <v>67</v>
      </c>
      <c r="EA14" t="s">
        <v>67</v>
      </c>
      <c r="EB14" t="s">
        <v>67</v>
      </c>
      <c r="EC14" t="s">
        <v>67</v>
      </c>
      <c r="ED14" t="s">
        <v>67</v>
      </c>
      <c r="EE14" t="s">
        <v>67</v>
      </c>
      <c r="EF14" t="s">
        <v>67</v>
      </c>
      <c r="EG14" t="s">
        <v>67</v>
      </c>
      <c r="EH14" t="s">
        <v>68</v>
      </c>
      <c r="EI14" t="s">
        <v>68</v>
      </c>
      <c r="EJ14" t="s">
        <v>68</v>
      </c>
      <c r="EK14" t="s">
        <v>68</v>
      </c>
      <c r="EL14" t="s">
        <v>68</v>
      </c>
      <c r="EM14" t="s">
        <v>68</v>
      </c>
      <c r="EN14" t="s">
        <v>68</v>
      </c>
      <c r="EO14" t="s">
        <v>68</v>
      </c>
      <c r="EP14" t="s">
        <v>68</v>
      </c>
      <c r="EQ14" t="s">
        <v>68</v>
      </c>
      <c r="ER14" t="s">
        <v>69</v>
      </c>
      <c r="ES14" t="s">
        <v>69</v>
      </c>
      <c r="ET14" t="s">
        <v>69</v>
      </c>
      <c r="EU14" t="s">
        <v>69</v>
      </c>
      <c r="EV14" t="s">
        <v>69</v>
      </c>
      <c r="EW14" t="s">
        <v>69</v>
      </c>
      <c r="EX14" t="s">
        <v>69</v>
      </c>
      <c r="EY14" t="s">
        <v>69</v>
      </c>
      <c r="EZ14" t="s">
        <v>69</v>
      </c>
      <c r="FA14" t="s">
        <v>69</v>
      </c>
      <c r="FB14" t="s">
        <v>69</v>
      </c>
      <c r="FC14" t="s">
        <v>69</v>
      </c>
      <c r="FD14" t="s">
        <v>69</v>
      </c>
      <c r="FE14" t="s">
        <v>69</v>
      </c>
      <c r="FF14" t="s">
        <v>69</v>
      </c>
      <c r="FG14" t="s">
        <v>69</v>
      </c>
      <c r="FH14" t="s">
        <v>69</v>
      </c>
      <c r="FI14" t="s">
        <v>69</v>
      </c>
      <c r="FJ14" t="s">
        <v>70</v>
      </c>
      <c r="FK14" t="s">
        <v>70</v>
      </c>
      <c r="FL14" t="s">
        <v>70</v>
      </c>
      <c r="FM14" t="s">
        <v>70</v>
      </c>
      <c r="FN14" t="s">
        <v>70</v>
      </c>
      <c r="FO14" t="s">
        <v>71</v>
      </c>
      <c r="FP14" t="s">
        <v>71</v>
      </c>
      <c r="FQ14" t="s">
        <v>71</v>
      </c>
      <c r="FR14" t="s">
        <v>71</v>
      </c>
      <c r="FS14" t="s">
        <v>71</v>
      </c>
      <c r="FT14" t="s">
        <v>71</v>
      </c>
      <c r="FU14" t="s">
        <v>71</v>
      </c>
      <c r="FV14" t="s">
        <v>71</v>
      </c>
      <c r="FW14" t="s">
        <v>71</v>
      </c>
      <c r="FX14" t="s">
        <v>71</v>
      </c>
      <c r="FY14" t="s">
        <v>71</v>
      </c>
      <c r="FZ14" t="s">
        <v>71</v>
      </c>
      <c r="GA14" t="s">
        <v>71</v>
      </c>
      <c r="GB14" t="s">
        <v>72</v>
      </c>
      <c r="GC14" t="s">
        <v>72</v>
      </c>
      <c r="GD14" t="s">
        <v>72</v>
      </c>
      <c r="GE14" t="s">
        <v>72</v>
      </c>
      <c r="GF14" t="s">
        <v>72</v>
      </c>
      <c r="GG14" t="s">
        <v>72</v>
      </c>
      <c r="GH14" t="s">
        <v>72</v>
      </c>
      <c r="GI14" t="s">
        <v>72</v>
      </c>
      <c r="GJ14" t="s">
        <v>72</v>
      </c>
      <c r="GK14" t="s">
        <v>72</v>
      </c>
      <c r="GL14" t="s">
        <v>72</v>
      </c>
      <c r="GM14" t="s">
        <v>72</v>
      </c>
      <c r="GN14" t="s">
        <v>72</v>
      </c>
      <c r="GO14" t="s">
        <v>72</v>
      </c>
      <c r="GP14" t="s">
        <v>72</v>
      </c>
      <c r="GQ14" t="s">
        <v>73</v>
      </c>
      <c r="GR14" t="s">
        <v>73</v>
      </c>
      <c r="GS14" t="s">
        <v>73</v>
      </c>
      <c r="GT14" t="s">
        <v>73</v>
      </c>
      <c r="GU14" t="s">
        <v>73</v>
      </c>
      <c r="GV14" t="s">
        <v>73</v>
      </c>
      <c r="GW14" t="s">
        <v>73</v>
      </c>
      <c r="GX14" t="s">
        <v>73</v>
      </c>
      <c r="GY14" t="s">
        <v>73</v>
      </c>
      <c r="GZ14" t="s">
        <v>73</v>
      </c>
      <c r="HA14" t="s">
        <v>73</v>
      </c>
      <c r="HB14" t="s">
        <v>73</v>
      </c>
      <c r="HC14" t="s">
        <v>73</v>
      </c>
      <c r="HD14" t="s">
        <v>73</v>
      </c>
      <c r="HE14" t="s">
        <v>73</v>
      </c>
      <c r="HF14" t="s">
        <v>73</v>
      </c>
      <c r="HG14" t="s">
        <v>73</v>
      </c>
      <c r="HH14" t="s">
        <v>73</v>
      </c>
      <c r="HI14" t="s">
        <v>74</v>
      </c>
      <c r="HJ14" t="s">
        <v>74</v>
      </c>
      <c r="HK14" t="s">
        <v>74</v>
      </c>
      <c r="HL14" t="s">
        <v>74</v>
      </c>
      <c r="HM14" t="s">
        <v>74</v>
      </c>
      <c r="HN14" t="s">
        <v>74</v>
      </c>
      <c r="HO14" t="s">
        <v>74</v>
      </c>
      <c r="HP14" t="s">
        <v>74</v>
      </c>
      <c r="HQ14" t="s">
        <v>74</v>
      </c>
      <c r="HR14" t="s">
        <v>74</v>
      </c>
      <c r="HS14" t="s">
        <v>74</v>
      </c>
      <c r="HT14" t="s">
        <v>74</v>
      </c>
      <c r="HU14" t="s">
        <v>74</v>
      </c>
      <c r="HV14" t="s">
        <v>74</v>
      </c>
      <c r="HW14" t="s">
        <v>74</v>
      </c>
      <c r="HX14" t="s">
        <v>74</v>
      </c>
      <c r="HY14" t="s">
        <v>74</v>
      </c>
      <c r="HZ14" t="s">
        <v>74</v>
      </c>
      <c r="IA14" t="s">
        <v>74</v>
      </c>
      <c r="IB14" t="s">
        <v>75</v>
      </c>
      <c r="IC14" t="s">
        <v>75</v>
      </c>
      <c r="ID14" t="s">
        <v>75</v>
      </c>
      <c r="IE14" t="s">
        <v>75</v>
      </c>
      <c r="IF14" t="s">
        <v>75</v>
      </c>
      <c r="IG14" t="s">
        <v>75</v>
      </c>
      <c r="IH14" t="s">
        <v>75</v>
      </c>
      <c r="II14" t="s">
        <v>75</v>
      </c>
      <c r="IJ14" t="s">
        <v>75</v>
      </c>
      <c r="IK14" t="s">
        <v>75</v>
      </c>
      <c r="IL14" t="s">
        <v>75</v>
      </c>
      <c r="IM14" t="s">
        <v>75</v>
      </c>
      <c r="IN14" t="s">
        <v>75</v>
      </c>
      <c r="IO14" t="s">
        <v>75</v>
      </c>
      <c r="IP14" t="s">
        <v>75</v>
      </c>
      <c r="IQ14" t="s">
        <v>75</v>
      </c>
      <c r="IR14" t="s">
        <v>75</v>
      </c>
      <c r="IS14" t="s">
        <v>75</v>
      </c>
      <c r="IT14" t="s">
        <v>75</v>
      </c>
      <c r="IU14" t="s">
        <v>76</v>
      </c>
      <c r="IV14" t="s">
        <v>76</v>
      </c>
      <c r="IW14" t="s">
        <v>76</v>
      </c>
      <c r="IX14" t="s">
        <v>76</v>
      </c>
      <c r="IY14" t="s">
        <v>76</v>
      </c>
      <c r="IZ14" t="s">
        <v>76</v>
      </c>
      <c r="JA14" t="s">
        <v>76</v>
      </c>
      <c r="JB14" t="s">
        <v>76</v>
      </c>
      <c r="JC14" t="s">
        <v>76</v>
      </c>
      <c r="JD14" t="s">
        <v>76</v>
      </c>
      <c r="JE14" t="s">
        <v>76</v>
      </c>
      <c r="JF14" t="s">
        <v>76</v>
      </c>
      <c r="JG14" t="s">
        <v>76</v>
      </c>
      <c r="JH14" t="s">
        <v>76</v>
      </c>
      <c r="JI14" t="s">
        <v>76</v>
      </c>
      <c r="JJ14" t="s">
        <v>76</v>
      </c>
      <c r="JK14" t="s">
        <v>76</v>
      </c>
      <c r="JL14" t="s">
        <v>76</v>
      </c>
      <c r="JM14" t="s">
        <v>77</v>
      </c>
      <c r="JN14" t="s">
        <v>77</v>
      </c>
      <c r="JO14" t="s">
        <v>77</v>
      </c>
      <c r="JP14" t="s">
        <v>77</v>
      </c>
      <c r="JQ14" t="s">
        <v>77</v>
      </c>
      <c r="JR14" t="s">
        <v>77</v>
      </c>
      <c r="JS14" t="s">
        <v>77</v>
      </c>
      <c r="JT14" t="s">
        <v>77</v>
      </c>
      <c r="JU14" t="s">
        <v>78</v>
      </c>
      <c r="JV14" t="s">
        <v>78</v>
      </c>
      <c r="JW14" t="s">
        <v>78</v>
      </c>
      <c r="JX14" t="s">
        <v>78</v>
      </c>
      <c r="JY14" t="s">
        <v>78</v>
      </c>
      <c r="JZ14" t="s">
        <v>78</v>
      </c>
      <c r="KA14" t="s">
        <v>78</v>
      </c>
      <c r="KB14" t="s">
        <v>78</v>
      </c>
      <c r="KC14" t="s">
        <v>78</v>
      </c>
      <c r="KD14" t="s">
        <v>78</v>
      </c>
      <c r="KE14" t="s">
        <v>78</v>
      </c>
      <c r="KF14" t="s">
        <v>78</v>
      </c>
      <c r="KG14" t="s">
        <v>78</v>
      </c>
      <c r="KH14" t="s">
        <v>78</v>
      </c>
      <c r="KI14" t="s">
        <v>78</v>
      </c>
      <c r="KJ14" t="s">
        <v>78</v>
      </c>
    </row>
    <row r="15" spans="1:296" x14ac:dyDescent="0.3">
      <c r="A15" t="s">
        <v>79</v>
      </c>
      <c r="B15" t="s">
        <v>80</v>
      </c>
      <c r="C15" t="s">
        <v>81</v>
      </c>
      <c r="D15" t="s">
        <v>82</v>
      </c>
      <c r="E15" t="s">
        <v>83</v>
      </c>
      <c r="F15" t="s">
        <v>84</v>
      </c>
      <c r="G15" t="s">
        <v>85</v>
      </c>
      <c r="H15" t="s">
        <v>86</v>
      </c>
      <c r="I15" t="s">
        <v>87</v>
      </c>
      <c r="J15" t="s">
        <v>88</v>
      </c>
      <c r="K15" t="s">
        <v>89</v>
      </c>
      <c r="L15" t="s">
        <v>90</v>
      </c>
      <c r="M15" t="s">
        <v>91</v>
      </c>
      <c r="N15" t="s">
        <v>92</v>
      </c>
      <c r="O15" t="s">
        <v>93</v>
      </c>
      <c r="P15" t="s">
        <v>94</v>
      </c>
      <c r="Q15" t="s">
        <v>95</v>
      </c>
      <c r="R15" t="s">
        <v>96</v>
      </c>
      <c r="S15" t="s">
        <v>97</v>
      </c>
      <c r="T15" t="s">
        <v>98</v>
      </c>
      <c r="U15" t="s">
        <v>99</v>
      </c>
      <c r="V15" t="s">
        <v>100</v>
      </c>
      <c r="W15" t="s">
        <v>101</v>
      </c>
      <c r="X15" t="s">
        <v>102</v>
      </c>
      <c r="Y15" t="s">
        <v>103</v>
      </c>
      <c r="Z15" t="s">
        <v>104</v>
      </c>
      <c r="AA15" t="s">
        <v>105</v>
      </c>
      <c r="AB15" t="s">
        <v>106</v>
      </c>
      <c r="AC15" t="s">
        <v>107</v>
      </c>
      <c r="AD15" t="s">
        <v>108</v>
      </c>
      <c r="AE15" t="s">
        <v>109</v>
      </c>
      <c r="AF15" t="s">
        <v>110</v>
      </c>
      <c r="AG15" t="s">
        <v>111</v>
      </c>
      <c r="AH15" t="s">
        <v>112</v>
      </c>
      <c r="AI15" t="s">
        <v>113</v>
      </c>
      <c r="AJ15" t="s">
        <v>114</v>
      </c>
      <c r="AK15" t="s">
        <v>115</v>
      </c>
      <c r="AL15" t="s">
        <v>116</v>
      </c>
      <c r="AM15" t="s">
        <v>117</v>
      </c>
      <c r="AN15" t="s">
        <v>118</v>
      </c>
      <c r="AO15" t="s">
        <v>119</v>
      </c>
      <c r="AP15" t="s">
        <v>120</v>
      </c>
      <c r="AQ15" t="s">
        <v>121</v>
      </c>
      <c r="AR15" t="s">
        <v>61</v>
      </c>
      <c r="AS15" t="s">
        <v>122</v>
      </c>
      <c r="AT15" t="s">
        <v>123</v>
      </c>
      <c r="AU15" t="s">
        <v>124</v>
      </c>
      <c r="AV15" t="s">
        <v>125</v>
      </c>
      <c r="AW15" t="s">
        <v>126</v>
      </c>
      <c r="AX15" t="s">
        <v>127</v>
      </c>
      <c r="AY15" t="s">
        <v>128</v>
      </c>
      <c r="AZ15" t="s">
        <v>129</v>
      </c>
      <c r="BA15" t="s">
        <v>130</v>
      </c>
      <c r="BB15" t="s">
        <v>131</v>
      </c>
      <c r="BC15" t="s">
        <v>132</v>
      </c>
      <c r="BD15" t="s">
        <v>133</v>
      </c>
      <c r="BE15" t="s">
        <v>134</v>
      </c>
      <c r="BF15" t="s">
        <v>135</v>
      </c>
      <c r="BG15" t="s">
        <v>136</v>
      </c>
      <c r="BH15" t="s">
        <v>137</v>
      </c>
      <c r="BI15" t="s">
        <v>138</v>
      </c>
      <c r="BJ15" t="s">
        <v>139</v>
      </c>
      <c r="BK15" t="s">
        <v>140</v>
      </c>
      <c r="BL15" t="s">
        <v>141</v>
      </c>
      <c r="BM15" t="s">
        <v>142</v>
      </c>
      <c r="BN15" t="s">
        <v>143</v>
      </c>
      <c r="BO15" t="s">
        <v>144</v>
      </c>
      <c r="BP15" t="s">
        <v>145</v>
      </c>
      <c r="BQ15" t="s">
        <v>146</v>
      </c>
      <c r="BR15" t="s">
        <v>147</v>
      </c>
      <c r="BS15" t="s">
        <v>148</v>
      </c>
      <c r="BT15" t="s">
        <v>149</v>
      </c>
      <c r="BU15" t="s">
        <v>150</v>
      </c>
      <c r="BV15" t="s">
        <v>151</v>
      </c>
      <c r="BW15" t="s">
        <v>152</v>
      </c>
      <c r="BX15" t="s">
        <v>153</v>
      </c>
      <c r="BY15" t="s">
        <v>154</v>
      </c>
      <c r="BZ15" t="s">
        <v>155</v>
      </c>
      <c r="CA15" t="s">
        <v>156</v>
      </c>
      <c r="CB15" t="s">
        <v>157</v>
      </c>
      <c r="CC15" t="s">
        <v>158</v>
      </c>
      <c r="CD15" t="s">
        <v>159</v>
      </c>
      <c r="CE15" t="s">
        <v>160</v>
      </c>
      <c r="CF15" t="s">
        <v>161</v>
      </c>
      <c r="CG15" t="s">
        <v>162</v>
      </c>
      <c r="CH15" t="s">
        <v>163</v>
      </c>
      <c r="CI15" t="s">
        <v>164</v>
      </c>
      <c r="CJ15" t="s">
        <v>165</v>
      </c>
      <c r="CK15" t="s">
        <v>166</v>
      </c>
      <c r="CL15" t="s">
        <v>167</v>
      </c>
      <c r="CM15" t="s">
        <v>168</v>
      </c>
      <c r="CN15" t="s">
        <v>169</v>
      </c>
      <c r="CO15" t="s">
        <v>170</v>
      </c>
      <c r="CP15" t="s">
        <v>171</v>
      </c>
      <c r="CQ15" t="s">
        <v>172</v>
      </c>
      <c r="CR15" t="s">
        <v>173</v>
      </c>
      <c r="CS15" t="s">
        <v>174</v>
      </c>
      <c r="CT15" t="s">
        <v>154</v>
      </c>
      <c r="CU15" t="s">
        <v>175</v>
      </c>
      <c r="CV15" t="s">
        <v>176</v>
      </c>
      <c r="CW15" t="s">
        <v>177</v>
      </c>
      <c r="CX15" t="s">
        <v>128</v>
      </c>
      <c r="CY15" t="s">
        <v>178</v>
      </c>
      <c r="CZ15" t="s">
        <v>179</v>
      </c>
      <c r="DA15" t="s">
        <v>180</v>
      </c>
      <c r="DB15" t="s">
        <v>181</v>
      </c>
      <c r="DC15" t="s">
        <v>182</v>
      </c>
      <c r="DD15" t="s">
        <v>183</v>
      </c>
      <c r="DE15" t="s">
        <v>184</v>
      </c>
      <c r="DF15" t="s">
        <v>185</v>
      </c>
      <c r="DG15" t="s">
        <v>186</v>
      </c>
      <c r="DH15" t="s">
        <v>187</v>
      </c>
      <c r="DI15" t="s">
        <v>188</v>
      </c>
      <c r="DJ15" t="s">
        <v>189</v>
      </c>
      <c r="DK15" t="s">
        <v>190</v>
      </c>
      <c r="DL15" t="s">
        <v>191</v>
      </c>
      <c r="DM15" t="s">
        <v>192</v>
      </c>
      <c r="DN15" t="s">
        <v>193</v>
      </c>
      <c r="DO15" t="s">
        <v>194</v>
      </c>
      <c r="DP15" t="s">
        <v>86</v>
      </c>
      <c r="DQ15" t="s">
        <v>195</v>
      </c>
      <c r="DR15" t="s">
        <v>196</v>
      </c>
      <c r="DS15" t="s">
        <v>197</v>
      </c>
      <c r="DT15" t="s">
        <v>198</v>
      </c>
      <c r="DU15" t="s">
        <v>199</v>
      </c>
      <c r="DV15" t="s">
        <v>200</v>
      </c>
      <c r="DW15" t="s">
        <v>201</v>
      </c>
      <c r="DX15" t="s">
        <v>202</v>
      </c>
      <c r="DY15" t="s">
        <v>203</v>
      </c>
      <c r="DZ15" t="s">
        <v>204</v>
      </c>
      <c r="EA15" t="s">
        <v>205</v>
      </c>
      <c r="EB15" t="s">
        <v>206</v>
      </c>
      <c r="EC15" t="s">
        <v>207</v>
      </c>
      <c r="ED15" t="s">
        <v>208</v>
      </c>
      <c r="EE15" t="s">
        <v>209</v>
      </c>
      <c r="EF15" t="s">
        <v>210</v>
      </c>
      <c r="EG15" t="s">
        <v>211</v>
      </c>
      <c r="EH15" t="s">
        <v>212</v>
      </c>
      <c r="EI15" t="s">
        <v>213</v>
      </c>
      <c r="EJ15" t="s">
        <v>214</v>
      </c>
      <c r="EK15" t="s">
        <v>215</v>
      </c>
      <c r="EL15" t="s">
        <v>216</v>
      </c>
      <c r="EM15" t="s">
        <v>217</v>
      </c>
      <c r="EN15" t="s">
        <v>218</v>
      </c>
      <c r="EO15" t="s">
        <v>219</v>
      </c>
      <c r="EP15" t="s">
        <v>220</v>
      </c>
      <c r="EQ15" t="s">
        <v>221</v>
      </c>
      <c r="ER15" t="s">
        <v>222</v>
      </c>
      <c r="ES15" t="s">
        <v>223</v>
      </c>
      <c r="ET15" t="s">
        <v>224</v>
      </c>
      <c r="EU15" t="s">
        <v>225</v>
      </c>
      <c r="EV15" t="s">
        <v>226</v>
      </c>
      <c r="EW15" t="s">
        <v>227</v>
      </c>
      <c r="EX15" t="s">
        <v>228</v>
      </c>
      <c r="EY15" t="s">
        <v>229</v>
      </c>
      <c r="EZ15" t="s">
        <v>230</v>
      </c>
      <c r="FA15" t="s">
        <v>231</v>
      </c>
      <c r="FB15" t="s">
        <v>232</v>
      </c>
      <c r="FC15" t="s">
        <v>233</v>
      </c>
      <c r="FD15" t="s">
        <v>234</v>
      </c>
      <c r="FE15" t="s">
        <v>235</v>
      </c>
      <c r="FF15" t="s">
        <v>236</v>
      </c>
      <c r="FG15" t="s">
        <v>237</v>
      </c>
      <c r="FH15" t="s">
        <v>238</v>
      </c>
      <c r="FI15" t="s">
        <v>239</v>
      </c>
      <c r="FJ15" t="s">
        <v>240</v>
      </c>
      <c r="FK15" t="s">
        <v>241</v>
      </c>
      <c r="FL15" t="s">
        <v>242</v>
      </c>
      <c r="FM15" t="s">
        <v>243</v>
      </c>
      <c r="FN15" t="s">
        <v>244</v>
      </c>
      <c r="FO15" t="s">
        <v>80</v>
      </c>
      <c r="FP15" t="s">
        <v>83</v>
      </c>
      <c r="FQ15" t="s">
        <v>245</v>
      </c>
      <c r="FR15" t="s">
        <v>246</v>
      </c>
      <c r="FS15" t="s">
        <v>247</v>
      </c>
      <c r="FT15" t="s">
        <v>248</v>
      </c>
      <c r="FU15" t="s">
        <v>249</v>
      </c>
      <c r="FV15" t="s">
        <v>250</v>
      </c>
      <c r="FW15" t="s">
        <v>251</v>
      </c>
      <c r="FX15" t="s">
        <v>252</v>
      </c>
      <c r="FY15" t="s">
        <v>253</v>
      </c>
      <c r="FZ15" t="s">
        <v>254</v>
      </c>
      <c r="GA15" t="s">
        <v>255</v>
      </c>
      <c r="GB15" t="s">
        <v>256</v>
      </c>
      <c r="GC15" t="s">
        <v>257</v>
      </c>
      <c r="GD15" t="s">
        <v>258</v>
      </c>
      <c r="GE15" t="s">
        <v>259</v>
      </c>
      <c r="GF15" t="s">
        <v>260</v>
      </c>
      <c r="GG15" t="s">
        <v>261</v>
      </c>
      <c r="GH15" t="s">
        <v>262</v>
      </c>
      <c r="GI15" t="s">
        <v>263</v>
      </c>
      <c r="GJ15" t="s">
        <v>264</v>
      </c>
      <c r="GK15" t="s">
        <v>265</v>
      </c>
      <c r="GL15" t="s">
        <v>266</v>
      </c>
      <c r="GM15" t="s">
        <v>267</v>
      </c>
      <c r="GN15" t="s">
        <v>268</v>
      </c>
      <c r="GO15" t="s">
        <v>269</v>
      </c>
      <c r="GP15" t="s">
        <v>270</v>
      </c>
      <c r="GQ15" t="s">
        <v>271</v>
      </c>
      <c r="GR15" t="s">
        <v>272</v>
      </c>
      <c r="GS15" t="s">
        <v>273</v>
      </c>
      <c r="GT15" t="s">
        <v>274</v>
      </c>
      <c r="GU15" t="s">
        <v>275</v>
      </c>
      <c r="GV15" t="s">
        <v>276</v>
      </c>
      <c r="GW15" t="s">
        <v>277</v>
      </c>
      <c r="GX15" t="s">
        <v>278</v>
      </c>
      <c r="GY15" t="s">
        <v>279</v>
      </c>
      <c r="GZ15" t="s">
        <v>280</v>
      </c>
      <c r="HA15" t="s">
        <v>281</v>
      </c>
      <c r="HB15" t="s">
        <v>282</v>
      </c>
      <c r="HC15" t="s">
        <v>283</v>
      </c>
      <c r="HD15" t="s">
        <v>284</v>
      </c>
      <c r="HE15" t="s">
        <v>285</v>
      </c>
      <c r="HF15" t="s">
        <v>286</v>
      </c>
      <c r="HG15" t="s">
        <v>287</v>
      </c>
      <c r="HH15" t="s">
        <v>288</v>
      </c>
      <c r="HI15" t="s">
        <v>289</v>
      </c>
      <c r="HJ15" t="s">
        <v>290</v>
      </c>
      <c r="HK15" t="s">
        <v>291</v>
      </c>
      <c r="HL15" t="s">
        <v>292</v>
      </c>
      <c r="HM15" t="s">
        <v>293</v>
      </c>
      <c r="HN15" t="s">
        <v>294</v>
      </c>
      <c r="HO15" t="s">
        <v>295</v>
      </c>
      <c r="HP15" t="s">
        <v>296</v>
      </c>
      <c r="HQ15" t="s">
        <v>297</v>
      </c>
      <c r="HR15" t="s">
        <v>298</v>
      </c>
      <c r="HS15" t="s">
        <v>299</v>
      </c>
      <c r="HT15" t="s">
        <v>300</v>
      </c>
      <c r="HU15" t="s">
        <v>301</v>
      </c>
      <c r="HV15" t="s">
        <v>302</v>
      </c>
      <c r="HW15" t="s">
        <v>303</v>
      </c>
      <c r="HX15" t="s">
        <v>304</v>
      </c>
      <c r="HY15" t="s">
        <v>305</v>
      </c>
      <c r="HZ15" t="s">
        <v>306</v>
      </c>
      <c r="IA15" t="s">
        <v>307</v>
      </c>
      <c r="IB15" t="s">
        <v>308</v>
      </c>
      <c r="IC15" t="s">
        <v>309</v>
      </c>
      <c r="ID15" t="s">
        <v>310</v>
      </c>
      <c r="IE15" t="s">
        <v>311</v>
      </c>
      <c r="IF15" t="s">
        <v>312</v>
      </c>
      <c r="IG15" t="s">
        <v>313</v>
      </c>
      <c r="IH15" t="s">
        <v>314</v>
      </c>
      <c r="II15" t="s">
        <v>315</v>
      </c>
      <c r="IJ15" t="s">
        <v>316</v>
      </c>
      <c r="IK15" t="s">
        <v>317</v>
      </c>
      <c r="IL15" t="s">
        <v>318</v>
      </c>
      <c r="IM15" t="s">
        <v>319</v>
      </c>
      <c r="IN15" t="s">
        <v>320</v>
      </c>
      <c r="IO15" t="s">
        <v>321</v>
      </c>
      <c r="IP15" t="s">
        <v>322</v>
      </c>
      <c r="IQ15" t="s">
        <v>323</v>
      </c>
      <c r="IR15" t="s">
        <v>324</v>
      </c>
      <c r="IS15" t="s">
        <v>325</v>
      </c>
      <c r="IT15" t="s">
        <v>326</v>
      </c>
      <c r="IU15" t="s">
        <v>327</v>
      </c>
      <c r="IV15" t="s">
        <v>328</v>
      </c>
      <c r="IW15" t="s">
        <v>329</v>
      </c>
      <c r="IX15" t="s">
        <v>330</v>
      </c>
      <c r="IY15" t="s">
        <v>331</v>
      </c>
      <c r="IZ15" t="s">
        <v>332</v>
      </c>
      <c r="JA15" t="s">
        <v>333</v>
      </c>
      <c r="JB15" t="s">
        <v>334</v>
      </c>
      <c r="JC15" t="s">
        <v>335</v>
      </c>
      <c r="JD15" t="s">
        <v>336</v>
      </c>
      <c r="JE15" t="s">
        <v>337</v>
      </c>
      <c r="JF15" t="s">
        <v>338</v>
      </c>
      <c r="JG15" t="s">
        <v>339</v>
      </c>
      <c r="JH15" t="s">
        <v>340</v>
      </c>
      <c r="JI15" t="s">
        <v>341</v>
      </c>
      <c r="JJ15" t="s">
        <v>342</v>
      </c>
      <c r="JK15" t="s">
        <v>343</v>
      </c>
      <c r="JL15" t="s">
        <v>344</v>
      </c>
      <c r="JM15" t="s">
        <v>345</v>
      </c>
      <c r="JN15" t="s">
        <v>346</v>
      </c>
      <c r="JO15" t="s">
        <v>347</v>
      </c>
      <c r="JP15" t="s">
        <v>348</v>
      </c>
      <c r="JQ15" t="s">
        <v>349</v>
      </c>
      <c r="JR15" t="s">
        <v>350</v>
      </c>
      <c r="JS15" t="s">
        <v>351</v>
      </c>
      <c r="JT15" t="s">
        <v>352</v>
      </c>
      <c r="JU15" t="s">
        <v>353</v>
      </c>
      <c r="JV15" t="s">
        <v>354</v>
      </c>
      <c r="JW15" t="s">
        <v>355</v>
      </c>
      <c r="JX15" t="s">
        <v>356</v>
      </c>
      <c r="JY15" t="s">
        <v>357</v>
      </c>
      <c r="JZ15" t="s">
        <v>358</v>
      </c>
      <c r="KA15" t="s">
        <v>359</v>
      </c>
      <c r="KB15" t="s">
        <v>360</v>
      </c>
      <c r="KC15" t="s">
        <v>361</v>
      </c>
      <c r="KD15" t="s">
        <v>362</v>
      </c>
      <c r="KE15" t="s">
        <v>363</v>
      </c>
      <c r="KF15" t="s">
        <v>364</v>
      </c>
      <c r="KG15" t="s">
        <v>365</v>
      </c>
      <c r="KH15" t="s">
        <v>366</v>
      </c>
      <c r="KI15" t="s">
        <v>367</v>
      </c>
      <c r="KJ15" t="s">
        <v>368</v>
      </c>
    </row>
    <row r="16" spans="1:296" x14ac:dyDescent="0.3">
      <c r="B16" t="s">
        <v>369</v>
      </c>
      <c r="C16" t="s">
        <v>369</v>
      </c>
      <c r="F16" t="s">
        <v>369</v>
      </c>
      <c r="H16" t="s">
        <v>369</v>
      </c>
      <c r="I16" t="s">
        <v>370</v>
      </c>
      <c r="J16" t="s">
        <v>371</v>
      </c>
      <c r="K16" t="s">
        <v>372</v>
      </c>
      <c r="L16" t="s">
        <v>373</v>
      </c>
      <c r="M16" t="s">
        <v>373</v>
      </c>
      <c r="N16" t="s">
        <v>202</v>
      </c>
      <c r="O16" t="s">
        <v>202</v>
      </c>
      <c r="P16" t="s">
        <v>370</v>
      </c>
      <c r="Q16" t="s">
        <v>370</v>
      </c>
      <c r="R16" t="s">
        <v>370</v>
      </c>
      <c r="S16" t="s">
        <v>370</v>
      </c>
      <c r="T16" t="s">
        <v>374</v>
      </c>
      <c r="U16" t="s">
        <v>375</v>
      </c>
      <c r="V16" t="s">
        <v>375</v>
      </c>
      <c r="W16" t="s">
        <v>376</v>
      </c>
      <c r="X16" t="s">
        <v>377</v>
      </c>
      <c r="Y16" t="s">
        <v>376</v>
      </c>
      <c r="Z16" t="s">
        <v>376</v>
      </c>
      <c r="AA16" t="s">
        <v>376</v>
      </c>
      <c r="AB16" t="s">
        <v>374</v>
      </c>
      <c r="AC16" t="s">
        <v>374</v>
      </c>
      <c r="AD16" t="s">
        <v>374</v>
      </c>
      <c r="AE16" t="s">
        <v>374</v>
      </c>
      <c r="AF16" t="s">
        <v>372</v>
      </c>
      <c r="AG16" t="s">
        <v>371</v>
      </c>
      <c r="AH16" t="s">
        <v>372</v>
      </c>
      <c r="AI16" t="s">
        <v>373</v>
      </c>
      <c r="AJ16" t="s">
        <v>373</v>
      </c>
      <c r="AK16" t="s">
        <v>378</v>
      </c>
      <c r="AL16" t="s">
        <v>379</v>
      </c>
      <c r="AM16" t="s">
        <v>371</v>
      </c>
      <c r="AN16" t="s">
        <v>380</v>
      </c>
      <c r="AO16" t="s">
        <v>380</v>
      </c>
      <c r="AP16" t="s">
        <v>381</v>
      </c>
      <c r="AQ16" t="s">
        <v>379</v>
      </c>
      <c r="AR16" t="s">
        <v>382</v>
      </c>
      <c r="AS16" t="s">
        <v>377</v>
      </c>
      <c r="AU16" t="s">
        <v>377</v>
      </c>
      <c r="AV16" t="s">
        <v>382</v>
      </c>
      <c r="BB16" t="s">
        <v>372</v>
      </c>
      <c r="BI16" t="s">
        <v>372</v>
      </c>
      <c r="BJ16" t="s">
        <v>372</v>
      </c>
      <c r="BK16" t="s">
        <v>372</v>
      </c>
      <c r="BL16" t="s">
        <v>383</v>
      </c>
      <c r="BZ16" t="s">
        <v>384</v>
      </c>
      <c r="CB16" t="s">
        <v>384</v>
      </c>
      <c r="CC16" t="s">
        <v>372</v>
      </c>
      <c r="CF16" t="s">
        <v>384</v>
      </c>
      <c r="CG16" t="s">
        <v>377</v>
      </c>
      <c r="CJ16" t="s">
        <v>385</v>
      </c>
      <c r="CK16" t="s">
        <v>385</v>
      </c>
      <c r="CM16" t="s">
        <v>386</v>
      </c>
      <c r="CN16" t="s">
        <v>384</v>
      </c>
      <c r="CP16" t="s">
        <v>384</v>
      </c>
      <c r="CQ16" t="s">
        <v>372</v>
      </c>
      <c r="CU16" t="s">
        <v>384</v>
      </c>
      <c r="CW16" t="s">
        <v>387</v>
      </c>
      <c r="CZ16" t="s">
        <v>384</v>
      </c>
      <c r="DA16" t="s">
        <v>384</v>
      </c>
      <c r="DC16" t="s">
        <v>384</v>
      </c>
      <c r="DE16" t="s">
        <v>384</v>
      </c>
      <c r="DG16" t="s">
        <v>372</v>
      </c>
      <c r="DH16" t="s">
        <v>372</v>
      </c>
      <c r="DJ16" t="s">
        <v>388</v>
      </c>
      <c r="DK16" t="s">
        <v>389</v>
      </c>
      <c r="DN16" t="s">
        <v>370</v>
      </c>
      <c r="DP16" t="s">
        <v>369</v>
      </c>
      <c r="DQ16" t="s">
        <v>373</v>
      </c>
      <c r="DR16" t="s">
        <v>373</v>
      </c>
      <c r="DS16" t="s">
        <v>380</v>
      </c>
      <c r="DT16" t="s">
        <v>380</v>
      </c>
      <c r="DU16" t="s">
        <v>373</v>
      </c>
      <c r="DV16" t="s">
        <v>380</v>
      </c>
      <c r="DW16" t="s">
        <v>382</v>
      </c>
      <c r="DX16" t="s">
        <v>376</v>
      </c>
      <c r="DY16" t="s">
        <v>376</v>
      </c>
      <c r="DZ16" t="s">
        <v>375</v>
      </c>
      <c r="EA16" t="s">
        <v>375</v>
      </c>
      <c r="EB16" t="s">
        <v>375</v>
      </c>
      <c r="EC16" t="s">
        <v>375</v>
      </c>
      <c r="ED16" t="s">
        <v>375</v>
      </c>
      <c r="EE16" t="s">
        <v>390</v>
      </c>
      <c r="EF16" t="s">
        <v>372</v>
      </c>
      <c r="EG16" t="s">
        <v>372</v>
      </c>
      <c r="EH16" t="s">
        <v>373</v>
      </c>
      <c r="EI16" t="s">
        <v>373</v>
      </c>
      <c r="EJ16" t="s">
        <v>373</v>
      </c>
      <c r="EK16" t="s">
        <v>380</v>
      </c>
      <c r="EL16" t="s">
        <v>373</v>
      </c>
      <c r="EM16" t="s">
        <v>380</v>
      </c>
      <c r="EN16" t="s">
        <v>376</v>
      </c>
      <c r="EO16" t="s">
        <v>376</v>
      </c>
      <c r="EP16" t="s">
        <v>375</v>
      </c>
      <c r="EQ16" t="s">
        <v>375</v>
      </c>
      <c r="ER16" t="s">
        <v>372</v>
      </c>
      <c r="EW16" t="s">
        <v>372</v>
      </c>
      <c r="EZ16" t="s">
        <v>375</v>
      </c>
      <c r="FA16" t="s">
        <v>375</v>
      </c>
      <c r="FB16" t="s">
        <v>375</v>
      </c>
      <c r="FC16" t="s">
        <v>375</v>
      </c>
      <c r="FD16" t="s">
        <v>375</v>
      </c>
      <c r="FE16" t="s">
        <v>372</v>
      </c>
      <c r="FF16" t="s">
        <v>372</v>
      </c>
      <c r="FG16" t="s">
        <v>372</v>
      </c>
      <c r="FH16" t="s">
        <v>369</v>
      </c>
      <c r="FK16" t="s">
        <v>391</v>
      </c>
      <c r="FL16" t="s">
        <v>391</v>
      </c>
      <c r="FN16" t="s">
        <v>369</v>
      </c>
      <c r="FO16" t="s">
        <v>392</v>
      </c>
      <c r="FQ16" t="s">
        <v>369</v>
      </c>
      <c r="FR16" t="s">
        <v>369</v>
      </c>
      <c r="FT16" t="s">
        <v>393</v>
      </c>
      <c r="FU16" t="s">
        <v>394</v>
      </c>
      <c r="FV16" t="s">
        <v>393</v>
      </c>
      <c r="FW16" t="s">
        <v>394</v>
      </c>
      <c r="FX16" t="s">
        <v>393</v>
      </c>
      <c r="FY16" t="s">
        <v>394</v>
      </c>
      <c r="FZ16" t="s">
        <v>377</v>
      </c>
      <c r="GA16" t="s">
        <v>377</v>
      </c>
      <c r="GB16" t="s">
        <v>373</v>
      </c>
      <c r="GC16" t="s">
        <v>395</v>
      </c>
      <c r="GD16" t="s">
        <v>373</v>
      </c>
      <c r="GG16" t="s">
        <v>396</v>
      </c>
      <c r="GJ16" t="s">
        <v>380</v>
      </c>
      <c r="GK16" t="s">
        <v>397</v>
      </c>
      <c r="GL16" t="s">
        <v>380</v>
      </c>
      <c r="GQ16" t="s">
        <v>398</v>
      </c>
      <c r="GR16" t="s">
        <v>398</v>
      </c>
      <c r="HE16" t="s">
        <v>398</v>
      </c>
      <c r="HF16" t="s">
        <v>398</v>
      </c>
      <c r="HG16" t="s">
        <v>399</v>
      </c>
      <c r="HH16" t="s">
        <v>399</v>
      </c>
      <c r="HI16" t="s">
        <v>375</v>
      </c>
      <c r="HJ16" t="s">
        <v>375</v>
      </c>
      <c r="HK16" t="s">
        <v>377</v>
      </c>
      <c r="HL16" t="s">
        <v>375</v>
      </c>
      <c r="HM16" t="s">
        <v>380</v>
      </c>
      <c r="HN16" t="s">
        <v>377</v>
      </c>
      <c r="HO16" t="s">
        <v>377</v>
      </c>
      <c r="HQ16" t="s">
        <v>398</v>
      </c>
      <c r="HR16" t="s">
        <v>398</v>
      </c>
      <c r="HS16" t="s">
        <v>398</v>
      </c>
      <c r="HT16" t="s">
        <v>398</v>
      </c>
      <c r="HU16" t="s">
        <v>398</v>
      </c>
      <c r="HV16" t="s">
        <v>398</v>
      </c>
      <c r="HW16" t="s">
        <v>398</v>
      </c>
      <c r="HX16" t="s">
        <v>400</v>
      </c>
      <c r="HY16" t="s">
        <v>400</v>
      </c>
      <c r="HZ16" t="s">
        <v>400</v>
      </c>
      <c r="IA16" t="s">
        <v>401</v>
      </c>
      <c r="IB16" t="s">
        <v>398</v>
      </c>
      <c r="IC16" t="s">
        <v>398</v>
      </c>
      <c r="ID16" t="s">
        <v>398</v>
      </c>
      <c r="IE16" t="s">
        <v>398</v>
      </c>
      <c r="IF16" t="s">
        <v>398</v>
      </c>
      <c r="IG16" t="s">
        <v>398</v>
      </c>
      <c r="IH16" t="s">
        <v>398</v>
      </c>
      <c r="II16" t="s">
        <v>398</v>
      </c>
      <c r="IJ16" t="s">
        <v>398</v>
      </c>
      <c r="IK16" t="s">
        <v>398</v>
      </c>
      <c r="IL16" t="s">
        <v>398</v>
      </c>
      <c r="IM16" t="s">
        <v>398</v>
      </c>
      <c r="IT16" t="s">
        <v>398</v>
      </c>
      <c r="IU16" t="s">
        <v>377</v>
      </c>
      <c r="IV16" t="s">
        <v>377</v>
      </c>
      <c r="IW16" t="s">
        <v>393</v>
      </c>
      <c r="IX16" t="s">
        <v>394</v>
      </c>
      <c r="IY16" t="s">
        <v>393</v>
      </c>
      <c r="JC16" t="s">
        <v>394</v>
      </c>
      <c r="JG16" t="s">
        <v>373</v>
      </c>
      <c r="JH16" t="s">
        <v>373</v>
      </c>
      <c r="JI16" t="s">
        <v>380</v>
      </c>
      <c r="JJ16" t="s">
        <v>380</v>
      </c>
      <c r="JK16" t="s">
        <v>402</v>
      </c>
      <c r="JL16" t="s">
        <v>402</v>
      </c>
      <c r="JM16" t="s">
        <v>398</v>
      </c>
      <c r="JN16" t="s">
        <v>398</v>
      </c>
      <c r="JO16" t="s">
        <v>398</v>
      </c>
      <c r="JP16" t="s">
        <v>398</v>
      </c>
      <c r="JQ16" t="s">
        <v>398</v>
      </c>
      <c r="JR16" t="s">
        <v>398</v>
      </c>
      <c r="JS16" t="s">
        <v>375</v>
      </c>
      <c r="JT16" t="s">
        <v>398</v>
      </c>
      <c r="JV16" t="s">
        <v>382</v>
      </c>
      <c r="JW16" t="s">
        <v>382</v>
      </c>
      <c r="JX16" t="s">
        <v>375</v>
      </c>
      <c r="JY16" t="s">
        <v>375</v>
      </c>
      <c r="JZ16" t="s">
        <v>375</v>
      </c>
      <c r="KA16" t="s">
        <v>375</v>
      </c>
      <c r="KB16" t="s">
        <v>375</v>
      </c>
      <c r="KC16" t="s">
        <v>377</v>
      </c>
      <c r="KD16" t="s">
        <v>377</v>
      </c>
      <c r="KE16" t="s">
        <v>377</v>
      </c>
      <c r="KF16" t="s">
        <v>375</v>
      </c>
      <c r="KG16" t="s">
        <v>373</v>
      </c>
      <c r="KH16" t="s">
        <v>380</v>
      </c>
      <c r="KI16" t="s">
        <v>377</v>
      </c>
      <c r="KJ16" t="s">
        <v>377</v>
      </c>
    </row>
    <row r="17" spans="1:296" x14ac:dyDescent="0.3">
      <c r="A17">
        <v>1</v>
      </c>
      <c r="B17">
        <v>1783955621</v>
      </c>
      <c r="C17">
        <v>0</v>
      </c>
      <c r="D17" t="s">
        <v>469</v>
      </c>
      <c r="E17" t="s">
        <v>470</v>
      </c>
      <c r="F17">
        <v>15</v>
      </c>
      <c r="H17">
        <v>1783955613.25</v>
      </c>
      <c r="I17">
        <f t="shared" ref="I17:I29" si="0">(J17)/1000</f>
        <v>3.0970817840759121E-3</v>
      </c>
      <c r="J17">
        <f t="shared" ref="J17:J29" si="1">IF(DO17, AM17, AG17)</f>
        <v>3.0970817840759119</v>
      </c>
      <c r="K17">
        <f t="shared" ref="K17:K29" si="2">IF(DO17, AH17, AF17)</f>
        <v>47.26215743201783</v>
      </c>
      <c r="L17">
        <f t="shared" ref="L17:L29" si="3">DQ17 - IF(AT17&gt;1, K17*DK17*100/(AV17), 0)</f>
        <v>419.66596666666669</v>
      </c>
      <c r="M17">
        <f t="shared" ref="M17:M29" si="4">((S17-I17/2)*L17-K17)/(S17+I17/2)</f>
        <v>111.54820603378992</v>
      </c>
      <c r="N17">
        <f t="shared" ref="N17:N29" si="5">M17*(DX17+DY17)/1000</f>
        <v>11.001524712669914</v>
      </c>
      <c r="O17">
        <f t="shared" ref="O17:O29" si="6">(DQ17 - IF(AT17&gt;1, K17*DK17*100/(AV17), 0))*(DX17+DY17)/1000</f>
        <v>41.389867820476482</v>
      </c>
      <c r="P17">
        <f t="shared" ref="P17:P29" si="7">2/((1/R17-1/Q17)+SIGN(R17)*SQRT((1/R17-1/Q17)*(1/R17-1/Q17) + 4*DL17/((DL17+1)*(DL17+1))*(2*1/R17*1/Q17-1/Q17*1/Q17)))</f>
        <v>0.26030372764849802</v>
      </c>
      <c r="Q17">
        <f t="shared" ref="Q17:Q29" si="8">IF(LEFT(DM17,1)&lt;&gt;"0",IF(LEFT(DM17,1)="1",3,DN17),$D$5+$E$5*(EE17*DX17/($K$5*1000))+$F$5*(EE17*DX17/($K$5*1000))*MAX(MIN(DK17,$J$5),$I$5)*MAX(MIN(DK17,$J$5),$I$5)+$G$5*MAX(MIN(DK17,$J$5),$I$5)*(EE17*DX17/($K$5*1000))+$H$5*(EE17*DX17/($K$5*1000))*(EE17*DX17/($K$5*1000)))</f>
        <v>2.9049757095305919</v>
      </c>
      <c r="R17">
        <f t="shared" ref="R17:R29" si="9">I17*(1000-(1000*0.61365*EXP(17.502*V17/(240.97+V17))/(DX17+DY17)+DS17)/2)/(1000*0.61365*EXP(17.502*V17/(240.97+V17))/(DX17+DY17)-DS17)</f>
        <v>0.24800502422686993</v>
      </c>
      <c r="S17">
        <f t="shared" ref="S17:S29" si="10">1/((DL17+1)/(P17/1.6)+1/(Q17/1.37)) + DL17/((DL17+1)/(P17/1.6) + DL17/(Q17/1.37))</f>
        <v>0.15605969679290169</v>
      </c>
      <c r="T17">
        <f t="shared" ref="T17:T29" si="11">(DG17*DJ17)</f>
        <v>319.7749812914725</v>
      </c>
      <c r="U17">
        <f t="shared" ref="U17:U29" si="12">(DZ17+(T17+2*0.95*0.0000000567*(((DZ17+$B$7)+273)^4-(DZ17+273)^4)-44100*I17)/(1.84*29.3*Q17+8*0.95*0.0000000567*(DZ17+273)^3))</f>
        <v>25.620436443214942</v>
      </c>
      <c r="V17">
        <f t="shared" ref="V17:V29" si="13">($C$7*EA17+$D$7*EB17+$E$7*U17)</f>
        <v>24.979003333333331</v>
      </c>
      <c r="W17">
        <f t="shared" ref="W17:W29" si="14">0.61365*EXP(17.502*V17/(240.97+V17))</f>
        <v>3.1756994390316864</v>
      </c>
      <c r="X17">
        <f t="shared" ref="X17:X29" si="15">(Y17/Z17*100)</f>
        <v>63.922242596306809</v>
      </c>
      <c r="Y17">
        <f t="shared" ref="Y17:Y29" si="16">DS17*(DX17+DY17)/1000</f>
        <v>1.9762317377053387</v>
      </c>
      <c r="Z17">
        <f t="shared" ref="Z17:Z29" si="17">0.61365*EXP(17.502*DZ17/(240.97+DZ17))</f>
        <v>3.0916182809573671</v>
      </c>
      <c r="AA17">
        <f t="shared" ref="AA17:AA29" si="18">(W17-DS17*(DX17+DY17)/1000)</f>
        <v>1.1994677013263477</v>
      </c>
      <c r="AB17">
        <f t="shared" ref="AB17:AB29" si="19">(-I17*44100)</f>
        <v>-136.58130667774773</v>
      </c>
      <c r="AC17">
        <f t="shared" ref="AC17:AC29" si="20">2*29.3*Q17*0.92*(DZ17-V17)</f>
        <v>-70.357890872155949</v>
      </c>
      <c r="AD17">
        <f t="shared" ref="AD17:AD29" si="21">2*0.95*0.0000000567*(((DZ17+$B$7)+273)^4-(V17+273)^4)</f>
        <v>-5.1104158084920037</v>
      </c>
      <c r="AE17">
        <f t="shared" ref="AE17:AE29" si="22">T17+AD17+AB17+AC17</f>
        <v>107.72536793307681</v>
      </c>
      <c r="AF17">
        <f t="shared" ref="AF17:AF29" si="23">DW17*AT17*(DR17-DQ17*(1000-AT17*DT17)/(1000-AT17*DS17))/(100*DK17)</f>
        <v>47.26215743201783</v>
      </c>
      <c r="AG17">
        <f t="shared" ref="AG17:AG29" si="24">1000*DW17*AT17*(DS17-DT17)/(100*DK17*(1000-AT17*DS17))</f>
        <v>3.0970817840759119</v>
      </c>
      <c r="AH17">
        <f t="shared" ref="AH17:AH29" si="25">(AI17 - AJ17 - DX17*1000/(8.314*(DZ17+273.15)) * AL17/DW17 * AK17) * DW17/(100*DK17) * (1000 - DT17)/1000</f>
        <v>47.122715493185964</v>
      </c>
      <c r="AI17">
        <v>486.05734420288252</v>
      </c>
      <c r="AJ17">
        <v>428.39341212121201</v>
      </c>
      <c r="AK17">
        <v>3.3671854969636199E-2</v>
      </c>
      <c r="AL17">
        <v>67.086328009731929</v>
      </c>
      <c r="AM17">
        <f t="shared" ref="AM17:AM29" si="26">(AO17 - AN17 + DX17*1000/(8.314*(DZ17+273.15)) * AQ17/DW17 * AP17) * DW17/(100*DK17) * 1000/(1000 - AO17)</f>
        <v>3.1463349300739822</v>
      </c>
      <c r="AN17">
        <v>16.438479509034291</v>
      </c>
      <c r="AO17">
        <v>20.129982424242421</v>
      </c>
      <c r="AP17">
        <v>1.238645842265845E-3</v>
      </c>
      <c r="AQ17">
        <v>78.235063207317353</v>
      </c>
      <c r="AR17">
        <v>0</v>
      </c>
      <c r="AS17">
        <v>0</v>
      </c>
      <c r="AT17">
        <f t="shared" ref="AT17:AT29" si="27">IF(AR17*$H$13&gt;=AV17,1,(AV17/(AV17-AR17*$H$13)))</f>
        <v>1</v>
      </c>
      <c r="AU17">
        <f t="shared" ref="AU17:AU29" si="28">(AT17-1)*100</f>
        <v>0</v>
      </c>
      <c r="AV17">
        <f t="shared" ref="AV17:AV29" si="29">MAX(0,($B$13+$C$13*EE17)/(1+$D$13*EE17)*DX17/(DZ17+273)*$E$13)</f>
        <v>52572.228850358377</v>
      </c>
      <c r="AW17" t="s">
        <v>471</v>
      </c>
      <c r="AX17">
        <v>5093.3999999999996</v>
      </c>
      <c r="AY17">
        <v>591.17352941176478</v>
      </c>
      <c r="AZ17">
        <v>2325.63</v>
      </c>
      <c r="BA17">
        <f t="shared" ref="BA17:BA29" si="30">1-AY17/AZ17</f>
        <v>0.74580069511841318</v>
      </c>
      <c r="BB17">
        <v>-2.7030707972498691</v>
      </c>
      <c r="BC17" t="s">
        <v>472</v>
      </c>
      <c r="BD17">
        <v>5089.2</v>
      </c>
      <c r="BE17">
        <v>780.05694117647056</v>
      </c>
      <c r="BF17">
        <v>939.32</v>
      </c>
      <c r="BG17">
        <f t="shared" ref="BG17:BG29" si="31">1-BE17/BF17</f>
        <v>0.1695514402158258</v>
      </c>
      <c r="BH17">
        <v>0.5</v>
      </c>
      <c r="BI17">
        <f t="shared" ref="BI17:BI29" si="32">DH17</f>
        <v>1680.2898398401408</v>
      </c>
      <c r="BJ17">
        <f t="shared" ref="BJ17:BJ29" si="33">K17</f>
        <v>47.26215743201783</v>
      </c>
      <c r="BK17">
        <f t="shared" ref="BK17:BK29" si="34">BG17*BH17*BI17</f>
        <v>142.44778116245757</v>
      </c>
      <c r="BL17">
        <f t="shared" ref="BL17:BL29" si="35">(BJ17-BB17)/BI17</f>
        <v>2.9736077100853797E-2</v>
      </c>
      <c r="BM17">
        <f t="shared" ref="BM17:BM29" si="36">(AZ17-BF17)/BF17</f>
        <v>1.4758655197376824</v>
      </c>
      <c r="BN17">
        <f t="shared" ref="BN17:BN29" si="37">AY17/(BA17+AY17/BF17)</f>
        <v>429.89311387421657</v>
      </c>
      <c r="BO17" t="s">
        <v>407</v>
      </c>
      <c r="BP17">
        <v>0</v>
      </c>
      <c r="BQ17">
        <f t="shared" ref="BQ17:BQ29" si="38">IF(BP17&lt;&gt;0, BP17, BN17)</f>
        <v>429.89311387421657</v>
      </c>
      <c r="BR17">
        <f t="shared" ref="BR17:BR29" si="39">1-BQ17/BF17</f>
        <v>0.54233582392132973</v>
      </c>
      <c r="BS17">
        <f t="shared" ref="BS17:BS29" si="40">(BF17-BE17)/(BF17-BQ17)</f>
        <v>0.31263182835663206</v>
      </c>
      <c r="BT17">
        <f t="shared" ref="BT17:BT29" si="41">(AZ17-BF17)/(AZ17-BQ17)</f>
        <v>0.73127764203244883</v>
      </c>
      <c r="BU17">
        <f t="shared" ref="BU17:BU29" si="42">(BF17-BE17)/(BF17-AY17)</f>
        <v>0.45745992643393862</v>
      </c>
      <c r="BV17">
        <f t="shared" ref="BV17:BV29" si="43">(AZ17-BF17)/(AZ17-AY17)</f>
        <v>0.7992763286413509</v>
      </c>
      <c r="BW17">
        <f t="shared" ref="BW17:BW29" si="44">(BS17*BQ17/BE17)</f>
        <v>0.17229289695919459</v>
      </c>
      <c r="BX17">
        <f t="shared" ref="BX17:BX29" si="45">(1-BW17)</f>
        <v>0.82770710304080541</v>
      </c>
      <c r="DG17">
        <f t="shared" ref="DG17:DG29" si="46">$B$11*EF17+$C$11*EG17+$F$11*ER17*(1-EU17)</f>
        <v>1999.989333333333</v>
      </c>
      <c r="DH17">
        <f t="shared" ref="DH17:DH29" si="47">DG17*DI17</f>
        <v>1680.2898398401408</v>
      </c>
      <c r="DI17">
        <f t="shared" ref="DI17:DI29" si="48">($B$11*$D$9+$C$11*$D$9+$F$11*((FE17+EW17)/MAX(FE17+EW17+FF17, 0.1)*$I$9+FF17/MAX(FE17+EW17+FF17, 0.1)*$J$9))/($B$11+$C$11+$F$11)</f>
        <v>0.84014940071687438</v>
      </c>
      <c r="DJ17">
        <f t="shared" ref="DJ17:DJ29" si="49">($B$11*$K$9+$C$11*$K$9+$F$11*((FE17+EW17)/MAX(FE17+EW17+FF17, 0.1)*$P$9+FF17/MAX(FE17+EW17+FF17, 0.1)*$Q$9))/($B$11+$C$11+$F$11)</f>
        <v>0.15988834338356767</v>
      </c>
      <c r="DK17">
        <v>6</v>
      </c>
      <c r="DL17">
        <v>0.5</v>
      </c>
      <c r="DM17" t="s">
        <v>408</v>
      </c>
      <c r="DN17">
        <v>2</v>
      </c>
      <c r="DO17" t="b">
        <v>0</v>
      </c>
      <c r="DP17">
        <v>1783955613.25</v>
      </c>
      <c r="DQ17">
        <v>419.66596666666669</v>
      </c>
      <c r="DR17">
        <v>477.93430000000001</v>
      </c>
      <c r="DS17">
        <v>20.037686666666669</v>
      </c>
      <c r="DT17">
        <v>16.39603</v>
      </c>
      <c r="DU17">
        <v>425.82403333333338</v>
      </c>
      <c r="DV17">
        <v>20.684686666666671</v>
      </c>
      <c r="DW17">
        <v>500.05099999999999</v>
      </c>
      <c r="DX17">
        <v>98.577846666666645</v>
      </c>
      <c r="DY17">
        <v>4.789644333333333E-2</v>
      </c>
      <c r="DZ17">
        <v>24.52975666666666</v>
      </c>
      <c r="EA17">
        <v>24.979003333333331</v>
      </c>
      <c r="EB17">
        <v>999.9000000000002</v>
      </c>
      <c r="EC17">
        <v>0</v>
      </c>
      <c r="ED17">
        <v>0</v>
      </c>
      <c r="EE17">
        <v>10002.83333333333</v>
      </c>
      <c r="EF17">
        <v>0</v>
      </c>
      <c r="EG17">
        <v>155.16346666666669</v>
      </c>
      <c r="EH17">
        <v>-58.268240000000013</v>
      </c>
      <c r="EI17">
        <v>428.27699999999987</v>
      </c>
      <c r="EJ17">
        <v>485.90109999999999</v>
      </c>
      <c r="EK17">
        <v>3.7101220000000001</v>
      </c>
      <c r="EL17">
        <v>477.93430000000001</v>
      </c>
      <c r="EM17">
        <v>16.39603</v>
      </c>
      <c r="EN17">
        <v>1.9820203333333331</v>
      </c>
      <c r="EO17">
        <v>1.616285</v>
      </c>
      <c r="EP17">
        <v>17.301423333333329</v>
      </c>
      <c r="EQ17">
        <v>14.11488333333334</v>
      </c>
      <c r="ER17">
        <v>1999.989333333333</v>
      </c>
      <c r="ES17">
        <v>0.99500623333333338</v>
      </c>
      <c r="ET17">
        <v>4.9938763333333327E-3</v>
      </c>
      <c r="EU17">
        <v>0</v>
      </c>
      <c r="EV17">
        <v>780.27673333333337</v>
      </c>
      <c r="EW17">
        <v>5.0010700000000003</v>
      </c>
      <c r="EX17">
        <v>19486.403333333328</v>
      </c>
      <c r="EY17">
        <v>18241.603333333329</v>
      </c>
      <c r="EZ17">
        <v>41.016499999999979</v>
      </c>
      <c r="FA17">
        <v>43.5</v>
      </c>
      <c r="FB17">
        <v>41.799599999999977</v>
      </c>
      <c r="FC17">
        <v>42.555833333333318</v>
      </c>
      <c r="FD17">
        <v>42.020633333333308</v>
      </c>
      <c r="FE17">
        <v>1985.0293333333329</v>
      </c>
      <c r="FF17">
        <v>9.9599999999999991</v>
      </c>
      <c r="FG17">
        <v>0</v>
      </c>
      <c r="FH17">
        <v>1783955620.7</v>
      </c>
      <c r="FI17">
        <v>0</v>
      </c>
      <c r="FJ17">
        <v>780.05694117647056</v>
      </c>
      <c r="FK17">
        <v>-4.8676470587400882</v>
      </c>
      <c r="FL17">
        <v>-72.720588167259649</v>
      </c>
      <c r="FM17">
        <v>19482.099999999999</v>
      </c>
      <c r="FN17">
        <v>10</v>
      </c>
      <c r="FO17">
        <v>1783955646</v>
      </c>
      <c r="FP17" t="s">
        <v>473</v>
      </c>
      <c r="FQ17">
        <v>1783955217.5</v>
      </c>
      <c r="FR17">
        <v>1783955646</v>
      </c>
      <c r="FS17">
        <v>2</v>
      </c>
      <c r="FT17">
        <v>-0.26100000000000001</v>
      </c>
      <c r="FU17">
        <v>1.4999999999999999E-2</v>
      </c>
      <c r="FV17">
        <v>-6.3449999999999998</v>
      </c>
      <c r="FW17">
        <v>-0.64700000000000002</v>
      </c>
      <c r="FX17">
        <v>470</v>
      </c>
      <c r="FY17">
        <v>17</v>
      </c>
      <c r="FZ17">
        <v>0.18</v>
      </c>
      <c r="GA17">
        <v>7.0000000000000007E-2</v>
      </c>
      <c r="GB17">
        <v>419.65783333333337</v>
      </c>
      <c r="GC17">
        <v>0.47762402669549159</v>
      </c>
      <c r="GD17">
        <v>8.1883284144097276E-2</v>
      </c>
      <c r="GE17">
        <v>-1</v>
      </c>
      <c r="GF17">
        <v>780.67911764705889</v>
      </c>
      <c r="GG17">
        <v>-6.4347440783060676</v>
      </c>
      <c r="GH17">
        <v>0.68455312880679009</v>
      </c>
      <c r="GI17">
        <v>1</v>
      </c>
      <c r="GJ17">
        <v>3.7362497499999998</v>
      </c>
      <c r="GK17">
        <v>-0.48969151969981389</v>
      </c>
      <c r="GL17">
        <v>5.1056519734873212E-2</v>
      </c>
      <c r="GM17">
        <v>1</v>
      </c>
      <c r="GN17">
        <v>2</v>
      </c>
      <c r="GO17">
        <v>2</v>
      </c>
      <c r="GP17" t="s">
        <v>423</v>
      </c>
      <c r="GQ17">
        <v>3.1296300000000001</v>
      </c>
      <c r="GR17">
        <v>2.7233200000000002</v>
      </c>
      <c r="GS17">
        <v>9.2303899999999994E-2</v>
      </c>
      <c r="GT17">
        <v>0.10136299999999999</v>
      </c>
      <c r="GU17">
        <v>0.10161100000000001</v>
      </c>
      <c r="GV17">
        <v>8.6421200000000004E-2</v>
      </c>
      <c r="GW17">
        <v>22763.9</v>
      </c>
      <c r="GX17">
        <v>30269.599999999999</v>
      </c>
      <c r="GY17">
        <v>27202.6</v>
      </c>
      <c r="GZ17">
        <v>34635.1</v>
      </c>
      <c r="HA17">
        <v>35790.6</v>
      </c>
      <c r="HB17">
        <v>40042.9</v>
      </c>
      <c r="HC17">
        <v>40168.199999999997</v>
      </c>
      <c r="HD17">
        <v>43910.8</v>
      </c>
      <c r="HE17">
        <v>1.9652000000000001</v>
      </c>
      <c r="HF17">
        <v>1.8180000000000001</v>
      </c>
      <c r="HG17">
        <v>-7.2717699999999996E-2</v>
      </c>
      <c r="HH17">
        <v>0</v>
      </c>
      <c r="HI17">
        <v>26.176600000000001</v>
      </c>
      <c r="HJ17">
        <v>999.9</v>
      </c>
      <c r="HK17">
        <v>65.400000000000006</v>
      </c>
      <c r="HL17">
        <v>32.799999999999997</v>
      </c>
      <c r="HM17">
        <v>33.141100000000002</v>
      </c>
      <c r="HN17">
        <v>61.650599999999997</v>
      </c>
      <c r="HO17">
        <v>5.03606</v>
      </c>
      <c r="HP17">
        <v>1</v>
      </c>
      <c r="HQ17">
        <v>0.51516300000000004</v>
      </c>
      <c r="HR17">
        <v>5.9376199999999999</v>
      </c>
      <c r="HS17">
        <v>20.1343</v>
      </c>
      <c r="HT17">
        <v>5.2077099999999996</v>
      </c>
      <c r="HU17">
        <v>11.908099999999999</v>
      </c>
      <c r="HV17">
        <v>4.9836</v>
      </c>
      <c r="HW17">
        <v>3.2702</v>
      </c>
      <c r="HX17">
        <v>9999</v>
      </c>
      <c r="HY17">
        <v>9999</v>
      </c>
      <c r="HZ17">
        <v>9999</v>
      </c>
      <c r="IA17">
        <v>999.9</v>
      </c>
      <c r="IB17">
        <v>1.86768</v>
      </c>
      <c r="IC17">
        <v>1.8632500000000001</v>
      </c>
      <c r="ID17">
        <v>1.8627899999999999</v>
      </c>
      <c r="IE17">
        <v>1.8622099999999999</v>
      </c>
      <c r="IF17">
        <v>1.8622099999999999</v>
      </c>
      <c r="IG17">
        <v>1.8628899999999999</v>
      </c>
      <c r="IH17">
        <v>1.8638600000000001</v>
      </c>
      <c r="II17">
        <v>1.86172</v>
      </c>
      <c r="IJ17">
        <v>0</v>
      </c>
      <c r="IK17">
        <v>0</v>
      </c>
      <c r="IL17">
        <v>0</v>
      </c>
      <c r="IM17">
        <v>4.5</v>
      </c>
      <c r="IN17" t="s">
        <v>411</v>
      </c>
      <c r="IO17" t="s">
        <v>412</v>
      </c>
      <c r="IP17" t="s">
        <v>413</v>
      </c>
      <c r="IQ17" t="s">
        <v>414</v>
      </c>
      <c r="IR17" t="s">
        <v>414</v>
      </c>
      <c r="IS17" t="s">
        <v>413</v>
      </c>
      <c r="IT17">
        <v>0</v>
      </c>
      <c r="IU17">
        <v>100</v>
      </c>
      <c r="IV17">
        <v>100</v>
      </c>
      <c r="IW17">
        <v>-6.1589999999999998</v>
      </c>
      <c r="IX17">
        <v>-0.64700000000000002</v>
      </c>
      <c r="IY17">
        <v>-4.171045204062823</v>
      </c>
      <c r="IZ17">
        <v>-5.6215304933332991E-3</v>
      </c>
      <c r="JA17">
        <v>2.3979931213773931E-6</v>
      </c>
      <c r="JB17">
        <v>-3.6297174575716598E-10</v>
      </c>
      <c r="JC17">
        <v>-0.8823373850498748</v>
      </c>
      <c r="JD17">
        <v>2.7492919904454862E-4</v>
      </c>
      <c r="JE17">
        <v>8.6739513355948885E-4</v>
      </c>
      <c r="JF17">
        <v>-8.2500691715147318E-6</v>
      </c>
      <c r="JG17">
        <v>17</v>
      </c>
      <c r="JH17">
        <v>1914</v>
      </c>
      <c r="JI17">
        <v>2</v>
      </c>
      <c r="JJ17">
        <v>37</v>
      </c>
      <c r="JK17">
        <v>6.7</v>
      </c>
      <c r="JL17">
        <v>6.7</v>
      </c>
      <c r="JM17">
        <v>1.1987300000000001</v>
      </c>
      <c r="JN17">
        <v>2.50488</v>
      </c>
      <c r="JO17">
        <v>1.50024</v>
      </c>
      <c r="JP17">
        <v>2.2814899999999998</v>
      </c>
      <c r="JQ17">
        <v>1.4477500000000001</v>
      </c>
      <c r="JR17">
        <v>2.35229</v>
      </c>
      <c r="JS17">
        <v>40.886499999999998</v>
      </c>
      <c r="JT17">
        <v>23.8598</v>
      </c>
      <c r="JU17">
        <v>18</v>
      </c>
      <c r="JV17">
        <v>537.89400000000001</v>
      </c>
      <c r="JW17">
        <v>455.69799999999998</v>
      </c>
      <c r="JX17">
        <v>19.880700000000001</v>
      </c>
      <c r="JY17">
        <v>33.409999999999997</v>
      </c>
      <c r="JZ17">
        <v>30.000499999999999</v>
      </c>
      <c r="KA17">
        <v>33.452100000000002</v>
      </c>
      <c r="KB17">
        <v>33.469900000000003</v>
      </c>
      <c r="KC17">
        <v>23.98</v>
      </c>
      <c r="KD17">
        <v>50.672800000000002</v>
      </c>
      <c r="KE17">
        <v>0</v>
      </c>
      <c r="KF17">
        <v>19.8857</v>
      </c>
      <c r="KG17">
        <v>478.00200000000001</v>
      </c>
      <c r="KH17">
        <v>16.54</v>
      </c>
      <c r="KI17">
        <v>100.393</v>
      </c>
      <c r="KJ17">
        <v>98.827500000000001</v>
      </c>
    </row>
    <row r="18" spans="1:296" x14ac:dyDescent="0.3">
      <c r="A18">
        <v>2</v>
      </c>
      <c r="B18">
        <v>1783955827.0999999</v>
      </c>
      <c r="C18">
        <v>206.0999999046326</v>
      </c>
      <c r="D18" t="s">
        <v>474</v>
      </c>
      <c r="E18" t="s">
        <v>475</v>
      </c>
      <c r="F18">
        <v>15</v>
      </c>
      <c r="H18">
        <v>1783955819.099999</v>
      </c>
      <c r="I18">
        <f t="shared" si="0"/>
        <v>2.7757354506954953E-3</v>
      </c>
      <c r="J18">
        <f t="shared" si="1"/>
        <v>2.7757354506954952</v>
      </c>
      <c r="K18">
        <f t="shared" si="2"/>
        <v>45.597660627317211</v>
      </c>
      <c r="L18">
        <f t="shared" si="3"/>
        <v>420</v>
      </c>
      <c r="M18">
        <f t="shared" si="4"/>
        <v>100.69621818356701</v>
      </c>
      <c r="N18">
        <f t="shared" si="5"/>
        <v>9.9313678526035449</v>
      </c>
      <c r="O18">
        <f t="shared" si="6"/>
        <v>41.423348099225819</v>
      </c>
      <c r="P18">
        <f t="shared" si="7"/>
        <v>0.2412496405582584</v>
      </c>
      <c r="Q18">
        <f t="shared" si="8"/>
        <v>2.9044095034548212</v>
      </c>
      <c r="R18">
        <f t="shared" si="9"/>
        <v>0.23064417240344184</v>
      </c>
      <c r="S18">
        <f t="shared" si="10"/>
        <v>0.14506661286546946</v>
      </c>
      <c r="T18">
        <f t="shared" si="11"/>
        <v>271.91136533905637</v>
      </c>
      <c r="U18">
        <f t="shared" si="12"/>
        <v>25.554508394706655</v>
      </c>
      <c r="V18">
        <f t="shared" si="13"/>
        <v>25.011754838709681</v>
      </c>
      <c r="W18">
        <f t="shared" si="14"/>
        <v>3.1819066311955546</v>
      </c>
      <c r="X18">
        <f t="shared" si="15"/>
        <v>65.016310594728736</v>
      </c>
      <c r="Y18">
        <f t="shared" si="16"/>
        <v>2.0262987923723066</v>
      </c>
      <c r="Z18">
        <f t="shared" si="17"/>
        <v>3.1166007019423079</v>
      </c>
      <c r="AA18">
        <f t="shared" si="18"/>
        <v>1.155607838823248</v>
      </c>
      <c r="AB18">
        <f t="shared" si="19"/>
        <v>-122.40993337567134</v>
      </c>
      <c r="AC18">
        <f t="shared" si="20"/>
        <v>-54.398789656877703</v>
      </c>
      <c r="AD18">
        <f t="shared" si="21"/>
        <v>-3.9553350318937315</v>
      </c>
      <c r="AE18">
        <f t="shared" si="22"/>
        <v>91.147307274613553</v>
      </c>
      <c r="AF18">
        <f t="shared" si="23"/>
        <v>45.597660627317211</v>
      </c>
      <c r="AG18">
        <f t="shared" si="24"/>
        <v>2.7757354506954952</v>
      </c>
      <c r="AH18">
        <f t="shared" si="25"/>
        <v>45.599178484269352</v>
      </c>
      <c r="AI18">
        <v>484.47095341551528</v>
      </c>
      <c r="AJ18">
        <v>428.78220606060597</v>
      </c>
      <c r="AK18">
        <v>1.6284693608765099E-3</v>
      </c>
      <c r="AL18">
        <v>67.034596346975647</v>
      </c>
      <c r="AM18">
        <f t="shared" si="26"/>
        <v>2.7629142591665916</v>
      </c>
      <c r="AN18">
        <v>17.29694883402955</v>
      </c>
      <c r="AO18">
        <v>20.544777575757571</v>
      </c>
      <c r="AP18">
        <v>-8.4081379499097102E-5</v>
      </c>
      <c r="AQ18">
        <v>78.055092334444566</v>
      </c>
      <c r="AR18">
        <v>0</v>
      </c>
      <c r="AS18">
        <v>0</v>
      </c>
      <c r="AT18">
        <f t="shared" si="27"/>
        <v>1</v>
      </c>
      <c r="AU18">
        <f t="shared" si="28"/>
        <v>0</v>
      </c>
      <c r="AV18">
        <f t="shared" si="29"/>
        <v>52532.134565644075</v>
      </c>
      <c r="AW18" t="s">
        <v>471</v>
      </c>
      <c r="AX18">
        <v>5093.3999999999996</v>
      </c>
      <c r="AY18">
        <v>591.17352941176478</v>
      </c>
      <c r="AZ18">
        <v>2325.63</v>
      </c>
      <c r="BA18">
        <f t="shared" si="30"/>
        <v>0.74580069511841318</v>
      </c>
      <c r="BB18">
        <v>-2.7030707972498691</v>
      </c>
      <c r="BC18" t="s">
        <v>476</v>
      </c>
      <c r="BD18">
        <v>5088.51</v>
      </c>
      <c r="BE18">
        <v>761.14964705882358</v>
      </c>
      <c r="BF18">
        <v>955.15</v>
      </c>
      <c r="BG18">
        <f t="shared" si="31"/>
        <v>0.20310982876111228</v>
      </c>
      <c r="BH18">
        <v>0.5</v>
      </c>
      <c r="BI18">
        <f t="shared" si="32"/>
        <v>1428.318377227323</v>
      </c>
      <c r="BJ18">
        <f t="shared" si="33"/>
        <v>45.597660627317211</v>
      </c>
      <c r="BK18">
        <f t="shared" si="34"/>
        <v>145.05275050749569</v>
      </c>
      <c r="BL18">
        <f t="shared" si="35"/>
        <v>3.3816502115116186E-2</v>
      </c>
      <c r="BM18">
        <f t="shared" si="36"/>
        <v>1.4348322253049259</v>
      </c>
      <c r="BN18">
        <f t="shared" si="37"/>
        <v>433.17877998042843</v>
      </c>
      <c r="BO18" t="s">
        <v>407</v>
      </c>
      <c r="BP18">
        <v>0</v>
      </c>
      <c r="BQ18">
        <f t="shared" si="38"/>
        <v>433.17877998042843</v>
      </c>
      <c r="BR18">
        <f t="shared" si="39"/>
        <v>0.54648088783915783</v>
      </c>
      <c r="BS18">
        <f t="shared" si="40"/>
        <v>0.37166867731501035</v>
      </c>
      <c r="BT18">
        <f t="shared" si="41"/>
        <v>0.72418247059801444</v>
      </c>
      <c r="BU18">
        <f t="shared" si="42"/>
        <v>0.53300245652595513</v>
      </c>
      <c r="BV18">
        <f t="shared" si="43"/>
        <v>0.79014955015573618</v>
      </c>
      <c r="BW18">
        <f t="shared" si="44"/>
        <v>0.21152080253649952</v>
      </c>
      <c r="BX18">
        <f t="shared" si="45"/>
        <v>0.78847919746350048</v>
      </c>
      <c r="DG18">
        <f t="shared" si="46"/>
        <v>1700.0158064516129</v>
      </c>
      <c r="DH18">
        <f t="shared" si="47"/>
        <v>1428.318377227323</v>
      </c>
      <c r="DI18">
        <f t="shared" si="48"/>
        <v>0.84017946880659011</v>
      </c>
      <c r="DJ18">
        <f t="shared" si="49"/>
        <v>0.15994637479671911</v>
      </c>
      <c r="DK18">
        <v>6</v>
      </c>
      <c r="DL18">
        <v>0.5</v>
      </c>
      <c r="DM18" t="s">
        <v>408</v>
      </c>
      <c r="DN18">
        <v>2</v>
      </c>
      <c r="DO18" t="b">
        <v>0</v>
      </c>
      <c r="DP18">
        <v>1783955819.099999</v>
      </c>
      <c r="DQ18">
        <v>420</v>
      </c>
      <c r="DR18">
        <v>476.11487096774181</v>
      </c>
      <c r="DS18">
        <v>20.54506774193548</v>
      </c>
      <c r="DT18">
        <v>17.28269354838709</v>
      </c>
      <c r="DU18">
        <v>426.18512903225798</v>
      </c>
      <c r="DV18">
        <v>21.10028387096774</v>
      </c>
      <c r="DW18">
        <v>500.0115161290322</v>
      </c>
      <c r="DX18">
        <v>98.578577419354858</v>
      </c>
      <c r="DY18">
        <v>4.8441864516129043E-2</v>
      </c>
      <c r="DZ18">
        <v>24.664341935483879</v>
      </c>
      <c r="EA18">
        <v>25.011754838709681</v>
      </c>
      <c r="EB18">
        <v>999.90000000000032</v>
      </c>
      <c r="EC18">
        <v>0</v>
      </c>
      <c r="ED18">
        <v>0</v>
      </c>
      <c r="EE18">
        <v>9999.5161290322576</v>
      </c>
      <c r="EF18">
        <v>0</v>
      </c>
      <c r="EG18">
        <v>155.84190322580639</v>
      </c>
      <c r="EH18">
        <v>-56.11482580645162</v>
      </c>
      <c r="EI18">
        <v>428.8099677419354</v>
      </c>
      <c r="EJ18">
        <v>484.48806451612899</v>
      </c>
      <c r="EK18">
        <v>3.262383548387096</v>
      </c>
      <c r="EL18">
        <v>476.11487096774181</v>
      </c>
      <c r="EM18">
        <v>17.28269354838709</v>
      </c>
      <c r="EN18">
        <v>2.0253025806451612</v>
      </c>
      <c r="EO18">
        <v>1.7037016129032261</v>
      </c>
      <c r="EP18">
        <v>17.643554838709679</v>
      </c>
      <c r="EQ18">
        <v>14.930187096774199</v>
      </c>
      <c r="ER18">
        <v>1700.0158064516129</v>
      </c>
      <c r="ES18">
        <v>0.99399796774193583</v>
      </c>
      <c r="ET18">
        <v>6.0021441935483883E-3</v>
      </c>
      <c r="EU18">
        <v>0</v>
      </c>
      <c r="EV18">
        <v>761.21290322580637</v>
      </c>
      <c r="EW18">
        <v>5.0010700000000003</v>
      </c>
      <c r="EX18">
        <v>16741.516129032261</v>
      </c>
      <c r="EY18">
        <v>15492.64516129032</v>
      </c>
      <c r="EZ18">
        <v>41.574193548387093</v>
      </c>
      <c r="FA18">
        <v>44.186999999999969</v>
      </c>
      <c r="FB18">
        <v>42.568096774193528</v>
      </c>
      <c r="FC18">
        <v>43.225612903225809</v>
      </c>
      <c r="FD18">
        <v>42.627000000000002</v>
      </c>
      <c r="FE18">
        <v>1684.845806451613</v>
      </c>
      <c r="FF18">
        <v>10.17</v>
      </c>
      <c r="FG18">
        <v>0</v>
      </c>
      <c r="FH18">
        <v>205.4000000953674</v>
      </c>
      <c r="FI18">
        <v>0</v>
      </c>
      <c r="FJ18">
        <v>761.14964705882358</v>
      </c>
      <c r="FK18">
        <v>-2.087990170541524</v>
      </c>
      <c r="FL18">
        <v>182.37745174987671</v>
      </c>
      <c r="FM18">
        <v>16740.5705882353</v>
      </c>
      <c r="FN18">
        <v>10</v>
      </c>
      <c r="FO18">
        <v>1783955736.5</v>
      </c>
      <c r="FP18" t="s">
        <v>477</v>
      </c>
      <c r="FQ18">
        <v>1783955736.5</v>
      </c>
      <c r="FR18">
        <v>1783955729.5</v>
      </c>
      <c r="FS18">
        <v>3</v>
      </c>
      <c r="FT18">
        <v>-2.5999999999999999E-2</v>
      </c>
      <c r="FU18">
        <v>-2E-3</v>
      </c>
      <c r="FV18">
        <v>-6.3949999999999996</v>
      </c>
      <c r="FW18">
        <v>-0.64500000000000002</v>
      </c>
      <c r="FX18">
        <v>477</v>
      </c>
      <c r="FY18">
        <v>17</v>
      </c>
      <c r="FZ18">
        <v>0.15</v>
      </c>
      <c r="GA18">
        <v>0.08</v>
      </c>
      <c r="GB18">
        <v>420</v>
      </c>
      <c r="GC18">
        <v>-1.461290322673096E-2</v>
      </c>
      <c r="GD18">
        <v>7.2102078176841972E-2</v>
      </c>
      <c r="GE18">
        <v>-1</v>
      </c>
      <c r="GF18">
        <v>761.25729411764701</v>
      </c>
      <c r="GG18">
        <v>-1.269090900440571</v>
      </c>
      <c r="GH18">
        <v>0.27380312048793098</v>
      </c>
      <c r="GI18">
        <v>1</v>
      </c>
      <c r="GJ18">
        <v>3.2753182926829272</v>
      </c>
      <c r="GK18">
        <v>-0.34856466898954269</v>
      </c>
      <c r="GL18">
        <v>3.7314395829350623E-2</v>
      </c>
      <c r="GM18">
        <v>1</v>
      </c>
      <c r="GN18">
        <v>2</v>
      </c>
      <c r="GO18">
        <v>2</v>
      </c>
      <c r="GP18" t="s">
        <v>423</v>
      </c>
      <c r="GQ18">
        <v>3.1302599999999998</v>
      </c>
      <c r="GR18">
        <v>2.7235800000000001</v>
      </c>
      <c r="GS18">
        <v>9.2311099999999993E-2</v>
      </c>
      <c r="GT18">
        <v>0.10106900000000001</v>
      </c>
      <c r="GU18">
        <v>0.10297000000000001</v>
      </c>
      <c r="GV18">
        <v>8.9933299999999994E-2</v>
      </c>
      <c r="GW18">
        <v>22760.400000000001</v>
      </c>
      <c r="GX18">
        <v>30277.5</v>
      </c>
      <c r="GY18">
        <v>27199</v>
      </c>
      <c r="GZ18">
        <v>34633.1</v>
      </c>
      <c r="HA18">
        <v>35732.800000000003</v>
      </c>
      <c r="HB18">
        <v>39886.800000000003</v>
      </c>
      <c r="HC18">
        <v>40163.9</v>
      </c>
      <c r="HD18">
        <v>43908.6</v>
      </c>
      <c r="HE18">
        <v>1.9650000000000001</v>
      </c>
      <c r="HF18">
        <v>1.8116000000000001</v>
      </c>
      <c r="HG18">
        <v>-7.2866700000000006E-2</v>
      </c>
      <c r="HH18">
        <v>0</v>
      </c>
      <c r="HI18">
        <v>26.229299999999999</v>
      </c>
      <c r="HJ18">
        <v>999.9</v>
      </c>
      <c r="HK18">
        <v>64.599999999999994</v>
      </c>
      <c r="HL18">
        <v>33.5</v>
      </c>
      <c r="HM18">
        <v>34.0488</v>
      </c>
      <c r="HN18">
        <v>61.562399999999997</v>
      </c>
      <c r="HO18">
        <v>5.2123400000000002</v>
      </c>
      <c r="HP18">
        <v>1</v>
      </c>
      <c r="HQ18">
        <v>0.52235799999999999</v>
      </c>
      <c r="HR18">
        <v>6.1728100000000001</v>
      </c>
      <c r="HS18">
        <v>20.1279</v>
      </c>
      <c r="HT18">
        <v>5.2100999999999997</v>
      </c>
      <c r="HU18">
        <v>11.908099999999999</v>
      </c>
      <c r="HV18">
        <v>4.9843999999999999</v>
      </c>
      <c r="HW18">
        <v>3.2706</v>
      </c>
      <c r="HX18">
        <v>9999</v>
      </c>
      <c r="HY18">
        <v>9999</v>
      </c>
      <c r="HZ18">
        <v>9999</v>
      </c>
      <c r="IA18">
        <v>999.9</v>
      </c>
      <c r="IB18">
        <v>1.86768</v>
      </c>
      <c r="IC18">
        <v>1.86337</v>
      </c>
      <c r="ID18">
        <v>1.86276</v>
      </c>
      <c r="IE18">
        <v>1.8621799999999999</v>
      </c>
      <c r="IF18">
        <v>1.8622799999999999</v>
      </c>
      <c r="IG18">
        <v>1.8629500000000001</v>
      </c>
      <c r="IH18">
        <v>1.8638600000000001</v>
      </c>
      <c r="II18">
        <v>1.86178</v>
      </c>
      <c r="IJ18">
        <v>0</v>
      </c>
      <c r="IK18">
        <v>0</v>
      </c>
      <c r="IL18">
        <v>0</v>
      </c>
      <c r="IM18">
        <v>4.5</v>
      </c>
      <c r="IN18" t="s">
        <v>411</v>
      </c>
      <c r="IO18" t="s">
        <v>412</v>
      </c>
      <c r="IP18" t="s">
        <v>413</v>
      </c>
      <c r="IQ18" t="s">
        <v>414</v>
      </c>
      <c r="IR18" t="s">
        <v>414</v>
      </c>
      <c r="IS18" t="s">
        <v>413</v>
      </c>
      <c r="IT18">
        <v>0</v>
      </c>
      <c r="IU18">
        <v>100</v>
      </c>
      <c r="IV18">
        <v>100</v>
      </c>
      <c r="IW18">
        <v>-6.1849999999999996</v>
      </c>
      <c r="IX18">
        <v>-0.55530000000000002</v>
      </c>
      <c r="IY18">
        <v>-4.1968353079022718</v>
      </c>
      <c r="IZ18">
        <v>-5.6215304933332991E-3</v>
      </c>
      <c r="JA18">
        <v>2.3979931213773931E-6</v>
      </c>
      <c r="JB18">
        <v>-3.6297174575716598E-10</v>
      </c>
      <c r="JC18">
        <v>-0.86969659371825236</v>
      </c>
      <c r="JD18">
        <v>2.7492919904454862E-4</v>
      </c>
      <c r="JE18">
        <v>8.6739513355948885E-4</v>
      </c>
      <c r="JF18">
        <v>-8.2500691715147318E-6</v>
      </c>
      <c r="JG18">
        <v>17</v>
      </c>
      <c r="JH18">
        <v>1914</v>
      </c>
      <c r="JI18">
        <v>2</v>
      </c>
      <c r="JJ18">
        <v>37</v>
      </c>
      <c r="JK18">
        <v>1.5</v>
      </c>
      <c r="JL18">
        <v>1.6</v>
      </c>
      <c r="JM18">
        <v>1.1962900000000001</v>
      </c>
      <c r="JN18">
        <v>2.5146500000000001</v>
      </c>
      <c r="JO18">
        <v>1.50024</v>
      </c>
      <c r="JP18">
        <v>2.2753899999999998</v>
      </c>
      <c r="JQ18">
        <v>1.4477500000000001</v>
      </c>
      <c r="JR18">
        <v>2.3584000000000001</v>
      </c>
      <c r="JS18">
        <v>41.743600000000001</v>
      </c>
      <c r="JT18">
        <v>23.851099999999999</v>
      </c>
      <c r="JU18">
        <v>18</v>
      </c>
      <c r="JV18">
        <v>538.42200000000003</v>
      </c>
      <c r="JW18">
        <v>452.13799999999998</v>
      </c>
      <c r="JX18">
        <v>19.873200000000001</v>
      </c>
      <c r="JY18">
        <v>33.475900000000003</v>
      </c>
      <c r="JZ18">
        <v>30.000399999999999</v>
      </c>
      <c r="KA18">
        <v>33.531999999999996</v>
      </c>
      <c r="KB18">
        <v>33.546300000000002</v>
      </c>
      <c r="KC18">
        <v>23.914200000000001</v>
      </c>
      <c r="KD18">
        <v>49.924399999999999</v>
      </c>
      <c r="KE18">
        <v>0</v>
      </c>
      <c r="KF18">
        <v>19.8706</v>
      </c>
      <c r="KG18">
        <v>476.113</v>
      </c>
      <c r="KH18">
        <v>17.339200000000002</v>
      </c>
      <c r="KI18">
        <v>100.381</v>
      </c>
      <c r="KJ18">
        <v>98.822299999999998</v>
      </c>
    </row>
    <row r="19" spans="1:296" x14ac:dyDescent="0.3">
      <c r="A19">
        <v>3</v>
      </c>
      <c r="B19">
        <v>1783956009.5999999</v>
      </c>
      <c r="C19">
        <v>388.59999990463263</v>
      </c>
      <c r="D19" t="s">
        <v>478</v>
      </c>
      <c r="E19" t="s">
        <v>479</v>
      </c>
      <c r="F19">
        <v>15</v>
      </c>
      <c r="H19">
        <v>1783956001.599999</v>
      </c>
      <c r="I19">
        <f t="shared" si="0"/>
        <v>2.6832129656254576E-3</v>
      </c>
      <c r="J19">
        <f t="shared" si="1"/>
        <v>2.6832129656254575</v>
      </c>
      <c r="K19">
        <f t="shared" si="2"/>
        <v>45.677512114248017</v>
      </c>
      <c r="L19">
        <f t="shared" si="3"/>
        <v>419.94974193548381</v>
      </c>
      <c r="M19">
        <f t="shared" si="4"/>
        <v>90.956529297879726</v>
      </c>
      <c r="N19">
        <f t="shared" si="5"/>
        <v>8.970840355182311</v>
      </c>
      <c r="O19">
        <f t="shared" si="6"/>
        <v>41.418709807686717</v>
      </c>
      <c r="P19">
        <f t="shared" si="7"/>
        <v>0.23409408328748665</v>
      </c>
      <c r="Q19">
        <f t="shared" si="8"/>
        <v>2.9054696632964978</v>
      </c>
      <c r="R19">
        <f t="shared" si="9"/>
        <v>0.22409787438912035</v>
      </c>
      <c r="S19">
        <f t="shared" si="10"/>
        <v>0.14092371969665696</v>
      </c>
      <c r="T19">
        <f t="shared" si="11"/>
        <v>255.91456598428317</v>
      </c>
      <c r="U19">
        <f t="shared" si="12"/>
        <v>25.499634331609485</v>
      </c>
      <c r="V19">
        <f t="shared" si="13"/>
        <v>24.997864516129031</v>
      </c>
      <c r="W19">
        <f t="shared" si="14"/>
        <v>3.1792727899138051</v>
      </c>
      <c r="X19">
        <f t="shared" si="15"/>
        <v>65.056855431092927</v>
      </c>
      <c r="Y19">
        <f t="shared" si="16"/>
        <v>2.029546820688823</v>
      </c>
      <c r="Z19">
        <f t="shared" si="17"/>
        <v>3.1196509687414617</v>
      </c>
      <c r="AA19">
        <f t="shared" si="18"/>
        <v>1.1497259692249822</v>
      </c>
      <c r="AB19">
        <f t="shared" si="19"/>
        <v>-118.32969178408268</v>
      </c>
      <c r="AC19">
        <f t="shared" si="20"/>
        <v>-49.679032600591832</v>
      </c>
      <c r="AD19">
        <f t="shared" si="21"/>
        <v>-3.6108884075371068</v>
      </c>
      <c r="AE19">
        <f t="shared" si="22"/>
        <v>84.294953192071546</v>
      </c>
      <c r="AF19">
        <f t="shared" si="23"/>
        <v>45.677512114248017</v>
      </c>
      <c r="AG19">
        <f t="shared" si="24"/>
        <v>2.6832129656254575</v>
      </c>
      <c r="AH19">
        <f t="shared" si="25"/>
        <v>45.747457121484842</v>
      </c>
      <c r="AI19">
        <v>484.59709613217632</v>
      </c>
      <c r="AJ19">
        <v>428.74752121212123</v>
      </c>
      <c r="AK19">
        <v>-3.8723355573846959E-3</v>
      </c>
      <c r="AL19">
        <v>67.08349306840374</v>
      </c>
      <c r="AM19">
        <f t="shared" si="26"/>
        <v>2.6877105639825807</v>
      </c>
      <c r="AN19">
        <v>17.42303563689487</v>
      </c>
      <c r="AO19">
        <v>20.581247272727271</v>
      </c>
      <c r="AP19">
        <v>1.044373825701831E-4</v>
      </c>
      <c r="AQ19">
        <v>78.228756638338723</v>
      </c>
      <c r="AR19">
        <v>0</v>
      </c>
      <c r="AS19">
        <v>0</v>
      </c>
      <c r="AT19">
        <f t="shared" si="27"/>
        <v>1</v>
      </c>
      <c r="AU19">
        <f t="shared" si="28"/>
        <v>0</v>
      </c>
      <c r="AV19">
        <f t="shared" si="29"/>
        <v>52559.864235690817</v>
      </c>
      <c r="AW19" t="s">
        <v>471</v>
      </c>
      <c r="AX19">
        <v>5093.3999999999996</v>
      </c>
      <c r="AY19">
        <v>591.17352941176478</v>
      </c>
      <c r="AZ19">
        <v>2325.63</v>
      </c>
      <c r="BA19">
        <f t="shared" si="30"/>
        <v>0.74580069511841318</v>
      </c>
      <c r="BB19">
        <v>-2.7030707972498691</v>
      </c>
      <c r="BC19" t="s">
        <v>480</v>
      </c>
      <c r="BD19">
        <v>5087.79</v>
      </c>
      <c r="BE19">
        <v>762.64517647058813</v>
      </c>
      <c r="BF19">
        <v>978.27</v>
      </c>
      <c r="BG19">
        <f t="shared" si="31"/>
        <v>0.22041442907317188</v>
      </c>
      <c r="BH19">
        <v>0.5</v>
      </c>
      <c r="BI19">
        <f t="shared" si="32"/>
        <v>1344.2895385176794</v>
      </c>
      <c r="BJ19">
        <f t="shared" si="33"/>
        <v>45.677512114248017</v>
      </c>
      <c r="BK19">
        <f t="shared" si="34"/>
        <v>148.150405570706</v>
      </c>
      <c r="BL19">
        <f t="shared" si="35"/>
        <v>3.598970424544564E-2</v>
      </c>
      <c r="BM19">
        <f t="shared" si="36"/>
        <v>1.3772884786408661</v>
      </c>
      <c r="BN19">
        <f t="shared" si="37"/>
        <v>437.87201035930622</v>
      </c>
      <c r="BO19" t="s">
        <v>407</v>
      </c>
      <c r="BP19">
        <v>0</v>
      </c>
      <c r="BQ19">
        <f t="shared" si="38"/>
        <v>437.87201035930622</v>
      </c>
      <c r="BR19">
        <f t="shared" si="39"/>
        <v>0.55240167810593577</v>
      </c>
      <c r="BS19">
        <f t="shared" si="40"/>
        <v>0.39901115041671237</v>
      </c>
      <c r="BT19">
        <f t="shared" si="41"/>
        <v>0.71373555688483648</v>
      </c>
      <c r="BU19">
        <f t="shared" si="42"/>
        <v>0.55703123100488738</v>
      </c>
      <c r="BV19">
        <f t="shared" si="43"/>
        <v>0.77681972586089021</v>
      </c>
      <c r="BW19">
        <f t="shared" si="44"/>
        <v>0.22909187650973542</v>
      </c>
      <c r="BX19">
        <f t="shared" si="45"/>
        <v>0.77090812349026461</v>
      </c>
      <c r="DG19">
        <f t="shared" si="46"/>
        <v>1600.002903225806</v>
      </c>
      <c r="DH19">
        <f t="shared" si="47"/>
        <v>1344.2895385176794</v>
      </c>
      <c r="DI19">
        <f t="shared" si="48"/>
        <v>0.84017943705441001</v>
      </c>
      <c r="DJ19">
        <f t="shared" si="49"/>
        <v>0.15994631351501137</v>
      </c>
      <c r="DK19">
        <v>6</v>
      </c>
      <c r="DL19">
        <v>0.5</v>
      </c>
      <c r="DM19" t="s">
        <v>408</v>
      </c>
      <c r="DN19">
        <v>2</v>
      </c>
      <c r="DO19" t="b">
        <v>0</v>
      </c>
      <c r="DP19">
        <v>1783956001.599999</v>
      </c>
      <c r="DQ19">
        <v>419.94974193548381</v>
      </c>
      <c r="DR19">
        <v>476.11474193548378</v>
      </c>
      <c r="DS19">
        <v>20.577841935483871</v>
      </c>
      <c r="DT19">
        <v>17.424254838709679</v>
      </c>
      <c r="DU19">
        <v>426.10612903225808</v>
      </c>
      <c r="DV19">
        <v>21.145203225806451</v>
      </c>
      <c r="DW19">
        <v>500.0017096774194</v>
      </c>
      <c r="DX19">
        <v>98.579612903225822</v>
      </c>
      <c r="DY19">
        <v>4.8164832258064498E-2</v>
      </c>
      <c r="DZ19">
        <v>24.680709677419362</v>
      </c>
      <c r="EA19">
        <v>24.997864516129031</v>
      </c>
      <c r="EB19">
        <v>999.90000000000032</v>
      </c>
      <c r="EC19">
        <v>0</v>
      </c>
      <c r="ED19">
        <v>0</v>
      </c>
      <c r="EE19">
        <v>10005.483870967741</v>
      </c>
      <c r="EF19">
        <v>0</v>
      </c>
      <c r="EG19">
        <v>160.20254838709681</v>
      </c>
      <c r="EH19">
        <v>-56.164974193548403</v>
      </c>
      <c r="EI19">
        <v>428.77300000000002</v>
      </c>
      <c r="EJ19">
        <v>484.55787096774202</v>
      </c>
      <c r="EK19">
        <v>3.1535819354838721</v>
      </c>
      <c r="EL19">
        <v>476.11474193548378</v>
      </c>
      <c r="EM19">
        <v>17.424254838709679</v>
      </c>
      <c r="EN19">
        <v>2.0285551612903219</v>
      </c>
      <c r="EO19">
        <v>1.717676774193549</v>
      </c>
      <c r="EP19">
        <v>17.669003225806449</v>
      </c>
      <c r="EQ19">
        <v>15.0571</v>
      </c>
      <c r="ER19">
        <v>1600.002903225806</v>
      </c>
      <c r="ES19">
        <v>0.99399774193548407</v>
      </c>
      <c r="ET19">
        <v>6.0020990322580637E-3</v>
      </c>
      <c r="EU19">
        <v>0</v>
      </c>
      <c r="EV19">
        <v>762.54764516129023</v>
      </c>
      <c r="EW19">
        <v>5.0010700000000003</v>
      </c>
      <c r="EX19">
        <v>15995.025806451609</v>
      </c>
      <c r="EY19">
        <v>14578.509677419361</v>
      </c>
      <c r="EZ19">
        <v>41.75</v>
      </c>
      <c r="FA19">
        <v>44.432999999999971</v>
      </c>
      <c r="FB19">
        <v>42.875</v>
      </c>
      <c r="FC19">
        <v>43.375</v>
      </c>
      <c r="FD19">
        <v>42.820129032258038</v>
      </c>
      <c r="FE19">
        <v>1585.4329032258061</v>
      </c>
      <c r="FF19">
        <v>9.5699999999999985</v>
      </c>
      <c r="FG19">
        <v>0</v>
      </c>
      <c r="FH19">
        <v>182.20000004768369</v>
      </c>
      <c r="FI19">
        <v>0</v>
      </c>
      <c r="FJ19">
        <v>762.64517647058813</v>
      </c>
      <c r="FK19">
        <v>0.12867648944839349</v>
      </c>
      <c r="FL19">
        <v>13.35784312196383</v>
      </c>
      <c r="FM19">
        <v>15996.917647058821</v>
      </c>
      <c r="FN19">
        <v>10</v>
      </c>
      <c r="FO19">
        <v>1783955891.0999999</v>
      </c>
      <c r="FP19" t="s">
        <v>481</v>
      </c>
      <c r="FQ19">
        <v>1783955891.0999999</v>
      </c>
      <c r="FR19">
        <v>1783955888.0999999</v>
      </c>
      <c r="FS19">
        <v>4</v>
      </c>
      <c r="FT19">
        <v>2.9000000000000001E-2</v>
      </c>
      <c r="FU19">
        <v>-1.2999999999999999E-2</v>
      </c>
      <c r="FV19">
        <v>-6.3630000000000004</v>
      </c>
      <c r="FW19">
        <v>-0.64500000000000002</v>
      </c>
      <c r="FX19">
        <v>476</v>
      </c>
      <c r="FY19">
        <v>17</v>
      </c>
      <c r="FZ19">
        <v>0.13</v>
      </c>
      <c r="GA19">
        <v>0.09</v>
      </c>
      <c r="GB19">
        <v>419.95106451612901</v>
      </c>
      <c r="GC19">
        <v>9.2419354837303846E-2</v>
      </c>
      <c r="GD19">
        <v>5.6180547364590661E-2</v>
      </c>
      <c r="GE19">
        <v>-1</v>
      </c>
      <c r="GF19">
        <v>762.4484705882353</v>
      </c>
      <c r="GG19">
        <v>1.988479758274053</v>
      </c>
      <c r="GH19">
        <v>0.2464246973983889</v>
      </c>
      <c r="GI19">
        <v>1</v>
      </c>
      <c r="GJ19">
        <v>3.1567880487804869</v>
      </c>
      <c r="GK19">
        <v>-4.8882857142855937E-2</v>
      </c>
      <c r="GL19">
        <v>1.8236110681231061E-2</v>
      </c>
      <c r="GM19">
        <v>1</v>
      </c>
      <c r="GN19">
        <v>2</v>
      </c>
      <c r="GO19">
        <v>2</v>
      </c>
      <c r="GP19" t="s">
        <v>423</v>
      </c>
      <c r="GQ19">
        <v>3.1304699999999999</v>
      </c>
      <c r="GR19">
        <v>2.7237499999999999</v>
      </c>
      <c r="GS19">
        <v>9.22819E-2</v>
      </c>
      <c r="GT19">
        <v>0.101039</v>
      </c>
      <c r="GU19">
        <v>0.103158</v>
      </c>
      <c r="GV19">
        <v>8.9905499999999999E-2</v>
      </c>
      <c r="GW19">
        <v>22759</v>
      </c>
      <c r="GX19">
        <v>30272.799999999999</v>
      </c>
      <c r="GY19">
        <v>27196.5</v>
      </c>
      <c r="GZ19">
        <v>34626.699999999997</v>
      </c>
      <c r="HA19">
        <v>35722.400000000001</v>
      </c>
      <c r="HB19">
        <v>39882.300000000003</v>
      </c>
      <c r="HC19">
        <v>40160.6</v>
      </c>
      <c r="HD19">
        <v>43902.3</v>
      </c>
      <c r="HE19">
        <v>1.9661999999999999</v>
      </c>
      <c r="HF19">
        <v>1.8033999999999999</v>
      </c>
      <c r="HG19">
        <v>-7.7426400000000006E-2</v>
      </c>
      <c r="HH19">
        <v>0</v>
      </c>
      <c r="HI19">
        <v>26.244800000000001</v>
      </c>
      <c r="HJ19">
        <v>999.9</v>
      </c>
      <c r="HK19">
        <v>64</v>
      </c>
      <c r="HL19">
        <v>34.1</v>
      </c>
      <c r="HM19">
        <v>34.882800000000003</v>
      </c>
      <c r="HN19">
        <v>61.362499999999997</v>
      </c>
      <c r="HO19">
        <v>5.4367000000000001</v>
      </c>
      <c r="HP19">
        <v>1</v>
      </c>
      <c r="HQ19">
        <v>0.52493900000000004</v>
      </c>
      <c r="HR19">
        <v>5.9747500000000002</v>
      </c>
      <c r="HS19">
        <v>20.134899999999998</v>
      </c>
      <c r="HT19">
        <v>5.2112999999999996</v>
      </c>
      <c r="HU19">
        <v>11.908099999999999</v>
      </c>
      <c r="HV19">
        <v>4.9851999999999999</v>
      </c>
      <c r="HW19">
        <v>3.2709999999999999</v>
      </c>
      <c r="HX19">
        <v>9999</v>
      </c>
      <c r="HY19">
        <v>9999</v>
      </c>
      <c r="HZ19">
        <v>9999</v>
      </c>
      <c r="IA19">
        <v>999.9</v>
      </c>
      <c r="IB19">
        <v>1.86768</v>
      </c>
      <c r="IC19">
        <v>1.86334</v>
      </c>
      <c r="ID19">
        <v>1.8627899999999999</v>
      </c>
      <c r="IE19">
        <v>1.8622399999999999</v>
      </c>
      <c r="IF19">
        <v>1.8623099999999999</v>
      </c>
      <c r="IG19">
        <v>1.8629500000000001</v>
      </c>
      <c r="IH19">
        <v>1.8638300000000001</v>
      </c>
      <c r="II19">
        <v>1.86185</v>
      </c>
      <c r="IJ19">
        <v>0</v>
      </c>
      <c r="IK19">
        <v>0</v>
      </c>
      <c r="IL19">
        <v>0</v>
      </c>
      <c r="IM19">
        <v>4.5</v>
      </c>
      <c r="IN19" t="s">
        <v>411</v>
      </c>
      <c r="IO19" t="s">
        <v>412</v>
      </c>
      <c r="IP19" t="s">
        <v>413</v>
      </c>
      <c r="IQ19" t="s">
        <v>414</v>
      </c>
      <c r="IR19" t="s">
        <v>414</v>
      </c>
      <c r="IS19" t="s">
        <v>413</v>
      </c>
      <c r="IT19">
        <v>0</v>
      </c>
      <c r="IU19">
        <v>100</v>
      </c>
      <c r="IV19">
        <v>100</v>
      </c>
      <c r="IW19">
        <v>-6.1559999999999997</v>
      </c>
      <c r="IX19">
        <v>-0.56720000000000004</v>
      </c>
      <c r="IY19">
        <v>-4.1682595842158481</v>
      </c>
      <c r="IZ19">
        <v>-5.6215304933332991E-3</v>
      </c>
      <c r="JA19">
        <v>2.3979931213773931E-6</v>
      </c>
      <c r="JB19">
        <v>-3.6297174575716598E-10</v>
      </c>
      <c r="JC19">
        <v>-0.88300340411018508</v>
      </c>
      <c r="JD19">
        <v>2.7492919904454862E-4</v>
      </c>
      <c r="JE19">
        <v>8.6739513355948885E-4</v>
      </c>
      <c r="JF19">
        <v>-8.2500691715147318E-6</v>
      </c>
      <c r="JG19">
        <v>17</v>
      </c>
      <c r="JH19">
        <v>1914</v>
      </c>
      <c r="JI19">
        <v>2</v>
      </c>
      <c r="JJ19">
        <v>37</v>
      </c>
      <c r="JK19">
        <v>2</v>
      </c>
      <c r="JL19">
        <v>2</v>
      </c>
      <c r="JM19">
        <v>1.1962900000000001</v>
      </c>
      <c r="JN19">
        <v>2.5097700000000001</v>
      </c>
      <c r="JO19">
        <v>1.50024</v>
      </c>
      <c r="JP19">
        <v>2.2753899999999998</v>
      </c>
      <c r="JQ19">
        <v>1.4477500000000001</v>
      </c>
      <c r="JR19">
        <v>2.4597199999999999</v>
      </c>
      <c r="JS19">
        <v>42.403799999999997</v>
      </c>
      <c r="JT19">
        <v>23.8598</v>
      </c>
      <c r="JU19">
        <v>18</v>
      </c>
      <c r="JV19">
        <v>539.51</v>
      </c>
      <c r="JW19">
        <v>447.19900000000001</v>
      </c>
      <c r="JX19">
        <v>19.901900000000001</v>
      </c>
      <c r="JY19">
        <v>33.496899999999997</v>
      </c>
      <c r="JZ19">
        <v>29.9999</v>
      </c>
      <c r="KA19">
        <v>33.567500000000003</v>
      </c>
      <c r="KB19">
        <v>33.587499999999999</v>
      </c>
      <c r="KC19">
        <v>23.918199999999999</v>
      </c>
      <c r="KD19">
        <v>50.9846</v>
      </c>
      <c r="KE19">
        <v>0</v>
      </c>
      <c r="KF19">
        <v>19.918800000000001</v>
      </c>
      <c r="KG19">
        <v>476.214</v>
      </c>
      <c r="KH19">
        <v>17.3337</v>
      </c>
      <c r="KI19">
        <v>100.372</v>
      </c>
      <c r="KJ19">
        <v>98.806200000000004</v>
      </c>
    </row>
    <row r="20" spans="1:296" x14ac:dyDescent="0.3">
      <c r="A20">
        <v>4</v>
      </c>
      <c r="B20">
        <v>1783956192.0999999</v>
      </c>
      <c r="C20">
        <v>571.09999990463257</v>
      </c>
      <c r="D20" t="s">
        <v>482</v>
      </c>
      <c r="E20" t="s">
        <v>483</v>
      </c>
      <c r="F20">
        <v>15</v>
      </c>
      <c r="H20">
        <v>1783956184.349999</v>
      </c>
      <c r="I20">
        <f t="shared" si="0"/>
        <v>2.5020952112944999E-3</v>
      </c>
      <c r="J20">
        <f t="shared" si="1"/>
        <v>2.5020952112944999</v>
      </c>
      <c r="K20">
        <f t="shared" si="2"/>
        <v>44.459500382074374</v>
      </c>
      <c r="L20">
        <f t="shared" si="3"/>
        <v>419.76773333333341</v>
      </c>
      <c r="M20">
        <f t="shared" si="4"/>
        <v>77.627493243461572</v>
      </c>
      <c r="N20">
        <f t="shared" si="5"/>
        <v>7.6561688671487929</v>
      </c>
      <c r="O20">
        <f t="shared" si="6"/>
        <v>41.400443542610176</v>
      </c>
      <c r="P20">
        <f t="shared" si="7"/>
        <v>0.21833796886766685</v>
      </c>
      <c r="Q20">
        <f t="shared" si="8"/>
        <v>2.9053787780156286</v>
      </c>
      <c r="R20">
        <f t="shared" si="9"/>
        <v>0.2096148821994025</v>
      </c>
      <c r="S20">
        <f t="shared" si="10"/>
        <v>0.1317639967678218</v>
      </c>
      <c r="T20">
        <f t="shared" si="11"/>
        <v>224.00335416853972</v>
      </c>
      <c r="U20">
        <f t="shared" si="12"/>
        <v>25.414596030477725</v>
      </c>
      <c r="V20">
        <f t="shared" si="13"/>
        <v>25.016343333333332</v>
      </c>
      <c r="W20">
        <f t="shared" si="14"/>
        <v>3.1827771066477633</v>
      </c>
      <c r="X20">
        <f t="shared" si="15"/>
        <v>65.061285679858941</v>
      </c>
      <c r="Y20">
        <f t="shared" si="16"/>
        <v>2.0366540238637825</v>
      </c>
      <c r="Z20">
        <f t="shared" si="17"/>
        <v>3.1303623999767818</v>
      </c>
      <c r="AA20">
        <f t="shared" si="18"/>
        <v>1.1461230827839808</v>
      </c>
      <c r="AB20">
        <f t="shared" si="19"/>
        <v>-110.34239881808745</v>
      </c>
      <c r="AC20">
        <f t="shared" si="20"/>
        <v>-43.586238303993966</v>
      </c>
      <c r="AD20">
        <f t="shared" si="21"/>
        <v>-3.169346802399716</v>
      </c>
      <c r="AE20">
        <f t="shared" si="22"/>
        <v>66.905370244058574</v>
      </c>
      <c r="AF20">
        <f t="shared" si="23"/>
        <v>44.459500382074374</v>
      </c>
      <c r="AG20">
        <f t="shared" si="24"/>
        <v>2.5020952112944999</v>
      </c>
      <c r="AH20">
        <f t="shared" si="25"/>
        <v>44.49790904142229</v>
      </c>
      <c r="AI20">
        <v>483.09312280877981</v>
      </c>
      <c r="AJ20">
        <v>428.55149090909077</v>
      </c>
      <c r="AK20">
        <v>3.4018167663621549E-2</v>
      </c>
      <c r="AL20">
        <v>67.084711885691718</v>
      </c>
      <c r="AM20">
        <f t="shared" si="26"/>
        <v>2.522148121971493</v>
      </c>
      <c r="AN20">
        <v>17.691364533571679</v>
      </c>
      <c r="AO20">
        <v>20.655331515151509</v>
      </c>
      <c r="AP20">
        <v>1.341539478774892E-5</v>
      </c>
      <c r="AQ20">
        <v>78.230321459580281</v>
      </c>
      <c r="AR20">
        <v>0</v>
      </c>
      <c r="AS20">
        <v>0</v>
      </c>
      <c r="AT20">
        <f t="shared" si="27"/>
        <v>1</v>
      </c>
      <c r="AU20">
        <f t="shared" si="28"/>
        <v>0</v>
      </c>
      <c r="AV20">
        <f t="shared" si="29"/>
        <v>52547.106620401777</v>
      </c>
      <c r="AW20" t="s">
        <v>471</v>
      </c>
      <c r="AX20">
        <v>5093.3999999999996</v>
      </c>
      <c r="AY20">
        <v>591.17352941176478</v>
      </c>
      <c r="AZ20">
        <v>2325.63</v>
      </c>
      <c r="BA20">
        <f t="shared" si="30"/>
        <v>0.74580069511841318</v>
      </c>
      <c r="BB20">
        <v>-2.7030707972498691</v>
      </c>
      <c r="BC20" t="s">
        <v>484</v>
      </c>
      <c r="BD20">
        <v>5088.13</v>
      </c>
      <c r="BE20">
        <v>767.50458823529425</v>
      </c>
      <c r="BF20">
        <v>1032.47</v>
      </c>
      <c r="BG20">
        <f t="shared" si="31"/>
        <v>0.25663255277606689</v>
      </c>
      <c r="BH20">
        <v>0.5</v>
      </c>
      <c r="BI20">
        <f t="shared" si="32"/>
        <v>1176.2863397764456</v>
      </c>
      <c r="BJ20">
        <f t="shared" si="33"/>
        <v>44.459500382074374</v>
      </c>
      <c r="BK20">
        <f t="shared" si="34"/>
        <v>150.93668308622262</v>
      </c>
      <c r="BL20">
        <f t="shared" si="35"/>
        <v>4.0094464744262474E-2</v>
      </c>
      <c r="BM20">
        <f t="shared" si="36"/>
        <v>1.2524915978188229</v>
      </c>
      <c r="BN20">
        <f t="shared" si="37"/>
        <v>448.40820650339867</v>
      </c>
      <c r="BO20" t="s">
        <v>407</v>
      </c>
      <c r="BP20">
        <v>0</v>
      </c>
      <c r="BQ20">
        <f t="shared" si="38"/>
        <v>448.40820650339867</v>
      </c>
      <c r="BR20">
        <f t="shared" si="39"/>
        <v>0.56569371845826155</v>
      </c>
      <c r="BS20">
        <f t="shared" si="40"/>
        <v>0.45365989474921475</v>
      </c>
      <c r="BT20">
        <f t="shared" si="41"/>
        <v>0.68886905344908633</v>
      </c>
      <c r="BU20">
        <f t="shared" si="42"/>
        <v>0.60042495107997274</v>
      </c>
      <c r="BV20">
        <f t="shared" si="43"/>
        <v>0.74557074330117323</v>
      </c>
      <c r="BW20">
        <f t="shared" si="44"/>
        <v>0.26504704061085294</v>
      </c>
      <c r="BX20">
        <f t="shared" si="45"/>
        <v>0.73495295938914706</v>
      </c>
      <c r="DG20">
        <f t="shared" si="46"/>
        <v>1399.992666666667</v>
      </c>
      <c r="DH20">
        <f t="shared" si="47"/>
        <v>1176.2863397764456</v>
      </c>
      <c r="DI20">
        <f t="shared" si="48"/>
        <v>0.84020892950613935</v>
      </c>
      <c r="DJ20">
        <f t="shared" si="49"/>
        <v>0.16000323394684901</v>
      </c>
      <c r="DK20">
        <v>6</v>
      </c>
      <c r="DL20">
        <v>0.5</v>
      </c>
      <c r="DM20" t="s">
        <v>408</v>
      </c>
      <c r="DN20">
        <v>2</v>
      </c>
      <c r="DO20" t="b">
        <v>0</v>
      </c>
      <c r="DP20">
        <v>1783956184.349999</v>
      </c>
      <c r="DQ20">
        <v>419.76773333333341</v>
      </c>
      <c r="DR20">
        <v>474.37926666666669</v>
      </c>
      <c r="DS20">
        <v>20.65006</v>
      </c>
      <c r="DT20">
        <v>17.70956</v>
      </c>
      <c r="DU20">
        <v>425.97986666666662</v>
      </c>
      <c r="DV20">
        <v>21.216886666666671</v>
      </c>
      <c r="DW20">
        <v>500.00206666666668</v>
      </c>
      <c r="DX20">
        <v>98.579249999999988</v>
      </c>
      <c r="DY20">
        <v>4.7776936666666672E-2</v>
      </c>
      <c r="DZ20">
        <v>24.738076666666661</v>
      </c>
      <c r="EA20">
        <v>25.016343333333332</v>
      </c>
      <c r="EB20">
        <v>999.9000000000002</v>
      </c>
      <c r="EC20">
        <v>0</v>
      </c>
      <c r="ED20">
        <v>0</v>
      </c>
      <c r="EE20">
        <v>10005</v>
      </c>
      <c r="EF20">
        <v>0</v>
      </c>
      <c r="EG20">
        <v>160.91986666666659</v>
      </c>
      <c r="EH20">
        <v>-54.611600000000003</v>
      </c>
      <c r="EI20">
        <v>428.61863333333332</v>
      </c>
      <c r="EJ20">
        <v>482.93180000000012</v>
      </c>
      <c r="EK20">
        <v>2.9404906666666668</v>
      </c>
      <c r="EL20">
        <v>474.37926666666669</v>
      </c>
      <c r="EM20">
        <v>17.70956</v>
      </c>
      <c r="EN20">
        <v>2.0356670000000001</v>
      </c>
      <c r="EO20">
        <v>1.7457959999999999</v>
      </c>
      <c r="EP20">
        <v>17.724519999999998</v>
      </c>
      <c r="EQ20">
        <v>15.30972</v>
      </c>
      <c r="ER20">
        <v>1399.992666666667</v>
      </c>
      <c r="ES20">
        <v>0.99300999999999995</v>
      </c>
      <c r="ET20">
        <v>6.9899410000000004E-3</v>
      </c>
      <c r="EU20">
        <v>0</v>
      </c>
      <c r="EV20">
        <v>767.47623333333354</v>
      </c>
      <c r="EW20">
        <v>5.0010700000000003</v>
      </c>
      <c r="EX20">
        <v>14477.81666666666</v>
      </c>
      <c r="EY20">
        <v>12745.493333333339</v>
      </c>
      <c r="EZ20">
        <v>41.75</v>
      </c>
      <c r="FA20">
        <v>44.670466666666648</v>
      </c>
      <c r="FB20">
        <v>43.057866666666641</v>
      </c>
      <c r="FC20">
        <v>43.625</v>
      </c>
      <c r="FD20">
        <v>42.883266666666657</v>
      </c>
      <c r="FE20">
        <v>1385.242666666667</v>
      </c>
      <c r="FF20">
        <v>9.75</v>
      </c>
      <c r="FG20">
        <v>0</v>
      </c>
      <c r="FH20">
        <v>181.79999995231631</v>
      </c>
      <c r="FI20">
        <v>0</v>
      </c>
      <c r="FJ20">
        <v>767.50458823529425</v>
      </c>
      <c r="FK20">
        <v>1.237745145005247</v>
      </c>
      <c r="FL20">
        <v>-30.882353114160249</v>
      </c>
      <c r="FM20">
        <v>14478.97058823529</v>
      </c>
      <c r="FN20">
        <v>10</v>
      </c>
      <c r="FO20">
        <v>1783956149.0999999</v>
      </c>
      <c r="FP20" t="s">
        <v>485</v>
      </c>
      <c r="FQ20">
        <v>1783956149.0999999</v>
      </c>
      <c r="FR20">
        <v>1783956144.0999999</v>
      </c>
      <c r="FS20">
        <v>5</v>
      </c>
      <c r="FT20">
        <v>-5.6000000000000001E-2</v>
      </c>
      <c r="FU20">
        <v>-1E-3</v>
      </c>
      <c r="FV20">
        <v>-6.4169999999999998</v>
      </c>
      <c r="FW20">
        <v>-0.64600000000000002</v>
      </c>
      <c r="FX20">
        <v>475</v>
      </c>
      <c r="FY20">
        <v>17</v>
      </c>
      <c r="FZ20">
        <v>0.21</v>
      </c>
      <c r="GA20">
        <v>7.0000000000000007E-2</v>
      </c>
      <c r="GB20">
        <v>419.78296774193558</v>
      </c>
      <c r="GC20">
        <v>-2.1911612903231279</v>
      </c>
      <c r="GD20">
        <v>0.1944354082765701</v>
      </c>
      <c r="GE20">
        <v>-1</v>
      </c>
      <c r="GF20">
        <v>767.37826470588243</v>
      </c>
      <c r="GG20">
        <v>1.598670745279271</v>
      </c>
      <c r="GH20">
        <v>0.27805884997325209</v>
      </c>
      <c r="GI20">
        <v>1</v>
      </c>
      <c r="GJ20">
        <v>2.9306782926829271</v>
      </c>
      <c r="GK20">
        <v>0.26159331010452902</v>
      </c>
      <c r="GL20">
        <v>3.2325611148274661E-2</v>
      </c>
      <c r="GM20">
        <v>1</v>
      </c>
      <c r="GN20">
        <v>2</v>
      </c>
      <c r="GO20">
        <v>2</v>
      </c>
      <c r="GP20" t="s">
        <v>423</v>
      </c>
      <c r="GQ20">
        <v>3.1301299999999999</v>
      </c>
      <c r="GR20">
        <v>2.7233900000000002</v>
      </c>
      <c r="GS20">
        <v>9.2233200000000001E-2</v>
      </c>
      <c r="GT20">
        <v>0.100817</v>
      </c>
      <c r="GU20">
        <v>0.103385</v>
      </c>
      <c r="GV20">
        <v>9.1120599999999996E-2</v>
      </c>
      <c r="GW20">
        <v>22755.7</v>
      </c>
      <c r="GX20">
        <v>30276.2</v>
      </c>
      <c r="GY20">
        <v>27191.4</v>
      </c>
      <c r="GZ20">
        <v>34622.5</v>
      </c>
      <c r="HA20">
        <v>35708.199999999997</v>
      </c>
      <c r="HB20">
        <v>39826</v>
      </c>
      <c r="HC20">
        <v>40154.6</v>
      </c>
      <c r="HD20">
        <v>43898.8</v>
      </c>
      <c r="HE20">
        <v>1.9638</v>
      </c>
      <c r="HF20">
        <v>1.7964</v>
      </c>
      <c r="HG20">
        <v>-7.9572199999999996E-2</v>
      </c>
      <c r="HH20">
        <v>0</v>
      </c>
      <c r="HI20">
        <v>26.309200000000001</v>
      </c>
      <c r="HJ20">
        <v>999.9</v>
      </c>
      <c r="HK20">
        <v>63.4</v>
      </c>
      <c r="HL20">
        <v>34.700000000000003</v>
      </c>
      <c r="HM20">
        <v>35.727800000000002</v>
      </c>
      <c r="HN20">
        <v>61.362499999999997</v>
      </c>
      <c r="HO20">
        <v>5.6570499999999999</v>
      </c>
      <c r="HP20">
        <v>1</v>
      </c>
      <c r="HQ20">
        <v>0.53317099999999995</v>
      </c>
      <c r="HR20">
        <v>6.1014999999999997</v>
      </c>
      <c r="HS20">
        <v>20.131900000000002</v>
      </c>
      <c r="HT20">
        <v>5.2112999999999996</v>
      </c>
      <c r="HU20">
        <v>11.908099999999999</v>
      </c>
      <c r="HV20">
        <v>4.9851999999999999</v>
      </c>
      <c r="HW20">
        <v>3.2709999999999999</v>
      </c>
      <c r="HX20">
        <v>9999</v>
      </c>
      <c r="HY20">
        <v>9999</v>
      </c>
      <c r="HZ20">
        <v>9999</v>
      </c>
      <c r="IA20">
        <v>999.9</v>
      </c>
      <c r="IB20">
        <v>1.86768</v>
      </c>
      <c r="IC20">
        <v>1.8633999999999999</v>
      </c>
      <c r="ID20">
        <v>1.8627899999999999</v>
      </c>
      <c r="IE20">
        <v>1.8623400000000001</v>
      </c>
      <c r="IF20">
        <v>1.8623400000000001</v>
      </c>
      <c r="IG20">
        <v>1.8629500000000001</v>
      </c>
      <c r="IH20">
        <v>1.8638600000000001</v>
      </c>
      <c r="II20">
        <v>1.86185</v>
      </c>
      <c r="IJ20">
        <v>0</v>
      </c>
      <c r="IK20">
        <v>0</v>
      </c>
      <c r="IL20">
        <v>0</v>
      </c>
      <c r="IM20">
        <v>4.5</v>
      </c>
      <c r="IN20" t="s">
        <v>411</v>
      </c>
      <c r="IO20" t="s">
        <v>412</v>
      </c>
      <c r="IP20" t="s">
        <v>413</v>
      </c>
      <c r="IQ20" t="s">
        <v>414</v>
      </c>
      <c r="IR20" t="s">
        <v>414</v>
      </c>
      <c r="IS20" t="s">
        <v>413</v>
      </c>
      <c r="IT20">
        <v>0</v>
      </c>
      <c r="IU20">
        <v>100</v>
      </c>
      <c r="IV20">
        <v>100</v>
      </c>
      <c r="IW20">
        <v>-6.2119999999999997</v>
      </c>
      <c r="IX20">
        <v>-0.56669999999999998</v>
      </c>
      <c r="IY20">
        <v>-4.2245946505803396</v>
      </c>
      <c r="IZ20">
        <v>-5.6215304933332991E-3</v>
      </c>
      <c r="JA20">
        <v>2.3979931213773931E-6</v>
      </c>
      <c r="JB20">
        <v>-3.6297174575716598E-10</v>
      </c>
      <c r="JC20">
        <v>-0.88432871317902206</v>
      </c>
      <c r="JD20">
        <v>2.7492919904454862E-4</v>
      </c>
      <c r="JE20">
        <v>8.6739513355948885E-4</v>
      </c>
      <c r="JF20">
        <v>-8.2500691715147318E-6</v>
      </c>
      <c r="JG20">
        <v>17</v>
      </c>
      <c r="JH20">
        <v>1914</v>
      </c>
      <c r="JI20">
        <v>2</v>
      </c>
      <c r="JJ20">
        <v>37</v>
      </c>
      <c r="JK20">
        <v>0.7</v>
      </c>
      <c r="JL20">
        <v>0.8</v>
      </c>
      <c r="JM20">
        <v>1.1938500000000001</v>
      </c>
      <c r="JN20">
        <v>2.5158700000000001</v>
      </c>
      <c r="JO20">
        <v>1.50024</v>
      </c>
      <c r="JP20">
        <v>2.2753899999999998</v>
      </c>
      <c r="JQ20">
        <v>1.4477500000000001</v>
      </c>
      <c r="JR20">
        <v>2.4572799999999999</v>
      </c>
      <c r="JS20">
        <v>43.0199</v>
      </c>
      <c r="JT20">
        <v>23.842300000000002</v>
      </c>
      <c r="JU20">
        <v>18</v>
      </c>
      <c r="JV20">
        <v>538.55499999999995</v>
      </c>
      <c r="JW20">
        <v>443.28300000000002</v>
      </c>
      <c r="JX20">
        <v>20.017700000000001</v>
      </c>
      <c r="JY20">
        <v>33.572099999999999</v>
      </c>
      <c r="JZ20">
        <v>30.000599999999999</v>
      </c>
      <c r="KA20">
        <v>33.644799999999996</v>
      </c>
      <c r="KB20">
        <v>33.6614</v>
      </c>
      <c r="KC20">
        <v>23.868300000000001</v>
      </c>
      <c r="KD20">
        <v>51.5184</v>
      </c>
      <c r="KE20">
        <v>0</v>
      </c>
      <c r="KF20">
        <v>20.006399999999999</v>
      </c>
      <c r="KG20">
        <v>474.87700000000001</v>
      </c>
      <c r="KH20">
        <v>17.6008</v>
      </c>
      <c r="KI20">
        <v>100.35599999999999</v>
      </c>
      <c r="KJ20">
        <v>98.796599999999998</v>
      </c>
    </row>
    <row r="21" spans="1:296" x14ac:dyDescent="0.3">
      <c r="A21">
        <v>5</v>
      </c>
      <c r="B21">
        <v>1783956374.5999999</v>
      </c>
      <c r="C21">
        <v>753.59999990463257</v>
      </c>
      <c r="D21" t="s">
        <v>486</v>
      </c>
      <c r="E21" t="s">
        <v>487</v>
      </c>
      <c r="F21">
        <v>15</v>
      </c>
      <c r="H21">
        <v>1783956366.849999</v>
      </c>
      <c r="I21">
        <f t="shared" si="0"/>
        <v>2.1898970745905522E-3</v>
      </c>
      <c r="J21">
        <f t="shared" si="1"/>
        <v>2.1898970745905522</v>
      </c>
      <c r="K21">
        <f t="shared" si="2"/>
        <v>40.097460228189384</v>
      </c>
      <c r="L21">
        <f t="shared" si="3"/>
        <v>420.23700000000002</v>
      </c>
      <c r="M21">
        <f t="shared" si="4"/>
        <v>69.325458381121891</v>
      </c>
      <c r="N21">
        <f t="shared" si="5"/>
        <v>6.8372388046628627</v>
      </c>
      <c r="O21">
        <f t="shared" si="6"/>
        <v>41.445967912092868</v>
      </c>
      <c r="P21">
        <f t="shared" si="7"/>
        <v>0.19105374787589582</v>
      </c>
      <c r="Q21">
        <f t="shared" si="8"/>
        <v>2.9044763239453251</v>
      </c>
      <c r="R21">
        <f t="shared" si="9"/>
        <v>0.18433650266263252</v>
      </c>
      <c r="S21">
        <f t="shared" si="10"/>
        <v>0.11579415638041383</v>
      </c>
      <c r="T21">
        <f t="shared" si="11"/>
        <v>160.17162023558808</v>
      </c>
      <c r="U21">
        <f t="shared" si="12"/>
        <v>25.194488411252387</v>
      </c>
      <c r="V21">
        <f t="shared" si="13"/>
        <v>25.00434666666667</v>
      </c>
      <c r="W21">
        <f t="shared" si="14"/>
        <v>3.1805016786583584</v>
      </c>
      <c r="X21">
        <f t="shared" si="15"/>
        <v>64.861492741528693</v>
      </c>
      <c r="Y21">
        <f t="shared" si="16"/>
        <v>2.0398536559362155</v>
      </c>
      <c r="Z21">
        <f t="shared" si="17"/>
        <v>3.1449378818106721</v>
      </c>
      <c r="AA21">
        <f t="shared" si="18"/>
        <v>1.1406480227221429</v>
      </c>
      <c r="AB21">
        <f t="shared" si="19"/>
        <v>-96.574460989443352</v>
      </c>
      <c r="AC21">
        <f t="shared" si="20"/>
        <v>-29.513875279384468</v>
      </c>
      <c r="AD21">
        <f t="shared" si="21"/>
        <v>-2.1474613296951204</v>
      </c>
      <c r="AE21">
        <f t="shared" si="22"/>
        <v>31.93582263706514</v>
      </c>
      <c r="AF21">
        <f t="shared" si="23"/>
        <v>40.097460228189384</v>
      </c>
      <c r="AG21">
        <f t="shared" si="24"/>
        <v>2.1898970745905522</v>
      </c>
      <c r="AH21">
        <f t="shared" si="25"/>
        <v>39.963672790200576</v>
      </c>
      <c r="AI21">
        <v>478.11416891890178</v>
      </c>
      <c r="AJ21">
        <v>429.19426060606071</v>
      </c>
      <c r="AK21">
        <v>1.4959237899722481E-2</v>
      </c>
      <c r="AL21">
        <v>67.084711885691718</v>
      </c>
      <c r="AM21">
        <f t="shared" si="26"/>
        <v>2.2556722273897689</v>
      </c>
      <c r="AN21">
        <v>18.100190469358068</v>
      </c>
      <c r="AO21">
        <v>20.75160666666666</v>
      </c>
      <c r="AP21">
        <v>-1.3265298663219801E-4</v>
      </c>
      <c r="AQ21">
        <v>78.230321459580281</v>
      </c>
      <c r="AR21">
        <v>0</v>
      </c>
      <c r="AS21">
        <v>0</v>
      </c>
      <c r="AT21">
        <f t="shared" si="27"/>
        <v>1</v>
      </c>
      <c r="AU21">
        <f t="shared" si="28"/>
        <v>0</v>
      </c>
      <c r="AV21">
        <f t="shared" si="29"/>
        <v>52507.31310448725</v>
      </c>
      <c r="AW21" t="s">
        <v>471</v>
      </c>
      <c r="AX21">
        <v>5093.3999999999996</v>
      </c>
      <c r="AY21">
        <v>591.17352941176478</v>
      </c>
      <c r="AZ21">
        <v>2325.63</v>
      </c>
      <c r="BA21">
        <f t="shared" si="30"/>
        <v>0.74580069511841318</v>
      </c>
      <c r="BB21">
        <v>-2.7030707972498691</v>
      </c>
      <c r="BC21" t="s">
        <v>488</v>
      </c>
      <c r="BD21">
        <v>5093.12</v>
      </c>
      <c r="BE21">
        <v>783.91135294117635</v>
      </c>
      <c r="BF21">
        <v>1210.3900000000001</v>
      </c>
      <c r="BG21">
        <f t="shared" si="31"/>
        <v>0.35234812503310808</v>
      </c>
      <c r="BH21">
        <v>0.5</v>
      </c>
      <c r="BI21">
        <f t="shared" si="32"/>
        <v>840.27764754175541</v>
      </c>
      <c r="BJ21">
        <f t="shared" si="33"/>
        <v>40.097460228189384</v>
      </c>
      <c r="BK21">
        <f t="shared" si="34"/>
        <v>148.03512680928418</v>
      </c>
      <c r="BL21">
        <f t="shared" si="35"/>
        <v>5.0936177048922858E-2</v>
      </c>
      <c r="BM21">
        <f t="shared" si="36"/>
        <v>0.92138897380183238</v>
      </c>
      <c r="BN21">
        <f t="shared" si="37"/>
        <v>478.98691983775115</v>
      </c>
      <c r="BO21" t="s">
        <v>407</v>
      </c>
      <c r="BP21">
        <v>0</v>
      </c>
      <c r="BQ21">
        <f t="shared" si="38"/>
        <v>478.98691983775115</v>
      </c>
      <c r="BR21">
        <f t="shared" si="39"/>
        <v>0.60427059060488675</v>
      </c>
      <c r="BS21">
        <f t="shared" si="40"/>
        <v>0.58309659697388339</v>
      </c>
      <c r="BT21">
        <f t="shared" si="41"/>
        <v>0.60392829127652181</v>
      </c>
      <c r="BU21">
        <f t="shared" si="42"/>
        <v>0.68873918462421235</v>
      </c>
      <c r="BV21">
        <f t="shared" si="43"/>
        <v>0.64299105737820561</v>
      </c>
      <c r="BW21">
        <f t="shared" si="44"/>
        <v>0.35628472773675079</v>
      </c>
      <c r="BX21">
        <f t="shared" si="45"/>
        <v>0.64371527226324921</v>
      </c>
      <c r="DG21">
        <f t="shared" si="46"/>
        <v>999.97553333333337</v>
      </c>
      <c r="DH21">
        <f t="shared" si="47"/>
        <v>840.27764754175541</v>
      </c>
      <c r="DI21">
        <f t="shared" si="48"/>
        <v>0.8402982068378827</v>
      </c>
      <c r="DJ21">
        <f t="shared" si="49"/>
        <v>0.16017553919711378</v>
      </c>
      <c r="DK21">
        <v>6</v>
      </c>
      <c r="DL21">
        <v>0.5</v>
      </c>
      <c r="DM21" t="s">
        <v>408</v>
      </c>
      <c r="DN21">
        <v>2</v>
      </c>
      <c r="DO21" t="b">
        <v>0</v>
      </c>
      <c r="DP21">
        <v>1783956366.849999</v>
      </c>
      <c r="DQ21">
        <v>420.23700000000002</v>
      </c>
      <c r="DR21">
        <v>469.45743333333331</v>
      </c>
      <c r="DS21">
        <v>20.682880000000001</v>
      </c>
      <c r="DT21">
        <v>18.109400000000001</v>
      </c>
      <c r="DU21">
        <v>426.45106666666669</v>
      </c>
      <c r="DV21">
        <v>21.323879999999999</v>
      </c>
      <c r="DW21">
        <v>500.00863333333342</v>
      </c>
      <c r="DX21">
        <v>98.577579999999998</v>
      </c>
      <c r="DY21">
        <v>4.7643176666666669E-2</v>
      </c>
      <c r="DZ21">
        <v>24.81586333333334</v>
      </c>
      <c r="EA21">
        <v>25.00434666666667</v>
      </c>
      <c r="EB21">
        <v>999.9000000000002</v>
      </c>
      <c r="EC21">
        <v>0</v>
      </c>
      <c r="ED21">
        <v>0</v>
      </c>
      <c r="EE21">
        <v>10000</v>
      </c>
      <c r="EF21">
        <v>0</v>
      </c>
      <c r="EG21">
        <v>164.4950666666667</v>
      </c>
      <c r="EH21">
        <v>-49.220280000000002</v>
      </c>
      <c r="EI21">
        <v>429.14603333333338</v>
      </c>
      <c r="EJ21">
        <v>478.11573333333342</v>
      </c>
      <c r="EK21">
        <v>2.6504396666666672</v>
      </c>
      <c r="EL21">
        <v>469.45743333333331</v>
      </c>
      <c r="EM21">
        <v>18.109400000000001</v>
      </c>
      <c r="EN21">
        <v>2.0464536666666668</v>
      </c>
      <c r="EO21">
        <v>1.785180666666667</v>
      </c>
      <c r="EP21">
        <v>17.80840666666667</v>
      </c>
      <c r="EQ21">
        <v>15.657626666666671</v>
      </c>
      <c r="ER21">
        <v>999.97553333333337</v>
      </c>
      <c r="ES21">
        <v>0.9900131999999997</v>
      </c>
      <c r="ET21">
        <v>9.9864719999999997E-3</v>
      </c>
      <c r="EU21">
        <v>0</v>
      </c>
      <c r="EV21">
        <v>783.97223333333352</v>
      </c>
      <c r="EW21">
        <v>5.0010700000000003</v>
      </c>
      <c r="EX21">
        <v>11431.75</v>
      </c>
      <c r="EY21">
        <v>9080.0903333333335</v>
      </c>
      <c r="EZ21">
        <v>40.879133333333343</v>
      </c>
      <c r="FA21">
        <v>44.375</v>
      </c>
      <c r="FB21">
        <v>42.514466666666657</v>
      </c>
      <c r="FC21">
        <v>43.436999999999983</v>
      </c>
      <c r="FD21">
        <v>42.360299999999981</v>
      </c>
      <c r="FE21">
        <v>985.03599999999983</v>
      </c>
      <c r="FF21">
        <v>9.94</v>
      </c>
      <c r="FG21">
        <v>0</v>
      </c>
      <c r="FH21">
        <v>182.20000004768369</v>
      </c>
      <c r="FI21">
        <v>0</v>
      </c>
      <c r="FJ21">
        <v>783.91135294117635</v>
      </c>
      <c r="FK21">
        <v>-0.78161761625865334</v>
      </c>
      <c r="FL21">
        <v>-40.88235277404231</v>
      </c>
      <c r="FM21">
        <v>11430.11764705882</v>
      </c>
      <c r="FN21">
        <v>10</v>
      </c>
      <c r="FO21">
        <v>1783956397.0999999</v>
      </c>
      <c r="FP21" t="s">
        <v>489</v>
      </c>
      <c r="FQ21">
        <v>1783956149.0999999</v>
      </c>
      <c r="FR21">
        <v>1783956397.0999999</v>
      </c>
      <c r="FS21">
        <v>6</v>
      </c>
      <c r="FT21">
        <v>-5.6000000000000001E-2</v>
      </c>
      <c r="FU21">
        <v>-1.2999999999999999E-2</v>
      </c>
      <c r="FV21">
        <v>-6.4169999999999998</v>
      </c>
      <c r="FW21">
        <v>-0.64100000000000001</v>
      </c>
      <c r="FX21">
        <v>475</v>
      </c>
      <c r="FY21">
        <v>18</v>
      </c>
      <c r="FZ21">
        <v>0.21</v>
      </c>
      <c r="GA21">
        <v>0.11</v>
      </c>
      <c r="GB21">
        <v>420.23700000000002</v>
      </c>
      <c r="GC21">
        <v>0.11885205784357609</v>
      </c>
      <c r="GD21">
        <v>7.0319271896119265E-2</v>
      </c>
      <c r="GE21">
        <v>-1</v>
      </c>
      <c r="GF21">
        <v>784.0169411764706</v>
      </c>
      <c r="GG21">
        <v>-1.2396333043163561</v>
      </c>
      <c r="GH21">
        <v>0.22142293058048129</v>
      </c>
      <c r="GI21">
        <v>1</v>
      </c>
      <c r="GJ21">
        <v>2.639164500000001</v>
      </c>
      <c r="GK21">
        <v>0.223322926829264</v>
      </c>
      <c r="GL21">
        <v>2.750939629926475E-2</v>
      </c>
      <c r="GM21">
        <v>1</v>
      </c>
      <c r="GN21">
        <v>2</v>
      </c>
      <c r="GO21">
        <v>2</v>
      </c>
      <c r="GP21" t="s">
        <v>423</v>
      </c>
      <c r="GQ21">
        <v>3.1301399999999999</v>
      </c>
      <c r="GR21">
        <v>2.7237499999999999</v>
      </c>
      <c r="GS21">
        <v>9.2313000000000006E-2</v>
      </c>
      <c r="GT21">
        <v>9.9922800000000006E-2</v>
      </c>
      <c r="GU21">
        <v>0.103726</v>
      </c>
      <c r="GV21">
        <v>9.2644099999999993E-2</v>
      </c>
      <c r="GW21">
        <v>22757.200000000001</v>
      </c>
      <c r="GX21">
        <v>30316.3</v>
      </c>
      <c r="GY21">
        <v>27195.3</v>
      </c>
      <c r="GZ21">
        <v>34633.4</v>
      </c>
      <c r="HA21">
        <v>35699.300000000003</v>
      </c>
      <c r="HB21">
        <v>39770.199999999997</v>
      </c>
      <c r="HC21">
        <v>40160.199999999997</v>
      </c>
      <c r="HD21">
        <v>43911.199999999997</v>
      </c>
      <c r="HE21">
        <v>1.9650000000000001</v>
      </c>
      <c r="HF21">
        <v>1.7942</v>
      </c>
      <c r="HG21">
        <v>-8.6098900000000006E-2</v>
      </c>
      <c r="HH21">
        <v>0</v>
      </c>
      <c r="HI21">
        <v>26.431899999999999</v>
      </c>
      <c r="HJ21">
        <v>999.9</v>
      </c>
      <c r="HK21">
        <v>62.8</v>
      </c>
      <c r="HL21">
        <v>35.299999999999997</v>
      </c>
      <c r="HM21">
        <v>36.583399999999997</v>
      </c>
      <c r="HN21">
        <v>61.4925</v>
      </c>
      <c r="HO21">
        <v>5.4927900000000003</v>
      </c>
      <c r="HP21">
        <v>1</v>
      </c>
      <c r="HQ21">
        <v>0.51792700000000003</v>
      </c>
      <c r="HR21">
        <v>5.6837299999999997</v>
      </c>
      <c r="HS21">
        <v>20.148</v>
      </c>
      <c r="HT21">
        <v>5.2112999999999996</v>
      </c>
      <c r="HU21">
        <v>11.908099999999999</v>
      </c>
      <c r="HV21">
        <v>4.9859999999999998</v>
      </c>
      <c r="HW21">
        <v>3.2707999999999999</v>
      </c>
      <c r="HX21">
        <v>9999</v>
      </c>
      <c r="HY21">
        <v>9999</v>
      </c>
      <c r="HZ21">
        <v>9999</v>
      </c>
      <c r="IA21">
        <v>999.9</v>
      </c>
      <c r="IB21">
        <v>1.86768</v>
      </c>
      <c r="IC21">
        <v>1.8633999999999999</v>
      </c>
      <c r="ID21">
        <v>1.8627899999999999</v>
      </c>
      <c r="IE21">
        <v>1.8623400000000001</v>
      </c>
      <c r="IF21">
        <v>1.8623700000000001</v>
      </c>
      <c r="IG21">
        <v>1.8629500000000001</v>
      </c>
      <c r="IH21">
        <v>1.86389</v>
      </c>
      <c r="II21">
        <v>1.86188</v>
      </c>
      <c r="IJ21">
        <v>0</v>
      </c>
      <c r="IK21">
        <v>0</v>
      </c>
      <c r="IL21">
        <v>0</v>
      </c>
      <c r="IM21">
        <v>4.5</v>
      </c>
      <c r="IN21" t="s">
        <v>411</v>
      </c>
      <c r="IO21" t="s">
        <v>412</v>
      </c>
      <c r="IP21" t="s">
        <v>413</v>
      </c>
      <c r="IQ21" t="s">
        <v>414</v>
      </c>
      <c r="IR21" t="s">
        <v>414</v>
      </c>
      <c r="IS21" t="s">
        <v>413</v>
      </c>
      <c r="IT21">
        <v>0</v>
      </c>
      <c r="IU21">
        <v>100</v>
      </c>
      <c r="IV21">
        <v>100</v>
      </c>
      <c r="IW21">
        <v>-6.2130000000000001</v>
      </c>
      <c r="IX21">
        <v>-0.64100000000000001</v>
      </c>
      <c r="IY21">
        <v>-4.2245946505803396</v>
      </c>
      <c r="IZ21">
        <v>-5.6215304933332991E-3</v>
      </c>
      <c r="JA21">
        <v>2.3979931213773931E-6</v>
      </c>
      <c r="JB21">
        <v>-3.6297174575716598E-10</v>
      </c>
      <c r="JC21">
        <v>-0.88432871317902206</v>
      </c>
      <c r="JD21">
        <v>2.7492919904454862E-4</v>
      </c>
      <c r="JE21">
        <v>8.6739513355948885E-4</v>
      </c>
      <c r="JF21">
        <v>-8.2500691715147318E-6</v>
      </c>
      <c r="JG21">
        <v>17</v>
      </c>
      <c r="JH21">
        <v>1914</v>
      </c>
      <c r="JI21">
        <v>2</v>
      </c>
      <c r="JJ21">
        <v>37</v>
      </c>
      <c r="JK21">
        <v>3.8</v>
      </c>
      <c r="JL21">
        <v>3.8</v>
      </c>
      <c r="JM21">
        <v>1.18286</v>
      </c>
      <c r="JN21">
        <v>2.52441</v>
      </c>
      <c r="JO21">
        <v>1.50024</v>
      </c>
      <c r="JP21">
        <v>2.2741699999999998</v>
      </c>
      <c r="JQ21">
        <v>1.4477500000000001</v>
      </c>
      <c r="JR21">
        <v>2.3168899999999999</v>
      </c>
      <c r="JS21">
        <v>43.59</v>
      </c>
      <c r="JT21">
        <v>23.851099999999999</v>
      </c>
      <c r="JU21">
        <v>18</v>
      </c>
      <c r="JV21">
        <v>539.03200000000004</v>
      </c>
      <c r="JW21">
        <v>441.666</v>
      </c>
      <c r="JX21">
        <v>20.6568</v>
      </c>
      <c r="JY21">
        <v>33.496899999999997</v>
      </c>
      <c r="JZ21">
        <v>29.999600000000001</v>
      </c>
      <c r="KA21">
        <v>33.606099999999998</v>
      </c>
      <c r="KB21">
        <v>33.628900000000002</v>
      </c>
      <c r="KC21">
        <v>23.657</v>
      </c>
      <c r="KD21">
        <v>51.220999999999997</v>
      </c>
      <c r="KE21">
        <v>0</v>
      </c>
      <c r="KF21">
        <v>20.5916</v>
      </c>
      <c r="KG21">
        <v>469.38099999999997</v>
      </c>
      <c r="KH21">
        <v>18.040500000000002</v>
      </c>
      <c r="KI21">
        <v>100.37</v>
      </c>
      <c r="KJ21">
        <v>98.825800000000001</v>
      </c>
    </row>
    <row r="22" spans="1:296" x14ac:dyDescent="0.3">
      <c r="A22">
        <v>6</v>
      </c>
      <c r="B22">
        <v>1783956578.0999999</v>
      </c>
      <c r="C22">
        <v>957.09999990463257</v>
      </c>
      <c r="D22" t="s">
        <v>490</v>
      </c>
      <c r="E22" t="s">
        <v>491</v>
      </c>
      <c r="F22">
        <v>15</v>
      </c>
      <c r="H22">
        <v>1783956570.099999</v>
      </c>
      <c r="I22">
        <f t="shared" si="0"/>
        <v>2.0709285009689036E-3</v>
      </c>
      <c r="J22">
        <f t="shared" si="1"/>
        <v>2.0709285009689036</v>
      </c>
      <c r="K22">
        <f t="shared" si="2"/>
        <v>36.59441952003899</v>
      </c>
      <c r="L22">
        <f t="shared" si="3"/>
        <v>420.19309677419352</v>
      </c>
      <c r="M22">
        <f t="shared" si="4"/>
        <v>85.549649028913805</v>
      </c>
      <c r="N22">
        <f t="shared" si="5"/>
        <v>8.4375656709102902</v>
      </c>
      <c r="O22">
        <f t="shared" si="6"/>
        <v>41.442681398928414</v>
      </c>
      <c r="P22">
        <f t="shared" si="7"/>
        <v>0.18277026407593158</v>
      </c>
      <c r="Q22">
        <f t="shared" si="8"/>
        <v>2.9039530302701557</v>
      </c>
      <c r="R22">
        <f t="shared" si="9"/>
        <v>0.17661169912898159</v>
      </c>
      <c r="S22">
        <f t="shared" si="10"/>
        <v>0.11091834698497699</v>
      </c>
      <c r="T22">
        <f t="shared" si="11"/>
        <v>128.28069639344267</v>
      </c>
      <c r="U22">
        <f t="shared" si="12"/>
        <v>25.011751327733773</v>
      </c>
      <c r="V22">
        <f t="shared" si="13"/>
        <v>24.97377419354839</v>
      </c>
      <c r="W22">
        <f t="shared" si="14"/>
        <v>3.1747093724569382</v>
      </c>
      <c r="X22">
        <f t="shared" si="15"/>
        <v>65.241162333671554</v>
      </c>
      <c r="Y22">
        <f t="shared" si="16"/>
        <v>2.0488375693762908</v>
      </c>
      <c r="Z22">
        <f t="shared" si="17"/>
        <v>3.1404062957947443</v>
      </c>
      <c r="AA22">
        <f t="shared" si="18"/>
        <v>1.1258718030806474</v>
      </c>
      <c r="AB22">
        <f t="shared" si="19"/>
        <v>-91.327946892728647</v>
      </c>
      <c r="AC22">
        <f t="shared" si="20"/>
        <v>-28.50313615492205</v>
      </c>
      <c r="AD22">
        <f t="shared" si="21"/>
        <v>-2.0737210848739656</v>
      </c>
      <c r="AE22">
        <f t="shared" si="22"/>
        <v>6.375892260918004</v>
      </c>
      <c r="AF22">
        <f t="shared" si="23"/>
        <v>36.59441952003899</v>
      </c>
      <c r="AG22">
        <f t="shared" si="24"/>
        <v>2.0709285009689036</v>
      </c>
      <c r="AH22">
        <f t="shared" si="25"/>
        <v>36.557879290249311</v>
      </c>
      <c r="AI22">
        <v>473.7045478483501</v>
      </c>
      <c r="AJ22">
        <v>429.06546060606081</v>
      </c>
      <c r="AK22">
        <v>-9.4211893651692628E-3</v>
      </c>
      <c r="AL22">
        <v>67.035832064928329</v>
      </c>
      <c r="AM22">
        <f t="shared" si="26"/>
        <v>2.1004870525381549</v>
      </c>
      <c r="AN22">
        <v>18.237564681045061</v>
      </c>
      <c r="AO22">
        <v>20.749836969696979</v>
      </c>
      <c r="AP22">
        <v>-7.0765491842627714E-3</v>
      </c>
      <c r="AQ22">
        <v>78.069517001200381</v>
      </c>
      <c r="AR22">
        <v>0</v>
      </c>
      <c r="AS22">
        <v>0</v>
      </c>
      <c r="AT22">
        <f t="shared" si="27"/>
        <v>1</v>
      </c>
      <c r="AU22">
        <f t="shared" si="28"/>
        <v>0</v>
      </c>
      <c r="AV22">
        <f t="shared" si="29"/>
        <v>52496.526559811515</v>
      </c>
      <c r="AW22" t="s">
        <v>471</v>
      </c>
      <c r="AX22">
        <v>5093.3999999999996</v>
      </c>
      <c r="AY22">
        <v>591.17352941176478</v>
      </c>
      <c r="AZ22">
        <v>2325.63</v>
      </c>
      <c r="BA22">
        <f t="shared" si="30"/>
        <v>0.74580069511841318</v>
      </c>
      <c r="BB22">
        <v>-2.7030707972498691</v>
      </c>
      <c r="BC22" t="s">
        <v>492</v>
      </c>
      <c r="BD22">
        <v>5095.5</v>
      </c>
      <c r="BE22">
        <v>799.51505882352933</v>
      </c>
      <c r="BF22">
        <v>1376.06</v>
      </c>
      <c r="BG22">
        <f t="shared" si="31"/>
        <v>0.41898241441250428</v>
      </c>
      <c r="BH22">
        <v>0.5</v>
      </c>
      <c r="BI22">
        <f t="shared" si="32"/>
        <v>672.32352955033821</v>
      </c>
      <c r="BJ22">
        <f t="shared" si="33"/>
        <v>36.59441952003899</v>
      </c>
      <c r="BK22">
        <f t="shared" si="34"/>
        <v>140.84586783866868</v>
      </c>
      <c r="BL22">
        <f t="shared" si="35"/>
        <v>5.8450267750664198E-2</v>
      </c>
      <c r="BM22">
        <f t="shared" si="36"/>
        <v>0.69006438672732306</v>
      </c>
      <c r="BN22">
        <f t="shared" si="37"/>
        <v>502.94924684319784</v>
      </c>
      <c r="BO22" t="s">
        <v>407</v>
      </c>
      <c r="BP22">
        <v>0</v>
      </c>
      <c r="BQ22">
        <f t="shared" si="38"/>
        <v>502.94924684319784</v>
      </c>
      <c r="BR22">
        <f t="shared" si="39"/>
        <v>0.63450049645858619</v>
      </c>
      <c r="BS22">
        <f t="shared" si="40"/>
        <v>0.66033425781543298</v>
      </c>
      <c r="BT22">
        <f t="shared" si="41"/>
        <v>0.52097439354389796</v>
      </c>
      <c r="BU22">
        <f t="shared" si="42"/>
        <v>0.73455838873662527</v>
      </c>
      <c r="BV22">
        <f t="shared" si="43"/>
        <v>0.54747410275332919</v>
      </c>
      <c r="BW22">
        <f t="shared" si="44"/>
        <v>0.41539507476161136</v>
      </c>
      <c r="BX22">
        <f t="shared" si="45"/>
        <v>0.5846049252383887</v>
      </c>
      <c r="DG22">
        <f t="shared" si="46"/>
        <v>800.01622580645187</v>
      </c>
      <c r="DH22">
        <f t="shared" si="47"/>
        <v>672.32352955033821</v>
      </c>
      <c r="DI22">
        <f t="shared" si="48"/>
        <v>0.84038736698447114</v>
      </c>
      <c r="DJ22">
        <f t="shared" si="49"/>
        <v>0.1603476182800293</v>
      </c>
      <c r="DK22">
        <v>6</v>
      </c>
      <c r="DL22">
        <v>0.5</v>
      </c>
      <c r="DM22" t="s">
        <v>408</v>
      </c>
      <c r="DN22">
        <v>2</v>
      </c>
      <c r="DO22" t="b">
        <v>0</v>
      </c>
      <c r="DP22">
        <v>1783956570.099999</v>
      </c>
      <c r="DQ22">
        <v>420.19309677419352</v>
      </c>
      <c r="DR22">
        <v>465.15093548387102</v>
      </c>
      <c r="DS22">
        <v>20.773448387096781</v>
      </c>
      <c r="DT22">
        <v>18.339941935483871</v>
      </c>
      <c r="DU22">
        <v>426.29461290322593</v>
      </c>
      <c r="DV22">
        <v>21.349051612903232</v>
      </c>
      <c r="DW22">
        <v>499.99658064516132</v>
      </c>
      <c r="DX22">
        <v>98.579838709677432</v>
      </c>
      <c r="DY22">
        <v>4.7867735483870973E-2</v>
      </c>
      <c r="DZ22">
        <v>24.791712903225811</v>
      </c>
      <c r="EA22">
        <v>24.97377419354839</v>
      </c>
      <c r="EB22">
        <v>999.90000000000032</v>
      </c>
      <c r="EC22">
        <v>0</v>
      </c>
      <c r="ED22">
        <v>0</v>
      </c>
      <c r="EE22">
        <v>9996.7741935483864</v>
      </c>
      <c r="EF22">
        <v>0</v>
      </c>
      <c r="EG22">
        <v>162.9515806451613</v>
      </c>
      <c r="EH22">
        <v>-44.957864516129042</v>
      </c>
      <c r="EI22">
        <v>429.10703225806458</v>
      </c>
      <c r="EJ22">
        <v>473.84100000000012</v>
      </c>
      <c r="EK22">
        <v>2.433498064516129</v>
      </c>
      <c r="EL22">
        <v>465.15093548387102</v>
      </c>
      <c r="EM22">
        <v>18.339941935483871</v>
      </c>
      <c r="EN22">
        <v>2.0478429032258072</v>
      </c>
      <c r="EO22">
        <v>1.8079483870967741</v>
      </c>
      <c r="EP22">
        <v>17.81918709677419</v>
      </c>
      <c r="EQ22">
        <v>15.855567741935481</v>
      </c>
      <c r="ER22">
        <v>800.01622580645187</v>
      </c>
      <c r="ES22">
        <v>0.98700712903225796</v>
      </c>
      <c r="ET22">
        <v>1.29932E-2</v>
      </c>
      <c r="EU22">
        <v>0</v>
      </c>
      <c r="EV22">
        <v>799.46083870967743</v>
      </c>
      <c r="EW22">
        <v>5.0010700000000003</v>
      </c>
      <c r="EX22">
        <v>9902.5796774193532</v>
      </c>
      <c r="EY22">
        <v>7246.7874193548387</v>
      </c>
      <c r="EZ22">
        <v>40.497967741935483</v>
      </c>
      <c r="FA22">
        <v>44.156999999999996</v>
      </c>
      <c r="FB22">
        <v>42.25</v>
      </c>
      <c r="FC22">
        <v>43.243903225806442</v>
      </c>
      <c r="FD22">
        <v>42</v>
      </c>
      <c r="FE22">
        <v>784.68548387096791</v>
      </c>
      <c r="FF22">
        <v>10.33</v>
      </c>
      <c r="FG22">
        <v>0</v>
      </c>
      <c r="FH22">
        <v>202.79999995231631</v>
      </c>
      <c r="FI22">
        <v>0</v>
      </c>
      <c r="FJ22">
        <v>799.51505882352933</v>
      </c>
      <c r="FK22">
        <v>0.80220588129890968</v>
      </c>
      <c r="FL22">
        <v>32.607843598030001</v>
      </c>
      <c r="FM22">
        <v>9903.2194117647068</v>
      </c>
      <c r="FN22">
        <v>10</v>
      </c>
      <c r="FO22">
        <v>1783956474.5999999</v>
      </c>
      <c r="FP22" t="s">
        <v>493</v>
      </c>
      <c r="FQ22">
        <v>1783956467.0999999</v>
      </c>
      <c r="FR22">
        <v>1783956474.5999999</v>
      </c>
      <c r="FS22">
        <v>7</v>
      </c>
      <c r="FT22">
        <v>0.112</v>
      </c>
      <c r="FU22">
        <v>1E-3</v>
      </c>
      <c r="FV22">
        <v>-6.2750000000000004</v>
      </c>
      <c r="FW22">
        <v>-0.63600000000000001</v>
      </c>
      <c r="FX22">
        <v>467</v>
      </c>
      <c r="FY22">
        <v>18</v>
      </c>
      <c r="FZ22">
        <v>0.14000000000000001</v>
      </c>
      <c r="GA22">
        <v>0.12</v>
      </c>
      <c r="GB22">
        <v>420.19309677419352</v>
      </c>
      <c r="GC22">
        <v>1.7951612902238449E-2</v>
      </c>
      <c r="GD22">
        <v>5.7027076103805897E-2</v>
      </c>
      <c r="GE22">
        <v>-1</v>
      </c>
      <c r="GF22">
        <v>799.42494117647061</v>
      </c>
      <c r="GG22">
        <v>0.8896867881589019</v>
      </c>
      <c r="GH22">
        <v>0.2063128608201425</v>
      </c>
      <c r="GI22">
        <v>1</v>
      </c>
      <c r="GJ22">
        <v>2.4222643902439032</v>
      </c>
      <c r="GK22">
        <v>0.51135470383274573</v>
      </c>
      <c r="GL22">
        <v>6.5684034034666439E-2</v>
      </c>
      <c r="GM22">
        <v>0</v>
      </c>
      <c r="GN22">
        <v>1</v>
      </c>
      <c r="GO22">
        <v>2</v>
      </c>
      <c r="GP22" t="s">
        <v>410</v>
      </c>
      <c r="GQ22">
        <v>3.1308099999999999</v>
      </c>
      <c r="GR22">
        <v>2.7242700000000002</v>
      </c>
      <c r="GS22">
        <v>9.2300499999999994E-2</v>
      </c>
      <c r="GT22">
        <v>9.9234600000000006E-2</v>
      </c>
      <c r="GU22">
        <v>0.103758</v>
      </c>
      <c r="GV22">
        <v>9.3116500000000005E-2</v>
      </c>
      <c r="GW22">
        <v>22757.8</v>
      </c>
      <c r="GX22">
        <v>30336.5</v>
      </c>
      <c r="GY22">
        <v>27195.5</v>
      </c>
      <c r="GZ22">
        <v>34629.800000000003</v>
      </c>
      <c r="HA22">
        <v>35698.5</v>
      </c>
      <c r="HB22">
        <v>39746.9</v>
      </c>
      <c r="HC22">
        <v>40160.699999999997</v>
      </c>
      <c r="HD22">
        <v>43908.5</v>
      </c>
      <c r="HE22">
        <v>1.9650000000000001</v>
      </c>
      <c r="HF22">
        <v>1.7878000000000001</v>
      </c>
      <c r="HG22">
        <v>-8.8214899999999999E-2</v>
      </c>
      <c r="HH22">
        <v>0</v>
      </c>
      <c r="HI22">
        <v>26.411799999999999</v>
      </c>
      <c r="HJ22">
        <v>999.9</v>
      </c>
      <c r="HK22">
        <v>62</v>
      </c>
      <c r="HL22">
        <v>36</v>
      </c>
      <c r="HM22">
        <v>37.538800000000002</v>
      </c>
      <c r="HN22">
        <v>61.522500000000001</v>
      </c>
      <c r="HO22">
        <v>5.6690699999999996</v>
      </c>
      <c r="HP22">
        <v>1</v>
      </c>
      <c r="HQ22">
        <v>0.51993900000000004</v>
      </c>
      <c r="HR22">
        <v>5.4018300000000004</v>
      </c>
      <c r="HS22">
        <v>20.159099999999999</v>
      </c>
      <c r="HT22">
        <v>5.2100999999999997</v>
      </c>
      <c r="HU22">
        <v>11.908099999999999</v>
      </c>
      <c r="HV22">
        <v>4.9847999999999999</v>
      </c>
      <c r="HW22">
        <v>3.2707999999999999</v>
      </c>
      <c r="HX22">
        <v>9999</v>
      </c>
      <c r="HY22">
        <v>9999</v>
      </c>
      <c r="HZ22">
        <v>9999</v>
      </c>
      <c r="IA22">
        <v>999.9</v>
      </c>
      <c r="IB22">
        <v>1.86771</v>
      </c>
      <c r="IC22">
        <v>1.8633999999999999</v>
      </c>
      <c r="ID22">
        <v>1.8628499999999999</v>
      </c>
      <c r="IE22">
        <v>1.8623400000000001</v>
      </c>
      <c r="IF22">
        <v>1.8623700000000001</v>
      </c>
      <c r="IG22">
        <v>1.8629500000000001</v>
      </c>
      <c r="IH22">
        <v>1.8638600000000001</v>
      </c>
      <c r="II22">
        <v>1.86188</v>
      </c>
      <c r="IJ22">
        <v>0</v>
      </c>
      <c r="IK22">
        <v>0</v>
      </c>
      <c r="IL22">
        <v>0</v>
      </c>
      <c r="IM22">
        <v>4.5</v>
      </c>
      <c r="IN22" t="s">
        <v>411</v>
      </c>
      <c r="IO22" t="s">
        <v>412</v>
      </c>
      <c r="IP22" t="s">
        <v>413</v>
      </c>
      <c r="IQ22" t="s">
        <v>414</v>
      </c>
      <c r="IR22" t="s">
        <v>414</v>
      </c>
      <c r="IS22" t="s">
        <v>413</v>
      </c>
      <c r="IT22">
        <v>0</v>
      </c>
      <c r="IU22">
        <v>100</v>
      </c>
      <c r="IV22">
        <v>100</v>
      </c>
      <c r="IW22">
        <v>-6.101</v>
      </c>
      <c r="IX22">
        <v>-0.57630000000000003</v>
      </c>
      <c r="IY22">
        <v>-4.1128232027666982</v>
      </c>
      <c r="IZ22">
        <v>-5.6215304933332991E-3</v>
      </c>
      <c r="JA22">
        <v>2.3979931213773931E-6</v>
      </c>
      <c r="JB22">
        <v>-3.6297174575716598E-10</v>
      </c>
      <c r="JC22">
        <v>-0.89654214943756982</v>
      </c>
      <c r="JD22">
        <v>2.7492919904454862E-4</v>
      </c>
      <c r="JE22">
        <v>8.6739513355948885E-4</v>
      </c>
      <c r="JF22">
        <v>-8.2500691715147318E-6</v>
      </c>
      <c r="JG22">
        <v>17</v>
      </c>
      <c r="JH22">
        <v>1914</v>
      </c>
      <c r="JI22">
        <v>2</v>
      </c>
      <c r="JJ22">
        <v>37</v>
      </c>
      <c r="JK22">
        <v>1.9</v>
      </c>
      <c r="JL22">
        <v>1.7</v>
      </c>
      <c r="JM22">
        <v>1.17432</v>
      </c>
      <c r="JN22">
        <v>2.52197</v>
      </c>
      <c r="JO22">
        <v>1.50024</v>
      </c>
      <c r="JP22">
        <v>2.2741699999999998</v>
      </c>
      <c r="JQ22">
        <v>1.4477500000000001</v>
      </c>
      <c r="JR22">
        <v>2.4352999999999998</v>
      </c>
      <c r="JS22">
        <v>44.195399999999999</v>
      </c>
      <c r="JT22">
        <v>23.8598</v>
      </c>
      <c r="JU22">
        <v>18</v>
      </c>
      <c r="JV22">
        <v>538.96</v>
      </c>
      <c r="JW22">
        <v>437.60899999999998</v>
      </c>
      <c r="JX22">
        <v>20.593599999999999</v>
      </c>
      <c r="JY22">
        <v>33.475900000000003</v>
      </c>
      <c r="JZ22">
        <v>29.9998</v>
      </c>
      <c r="KA22">
        <v>33.597200000000001</v>
      </c>
      <c r="KB22">
        <v>33.622999999999998</v>
      </c>
      <c r="KC22">
        <v>23.484500000000001</v>
      </c>
      <c r="KD22">
        <v>51.701900000000002</v>
      </c>
      <c r="KE22">
        <v>0</v>
      </c>
      <c r="KF22">
        <v>20.619399999999999</v>
      </c>
      <c r="KG22">
        <v>465.03899999999999</v>
      </c>
      <c r="KH22">
        <v>18.327200000000001</v>
      </c>
      <c r="KI22">
        <v>100.371</v>
      </c>
      <c r="KJ22">
        <v>98.817899999999995</v>
      </c>
    </row>
    <row r="23" spans="1:296" x14ac:dyDescent="0.3">
      <c r="A23">
        <v>7</v>
      </c>
      <c r="B23">
        <v>1783956760.5999999</v>
      </c>
      <c r="C23">
        <v>1139.599999904633</v>
      </c>
      <c r="D23" t="s">
        <v>494</v>
      </c>
      <c r="E23" t="s">
        <v>495</v>
      </c>
      <c r="F23">
        <v>15</v>
      </c>
      <c r="H23">
        <v>1783956752.849999</v>
      </c>
      <c r="I23">
        <f t="shared" si="0"/>
        <v>1.5947015361300883E-3</v>
      </c>
      <c r="J23">
        <f t="shared" si="1"/>
        <v>1.5947015361300882</v>
      </c>
      <c r="K23">
        <f t="shared" si="2"/>
        <v>30.298772931170763</v>
      </c>
      <c r="L23">
        <f t="shared" si="3"/>
        <v>420.2226</v>
      </c>
      <c r="M23">
        <f t="shared" si="4"/>
        <v>55.499481960087223</v>
      </c>
      <c r="N23">
        <f t="shared" si="5"/>
        <v>5.4738085447668574</v>
      </c>
      <c r="O23">
        <f t="shared" si="6"/>
        <v>41.445757281813194</v>
      </c>
      <c r="P23">
        <f t="shared" si="7"/>
        <v>0.137609499850949</v>
      </c>
      <c r="Q23">
        <f t="shared" si="8"/>
        <v>2.9041567899287699</v>
      </c>
      <c r="R23">
        <f t="shared" si="9"/>
        <v>0.13408704043677758</v>
      </c>
      <c r="S23">
        <f t="shared" si="10"/>
        <v>8.4113369241513081E-2</v>
      </c>
      <c r="T23">
        <f t="shared" si="11"/>
        <v>96.345471084814889</v>
      </c>
      <c r="U23">
        <f t="shared" si="12"/>
        <v>24.988741983153478</v>
      </c>
      <c r="V23">
        <f t="shared" si="13"/>
        <v>24.99672</v>
      </c>
      <c r="W23">
        <f t="shared" si="14"/>
        <v>3.179055855183321</v>
      </c>
      <c r="X23">
        <f t="shared" si="15"/>
        <v>64.704094358675988</v>
      </c>
      <c r="Y23">
        <f t="shared" si="16"/>
        <v>2.0370865083533625</v>
      </c>
      <c r="Z23">
        <f t="shared" si="17"/>
        <v>3.1483115999756133</v>
      </c>
      <c r="AA23">
        <f t="shared" si="18"/>
        <v>1.1419693468299585</v>
      </c>
      <c r="AB23">
        <f t="shared" si="19"/>
        <v>-70.326337743336893</v>
      </c>
      <c r="AC23">
        <f t="shared" si="20"/>
        <v>-25.504552053536521</v>
      </c>
      <c r="AD23">
        <f t="shared" si="21"/>
        <v>-1.8560393547813145</v>
      </c>
      <c r="AE23">
        <f t="shared" si="22"/>
        <v>-1.3414580668398415</v>
      </c>
      <c r="AF23">
        <f t="shared" si="23"/>
        <v>30.298772931170763</v>
      </c>
      <c r="AG23">
        <f t="shared" si="24"/>
        <v>1.5947015361300882</v>
      </c>
      <c r="AH23">
        <f t="shared" si="25"/>
        <v>30.171622482902524</v>
      </c>
      <c r="AI23">
        <v>466.06048691227352</v>
      </c>
      <c r="AJ23">
        <v>429.10023636363621</v>
      </c>
      <c r="AK23">
        <v>1.1314502283826119E-2</v>
      </c>
      <c r="AL23">
        <v>67.035832064928329</v>
      </c>
      <c r="AM23">
        <f t="shared" si="26"/>
        <v>1.661610417043845</v>
      </c>
      <c r="AN23">
        <v>18.783642602289842</v>
      </c>
      <c r="AO23">
        <v>20.727948484848469</v>
      </c>
      <c r="AP23">
        <v>1.343625156599777E-3</v>
      </c>
      <c r="AQ23">
        <v>78.069517001200381</v>
      </c>
      <c r="AR23">
        <v>0</v>
      </c>
      <c r="AS23">
        <v>0</v>
      </c>
      <c r="AT23">
        <f t="shared" si="27"/>
        <v>1</v>
      </c>
      <c r="AU23">
        <f t="shared" si="28"/>
        <v>0</v>
      </c>
      <c r="AV23">
        <f t="shared" si="29"/>
        <v>52495.003447194707</v>
      </c>
      <c r="AW23" t="s">
        <v>471</v>
      </c>
      <c r="AX23">
        <v>5093.3999999999996</v>
      </c>
      <c r="AY23">
        <v>591.17352941176478</v>
      </c>
      <c r="AZ23">
        <v>2325.63</v>
      </c>
      <c r="BA23">
        <f t="shared" si="30"/>
        <v>0.74580069511841318</v>
      </c>
      <c r="BB23">
        <v>-2.7030707972498691</v>
      </c>
      <c r="BC23" t="s">
        <v>496</v>
      </c>
      <c r="BD23">
        <v>5097.6000000000004</v>
      </c>
      <c r="BE23">
        <v>800.64682352941168</v>
      </c>
      <c r="BF23">
        <v>1558.85</v>
      </c>
      <c r="BG23">
        <f t="shared" si="31"/>
        <v>0.48638623117720647</v>
      </c>
      <c r="BH23">
        <v>0.5</v>
      </c>
      <c r="BI23">
        <f t="shared" si="32"/>
        <v>504.30108097658803</v>
      </c>
      <c r="BJ23">
        <f t="shared" si="33"/>
        <v>30.298772931170763</v>
      </c>
      <c r="BK23">
        <f t="shared" si="34"/>
        <v>122.64255107739693</v>
      </c>
      <c r="BL23">
        <f t="shared" si="35"/>
        <v>6.5440755479865262E-2</v>
      </c>
      <c r="BM23">
        <f t="shared" si="36"/>
        <v>0.49188825095422922</v>
      </c>
      <c r="BN23">
        <f t="shared" si="37"/>
        <v>525.46999528262984</v>
      </c>
      <c r="BO23" t="s">
        <v>407</v>
      </c>
      <c r="BP23">
        <v>0</v>
      </c>
      <c r="BQ23">
        <f t="shared" si="38"/>
        <v>525.46999528262984</v>
      </c>
      <c r="BR23">
        <f t="shared" si="39"/>
        <v>0.66291176490192782</v>
      </c>
      <c r="BS23">
        <f t="shared" si="40"/>
        <v>0.73371187076331834</v>
      </c>
      <c r="BT23">
        <f t="shared" si="41"/>
        <v>0.42595102545919894</v>
      </c>
      <c r="BU23">
        <f t="shared" si="42"/>
        <v>0.783529619160512</v>
      </c>
      <c r="BV23">
        <f t="shared" si="43"/>
        <v>0.44208662079593686</v>
      </c>
      <c r="BW23">
        <f t="shared" si="44"/>
        <v>0.48154012723020251</v>
      </c>
      <c r="BX23">
        <f t="shared" si="45"/>
        <v>0.51845987276979755</v>
      </c>
      <c r="DG23">
        <f t="shared" si="46"/>
        <v>599.99699999999996</v>
      </c>
      <c r="DH23">
        <f t="shared" si="47"/>
        <v>504.30108097658803</v>
      </c>
      <c r="DI23">
        <f t="shared" si="48"/>
        <v>0.84050600415766752</v>
      </c>
      <c r="DJ23">
        <f t="shared" si="49"/>
        <v>0.16057658802429828</v>
      </c>
      <c r="DK23">
        <v>6</v>
      </c>
      <c r="DL23">
        <v>0.5</v>
      </c>
      <c r="DM23" t="s">
        <v>408</v>
      </c>
      <c r="DN23">
        <v>2</v>
      </c>
      <c r="DO23" t="b">
        <v>0</v>
      </c>
      <c r="DP23">
        <v>1783956752.849999</v>
      </c>
      <c r="DQ23">
        <v>420.2226</v>
      </c>
      <c r="DR23">
        <v>457.38626666666659</v>
      </c>
      <c r="DS23">
        <v>20.654219999999999</v>
      </c>
      <c r="DT23">
        <v>18.780053333333331</v>
      </c>
      <c r="DU23">
        <v>426.32426666666669</v>
      </c>
      <c r="DV23">
        <v>21.291219999999999</v>
      </c>
      <c r="DW23">
        <v>499.98676666666671</v>
      </c>
      <c r="DX23">
        <v>98.5809</v>
      </c>
      <c r="DY23">
        <v>4.7201586666666663E-2</v>
      </c>
      <c r="DZ23">
        <v>24.833823333333331</v>
      </c>
      <c r="EA23">
        <v>24.99672</v>
      </c>
      <c r="EB23">
        <v>999.9000000000002</v>
      </c>
      <c r="EC23">
        <v>0</v>
      </c>
      <c r="ED23">
        <v>0</v>
      </c>
      <c r="EE23">
        <v>9997.8333333333339</v>
      </c>
      <c r="EF23">
        <v>0</v>
      </c>
      <c r="EG23">
        <v>171.01606666666669</v>
      </c>
      <c r="EH23">
        <v>-37.163753333333332</v>
      </c>
      <c r="EI23">
        <v>429.1112333333333</v>
      </c>
      <c r="EJ23">
        <v>466.1405666666667</v>
      </c>
      <c r="EK23">
        <v>1.9340556666666671</v>
      </c>
      <c r="EL23">
        <v>457.38626666666659</v>
      </c>
      <c r="EM23">
        <v>18.780053333333331</v>
      </c>
      <c r="EN23">
        <v>2.0420146666666659</v>
      </c>
      <c r="EO23">
        <v>1.851354666666666</v>
      </c>
      <c r="EP23">
        <v>17.773936666666671</v>
      </c>
      <c r="EQ23">
        <v>16.227250000000002</v>
      </c>
      <c r="ER23">
        <v>599.99699999999996</v>
      </c>
      <c r="ES23">
        <v>0.98298713333333321</v>
      </c>
      <c r="ET23">
        <v>1.7012813333333331E-2</v>
      </c>
      <c r="EU23">
        <v>0</v>
      </c>
      <c r="EV23">
        <v>800.64330000000007</v>
      </c>
      <c r="EW23">
        <v>5.0010700000000003</v>
      </c>
      <c r="EX23">
        <v>8220.0373333333355</v>
      </c>
      <c r="EY23">
        <v>5415.0570000000007</v>
      </c>
      <c r="EZ23">
        <v>39.862399999999987</v>
      </c>
      <c r="FA23">
        <v>43.807866666666648</v>
      </c>
      <c r="FB23">
        <v>41.766533333333342</v>
      </c>
      <c r="FC23">
        <v>43</v>
      </c>
      <c r="FD23">
        <v>41.549599999999991</v>
      </c>
      <c r="FE23">
        <v>584.87399999999991</v>
      </c>
      <c r="FF23">
        <v>10.119999999999999</v>
      </c>
      <c r="FG23">
        <v>0</v>
      </c>
      <c r="FH23">
        <v>181.5999999046326</v>
      </c>
      <c r="FI23">
        <v>0</v>
      </c>
      <c r="FJ23">
        <v>800.64682352941168</v>
      </c>
      <c r="FK23">
        <v>-1.525000010298895</v>
      </c>
      <c r="FL23">
        <v>12.622548988535531</v>
      </c>
      <c r="FM23">
        <v>8220.3964705882354</v>
      </c>
      <c r="FN23">
        <v>10</v>
      </c>
      <c r="FO23">
        <v>1783956782.5999999</v>
      </c>
      <c r="FP23" t="s">
        <v>497</v>
      </c>
      <c r="FQ23">
        <v>1783956467.0999999</v>
      </c>
      <c r="FR23">
        <v>1783956782.5999999</v>
      </c>
      <c r="FS23">
        <v>8</v>
      </c>
      <c r="FT23">
        <v>0.112</v>
      </c>
      <c r="FU23">
        <v>-1.4E-2</v>
      </c>
      <c r="FV23">
        <v>-6.2750000000000004</v>
      </c>
      <c r="FW23">
        <v>-0.63700000000000001</v>
      </c>
      <c r="FX23">
        <v>467</v>
      </c>
      <c r="FY23">
        <v>19</v>
      </c>
      <c r="FZ23">
        <v>0.14000000000000001</v>
      </c>
      <c r="GA23">
        <v>0.11</v>
      </c>
      <c r="GB23">
        <v>420.22654838709673</v>
      </c>
      <c r="GC23">
        <v>-0.66106451613013684</v>
      </c>
      <c r="GD23">
        <v>7.7501233584220078E-2</v>
      </c>
      <c r="GE23">
        <v>-1</v>
      </c>
      <c r="GF23">
        <v>800.63623529411757</v>
      </c>
      <c r="GG23">
        <v>-0.26102368748808691</v>
      </c>
      <c r="GH23">
        <v>0.26479060082212053</v>
      </c>
      <c r="GI23">
        <v>1</v>
      </c>
      <c r="GJ23">
        <v>1.922087073170732</v>
      </c>
      <c r="GK23">
        <v>0.16971972125435481</v>
      </c>
      <c r="GL23">
        <v>2.4929364137733619E-2</v>
      </c>
      <c r="GM23">
        <v>1</v>
      </c>
      <c r="GN23">
        <v>2</v>
      </c>
      <c r="GO23">
        <v>2</v>
      </c>
      <c r="GP23" t="s">
        <v>423</v>
      </c>
      <c r="GQ23">
        <v>3.13049</v>
      </c>
      <c r="GR23">
        <v>2.7238099999999998</v>
      </c>
      <c r="GS23">
        <v>9.2338699999999996E-2</v>
      </c>
      <c r="GT23">
        <v>9.8100300000000001E-2</v>
      </c>
      <c r="GU23">
        <v>0.103699</v>
      </c>
      <c r="GV23">
        <v>9.5170699999999997E-2</v>
      </c>
      <c r="GW23">
        <v>22757</v>
      </c>
      <c r="GX23">
        <v>30376.5</v>
      </c>
      <c r="GY23">
        <v>27195.4</v>
      </c>
      <c r="GZ23">
        <v>34631.300000000003</v>
      </c>
      <c r="HA23">
        <v>35700.400000000001</v>
      </c>
      <c r="HB23">
        <v>39656.199999999997</v>
      </c>
      <c r="HC23">
        <v>40160.5</v>
      </c>
      <c r="HD23">
        <v>43908.1</v>
      </c>
      <c r="HE23">
        <v>1.9656</v>
      </c>
      <c r="HF23">
        <v>1.7846</v>
      </c>
      <c r="HG23">
        <v>-9.0211600000000003E-2</v>
      </c>
      <c r="HH23">
        <v>0</v>
      </c>
      <c r="HI23">
        <v>26.4833</v>
      </c>
      <c r="HJ23">
        <v>999.9</v>
      </c>
      <c r="HK23">
        <v>61.3</v>
      </c>
      <c r="HL23">
        <v>36.5</v>
      </c>
      <c r="HM23">
        <v>38.145299999999999</v>
      </c>
      <c r="HN23">
        <v>61.262599999999999</v>
      </c>
      <c r="HO23">
        <v>6.1578499999999998</v>
      </c>
      <c r="HP23">
        <v>1</v>
      </c>
      <c r="HQ23">
        <v>0.51249999999999996</v>
      </c>
      <c r="HR23">
        <v>5.1541199999999998</v>
      </c>
      <c r="HS23">
        <v>20.168199999999999</v>
      </c>
      <c r="HT23">
        <v>5.2112999999999996</v>
      </c>
      <c r="HU23">
        <v>11.908099999999999</v>
      </c>
      <c r="HV23">
        <v>4.9847999999999999</v>
      </c>
      <c r="HW23">
        <v>3.2707999999999999</v>
      </c>
      <c r="HX23">
        <v>9999</v>
      </c>
      <c r="HY23">
        <v>9999</v>
      </c>
      <c r="HZ23">
        <v>9999</v>
      </c>
      <c r="IA23">
        <v>999.9</v>
      </c>
      <c r="IB23">
        <v>1.8677699999999999</v>
      </c>
      <c r="IC23">
        <v>1.8633999999999999</v>
      </c>
      <c r="ID23">
        <v>1.8628199999999999</v>
      </c>
      <c r="IE23">
        <v>1.8623400000000001</v>
      </c>
      <c r="IF23">
        <v>1.8623700000000001</v>
      </c>
      <c r="IG23">
        <v>1.8629500000000001</v>
      </c>
      <c r="IH23">
        <v>1.8638600000000001</v>
      </c>
      <c r="II23">
        <v>1.86188</v>
      </c>
      <c r="IJ23">
        <v>0</v>
      </c>
      <c r="IK23">
        <v>0</v>
      </c>
      <c r="IL23">
        <v>0</v>
      </c>
      <c r="IM23">
        <v>4.5</v>
      </c>
      <c r="IN23" t="s">
        <v>411</v>
      </c>
      <c r="IO23" t="s">
        <v>412</v>
      </c>
      <c r="IP23" t="s">
        <v>413</v>
      </c>
      <c r="IQ23" t="s">
        <v>414</v>
      </c>
      <c r="IR23" t="s">
        <v>414</v>
      </c>
      <c r="IS23" t="s">
        <v>413</v>
      </c>
      <c r="IT23">
        <v>0</v>
      </c>
      <c r="IU23">
        <v>100</v>
      </c>
      <c r="IV23">
        <v>100</v>
      </c>
      <c r="IW23">
        <v>-6.1020000000000003</v>
      </c>
      <c r="IX23">
        <v>-0.63700000000000001</v>
      </c>
      <c r="IY23">
        <v>-4.1128232027666982</v>
      </c>
      <c r="IZ23">
        <v>-5.6215304933332991E-3</v>
      </c>
      <c r="JA23">
        <v>2.3979931213773931E-6</v>
      </c>
      <c r="JB23">
        <v>-3.6297174575716598E-10</v>
      </c>
      <c r="JC23">
        <v>-0.89654214943756982</v>
      </c>
      <c r="JD23">
        <v>2.7492919904454862E-4</v>
      </c>
      <c r="JE23">
        <v>8.6739513355948885E-4</v>
      </c>
      <c r="JF23">
        <v>-8.2500691715147318E-6</v>
      </c>
      <c r="JG23">
        <v>17</v>
      </c>
      <c r="JH23">
        <v>1914</v>
      </c>
      <c r="JI23">
        <v>2</v>
      </c>
      <c r="JJ23">
        <v>37</v>
      </c>
      <c r="JK23">
        <v>4.9000000000000004</v>
      </c>
      <c r="JL23">
        <v>4.8</v>
      </c>
      <c r="JM23">
        <v>1.15845</v>
      </c>
      <c r="JN23">
        <v>2.5305200000000001</v>
      </c>
      <c r="JO23">
        <v>1.50024</v>
      </c>
      <c r="JP23">
        <v>2.2729499999999998</v>
      </c>
      <c r="JQ23">
        <v>1.4477500000000001</v>
      </c>
      <c r="JR23">
        <v>2.4462899999999999</v>
      </c>
      <c r="JS23">
        <v>44.613199999999999</v>
      </c>
      <c r="JT23">
        <v>23.8598</v>
      </c>
      <c r="JU23">
        <v>18</v>
      </c>
      <c r="JV23">
        <v>538.98900000000003</v>
      </c>
      <c r="JW23">
        <v>435.34399999999999</v>
      </c>
      <c r="JX23">
        <v>20.887499999999999</v>
      </c>
      <c r="JY23">
        <v>33.412999999999997</v>
      </c>
      <c r="JZ23">
        <v>29.999700000000001</v>
      </c>
      <c r="KA23">
        <v>33.552700000000002</v>
      </c>
      <c r="KB23">
        <v>33.584600000000002</v>
      </c>
      <c r="KC23">
        <v>23.1798</v>
      </c>
      <c r="KD23">
        <v>51.368099999999998</v>
      </c>
      <c r="KE23">
        <v>0</v>
      </c>
      <c r="KF23">
        <v>20.881699999999999</v>
      </c>
      <c r="KG23">
        <v>457.18200000000002</v>
      </c>
      <c r="KH23">
        <v>18.8094</v>
      </c>
      <c r="KI23">
        <v>100.371</v>
      </c>
      <c r="KJ23">
        <v>98.819299999999998</v>
      </c>
    </row>
    <row r="24" spans="1:296" x14ac:dyDescent="0.3">
      <c r="A24">
        <v>8</v>
      </c>
      <c r="B24">
        <v>1783956963.5999999</v>
      </c>
      <c r="C24">
        <v>1342.599999904633</v>
      </c>
      <c r="D24" t="s">
        <v>498</v>
      </c>
      <c r="E24" t="s">
        <v>499</v>
      </c>
      <c r="F24">
        <v>15</v>
      </c>
      <c r="H24">
        <v>1783956955.599999</v>
      </c>
      <c r="I24">
        <f t="shared" si="0"/>
        <v>1.0175672468172314E-3</v>
      </c>
      <c r="J24">
        <f t="shared" si="1"/>
        <v>1.0175672468172314</v>
      </c>
      <c r="K24">
        <f t="shared" si="2"/>
        <v>20.527843508457199</v>
      </c>
      <c r="L24">
        <f t="shared" si="3"/>
        <v>420.43125806451621</v>
      </c>
      <c r="M24">
        <f t="shared" si="4"/>
        <v>33.788793244476274</v>
      </c>
      <c r="N24">
        <f t="shared" si="5"/>
        <v>3.3326734933505313</v>
      </c>
      <c r="O24">
        <f t="shared" si="6"/>
        <v>41.468190337241147</v>
      </c>
      <c r="P24">
        <f t="shared" si="7"/>
        <v>8.7129238427610278E-2</v>
      </c>
      <c r="Q24">
        <f t="shared" si="8"/>
        <v>2.9037338778971873</v>
      </c>
      <c r="R24">
        <f t="shared" si="9"/>
        <v>8.5702461851338479E-2</v>
      </c>
      <c r="S24">
        <f t="shared" si="10"/>
        <v>5.3690282679242543E-2</v>
      </c>
      <c r="T24">
        <f t="shared" si="11"/>
        <v>64.413124932641438</v>
      </c>
      <c r="U24">
        <f t="shared" si="12"/>
        <v>24.897461896781842</v>
      </c>
      <c r="V24">
        <f t="shared" si="13"/>
        <v>24.962951612903218</v>
      </c>
      <c r="W24">
        <f t="shared" si="14"/>
        <v>3.1726611206624917</v>
      </c>
      <c r="X24">
        <f t="shared" si="15"/>
        <v>64.761058519344445</v>
      </c>
      <c r="Y24">
        <f t="shared" si="16"/>
        <v>2.0324730480237596</v>
      </c>
      <c r="Z24">
        <f t="shared" si="17"/>
        <v>3.1384185102790592</v>
      </c>
      <c r="AA24">
        <f t="shared" si="18"/>
        <v>1.1401880726387321</v>
      </c>
      <c r="AB24">
        <f t="shared" si="19"/>
        <v>-44.874715584639908</v>
      </c>
      <c r="AC24">
        <f t="shared" si="20"/>
        <v>-28.466645966504561</v>
      </c>
      <c r="AD24">
        <f t="shared" si="21"/>
        <v>-2.0709991238711267</v>
      </c>
      <c r="AE24">
        <f t="shared" si="22"/>
        <v>-10.999235742374157</v>
      </c>
      <c r="AF24">
        <f t="shared" si="23"/>
        <v>20.527843508457199</v>
      </c>
      <c r="AG24">
        <f t="shared" si="24"/>
        <v>1.0175672468172314</v>
      </c>
      <c r="AH24">
        <f t="shared" si="25"/>
        <v>20.459647936801733</v>
      </c>
      <c r="AI24">
        <v>454.18006629422598</v>
      </c>
      <c r="AJ24">
        <v>429.21879393939389</v>
      </c>
      <c r="AK24">
        <v>-1.4517058536923051E-2</v>
      </c>
      <c r="AL24">
        <v>67.091493002402174</v>
      </c>
      <c r="AM24">
        <f t="shared" si="26"/>
        <v>1.0367506275897542</v>
      </c>
      <c r="AN24">
        <v>19.491218294703589</v>
      </c>
      <c r="AO24">
        <v>20.67845393939394</v>
      </c>
      <c r="AP24">
        <v>5.0089169199626481E-3</v>
      </c>
      <c r="AQ24">
        <v>78.245944109916351</v>
      </c>
      <c r="AR24">
        <v>0</v>
      </c>
      <c r="AS24">
        <v>0</v>
      </c>
      <c r="AT24">
        <f t="shared" si="27"/>
        <v>1</v>
      </c>
      <c r="AU24">
        <f t="shared" si="28"/>
        <v>0</v>
      </c>
      <c r="AV24">
        <f t="shared" si="29"/>
        <v>52492.186006147516</v>
      </c>
      <c r="AW24" t="s">
        <v>471</v>
      </c>
      <c r="AX24">
        <v>5093.3999999999996</v>
      </c>
      <c r="AY24">
        <v>591.17352941176478</v>
      </c>
      <c r="AZ24">
        <v>2325.63</v>
      </c>
      <c r="BA24">
        <f t="shared" si="30"/>
        <v>0.74580069511841318</v>
      </c>
      <c r="BB24">
        <v>-2.7030707972498691</v>
      </c>
      <c r="BC24" t="s">
        <v>500</v>
      </c>
      <c r="BD24">
        <v>5101.03</v>
      </c>
      <c r="BE24">
        <v>773.05405882352943</v>
      </c>
      <c r="BF24">
        <v>1722.58</v>
      </c>
      <c r="BG24">
        <f t="shared" si="31"/>
        <v>0.5512231311036182</v>
      </c>
      <c r="BH24">
        <v>0.5</v>
      </c>
      <c r="BI24">
        <f t="shared" si="32"/>
        <v>336.30203720059978</v>
      </c>
      <c r="BJ24">
        <f t="shared" si="33"/>
        <v>20.527843508457199</v>
      </c>
      <c r="BK24">
        <f t="shared" si="34"/>
        <v>92.688730971120052</v>
      </c>
      <c r="BL24">
        <f t="shared" si="35"/>
        <v>6.9077530719357877E-2</v>
      </c>
      <c r="BM24">
        <f t="shared" si="36"/>
        <v>0.35008533711061329</v>
      </c>
      <c r="BN24">
        <f t="shared" si="37"/>
        <v>542.86333448123912</v>
      </c>
      <c r="BO24" t="s">
        <v>407</v>
      </c>
      <c r="BP24">
        <v>0</v>
      </c>
      <c r="BQ24">
        <f t="shared" si="38"/>
        <v>542.86333448123912</v>
      </c>
      <c r="BR24">
        <f t="shared" si="39"/>
        <v>0.68485450052755792</v>
      </c>
      <c r="BS24">
        <f t="shared" si="40"/>
        <v>0.80487626302959137</v>
      </c>
      <c r="BT24">
        <f t="shared" si="41"/>
        <v>0.33826636523098824</v>
      </c>
      <c r="BU24">
        <f t="shared" si="42"/>
        <v>0.83924386669169193</v>
      </c>
      <c r="BV24">
        <f t="shared" si="43"/>
        <v>0.34768817218888043</v>
      </c>
      <c r="BW24">
        <f t="shared" si="44"/>
        <v>0.56520990609375454</v>
      </c>
      <c r="BX24">
        <f t="shared" si="45"/>
        <v>0.43479009390624546</v>
      </c>
      <c r="DG24">
        <f t="shared" si="46"/>
        <v>400.00670967741939</v>
      </c>
      <c r="DH24">
        <f t="shared" si="47"/>
        <v>336.30203720059978</v>
      </c>
      <c r="DI24">
        <f t="shared" si="48"/>
        <v>0.84074099024940485</v>
      </c>
      <c r="DJ24">
        <f t="shared" si="49"/>
        <v>0.16103011118135149</v>
      </c>
      <c r="DK24">
        <v>6</v>
      </c>
      <c r="DL24">
        <v>0.5</v>
      </c>
      <c r="DM24" t="s">
        <v>408</v>
      </c>
      <c r="DN24">
        <v>2</v>
      </c>
      <c r="DO24" t="b">
        <v>0</v>
      </c>
      <c r="DP24">
        <v>1783956955.599999</v>
      </c>
      <c r="DQ24">
        <v>420.43125806451621</v>
      </c>
      <c r="DR24">
        <v>445.57929032258062</v>
      </c>
      <c r="DS24">
        <v>20.606522580645159</v>
      </c>
      <c r="DT24">
        <v>19.410545161290319</v>
      </c>
      <c r="DU24">
        <v>426.53370967741932</v>
      </c>
      <c r="DV24">
        <v>21.237522580645159</v>
      </c>
      <c r="DW24">
        <v>499.97535483870962</v>
      </c>
      <c r="DX24">
        <v>98.584961290322553</v>
      </c>
      <c r="DY24">
        <v>4.7548880645161287E-2</v>
      </c>
      <c r="DZ24">
        <v>24.781109677419359</v>
      </c>
      <c r="EA24">
        <v>24.962951612903218</v>
      </c>
      <c r="EB24">
        <v>999.90000000000032</v>
      </c>
      <c r="EC24">
        <v>0</v>
      </c>
      <c r="ED24">
        <v>0</v>
      </c>
      <c r="EE24">
        <v>9995</v>
      </c>
      <c r="EF24">
        <v>0</v>
      </c>
      <c r="EG24">
        <v>169.38974193548381</v>
      </c>
      <c r="EH24">
        <v>-25.147912903225809</v>
      </c>
      <c r="EI24">
        <v>429.294193548387</v>
      </c>
      <c r="EJ24">
        <v>454.39922580645162</v>
      </c>
      <c r="EK24">
        <v>1.234969032258064</v>
      </c>
      <c r="EL24">
        <v>445.57929032258062</v>
      </c>
      <c r="EM24">
        <v>19.410545161290319</v>
      </c>
      <c r="EN24">
        <v>2.0353361290322578</v>
      </c>
      <c r="EO24">
        <v>1.913587419354839</v>
      </c>
      <c r="EP24">
        <v>17.721941935483869</v>
      </c>
      <c r="EQ24">
        <v>16.746832258064519</v>
      </c>
      <c r="ER24">
        <v>400.00670967741939</v>
      </c>
      <c r="ES24">
        <v>0.97498345161290312</v>
      </c>
      <c r="ET24">
        <v>2.5016877419354839E-2</v>
      </c>
      <c r="EU24">
        <v>0</v>
      </c>
      <c r="EV24">
        <v>773.30116129032251</v>
      </c>
      <c r="EW24">
        <v>5.0010700000000003</v>
      </c>
      <c r="EX24">
        <v>6472.9703225806461</v>
      </c>
      <c r="EY24">
        <v>3583.7122580645159</v>
      </c>
      <c r="EZ24">
        <v>39.108741935483863</v>
      </c>
      <c r="FA24">
        <v>43.284000000000013</v>
      </c>
      <c r="FB24">
        <v>41.245870967741922</v>
      </c>
      <c r="FC24">
        <v>42.255806451612877</v>
      </c>
      <c r="FD24">
        <v>40.917000000000002</v>
      </c>
      <c r="FE24">
        <v>385.12419354838721</v>
      </c>
      <c r="FF24">
        <v>9.879999999999999</v>
      </c>
      <c r="FG24">
        <v>0</v>
      </c>
      <c r="FH24">
        <v>202.4000000953674</v>
      </c>
      <c r="FI24">
        <v>0</v>
      </c>
      <c r="FJ24">
        <v>773.05405882352943</v>
      </c>
      <c r="FK24">
        <v>-2.5063725578618108</v>
      </c>
      <c r="FL24">
        <v>-36.23529186288178</v>
      </c>
      <c r="FM24">
        <v>6466.2570588235303</v>
      </c>
      <c r="FN24">
        <v>10</v>
      </c>
      <c r="FO24">
        <v>1783956982.0999999</v>
      </c>
      <c r="FP24" t="s">
        <v>501</v>
      </c>
      <c r="FQ24">
        <v>1783956467.0999999</v>
      </c>
      <c r="FR24">
        <v>1783956982.0999999</v>
      </c>
      <c r="FS24">
        <v>9</v>
      </c>
      <c r="FT24">
        <v>0.112</v>
      </c>
      <c r="FU24">
        <v>-1.0999999999999999E-2</v>
      </c>
      <c r="FV24">
        <v>-6.2750000000000004</v>
      </c>
      <c r="FW24">
        <v>-0.63100000000000001</v>
      </c>
      <c r="FX24">
        <v>467</v>
      </c>
      <c r="FY24">
        <v>20</v>
      </c>
      <c r="FZ24">
        <v>0.14000000000000001</v>
      </c>
      <c r="GA24">
        <v>0.23</v>
      </c>
      <c r="GB24">
        <v>420.42843333333337</v>
      </c>
      <c r="GC24">
        <v>-0.37089210233504288</v>
      </c>
      <c r="GD24">
        <v>7.1417403730154067E-2</v>
      </c>
      <c r="GE24">
        <v>-1</v>
      </c>
      <c r="GF24">
        <v>773.46382352941168</v>
      </c>
      <c r="GG24">
        <v>-4.3311229993529583</v>
      </c>
      <c r="GH24">
        <v>0.47779287110803798</v>
      </c>
      <c r="GI24">
        <v>1</v>
      </c>
      <c r="GJ24">
        <v>1.2441614999999999</v>
      </c>
      <c r="GK24">
        <v>-0.37642829268293188</v>
      </c>
      <c r="GL24">
        <v>4.342542466977152E-2</v>
      </c>
      <c r="GM24">
        <v>1</v>
      </c>
      <c r="GN24">
        <v>2</v>
      </c>
      <c r="GO24">
        <v>2</v>
      </c>
      <c r="GP24" t="s">
        <v>423</v>
      </c>
      <c r="GQ24">
        <v>3.1301000000000001</v>
      </c>
      <c r="GR24">
        <v>2.7243900000000001</v>
      </c>
      <c r="GS24">
        <v>9.2366100000000007E-2</v>
      </c>
      <c r="GT24">
        <v>9.6177899999999997E-2</v>
      </c>
      <c r="GU24">
        <v>0.103587</v>
      </c>
      <c r="GV24">
        <v>9.7792699999999996E-2</v>
      </c>
      <c r="GW24">
        <v>22757</v>
      </c>
      <c r="GX24">
        <v>30443.4</v>
      </c>
      <c r="GY24">
        <v>27196</v>
      </c>
      <c r="GZ24">
        <v>34633.300000000003</v>
      </c>
      <c r="HA24">
        <v>35706.5</v>
      </c>
      <c r="HB24">
        <v>39543.800000000003</v>
      </c>
      <c r="HC24">
        <v>40162.5</v>
      </c>
      <c r="HD24">
        <v>43911.3</v>
      </c>
      <c r="HE24">
        <v>1.9643999999999999</v>
      </c>
      <c r="HF24">
        <v>1.7814000000000001</v>
      </c>
      <c r="HG24">
        <v>-8.4698200000000001E-2</v>
      </c>
      <c r="HH24">
        <v>0</v>
      </c>
      <c r="HI24">
        <v>26.3538</v>
      </c>
      <c r="HJ24">
        <v>999.9</v>
      </c>
      <c r="HK24">
        <v>60.6</v>
      </c>
      <c r="HL24">
        <v>37.1</v>
      </c>
      <c r="HM24">
        <v>38.968299999999999</v>
      </c>
      <c r="HN24">
        <v>61.242600000000003</v>
      </c>
      <c r="HO24">
        <v>5.9375</v>
      </c>
      <c r="HP24">
        <v>1</v>
      </c>
      <c r="HQ24">
        <v>0.50928899999999999</v>
      </c>
      <c r="HR24">
        <v>4.9194800000000001</v>
      </c>
      <c r="HS24">
        <v>20.176100000000002</v>
      </c>
      <c r="HT24">
        <v>5.2088999999999999</v>
      </c>
      <c r="HU24">
        <v>11.908099999999999</v>
      </c>
      <c r="HV24">
        <v>4.9855999999999998</v>
      </c>
      <c r="HW24">
        <v>3.2709999999999999</v>
      </c>
      <c r="HX24">
        <v>9999</v>
      </c>
      <c r="HY24">
        <v>9999</v>
      </c>
      <c r="HZ24">
        <v>9999</v>
      </c>
      <c r="IA24">
        <v>999.9</v>
      </c>
      <c r="IB24">
        <v>1.86774</v>
      </c>
      <c r="IC24">
        <v>1.8633999999999999</v>
      </c>
      <c r="ID24">
        <v>1.8628499999999999</v>
      </c>
      <c r="IE24">
        <v>1.8623700000000001</v>
      </c>
      <c r="IF24">
        <v>1.8624000000000001</v>
      </c>
      <c r="IG24">
        <v>1.8629500000000001</v>
      </c>
      <c r="IH24">
        <v>1.8638600000000001</v>
      </c>
      <c r="II24">
        <v>1.86188</v>
      </c>
      <c r="IJ24">
        <v>0</v>
      </c>
      <c r="IK24">
        <v>0</v>
      </c>
      <c r="IL24">
        <v>0</v>
      </c>
      <c r="IM24">
        <v>4.5</v>
      </c>
      <c r="IN24" t="s">
        <v>411</v>
      </c>
      <c r="IO24" t="s">
        <v>412</v>
      </c>
      <c r="IP24" t="s">
        <v>413</v>
      </c>
      <c r="IQ24" t="s">
        <v>414</v>
      </c>
      <c r="IR24" t="s">
        <v>414</v>
      </c>
      <c r="IS24" t="s">
        <v>413</v>
      </c>
      <c r="IT24">
        <v>0</v>
      </c>
      <c r="IU24">
        <v>100</v>
      </c>
      <c r="IV24">
        <v>100</v>
      </c>
      <c r="IW24">
        <v>-6.1029999999999998</v>
      </c>
      <c r="IX24">
        <v>-0.63100000000000001</v>
      </c>
      <c r="IY24">
        <v>-4.1128232027666982</v>
      </c>
      <c r="IZ24">
        <v>-5.6215304933332991E-3</v>
      </c>
      <c r="JA24">
        <v>2.3979931213773931E-6</v>
      </c>
      <c r="JB24">
        <v>-3.6297174575716598E-10</v>
      </c>
      <c r="JC24">
        <v>-0.91004703745961057</v>
      </c>
      <c r="JD24">
        <v>2.7492919904454862E-4</v>
      </c>
      <c r="JE24">
        <v>8.6739513355948885E-4</v>
      </c>
      <c r="JF24">
        <v>-8.2500691715147318E-6</v>
      </c>
      <c r="JG24">
        <v>17</v>
      </c>
      <c r="JH24">
        <v>1914</v>
      </c>
      <c r="JI24">
        <v>2</v>
      </c>
      <c r="JJ24">
        <v>37</v>
      </c>
      <c r="JK24">
        <v>8.3000000000000007</v>
      </c>
      <c r="JL24">
        <v>3</v>
      </c>
      <c r="JM24">
        <v>1.1352500000000001</v>
      </c>
      <c r="JN24">
        <v>2.5378400000000001</v>
      </c>
      <c r="JO24">
        <v>1.50024</v>
      </c>
      <c r="JP24">
        <v>2.2717299999999998</v>
      </c>
      <c r="JQ24">
        <v>1.4477500000000001</v>
      </c>
      <c r="JR24">
        <v>2.3290999999999999</v>
      </c>
      <c r="JS24">
        <v>45.120100000000001</v>
      </c>
      <c r="JT24">
        <v>23.851099999999999</v>
      </c>
      <c r="JU24">
        <v>18</v>
      </c>
      <c r="JV24">
        <v>537.92600000000004</v>
      </c>
      <c r="JW24">
        <v>433.09100000000001</v>
      </c>
      <c r="JX24">
        <v>20.883299999999998</v>
      </c>
      <c r="JY24">
        <v>33.371099999999998</v>
      </c>
      <c r="JZ24">
        <v>29.999600000000001</v>
      </c>
      <c r="KA24">
        <v>33.520099999999999</v>
      </c>
      <c r="KB24">
        <v>33.546300000000002</v>
      </c>
      <c r="KC24">
        <v>22.711500000000001</v>
      </c>
      <c r="KD24">
        <v>50.623199999999997</v>
      </c>
      <c r="KE24">
        <v>0</v>
      </c>
      <c r="KF24">
        <v>20.9116</v>
      </c>
      <c r="KG24">
        <v>445.27699999999999</v>
      </c>
      <c r="KH24">
        <v>19.476199999999999</v>
      </c>
      <c r="KI24">
        <v>100.374</v>
      </c>
      <c r="KJ24">
        <v>98.825900000000004</v>
      </c>
    </row>
    <row r="25" spans="1:296" x14ac:dyDescent="0.3">
      <c r="A25">
        <v>9</v>
      </c>
      <c r="B25">
        <v>1783957163.0999999</v>
      </c>
      <c r="C25">
        <v>1542.099999904633</v>
      </c>
      <c r="D25" t="s">
        <v>502</v>
      </c>
      <c r="E25" t="s">
        <v>503</v>
      </c>
      <c r="F25">
        <v>15</v>
      </c>
      <c r="H25">
        <v>1783957155.349999</v>
      </c>
      <c r="I25">
        <f t="shared" si="0"/>
        <v>8.2892830984975343E-4</v>
      </c>
      <c r="J25">
        <f t="shared" si="1"/>
        <v>0.82892830984975341</v>
      </c>
      <c r="K25">
        <f t="shared" si="2"/>
        <v>16.331668328118035</v>
      </c>
      <c r="L25">
        <f t="shared" si="3"/>
        <v>420.35219999999998</v>
      </c>
      <c r="M25">
        <f t="shared" si="4"/>
        <v>42.52680557985682</v>
      </c>
      <c r="N25">
        <f t="shared" si="5"/>
        <v>4.1947338646951655</v>
      </c>
      <c r="O25">
        <f t="shared" si="6"/>
        <v>41.462451373829516</v>
      </c>
      <c r="P25">
        <f t="shared" si="7"/>
        <v>7.0783665297371859E-2</v>
      </c>
      <c r="Q25">
        <f t="shared" si="8"/>
        <v>2.9041518099879333</v>
      </c>
      <c r="R25">
        <f t="shared" si="9"/>
        <v>6.9839009404447039E-2</v>
      </c>
      <c r="S25">
        <f t="shared" si="10"/>
        <v>4.3733204088510655E-2</v>
      </c>
      <c r="T25">
        <f t="shared" si="11"/>
        <v>48.444298247809755</v>
      </c>
      <c r="U25">
        <f t="shared" si="12"/>
        <v>24.857507207832956</v>
      </c>
      <c r="V25">
        <f t="shared" si="13"/>
        <v>25.006383333333339</v>
      </c>
      <c r="W25">
        <f t="shared" si="14"/>
        <v>3.1808878764453743</v>
      </c>
      <c r="X25">
        <f t="shared" si="15"/>
        <v>65.015368300124905</v>
      </c>
      <c r="Y25">
        <f t="shared" si="16"/>
        <v>2.0411380740447269</v>
      </c>
      <c r="Z25">
        <f t="shared" si="17"/>
        <v>3.1394701397712539</v>
      </c>
      <c r="AA25">
        <f t="shared" si="18"/>
        <v>1.1397498024006474</v>
      </c>
      <c r="AB25">
        <f t="shared" si="19"/>
        <v>-36.555738464374123</v>
      </c>
      <c r="AC25">
        <f t="shared" si="20"/>
        <v>-34.392387684046732</v>
      </c>
      <c r="AD25">
        <f t="shared" si="21"/>
        <v>-2.5023652929848392</v>
      </c>
      <c r="AE25">
        <f t="shared" si="22"/>
        <v>-25.006193193595941</v>
      </c>
      <c r="AF25">
        <f t="shared" si="23"/>
        <v>16.331668328118035</v>
      </c>
      <c r="AG25">
        <f t="shared" si="24"/>
        <v>0.82892830984975341</v>
      </c>
      <c r="AH25">
        <f t="shared" si="25"/>
        <v>16.078039341560199</v>
      </c>
      <c r="AI25">
        <v>449.14250952830162</v>
      </c>
      <c r="AJ25">
        <v>429.30078787878779</v>
      </c>
      <c r="AK25">
        <v>2.971009791043271E-2</v>
      </c>
      <c r="AL25">
        <v>67.093351728805843</v>
      </c>
      <c r="AM25">
        <f t="shared" si="26"/>
        <v>0.86111965002636726</v>
      </c>
      <c r="AN25">
        <v>19.731098846908608</v>
      </c>
      <c r="AO25">
        <v>20.73524484848485</v>
      </c>
      <c r="AP25">
        <v>1.2578938926638269E-3</v>
      </c>
      <c r="AQ25">
        <v>78.258488340120422</v>
      </c>
      <c r="AR25">
        <v>0</v>
      </c>
      <c r="AS25">
        <v>0</v>
      </c>
      <c r="AT25">
        <f t="shared" si="27"/>
        <v>1</v>
      </c>
      <c r="AU25">
        <f t="shared" si="28"/>
        <v>0</v>
      </c>
      <c r="AV25">
        <f t="shared" si="29"/>
        <v>52503.371565048379</v>
      </c>
      <c r="AW25" t="s">
        <v>471</v>
      </c>
      <c r="AX25">
        <v>5093.3999999999996</v>
      </c>
      <c r="AY25">
        <v>591.17352941176478</v>
      </c>
      <c r="AZ25">
        <v>2325.63</v>
      </c>
      <c r="BA25">
        <f t="shared" si="30"/>
        <v>0.74580069511841318</v>
      </c>
      <c r="BB25">
        <v>-2.7030707972498691</v>
      </c>
      <c r="BC25" t="s">
        <v>504</v>
      </c>
      <c r="BD25">
        <v>5102.92</v>
      </c>
      <c r="BE25">
        <v>755.83676470588227</v>
      </c>
      <c r="BF25">
        <v>1831.68</v>
      </c>
      <c r="BG25">
        <f t="shared" si="31"/>
        <v>0.58735326874460481</v>
      </c>
      <c r="BH25">
        <v>0.5</v>
      </c>
      <c r="BI25">
        <f t="shared" si="32"/>
        <v>252.29402334083406</v>
      </c>
      <c r="BJ25">
        <f t="shared" si="33"/>
        <v>16.331668328118035</v>
      </c>
      <c r="BK25">
        <f t="shared" si="34"/>
        <v>74.092859646983257</v>
      </c>
      <c r="BL25">
        <f t="shared" si="35"/>
        <v>7.5446650988054184E-2</v>
      </c>
      <c r="BM25">
        <f t="shared" si="36"/>
        <v>0.26967046645702308</v>
      </c>
      <c r="BN25">
        <f t="shared" si="37"/>
        <v>553.24833133586708</v>
      </c>
      <c r="BO25" t="s">
        <v>407</v>
      </c>
      <c r="BP25">
        <v>0</v>
      </c>
      <c r="BQ25">
        <f t="shared" si="38"/>
        <v>553.24833133586708</v>
      </c>
      <c r="BR25">
        <f t="shared" si="39"/>
        <v>0.69795579395098106</v>
      </c>
      <c r="BS25">
        <f t="shared" si="40"/>
        <v>0.84153362409920174</v>
      </c>
      <c r="BT25">
        <f t="shared" si="41"/>
        <v>0.27869279440939859</v>
      </c>
      <c r="BU25">
        <f t="shared" si="42"/>
        <v>0.86726128464607199</v>
      </c>
      <c r="BV25">
        <f t="shared" si="43"/>
        <v>0.28478662242384123</v>
      </c>
      <c r="BW25">
        <f t="shared" si="44"/>
        <v>0.61597569083197157</v>
      </c>
      <c r="BX25">
        <f t="shared" si="45"/>
        <v>0.38402430916802843</v>
      </c>
      <c r="DG25">
        <f t="shared" si="46"/>
        <v>300.00216666666671</v>
      </c>
      <c r="DH25">
        <f t="shared" si="47"/>
        <v>252.29402334083406</v>
      </c>
      <c r="DI25">
        <f t="shared" si="48"/>
        <v>0.84097400410163936</v>
      </c>
      <c r="DJ25">
        <f t="shared" si="49"/>
        <v>0.16147982791616422</v>
      </c>
      <c r="DK25">
        <v>6</v>
      </c>
      <c r="DL25">
        <v>0.5</v>
      </c>
      <c r="DM25" t="s">
        <v>408</v>
      </c>
      <c r="DN25">
        <v>2</v>
      </c>
      <c r="DO25" t="b">
        <v>0</v>
      </c>
      <c r="DP25">
        <v>1783957155.349999</v>
      </c>
      <c r="DQ25">
        <v>420.35219999999998</v>
      </c>
      <c r="DR25">
        <v>440.36963333333341</v>
      </c>
      <c r="DS25">
        <v>20.69334666666667</v>
      </c>
      <c r="DT25">
        <v>19.719153333333342</v>
      </c>
      <c r="DU25">
        <v>426.44930000000011</v>
      </c>
      <c r="DV25">
        <v>21.289860000000001</v>
      </c>
      <c r="DW25">
        <v>499.96749999999997</v>
      </c>
      <c r="DX25">
        <v>98.590480000000014</v>
      </c>
      <c r="DY25">
        <v>4.6927806666666669E-2</v>
      </c>
      <c r="DZ25">
        <v>24.78672000000001</v>
      </c>
      <c r="EA25">
        <v>25.006383333333339</v>
      </c>
      <c r="EB25">
        <v>999.9000000000002</v>
      </c>
      <c r="EC25">
        <v>0</v>
      </c>
      <c r="ED25">
        <v>0</v>
      </c>
      <c r="EE25">
        <v>9996.8333333333339</v>
      </c>
      <c r="EF25">
        <v>0</v>
      </c>
      <c r="EG25">
        <v>175.4769666666667</v>
      </c>
      <c r="EH25">
        <v>-20.01742333333333</v>
      </c>
      <c r="EI25">
        <v>429.23456666666669</v>
      </c>
      <c r="EJ25">
        <v>449.22806666666662</v>
      </c>
      <c r="EK25">
        <v>0.97419146666666667</v>
      </c>
      <c r="EL25">
        <v>440.36963333333341</v>
      </c>
      <c r="EM25">
        <v>19.719153333333342</v>
      </c>
      <c r="EN25">
        <v>2.0401656666666672</v>
      </c>
      <c r="EO25">
        <v>1.9441196666666669</v>
      </c>
      <c r="EP25">
        <v>17.75952666666667</v>
      </c>
      <c r="EQ25">
        <v>16.996416666666669</v>
      </c>
      <c r="ER25">
        <v>300.00216666666671</v>
      </c>
      <c r="ES25">
        <v>0.96697266666666637</v>
      </c>
      <c r="ET25">
        <v>3.3027336666666671E-2</v>
      </c>
      <c r="EU25">
        <v>0</v>
      </c>
      <c r="EV25">
        <v>755.9394666666667</v>
      </c>
      <c r="EW25">
        <v>5.0010700000000003</v>
      </c>
      <c r="EX25">
        <v>5676.0906666666651</v>
      </c>
      <c r="EY25">
        <v>2668.0179999999991</v>
      </c>
      <c r="EZ25">
        <v>38.426666666666662</v>
      </c>
      <c r="FA25">
        <v>42.749966666666658</v>
      </c>
      <c r="FB25">
        <v>40.61869999999999</v>
      </c>
      <c r="FC25">
        <v>41.818299999999979</v>
      </c>
      <c r="FD25">
        <v>40.311999999999983</v>
      </c>
      <c r="FE25">
        <v>285.25766666666658</v>
      </c>
      <c r="FF25">
        <v>9.740000000000002</v>
      </c>
      <c r="FG25">
        <v>0</v>
      </c>
      <c r="FH25">
        <v>199</v>
      </c>
      <c r="FI25">
        <v>0</v>
      </c>
      <c r="FJ25">
        <v>755.83676470588227</v>
      </c>
      <c r="FK25">
        <v>-1.6664215569188681</v>
      </c>
      <c r="FL25">
        <v>-135.25490255285911</v>
      </c>
      <c r="FM25">
        <v>5680.1152941176479</v>
      </c>
      <c r="FN25">
        <v>10</v>
      </c>
      <c r="FO25">
        <v>1783957052.0999999</v>
      </c>
      <c r="FP25" t="s">
        <v>505</v>
      </c>
      <c r="FQ25">
        <v>1783957052.0999999</v>
      </c>
      <c r="FR25">
        <v>1783957045.0999999</v>
      </c>
      <c r="FS25">
        <v>10</v>
      </c>
      <c r="FT25">
        <v>5.0000000000000001E-3</v>
      </c>
      <c r="FU25">
        <v>5.0000000000000001E-3</v>
      </c>
      <c r="FV25">
        <v>-6.1840000000000002</v>
      </c>
      <c r="FW25">
        <v>-0.628</v>
      </c>
      <c r="FX25">
        <v>444</v>
      </c>
      <c r="FY25">
        <v>19</v>
      </c>
      <c r="FZ25">
        <v>0.43</v>
      </c>
      <c r="GA25">
        <v>0.21</v>
      </c>
      <c r="GB25">
        <v>420.34853333333342</v>
      </c>
      <c r="GC25">
        <v>0.15953726362666709</v>
      </c>
      <c r="GD25">
        <v>5.9779446486410932E-2</v>
      </c>
      <c r="GE25">
        <v>-1</v>
      </c>
      <c r="GF25">
        <v>756.00197058823528</v>
      </c>
      <c r="GG25">
        <v>-1.210527118295651</v>
      </c>
      <c r="GH25">
        <v>0.21527745234438811</v>
      </c>
      <c r="GI25">
        <v>1</v>
      </c>
      <c r="GJ25">
        <v>0.97799202500000004</v>
      </c>
      <c r="GK25">
        <v>5.4628356472792863E-2</v>
      </c>
      <c r="GL25">
        <v>3.059142988035007E-2</v>
      </c>
      <c r="GM25">
        <v>1</v>
      </c>
      <c r="GN25">
        <v>2</v>
      </c>
      <c r="GO25">
        <v>2</v>
      </c>
      <c r="GP25" t="s">
        <v>423</v>
      </c>
      <c r="GQ25">
        <v>3.1312099999999998</v>
      </c>
      <c r="GR25">
        <v>2.7222400000000002</v>
      </c>
      <c r="GS25">
        <v>9.2378100000000005E-2</v>
      </c>
      <c r="GT25">
        <v>9.5333899999999999E-2</v>
      </c>
      <c r="GU25">
        <v>0.103829</v>
      </c>
      <c r="GV25">
        <v>9.8617200000000002E-2</v>
      </c>
      <c r="GW25">
        <v>22760.1</v>
      </c>
      <c r="GX25">
        <v>30478.799999999999</v>
      </c>
      <c r="GY25">
        <v>27199.5</v>
      </c>
      <c r="GZ25">
        <v>34640.5</v>
      </c>
      <c r="HA25">
        <v>35701.4</v>
      </c>
      <c r="HB25">
        <v>39515.4</v>
      </c>
      <c r="HC25">
        <v>40168</v>
      </c>
      <c r="HD25">
        <v>43920.2</v>
      </c>
      <c r="HE25">
        <v>1.9665999999999999</v>
      </c>
      <c r="HF25">
        <v>1.7769999999999999</v>
      </c>
      <c r="HG25">
        <v>-8.9854000000000003E-2</v>
      </c>
      <c r="HH25">
        <v>0</v>
      </c>
      <c r="HI25">
        <v>26.467700000000001</v>
      </c>
      <c r="HJ25">
        <v>999.9</v>
      </c>
      <c r="HK25">
        <v>59.7</v>
      </c>
      <c r="HL25">
        <v>37.700000000000003</v>
      </c>
      <c r="HM25">
        <v>39.661700000000003</v>
      </c>
      <c r="HN25">
        <v>61.282600000000002</v>
      </c>
      <c r="HO25">
        <v>6.3942300000000003</v>
      </c>
      <c r="HP25">
        <v>1</v>
      </c>
      <c r="HQ25">
        <v>0.50073199999999995</v>
      </c>
      <c r="HR25">
        <v>5.2453399999999997</v>
      </c>
      <c r="HS25">
        <v>20.1678</v>
      </c>
      <c r="HT25">
        <v>5.2100999999999997</v>
      </c>
      <c r="HU25">
        <v>11.908099999999999</v>
      </c>
      <c r="HV25">
        <v>4.9851999999999999</v>
      </c>
      <c r="HW25">
        <v>3.2706</v>
      </c>
      <c r="HX25">
        <v>9999</v>
      </c>
      <c r="HY25">
        <v>9999</v>
      </c>
      <c r="HZ25">
        <v>9999</v>
      </c>
      <c r="IA25">
        <v>999.9</v>
      </c>
      <c r="IB25">
        <v>1.8677699999999999</v>
      </c>
      <c r="IC25">
        <v>1.8634599999999999</v>
      </c>
      <c r="ID25">
        <v>1.8629500000000001</v>
      </c>
      <c r="IE25">
        <v>1.86243</v>
      </c>
      <c r="IF25">
        <v>1.86246</v>
      </c>
      <c r="IG25">
        <v>1.8629500000000001</v>
      </c>
      <c r="IH25">
        <v>1.86395</v>
      </c>
      <c r="II25">
        <v>1.86188</v>
      </c>
      <c r="IJ25">
        <v>0</v>
      </c>
      <c r="IK25">
        <v>0</v>
      </c>
      <c r="IL25">
        <v>0</v>
      </c>
      <c r="IM25">
        <v>4.5</v>
      </c>
      <c r="IN25" t="s">
        <v>411</v>
      </c>
      <c r="IO25" t="s">
        <v>412</v>
      </c>
      <c r="IP25" t="s">
        <v>413</v>
      </c>
      <c r="IQ25" t="s">
        <v>414</v>
      </c>
      <c r="IR25" t="s">
        <v>414</v>
      </c>
      <c r="IS25" t="s">
        <v>413</v>
      </c>
      <c r="IT25">
        <v>0</v>
      </c>
      <c r="IU25">
        <v>100</v>
      </c>
      <c r="IV25">
        <v>100</v>
      </c>
      <c r="IW25">
        <v>-6.0970000000000004</v>
      </c>
      <c r="IX25">
        <v>-0.59550000000000003</v>
      </c>
      <c r="IY25">
        <v>-4.1077722011851527</v>
      </c>
      <c r="IZ25">
        <v>-5.6215304933332991E-3</v>
      </c>
      <c r="JA25">
        <v>2.3979931213773931E-6</v>
      </c>
      <c r="JB25">
        <v>-3.6297174575716598E-10</v>
      </c>
      <c r="JC25">
        <v>-0.91592126521157091</v>
      </c>
      <c r="JD25">
        <v>2.7492919904454862E-4</v>
      </c>
      <c r="JE25">
        <v>8.6739513355948885E-4</v>
      </c>
      <c r="JF25">
        <v>-8.2500691715147318E-6</v>
      </c>
      <c r="JG25">
        <v>17</v>
      </c>
      <c r="JH25">
        <v>1914</v>
      </c>
      <c r="JI25">
        <v>2</v>
      </c>
      <c r="JJ25">
        <v>37</v>
      </c>
      <c r="JK25">
        <v>1.9</v>
      </c>
      <c r="JL25">
        <v>2</v>
      </c>
      <c r="JM25">
        <v>1.1254900000000001</v>
      </c>
      <c r="JN25">
        <v>2.5378400000000001</v>
      </c>
      <c r="JO25">
        <v>1.50024</v>
      </c>
      <c r="JP25">
        <v>2.2717299999999998</v>
      </c>
      <c r="JQ25">
        <v>1.4477500000000001</v>
      </c>
      <c r="JR25">
        <v>2.3925800000000002</v>
      </c>
      <c r="JS25">
        <v>45.575800000000001</v>
      </c>
      <c r="JT25">
        <v>23.851099999999999</v>
      </c>
      <c r="JU25">
        <v>18</v>
      </c>
      <c r="JV25">
        <v>538.66399999999999</v>
      </c>
      <c r="JW25">
        <v>429.846</v>
      </c>
      <c r="JX25">
        <v>20.897099999999998</v>
      </c>
      <c r="JY25">
        <v>33.260800000000003</v>
      </c>
      <c r="JZ25">
        <v>30.000800000000002</v>
      </c>
      <c r="KA25">
        <v>33.432600000000001</v>
      </c>
      <c r="KB25">
        <v>33.469900000000003</v>
      </c>
      <c r="KC25">
        <v>22.507899999999999</v>
      </c>
      <c r="KD25">
        <v>50.832599999999999</v>
      </c>
      <c r="KE25">
        <v>0</v>
      </c>
      <c r="KF25">
        <v>20.868600000000001</v>
      </c>
      <c r="KG25">
        <v>440.09500000000003</v>
      </c>
      <c r="KH25">
        <v>19.641300000000001</v>
      </c>
      <c r="KI25">
        <v>100.38800000000001</v>
      </c>
      <c r="KJ25">
        <v>98.846100000000007</v>
      </c>
    </row>
    <row r="26" spans="1:296" x14ac:dyDescent="0.3">
      <c r="A26">
        <v>10</v>
      </c>
      <c r="B26">
        <v>1783957346</v>
      </c>
      <c r="C26">
        <v>1725</v>
      </c>
      <c r="D26" t="s">
        <v>506</v>
      </c>
      <c r="E26" t="s">
        <v>507</v>
      </c>
      <c r="F26">
        <v>15</v>
      </c>
      <c r="H26">
        <v>1783957338</v>
      </c>
      <c r="I26">
        <f t="shared" si="0"/>
        <v>3.4784021328853899E-4</v>
      </c>
      <c r="J26">
        <f t="shared" si="1"/>
        <v>0.34784021328853898</v>
      </c>
      <c r="K26">
        <f t="shared" si="2"/>
        <v>8.2734709473462384</v>
      </c>
      <c r="L26">
        <f t="shared" si="3"/>
        <v>420.31883870967738</v>
      </c>
      <c r="M26">
        <f t="shared" si="4"/>
        <v>-37.210833851504795</v>
      </c>
      <c r="N26">
        <f t="shared" si="5"/>
        <v>-3.6704305236025108</v>
      </c>
      <c r="O26">
        <f t="shared" si="6"/>
        <v>41.459729212243168</v>
      </c>
      <c r="P26">
        <f t="shared" si="7"/>
        <v>2.9305597850154019E-2</v>
      </c>
      <c r="Q26">
        <f t="shared" si="8"/>
        <v>2.9046676825647504</v>
      </c>
      <c r="R26">
        <f t="shared" si="9"/>
        <v>2.9142325771389414E-2</v>
      </c>
      <c r="S26">
        <f t="shared" si="10"/>
        <v>1.8228546983020393E-2</v>
      </c>
      <c r="T26">
        <f t="shared" si="11"/>
        <v>32.483065683377923</v>
      </c>
      <c r="U26">
        <f t="shared" si="12"/>
        <v>24.813886103429265</v>
      </c>
      <c r="V26">
        <f t="shared" si="13"/>
        <v>24.998616129032261</v>
      </c>
      <c r="W26">
        <f t="shared" si="14"/>
        <v>3.1794152597248151</v>
      </c>
      <c r="X26">
        <f t="shared" si="15"/>
        <v>65.052270978229245</v>
      </c>
      <c r="Y26">
        <f t="shared" si="16"/>
        <v>2.0331803115788278</v>
      </c>
      <c r="Z26">
        <f t="shared" si="17"/>
        <v>3.1254563153671659</v>
      </c>
      <c r="AA26">
        <f t="shared" si="18"/>
        <v>1.1462349481459873</v>
      </c>
      <c r="AB26">
        <f t="shared" si="19"/>
        <v>-15.339753406024569</v>
      </c>
      <c r="AC26">
        <f t="shared" si="20"/>
        <v>-44.910849868938648</v>
      </c>
      <c r="AD26">
        <f t="shared" si="21"/>
        <v>-3.2657412604188365</v>
      </c>
      <c r="AE26">
        <f t="shared" si="22"/>
        <v>-31.03327885200413</v>
      </c>
      <c r="AF26">
        <f t="shared" si="23"/>
        <v>8.2734709473462384</v>
      </c>
      <c r="AG26">
        <f t="shared" si="24"/>
        <v>0.34784021328853898</v>
      </c>
      <c r="AH26">
        <f t="shared" si="25"/>
        <v>8.2510526000283786</v>
      </c>
      <c r="AI26">
        <v>439.33270236693852</v>
      </c>
      <c r="AJ26">
        <v>429.15269696969682</v>
      </c>
      <c r="AK26">
        <v>1.3995615495372741E-2</v>
      </c>
      <c r="AL26">
        <v>67.093351728805843</v>
      </c>
      <c r="AM26">
        <f t="shared" si="26"/>
        <v>0.42314616292347357</v>
      </c>
      <c r="AN26">
        <v>20.21042207464378</v>
      </c>
      <c r="AO26">
        <v>20.669312727272739</v>
      </c>
      <c r="AP26">
        <v>6.159378310974766E-3</v>
      </c>
      <c r="AQ26">
        <v>78.258488340120422</v>
      </c>
      <c r="AR26">
        <v>0</v>
      </c>
      <c r="AS26">
        <v>0</v>
      </c>
      <c r="AT26">
        <f t="shared" si="27"/>
        <v>1</v>
      </c>
      <c r="AU26">
        <f t="shared" si="28"/>
        <v>0</v>
      </c>
      <c r="AV26">
        <f t="shared" si="29"/>
        <v>52531.48881978698</v>
      </c>
      <c r="AW26" t="s">
        <v>471</v>
      </c>
      <c r="AX26">
        <v>5093.3999999999996</v>
      </c>
      <c r="AY26">
        <v>591.17352941176478</v>
      </c>
      <c r="AZ26">
        <v>2325.63</v>
      </c>
      <c r="BA26">
        <f t="shared" si="30"/>
        <v>0.74580069511841318</v>
      </c>
      <c r="BB26">
        <v>-2.7030707972498691</v>
      </c>
      <c r="BC26" t="s">
        <v>508</v>
      </c>
      <c r="BD26">
        <v>5104.5</v>
      </c>
      <c r="BE26">
        <v>742.33911764705886</v>
      </c>
      <c r="BF26">
        <v>1871.53</v>
      </c>
      <c r="BG26">
        <f t="shared" si="31"/>
        <v>0.60335174020878168</v>
      </c>
      <c r="BH26">
        <v>0.5</v>
      </c>
      <c r="BI26">
        <f t="shared" si="32"/>
        <v>168.28751762301042</v>
      </c>
      <c r="BJ26">
        <f t="shared" si="33"/>
        <v>8.2734709473462384</v>
      </c>
      <c r="BK26">
        <f t="shared" si="34"/>
        <v>50.768283306629677</v>
      </c>
      <c r="BL26">
        <f t="shared" si="35"/>
        <v>6.5224931115718449E-2</v>
      </c>
      <c r="BM26">
        <f t="shared" si="36"/>
        <v>0.24263570447708566</v>
      </c>
      <c r="BN26">
        <f t="shared" si="37"/>
        <v>556.82949586482425</v>
      </c>
      <c r="BO26" t="s">
        <v>407</v>
      </c>
      <c r="BP26">
        <v>0</v>
      </c>
      <c r="BQ26">
        <f t="shared" si="38"/>
        <v>556.82949586482425</v>
      </c>
      <c r="BR26">
        <f t="shared" si="39"/>
        <v>0.70247364676771185</v>
      </c>
      <c r="BS26">
        <f t="shared" si="40"/>
        <v>0.85889590731977017</v>
      </c>
      <c r="BT26">
        <f t="shared" si="41"/>
        <v>0.25672765183998203</v>
      </c>
      <c r="BU26">
        <f t="shared" si="42"/>
        <v>0.88193476449113894</v>
      </c>
      <c r="BV26">
        <f t="shared" si="43"/>
        <v>0.26181112509903093</v>
      </c>
      <c r="BW26">
        <f t="shared" si="44"/>
        <v>0.64425888883389537</v>
      </c>
      <c r="BX26">
        <f t="shared" si="45"/>
        <v>0.35574111116610463</v>
      </c>
      <c r="DG26">
        <f t="shared" si="46"/>
        <v>199.9944193548387</v>
      </c>
      <c r="DH26">
        <f t="shared" si="47"/>
        <v>168.28751762301042</v>
      </c>
      <c r="DI26">
        <f t="shared" si="48"/>
        <v>0.84146106759322858</v>
      </c>
      <c r="DJ26">
        <f t="shared" si="49"/>
        <v>0.16241986045493134</v>
      </c>
      <c r="DK26">
        <v>6</v>
      </c>
      <c r="DL26">
        <v>0.5</v>
      </c>
      <c r="DM26" t="s">
        <v>408</v>
      </c>
      <c r="DN26">
        <v>2</v>
      </c>
      <c r="DO26" t="b">
        <v>0</v>
      </c>
      <c r="DP26">
        <v>1783957338</v>
      </c>
      <c r="DQ26">
        <v>420.31883870967738</v>
      </c>
      <c r="DR26">
        <v>430.42225806451609</v>
      </c>
      <c r="DS26">
        <v>20.612387096774189</v>
      </c>
      <c r="DT26">
        <v>20.203590322580641</v>
      </c>
      <c r="DU26">
        <v>426.41574193548382</v>
      </c>
      <c r="DV26">
        <v>21.234387096774189</v>
      </c>
      <c r="DW26">
        <v>500.00941935483871</v>
      </c>
      <c r="DX26">
        <v>98.591564516129026</v>
      </c>
      <c r="DY26">
        <v>4.7195858064516129E-2</v>
      </c>
      <c r="DZ26">
        <v>24.711822580645158</v>
      </c>
      <c r="EA26">
        <v>24.998616129032261</v>
      </c>
      <c r="EB26">
        <v>999.90000000000032</v>
      </c>
      <c r="EC26">
        <v>0</v>
      </c>
      <c r="ED26">
        <v>0</v>
      </c>
      <c r="EE26">
        <v>9999.677419354839</v>
      </c>
      <c r="EF26">
        <v>0</v>
      </c>
      <c r="EG26">
        <v>177.30132258064521</v>
      </c>
      <c r="EH26">
        <v>-10.10347774193548</v>
      </c>
      <c r="EI26">
        <v>429.1754516129032</v>
      </c>
      <c r="EJ26">
        <v>439.29770967741939</v>
      </c>
      <c r="EK26">
        <v>0.43282925806451622</v>
      </c>
      <c r="EL26">
        <v>430.42225806451609</v>
      </c>
      <c r="EM26">
        <v>20.203590322580641</v>
      </c>
      <c r="EN26">
        <v>2.0345767741935479</v>
      </c>
      <c r="EO26">
        <v>1.991902903225806</v>
      </c>
      <c r="EP26">
        <v>17.716012903225799</v>
      </c>
      <c r="EQ26">
        <v>17.38012258064516</v>
      </c>
      <c r="ER26">
        <v>199.9944193548387</v>
      </c>
      <c r="ES26">
        <v>0.95002600000000026</v>
      </c>
      <c r="ET26">
        <v>4.9973499999999969E-2</v>
      </c>
      <c r="EU26">
        <v>0</v>
      </c>
      <c r="EV26">
        <v>742.16100000000006</v>
      </c>
      <c r="EW26">
        <v>5.0010700000000003</v>
      </c>
      <c r="EX26">
        <v>4880.5025806451604</v>
      </c>
      <c r="EY26">
        <v>1751.7967741935479</v>
      </c>
      <c r="EZ26">
        <v>37.842483870967733</v>
      </c>
      <c r="FA26">
        <v>42.25</v>
      </c>
      <c r="FB26">
        <v>40.108741935483863</v>
      </c>
      <c r="FC26">
        <v>41.370935483870959</v>
      </c>
      <c r="FD26">
        <v>39.803999999999988</v>
      </c>
      <c r="FE26">
        <v>185.24967741935481</v>
      </c>
      <c r="FF26">
        <v>9.740000000000002</v>
      </c>
      <c r="FG26">
        <v>0</v>
      </c>
      <c r="FH26">
        <v>182.20000004768369</v>
      </c>
      <c r="FI26">
        <v>0</v>
      </c>
      <c r="FJ26">
        <v>742.33911764705886</v>
      </c>
      <c r="FK26">
        <v>3.6889706050491529</v>
      </c>
      <c r="FL26">
        <v>-27.901962879000699</v>
      </c>
      <c r="FM26">
        <v>4885.5688235294119</v>
      </c>
      <c r="FN26">
        <v>10</v>
      </c>
      <c r="FO26">
        <v>1783957363</v>
      </c>
      <c r="FP26" t="s">
        <v>509</v>
      </c>
      <c r="FQ26">
        <v>1783957052.0999999</v>
      </c>
      <c r="FR26">
        <v>1783957363</v>
      </c>
      <c r="FS26">
        <v>11</v>
      </c>
      <c r="FT26">
        <v>5.0000000000000001E-3</v>
      </c>
      <c r="FU26">
        <v>-1.4999999999999999E-2</v>
      </c>
      <c r="FV26">
        <v>-6.1840000000000002</v>
      </c>
      <c r="FW26">
        <v>-0.622</v>
      </c>
      <c r="FX26">
        <v>444</v>
      </c>
      <c r="FY26">
        <v>20</v>
      </c>
      <c r="FZ26">
        <v>0.43</v>
      </c>
      <c r="GA26">
        <v>0.55000000000000004</v>
      </c>
      <c r="GB26">
        <v>420.31883870967738</v>
      </c>
      <c r="GC26">
        <v>-0.66459677419423246</v>
      </c>
      <c r="GD26">
        <v>7.0490034424547682E-2</v>
      </c>
      <c r="GE26">
        <v>-1</v>
      </c>
      <c r="GF26">
        <v>741.99</v>
      </c>
      <c r="GG26">
        <v>3.6642322420607352</v>
      </c>
      <c r="GH26">
        <v>0.39892745912892702</v>
      </c>
      <c r="GI26">
        <v>1</v>
      </c>
      <c r="GJ26">
        <v>0.43254282926829257</v>
      </c>
      <c r="GK26">
        <v>3.8399830989052509E-2</v>
      </c>
      <c r="GL26">
        <v>7.9939251718900654E-3</v>
      </c>
      <c r="GM26">
        <v>1</v>
      </c>
      <c r="GN26">
        <v>2</v>
      </c>
      <c r="GO26">
        <v>2</v>
      </c>
      <c r="GP26" t="s">
        <v>423</v>
      </c>
      <c r="GQ26">
        <v>3.13117</v>
      </c>
      <c r="GR26">
        <v>2.7225000000000001</v>
      </c>
      <c r="GS26">
        <v>9.2399400000000007E-2</v>
      </c>
      <c r="GT26">
        <v>9.3740299999999999E-2</v>
      </c>
      <c r="GU26">
        <v>0.10365000000000001</v>
      </c>
      <c r="GV26">
        <v>0.100351</v>
      </c>
      <c r="GW26">
        <v>22761</v>
      </c>
      <c r="GX26">
        <v>30536.3</v>
      </c>
      <c r="GY26">
        <v>27200.9</v>
      </c>
      <c r="GZ26">
        <v>34644.199999999997</v>
      </c>
      <c r="HA26">
        <v>35710.199999999997</v>
      </c>
      <c r="HB26">
        <v>39441.800000000003</v>
      </c>
      <c r="HC26">
        <v>40170.300000000003</v>
      </c>
      <c r="HD26">
        <v>43923.3</v>
      </c>
      <c r="HE26">
        <v>1.9661999999999999</v>
      </c>
      <c r="HF26">
        <v>1.7749999999999999</v>
      </c>
      <c r="HG26">
        <v>-8.9258000000000004E-2</v>
      </c>
      <c r="HH26">
        <v>0</v>
      </c>
      <c r="HI26">
        <v>26.469899999999999</v>
      </c>
      <c r="HJ26">
        <v>999.9</v>
      </c>
      <c r="HK26">
        <v>58.9</v>
      </c>
      <c r="HL26">
        <v>38.200000000000003</v>
      </c>
      <c r="HM26">
        <v>40.200200000000002</v>
      </c>
      <c r="HN26">
        <v>61.432600000000001</v>
      </c>
      <c r="HO26">
        <v>6.3341399999999997</v>
      </c>
      <c r="HP26">
        <v>1</v>
      </c>
      <c r="HQ26">
        <v>0.49264200000000002</v>
      </c>
      <c r="HR26">
        <v>4.9657499999999999</v>
      </c>
      <c r="HS26">
        <v>20.174900000000001</v>
      </c>
      <c r="HT26">
        <v>5.1957300000000002</v>
      </c>
      <c r="HU26">
        <v>11.908099999999999</v>
      </c>
      <c r="HV26">
        <v>4.9795999999999996</v>
      </c>
      <c r="HW26">
        <v>3.2669999999999999</v>
      </c>
      <c r="HX26">
        <v>9999</v>
      </c>
      <c r="HY26">
        <v>9999</v>
      </c>
      <c r="HZ26">
        <v>9999</v>
      </c>
      <c r="IA26">
        <v>999.9</v>
      </c>
      <c r="IB26">
        <v>1.8677999999999999</v>
      </c>
      <c r="IC26">
        <v>1.8633999999999999</v>
      </c>
      <c r="ID26">
        <v>1.8629500000000001</v>
      </c>
      <c r="IE26">
        <v>1.8624000000000001</v>
      </c>
      <c r="IF26">
        <v>1.86243</v>
      </c>
      <c r="IG26">
        <v>1.8629500000000001</v>
      </c>
      <c r="IH26">
        <v>1.86395</v>
      </c>
      <c r="II26">
        <v>1.86188</v>
      </c>
      <c r="IJ26">
        <v>0</v>
      </c>
      <c r="IK26">
        <v>0</v>
      </c>
      <c r="IL26">
        <v>0</v>
      </c>
      <c r="IM26">
        <v>4.5</v>
      </c>
      <c r="IN26" t="s">
        <v>411</v>
      </c>
      <c r="IO26" t="s">
        <v>412</v>
      </c>
      <c r="IP26" t="s">
        <v>413</v>
      </c>
      <c r="IQ26" t="s">
        <v>414</v>
      </c>
      <c r="IR26" t="s">
        <v>414</v>
      </c>
      <c r="IS26" t="s">
        <v>413</v>
      </c>
      <c r="IT26">
        <v>0</v>
      </c>
      <c r="IU26">
        <v>100</v>
      </c>
      <c r="IV26">
        <v>100</v>
      </c>
      <c r="IW26">
        <v>-6.0970000000000004</v>
      </c>
      <c r="IX26">
        <v>-0.622</v>
      </c>
      <c r="IY26">
        <v>-4.1077722011851527</v>
      </c>
      <c r="IZ26">
        <v>-5.6215304933332991E-3</v>
      </c>
      <c r="JA26">
        <v>2.3979931213773931E-6</v>
      </c>
      <c r="JB26">
        <v>-3.6297174575716598E-10</v>
      </c>
      <c r="JC26">
        <v>-0.91592126521157091</v>
      </c>
      <c r="JD26">
        <v>2.7492919904454862E-4</v>
      </c>
      <c r="JE26">
        <v>8.6739513355948885E-4</v>
      </c>
      <c r="JF26">
        <v>-8.2500691715147318E-6</v>
      </c>
      <c r="JG26">
        <v>17</v>
      </c>
      <c r="JH26">
        <v>1914</v>
      </c>
      <c r="JI26">
        <v>2</v>
      </c>
      <c r="JJ26">
        <v>37</v>
      </c>
      <c r="JK26">
        <v>4.9000000000000004</v>
      </c>
      <c r="JL26">
        <v>5</v>
      </c>
      <c r="JM26">
        <v>1.1059600000000001</v>
      </c>
      <c r="JN26">
        <v>2.5317400000000001</v>
      </c>
      <c r="JO26">
        <v>1.50024</v>
      </c>
      <c r="JP26">
        <v>2.2705099999999998</v>
      </c>
      <c r="JQ26">
        <v>1.4477500000000001</v>
      </c>
      <c r="JR26">
        <v>2.4389599999999998</v>
      </c>
      <c r="JS26">
        <v>45.920999999999999</v>
      </c>
      <c r="JT26">
        <v>23.851099999999999</v>
      </c>
      <c r="JU26">
        <v>18</v>
      </c>
      <c r="JV26">
        <v>537.79899999999998</v>
      </c>
      <c r="JW26">
        <v>428.13499999999999</v>
      </c>
      <c r="JX26">
        <v>20.839200000000002</v>
      </c>
      <c r="JY26">
        <v>33.180700000000002</v>
      </c>
      <c r="JZ26">
        <v>29.9984</v>
      </c>
      <c r="KA26">
        <v>33.360799999999998</v>
      </c>
      <c r="KB26">
        <v>33.3996</v>
      </c>
      <c r="KC26">
        <v>22.1143</v>
      </c>
      <c r="KD26">
        <v>50.550199999999997</v>
      </c>
      <c r="KE26">
        <v>0</v>
      </c>
      <c r="KF26">
        <v>20.8552</v>
      </c>
      <c r="KG26">
        <v>430.209</v>
      </c>
      <c r="KH26">
        <v>20.1038</v>
      </c>
      <c r="KI26">
        <v>100.393</v>
      </c>
      <c r="KJ26">
        <v>98.854600000000005</v>
      </c>
    </row>
    <row r="27" spans="1:296" x14ac:dyDescent="0.3">
      <c r="A27">
        <v>11</v>
      </c>
      <c r="B27">
        <v>1783957544</v>
      </c>
      <c r="C27">
        <v>1923</v>
      </c>
      <c r="D27" t="s">
        <v>510</v>
      </c>
      <c r="E27" t="s">
        <v>511</v>
      </c>
      <c r="F27">
        <v>15</v>
      </c>
      <c r="H27">
        <v>1783957536</v>
      </c>
      <c r="I27">
        <f t="shared" si="0"/>
        <v>2.8609355115347807E-4</v>
      </c>
      <c r="J27">
        <f t="shared" si="1"/>
        <v>0.28609355115347807</v>
      </c>
      <c r="K27">
        <f t="shared" si="2"/>
        <v>3.8262212994643452</v>
      </c>
      <c r="L27">
        <f t="shared" si="3"/>
        <v>420.17377419354852</v>
      </c>
      <c r="M27">
        <f t="shared" si="4"/>
        <v>154.64171358439347</v>
      </c>
      <c r="N27">
        <f t="shared" si="5"/>
        <v>15.254823080941998</v>
      </c>
      <c r="O27">
        <f t="shared" si="6"/>
        <v>41.448561581518348</v>
      </c>
      <c r="P27">
        <f t="shared" si="7"/>
        <v>2.3642044226196861E-2</v>
      </c>
      <c r="Q27">
        <f t="shared" si="8"/>
        <v>2.9045779810378032</v>
      </c>
      <c r="R27">
        <f t="shared" si="9"/>
        <v>2.3535654622781562E-2</v>
      </c>
      <c r="S27">
        <f t="shared" si="10"/>
        <v>1.4719302793704883E-2</v>
      </c>
      <c r="T27">
        <f t="shared" si="11"/>
        <v>16.513548063959373</v>
      </c>
      <c r="U27">
        <f t="shared" si="12"/>
        <v>24.710510650671385</v>
      </c>
      <c r="V27">
        <f t="shared" si="13"/>
        <v>25.057238709677421</v>
      </c>
      <c r="W27">
        <f t="shared" si="14"/>
        <v>3.1905444954364137</v>
      </c>
      <c r="X27">
        <f t="shared" si="15"/>
        <v>64.825059253861681</v>
      </c>
      <c r="Y27">
        <f t="shared" si="16"/>
        <v>2.0231133933913119</v>
      </c>
      <c r="Z27">
        <f t="shared" si="17"/>
        <v>3.1208816724232973</v>
      </c>
      <c r="AA27">
        <f t="shared" si="18"/>
        <v>1.1674311020451018</v>
      </c>
      <c r="AB27">
        <f t="shared" si="19"/>
        <v>-12.616725605868384</v>
      </c>
      <c r="AC27">
        <f t="shared" si="20"/>
        <v>-57.927782049239838</v>
      </c>
      <c r="AD27">
        <f t="shared" si="21"/>
        <v>-4.2131360013201347</v>
      </c>
      <c r="AE27">
        <f t="shared" si="22"/>
        <v>-58.24409559246898</v>
      </c>
      <c r="AF27">
        <f t="shared" si="23"/>
        <v>3.8262212994643452</v>
      </c>
      <c r="AG27">
        <f t="shared" si="24"/>
        <v>0.28609355115347807</v>
      </c>
      <c r="AH27">
        <f t="shared" si="25"/>
        <v>3.6404456217218457</v>
      </c>
      <c r="AI27">
        <v>433.66310648416561</v>
      </c>
      <c r="AJ27">
        <v>429.00249090909068</v>
      </c>
      <c r="AK27">
        <v>3.7876128899266698E-2</v>
      </c>
      <c r="AL27">
        <v>67.091630484765702</v>
      </c>
      <c r="AM27">
        <f t="shared" si="26"/>
        <v>0.26898509007873206</v>
      </c>
      <c r="AN27">
        <v>20.182036795000389</v>
      </c>
      <c r="AO27">
        <v>20.49891393939393</v>
      </c>
      <c r="AP27">
        <v>-1.167144689795943E-4</v>
      </c>
      <c r="AQ27">
        <v>78.245712564184728</v>
      </c>
      <c r="AR27">
        <v>0</v>
      </c>
      <c r="AS27">
        <v>0</v>
      </c>
      <c r="AT27">
        <f t="shared" si="27"/>
        <v>1</v>
      </c>
      <c r="AU27">
        <f t="shared" si="28"/>
        <v>0</v>
      </c>
      <c r="AV27">
        <f t="shared" si="29"/>
        <v>52533.392561818582</v>
      </c>
      <c r="AW27" t="s">
        <v>471</v>
      </c>
      <c r="AX27">
        <v>5093.3999999999996</v>
      </c>
      <c r="AY27">
        <v>591.17352941176478</v>
      </c>
      <c r="AZ27">
        <v>2325.63</v>
      </c>
      <c r="BA27">
        <f t="shared" si="30"/>
        <v>0.74580069511841318</v>
      </c>
      <c r="BB27">
        <v>-2.7030707972498691</v>
      </c>
      <c r="BC27" t="s">
        <v>512</v>
      </c>
      <c r="BD27">
        <v>5105.2</v>
      </c>
      <c r="BE27">
        <v>721.9127647058823</v>
      </c>
      <c r="BF27">
        <v>2088.7600000000002</v>
      </c>
      <c r="BG27">
        <f t="shared" si="31"/>
        <v>0.65438213834720971</v>
      </c>
      <c r="BH27">
        <v>0.5</v>
      </c>
      <c r="BI27">
        <f t="shared" si="32"/>
        <v>84.298616665598203</v>
      </c>
      <c r="BJ27">
        <f t="shared" si="33"/>
        <v>3.8262212994643452</v>
      </c>
      <c r="BK27">
        <f t="shared" si="34"/>
        <v>27.581754516672941</v>
      </c>
      <c r="BL27">
        <f t="shared" si="35"/>
        <v>7.7454320782214953E-2</v>
      </c>
      <c r="BM27">
        <f t="shared" si="36"/>
        <v>0.11340220992359097</v>
      </c>
      <c r="BN27">
        <f t="shared" si="37"/>
        <v>574.60940044513302</v>
      </c>
      <c r="BO27" t="s">
        <v>407</v>
      </c>
      <c r="BP27">
        <v>0</v>
      </c>
      <c r="BQ27">
        <f t="shared" si="38"/>
        <v>574.60940044513302</v>
      </c>
      <c r="BR27">
        <f t="shared" si="39"/>
        <v>0.7249040576968474</v>
      </c>
      <c r="BS27">
        <f t="shared" si="40"/>
        <v>0.90271551303809949</v>
      </c>
      <c r="BT27">
        <f t="shared" si="41"/>
        <v>0.13527539313941561</v>
      </c>
      <c r="BU27">
        <f t="shared" si="42"/>
        <v>0.91270004246047676</v>
      </c>
      <c r="BV27">
        <f t="shared" si="43"/>
        <v>0.13656727857786261</v>
      </c>
      <c r="BW27">
        <f t="shared" si="44"/>
        <v>0.71852008314421822</v>
      </c>
      <c r="BX27">
        <f t="shared" si="45"/>
        <v>0.28147991685578178</v>
      </c>
      <c r="DG27">
        <f t="shared" si="46"/>
        <v>100.0155870967742</v>
      </c>
      <c r="DH27">
        <f t="shared" si="47"/>
        <v>84.298616665598203</v>
      </c>
      <c r="DI27">
        <f t="shared" si="48"/>
        <v>0.84285479006418873</v>
      </c>
      <c r="DJ27">
        <f t="shared" si="49"/>
        <v>0.16510974482388441</v>
      </c>
      <c r="DK27">
        <v>6</v>
      </c>
      <c r="DL27">
        <v>0.5</v>
      </c>
      <c r="DM27" t="s">
        <v>408</v>
      </c>
      <c r="DN27">
        <v>2</v>
      </c>
      <c r="DO27" t="b">
        <v>0</v>
      </c>
      <c r="DP27">
        <v>1783957536</v>
      </c>
      <c r="DQ27">
        <v>420.17377419354852</v>
      </c>
      <c r="DR27">
        <v>424.90925806451611</v>
      </c>
      <c r="DS27">
        <v>20.50877419354839</v>
      </c>
      <c r="DT27">
        <v>20.172519354838709</v>
      </c>
      <c r="DU27">
        <v>426.25377419354851</v>
      </c>
      <c r="DV27">
        <v>21.129774193548389</v>
      </c>
      <c r="DW27">
        <v>500.02454838709679</v>
      </c>
      <c r="DX27">
        <v>98.599222580645176</v>
      </c>
      <c r="DY27">
        <v>4.701411290322581E-2</v>
      </c>
      <c r="DZ27">
        <v>24.68730967741935</v>
      </c>
      <c r="EA27">
        <v>25.057238709677421</v>
      </c>
      <c r="EB27">
        <v>999.90000000000032</v>
      </c>
      <c r="EC27">
        <v>0</v>
      </c>
      <c r="ED27">
        <v>0</v>
      </c>
      <c r="EE27">
        <v>9998.3870967741932</v>
      </c>
      <c r="EF27">
        <v>0</v>
      </c>
      <c r="EG27">
        <v>188.86719354838709</v>
      </c>
      <c r="EH27">
        <v>-4.7518519354838711</v>
      </c>
      <c r="EI27">
        <v>428.95725806451611</v>
      </c>
      <c r="EJ27">
        <v>433.65719354838711</v>
      </c>
      <c r="EK27">
        <v>0.34203148387096771</v>
      </c>
      <c r="EL27">
        <v>424.90925806451611</v>
      </c>
      <c r="EM27">
        <v>20.172519354838709</v>
      </c>
      <c r="EN27">
        <v>2.0227180645161291</v>
      </c>
      <c r="EO27">
        <v>1.9889929032258069</v>
      </c>
      <c r="EP27">
        <v>17.623296774193541</v>
      </c>
      <c r="EQ27">
        <v>17.356990322580639</v>
      </c>
      <c r="ER27">
        <v>100.0155870967742</v>
      </c>
      <c r="ES27">
        <v>0.89982229032258065</v>
      </c>
      <c r="ET27">
        <v>0.1001777451612903</v>
      </c>
      <c r="EU27">
        <v>0</v>
      </c>
      <c r="EV27">
        <v>721.52612903225827</v>
      </c>
      <c r="EW27">
        <v>5.0010700000000003</v>
      </c>
      <c r="EX27">
        <v>4061.112580645161</v>
      </c>
      <c r="EY27">
        <v>836.64841935483855</v>
      </c>
      <c r="EZ27">
        <v>37.561999999999983</v>
      </c>
      <c r="FA27">
        <v>42.186999999999983</v>
      </c>
      <c r="FB27">
        <v>39.866870967741932</v>
      </c>
      <c r="FC27">
        <v>41.477645161290333</v>
      </c>
      <c r="FD27">
        <v>39.561999999999983</v>
      </c>
      <c r="FE27">
        <v>85.496774193548347</v>
      </c>
      <c r="FF27">
        <v>9.5174193548387063</v>
      </c>
      <c r="FG27">
        <v>0</v>
      </c>
      <c r="FH27">
        <v>197.5999999046326</v>
      </c>
      <c r="FI27">
        <v>0</v>
      </c>
      <c r="FJ27">
        <v>721.9127647058823</v>
      </c>
      <c r="FK27">
        <v>8.2289215765193244</v>
      </c>
      <c r="FL27">
        <v>30.75980367650623</v>
      </c>
      <c r="FM27">
        <v>4060.1964705882351</v>
      </c>
      <c r="FN27">
        <v>10</v>
      </c>
      <c r="FO27">
        <v>1783957565</v>
      </c>
      <c r="FP27" t="s">
        <v>513</v>
      </c>
      <c r="FQ27">
        <v>1783957562.5</v>
      </c>
      <c r="FR27">
        <v>1783957565</v>
      </c>
      <c r="FS27">
        <v>12</v>
      </c>
      <c r="FT27">
        <v>3.4000000000000002E-2</v>
      </c>
      <c r="FU27">
        <v>1E-3</v>
      </c>
      <c r="FV27">
        <v>-6.08</v>
      </c>
      <c r="FW27">
        <v>-0.621</v>
      </c>
      <c r="FX27">
        <v>425</v>
      </c>
      <c r="FY27">
        <v>20</v>
      </c>
      <c r="FZ27">
        <v>1.82</v>
      </c>
      <c r="GA27">
        <v>0.63</v>
      </c>
      <c r="GB27">
        <v>420.15576666666681</v>
      </c>
      <c r="GC27">
        <v>-0.38285205784248733</v>
      </c>
      <c r="GD27">
        <v>4.7156253267433938E-2</v>
      </c>
      <c r="GE27">
        <v>-1</v>
      </c>
      <c r="GF27">
        <v>721.20820588235279</v>
      </c>
      <c r="GG27">
        <v>6.4998777658125926</v>
      </c>
      <c r="GH27">
        <v>0.66052620642723947</v>
      </c>
      <c r="GI27">
        <v>1</v>
      </c>
      <c r="GJ27">
        <v>0.35201157500000002</v>
      </c>
      <c r="GK27">
        <v>-0.20937110318949381</v>
      </c>
      <c r="GL27">
        <v>2.045460231450064E-2</v>
      </c>
      <c r="GM27">
        <v>1</v>
      </c>
      <c r="GN27">
        <v>2</v>
      </c>
      <c r="GO27">
        <v>2</v>
      </c>
      <c r="GP27" t="s">
        <v>423</v>
      </c>
      <c r="GQ27">
        <v>3.13043</v>
      </c>
      <c r="GR27">
        <v>2.7234099999999999</v>
      </c>
      <c r="GS27">
        <v>9.23847E-2</v>
      </c>
      <c r="GT27">
        <v>9.2836199999999994E-2</v>
      </c>
      <c r="GU27">
        <v>0.103086</v>
      </c>
      <c r="GV27">
        <v>0.10026400000000001</v>
      </c>
      <c r="GW27">
        <v>22758.1</v>
      </c>
      <c r="GX27">
        <v>30560.1</v>
      </c>
      <c r="GY27">
        <v>27197.3</v>
      </c>
      <c r="GZ27">
        <v>34637.1</v>
      </c>
      <c r="HA27">
        <v>35728.6</v>
      </c>
      <c r="HB27">
        <v>39439.300000000003</v>
      </c>
      <c r="HC27">
        <v>40165.300000000003</v>
      </c>
      <c r="HD27">
        <v>43916.3</v>
      </c>
      <c r="HE27">
        <v>1.9656</v>
      </c>
      <c r="HF27">
        <v>1.7689999999999999</v>
      </c>
      <c r="HG27">
        <v>-0.10252</v>
      </c>
      <c r="HH27">
        <v>0</v>
      </c>
      <c r="HI27">
        <v>26.7437</v>
      </c>
      <c r="HJ27">
        <v>999.9</v>
      </c>
      <c r="HK27">
        <v>58.1</v>
      </c>
      <c r="HL27">
        <v>38.700000000000003</v>
      </c>
      <c r="HM27">
        <v>40.740900000000003</v>
      </c>
      <c r="HN27">
        <v>61.5227</v>
      </c>
      <c r="HO27">
        <v>6.6506400000000001</v>
      </c>
      <c r="HP27">
        <v>1</v>
      </c>
      <c r="HQ27">
        <v>0.506382</v>
      </c>
      <c r="HR27">
        <v>5.7307199999999998</v>
      </c>
      <c r="HS27">
        <v>20.153300000000002</v>
      </c>
      <c r="HT27">
        <v>5.2112999999999996</v>
      </c>
      <c r="HU27">
        <v>11.908099999999999</v>
      </c>
      <c r="HV27">
        <v>4.9859999999999998</v>
      </c>
      <c r="HW27">
        <v>3.2709999999999999</v>
      </c>
      <c r="HX27">
        <v>9999</v>
      </c>
      <c r="HY27">
        <v>9999</v>
      </c>
      <c r="HZ27">
        <v>9999</v>
      </c>
      <c r="IA27">
        <v>999.9</v>
      </c>
      <c r="IB27">
        <v>1.8678300000000001</v>
      </c>
      <c r="IC27">
        <v>1.8634599999999999</v>
      </c>
      <c r="ID27">
        <v>1.8629500000000001</v>
      </c>
      <c r="IE27">
        <v>1.86249</v>
      </c>
      <c r="IF27">
        <v>1.86249</v>
      </c>
      <c r="IG27">
        <v>1.86304</v>
      </c>
      <c r="IH27">
        <v>1.8640099999999999</v>
      </c>
      <c r="II27">
        <v>1.86191</v>
      </c>
      <c r="IJ27">
        <v>0</v>
      </c>
      <c r="IK27">
        <v>0</v>
      </c>
      <c r="IL27">
        <v>0</v>
      </c>
      <c r="IM27">
        <v>4.5</v>
      </c>
      <c r="IN27" t="s">
        <v>411</v>
      </c>
      <c r="IO27" t="s">
        <v>412</v>
      </c>
      <c r="IP27" t="s">
        <v>413</v>
      </c>
      <c r="IQ27" t="s">
        <v>414</v>
      </c>
      <c r="IR27" t="s">
        <v>414</v>
      </c>
      <c r="IS27" t="s">
        <v>413</v>
      </c>
      <c r="IT27">
        <v>0</v>
      </c>
      <c r="IU27">
        <v>100</v>
      </c>
      <c r="IV27">
        <v>100</v>
      </c>
      <c r="IW27">
        <v>-6.08</v>
      </c>
      <c r="IX27">
        <v>-0.621</v>
      </c>
      <c r="IY27">
        <v>-4.1077722011851527</v>
      </c>
      <c r="IZ27">
        <v>-5.6215304933332991E-3</v>
      </c>
      <c r="JA27">
        <v>2.3979931213773931E-6</v>
      </c>
      <c r="JB27">
        <v>-3.6297174575716598E-10</v>
      </c>
      <c r="JC27">
        <v>-0.93047719616919022</v>
      </c>
      <c r="JD27">
        <v>2.7492919904454862E-4</v>
      </c>
      <c r="JE27">
        <v>8.6739513355948885E-4</v>
      </c>
      <c r="JF27">
        <v>-8.2500691715147318E-6</v>
      </c>
      <c r="JG27">
        <v>17</v>
      </c>
      <c r="JH27">
        <v>1914</v>
      </c>
      <c r="JI27">
        <v>2</v>
      </c>
      <c r="JJ27">
        <v>37</v>
      </c>
      <c r="JK27">
        <v>8.1999999999999993</v>
      </c>
      <c r="JL27">
        <v>3</v>
      </c>
      <c r="JM27">
        <v>1.09497</v>
      </c>
      <c r="JN27">
        <v>2.5439500000000002</v>
      </c>
      <c r="JO27">
        <v>1.50024</v>
      </c>
      <c r="JP27">
        <v>2.2705099999999998</v>
      </c>
      <c r="JQ27">
        <v>1.4477500000000001</v>
      </c>
      <c r="JR27">
        <v>2.3962400000000001</v>
      </c>
      <c r="JS27">
        <v>46.24</v>
      </c>
      <c r="JT27">
        <v>23.833600000000001</v>
      </c>
      <c r="JU27">
        <v>18</v>
      </c>
      <c r="JV27">
        <v>537.673</v>
      </c>
      <c r="JW27">
        <v>424.69799999999998</v>
      </c>
      <c r="JX27">
        <v>20.792200000000001</v>
      </c>
      <c r="JY27">
        <v>33.251899999999999</v>
      </c>
      <c r="JZ27">
        <v>30.0017</v>
      </c>
      <c r="KA27">
        <v>33.393099999999997</v>
      </c>
      <c r="KB27">
        <v>33.435299999999998</v>
      </c>
      <c r="KC27">
        <v>21.894400000000001</v>
      </c>
      <c r="KD27">
        <v>51.119599999999998</v>
      </c>
      <c r="KE27">
        <v>0</v>
      </c>
      <c r="KF27">
        <v>20.724</v>
      </c>
      <c r="KG27">
        <v>424.67700000000002</v>
      </c>
      <c r="KH27">
        <v>20.213200000000001</v>
      </c>
      <c r="KI27">
        <v>100.381</v>
      </c>
      <c r="KJ27">
        <v>98.837000000000003</v>
      </c>
    </row>
    <row r="28" spans="1:296" x14ac:dyDescent="0.3">
      <c r="A28">
        <v>12</v>
      </c>
      <c r="B28">
        <v>1783957746</v>
      </c>
      <c r="C28">
        <v>2125</v>
      </c>
      <c r="D28" t="s">
        <v>514</v>
      </c>
      <c r="E28" t="s">
        <v>515</v>
      </c>
      <c r="F28">
        <v>15</v>
      </c>
      <c r="H28">
        <v>1783957738.25</v>
      </c>
      <c r="I28">
        <f t="shared" si="0"/>
        <v>2.0745060278094831E-4</v>
      </c>
      <c r="J28">
        <f t="shared" si="1"/>
        <v>0.20745060278094832</v>
      </c>
      <c r="K28">
        <f t="shared" si="2"/>
        <v>0.58646564916404575</v>
      </c>
      <c r="L28">
        <f t="shared" si="3"/>
        <v>419.97916666666657</v>
      </c>
      <c r="M28">
        <f t="shared" si="4"/>
        <v>358.35919359635733</v>
      </c>
      <c r="N28">
        <f t="shared" si="5"/>
        <v>35.350745136273787</v>
      </c>
      <c r="O28">
        <f t="shared" si="6"/>
        <v>41.429316587034798</v>
      </c>
      <c r="P28">
        <f t="shared" si="7"/>
        <v>1.7373484778098781E-2</v>
      </c>
      <c r="Q28">
        <f t="shared" si="8"/>
        <v>2.9060442594906317</v>
      </c>
      <c r="R28">
        <f t="shared" si="9"/>
        <v>1.7315987885030176E-2</v>
      </c>
      <c r="S28">
        <f t="shared" si="10"/>
        <v>1.0827642352339416E-2</v>
      </c>
      <c r="T28">
        <f t="shared" si="11"/>
        <v>8.2394573363794485</v>
      </c>
      <c r="U28">
        <f t="shared" si="12"/>
        <v>24.568642760882891</v>
      </c>
      <c r="V28">
        <f t="shared" si="13"/>
        <v>24.93974333333334</v>
      </c>
      <c r="W28">
        <f t="shared" si="14"/>
        <v>3.1682726787525675</v>
      </c>
      <c r="X28">
        <f t="shared" si="15"/>
        <v>65.085262966539815</v>
      </c>
      <c r="Y28">
        <f t="shared" si="16"/>
        <v>2.0175269512752818</v>
      </c>
      <c r="Z28">
        <f t="shared" si="17"/>
        <v>3.0998214639041834</v>
      </c>
      <c r="AA28">
        <f t="shared" si="18"/>
        <v>1.1507457274772857</v>
      </c>
      <c r="AB28">
        <f t="shared" si="19"/>
        <v>-9.1485715826398213</v>
      </c>
      <c r="AC28">
        <f t="shared" si="20"/>
        <v>-57.292892967046818</v>
      </c>
      <c r="AD28">
        <f t="shared" si="21"/>
        <v>-4.1600197741678917</v>
      </c>
      <c r="AE28">
        <f t="shared" si="22"/>
        <v>-62.362026987475083</v>
      </c>
      <c r="AF28">
        <f t="shared" si="23"/>
        <v>0.58646564916404575</v>
      </c>
      <c r="AG28">
        <f t="shared" si="24"/>
        <v>0.20745060278094832</v>
      </c>
      <c r="AH28">
        <f t="shared" si="25"/>
        <v>0.43803198232367918</v>
      </c>
      <c r="AI28">
        <v>429.33309493126438</v>
      </c>
      <c r="AJ28">
        <v>428.79129090909072</v>
      </c>
      <c r="AK28">
        <v>1.0014618286721651E-3</v>
      </c>
      <c r="AL28">
        <v>67.08746149975812</v>
      </c>
      <c r="AM28">
        <f t="shared" si="26"/>
        <v>0.20423882506059204</v>
      </c>
      <c r="AN28">
        <v>20.222365954644669</v>
      </c>
      <c r="AO28">
        <v>20.461426060606058</v>
      </c>
      <c r="AP28">
        <v>1.6031791293857339E-4</v>
      </c>
      <c r="AQ28">
        <v>78.236018260567718</v>
      </c>
      <c r="AR28">
        <v>0</v>
      </c>
      <c r="AS28">
        <v>0</v>
      </c>
      <c r="AT28">
        <f t="shared" si="27"/>
        <v>1</v>
      </c>
      <c r="AU28">
        <f t="shared" si="28"/>
        <v>0</v>
      </c>
      <c r="AV28">
        <f t="shared" si="29"/>
        <v>52595.713324782824</v>
      </c>
      <c r="AW28" t="s">
        <v>471</v>
      </c>
      <c r="AX28">
        <v>5093.3999999999996</v>
      </c>
      <c r="AY28">
        <v>591.17352941176478</v>
      </c>
      <c r="AZ28">
        <v>2325.63</v>
      </c>
      <c r="BA28">
        <f t="shared" si="30"/>
        <v>0.74580069511841318</v>
      </c>
      <c r="BB28">
        <v>-2.7030707972498691</v>
      </c>
      <c r="BC28" t="s">
        <v>516</v>
      </c>
      <c r="BD28">
        <v>5100.76</v>
      </c>
      <c r="BE28">
        <v>700.04600000000005</v>
      </c>
      <c r="BF28">
        <v>2136.96</v>
      </c>
      <c r="BG28">
        <f t="shared" si="31"/>
        <v>0.67241033992213239</v>
      </c>
      <c r="BH28">
        <v>0.5</v>
      </c>
      <c r="BI28">
        <f t="shared" si="32"/>
        <v>42.128819693460855</v>
      </c>
      <c r="BJ28">
        <f t="shared" si="33"/>
        <v>0.58646564916404575</v>
      </c>
      <c r="BK28">
        <f t="shared" si="34"/>
        <v>14.163926985299119</v>
      </c>
      <c r="BL28">
        <f t="shared" si="35"/>
        <v>7.8082805793026039E-2</v>
      </c>
      <c r="BM28">
        <f t="shared" si="36"/>
        <v>8.8288971248876941E-2</v>
      </c>
      <c r="BN28">
        <f t="shared" si="37"/>
        <v>578.19705571192253</v>
      </c>
      <c r="BO28" t="s">
        <v>407</v>
      </c>
      <c r="BP28">
        <v>0</v>
      </c>
      <c r="BQ28">
        <f t="shared" si="38"/>
        <v>578.19705571192253</v>
      </c>
      <c r="BR28">
        <f t="shared" si="39"/>
        <v>0.72943009896679278</v>
      </c>
      <c r="BS28">
        <f t="shared" si="40"/>
        <v>0.92182971456013874</v>
      </c>
      <c r="BT28">
        <f t="shared" si="41"/>
        <v>0.10796980829319675</v>
      </c>
      <c r="BU28">
        <f t="shared" si="42"/>
        <v>0.92956823425501656</v>
      </c>
      <c r="BV28">
        <f t="shared" si="43"/>
        <v>0.10877759298047604</v>
      </c>
      <c r="BW28">
        <f t="shared" si="44"/>
        <v>0.7613774335207032</v>
      </c>
      <c r="BX28">
        <f t="shared" si="45"/>
        <v>0.2386225664792968</v>
      </c>
      <c r="DG28">
        <f t="shared" si="46"/>
        <v>49.992586666666668</v>
      </c>
      <c r="DH28">
        <f t="shared" si="47"/>
        <v>42.128819693460855</v>
      </c>
      <c r="DI28">
        <f t="shared" si="48"/>
        <v>0.84270133838765537</v>
      </c>
      <c r="DJ28">
        <f t="shared" si="49"/>
        <v>0.16481358308817484</v>
      </c>
      <c r="DK28">
        <v>6</v>
      </c>
      <c r="DL28">
        <v>0.5</v>
      </c>
      <c r="DM28" t="s">
        <v>408</v>
      </c>
      <c r="DN28">
        <v>2</v>
      </c>
      <c r="DO28" t="b">
        <v>0</v>
      </c>
      <c r="DP28">
        <v>1783957738.25</v>
      </c>
      <c r="DQ28">
        <v>419.97916666666657</v>
      </c>
      <c r="DR28">
        <v>420.7874333333333</v>
      </c>
      <c r="DS28">
        <v>20.45216666666666</v>
      </c>
      <c r="DT28">
        <v>20.20833</v>
      </c>
      <c r="DU28">
        <v>426.03023333333329</v>
      </c>
      <c r="DV28">
        <v>21.071543333333331</v>
      </c>
      <c r="DW28">
        <v>500.02600000000001</v>
      </c>
      <c r="DX28">
        <v>98.598753333333363</v>
      </c>
      <c r="DY28">
        <v>4.7369796666666672E-2</v>
      </c>
      <c r="DZ28">
        <v>24.574053333333339</v>
      </c>
      <c r="EA28">
        <v>24.93974333333334</v>
      </c>
      <c r="EB28">
        <v>999.9000000000002</v>
      </c>
      <c r="EC28">
        <v>0</v>
      </c>
      <c r="ED28">
        <v>0</v>
      </c>
      <c r="EE28">
        <v>10006.83333333333</v>
      </c>
      <c r="EF28">
        <v>0</v>
      </c>
      <c r="EG28">
        <v>231.28123333333329</v>
      </c>
      <c r="EH28">
        <v>-0.80822849999999991</v>
      </c>
      <c r="EI28">
        <v>428.7480000000001</v>
      </c>
      <c r="EJ28">
        <v>429.46620000000001</v>
      </c>
      <c r="EK28">
        <v>0.24384076666666671</v>
      </c>
      <c r="EL28">
        <v>420.7874333333333</v>
      </c>
      <c r="EM28">
        <v>20.20833</v>
      </c>
      <c r="EN28">
        <v>2.0165583333333328</v>
      </c>
      <c r="EO28">
        <v>1.992516</v>
      </c>
      <c r="EP28">
        <v>17.57494333333333</v>
      </c>
      <c r="EQ28">
        <v>17.384979999999999</v>
      </c>
      <c r="ER28">
        <v>49.992586666666668</v>
      </c>
      <c r="ES28">
        <v>0.89995620000000009</v>
      </c>
      <c r="ET28">
        <v>0.1000439866666667</v>
      </c>
      <c r="EU28">
        <v>0</v>
      </c>
      <c r="EV28">
        <v>700.0304666666666</v>
      </c>
      <c r="EW28">
        <v>5.0010700000000003</v>
      </c>
      <c r="EX28">
        <v>3731.5299999999988</v>
      </c>
      <c r="EY28">
        <v>396.19336666666658</v>
      </c>
      <c r="EZ28">
        <v>37.462199999999989</v>
      </c>
      <c r="FA28">
        <v>42.191199999999981</v>
      </c>
      <c r="FB28">
        <v>39.811999999999983</v>
      </c>
      <c r="FC28">
        <v>41.504133333333343</v>
      </c>
      <c r="FD28">
        <v>39.5</v>
      </c>
      <c r="FE28">
        <v>40.491</v>
      </c>
      <c r="FF28">
        <v>4.5016666666666669</v>
      </c>
      <c r="FG28">
        <v>0</v>
      </c>
      <c r="FH28">
        <v>201.4000000953674</v>
      </c>
      <c r="FI28">
        <v>0</v>
      </c>
      <c r="FJ28">
        <v>700.04600000000005</v>
      </c>
      <c r="FK28">
        <v>-0.59705882022869028</v>
      </c>
      <c r="FL28">
        <v>74.208333237080694</v>
      </c>
      <c r="FM28">
        <v>3733.7341176470591</v>
      </c>
      <c r="FN28">
        <v>10</v>
      </c>
      <c r="FO28">
        <v>1783957697</v>
      </c>
      <c r="FP28" t="s">
        <v>517</v>
      </c>
      <c r="FQ28">
        <v>1783957695</v>
      </c>
      <c r="FR28">
        <v>1783957697</v>
      </c>
      <c r="FS28">
        <v>13</v>
      </c>
      <c r="FT28">
        <v>1.0999999999999999E-2</v>
      </c>
      <c r="FU28">
        <v>-4.0000000000000001E-3</v>
      </c>
      <c r="FV28">
        <v>-6.0540000000000003</v>
      </c>
      <c r="FW28">
        <v>-0.623</v>
      </c>
      <c r="FX28">
        <v>421</v>
      </c>
      <c r="FY28">
        <v>20</v>
      </c>
      <c r="FZ28">
        <v>2.15</v>
      </c>
      <c r="GA28">
        <v>0.63</v>
      </c>
      <c r="GB28">
        <v>419.96935483870948</v>
      </c>
      <c r="GC28">
        <v>0.52679032257981528</v>
      </c>
      <c r="GD28">
        <v>5.8553283364095703E-2</v>
      </c>
      <c r="GE28">
        <v>-1</v>
      </c>
      <c r="GF28">
        <v>700.04700000000003</v>
      </c>
      <c r="GG28">
        <v>-0.2642322383229041</v>
      </c>
      <c r="GH28">
        <v>0.183553967060189</v>
      </c>
      <c r="GI28">
        <v>1</v>
      </c>
      <c r="GJ28">
        <v>0.28092836585365849</v>
      </c>
      <c r="GK28">
        <v>-0.5117151428571427</v>
      </c>
      <c r="GL28">
        <v>5.6647020713321013E-2</v>
      </c>
      <c r="GM28">
        <v>0</v>
      </c>
      <c r="GN28">
        <v>1</v>
      </c>
      <c r="GO28">
        <v>2</v>
      </c>
      <c r="GP28" t="s">
        <v>410</v>
      </c>
      <c r="GQ28">
        <v>3.1305999999999998</v>
      </c>
      <c r="GR28">
        <v>2.7238000000000002</v>
      </c>
      <c r="GS28">
        <v>9.22925E-2</v>
      </c>
      <c r="GT28">
        <v>9.2161300000000002E-2</v>
      </c>
      <c r="GU28">
        <v>0.10294</v>
      </c>
      <c r="GV28">
        <v>0.100371</v>
      </c>
      <c r="GW28">
        <v>22752.400000000001</v>
      </c>
      <c r="GX28">
        <v>30574.7</v>
      </c>
      <c r="GY28">
        <v>27188.9</v>
      </c>
      <c r="GZ28">
        <v>34629.5</v>
      </c>
      <c r="HA28">
        <v>35725</v>
      </c>
      <c r="HB28">
        <v>39427.800000000003</v>
      </c>
      <c r="HC28">
        <v>40153.800000000003</v>
      </c>
      <c r="HD28">
        <v>43908.3</v>
      </c>
      <c r="HE28">
        <v>1.9636</v>
      </c>
      <c r="HF28">
        <v>1.7618</v>
      </c>
      <c r="HG28">
        <v>-0.104308</v>
      </c>
      <c r="HH28">
        <v>0</v>
      </c>
      <c r="HI28">
        <v>26.652799999999999</v>
      </c>
      <c r="HJ28">
        <v>999.9</v>
      </c>
      <c r="HK28">
        <v>57.5</v>
      </c>
      <c r="HL28">
        <v>39.200000000000003</v>
      </c>
      <c r="HM28">
        <v>41.423200000000001</v>
      </c>
      <c r="HN28">
        <v>61.0627</v>
      </c>
      <c r="HO28">
        <v>6.8109000000000002</v>
      </c>
      <c r="HP28">
        <v>1</v>
      </c>
      <c r="HQ28">
        <v>0.52069100000000001</v>
      </c>
      <c r="HR28">
        <v>5.0172800000000004</v>
      </c>
      <c r="HS28">
        <v>20.1767</v>
      </c>
      <c r="HT28">
        <v>5.2100999999999997</v>
      </c>
      <c r="HU28">
        <v>11.908099999999999</v>
      </c>
      <c r="HV28">
        <v>4.9851999999999999</v>
      </c>
      <c r="HW28">
        <v>3.2707999999999999</v>
      </c>
      <c r="HX28">
        <v>9999</v>
      </c>
      <c r="HY28">
        <v>9999</v>
      </c>
      <c r="HZ28">
        <v>9999</v>
      </c>
      <c r="IA28">
        <v>999.9</v>
      </c>
      <c r="IB28">
        <v>1.8677699999999999</v>
      </c>
      <c r="IC28">
        <v>1.8633999999999999</v>
      </c>
      <c r="ID28">
        <v>1.8629500000000001</v>
      </c>
      <c r="IE28">
        <v>1.86249</v>
      </c>
      <c r="IF28">
        <v>1.86249</v>
      </c>
      <c r="IG28">
        <v>1.8629800000000001</v>
      </c>
      <c r="IH28">
        <v>1.86392</v>
      </c>
      <c r="II28">
        <v>1.86188</v>
      </c>
      <c r="IJ28">
        <v>0</v>
      </c>
      <c r="IK28">
        <v>0</v>
      </c>
      <c r="IL28">
        <v>0</v>
      </c>
      <c r="IM28">
        <v>4.5</v>
      </c>
      <c r="IN28" t="s">
        <v>411</v>
      </c>
      <c r="IO28" t="s">
        <v>412</v>
      </c>
      <c r="IP28" t="s">
        <v>413</v>
      </c>
      <c r="IQ28" t="s">
        <v>414</v>
      </c>
      <c r="IR28" t="s">
        <v>414</v>
      </c>
      <c r="IS28" t="s">
        <v>413</v>
      </c>
      <c r="IT28">
        <v>0</v>
      </c>
      <c r="IU28">
        <v>100</v>
      </c>
      <c r="IV28">
        <v>100</v>
      </c>
      <c r="IW28">
        <v>-6.0510000000000002</v>
      </c>
      <c r="IX28">
        <v>-0.61899999999999999</v>
      </c>
      <c r="IY28">
        <v>-4.0632744114023529</v>
      </c>
      <c r="IZ28">
        <v>-5.6215304933332991E-3</v>
      </c>
      <c r="JA28">
        <v>2.3979931213773931E-6</v>
      </c>
      <c r="JB28">
        <v>-3.6297174575716598E-10</v>
      </c>
      <c r="JC28">
        <v>-0.93311657114457036</v>
      </c>
      <c r="JD28">
        <v>2.7492919904454862E-4</v>
      </c>
      <c r="JE28">
        <v>8.6739513355948885E-4</v>
      </c>
      <c r="JF28">
        <v>-8.2500691715147318E-6</v>
      </c>
      <c r="JG28">
        <v>17</v>
      </c>
      <c r="JH28">
        <v>1914</v>
      </c>
      <c r="JI28">
        <v>2</v>
      </c>
      <c r="JJ28">
        <v>37</v>
      </c>
      <c r="JK28">
        <v>0.8</v>
      </c>
      <c r="JL28">
        <v>0.8</v>
      </c>
      <c r="JM28">
        <v>1.08643</v>
      </c>
      <c r="JN28">
        <v>2.5415000000000001</v>
      </c>
      <c r="JO28">
        <v>1.50024</v>
      </c>
      <c r="JP28">
        <v>2.2692899999999998</v>
      </c>
      <c r="JQ28">
        <v>1.4477500000000001</v>
      </c>
      <c r="JR28">
        <v>2.4694799999999999</v>
      </c>
      <c r="JS28">
        <v>46.5321</v>
      </c>
      <c r="JT28">
        <v>23.842300000000002</v>
      </c>
      <c r="JU28">
        <v>18</v>
      </c>
      <c r="JV28">
        <v>537.76300000000003</v>
      </c>
      <c r="JW28">
        <v>421.334</v>
      </c>
      <c r="JX28">
        <v>20.979299999999999</v>
      </c>
      <c r="JY28">
        <v>33.484900000000003</v>
      </c>
      <c r="JZ28">
        <v>29.9999</v>
      </c>
      <c r="KA28">
        <v>33.564599999999999</v>
      </c>
      <c r="KB28">
        <v>33.587499999999999</v>
      </c>
      <c r="KC28">
        <v>21.741800000000001</v>
      </c>
      <c r="KD28">
        <v>51.3904</v>
      </c>
      <c r="KE28">
        <v>0</v>
      </c>
      <c r="KF28">
        <v>20.979500000000002</v>
      </c>
      <c r="KG28">
        <v>420.81099999999998</v>
      </c>
      <c r="KH28">
        <v>20.213899999999999</v>
      </c>
      <c r="KI28">
        <v>100.351</v>
      </c>
      <c r="KJ28">
        <v>98.8172</v>
      </c>
    </row>
    <row r="29" spans="1:296" x14ac:dyDescent="0.3">
      <c r="A29">
        <v>13</v>
      </c>
      <c r="B29">
        <v>1783957928.5</v>
      </c>
      <c r="C29">
        <v>2307.5</v>
      </c>
      <c r="D29" t="s">
        <v>518</v>
      </c>
      <c r="E29" t="s">
        <v>519</v>
      </c>
      <c r="F29">
        <v>15</v>
      </c>
      <c r="H29">
        <v>1783957920.75</v>
      </c>
      <c r="I29">
        <f t="shared" si="0"/>
        <v>6.7717864513808376E-5</v>
      </c>
      <c r="J29">
        <f t="shared" si="1"/>
        <v>6.7717864513808373E-2</v>
      </c>
      <c r="K29">
        <f t="shared" si="2"/>
        <v>-3.4716901478919091</v>
      </c>
      <c r="L29">
        <f t="shared" si="3"/>
        <v>420.06126666666671</v>
      </c>
      <c r="M29">
        <f t="shared" si="4"/>
        <v>1392.6402269059454</v>
      </c>
      <c r="N29">
        <f t="shared" si="5"/>
        <v>137.36590813754177</v>
      </c>
      <c r="O29">
        <f t="shared" si="6"/>
        <v>41.433599471178987</v>
      </c>
      <c r="P29">
        <f t="shared" si="7"/>
        <v>5.6155020015481935E-3</v>
      </c>
      <c r="Q29">
        <f t="shared" si="8"/>
        <v>2.9052442158185556</v>
      </c>
      <c r="R29">
        <f t="shared" si="9"/>
        <v>5.6094789208995417E-3</v>
      </c>
      <c r="S29">
        <f t="shared" si="10"/>
        <v>3.5064649249455506E-3</v>
      </c>
      <c r="T29">
        <f t="shared" si="11"/>
        <v>1.5966703903835998E-4</v>
      </c>
      <c r="U29">
        <f t="shared" si="12"/>
        <v>24.629287365272262</v>
      </c>
      <c r="V29">
        <f t="shared" si="13"/>
        <v>24.99817333333333</v>
      </c>
      <c r="W29">
        <f t="shared" si="14"/>
        <v>3.1793313261909817</v>
      </c>
      <c r="X29">
        <f t="shared" si="15"/>
        <v>64.880022177624426</v>
      </c>
      <c r="Y29">
        <f t="shared" si="16"/>
        <v>2.0199639165201209</v>
      </c>
      <c r="Z29">
        <f t="shared" si="17"/>
        <v>3.1133835173329496</v>
      </c>
      <c r="AA29">
        <f t="shared" si="18"/>
        <v>1.1593674096708608</v>
      </c>
      <c r="AB29">
        <f t="shared" si="19"/>
        <v>-2.9863578250589495</v>
      </c>
      <c r="AC29">
        <f t="shared" si="20"/>
        <v>-54.993490711166089</v>
      </c>
      <c r="AD29">
        <f t="shared" si="21"/>
        <v>-3.9968056740925797</v>
      </c>
      <c r="AE29">
        <f t="shared" si="22"/>
        <v>-61.976494543278577</v>
      </c>
      <c r="AF29">
        <f t="shared" si="23"/>
        <v>-3.4716901478919091</v>
      </c>
      <c r="AG29">
        <f t="shared" si="24"/>
        <v>6.7717864513808373E-2</v>
      </c>
      <c r="AH29">
        <f t="shared" si="25"/>
        <v>-3.323104814127098</v>
      </c>
      <c r="AI29">
        <v>424.69545635567903</v>
      </c>
      <c r="AJ29">
        <v>428.80484848484832</v>
      </c>
      <c r="AK29">
        <v>-7.203463630366452E-3</v>
      </c>
      <c r="AL29">
        <v>67.08746149975812</v>
      </c>
      <c r="AM29">
        <f t="shared" si="26"/>
        <v>0.16024946706596405</v>
      </c>
      <c r="AN29">
        <v>20.404446420540289</v>
      </c>
      <c r="AO29">
        <v>20.54094969696969</v>
      </c>
      <c r="AP29">
        <v>8.3217880147017937E-3</v>
      </c>
      <c r="AQ29">
        <v>78.236018260567718</v>
      </c>
      <c r="AR29">
        <v>0</v>
      </c>
      <c r="AS29">
        <v>0</v>
      </c>
      <c r="AT29">
        <f t="shared" si="27"/>
        <v>1</v>
      </c>
      <c r="AU29">
        <f t="shared" si="28"/>
        <v>0</v>
      </c>
      <c r="AV29">
        <f t="shared" si="29"/>
        <v>52559.518786996683</v>
      </c>
      <c r="AW29" t="s">
        <v>405</v>
      </c>
      <c r="AX29">
        <v>5100.5</v>
      </c>
      <c r="AY29">
        <v>580.05000000000007</v>
      </c>
      <c r="AZ29">
        <v>2506.0700000000002</v>
      </c>
      <c r="BA29">
        <f t="shared" si="30"/>
        <v>0.76854198007238428</v>
      </c>
      <c r="BB29">
        <v>-3.471690147891815</v>
      </c>
      <c r="BC29" t="s">
        <v>407</v>
      </c>
      <c r="BD29" t="s">
        <v>407</v>
      </c>
      <c r="BE29">
        <v>0</v>
      </c>
      <c r="BF29">
        <v>0</v>
      </c>
      <c r="BG29" t="e">
        <f t="shared" si="31"/>
        <v>#DIV/0!</v>
      </c>
      <c r="BH29">
        <v>0.5</v>
      </c>
      <c r="BI29">
        <f t="shared" si="32"/>
        <v>8.4035283704399992E-4</v>
      </c>
      <c r="BJ29">
        <f t="shared" si="33"/>
        <v>-3.4716901478919091</v>
      </c>
      <c r="BK29" t="e">
        <f t="shared" si="34"/>
        <v>#DIV/0!</v>
      </c>
      <c r="BL29">
        <f t="shared" si="35"/>
        <v>-1.1203259909180726E-10</v>
      </c>
      <c r="BM29" t="e">
        <f t="shared" si="36"/>
        <v>#DIV/0!</v>
      </c>
      <c r="BN29" t="e">
        <f t="shared" si="37"/>
        <v>#DIV/0!</v>
      </c>
      <c r="BO29" t="s">
        <v>407</v>
      </c>
      <c r="BP29">
        <v>0</v>
      </c>
      <c r="BQ29" t="e">
        <f t="shared" si="38"/>
        <v>#DIV/0!</v>
      </c>
      <c r="BR29" t="e">
        <f t="shared" si="39"/>
        <v>#DIV/0!</v>
      </c>
      <c r="BS29" t="e">
        <f t="shared" si="40"/>
        <v>#DIV/0!</v>
      </c>
      <c r="BT29" t="e">
        <f t="shared" si="41"/>
        <v>#DIV/0!</v>
      </c>
      <c r="BU29">
        <f t="shared" si="42"/>
        <v>0</v>
      </c>
      <c r="BV29">
        <f t="shared" si="43"/>
        <v>1.3011650969356499</v>
      </c>
      <c r="BW29" t="e">
        <f t="shared" si="44"/>
        <v>#DIV/0!</v>
      </c>
      <c r="BX29" t="e">
        <f t="shared" si="45"/>
        <v>#DIV/0!</v>
      </c>
      <c r="DG29">
        <f t="shared" si="46"/>
        <v>1.00021E-2</v>
      </c>
      <c r="DH29">
        <f t="shared" si="47"/>
        <v>8.4035283704399992E-4</v>
      </c>
      <c r="DI29">
        <f t="shared" si="48"/>
        <v>8.4017639999999991E-2</v>
      </c>
      <c r="DJ29">
        <f t="shared" si="49"/>
        <v>1.5963351599999998E-2</v>
      </c>
      <c r="DK29">
        <v>6</v>
      </c>
      <c r="DL29">
        <v>0.5</v>
      </c>
      <c r="DM29" t="s">
        <v>408</v>
      </c>
      <c r="DN29">
        <v>2</v>
      </c>
      <c r="DO29" t="b">
        <v>0</v>
      </c>
      <c r="DP29">
        <v>1783957920.75</v>
      </c>
      <c r="DQ29">
        <v>420.06126666666671</v>
      </c>
      <c r="DR29">
        <v>415.92923333333329</v>
      </c>
      <c r="DS29">
        <v>20.478756666666659</v>
      </c>
      <c r="DT29">
        <v>20.399156666666659</v>
      </c>
      <c r="DU29">
        <v>426.10026666666658</v>
      </c>
      <c r="DV29">
        <v>21.103756666666659</v>
      </c>
      <c r="DW29">
        <v>499.98306666666667</v>
      </c>
      <c r="DX29">
        <v>98.589720000000014</v>
      </c>
      <c r="DY29">
        <v>4.7318829999999999E-2</v>
      </c>
      <c r="DZ29">
        <v>24.647063333333321</v>
      </c>
      <c r="EA29">
        <v>24.99817333333333</v>
      </c>
      <c r="EB29">
        <v>999.9000000000002</v>
      </c>
      <c r="EC29">
        <v>0</v>
      </c>
      <c r="ED29">
        <v>0</v>
      </c>
      <c r="EE29">
        <v>10003.16666666667</v>
      </c>
      <c r="EF29">
        <v>0</v>
      </c>
      <c r="EG29">
        <v>253.0829333333333</v>
      </c>
      <c r="EH29">
        <v>4.1196546666666656</v>
      </c>
      <c r="EI29">
        <v>428.83376666666669</v>
      </c>
      <c r="EJ29">
        <v>424.59060000000011</v>
      </c>
      <c r="EK29">
        <v>8.6044673333333321E-2</v>
      </c>
      <c r="EL29">
        <v>415.92923333333329</v>
      </c>
      <c r="EM29">
        <v>20.399156666666659</v>
      </c>
      <c r="EN29">
        <v>2.0196296666666669</v>
      </c>
      <c r="EO29">
        <v>2.0111473333333341</v>
      </c>
      <c r="EP29">
        <v>17.59906333333333</v>
      </c>
      <c r="EQ29">
        <v>17.532366666666672</v>
      </c>
      <c r="ER29">
        <v>1.00021E-2</v>
      </c>
      <c r="ES29">
        <v>0</v>
      </c>
      <c r="ET29">
        <v>0</v>
      </c>
      <c r="EU29">
        <v>0</v>
      </c>
      <c r="EV29">
        <v>581.11666666666667</v>
      </c>
      <c r="EW29">
        <v>1.00021E-2</v>
      </c>
      <c r="EX29">
        <v>3429.4833333333331</v>
      </c>
      <c r="EY29">
        <v>2.8416666666666659</v>
      </c>
      <c r="EZ29">
        <v>37.25</v>
      </c>
      <c r="FA29">
        <v>42.125</v>
      </c>
      <c r="FB29">
        <v>39.668399999999998</v>
      </c>
      <c r="FC29">
        <v>41.311999999999983</v>
      </c>
      <c r="FD29">
        <v>39.125</v>
      </c>
      <c r="FE29">
        <v>0</v>
      </c>
      <c r="FF29">
        <v>0</v>
      </c>
      <c r="FG29">
        <v>0</v>
      </c>
      <c r="FH29">
        <v>181.70000004768369</v>
      </c>
      <c r="FI29">
        <v>0</v>
      </c>
      <c r="FJ29">
        <v>580.05000000000007</v>
      </c>
      <c r="FK29">
        <v>-18.933822956580819</v>
      </c>
      <c r="FL29">
        <v>-142.12009845965579</v>
      </c>
      <c r="FM29">
        <v>3426.632352941177</v>
      </c>
      <c r="FN29">
        <v>10</v>
      </c>
      <c r="FO29">
        <v>1783957943.5</v>
      </c>
      <c r="FP29" t="s">
        <v>520</v>
      </c>
      <c r="FQ29">
        <v>1783957942.5</v>
      </c>
      <c r="FR29">
        <v>1783957943.5</v>
      </c>
      <c r="FS29">
        <v>14</v>
      </c>
      <c r="FT29">
        <v>-3.0000000000000001E-3</v>
      </c>
      <c r="FU29">
        <v>-5.0000000000000001E-3</v>
      </c>
      <c r="FV29">
        <v>-6.0389999999999997</v>
      </c>
      <c r="FW29">
        <v>-0.625</v>
      </c>
      <c r="FX29">
        <v>416</v>
      </c>
      <c r="FY29">
        <v>20</v>
      </c>
      <c r="FZ29">
        <v>1.72</v>
      </c>
      <c r="GA29">
        <v>0.57999999999999996</v>
      </c>
      <c r="GB29">
        <v>420.05659999999989</v>
      </c>
      <c r="GC29">
        <v>-0.39814905450473542</v>
      </c>
      <c r="GD29">
        <v>5.8044580568153453E-2</v>
      </c>
      <c r="GE29">
        <v>-1</v>
      </c>
      <c r="GF29">
        <v>581.26617647058822</v>
      </c>
      <c r="GG29">
        <v>-6.0878533472658498</v>
      </c>
      <c r="GH29">
        <v>4.1439665671955712</v>
      </c>
      <c r="GI29">
        <v>1</v>
      </c>
      <c r="GJ29">
        <v>7.4443937500000001E-2</v>
      </c>
      <c r="GK29">
        <v>0.21919245140712931</v>
      </c>
      <c r="GL29">
        <v>2.394826248095765E-2</v>
      </c>
      <c r="GM29">
        <v>1</v>
      </c>
      <c r="GN29">
        <v>2</v>
      </c>
      <c r="GO29">
        <v>2</v>
      </c>
      <c r="GP29" t="s">
        <v>423</v>
      </c>
      <c r="GQ29">
        <v>3.1312799999999998</v>
      </c>
      <c r="GR29">
        <v>2.72356</v>
      </c>
      <c r="GS29">
        <v>9.2272800000000002E-2</v>
      </c>
      <c r="GT29">
        <v>9.1306700000000005E-2</v>
      </c>
      <c r="GU29">
        <v>0.10317999999999999</v>
      </c>
      <c r="GV29">
        <v>0.100968</v>
      </c>
      <c r="GW29">
        <v>22751.1</v>
      </c>
      <c r="GX29">
        <v>30599.7</v>
      </c>
      <c r="GY29">
        <v>27186.9</v>
      </c>
      <c r="GZ29">
        <v>34625.5</v>
      </c>
      <c r="HA29">
        <v>35713.4</v>
      </c>
      <c r="HB29">
        <v>39398.1</v>
      </c>
      <c r="HC29">
        <v>40151.4</v>
      </c>
      <c r="HD29">
        <v>43904.5</v>
      </c>
      <c r="HE29">
        <v>1.9630000000000001</v>
      </c>
      <c r="HF29">
        <v>1.7578</v>
      </c>
      <c r="HG29">
        <v>-0.102669</v>
      </c>
      <c r="HH29">
        <v>0</v>
      </c>
      <c r="HI29">
        <v>26.6858</v>
      </c>
      <c r="HJ29">
        <v>999.9</v>
      </c>
      <c r="HK29">
        <v>56.7</v>
      </c>
      <c r="HL29">
        <v>39.6</v>
      </c>
      <c r="HM29">
        <v>41.735900000000001</v>
      </c>
      <c r="HN29">
        <v>61.192700000000002</v>
      </c>
      <c r="HO29">
        <v>6.7868599999999999</v>
      </c>
      <c r="HP29">
        <v>1</v>
      </c>
      <c r="HQ29">
        <v>0.52500000000000002</v>
      </c>
      <c r="HR29">
        <v>5.0529400000000004</v>
      </c>
      <c r="HS29">
        <v>20.176100000000002</v>
      </c>
      <c r="HT29">
        <v>5.2100999999999997</v>
      </c>
      <c r="HU29">
        <v>11.908099999999999</v>
      </c>
      <c r="HV29">
        <v>4.9847999999999999</v>
      </c>
      <c r="HW29">
        <v>3.2707999999999999</v>
      </c>
      <c r="HX29">
        <v>9999</v>
      </c>
      <c r="HY29">
        <v>9999</v>
      </c>
      <c r="HZ29">
        <v>9999</v>
      </c>
      <c r="IA29">
        <v>999.9</v>
      </c>
      <c r="IB29">
        <v>1.8678300000000001</v>
      </c>
      <c r="IC29">
        <v>1.8634299999999999</v>
      </c>
      <c r="ID29">
        <v>1.8629500000000001</v>
      </c>
      <c r="IE29">
        <v>1.86249</v>
      </c>
      <c r="IF29">
        <v>1.86249</v>
      </c>
      <c r="IG29">
        <v>1.8630100000000001</v>
      </c>
      <c r="IH29">
        <v>1.86395</v>
      </c>
      <c r="II29">
        <v>1.86191</v>
      </c>
      <c r="IJ29">
        <v>0</v>
      </c>
      <c r="IK29">
        <v>0</v>
      </c>
      <c r="IL29">
        <v>0</v>
      </c>
      <c r="IM29">
        <v>4.5</v>
      </c>
      <c r="IN29" t="s">
        <v>411</v>
      </c>
      <c r="IO29" t="s">
        <v>412</v>
      </c>
      <c r="IP29" t="s">
        <v>413</v>
      </c>
      <c r="IQ29" t="s">
        <v>414</v>
      </c>
      <c r="IR29" t="s">
        <v>414</v>
      </c>
      <c r="IS29" t="s">
        <v>413</v>
      </c>
      <c r="IT29">
        <v>0</v>
      </c>
      <c r="IU29">
        <v>100</v>
      </c>
      <c r="IV29">
        <v>100</v>
      </c>
      <c r="IW29">
        <v>-6.0389999999999997</v>
      </c>
      <c r="IX29">
        <v>-0.625</v>
      </c>
      <c r="IY29">
        <v>-4.0632744114023529</v>
      </c>
      <c r="IZ29">
        <v>-5.6215304933332991E-3</v>
      </c>
      <c r="JA29">
        <v>2.3979931213773931E-6</v>
      </c>
      <c r="JB29">
        <v>-3.6297174575716598E-10</v>
      </c>
      <c r="JC29">
        <v>-0.93311657114457036</v>
      </c>
      <c r="JD29">
        <v>2.7492919904454862E-4</v>
      </c>
      <c r="JE29">
        <v>8.6739513355948885E-4</v>
      </c>
      <c r="JF29">
        <v>-8.2500691715147318E-6</v>
      </c>
      <c r="JG29">
        <v>17</v>
      </c>
      <c r="JH29">
        <v>1914</v>
      </c>
      <c r="JI29">
        <v>2</v>
      </c>
      <c r="JJ29">
        <v>37</v>
      </c>
      <c r="JK29">
        <v>3.9</v>
      </c>
      <c r="JL29">
        <v>3.9</v>
      </c>
      <c r="JM29">
        <v>1.0778799999999999</v>
      </c>
      <c r="JN29">
        <v>2.5427200000000001</v>
      </c>
      <c r="JO29">
        <v>1.50024</v>
      </c>
      <c r="JP29">
        <v>2.2680699999999998</v>
      </c>
      <c r="JQ29">
        <v>1.4477500000000001</v>
      </c>
      <c r="JR29">
        <v>2.4548299999999998</v>
      </c>
      <c r="JS29">
        <v>46.796900000000001</v>
      </c>
      <c r="JT29">
        <v>23.842300000000002</v>
      </c>
      <c r="JU29">
        <v>18</v>
      </c>
      <c r="JV29">
        <v>537.97900000000004</v>
      </c>
      <c r="JW29">
        <v>419.43799999999999</v>
      </c>
      <c r="JX29">
        <v>21.023599999999998</v>
      </c>
      <c r="JY29">
        <v>33.536000000000001</v>
      </c>
      <c r="JZ29">
        <v>29.9999</v>
      </c>
      <c r="KA29">
        <v>33.6389</v>
      </c>
      <c r="KB29">
        <v>33.667299999999997</v>
      </c>
      <c r="KC29">
        <v>21.5564</v>
      </c>
      <c r="KD29">
        <v>51.396000000000001</v>
      </c>
      <c r="KE29">
        <v>0</v>
      </c>
      <c r="KF29">
        <v>21.0122</v>
      </c>
      <c r="KG29">
        <v>416.00799999999998</v>
      </c>
      <c r="KH29">
        <v>20.311900000000001</v>
      </c>
      <c r="KI29">
        <v>100.34399999999999</v>
      </c>
      <c r="KJ29">
        <v>98.807500000000005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A7489-0F8F-41DA-B149-E391F6EE157A}">
  <dimension ref="A2:KJ29"/>
  <sheetViews>
    <sheetView workbookViewId="0">
      <selection activeCell="K36" sqref="K36"/>
    </sheetView>
  </sheetViews>
  <sheetFormatPr defaultRowHeight="14.4" x14ac:dyDescent="0.3"/>
  <sheetData>
    <row r="2" spans="1:296" x14ac:dyDescent="0.3">
      <c r="A2" t="s">
        <v>0</v>
      </c>
      <c r="B2" t="s">
        <v>1</v>
      </c>
      <c r="C2" t="s">
        <v>2</v>
      </c>
    </row>
    <row r="3" spans="1:296" x14ac:dyDescent="0.3">
      <c r="B3" t="s">
        <v>3</v>
      </c>
      <c r="C3">
        <v>21</v>
      </c>
    </row>
    <row r="4" spans="1:296" x14ac:dyDescent="0.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</row>
    <row r="5" spans="1:296" x14ac:dyDescent="0.3">
      <c r="B5" t="s">
        <v>15</v>
      </c>
      <c r="C5" t="s">
        <v>16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96" x14ac:dyDescent="0.3">
      <c r="A6" t="s">
        <v>17</v>
      </c>
      <c r="B6" t="s">
        <v>18</v>
      </c>
      <c r="C6" t="s">
        <v>19</v>
      </c>
      <c r="D6" t="s">
        <v>20</v>
      </c>
      <c r="E6" t="s">
        <v>21</v>
      </c>
    </row>
    <row r="7" spans="1:296" x14ac:dyDescent="0.3">
      <c r="B7">
        <v>0</v>
      </c>
      <c r="C7">
        <v>1</v>
      </c>
      <c r="D7">
        <v>0</v>
      </c>
      <c r="E7">
        <v>0</v>
      </c>
    </row>
    <row r="8" spans="1:296" x14ac:dyDescent="0.3">
      <c r="A8" t="s">
        <v>22</v>
      </c>
      <c r="B8" t="s">
        <v>23</v>
      </c>
      <c r="C8" t="s">
        <v>24</v>
      </c>
      <c r="D8" t="s">
        <v>25</v>
      </c>
      <c r="E8" t="s">
        <v>26</v>
      </c>
      <c r="F8" t="s">
        <v>27</v>
      </c>
      <c r="G8" t="s">
        <v>28</v>
      </c>
      <c r="H8" t="s">
        <v>29</v>
      </c>
      <c r="I8" t="s">
        <v>30</v>
      </c>
      <c r="J8" t="s">
        <v>31</v>
      </c>
      <c r="K8" t="s">
        <v>32</v>
      </c>
      <c r="L8" t="s">
        <v>33</v>
      </c>
      <c r="M8" t="s">
        <v>34</v>
      </c>
      <c r="N8" t="s">
        <v>35</v>
      </c>
      <c r="O8" t="s">
        <v>36</v>
      </c>
      <c r="P8" t="s">
        <v>37</v>
      </c>
      <c r="Q8" t="s">
        <v>38</v>
      </c>
    </row>
    <row r="9" spans="1:296" x14ac:dyDescent="0.3">
      <c r="B9" t="s">
        <v>39</v>
      </c>
      <c r="C9" t="s">
        <v>40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96" x14ac:dyDescent="0.3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</row>
    <row r="11" spans="1:296" x14ac:dyDescent="0.3">
      <c r="B11">
        <v>0</v>
      </c>
      <c r="C11">
        <v>0</v>
      </c>
      <c r="D11">
        <v>0</v>
      </c>
      <c r="E11">
        <v>0</v>
      </c>
      <c r="F11">
        <v>1</v>
      </c>
    </row>
    <row r="12" spans="1:296" x14ac:dyDescent="0.3">
      <c r="A12" t="s">
        <v>47</v>
      </c>
      <c r="B12" t="s">
        <v>48</v>
      </c>
      <c r="C12" t="s">
        <v>49</v>
      </c>
      <c r="D12" t="s">
        <v>50</v>
      </c>
      <c r="E12" t="s">
        <v>51</v>
      </c>
      <c r="F12" t="s">
        <v>52</v>
      </c>
      <c r="G12" t="s">
        <v>53</v>
      </c>
      <c r="H12" t="s">
        <v>54</v>
      </c>
    </row>
    <row r="13" spans="1:296" x14ac:dyDescent="0.3">
      <c r="B13">
        <v>-6276</v>
      </c>
      <c r="C13">
        <v>6.6</v>
      </c>
      <c r="D13">
        <v>1.7090000000000001E-5</v>
      </c>
      <c r="E13">
        <v>3.11</v>
      </c>
      <c r="F13" t="s">
        <v>521</v>
      </c>
      <c r="G13" t="s">
        <v>522</v>
      </c>
      <c r="H13">
        <v>0</v>
      </c>
    </row>
    <row r="14" spans="1:296" x14ac:dyDescent="0.3">
      <c r="A14" t="s">
        <v>57</v>
      </c>
      <c r="B14" t="s">
        <v>57</v>
      </c>
      <c r="C14" t="s">
        <v>57</v>
      </c>
      <c r="D14" t="s">
        <v>57</v>
      </c>
      <c r="E14" t="s">
        <v>57</v>
      </c>
      <c r="F14" t="s">
        <v>57</v>
      </c>
      <c r="G14" t="s">
        <v>58</v>
      </c>
      <c r="H14" t="s">
        <v>59</v>
      </c>
      <c r="I14" t="s">
        <v>59</v>
      </c>
      <c r="J14" t="s">
        <v>59</v>
      </c>
      <c r="K14" t="s">
        <v>59</v>
      </c>
      <c r="L14" t="s">
        <v>59</v>
      </c>
      <c r="M14" t="s">
        <v>59</v>
      </c>
      <c r="N14" t="s">
        <v>59</v>
      </c>
      <c r="O14" t="s">
        <v>59</v>
      </c>
      <c r="P14" t="s">
        <v>59</v>
      </c>
      <c r="Q14" t="s">
        <v>59</v>
      </c>
      <c r="R14" t="s">
        <v>59</v>
      </c>
      <c r="S14" t="s">
        <v>59</v>
      </c>
      <c r="T14" t="s">
        <v>59</v>
      </c>
      <c r="U14" t="s">
        <v>59</v>
      </c>
      <c r="V14" t="s">
        <v>59</v>
      </c>
      <c r="W14" t="s">
        <v>59</v>
      </c>
      <c r="X14" t="s">
        <v>59</v>
      </c>
      <c r="Y14" t="s">
        <v>59</v>
      </c>
      <c r="Z14" t="s">
        <v>59</v>
      </c>
      <c r="AA14" t="s">
        <v>59</v>
      </c>
      <c r="AB14" t="s">
        <v>59</v>
      </c>
      <c r="AC14" t="s">
        <v>59</v>
      </c>
      <c r="AD14" t="s">
        <v>59</v>
      </c>
      <c r="AE14" t="s">
        <v>59</v>
      </c>
      <c r="AF14" t="s">
        <v>59</v>
      </c>
      <c r="AG14" t="s">
        <v>59</v>
      </c>
      <c r="AH14" t="s">
        <v>60</v>
      </c>
      <c r="AI14" t="s">
        <v>60</v>
      </c>
      <c r="AJ14" t="s">
        <v>60</v>
      </c>
      <c r="AK14" t="s">
        <v>60</v>
      </c>
      <c r="AL14" t="s">
        <v>60</v>
      </c>
      <c r="AM14" t="s">
        <v>60</v>
      </c>
      <c r="AN14" t="s">
        <v>60</v>
      </c>
      <c r="AO14" t="s">
        <v>60</v>
      </c>
      <c r="AP14" t="s">
        <v>60</v>
      </c>
      <c r="AQ14" t="s">
        <v>60</v>
      </c>
      <c r="AR14" t="s">
        <v>61</v>
      </c>
      <c r="AS14" t="s">
        <v>61</v>
      </c>
      <c r="AT14" t="s">
        <v>61</v>
      </c>
      <c r="AU14" t="s">
        <v>61</v>
      </c>
      <c r="AV14" t="s">
        <v>61</v>
      </c>
      <c r="AW14" t="s">
        <v>62</v>
      </c>
      <c r="AX14" t="s">
        <v>62</v>
      </c>
      <c r="AY14" t="s">
        <v>62</v>
      </c>
      <c r="AZ14" t="s">
        <v>62</v>
      </c>
      <c r="BA14" t="s">
        <v>62</v>
      </c>
      <c r="BB14" t="s">
        <v>62</v>
      </c>
      <c r="BC14" t="s">
        <v>62</v>
      </c>
      <c r="BD14" t="s">
        <v>62</v>
      </c>
      <c r="BE14" t="s">
        <v>62</v>
      </c>
      <c r="BF14" t="s">
        <v>62</v>
      </c>
      <c r="BG14" t="s">
        <v>62</v>
      </c>
      <c r="BH14" t="s">
        <v>62</v>
      </c>
      <c r="BI14" t="s">
        <v>62</v>
      </c>
      <c r="BJ14" t="s">
        <v>62</v>
      </c>
      <c r="BK14" t="s">
        <v>62</v>
      </c>
      <c r="BL14" t="s">
        <v>62</v>
      </c>
      <c r="BM14" t="s">
        <v>62</v>
      </c>
      <c r="BN14" t="s">
        <v>62</v>
      </c>
      <c r="BO14" t="s">
        <v>62</v>
      </c>
      <c r="BP14" t="s">
        <v>62</v>
      </c>
      <c r="BQ14" t="s">
        <v>62</v>
      </c>
      <c r="BR14" t="s">
        <v>62</v>
      </c>
      <c r="BS14" t="s">
        <v>62</v>
      </c>
      <c r="BT14" t="s">
        <v>62</v>
      </c>
      <c r="BU14" t="s">
        <v>62</v>
      </c>
      <c r="BV14" t="s">
        <v>62</v>
      </c>
      <c r="BW14" t="s">
        <v>62</v>
      </c>
      <c r="BX14" t="s">
        <v>62</v>
      </c>
      <c r="BY14" t="s">
        <v>63</v>
      </c>
      <c r="BZ14" t="s">
        <v>63</v>
      </c>
      <c r="CA14" t="s">
        <v>63</v>
      </c>
      <c r="CB14" t="s">
        <v>63</v>
      </c>
      <c r="CC14" t="s">
        <v>63</v>
      </c>
      <c r="CD14" t="s">
        <v>63</v>
      </c>
      <c r="CE14" t="s">
        <v>63</v>
      </c>
      <c r="CF14" t="s">
        <v>63</v>
      </c>
      <c r="CG14" t="s">
        <v>63</v>
      </c>
      <c r="CH14" t="s">
        <v>63</v>
      </c>
      <c r="CI14" t="s">
        <v>63</v>
      </c>
      <c r="CJ14" t="s">
        <v>63</v>
      </c>
      <c r="CK14" t="s">
        <v>63</v>
      </c>
      <c r="CL14" t="s">
        <v>63</v>
      </c>
      <c r="CM14" t="s">
        <v>63</v>
      </c>
      <c r="CN14" t="s">
        <v>63</v>
      </c>
      <c r="CO14" t="s">
        <v>63</v>
      </c>
      <c r="CP14" t="s">
        <v>63</v>
      </c>
      <c r="CQ14" t="s">
        <v>63</v>
      </c>
      <c r="CR14" t="s">
        <v>63</v>
      </c>
      <c r="CS14" t="s">
        <v>63</v>
      </c>
      <c r="CT14" t="s">
        <v>64</v>
      </c>
      <c r="CU14" t="s">
        <v>64</v>
      </c>
      <c r="CV14" t="s">
        <v>64</v>
      </c>
      <c r="CW14" t="s">
        <v>64</v>
      </c>
      <c r="CX14" t="s">
        <v>64</v>
      </c>
      <c r="CY14" t="s">
        <v>64</v>
      </c>
      <c r="CZ14" t="s">
        <v>64</v>
      </c>
      <c r="DA14" t="s">
        <v>64</v>
      </c>
      <c r="DB14" t="s">
        <v>64</v>
      </c>
      <c r="DC14" t="s">
        <v>64</v>
      </c>
      <c r="DD14" t="s">
        <v>64</v>
      </c>
      <c r="DE14" t="s">
        <v>64</v>
      </c>
      <c r="DF14" t="s">
        <v>64</v>
      </c>
      <c r="DG14" t="s">
        <v>65</v>
      </c>
      <c r="DH14" t="s">
        <v>65</v>
      </c>
      <c r="DI14" t="s">
        <v>65</v>
      </c>
      <c r="DJ14" t="s">
        <v>65</v>
      </c>
      <c r="DK14" t="s">
        <v>66</v>
      </c>
      <c r="DL14" t="s">
        <v>66</v>
      </c>
      <c r="DM14" t="s">
        <v>66</v>
      </c>
      <c r="DN14" t="s">
        <v>66</v>
      </c>
      <c r="DO14" t="s">
        <v>66</v>
      </c>
      <c r="DP14" t="s">
        <v>67</v>
      </c>
      <c r="DQ14" t="s">
        <v>67</v>
      </c>
      <c r="DR14" t="s">
        <v>67</v>
      </c>
      <c r="DS14" t="s">
        <v>67</v>
      </c>
      <c r="DT14" t="s">
        <v>67</v>
      </c>
      <c r="DU14" t="s">
        <v>67</v>
      </c>
      <c r="DV14" t="s">
        <v>67</v>
      </c>
      <c r="DW14" t="s">
        <v>67</v>
      </c>
      <c r="DX14" t="s">
        <v>67</v>
      </c>
      <c r="DY14" t="s">
        <v>67</v>
      </c>
      <c r="DZ14" t="s">
        <v>67</v>
      </c>
      <c r="EA14" t="s">
        <v>67</v>
      </c>
      <c r="EB14" t="s">
        <v>67</v>
      </c>
      <c r="EC14" t="s">
        <v>67</v>
      </c>
      <c r="ED14" t="s">
        <v>67</v>
      </c>
      <c r="EE14" t="s">
        <v>67</v>
      </c>
      <c r="EF14" t="s">
        <v>67</v>
      </c>
      <c r="EG14" t="s">
        <v>67</v>
      </c>
      <c r="EH14" t="s">
        <v>68</v>
      </c>
      <c r="EI14" t="s">
        <v>68</v>
      </c>
      <c r="EJ14" t="s">
        <v>68</v>
      </c>
      <c r="EK14" t="s">
        <v>68</v>
      </c>
      <c r="EL14" t="s">
        <v>68</v>
      </c>
      <c r="EM14" t="s">
        <v>68</v>
      </c>
      <c r="EN14" t="s">
        <v>68</v>
      </c>
      <c r="EO14" t="s">
        <v>68</v>
      </c>
      <c r="EP14" t="s">
        <v>68</v>
      </c>
      <c r="EQ14" t="s">
        <v>68</v>
      </c>
      <c r="ER14" t="s">
        <v>69</v>
      </c>
      <c r="ES14" t="s">
        <v>69</v>
      </c>
      <c r="ET14" t="s">
        <v>69</v>
      </c>
      <c r="EU14" t="s">
        <v>69</v>
      </c>
      <c r="EV14" t="s">
        <v>69</v>
      </c>
      <c r="EW14" t="s">
        <v>69</v>
      </c>
      <c r="EX14" t="s">
        <v>69</v>
      </c>
      <c r="EY14" t="s">
        <v>69</v>
      </c>
      <c r="EZ14" t="s">
        <v>69</v>
      </c>
      <c r="FA14" t="s">
        <v>69</v>
      </c>
      <c r="FB14" t="s">
        <v>69</v>
      </c>
      <c r="FC14" t="s">
        <v>69</v>
      </c>
      <c r="FD14" t="s">
        <v>69</v>
      </c>
      <c r="FE14" t="s">
        <v>69</v>
      </c>
      <c r="FF14" t="s">
        <v>69</v>
      </c>
      <c r="FG14" t="s">
        <v>69</v>
      </c>
      <c r="FH14" t="s">
        <v>69</v>
      </c>
      <c r="FI14" t="s">
        <v>69</v>
      </c>
      <c r="FJ14" t="s">
        <v>70</v>
      </c>
      <c r="FK14" t="s">
        <v>70</v>
      </c>
      <c r="FL14" t="s">
        <v>70</v>
      </c>
      <c r="FM14" t="s">
        <v>70</v>
      </c>
      <c r="FN14" t="s">
        <v>70</v>
      </c>
      <c r="FO14" t="s">
        <v>71</v>
      </c>
      <c r="FP14" t="s">
        <v>71</v>
      </c>
      <c r="FQ14" t="s">
        <v>71</v>
      </c>
      <c r="FR14" t="s">
        <v>71</v>
      </c>
      <c r="FS14" t="s">
        <v>71</v>
      </c>
      <c r="FT14" t="s">
        <v>71</v>
      </c>
      <c r="FU14" t="s">
        <v>71</v>
      </c>
      <c r="FV14" t="s">
        <v>71</v>
      </c>
      <c r="FW14" t="s">
        <v>71</v>
      </c>
      <c r="FX14" t="s">
        <v>71</v>
      </c>
      <c r="FY14" t="s">
        <v>71</v>
      </c>
      <c r="FZ14" t="s">
        <v>71</v>
      </c>
      <c r="GA14" t="s">
        <v>71</v>
      </c>
      <c r="GB14" t="s">
        <v>72</v>
      </c>
      <c r="GC14" t="s">
        <v>72</v>
      </c>
      <c r="GD14" t="s">
        <v>72</v>
      </c>
      <c r="GE14" t="s">
        <v>72</v>
      </c>
      <c r="GF14" t="s">
        <v>72</v>
      </c>
      <c r="GG14" t="s">
        <v>72</v>
      </c>
      <c r="GH14" t="s">
        <v>72</v>
      </c>
      <c r="GI14" t="s">
        <v>72</v>
      </c>
      <c r="GJ14" t="s">
        <v>72</v>
      </c>
      <c r="GK14" t="s">
        <v>72</v>
      </c>
      <c r="GL14" t="s">
        <v>72</v>
      </c>
      <c r="GM14" t="s">
        <v>72</v>
      </c>
      <c r="GN14" t="s">
        <v>72</v>
      </c>
      <c r="GO14" t="s">
        <v>72</v>
      </c>
      <c r="GP14" t="s">
        <v>72</v>
      </c>
      <c r="GQ14" t="s">
        <v>73</v>
      </c>
      <c r="GR14" t="s">
        <v>73</v>
      </c>
      <c r="GS14" t="s">
        <v>73</v>
      </c>
      <c r="GT14" t="s">
        <v>73</v>
      </c>
      <c r="GU14" t="s">
        <v>73</v>
      </c>
      <c r="GV14" t="s">
        <v>73</v>
      </c>
      <c r="GW14" t="s">
        <v>73</v>
      </c>
      <c r="GX14" t="s">
        <v>73</v>
      </c>
      <c r="GY14" t="s">
        <v>73</v>
      </c>
      <c r="GZ14" t="s">
        <v>73</v>
      </c>
      <c r="HA14" t="s">
        <v>73</v>
      </c>
      <c r="HB14" t="s">
        <v>73</v>
      </c>
      <c r="HC14" t="s">
        <v>73</v>
      </c>
      <c r="HD14" t="s">
        <v>73</v>
      </c>
      <c r="HE14" t="s">
        <v>73</v>
      </c>
      <c r="HF14" t="s">
        <v>73</v>
      </c>
      <c r="HG14" t="s">
        <v>73</v>
      </c>
      <c r="HH14" t="s">
        <v>73</v>
      </c>
      <c r="HI14" t="s">
        <v>74</v>
      </c>
      <c r="HJ14" t="s">
        <v>74</v>
      </c>
      <c r="HK14" t="s">
        <v>74</v>
      </c>
      <c r="HL14" t="s">
        <v>74</v>
      </c>
      <c r="HM14" t="s">
        <v>74</v>
      </c>
      <c r="HN14" t="s">
        <v>74</v>
      </c>
      <c r="HO14" t="s">
        <v>74</v>
      </c>
      <c r="HP14" t="s">
        <v>74</v>
      </c>
      <c r="HQ14" t="s">
        <v>74</v>
      </c>
      <c r="HR14" t="s">
        <v>74</v>
      </c>
      <c r="HS14" t="s">
        <v>74</v>
      </c>
      <c r="HT14" t="s">
        <v>74</v>
      </c>
      <c r="HU14" t="s">
        <v>74</v>
      </c>
      <c r="HV14" t="s">
        <v>74</v>
      </c>
      <c r="HW14" t="s">
        <v>74</v>
      </c>
      <c r="HX14" t="s">
        <v>74</v>
      </c>
      <c r="HY14" t="s">
        <v>74</v>
      </c>
      <c r="HZ14" t="s">
        <v>74</v>
      </c>
      <c r="IA14" t="s">
        <v>74</v>
      </c>
      <c r="IB14" t="s">
        <v>75</v>
      </c>
      <c r="IC14" t="s">
        <v>75</v>
      </c>
      <c r="ID14" t="s">
        <v>75</v>
      </c>
      <c r="IE14" t="s">
        <v>75</v>
      </c>
      <c r="IF14" t="s">
        <v>75</v>
      </c>
      <c r="IG14" t="s">
        <v>75</v>
      </c>
      <c r="IH14" t="s">
        <v>75</v>
      </c>
      <c r="II14" t="s">
        <v>75</v>
      </c>
      <c r="IJ14" t="s">
        <v>75</v>
      </c>
      <c r="IK14" t="s">
        <v>75</v>
      </c>
      <c r="IL14" t="s">
        <v>75</v>
      </c>
      <c r="IM14" t="s">
        <v>75</v>
      </c>
      <c r="IN14" t="s">
        <v>75</v>
      </c>
      <c r="IO14" t="s">
        <v>75</v>
      </c>
      <c r="IP14" t="s">
        <v>75</v>
      </c>
      <c r="IQ14" t="s">
        <v>75</v>
      </c>
      <c r="IR14" t="s">
        <v>75</v>
      </c>
      <c r="IS14" t="s">
        <v>75</v>
      </c>
      <c r="IT14" t="s">
        <v>75</v>
      </c>
      <c r="IU14" t="s">
        <v>76</v>
      </c>
      <c r="IV14" t="s">
        <v>76</v>
      </c>
      <c r="IW14" t="s">
        <v>76</v>
      </c>
      <c r="IX14" t="s">
        <v>76</v>
      </c>
      <c r="IY14" t="s">
        <v>76</v>
      </c>
      <c r="IZ14" t="s">
        <v>76</v>
      </c>
      <c r="JA14" t="s">
        <v>76</v>
      </c>
      <c r="JB14" t="s">
        <v>76</v>
      </c>
      <c r="JC14" t="s">
        <v>76</v>
      </c>
      <c r="JD14" t="s">
        <v>76</v>
      </c>
      <c r="JE14" t="s">
        <v>76</v>
      </c>
      <c r="JF14" t="s">
        <v>76</v>
      </c>
      <c r="JG14" t="s">
        <v>76</v>
      </c>
      <c r="JH14" t="s">
        <v>76</v>
      </c>
      <c r="JI14" t="s">
        <v>76</v>
      </c>
      <c r="JJ14" t="s">
        <v>76</v>
      </c>
      <c r="JK14" t="s">
        <v>76</v>
      </c>
      <c r="JL14" t="s">
        <v>76</v>
      </c>
      <c r="JM14" t="s">
        <v>77</v>
      </c>
      <c r="JN14" t="s">
        <v>77</v>
      </c>
      <c r="JO14" t="s">
        <v>77</v>
      </c>
      <c r="JP14" t="s">
        <v>77</v>
      </c>
      <c r="JQ14" t="s">
        <v>77</v>
      </c>
      <c r="JR14" t="s">
        <v>77</v>
      </c>
      <c r="JS14" t="s">
        <v>77</v>
      </c>
      <c r="JT14" t="s">
        <v>77</v>
      </c>
      <c r="JU14" t="s">
        <v>78</v>
      </c>
      <c r="JV14" t="s">
        <v>78</v>
      </c>
      <c r="JW14" t="s">
        <v>78</v>
      </c>
      <c r="JX14" t="s">
        <v>78</v>
      </c>
      <c r="JY14" t="s">
        <v>78</v>
      </c>
      <c r="JZ14" t="s">
        <v>78</v>
      </c>
      <c r="KA14" t="s">
        <v>78</v>
      </c>
      <c r="KB14" t="s">
        <v>78</v>
      </c>
      <c r="KC14" t="s">
        <v>78</v>
      </c>
      <c r="KD14" t="s">
        <v>78</v>
      </c>
      <c r="KE14" t="s">
        <v>78</v>
      </c>
      <c r="KF14" t="s">
        <v>78</v>
      </c>
      <c r="KG14" t="s">
        <v>78</v>
      </c>
      <c r="KH14" t="s">
        <v>78</v>
      </c>
      <c r="KI14" t="s">
        <v>78</v>
      </c>
      <c r="KJ14" t="s">
        <v>78</v>
      </c>
    </row>
    <row r="15" spans="1:296" x14ac:dyDescent="0.3">
      <c r="A15" t="s">
        <v>79</v>
      </c>
      <c r="B15" t="s">
        <v>80</v>
      </c>
      <c r="C15" t="s">
        <v>81</v>
      </c>
      <c r="D15" t="s">
        <v>82</v>
      </c>
      <c r="E15" t="s">
        <v>83</v>
      </c>
      <c r="F15" t="s">
        <v>84</v>
      </c>
      <c r="G15" t="s">
        <v>85</v>
      </c>
      <c r="H15" t="s">
        <v>86</v>
      </c>
      <c r="I15" t="s">
        <v>87</v>
      </c>
      <c r="J15" t="s">
        <v>88</v>
      </c>
      <c r="K15" t="s">
        <v>89</v>
      </c>
      <c r="L15" t="s">
        <v>90</v>
      </c>
      <c r="M15" t="s">
        <v>91</v>
      </c>
      <c r="N15" t="s">
        <v>92</v>
      </c>
      <c r="O15" t="s">
        <v>93</v>
      </c>
      <c r="P15" t="s">
        <v>94</v>
      </c>
      <c r="Q15" t="s">
        <v>95</v>
      </c>
      <c r="R15" t="s">
        <v>96</v>
      </c>
      <c r="S15" t="s">
        <v>97</v>
      </c>
      <c r="T15" t="s">
        <v>98</v>
      </c>
      <c r="U15" t="s">
        <v>99</v>
      </c>
      <c r="V15" t="s">
        <v>100</v>
      </c>
      <c r="W15" t="s">
        <v>101</v>
      </c>
      <c r="X15" t="s">
        <v>102</v>
      </c>
      <c r="Y15" t="s">
        <v>103</v>
      </c>
      <c r="Z15" t="s">
        <v>104</v>
      </c>
      <c r="AA15" t="s">
        <v>105</v>
      </c>
      <c r="AB15" t="s">
        <v>106</v>
      </c>
      <c r="AC15" t="s">
        <v>107</v>
      </c>
      <c r="AD15" t="s">
        <v>108</v>
      </c>
      <c r="AE15" t="s">
        <v>109</v>
      </c>
      <c r="AF15" t="s">
        <v>110</v>
      </c>
      <c r="AG15" t="s">
        <v>111</v>
      </c>
      <c r="AH15" t="s">
        <v>112</v>
      </c>
      <c r="AI15" t="s">
        <v>113</v>
      </c>
      <c r="AJ15" t="s">
        <v>114</v>
      </c>
      <c r="AK15" t="s">
        <v>115</v>
      </c>
      <c r="AL15" t="s">
        <v>116</v>
      </c>
      <c r="AM15" t="s">
        <v>117</v>
      </c>
      <c r="AN15" t="s">
        <v>118</v>
      </c>
      <c r="AO15" t="s">
        <v>119</v>
      </c>
      <c r="AP15" t="s">
        <v>120</v>
      </c>
      <c r="AQ15" t="s">
        <v>121</v>
      </c>
      <c r="AR15" t="s">
        <v>61</v>
      </c>
      <c r="AS15" t="s">
        <v>122</v>
      </c>
      <c r="AT15" t="s">
        <v>123</v>
      </c>
      <c r="AU15" t="s">
        <v>124</v>
      </c>
      <c r="AV15" t="s">
        <v>125</v>
      </c>
      <c r="AW15" t="s">
        <v>126</v>
      </c>
      <c r="AX15" t="s">
        <v>127</v>
      </c>
      <c r="AY15" t="s">
        <v>128</v>
      </c>
      <c r="AZ15" t="s">
        <v>129</v>
      </c>
      <c r="BA15" t="s">
        <v>130</v>
      </c>
      <c r="BB15" t="s">
        <v>131</v>
      </c>
      <c r="BC15" t="s">
        <v>132</v>
      </c>
      <c r="BD15" t="s">
        <v>133</v>
      </c>
      <c r="BE15" t="s">
        <v>134</v>
      </c>
      <c r="BF15" t="s">
        <v>135</v>
      </c>
      <c r="BG15" t="s">
        <v>136</v>
      </c>
      <c r="BH15" t="s">
        <v>137</v>
      </c>
      <c r="BI15" t="s">
        <v>138</v>
      </c>
      <c r="BJ15" t="s">
        <v>139</v>
      </c>
      <c r="BK15" t="s">
        <v>140</v>
      </c>
      <c r="BL15" t="s">
        <v>141</v>
      </c>
      <c r="BM15" t="s">
        <v>142</v>
      </c>
      <c r="BN15" t="s">
        <v>143</v>
      </c>
      <c r="BO15" t="s">
        <v>144</v>
      </c>
      <c r="BP15" t="s">
        <v>145</v>
      </c>
      <c r="BQ15" t="s">
        <v>146</v>
      </c>
      <c r="BR15" t="s">
        <v>147</v>
      </c>
      <c r="BS15" t="s">
        <v>148</v>
      </c>
      <c r="BT15" t="s">
        <v>149</v>
      </c>
      <c r="BU15" t="s">
        <v>150</v>
      </c>
      <c r="BV15" t="s">
        <v>151</v>
      </c>
      <c r="BW15" t="s">
        <v>152</v>
      </c>
      <c r="BX15" t="s">
        <v>153</v>
      </c>
      <c r="BY15" t="s">
        <v>154</v>
      </c>
      <c r="BZ15" t="s">
        <v>155</v>
      </c>
      <c r="CA15" t="s">
        <v>156</v>
      </c>
      <c r="CB15" t="s">
        <v>157</v>
      </c>
      <c r="CC15" t="s">
        <v>158</v>
      </c>
      <c r="CD15" t="s">
        <v>159</v>
      </c>
      <c r="CE15" t="s">
        <v>160</v>
      </c>
      <c r="CF15" t="s">
        <v>161</v>
      </c>
      <c r="CG15" t="s">
        <v>162</v>
      </c>
      <c r="CH15" t="s">
        <v>163</v>
      </c>
      <c r="CI15" t="s">
        <v>164</v>
      </c>
      <c r="CJ15" t="s">
        <v>165</v>
      </c>
      <c r="CK15" t="s">
        <v>166</v>
      </c>
      <c r="CL15" t="s">
        <v>167</v>
      </c>
      <c r="CM15" t="s">
        <v>168</v>
      </c>
      <c r="CN15" t="s">
        <v>169</v>
      </c>
      <c r="CO15" t="s">
        <v>170</v>
      </c>
      <c r="CP15" t="s">
        <v>171</v>
      </c>
      <c r="CQ15" t="s">
        <v>172</v>
      </c>
      <c r="CR15" t="s">
        <v>173</v>
      </c>
      <c r="CS15" t="s">
        <v>174</v>
      </c>
      <c r="CT15" t="s">
        <v>154</v>
      </c>
      <c r="CU15" t="s">
        <v>175</v>
      </c>
      <c r="CV15" t="s">
        <v>176</v>
      </c>
      <c r="CW15" t="s">
        <v>177</v>
      </c>
      <c r="CX15" t="s">
        <v>128</v>
      </c>
      <c r="CY15" t="s">
        <v>178</v>
      </c>
      <c r="CZ15" t="s">
        <v>179</v>
      </c>
      <c r="DA15" t="s">
        <v>180</v>
      </c>
      <c r="DB15" t="s">
        <v>181</v>
      </c>
      <c r="DC15" t="s">
        <v>182</v>
      </c>
      <c r="DD15" t="s">
        <v>183</v>
      </c>
      <c r="DE15" t="s">
        <v>184</v>
      </c>
      <c r="DF15" t="s">
        <v>185</v>
      </c>
      <c r="DG15" t="s">
        <v>186</v>
      </c>
      <c r="DH15" t="s">
        <v>187</v>
      </c>
      <c r="DI15" t="s">
        <v>188</v>
      </c>
      <c r="DJ15" t="s">
        <v>189</v>
      </c>
      <c r="DK15" t="s">
        <v>190</v>
      </c>
      <c r="DL15" t="s">
        <v>191</v>
      </c>
      <c r="DM15" t="s">
        <v>192</v>
      </c>
      <c r="DN15" t="s">
        <v>193</v>
      </c>
      <c r="DO15" t="s">
        <v>194</v>
      </c>
      <c r="DP15" t="s">
        <v>86</v>
      </c>
      <c r="DQ15" t="s">
        <v>195</v>
      </c>
      <c r="DR15" t="s">
        <v>196</v>
      </c>
      <c r="DS15" t="s">
        <v>197</v>
      </c>
      <c r="DT15" t="s">
        <v>198</v>
      </c>
      <c r="DU15" t="s">
        <v>199</v>
      </c>
      <c r="DV15" t="s">
        <v>200</v>
      </c>
      <c r="DW15" t="s">
        <v>201</v>
      </c>
      <c r="DX15" t="s">
        <v>202</v>
      </c>
      <c r="DY15" t="s">
        <v>203</v>
      </c>
      <c r="DZ15" t="s">
        <v>204</v>
      </c>
      <c r="EA15" t="s">
        <v>205</v>
      </c>
      <c r="EB15" t="s">
        <v>206</v>
      </c>
      <c r="EC15" t="s">
        <v>207</v>
      </c>
      <c r="ED15" t="s">
        <v>208</v>
      </c>
      <c r="EE15" t="s">
        <v>209</v>
      </c>
      <c r="EF15" t="s">
        <v>210</v>
      </c>
      <c r="EG15" t="s">
        <v>211</v>
      </c>
      <c r="EH15" t="s">
        <v>212</v>
      </c>
      <c r="EI15" t="s">
        <v>213</v>
      </c>
      <c r="EJ15" t="s">
        <v>214</v>
      </c>
      <c r="EK15" t="s">
        <v>215</v>
      </c>
      <c r="EL15" t="s">
        <v>216</v>
      </c>
      <c r="EM15" t="s">
        <v>217</v>
      </c>
      <c r="EN15" t="s">
        <v>218</v>
      </c>
      <c r="EO15" t="s">
        <v>219</v>
      </c>
      <c r="EP15" t="s">
        <v>220</v>
      </c>
      <c r="EQ15" t="s">
        <v>221</v>
      </c>
      <c r="ER15" t="s">
        <v>222</v>
      </c>
      <c r="ES15" t="s">
        <v>223</v>
      </c>
      <c r="ET15" t="s">
        <v>224</v>
      </c>
      <c r="EU15" t="s">
        <v>225</v>
      </c>
      <c r="EV15" t="s">
        <v>226</v>
      </c>
      <c r="EW15" t="s">
        <v>227</v>
      </c>
      <c r="EX15" t="s">
        <v>228</v>
      </c>
      <c r="EY15" t="s">
        <v>229</v>
      </c>
      <c r="EZ15" t="s">
        <v>230</v>
      </c>
      <c r="FA15" t="s">
        <v>231</v>
      </c>
      <c r="FB15" t="s">
        <v>232</v>
      </c>
      <c r="FC15" t="s">
        <v>233</v>
      </c>
      <c r="FD15" t="s">
        <v>234</v>
      </c>
      <c r="FE15" t="s">
        <v>235</v>
      </c>
      <c r="FF15" t="s">
        <v>236</v>
      </c>
      <c r="FG15" t="s">
        <v>237</v>
      </c>
      <c r="FH15" t="s">
        <v>238</v>
      </c>
      <c r="FI15" t="s">
        <v>239</v>
      </c>
      <c r="FJ15" t="s">
        <v>240</v>
      </c>
      <c r="FK15" t="s">
        <v>241</v>
      </c>
      <c r="FL15" t="s">
        <v>242</v>
      </c>
      <c r="FM15" t="s">
        <v>243</v>
      </c>
      <c r="FN15" t="s">
        <v>244</v>
      </c>
      <c r="FO15" t="s">
        <v>80</v>
      </c>
      <c r="FP15" t="s">
        <v>83</v>
      </c>
      <c r="FQ15" t="s">
        <v>245</v>
      </c>
      <c r="FR15" t="s">
        <v>246</v>
      </c>
      <c r="FS15" t="s">
        <v>247</v>
      </c>
      <c r="FT15" t="s">
        <v>248</v>
      </c>
      <c r="FU15" t="s">
        <v>249</v>
      </c>
      <c r="FV15" t="s">
        <v>250</v>
      </c>
      <c r="FW15" t="s">
        <v>251</v>
      </c>
      <c r="FX15" t="s">
        <v>252</v>
      </c>
      <c r="FY15" t="s">
        <v>253</v>
      </c>
      <c r="FZ15" t="s">
        <v>254</v>
      </c>
      <c r="GA15" t="s">
        <v>255</v>
      </c>
      <c r="GB15" t="s">
        <v>256</v>
      </c>
      <c r="GC15" t="s">
        <v>257</v>
      </c>
      <c r="GD15" t="s">
        <v>258</v>
      </c>
      <c r="GE15" t="s">
        <v>259</v>
      </c>
      <c r="GF15" t="s">
        <v>260</v>
      </c>
      <c r="GG15" t="s">
        <v>261</v>
      </c>
      <c r="GH15" t="s">
        <v>262</v>
      </c>
      <c r="GI15" t="s">
        <v>263</v>
      </c>
      <c r="GJ15" t="s">
        <v>264</v>
      </c>
      <c r="GK15" t="s">
        <v>265</v>
      </c>
      <c r="GL15" t="s">
        <v>266</v>
      </c>
      <c r="GM15" t="s">
        <v>267</v>
      </c>
      <c r="GN15" t="s">
        <v>268</v>
      </c>
      <c r="GO15" t="s">
        <v>269</v>
      </c>
      <c r="GP15" t="s">
        <v>270</v>
      </c>
      <c r="GQ15" t="s">
        <v>271</v>
      </c>
      <c r="GR15" t="s">
        <v>272</v>
      </c>
      <c r="GS15" t="s">
        <v>273</v>
      </c>
      <c r="GT15" t="s">
        <v>274</v>
      </c>
      <c r="GU15" t="s">
        <v>275</v>
      </c>
      <c r="GV15" t="s">
        <v>276</v>
      </c>
      <c r="GW15" t="s">
        <v>277</v>
      </c>
      <c r="GX15" t="s">
        <v>278</v>
      </c>
      <c r="GY15" t="s">
        <v>279</v>
      </c>
      <c r="GZ15" t="s">
        <v>280</v>
      </c>
      <c r="HA15" t="s">
        <v>281</v>
      </c>
      <c r="HB15" t="s">
        <v>282</v>
      </c>
      <c r="HC15" t="s">
        <v>283</v>
      </c>
      <c r="HD15" t="s">
        <v>284</v>
      </c>
      <c r="HE15" t="s">
        <v>285</v>
      </c>
      <c r="HF15" t="s">
        <v>286</v>
      </c>
      <c r="HG15" t="s">
        <v>287</v>
      </c>
      <c r="HH15" t="s">
        <v>288</v>
      </c>
      <c r="HI15" t="s">
        <v>289</v>
      </c>
      <c r="HJ15" t="s">
        <v>290</v>
      </c>
      <c r="HK15" t="s">
        <v>291</v>
      </c>
      <c r="HL15" t="s">
        <v>292</v>
      </c>
      <c r="HM15" t="s">
        <v>293</v>
      </c>
      <c r="HN15" t="s">
        <v>294</v>
      </c>
      <c r="HO15" t="s">
        <v>295</v>
      </c>
      <c r="HP15" t="s">
        <v>296</v>
      </c>
      <c r="HQ15" t="s">
        <v>297</v>
      </c>
      <c r="HR15" t="s">
        <v>298</v>
      </c>
      <c r="HS15" t="s">
        <v>299</v>
      </c>
      <c r="HT15" t="s">
        <v>300</v>
      </c>
      <c r="HU15" t="s">
        <v>301</v>
      </c>
      <c r="HV15" t="s">
        <v>302</v>
      </c>
      <c r="HW15" t="s">
        <v>303</v>
      </c>
      <c r="HX15" t="s">
        <v>304</v>
      </c>
      <c r="HY15" t="s">
        <v>305</v>
      </c>
      <c r="HZ15" t="s">
        <v>306</v>
      </c>
      <c r="IA15" t="s">
        <v>307</v>
      </c>
      <c r="IB15" t="s">
        <v>308</v>
      </c>
      <c r="IC15" t="s">
        <v>309</v>
      </c>
      <c r="ID15" t="s">
        <v>310</v>
      </c>
      <c r="IE15" t="s">
        <v>311</v>
      </c>
      <c r="IF15" t="s">
        <v>312</v>
      </c>
      <c r="IG15" t="s">
        <v>313</v>
      </c>
      <c r="IH15" t="s">
        <v>314</v>
      </c>
      <c r="II15" t="s">
        <v>315</v>
      </c>
      <c r="IJ15" t="s">
        <v>316</v>
      </c>
      <c r="IK15" t="s">
        <v>317</v>
      </c>
      <c r="IL15" t="s">
        <v>318</v>
      </c>
      <c r="IM15" t="s">
        <v>319</v>
      </c>
      <c r="IN15" t="s">
        <v>320</v>
      </c>
      <c r="IO15" t="s">
        <v>321</v>
      </c>
      <c r="IP15" t="s">
        <v>322</v>
      </c>
      <c r="IQ15" t="s">
        <v>323</v>
      </c>
      <c r="IR15" t="s">
        <v>324</v>
      </c>
      <c r="IS15" t="s">
        <v>325</v>
      </c>
      <c r="IT15" t="s">
        <v>326</v>
      </c>
      <c r="IU15" t="s">
        <v>327</v>
      </c>
      <c r="IV15" t="s">
        <v>328</v>
      </c>
      <c r="IW15" t="s">
        <v>329</v>
      </c>
      <c r="IX15" t="s">
        <v>330</v>
      </c>
      <c r="IY15" t="s">
        <v>331</v>
      </c>
      <c r="IZ15" t="s">
        <v>332</v>
      </c>
      <c r="JA15" t="s">
        <v>333</v>
      </c>
      <c r="JB15" t="s">
        <v>334</v>
      </c>
      <c r="JC15" t="s">
        <v>335</v>
      </c>
      <c r="JD15" t="s">
        <v>336</v>
      </c>
      <c r="JE15" t="s">
        <v>337</v>
      </c>
      <c r="JF15" t="s">
        <v>338</v>
      </c>
      <c r="JG15" t="s">
        <v>339</v>
      </c>
      <c r="JH15" t="s">
        <v>340</v>
      </c>
      <c r="JI15" t="s">
        <v>341</v>
      </c>
      <c r="JJ15" t="s">
        <v>342</v>
      </c>
      <c r="JK15" t="s">
        <v>343</v>
      </c>
      <c r="JL15" t="s">
        <v>344</v>
      </c>
      <c r="JM15" t="s">
        <v>345</v>
      </c>
      <c r="JN15" t="s">
        <v>346</v>
      </c>
      <c r="JO15" t="s">
        <v>347</v>
      </c>
      <c r="JP15" t="s">
        <v>348</v>
      </c>
      <c r="JQ15" t="s">
        <v>349</v>
      </c>
      <c r="JR15" t="s">
        <v>350</v>
      </c>
      <c r="JS15" t="s">
        <v>351</v>
      </c>
      <c r="JT15" t="s">
        <v>352</v>
      </c>
      <c r="JU15" t="s">
        <v>353</v>
      </c>
      <c r="JV15" t="s">
        <v>354</v>
      </c>
      <c r="JW15" t="s">
        <v>355</v>
      </c>
      <c r="JX15" t="s">
        <v>356</v>
      </c>
      <c r="JY15" t="s">
        <v>357</v>
      </c>
      <c r="JZ15" t="s">
        <v>358</v>
      </c>
      <c r="KA15" t="s">
        <v>359</v>
      </c>
      <c r="KB15" t="s">
        <v>360</v>
      </c>
      <c r="KC15" t="s">
        <v>361</v>
      </c>
      <c r="KD15" t="s">
        <v>362</v>
      </c>
      <c r="KE15" t="s">
        <v>363</v>
      </c>
      <c r="KF15" t="s">
        <v>364</v>
      </c>
      <c r="KG15" t="s">
        <v>365</v>
      </c>
      <c r="KH15" t="s">
        <v>366</v>
      </c>
      <c r="KI15" t="s">
        <v>367</v>
      </c>
      <c r="KJ15" t="s">
        <v>368</v>
      </c>
    </row>
    <row r="16" spans="1:296" x14ac:dyDescent="0.3">
      <c r="B16" t="s">
        <v>369</v>
      </c>
      <c r="C16" t="s">
        <v>369</v>
      </c>
      <c r="F16" t="s">
        <v>369</v>
      </c>
      <c r="H16" t="s">
        <v>369</v>
      </c>
      <c r="I16" t="s">
        <v>370</v>
      </c>
      <c r="J16" t="s">
        <v>371</v>
      </c>
      <c r="K16" t="s">
        <v>372</v>
      </c>
      <c r="L16" t="s">
        <v>373</v>
      </c>
      <c r="M16" t="s">
        <v>373</v>
      </c>
      <c r="N16" t="s">
        <v>202</v>
      </c>
      <c r="O16" t="s">
        <v>202</v>
      </c>
      <c r="P16" t="s">
        <v>370</v>
      </c>
      <c r="Q16" t="s">
        <v>370</v>
      </c>
      <c r="R16" t="s">
        <v>370</v>
      </c>
      <c r="S16" t="s">
        <v>370</v>
      </c>
      <c r="T16" t="s">
        <v>374</v>
      </c>
      <c r="U16" t="s">
        <v>375</v>
      </c>
      <c r="V16" t="s">
        <v>375</v>
      </c>
      <c r="W16" t="s">
        <v>376</v>
      </c>
      <c r="X16" t="s">
        <v>377</v>
      </c>
      <c r="Y16" t="s">
        <v>376</v>
      </c>
      <c r="Z16" t="s">
        <v>376</v>
      </c>
      <c r="AA16" t="s">
        <v>376</v>
      </c>
      <c r="AB16" t="s">
        <v>374</v>
      </c>
      <c r="AC16" t="s">
        <v>374</v>
      </c>
      <c r="AD16" t="s">
        <v>374</v>
      </c>
      <c r="AE16" t="s">
        <v>374</v>
      </c>
      <c r="AF16" t="s">
        <v>372</v>
      </c>
      <c r="AG16" t="s">
        <v>371</v>
      </c>
      <c r="AH16" t="s">
        <v>372</v>
      </c>
      <c r="AI16" t="s">
        <v>373</v>
      </c>
      <c r="AJ16" t="s">
        <v>373</v>
      </c>
      <c r="AK16" t="s">
        <v>378</v>
      </c>
      <c r="AL16" t="s">
        <v>379</v>
      </c>
      <c r="AM16" t="s">
        <v>371</v>
      </c>
      <c r="AN16" t="s">
        <v>380</v>
      </c>
      <c r="AO16" t="s">
        <v>380</v>
      </c>
      <c r="AP16" t="s">
        <v>381</v>
      </c>
      <c r="AQ16" t="s">
        <v>379</v>
      </c>
      <c r="AR16" t="s">
        <v>382</v>
      </c>
      <c r="AS16" t="s">
        <v>377</v>
      </c>
      <c r="AU16" t="s">
        <v>377</v>
      </c>
      <c r="AV16" t="s">
        <v>382</v>
      </c>
      <c r="BB16" t="s">
        <v>372</v>
      </c>
      <c r="BI16" t="s">
        <v>372</v>
      </c>
      <c r="BJ16" t="s">
        <v>372</v>
      </c>
      <c r="BK16" t="s">
        <v>372</v>
      </c>
      <c r="BL16" t="s">
        <v>383</v>
      </c>
      <c r="BZ16" t="s">
        <v>384</v>
      </c>
      <c r="CB16" t="s">
        <v>384</v>
      </c>
      <c r="CC16" t="s">
        <v>372</v>
      </c>
      <c r="CF16" t="s">
        <v>384</v>
      </c>
      <c r="CG16" t="s">
        <v>377</v>
      </c>
      <c r="CJ16" t="s">
        <v>385</v>
      </c>
      <c r="CK16" t="s">
        <v>385</v>
      </c>
      <c r="CM16" t="s">
        <v>386</v>
      </c>
      <c r="CN16" t="s">
        <v>384</v>
      </c>
      <c r="CP16" t="s">
        <v>384</v>
      </c>
      <c r="CQ16" t="s">
        <v>372</v>
      </c>
      <c r="CU16" t="s">
        <v>384</v>
      </c>
      <c r="CW16" t="s">
        <v>387</v>
      </c>
      <c r="CZ16" t="s">
        <v>384</v>
      </c>
      <c r="DA16" t="s">
        <v>384</v>
      </c>
      <c r="DC16" t="s">
        <v>384</v>
      </c>
      <c r="DE16" t="s">
        <v>384</v>
      </c>
      <c r="DG16" t="s">
        <v>372</v>
      </c>
      <c r="DH16" t="s">
        <v>372</v>
      </c>
      <c r="DJ16" t="s">
        <v>388</v>
      </c>
      <c r="DK16" t="s">
        <v>389</v>
      </c>
      <c r="DN16" t="s">
        <v>370</v>
      </c>
      <c r="DP16" t="s">
        <v>369</v>
      </c>
      <c r="DQ16" t="s">
        <v>373</v>
      </c>
      <c r="DR16" t="s">
        <v>373</v>
      </c>
      <c r="DS16" t="s">
        <v>380</v>
      </c>
      <c r="DT16" t="s">
        <v>380</v>
      </c>
      <c r="DU16" t="s">
        <v>373</v>
      </c>
      <c r="DV16" t="s">
        <v>380</v>
      </c>
      <c r="DW16" t="s">
        <v>382</v>
      </c>
      <c r="DX16" t="s">
        <v>376</v>
      </c>
      <c r="DY16" t="s">
        <v>376</v>
      </c>
      <c r="DZ16" t="s">
        <v>375</v>
      </c>
      <c r="EA16" t="s">
        <v>375</v>
      </c>
      <c r="EB16" t="s">
        <v>375</v>
      </c>
      <c r="EC16" t="s">
        <v>375</v>
      </c>
      <c r="ED16" t="s">
        <v>375</v>
      </c>
      <c r="EE16" t="s">
        <v>390</v>
      </c>
      <c r="EF16" t="s">
        <v>372</v>
      </c>
      <c r="EG16" t="s">
        <v>372</v>
      </c>
      <c r="EH16" t="s">
        <v>373</v>
      </c>
      <c r="EI16" t="s">
        <v>373</v>
      </c>
      <c r="EJ16" t="s">
        <v>373</v>
      </c>
      <c r="EK16" t="s">
        <v>380</v>
      </c>
      <c r="EL16" t="s">
        <v>373</v>
      </c>
      <c r="EM16" t="s">
        <v>380</v>
      </c>
      <c r="EN16" t="s">
        <v>376</v>
      </c>
      <c r="EO16" t="s">
        <v>376</v>
      </c>
      <c r="EP16" t="s">
        <v>375</v>
      </c>
      <c r="EQ16" t="s">
        <v>375</v>
      </c>
      <c r="ER16" t="s">
        <v>372</v>
      </c>
      <c r="EW16" t="s">
        <v>372</v>
      </c>
      <c r="EZ16" t="s">
        <v>375</v>
      </c>
      <c r="FA16" t="s">
        <v>375</v>
      </c>
      <c r="FB16" t="s">
        <v>375</v>
      </c>
      <c r="FC16" t="s">
        <v>375</v>
      </c>
      <c r="FD16" t="s">
        <v>375</v>
      </c>
      <c r="FE16" t="s">
        <v>372</v>
      </c>
      <c r="FF16" t="s">
        <v>372</v>
      </c>
      <c r="FG16" t="s">
        <v>372</v>
      </c>
      <c r="FH16" t="s">
        <v>369</v>
      </c>
      <c r="FK16" t="s">
        <v>391</v>
      </c>
      <c r="FL16" t="s">
        <v>391</v>
      </c>
      <c r="FN16" t="s">
        <v>369</v>
      </c>
      <c r="FO16" t="s">
        <v>392</v>
      </c>
      <c r="FQ16" t="s">
        <v>369</v>
      </c>
      <c r="FR16" t="s">
        <v>369</v>
      </c>
      <c r="FT16" t="s">
        <v>393</v>
      </c>
      <c r="FU16" t="s">
        <v>394</v>
      </c>
      <c r="FV16" t="s">
        <v>393</v>
      </c>
      <c r="FW16" t="s">
        <v>394</v>
      </c>
      <c r="FX16" t="s">
        <v>393</v>
      </c>
      <c r="FY16" t="s">
        <v>394</v>
      </c>
      <c r="FZ16" t="s">
        <v>377</v>
      </c>
      <c r="GA16" t="s">
        <v>377</v>
      </c>
      <c r="GB16" t="s">
        <v>373</v>
      </c>
      <c r="GC16" t="s">
        <v>395</v>
      </c>
      <c r="GD16" t="s">
        <v>373</v>
      </c>
      <c r="GG16" t="s">
        <v>396</v>
      </c>
      <c r="GJ16" t="s">
        <v>380</v>
      </c>
      <c r="GK16" t="s">
        <v>397</v>
      </c>
      <c r="GL16" t="s">
        <v>380</v>
      </c>
      <c r="GQ16" t="s">
        <v>398</v>
      </c>
      <c r="GR16" t="s">
        <v>398</v>
      </c>
      <c r="HE16" t="s">
        <v>398</v>
      </c>
      <c r="HF16" t="s">
        <v>398</v>
      </c>
      <c r="HG16" t="s">
        <v>399</v>
      </c>
      <c r="HH16" t="s">
        <v>399</v>
      </c>
      <c r="HI16" t="s">
        <v>375</v>
      </c>
      <c r="HJ16" t="s">
        <v>375</v>
      </c>
      <c r="HK16" t="s">
        <v>377</v>
      </c>
      <c r="HL16" t="s">
        <v>375</v>
      </c>
      <c r="HM16" t="s">
        <v>380</v>
      </c>
      <c r="HN16" t="s">
        <v>377</v>
      </c>
      <c r="HO16" t="s">
        <v>377</v>
      </c>
      <c r="HQ16" t="s">
        <v>398</v>
      </c>
      <c r="HR16" t="s">
        <v>398</v>
      </c>
      <c r="HS16" t="s">
        <v>398</v>
      </c>
      <c r="HT16" t="s">
        <v>398</v>
      </c>
      <c r="HU16" t="s">
        <v>398</v>
      </c>
      <c r="HV16" t="s">
        <v>398</v>
      </c>
      <c r="HW16" t="s">
        <v>398</v>
      </c>
      <c r="HX16" t="s">
        <v>400</v>
      </c>
      <c r="HY16" t="s">
        <v>400</v>
      </c>
      <c r="HZ16" t="s">
        <v>400</v>
      </c>
      <c r="IA16" t="s">
        <v>401</v>
      </c>
      <c r="IB16" t="s">
        <v>398</v>
      </c>
      <c r="IC16" t="s">
        <v>398</v>
      </c>
      <c r="ID16" t="s">
        <v>398</v>
      </c>
      <c r="IE16" t="s">
        <v>398</v>
      </c>
      <c r="IF16" t="s">
        <v>398</v>
      </c>
      <c r="IG16" t="s">
        <v>398</v>
      </c>
      <c r="IH16" t="s">
        <v>398</v>
      </c>
      <c r="II16" t="s">
        <v>398</v>
      </c>
      <c r="IJ16" t="s">
        <v>398</v>
      </c>
      <c r="IK16" t="s">
        <v>398</v>
      </c>
      <c r="IL16" t="s">
        <v>398</v>
      </c>
      <c r="IM16" t="s">
        <v>398</v>
      </c>
      <c r="IT16" t="s">
        <v>398</v>
      </c>
      <c r="IU16" t="s">
        <v>377</v>
      </c>
      <c r="IV16" t="s">
        <v>377</v>
      </c>
      <c r="IW16" t="s">
        <v>393</v>
      </c>
      <c r="IX16" t="s">
        <v>394</v>
      </c>
      <c r="IY16" t="s">
        <v>393</v>
      </c>
      <c r="JC16" t="s">
        <v>394</v>
      </c>
      <c r="JG16" t="s">
        <v>373</v>
      </c>
      <c r="JH16" t="s">
        <v>373</v>
      </c>
      <c r="JI16" t="s">
        <v>380</v>
      </c>
      <c r="JJ16" t="s">
        <v>380</v>
      </c>
      <c r="JK16" t="s">
        <v>402</v>
      </c>
      <c r="JL16" t="s">
        <v>402</v>
      </c>
      <c r="JM16" t="s">
        <v>398</v>
      </c>
      <c r="JN16" t="s">
        <v>398</v>
      </c>
      <c r="JO16" t="s">
        <v>398</v>
      </c>
      <c r="JP16" t="s">
        <v>398</v>
      </c>
      <c r="JQ16" t="s">
        <v>398</v>
      </c>
      <c r="JR16" t="s">
        <v>398</v>
      </c>
      <c r="JS16" t="s">
        <v>375</v>
      </c>
      <c r="JT16" t="s">
        <v>398</v>
      </c>
      <c r="JV16" t="s">
        <v>382</v>
      </c>
      <c r="JW16" t="s">
        <v>382</v>
      </c>
      <c r="JX16" t="s">
        <v>375</v>
      </c>
      <c r="JY16" t="s">
        <v>375</v>
      </c>
      <c r="JZ16" t="s">
        <v>375</v>
      </c>
      <c r="KA16" t="s">
        <v>375</v>
      </c>
      <c r="KB16" t="s">
        <v>375</v>
      </c>
      <c r="KC16" t="s">
        <v>377</v>
      </c>
      <c r="KD16" t="s">
        <v>377</v>
      </c>
      <c r="KE16" t="s">
        <v>377</v>
      </c>
      <c r="KF16" t="s">
        <v>375</v>
      </c>
      <c r="KG16" t="s">
        <v>373</v>
      </c>
      <c r="KH16" t="s">
        <v>380</v>
      </c>
      <c r="KI16" t="s">
        <v>377</v>
      </c>
      <c r="KJ16" t="s">
        <v>377</v>
      </c>
    </row>
    <row r="17" spans="1:296" x14ac:dyDescent="0.3">
      <c r="A17">
        <v>1</v>
      </c>
      <c r="B17">
        <v>1783876848.0999999</v>
      </c>
      <c r="C17">
        <v>0</v>
      </c>
      <c r="D17" t="s">
        <v>523</v>
      </c>
      <c r="E17" t="s">
        <v>524</v>
      </c>
      <c r="F17">
        <v>15</v>
      </c>
      <c r="H17">
        <v>1783876840.099999</v>
      </c>
      <c r="I17">
        <f t="shared" ref="I17:I29" si="0">(J17)/1000</f>
        <v>3.636974763574231E-3</v>
      </c>
      <c r="J17">
        <f t="shared" ref="J17:J29" si="1">IF(DO17, AM17, AG17)</f>
        <v>3.6369747635742309</v>
      </c>
      <c r="K17">
        <f t="shared" ref="K17:K29" si="2">IF(DO17, AH17, AF17)</f>
        <v>45.237077257419081</v>
      </c>
      <c r="L17">
        <f t="shared" ref="L17:L29" si="3">DQ17 - IF(AT17&gt;1, K17*DK17*100/(AV17), 0)</f>
        <v>419.7739354838709</v>
      </c>
      <c r="M17">
        <f t="shared" ref="M17:M29" si="4">((S17-I17/2)*L17-K17)/(S17+I17/2)</f>
        <v>151.76081079731145</v>
      </c>
      <c r="N17">
        <f t="shared" ref="N17:N29" si="5">M17*(DX17+DY17)/1000</f>
        <v>14.957407086741529</v>
      </c>
      <c r="O17">
        <f t="shared" ref="O17:O29" si="6">(DQ17 - IF(AT17&gt;1, K17*DK17*100/(AV17), 0))*(DX17+DY17)/1000</f>
        <v>41.372536193296781</v>
      </c>
      <c r="P17">
        <f t="shared" ref="P17:P29" si="7">2/((1/R17-1/Q17)+SIGN(R17)*SQRT((1/R17-1/Q17)*(1/R17-1/Q17) + 4*DL17/((DL17+1)*(DL17+1))*(2*1/R17*1/Q17-1/Q17*1/Q17)))</f>
        <v>0.28931048026687739</v>
      </c>
      <c r="Q17">
        <f t="shared" ref="Q17:Q29" si="8">IF(LEFT(DM17,1)&lt;&gt;"0",IF(LEFT(DM17,1)="1",3,DN17),$D$5+$E$5*(EE17*DX17/($K$5*1000))+$F$5*(EE17*DX17/($K$5*1000))*MAX(MIN(DK17,$J$5),$I$5)*MAX(MIN(DK17,$J$5),$I$5)+$G$5*MAX(MIN(DK17,$J$5),$I$5)*(EE17*DX17/($K$5*1000))+$H$5*(EE17*DX17/($K$5*1000))*(EE17*DX17/($K$5*1000)))</f>
        <v>2.9034671599475166</v>
      </c>
      <c r="R17">
        <f t="shared" ref="R17:R29" si="9">I17*(1000-(1000*0.61365*EXP(17.502*V17/(240.97+V17))/(DX17+DY17)+DS17)/2)/(1000*0.61365*EXP(17.502*V17/(240.97+V17))/(DX17+DY17)-DS17)</f>
        <v>0.274196099679335</v>
      </c>
      <c r="S17">
        <f t="shared" ref="S17:S29" si="10">1/((DL17+1)/(P17/1.6)+1/(Q17/1.37)) + DL17/((DL17+1)/(P17/1.6) + DL17/(Q17/1.37))</f>
        <v>0.17266470078994983</v>
      </c>
      <c r="T17">
        <f t="shared" ref="T17:T29" si="11">(DG17*DJ17)</f>
        <v>319.7795363071898</v>
      </c>
      <c r="U17">
        <f t="shared" ref="U17:U29" si="12">(DZ17+(T17+2*0.95*0.0000000567*(((DZ17+$B$7)+273)^4-(DZ17+273)^4)-44100*I17)/(1.84*29.3*Q17+8*0.95*0.0000000567*(DZ17+273)^3))</f>
        <v>26.771151171085137</v>
      </c>
      <c r="V17">
        <f t="shared" ref="V17:V29" si="13">($C$7*EA17+$D$7*EB17+$E$7*U17)</f>
        <v>26.29538387096774</v>
      </c>
      <c r="W17">
        <f t="shared" ref="W17:W29" si="14">0.61365*EXP(17.502*V17/(240.97+V17))</f>
        <v>3.4336886680630814</v>
      </c>
      <c r="X17">
        <f t="shared" ref="X17:X29" si="15">(Y17/Z17*100)</f>
        <v>64.795192965670878</v>
      </c>
      <c r="Y17">
        <f t="shared" ref="Y17:Y29" si="16">DS17*(DX17+DY17)/1000</f>
        <v>2.1635083718280543</v>
      </c>
      <c r="Z17">
        <f t="shared" ref="Z17:Z29" si="17">0.61365*EXP(17.502*DZ17/(240.97+DZ17))</f>
        <v>3.3389951828283033</v>
      </c>
      <c r="AA17">
        <f t="shared" ref="AA17:AA29" si="18">(W17-DS17*(DX17+DY17)/1000)</f>
        <v>1.270180296235027</v>
      </c>
      <c r="AB17">
        <f t="shared" ref="AB17:AB29" si="19">(-I17*44100)</f>
        <v>-160.39058707362358</v>
      </c>
      <c r="AC17">
        <f t="shared" ref="AC17:AC29" si="20">2*29.3*Q17*0.92*(DZ17-V17)</f>
        <v>-74.009207820082295</v>
      </c>
      <c r="AD17">
        <f t="shared" ref="AD17:AD29" si="21">2*0.95*0.0000000567*(((DZ17+$B$7)+273)^4-(V17+273)^4)</f>
        <v>-5.4494272934096193</v>
      </c>
      <c r="AE17">
        <f t="shared" ref="AE17:AE29" si="22">T17+AD17+AB17+AC17</f>
        <v>79.930314120074328</v>
      </c>
      <c r="AF17">
        <f t="shared" ref="AF17:AF29" si="23">DW17*AT17*(DR17-DQ17*(1000-AT17*DT17)/(1000-AT17*DS17))/(100*DK17)</f>
        <v>45.237077257419081</v>
      </c>
      <c r="AG17">
        <f t="shared" ref="AG17:AG29" si="24">1000*DW17*AT17*(DS17-DT17)/(100*DK17*(1000-AT17*DS17))</f>
        <v>3.6369747635742309</v>
      </c>
      <c r="AH17">
        <f t="shared" ref="AH17:AH29" si="25">(AI17 - AJ17 - DX17*1000/(8.314*(DZ17+273.15)) * AL17/DW17 * AK17) * DW17/(100*DK17) * (1000 - DT17)/1000</f>
        <v>45.570821350340623</v>
      </c>
      <c r="AI17">
        <v>484.44641259839528</v>
      </c>
      <c r="AJ17">
        <v>429.06849090909071</v>
      </c>
      <c r="AK17">
        <v>-5.3867156543833068E-2</v>
      </c>
      <c r="AL17">
        <v>67.011500896397607</v>
      </c>
      <c r="AM17">
        <f t="shared" ref="AM17:AM29" si="26">(AO17 - AN17 + DX17*1000/(8.314*(DZ17+273.15)) * AQ17/DW17 * AP17) * DW17/(100*DK17) * 1000/(1000 - AO17)</f>
        <v>3.6579148341272032</v>
      </c>
      <c r="AN17">
        <v>17.65921036341517</v>
      </c>
      <c r="AO17">
        <v>21.952086666666659</v>
      </c>
      <c r="AP17">
        <v>-2.4804068784786869E-5</v>
      </c>
      <c r="AQ17">
        <v>78.17330690292097</v>
      </c>
      <c r="AR17">
        <v>0</v>
      </c>
      <c r="AS17">
        <v>0</v>
      </c>
      <c r="AT17">
        <f t="shared" ref="AT17:AT29" si="27">IF(AR17*$H$13&gt;=AV17,1,(AV17/(AV17-AR17*$H$13)))</f>
        <v>1</v>
      </c>
      <c r="AU17">
        <f t="shared" ref="AU17:AU29" si="28">(AT17-1)*100</f>
        <v>0</v>
      </c>
      <c r="AV17">
        <f t="shared" ref="AV17:AV29" si="29">MAX(0,($B$13+$C$13*EE17)/(1+$D$13*EE17)*DX17/(DZ17+273)*$E$13)</f>
        <v>52299.86898735338</v>
      </c>
      <c r="AW17" t="s">
        <v>525</v>
      </c>
      <c r="AX17">
        <v>5085.43</v>
      </c>
      <c r="AY17">
        <v>578.66176470588232</v>
      </c>
      <c r="AZ17">
        <v>2362.06</v>
      </c>
      <c r="BA17">
        <f t="shared" ref="BA17:BA29" si="30">1-AY17/AZ17</f>
        <v>0.7550181770548241</v>
      </c>
      <c r="BB17">
        <v>-2.144709974229277</v>
      </c>
      <c r="BC17" t="s">
        <v>526</v>
      </c>
      <c r="BD17">
        <v>5071.3100000000004</v>
      </c>
      <c r="BE17">
        <v>813.10758823529409</v>
      </c>
      <c r="BF17">
        <v>961.85</v>
      </c>
      <c r="BG17">
        <f t="shared" ref="BG17:BG29" si="31">1-BE17/BF17</f>
        <v>0.154642004225925</v>
      </c>
      <c r="BH17">
        <v>0.5</v>
      </c>
      <c r="BI17">
        <f t="shared" ref="BI17:BI29" si="32">DH17</f>
        <v>1680.3137139482349</v>
      </c>
      <c r="BJ17">
        <f t="shared" ref="BJ17:BJ29" si="33">K17</f>
        <v>45.237077257419081</v>
      </c>
      <c r="BK17">
        <f t="shared" ref="BK17:BK29" si="34">BG17*BH17*BI17</f>
        <v>129.92354022663133</v>
      </c>
      <c r="BL17">
        <f t="shared" ref="BL17:BL29" si="35">(BJ17-BB17)/BI17</f>
        <v>2.819817920804522E-2</v>
      </c>
      <c r="BM17">
        <f t="shared" ref="BM17:BM29" si="36">(AZ17-BF17)/BF17</f>
        <v>1.4557467380568696</v>
      </c>
      <c r="BN17">
        <f t="shared" ref="BN17:BN29" si="37">AY17/(BA17+AY17/BF17)</f>
        <v>426.54307313866542</v>
      </c>
      <c r="BO17" t="s">
        <v>407</v>
      </c>
      <c r="BP17">
        <v>0</v>
      </c>
      <c r="BQ17">
        <f t="shared" ref="BQ17:BQ29" si="38">IF(BP17&lt;&gt;0, BP17, BN17)</f>
        <v>426.54307313866542</v>
      </c>
      <c r="BR17">
        <f t="shared" ref="BR17:BR29" si="39">1-BQ17/BF17</f>
        <v>0.55653888533693885</v>
      </c>
      <c r="BS17">
        <f t="shared" ref="BS17:BS29" si="40">(BF17-BE17)/(BF17-BQ17)</f>
        <v>0.2778637904740508</v>
      </c>
      <c r="BT17">
        <f t="shared" ref="BT17:BT29" si="41">(AZ17-BF17)/(AZ17-BQ17)</f>
        <v>0.72342947796927992</v>
      </c>
      <c r="BU17">
        <f t="shared" ref="BU17:BU29" si="42">(BF17-BE17)/(BF17-AY17)</f>
        <v>0.38817061189401625</v>
      </c>
      <c r="BV17">
        <f t="shared" ref="BV17:BV29" si="43">(AZ17-BF17)/(AZ17-AY17)</f>
        <v>0.78513591204102418</v>
      </c>
      <c r="BW17">
        <f t="shared" ref="BW17:BW29" si="44">(BS17*BQ17/BE17)</f>
        <v>0.14576284469314621</v>
      </c>
      <c r="BX17">
        <f t="shared" ref="BX17:BX29" si="45">(1-BW17)</f>
        <v>0.85423715530685373</v>
      </c>
      <c r="DG17">
        <f t="shared" ref="DG17:DG29" si="46">$B$11*EF17+$C$11*EG17+$F$11*ER17*(1-EU17)</f>
        <v>2000.0177419354841</v>
      </c>
      <c r="DH17">
        <f t="shared" ref="DH17:DH29" si="47">DG17*DI17</f>
        <v>1680.3137139482349</v>
      </c>
      <c r="DI17">
        <f t="shared" ref="DI17:DI29" si="48">($B$11*$D$9+$C$11*$D$9+$F$11*((FE17+EW17)/MAX(FE17+EW17+FF17, 0.1)*$I$9+FF17/MAX(FE17+EW17+FF17, 0.1)*$J$9))/($B$11+$C$11+$F$11)</f>
        <v>0.8401494040358557</v>
      </c>
      <c r="DJ17">
        <f t="shared" ref="DJ17:DJ29" si="49">($B$11*$K$9+$C$11*$K$9+$F$11*((FE17+EW17)/MAX(FE17+EW17+FF17, 0.1)*$P$9+FF17/MAX(FE17+EW17+FF17, 0.1)*$Q$9))/($B$11+$C$11+$F$11)</f>
        <v>0.15988834978920161</v>
      </c>
      <c r="DK17">
        <v>6</v>
      </c>
      <c r="DL17">
        <v>0.5</v>
      </c>
      <c r="DM17" t="s">
        <v>408</v>
      </c>
      <c r="DN17">
        <v>2</v>
      </c>
      <c r="DO17" t="b">
        <v>0</v>
      </c>
      <c r="DP17">
        <v>1783876840.099999</v>
      </c>
      <c r="DQ17">
        <v>419.7739354838709</v>
      </c>
      <c r="DR17">
        <v>475.8850322580646</v>
      </c>
      <c r="DS17">
        <v>21.951383870967749</v>
      </c>
      <c r="DT17">
        <v>17.683232258064521</v>
      </c>
      <c r="DU17">
        <v>425.88641935483872</v>
      </c>
      <c r="DV17">
        <v>22.515554838709679</v>
      </c>
      <c r="DW17">
        <v>500.04851612903218</v>
      </c>
      <c r="DX17">
        <v>98.506316129032257</v>
      </c>
      <c r="DY17">
        <v>5.2771741935483868E-2</v>
      </c>
      <c r="DZ17">
        <v>25.82257741935484</v>
      </c>
      <c r="EA17">
        <v>26.29538387096774</v>
      </c>
      <c r="EB17">
        <v>999.90000000000032</v>
      </c>
      <c r="EC17">
        <v>0</v>
      </c>
      <c r="ED17">
        <v>0</v>
      </c>
      <c r="EE17">
        <v>10001.451612903231</v>
      </c>
      <c r="EF17">
        <v>0</v>
      </c>
      <c r="EG17">
        <v>1737.055161290323</v>
      </c>
      <c r="EH17">
        <v>-56.111196774193552</v>
      </c>
      <c r="EI17">
        <v>429.19529032258072</v>
      </c>
      <c r="EJ17">
        <v>484.45167741935478</v>
      </c>
      <c r="EK17">
        <v>4.2681580645161299</v>
      </c>
      <c r="EL17">
        <v>475.8850322580646</v>
      </c>
      <c r="EM17">
        <v>17.683232258064521</v>
      </c>
      <c r="EN17">
        <v>2.1623512903225812</v>
      </c>
      <c r="EO17">
        <v>1.7419100000000001</v>
      </c>
      <c r="EP17">
        <v>18.686083870967739</v>
      </c>
      <c r="EQ17">
        <v>15.27497419354839</v>
      </c>
      <c r="ER17">
        <v>2000.0177419354841</v>
      </c>
      <c r="ES17">
        <v>0.99500541935483866</v>
      </c>
      <c r="ET17">
        <v>4.9948641935483864E-3</v>
      </c>
      <c r="EU17">
        <v>0</v>
      </c>
      <c r="EV17">
        <v>813.11154838709695</v>
      </c>
      <c r="EW17">
        <v>5.0010700000000003</v>
      </c>
      <c r="EX17">
        <v>21791.745161290321</v>
      </c>
      <c r="EY17">
        <v>18241.835483870971</v>
      </c>
      <c r="EZ17">
        <v>45.25</v>
      </c>
      <c r="FA17">
        <v>47.561999999999969</v>
      </c>
      <c r="FB17">
        <v>46.051999999999971</v>
      </c>
      <c r="FC17">
        <v>46.932999999999971</v>
      </c>
      <c r="FD17">
        <v>46.186999999999969</v>
      </c>
      <c r="FE17">
        <v>1985.049354838709</v>
      </c>
      <c r="FF17">
        <v>9.9603225806451583</v>
      </c>
      <c r="FG17">
        <v>0</v>
      </c>
      <c r="FH17">
        <v>2391.7000000476842</v>
      </c>
      <c r="FI17">
        <v>0</v>
      </c>
      <c r="FJ17">
        <v>813.10758823529409</v>
      </c>
      <c r="FK17">
        <v>-1.7997549053701809</v>
      </c>
      <c r="FL17">
        <v>-25.53921452271592</v>
      </c>
      <c r="FM17">
        <v>21793.270588235289</v>
      </c>
      <c r="FN17">
        <v>10</v>
      </c>
      <c r="FO17">
        <v>1783876733.5999999</v>
      </c>
      <c r="FP17" t="s">
        <v>527</v>
      </c>
      <c r="FQ17">
        <v>1783876733.5999999</v>
      </c>
      <c r="FR17">
        <v>1783876727.0999999</v>
      </c>
      <c r="FS17">
        <v>29</v>
      </c>
      <c r="FT17">
        <v>-0.157</v>
      </c>
      <c r="FU17">
        <v>2.3E-2</v>
      </c>
      <c r="FV17">
        <v>-6.3109999999999999</v>
      </c>
      <c r="FW17">
        <v>-0.66900000000000004</v>
      </c>
      <c r="FX17">
        <v>474</v>
      </c>
      <c r="FY17">
        <v>18</v>
      </c>
      <c r="FZ17">
        <v>0.19</v>
      </c>
      <c r="GA17">
        <v>0.06</v>
      </c>
      <c r="GB17">
        <v>419.78229032258048</v>
      </c>
      <c r="GC17">
        <v>-0.21624193548411369</v>
      </c>
      <c r="GD17">
        <v>6.3386267744722558E-2</v>
      </c>
      <c r="GE17">
        <v>-1</v>
      </c>
      <c r="GF17">
        <v>813.15035294117649</v>
      </c>
      <c r="GG17">
        <v>-0.90560733881435285</v>
      </c>
      <c r="GH17">
        <v>0.25319405280080842</v>
      </c>
      <c r="GI17">
        <v>1</v>
      </c>
      <c r="GJ17">
        <v>4.2823660975609759</v>
      </c>
      <c r="GK17">
        <v>-8.5442090592334569E-2</v>
      </c>
      <c r="GL17">
        <v>2.5313112371687919E-2</v>
      </c>
      <c r="GM17">
        <v>1</v>
      </c>
      <c r="GN17">
        <v>2</v>
      </c>
      <c r="GO17">
        <v>2</v>
      </c>
      <c r="GP17" t="s">
        <v>423</v>
      </c>
      <c r="GQ17">
        <v>3.1298300000000001</v>
      </c>
      <c r="GR17">
        <v>2.72966</v>
      </c>
      <c r="GS17">
        <v>9.1415800000000005E-2</v>
      </c>
      <c r="GT17">
        <v>0.100136</v>
      </c>
      <c r="GU17">
        <v>0.106956</v>
      </c>
      <c r="GV17">
        <v>9.1036500000000006E-2</v>
      </c>
      <c r="GW17">
        <v>22680.3</v>
      </c>
      <c r="GX17">
        <v>30110.9</v>
      </c>
      <c r="GY17">
        <v>27093.7</v>
      </c>
      <c r="GZ17">
        <v>34432.6</v>
      </c>
      <c r="HA17">
        <v>35463.4</v>
      </c>
      <c r="HB17">
        <v>39665.800000000003</v>
      </c>
      <c r="HC17">
        <v>40023.300000000003</v>
      </c>
      <c r="HD17">
        <v>43713.599999999999</v>
      </c>
      <c r="HE17">
        <v>1.9234</v>
      </c>
      <c r="HF17">
        <v>1.657</v>
      </c>
      <c r="HG17">
        <v>-0.121444</v>
      </c>
      <c r="HH17">
        <v>0</v>
      </c>
      <c r="HI17">
        <v>28.280999999999999</v>
      </c>
      <c r="HJ17">
        <v>999.9</v>
      </c>
      <c r="HK17">
        <v>43.4</v>
      </c>
      <c r="HL17">
        <v>47</v>
      </c>
      <c r="HM17">
        <v>47.043399999999998</v>
      </c>
      <c r="HN17">
        <v>61.475499999999997</v>
      </c>
      <c r="HO17">
        <v>6.4222799999999998</v>
      </c>
      <c r="HP17">
        <v>1</v>
      </c>
      <c r="HQ17">
        <v>0.85317100000000001</v>
      </c>
      <c r="HR17">
        <v>9.2810500000000005</v>
      </c>
      <c r="HS17">
        <v>19.9892</v>
      </c>
      <c r="HT17">
        <v>5.2100999999999997</v>
      </c>
      <c r="HU17">
        <v>11.914099999999999</v>
      </c>
      <c r="HV17">
        <v>4.9847999999999999</v>
      </c>
      <c r="HW17">
        <v>3.2707999999999999</v>
      </c>
      <c r="HX17">
        <v>9999</v>
      </c>
      <c r="HY17">
        <v>9999</v>
      </c>
      <c r="HZ17">
        <v>9999</v>
      </c>
      <c r="IA17">
        <v>999.9</v>
      </c>
      <c r="IB17">
        <v>1.86765</v>
      </c>
      <c r="IC17">
        <v>1.86331</v>
      </c>
      <c r="ID17">
        <v>1.8628199999999999</v>
      </c>
      <c r="IE17">
        <v>1.8624000000000001</v>
      </c>
      <c r="IF17">
        <v>1.8623400000000001</v>
      </c>
      <c r="IG17">
        <v>1.8628499999999999</v>
      </c>
      <c r="IH17">
        <v>1.8637999999999999</v>
      </c>
      <c r="II17">
        <v>1.86175</v>
      </c>
      <c r="IJ17">
        <v>0</v>
      </c>
      <c r="IK17">
        <v>0</v>
      </c>
      <c r="IL17">
        <v>0</v>
      </c>
      <c r="IM17">
        <v>4.5</v>
      </c>
      <c r="IN17" t="s">
        <v>411</v>
      </c>
      <c r="IO17" t="s">
        <v>412</v>
      </c>
      <c r="IP17" t="s">
        <v>413</v>
      </c>
      <c r="IQ17" t="s">
        <v>414</v>
      </c>
      <c r="IR17" t="s">
        <v>414</v>
      </c>
      <c r="IS17" t="s">
        <v>413</v>
      </c>
      <c r="IT17">
        <v>0</v>
      </c>
      <c r="IU17">
        <v>100</v>
      </c>
      <c r="IV17">
        <v>100</v>
      </c>
      <c r="IW17">
        <v>-6.1120000000000001</v>
      </c>
      <c r="IX17">
        <v>-0.56410000000000005</v>
      </c>
      <c r="IY17">
        <v>-4.1252218122192179</v>
      </c>
      <c r="IZ17">
        <v>-5.6215304933332991E-3</v>
      </c>
      <c r="JA17">
        <v>2.3979931213773931E-6</v>
      </c>
      <c r="JB17">
        <v>-3.6297174575716598E-10</v>
      </c>
      <c r="JC17">
        <v>-0.91590858492162486</v>
      </c>
      <c r="JD17">
        <v>2.7492919904454862E-4</v>
      </c>
      <c r="JE17">
        <v>8.6739513355948885E-4</v>
      </c>
      <c r="JF17">
        <v>-8.2500691715147318E-6</v>
      </c>
      <c r="JG17">
        <v>17</v>
      </c>
      <c r="JH17">
        <v>1914</v>
      </c>
      <c r="JI17">
        <v>2</v>
      </c>
      <c r="JJ17">
        <v>37</v>
      </c>
      <c r="JK17">
        <v>1.9</v>
      </c>
      <c r="JL17">
        <v>2</v>
      </c>
      <c r="JM17">
        <v>1.2084999999999999</v>
      </c>
      <c r="JN17">
        <v>2.5891099999999998</v>
      </c>
      <c r="JO17">
        <v>1.50024</v>
      </c>
      <c r="JP17">
        <v>2.2619600000000002</v>
      </c>
      <c r="JQ17">
        <v>1.4477500000000001</v>
      </c>
      <c r="JR17">
        <v>2.3767100000000001</v>
      </c>
      <c r="JS17">
        <v>49.420999999999999</v>
      </c>
      <c r="JT17">
        <v>23.938700000000001</v>
      </c>
      <c r="JU17">
        <v>18</v>
      </c>
      <c r="JV17">
        <v>538.50800000000004</v>
      </c>
      <c r="JW17">
        <v>380.18599999999998</v>
      </c>
      <c r="JX17">
        <v>20.221599999999999</v>
      </c>
      <c r="JY17">
        <v>37.2667</v>
      </c>
      <c r="JZ17">
        <v>30.000800000000002</v>
      </c>
      <c r="KA17">
        <v>37.067100000000003</v>
      </c>
      <c r="KB17">
        <v>37.049399999999999</v>
      </c>
      <c r="KC17">
        <v>24.1782</v>
      </c>
      <c r="KD17">
        <v>57.914299999999997</v>
      </c>
      <c r="KE17">
        <v>0</v>
      </c>
      <c r="KF17">
        <v>19.189</v>
      </c>
      <c r="KG17">
        <v>476.20600000000002</v>
      </c>
      <c r="KH17">
        <v>17.771699999999999</v>
      </c>
      <c r="KI17">
        <v>100.015</v>
      </c>
      <c r="KJ17">
        <v>98.3245</v>
      </c>
    </row>
    <row r="18" spans="1:296" x14ac:dyDescent="0.3">
      <c r="A18">
        <v>2</v>
      </c>
      <c r="B18">
        <v>1783877030.5999999</v>
      </c>
      <c r="C18">
        <v>182.5</v>
      </c>
      <c r="D18" t="s">
        <v>528</v>
      </c>
      <c r="E18" t="s">
        <v>529</v>
      </c>
      <c r="F18">
        <v>15</v>
      </c>
      <c r="H18">
        <v>1783877022.599999</v>
      </c>
      <c r="I18">
        <f t="shared" si="0"/>
        <v>3.1169594679541016E-3</v>
      </c>
      <c r="J18">
        <f t="shared" si="1"/>
        <v>3.1169594679541017</v>
      </c>
      <c r="K18">
        <f t="shared" si="2"/>
        <v>43.386552089673948</v>
      </c>
      <c r="L18">
        <f t="shared" si="3"/>
        <v>419.7341612903225</v>
      </c>
      <c r="M18">
        <f t="shared" si="4"/>
        <v>133.48609792345536</v>
      </c>
      <c r="N18">
        <f t="shared" si="5"/>
        <v>13.155921186858984</v>
      </c>
      <c r="O18">
        <f t="shared" si="6"/>
        <v>41.367525392301921</v>
      </c>
      <c r="P18">
        <f t="shared" si="7"/>
        <v>0.2577414386655007</v>
      </c>
      <c r="Q18">
        <f t="shared" si="8"/>
        <v>2.9033108168320054</v>
      </c>
      <c r="R18">
        <f t="shared" si="9"/>
        <v>0.24567106825470997</v>
      </c>
      <c r="S18">
        <f t="shared" si="10"/>
        <v>0.15458177823677771</v>
      </c>
      <c r="T18">
        <f t="shared" si="11"/>
        <v>271.90916420965584</v>
      </c>
      <c r="U18">
        <f t="shared" si="12"/>
        <v>26.240744002935511</v>
      </c>
      <c r="V18">
        <f t="shared" si="13"/>
        <v>25.847561290322581</v>
      </c>
      <c r="W18">
        <f t="shared" si="14"/>
        <v>3.3439412440442675</v>
      </c>
      <c r="X18">
        <f t="shared" si="15"/>
        <v>65.200424851932425</v>
      </c>
      <c r="Y18">
        <f t="shared" si="16"/>
        <v>2.128216749662049</v>
      </c>
      <c r="Z18">
        <f t="shared" si="17"/>
        <v>3.2641148497040389</v>
      </c>
      <c r="AA18">
        <f t="shared" si="18"/>
        <v>1.2157244943822185</v>
      </c>
      <c r="AB18">
        <f t="shared" si="19"/>
        <v>-137.45791253677586</v>
      </c>
      <c r="AC18">
        <f t="shared" si="20"/>
        <v>-63.740829035298738</v>
      </c>
      <c r="AD18">
        <f t="shared" si="21"/>
        <v>-4.6740863849674303</v>
      </c>
      <c r="AE18">
        <f t="shared" si="22"/>
        <v>66.036336252613808</v>
      </c>
      <c r="AF18">
        <f t="shared" si="23"/>
        <v>43.386552089673948</v>
      </c>
      <c r="AG18">
        <f t="shared" si="24"/>
        <v>3.1169594679541017</v>
      </c>
      <c r="AH18">
        <f t="shared" si="25"/>
        <v>43.59661115954718</v>
      </c>
      <c r="AI18">
        <v>482.0810641473243</v>
      </c>
      <c r="AJ18">
        <v>428.89223030303037</v>
      </c>
      <c r="AK18">
        <v>-1.4692118940188899E-2</v>
      </c>
      <c r="AL18">
        <v>67.071868047488053</v>
      </c>
      <c r="AM18">
        <f t="shared" si="26"/>
        <v>3.1306756730846947</v>
      </c>
      <c r="AN18">
        <v>17.928329907748921</v>
      </c>
      <c r="AO18">
        <v>21.603495757575761</v>
      </c>
      <c r="AP18">
        <v>3.013522559929944E-5</v>
      </c>
      <c r="AQ18">
        <v>78.55</v>
      </c>
      <c r="AR18">
        <v>0</v>
      </c>
      <c r="AS18">
        <v>0</v>
      </c>
      <c r="AT18">
        <f t="shared" si="27"/>
        <v>1</v>
      </c>
      <c r="AU18">
        <f t="shared" si="28"/>
        <v>0</v>
      </c>
      <c r="AV18">
        <f t="shared" si="29"/>
        <v>52362.30349429007</v>
      </c>
      <c r="AW18" t="s">
        <v>525</v>
      </c>
      <c r="AX18">
        <v>5085.43</v>
      </c>
      <c r="AY18">
        <v>578.66176470588232</v>
      </c>
      <c r="AZ18">
        <v>2362.06</v>
      </c>
      <c r="BA18">
        <f t="shared" si="30"/>
        <v>0.7550181770548241</v>
      </c>
      <c r="BB18">
        <v>-2.144709974229277</v>
      </c>
      <c r="BC18" t="s">
        <v>530</v>
      </c>
      <c r="BD18">
        <v>5075.13</v>
      </c>
      <c r="BE18">
        <v>807.1008823529412</v>
      </c>
      <c r="BF18">
        <v>999.02</v>
      </c>
      <c r="BG18">
        <f t="shared" si="31"/>
        <v>0.19210738288228346</v>
      </c>
      <c r="BH18">
        <v>0.5</v>
      </c>
      <c r="BI18">
        <f t="shared" si="32"/>
        <v>1428.3040449690677</v>
      </c>
      <c r="BJ18">
        <f t="shared" si="33"/>
        <v>43.386552089673948</v>
      </c>
      <c r="BK18">
        <f t="shared" si="34"/>
        <v>137.19387601959346</v>
      </c>
      <c r="BL18">
        <f t="shared" si="35"/>
        <v>3.1877849974785502E-2</v>
      </c>
      <c r="BM18">
        <f t="shared" si="36"/>
        <v>1.3643770895477567</v>
      </c>
      <c r="BN18">
        <f t="shared" si="37"/>
        <v>433.69894053040531</v>
      </c>
      <c r="BO18" t="s">
        <v>407</v>
      </c>
      <c r="BP18">
        <v>0</v>
      </c>
      <c r="BQ18">
        <f t="shared" si="38"/>
        <v>433.69894053040531</v>
      </c>
      <c r="BR18">
        <f t="shared" si="39"/>
        <v>0.56587561757481808</v>
      </c>
      <c r="BS18">
        <f t="shared" si="40"/>
        <v>0.33948694185764888</v>
      </c>
      <c r="BT18">
        <f t="shared" si="41"/>
        <v>0.70683858362858198</v>
      </c>
      <c r="BU18">
        <f t="shared" si="42"/>
        <v>0.45656086055451289</v>
      </c>
      <c r="BV18">
        <f t="shared" si="43"/>
        <v>0.76429367991115449</v>
      </c>
      <c r="BW18">
        <f t="shared" si="44"/>
        <v>0.18242468844580501</v>
      </c>
      <c r="BX18">
        <f t="shared" si="45"/>
        <v>0.81757531155419505</v>
      </c>
      <c r="DG18">
        <f t="shared" si="46"/>
        <v>1699.998387096774</v>
      </c>
      <c r="DH18">
        <f t="shared" si="47"/>
        <v>1428.3040449690677</v>
      </c>
      <c r="DI18">
        <f t="shared" si="48"/>
        <v>0.84017964711619464</v>
      </c>
      <c r="DJ18">
        <f t="shared" si="49"/>
        <v>0.15994671893425577</v>
      </c>
      <c r="DK18">
        <v>6</v>
      </c>
      <c r="DL18">
        <v>0.5</v>
      </c>
      <c r="DM18" t="s">
        <v>408</v>
      </c>
      <c r="DN18">
        <v>2</v>
      </c>
      <c r="DO18" t="b">
        <v>0</v>
      </c>
      <c r="DP18">
        <v>1783877022.599999</v>
      </c>
      <c r="DQ18">
        <v>419.7341612903225</v>
      </c>
      <c r="DR18">
        <v>473.36364516129032</v>
      </c>
      <c r="DS18">
        <v>21.59387741935484</v>
      </c>
      <c r="DT18">
        <v>17.93459032258064</v>
      </c>
      <c r="DU18">
        <v>425.85322580645158</v>
      </c>
      <c r="DV18">
        <v>22.17418064516129</v>
      </c>
      <c r="DW18">
        <v>500.04038709677423</v>
      </c>
      <c r="DX18">
        <v>98.503848387096781</v>
      </c>
      <c r="DY18">
        <v>5.264095161290322E-2</v>
      </c>
      <c r="DZ18">
        <v>25.440332258064512</v>
      </c>
      <c r="EA18">
        <v>25.847561290322581</v>
      </c>
      <c r="EB18">
        <v>999.90000000000032</v>
      </c>
      <c r="EC18">
        <v>0</v>
      </c>
      <c r="ED18">
        <v>0</v>
      </c>
      <c r="EE18">
        <v>10000.8064516129</v>
      </c>
      <c r="EF18">
        <v>0</v>
      </c>
      <c r="EG18">
        <v>1673.8834193548389</v>
      </c>
      <c r="EH18">
        <v>-53.629519354838713</v>
      </c>
      <c r="EI18">
        <v>428.99787096774202</v>
      </c>
      <c r="EJ18">
        <v>482.00835483870958</v>
      </c>
      <c r="EK18">
        <v>3.6592870967741939</v>
      </c>
      <c r="EL18">
        <v>473.36364516129032</v>
      </c>
      <c r="EM18">
        <v>17.93459032258064</v>
      </c>
      <c r="EN18">
        <v>2.127079677419355</v>
      </c>
      <c r="EO18">
        <v>1.7666264516129031</v>
      </c>
      <c r="EP18">
        <v>18.423435483870971</v>
      </c>
      <c r="EQ18">
        <v>15.494583870967739</v>
      </c>
      <c r="ER18">
        <v>1699.998387096774</v>
      </c>
      <c r="ES18">
        <v>0.99399212903225775</v>
      </c>
      <c r="ET18">
        <v>6.0078299999999996E-3</v>
      </c>
      <c r="EU18">
        <v>0</v>
      </c>
      <c r="EV18">
        <v>806.95038709677431</v>
      </c>
      <c r="EW18">
        <v>5.0010700000000003</v>
      </c>
      <c r="EX18">
        <v>19152.174193548381</v>
      </c>
      <c r="EY18">
        <v>15492.448387096771</v>
      </c>
      <c r="EZ18">
        <v>44.594516129032243</v>
      </c>
      <c r="FA18">
        <v>47.086387096774168</v>
      </c>
      <c r="FB18">
        <v>45.672999999999988</v>
      </c>
      <c r="FC18">
        <v>46.424999999999983</v>
      </c>
      <c r="FD18">
        <v>45.664999999999992</v>
      </c>
      <c r="FE18">
        <v>1684.8183870967739</v>
      </c>
      <c r="FF18">
        <v>10.18</v>
      </c>
      <c r="FG18">
        <v>0</v>
      </c>
      <c r="FH18">
        <v>181.79999995231631</v>
      </c>
      <c r="FI18">
        <v>0</v>
      </c>
      <c r="FJ18">
        <v>807.1008823529412</v>
      </c>
      <c r="FK18">
        <v>4.3879902128284112</v>
      </c>
      <c r="FL18">
        <v>-5.7352890118677227</v>
      </c>
      <c r="FM18">
        <v>19164.7294117647</v>
      </c>
      <c r="FN18">
        <v>10</v>
      </c>
      <c r="FO18">
        <v>1783876911.0999999</v>
      </c>
      <c r="FP18" t="s">
        <v>531</v>
      </c>
      <c r="FQ18">
        <v>1783876911.0999999</v>
      </c>
      <c r="FR18">
        <v>1783876910.5999999</v>
      </c>
      <c r="FS18">
        <v>30</v>
      </c>
      <c r="FT18">
        <v>-7.0000000000000001E-3</v>
      </c>
      <c r="FU18">
        <v>-7.0000000000000001E-3</v>
      </c>
      <c r="FV18">
        <v>-6.3239999999999998</v>
      </c>
      <c r="FW18">
        <v>-0.67500000000000004</v>
      </c>
      <c r="FX18">
        <v>476</v>
      </c>
      <c r="FY18">
        <v>18</v>
      </c>
      <c r="FZ18">
        <v>0.21</v>
      </c>
      <c r="GA18">
        <v>7.0000000000000007E-2</v>
      </c>
      <c r="GB18">
        <v>419.73419999999987</v>
      </c>
      <c r="GC18">
        <v>-0.71487430478217096</v>
      </c>
      <c r="GD18">
        <v>7.3471264223956126E-2</v>
      </c>
      <c r="GE18">
        <v>-1</v>
      </c>
      <c r="GF18">
        <v>806.86320588235287</v>
      </c>
      <c r="GG18">
        <v>2.1913980147093159</v>
      </c>
      <c r="GH18">
        <v>0.39392480466467239</v>
      </c>
      <c r="GI18">
        <v>1</v>
      </c>
      <c r="GJ18">
        <v>3.6548769999999999</v>
      </c>
      <c r="GK18">
        <v>0.1179948968105107</v>
      </c>
      <c r="GL18">
        <v>1.197774649088885E-2</v>
      </c>
      <c r="GM18">
        <v>1</v>
      </c>
      <c r="GN18">
        <v>2</v>
      </c>
      <c r="GO18">
        <v>2</v>
      </c>
      <c r="GP18" t="s">
        <v>423</v>
      </c>
      <c r="GQ18">
        <v>3.1290900000000001</v>
      </c>
      <c r="GR18">
        <v>2.7291300000000001</v>
      </c>
      <c r="GS18">
        <v>9.1386400000000007E-2</v>
      </c>
      <c r="GT18">
        <v>9.9695800000000001E-2</v>
      </c>
      <c r="GU18">
        <v>0.105799</v>
      </c>
      <c r="GV18">
        <v>9.1169600000000003E-2</v>
      </c>
      <c r="GW18">
        <v>22685.599999999999</v>
      </c>
      <c r="GX18">
        <v>30132.7</v>
      </c>
      <c r="GY18">
        <v>27098.799999999999</v>
      </c>
      <c r="GZ18">
        <v>34440</v>
      </c>
      <c r="HA18">
        <v>35515.199999999997</v>
      </c>
      <c r="HB18">
        <v>39668.9</v>
      </c>
      <c r="HC18">
        <v>40030.699999999997</v>
      </c>
      <c r="HD18">
        <v>43723.5</v>
      </c>
      <c r="HE18">
        <v>1.9219999999999999</v>
      </c>
      <c r="HF18">
        <v>1.66</v>
      </c>
      <c r="HG18">
        <v>-0.112206</v>
      </c>
      <c r="HH18">
        <v>0</v>
      </c>
      <c r="HI18">
        <v>27.7058</v>
      </c>
      <c r="HJ18">
        <v>999.9</v>
      </c>
      <c r="HK18">
        <v>43.3</v>
      </c>
      <c r="HL18">
        <v>46.9</v>
      </c>
      <c r="HM18">
        <v>46.698900000000002</v>
      </c>
      <c r="HN18">
        <v>61.485500000000002</v>
      </c>
      <c r="HO18">
        <v>6.7147399999999999</v>
      </c>
      <c r="HP18">
        <v>1</v>
      </c>
      <c r="HQ18">
        <v>0.84152400000000005</v>
      </c>
      <c r="HR18">
        <v>9.2810500000000005</v>
      </c>
      <c r="HS18">
        <v>19.992699999999999</v>
      </c>
      <c r="HT18">
        <v>5.2100999999999997</v>
      </c>
      <c r="HU18">
        <v>11.914099999999999</v>
      </c>
      <c r="HV18">
        <v>4.984</v>
      </c>
      <c r="HW18">
        <v>3.2709999999999999</v>
      </c>
      <c r="HX18">
        <v>9999</v>
      </c>
      <c r="HY18">
        <v>9999</v>
      </c>
      <c r="HZ18">
        <v>9999</v>
      </c>
      <c r="IA18">
        <v>999.9</v>
      </c>
      <c r="IB18">
        <v>1.86768</v>
      </c>
      <c r="IC18">
        <v>1.86334</v>
      </c>
      <c r="ID18">
        <v>1.8627899999999999</v>
      </c>
      <c r="IE18">
        <v>1.86243</v>
      </c>
      <c r="IF18">
        <v>1.8623400000000001</v>
      </c>
      <c r="IG18">
        <v>1.8628199999999999</v>
      </c>
      <c r="IH18">
        <v>1.8637699999999999</v>
      </c>
      <c r="II18">
        <v>1.86172</v>
      </c>
      <c r="IJ18">
        <v>0</v>
      </c>
      <c r="IK18">
        <v>0</v>
      </c>
      <c r="IL18">
        <v>0</v>
      </c>
      <c r="IM18">
        <v>4.5</v>
      </c>
      <c r="IN18" t="s">
        <v>411</v>
      </c>
      <c r="IO18" t="s">
        <v>412</v>
      </c>
      <c r="IP18" t="s">
        <v>413</v>
      </c>
      <c r="IQ18" t="s">
        <v>414</v>
      </c>
      <c r="IR18" t="s">
        <v>414</v>
      </c>
      <c r="IS18" t="s">
        <v>413</v>
      </c>
      <c r="IT18">
        <v>0</v>
      </c>
      <c r="IU18">
        <v>100</v>
      </c>
      <c r="IV18">
        <v>100</v>
      </c>
      <c r="IW18">
        <v>-6.1189999999999998</v>
      </c>
      <c r="IX18">
        <v>-0.58009999999999995</v>
      </c>
      <c r="IY18">
        <v>-4.1319398982400308</v>
      </c>
      <c r="IZ18">
        <v>-5.6215304933332991E-3</v>
      </c>
      <c r="JA18">
        <v>2.3979931213773931E-6</v>
      </c>
      <c r="JB18">
        <v>-3.6297174575716598E-10</v>
      </c>
      <c r="JC18">
        <v>-0.92294323361608033</v>
      </c>
      <c r="JD18">
        <v>2.7492919904454862E-4</v>
      </c>
      <c r="JE18">
        <v>8.6739513355948885E-4</v>
      </c>
      <c r="JF18">
        <v>-8.2500691715147318E-6</v>
      </c>
      <c r="JG18">
        <v>17</v>
      </c>
      <c r="JH18">
        <v>1914</v>
      </c>
      <c r="JI18">
        <v>2</v>
      </c>
      <c r="JJ18">
        <v>37</v>
      </c>
      <c r="JK18">
        <v>2</v>
      </c>
      <c r="JL18">
        <v>2</v>
      </c>
      <c r="JM18">
        <v>1.2036100000000001</v>
      </c>
      <c r="JN18">
        <v>2.5915499999999998</v>
      </c>
      <c r="JO18">
        <v>1.50024</v>
      </c>
      <c r="JP18">
        <v>2.2619600000000002</v>
      </c>
      <c r="JQ18">
        <v>1.4477500000000001</v>
      </c>
      <c r="JR18">
        <v>2.4230999999999998</v>
      </c>
      <c r="JS18">
        <v>49.420999999999999</v>
      </c>
      <c r="JT18">
        <v>23.947399999999998</v>
      </c>
      <c r="JU18">
        <v>18</v>
      </c>
      <c r="JV18">
        <v>537.51599999999996</v>
      </c>
      <c r="JW18">
        <v>381.86500000000001</v>
      </c>
      <c r="JX18">
        <v>19.8096</v>
      </c>
      <c r="JY18">
        <v>37.171799999999998</v>
      </c>
      <c r="JZ18">
        <v>29.999500000000001</v>
      </c>
      <c r="KA18">
        <v>37.060299999999998</v>
      </c>
      <c r="KB18">
        <v>37.040599999999998</v>
      </c>
      <c r="KC18">
        <v>24.0684</v>
      </c>
      <c r="KD18">
        <v>57.717700000000001</v>
      </c>
      <c r="KE18">
        <v>0</v>
      </c>
      <c r="KF18">
        <v>18.930499999999999</v>
      </c>
      <c r="KG18">
        <v>473.73899999999998</v>
      </c>
      <c r="KH18">
        <v>17.927099999999999</v>
      </c>
      <c r="KI18">
        <v>100.033</v>
      </c>
      <c r="KJ18">
        <v>98.346299999999999</v>
      </c>
    </row>
    <row r="19" spans="1:296" x14ac:dyDescent="0.3">
      <c r="A19">
        <v>3</v>
      </c>
      <c r="B19">
        <v>1783877213.0999999</v>
      </c>
      <c r="C19">
        <v>365</v>
      </c>
      <c r="D19" t="s">
        <v>532</v>
      </c>
      <c r="E19" t="s">
        <v>533</v>
      </c>
      <c r="F19">
        <v>15</v>
      </c>
      <c r="H19">
        <v>1783877205.349999</v>
      </c>
      <c r="I19">
        <f t="shared" si="0"/>
        <v>3.2680161121931449E-3</v>
      </c>
      <c r="J19">
        <f t="shared" si="1"/>
        <v>3.2680161121931448</v>
      </c>
      <c r="K19">
        <f t="shared" si="2"/>
        <v>43.670829492199353</v>
      </c>
      <c r="L19">
        <f t="shared" si="3"/>
        <v>419.87713333333329</v>
      </c>
      <c r="M19">
        <f t="shared" si="4"/>
        <v>148.36721184078993</v>
      </c>
      <c r="N19">
        <f t="shared" si="5"/>
        <v>14.622178092414693</v>
      </c>
      <c r="O19">
        <f t="shared" si="6"/>
        <v>41.380559386131416</v>
      </c>
      <c r="P19">
        <f t="shared" si="7"/>
        <v>0.27460750557857422</v>
      </c>
      <c r="Q19">
        <f t="shared" si="8"/>
        <v>2.9031316797795665</v>
      </c>
      <c r="R19">
        <f t="shared" si="9"/>
        <v>0.26094989788522993</v>
      </c>
      <c r="S19">
        <f t="shared" si="10"/>
        <v>0.16426414579943829</v>
      </c>
      <c r="T19">
        <f t="shared" si="11"/>
        <v>255.91368943021939</v>
      </c>
      <c r="U19">
        <f t="shared" si="12"/>
        <v>25.886421962618382</v>
      </c>
      <c r="V19">
        <f t="shared" si="13"/>
        <v>25.639073333333339</v>
      </c>
      <c r="W19">
        <f t="shared" si="14"/>
        <v>3.3028622679140383</v>
      </c>
      <c r="X19">
        <f t="shared" si="15"/>
        <v>65.258121619997581</v>
      </c>
      <c r="Y19">
        <f t="shared" si="16"/>
        <v>2.102464704016735</v>
      </c>
      <c r="Z19">
        <f t="shared" si="17"/>
        <v>3.2217671177536005</v>
      </c>
      <c r="AA19">
        <f t="shared" si="18"/>
        <v>1.2003975638973032</v>
      </c>
      <c r="AB19">
        <f t="shared" si="19"/>
        <v>-144.11951054771768</v>
      </c>
      <c r="AC19">
        <f t="shared" si="20"/>
        <v>-65.472783843515174</v>
      </c>
      <c r="AD19">
        <f t="shared" si="21"/>
        <v>-4.7910703921585256</v>
      </c>
      <c r="AE19">
        <f t="shared" si="22"/>
        <v>41.530324646828007</v>
      </c>
      <c r="AF19">
        <f t="shared" si="23"/>
        <v>43.670829492199353</v>
      </c>
      <c r="AG19">
        <f t="shared" si="24"/>
        <v>3.2680161121931448</v>
      </c>
      <c r="AH19">
        <f t="shared" si="25"/>
        <v>43.714704965186002</v>
      </c>
      <c r="AI19">
        <v>482.45333179050027</v>
      </c>
      <c r="AJ19">
        <v>429.03798787878799</v>
      </c>
      <c r="AK19">
        <v>4.4971437173854118E-3</v>
      </c>
      <c r="AL19">
        <v>67.073596762933548</v>
      </c>
      <c r="AM19">
        <f t="shared" si="26"/>
        <v>3.2557573034489482</v>
      </c>
      <c r="AN19">
        <v>17.4923182578355</v>
      </c>
      <c r="AO19">
        <v>21.316965454545461</v>
      </c>
      <c r="AP19">
        <v>-1.6789830275555409E-4</v>
      </c>
      <c r="AQ19">
        <v>78.55</v>
      </c>
      <c r="AR19">
        <v>0</v>
      </c>
      <c r="AS19">
        <v>0</v>
      </c>
      <c r="AT19">
        <f t="shared" si="27"/>
        <v>1</v>
      </c>
      <c r="AU19">
        <f t="shared" si="28"/>
        <v>0</v>
      </c>
      <c r="AV19">
        <f t="shared" si="29"/>
        <v>52395.65323914172</v>
      </c>
      <c r="AW19" t="s">
        <v>525</v>
      </c>
      <c r="AX19">
        <v>5085.43</v>
      </c>
      <c r="AY19">
        <v>578.66176470588232</v>
      </c>
      <c r="AZ19">
        <v>2362.06</v>
      </c>
      <c r="BA19">
        <f t="shared" si="30"/>
        <v>0.7550181770548241</v>
      </c>
      <c r="BB19">
        <v>-2.144709974229277</v>
      </c>
      <c r="BC19" t="s">
        <v>534</v>
      </c>
      <c r="BD19">
        <v>5077.8100000000004</v>
      </c>
      <c r="BE19">
        <v>813.05888235294117</v>
      </c>
      <c r="BF19">
        <v>1030.46</v>
      </c>
      <c r="BG19">
        <f t="shared" si="31"/>
        <v>0.21097482449300198</v>
      </c>
      <c r="BH19">
        <v>0.5</v>
      </c>
      <c r="BI19">
        <f t="shared" si="32"/>
        <v>1344.2904198084041</v>
      </c>
      <c r="BJ19">
        <f t="shared" si="33"/>
        <v>43.670829492199353</v>
      </c>
      <c r="BK19">
        <f t="shared" si="34"/>
        <v>141.805717693351</v>
      </c>
      <c r="BL19">
        <f t="shared" si="35"/>
        <v>3.4081578497716682E-2</v>
      </c>
      <c r="BM19">
        <f t="shared" si="36"/>
        <v>1.2922384177939947</v>
      </c>
      <c r="BN19">
        <f t="shared" si="37"/>
        <v>439.52057302460753</v>
      </c>
      <c r="BO19" t="s">
        <v>407</v>
      </c>
      <c r="BP19">
        <v>0</v>
      </c>
      <c r="BQ19">
        <f t="shared" si="38"/>
        <v>439.52057302460753</v>
      </c>
      <c r="BR19">
        <f t="shared" si="39"/>
        <v>0.57347148552626259</v>
      </c>
      <c r="BS19">
        <f t="shared" si="40"/>
        <v>0.36789069695312737</v>
      </c>
      <c r="BT19">
        <f t="shared" si="41"/>
        <v>0.69262558744759817</v>
      </c>
      <c r="BU19">
        <f t="shared" si="42"/>
        <v>0.48119071891799697</v>
      </c>
      <c r="BV19">
        <f t="shared" si="43"/>
        <v>0.74666441496191838</v>
      </c>
      <c r="BW19">
        <f t="shared" si="44"/>
        <v>0.19887308710941584</v>
      </c>
      <c r="BX19">
        <f t="shared" si="45"/>
        <v>0.80112691289058413</v>
      </c>
      <c r="DG19">
        <f t="shared" si="46"/>
        <v>1600.0046666666669</v>
      </c>
      <c r="DH19">
        <f t="shared" si="47"/>
        <v>1344.2904198084041</v>
      </c>
      <c r="DI19">
        <f t="shared" si="48"/>
        <v>0.84017906185798863</v>
      </c>
      <c r="DJ19">
        <f t="shared" si="49"/>
        <v>0.15994558938591805</v>
      </c>
      <c r="DK19">
        <v>6</v>
      </c>
      <c r="DL19">
        <v>0.5</v>
      </c>
      <c r="DM19" t="s">
        <v>408</v>
      </c>
      <c r="DN19">
        <v>2</v>
      </c>
      <c r="DO19" t="b">
        <v>0</v>
      </c>
      <c r="DP19">
        <v>1783877205.349999</v>
      </c>
      <c r="DQ19">
        <v>419.87713333333329</v>
      </c>
      <c r="DR19">
        <v>473.9283666666667</v>
      </c>
      <c r="DS19">
        <v>21.333130000000001</v>
      </c>
      <c r="DT19">
        <v>17.495196666666661</v>
      </c>
      <c r="DU19">
        <v>425.9496666666667</v>
      </c>
      <c r="DV19">
        <v>21.914729999999999</v>
      </c>
      <c r="DW19">
        <v>500.00333333333327</v>
      </c>
      <c r="DX19">
        <v>98.501683333333361</v>
      </c>
      <c r="DY19">
        <v>5.2289009999999997E-2</v>
      </c>
      <c r="DZ19">
        <v>25.220753333333331</v>
      </c>
      <c r="EA19">
        <v>25.639073333333339</v>
      </c>
      <c r="EB19">
        <v>999.9000000000002</v>
      </c>
      <c r="EC19">
        <v>0</v>
      </c>
      <c r="ED19">
        <v>0</v>
      </c>
      <c r="EE19">
        <v>10000</v>
      </c>
      <c r="EF19">
        <v>0</v>
      </c>
      <c r="EG19">
        <v>1754.159333333334</v>
      </c>
      <c r="EH19">
        <v>-54.051119999999997</v>
      </c>
      <c r="EI19">
        <v>429.02973333333341</v>
      </c>
      <c r="EJ19">
        <v>482.36733333333342</v>
      </c>
      <c r="EK19">
        <v>3.837923</v>
      </c>
      <c r="EL19">
        <v>473.9283666666667</v>
      </c>
      <c r="EM19">
        <v>17.495196666666661</v>
      </c>
      <c r="EN19">
        <v>2.101348666666667</v>
      </c>
      <c r="EO19">
        <v>1.723307666666666</v>
      </c>
      <c r="EP19">
        <v>18.22940333333333</v>
      </c>
      <c r="EQ19">
        <v>15.107986666666671</v>
      </c>
      <c r="ER19">
        <v>1600.0046666666669</v>
      </c>
      <c r="ES19">
        <v>0.99401100000000009</v>
      </c>
      <c r="ET19">
        <v>5.989440000000003E-3</v>
      </c>
      <c r="EU19">
        <v>0</v>
      </c>
      <c r="EV19">
        <v>812.91259999999988</v>
      </c>
      <c r="EW19">
        <v>5.0010700000000003</v>
      </c>
      <c r="EX19">
        <v>18224.953333333331</v>
      </c>
      <c r="EY19">
        <v>14578.623333333329</v>
      </c>
      <c r="EZ19">
        <v>44.125</v>
      </c>
      <c r="FA19">
        <v>46.728999999999978</v>
      </c>
      <c r="FB19">
        <v>45.212199999999982</v>
      </c>
      <c r="FC19">
        <v>46.120800000000003</v>
      </c>
      <c r="FD19">
        <v>45.25</v>
      </c>
      <c r="FE19">
        <v>1585.454666666667</v>
      </c>
      <c r="FF19">
        <v>9.5500000000000025</v>
      </c>
      <c r="FG19">
        <v>0</v>
      </c>
      <c r="FH19">
        <v>182.20000004768369</v>
      </c>
      <c r="FI19">
        <v>0</v>
      </c>
      <c r="FJ19">
        <v>813.05888235294117</v>
      </c>
      <c r="FK19">
        <v>2.881372525226034</v>
      </c>
      <c r="FL19">
        <v>22.083333633018881</v>
      </c>
      <c r="FM19">
        <v>18240.74117647059</v>
      </c>
      <c r="FN19">
        <v>10</v>
      </c>
      <c r="FO19">
        <v>1783877113.0999999</v>
      </c>
      <c r="FP19" t="s">
        <v>535</v>
      </c>
      <c r="FQ19">
        <v>1783877111.0999999</v>
      </c>
      <c r="FR19">
        <v>1783877113.0999999</v>
      </c>
      <c r="FS19">
        <v>31</v>
      </c>
      <c r="FT19">
        <v>4.7E-2</v>
      </c>
      <c r="FU19">
        <v>6.0000000000000001E-3</v>
      </c>
      <c r="FV19">
        <v>-6.2729999999999997</v>
      </c>
      <c r="FW19">
        <v>-0.67</v>
      </c>
      <c r="FX19">
        <v>474</v>
      </c>
      <c r="FY19">
        <v>18</v>
      </c>
      <c r="FZ19">
        <v>0.19</v>
      </c>
      <c r="GA19">
        <v>0.1</v>
      </c>
      <c r="GB19">
        <v>419.88016129032258</v>
      </c>
      <c r="GC19">
        <v>-0.23695161290423239</v>
      </c>
      <c r="GD19">
        <v>6.4799988437972744E-2</v>
      </c>
      <c r="GE19">
        <v>-1</v>
      </c>
      <c r="GF19">
        <v>812.77867647058815</v>
      </c>
      <c r="GG19">
        <v>2.9753857901660381</v>
      </c>
      <c r="GH19">
        <v>0.34787571484049412</v>
      </c>
      <c r="GI19">
        <v>1</v>
      </c>
      <c r="GJ19">
        <v>3.8431809756097559</v>
      </c>
      <c r="GK19">
        <v>-0.1105371428571419</v>
      </c>
      <c r="GL19">
        <v>1.134355297823998E-2</v>
      </c>
      <c r="GM19">
        <v>1</v>
      </c>
      <c r="GN19">
        <v>2</v>
      </c>
      <c r="GO19">
        <v>2</v>
      </c>
      <c r="GP19" t="s">
        <v>423</v>
      </c>
      <c r="GQ19">
        <v>3.1306400000000001</v>
      </c>
      <c r="GR19">
        <v>2.7295400000000001</v>
      </c>
      <c r="GS19">
        <v>9.1440999999999995E-2</v>
      </c>
      <c r="GT19">
        <v>9.9819400000000003E-2</v>
      </c>
      <c r="GU19">
        <v>0.10485700000000001</v>
      </c>
      <c r="GV19">
        <v>8.9569800000000005E-2</v>
      </c>
      <c r="GW19">
        <v>22691.599999999999</v>
      </c>
      <c r="GX19">
        <v>30141.200000000001</v>
      </c>
      <c r="GY19">
        <v>27106.7</v>
      </c>
      <c r="GZ19">
        <v>34453.199999999997</v>
      </c>
      <c r="HA19">
        <v>35561.699999999997</v>
      </c>
      <c r="HB19">
        <v>39750.9</v>
      </c>
      <c r="HC19">
        <v>40041.9</v>
      </c>
      <c r="HD19">
        <v>43737.3</v>
      </c>
      <c r="HE19">
        <v>1.9292</v>
      </c>
      <c r="HF19">
        <v>1.6628000000000001</v>
      </c>
      <c r="HG19">
        <v>-0.11876200000000001</v>
      </c>
      <c r="HH19">
        <v>0</v>
      </c>
      <c r="HI19">
        <v>27.5671</v>
      </c>
      <c r="HJ19">
        <v>999.9</v>
      </c>
      <c r="HK19">
        <v>43.3</v>
      </c>
      <c r="HL19">
        <v>46.7</v>
      </c>
      <c r="HM19">
        <v>46.230400000000003</v>
      </c>
      <c r="HN19">
        <v>61.455599999999997</v>
      </c>
      <c r="HO19">
        <v>6.4142599999999996</v>
      </c>
      <c r="HP19">
        <v>1</v>
      </c>
      <c r="HQ19">
        <v>0.82369899999999996</v>
      </c>
      <c r="HR19">
        <v>9.2810500000000005</v>
      </c>
      <c r="HS19">
        <v>19.9939</v>
      </c>
      <c r="HT19">
        <v>5.2100999999999997</v>
      </c>
      <c r="HU19">
        <v>11.914099999999999</v>
      </c>
      <c r="HV19">
        <v>4.984</v>
      </c>
      <c r="HW19">
        <v>3.2704</v>
      </c>
      <c r="HX19">
        <v>9999</v>
      </c>
      <c r="HY19">
        <v>9999</v>
      </c>
      <c r="HZ19">
        <v>9999</v>
      </c>
      <c r="IA19">
        <v>999.9</v>
      </c>
      <c r="IB19">
        <v>1.8676200000000001</v>
      </c>
      <c r="IC19">
        <v>1.86334</v>
      </c>
      <c r="ID19">
        <v>1.8627899999999999</v>
      </c>
      <c r="IE19">
        <v>1.8623400000000001</v>
      </c>
      <c r="IF19">
        <v>1.8623400000000001</v>
      </c>
      <c r="IG19">
        <v>1.8627899999999999</v>
      </c>
      <c r="IH19">
        <v>1.86374</v>
      </c>
      <c r="II19">
        <v>1.86172</v>
      </c>
      <c r="IJ19">
        <v>0</v>
      </c>
      <c r="IK19">
        <v>0</v>
      </c>
      <c r="IL19">
        <v>0</v>
      </c>
      <c r="IM19">
        <v>4.5</v>
      </c>
      <c r="IN19" t="s">
        <v>411</v>
      </c>
      <c r="IO19" t="s">
        <v>412</v>
      </c>
      <c r="IP19" t="s">
        <v>413</v>
      </c>
      <c r="IQ19" t="s">
        <v>414</v>
      </c>
      <c r="IR19" t="s">
        <v>414</v>
      </c>
      <c r="IS19" t="s">
        <v>413</v>
      </c>
      <c r="IT19">
        <v>0</v>
      </c>
      <c r="IU19">
        <v>100</v>
      </c>
      <c r="IV19">
        <v>100</v>
      </c>
      <c r="IW19">
        <v>-6.0730000000000004</v>
      </c>
      <c r="IX19">
        <v>-0.58199999999999996</v>
      </c>
      <c r="IY19">
        <v>-4.0850078494395312</v>
      </c>
      <c r="IZ19">
        <v>-5.6215304933332991E-3</v>
      </c>
      <c r="JA19">
        <v>2.3979931213773931E-6</v>
      </c>
      <c r="JB19">
        <v>-3.6297174575716598E-10</v>
      </c>
      <c r="JC19">
        <v>-0.91736572754745405</v>
      </c>
      <c r="JD19">
        <v>2.7492919904454862E-4</v>
      </c>
      <c r="JE19">
        <v>8.6739513355948885E-4</v>
      </c>
      <c r="JF19">
        <v>-8.2500691715147318E-6</v>
      </c>
      <c r="JG19">
        <v>17</v>
      </c>
      <c r="JH19">
        <v>1914</v>
      </c>
      <c r="JI19">
        <v>2</v>
      </c>
      <c r="JJ19">
        <v>37</v>
      </c>
      <c r="JK19">
        <v>1.7</v>
      </c>
      <c r="JL19">
        <v>1.7</v>
      </c>
      <c r="JM19">
        <v>1.2036100000000001</v>
      </c>
      <c r="JN19">
        <v>2.5854499999999998</v>
      </c>
      <c r="JO19">
        <v>1.50024</v>
      </c>
      <c r="JP19">
        <v>2.2619600000000002</v>
      </c>
      <c r="JQ19">
        <v>1.4477500000000001</v>
      </c>
      <c r="JR19">
        <v>2.4438499999999999</v>
      </c>
      <c r="JS19">
        <v>49.3264</v>
      </c>
      <c r="JT19">
        <v>23.947399999999998</v>
      </c>
      <c r="JU19">
        <v>18</v>
      </c>
      <c r="JV19">
        <v>541.31399999999996</v>
      </c>
      <c r="JW19">
        <v>382.75200000000001</v>
      </c>
      <c r="JX19">
        <v>19.724599999999999</v>
      </c>
      <c r="JY19">
        <v>36.986800000000002</v>
      </c>
      <c r="JZ19">
        <v>29.999300000000002</v>
      </c>
      <c r="KA19">
        <v>36.9236</v>
      </c>
      <c r="KB19">
        <v>36.9116</v>
      </c>
      <c r="KC19">
        <v>24.0747</v>
      </c>
      <c r="KD19">
        <v>58.213999999999999</v>
      </c>
      <c r="KE19">
        <v>0</v>
      </c>
      <c r="KF19">
        <v>18.740100000000002</v>
      </c>
      <c r="KG19">
        <v>474.07400000000001</v>
      </c>
      <c r="KH19">
        <v>17.4681</v>
      </c>
      <c r="KI19">
        <v>100.062</v>
      </c>
      <c r="KJ19">
        <v>98.380300000000005</v>
      </c>
    </row>
    <row r="20" spans="1:296" x14ac:dyDescent="0.3">
      <c r="A20">
        <v>4</v>
      </c>
      <c r="B20">
        <v>1783877396</v>
      </c>
      <c r="C20">
        <v>547.90000009536743</v>
      </c>
      <c r="D20" t="s">
        <v>536</v>
      </c>
      <c r="E20" t="s">
        <v>537</v>
      </c>
      <c r="F20">
        <v>15</v>
      </c>
      <c r="H20">
        <v>1783877388.25</v>
      </c>
      <c r="I20">
        <f t="shared" si="0"/>
        <v>3.0436472831745728E-3</v>
      </c>
      <c r="J20">
        <f t="shared" si="1"/>
        <v>3.0436472831745727</v>
      </c>
      <c r="K20">
        <f t="shared" si="2"/>
        <v>41.624566829890163</v>
      </c>
      <c r="L20">
        <f t="shared" si="3"/>
        <v>420.01993333333331</v>
      </c>
      <c r="M20">
        <f t="shared" si="4"/>
        <v>143.49879620139023</v>
      </c>
      <c r="N20">
        <f t="shared" si="5"/>
        <v>14.141389808253138</v>
      </c>
      <c r="O20">
        <f t="shared" si="6"/>
        <v>41.391745169536257</v>
      </c>
      <c r="P20">
        <f t="shared" si="7"/>
        <v>0.25609164939268375</v>
      </c>
      <c r="Q20">
        <f t="shared" si="8"/>
        <v>2.9027544674999937</v>
      </c>
      <c r="R20">
        <f t="shared" si="9"/>
        <v>0.24416929778334781</v>
      </c>
      <c r="S20">
        <f t="shared" si="10"/>
        <v>0.15363072564938438</v>
      </c>
      <c r="T20">
        <f t="shared" si="11"/>
        <v>224.00206496764986</v>
      </c>
      <c r="U20">
        <f t="shared" si="12"/>
        <v>25.57762038270905</v>
      </c>
      <c r="V20">
        <f t="shared" si="13"/>
        <v>25.462589999999999</v>
      </c>
      <c r="W20">
        <f t="shared" si="14"/>
        <v>3.2684344741241782</v>
      </c>
      <c r="X20">
        <f t="shared" si="15"/>
        <v>65.038337234010186</v>
      </c>
      <c r="Y20">
        <f t="shared" si="16"/>
        <v>2.0733070829033977</v>
      </c>
      <c r="Z20">
        <f t="shared" si="17"/>
        <v>3.1878230149758706</v>
      </c>
      <c r="AA20">
        <f t="shared" si="18"/>
        <v>1.1951273912207805</v>
      </c>
      <c r="AB20">
        <f t="shared" si="19"/>
        <v>-134.22484518799865</v>
      </c>
      <c r="AC20">
        <f t="shared" si="20"/>
        <v>-65.675542729159957</v>
      </c>
      <c r="AD20">
        <f t="shared" si="21"/>
        <v>-4.7979772348529659</v>
      </c>
      <c r="AE20">
        <f t="shared" si="22"/>
        <v>19.303699815638282</v>
      </c>
      <c r="AF20">
        <f t="shared" si="23"/>
        <v>41.624566829890163</v>
      </c>
      <c r="AG20">
        <f t="shared" si="24"/>
        <v>3.0436472831745727</v>
      </c>
      <c r="AH20">
        <f t="shared" si="25"/>
        <v>41.773442232130236</v>
      </c>
      <c r="AI20">
        <v>479.95258284809</v>
      </c>
      <c r="AJ20">
        <v>428.93689090909078</v>
      </c>
      <c r="AK20">
        <v>-4.363553495821057E-4</v>
      </c>
      <c r="AL20">
        <v>67.053099937101649</v>
      </c>
      <c r="AM20">
        <f t="shared" si="26"/>
        <v>3.0268551736722591</v>
      </c>
      <c r="AN20">
        <v>17.462850205151518</v>
      </c>
      <c r="AO20">
        <v>21.021041818181821</v>
      </c>
      <c r="AP20">
        <v>-3.8349298701308778E-4</v>
      </c>
      <c r="AQ20">
        <v>78.55</v>
      </c>
      <c r="AR20">
        <v>0</v>
      </c>
      <c r="AS20">
        <v>0</v>
      </c>
      <c r="AT20">
        <f t="shared" si="27"/>
        <v>1</v>
      </c>
      <c r="AU20">
        <f t="shared" si="28"/>
        <v>0</v>
      </c>
      <c r="AV20">
        <f t="shared" si="29"/>
        <v>52415.908977857551</v>
      </c>
      <c r="AW20" t="s">
        <v>525</v>
      </c>
      <c r="AX20">
        <v>5085.43</v>
      </c>
      <c r="AY20">
        <v>578.66176470588232</v>
      </c>
      <c r="AZ20">
        <v>2362.06</v>
      </c>
      <c r="BA20">
        <f t="shared" si="30"/>
        <v>0.7550181770548241</v>
      </c>
      <c r="BB20">
        <v>-2.144709974229277</v>
      </c>
      <c r="BC20" t="s">
        <v>538</v>
      </c>
      <c r="BD20">
        <v>5079.24</v>
      </c>
      <c r="BE20">
        <v>812.66370588235282</v>
      </c>
      <c r="BF20">
        <v>1076.6300000000001</v>
      </c>
      <c r="BG20">
        <f t="shared" si="31"/>
        <v>0.24517828234179551</v>
      </c>
      <c r="BH20">
        <v>0.5</v>
      </c>
      <c r="BI20">
        <f t="shared" si="32"/>
        <v>1176.2740597759841</v>
      </c>
      <c r="BJ20">
        <f t="shared" si="33"/>
        <v>41.624566829890163</v>
      </c>
      <c r="BK20">
        <f t="shared" si="34"/>
        <v>144.19842676954315</v>
      </c>
      <c r="BL20">
        <f t="shared" si="35"/>
        <v>3.7210101200782324E-2</v>
      </c>
      <c r="BM20">
        <f t="shared" si="36"/>
        <v>1.1939384932613801</v>
      </c>
      <c r="BN20">
        <f t="shared" si="37"/>
        <v>447.70970703573988</v>
      </c>
      <c r="BO20" t="s">
        <v>407</v>
      </c>
      <c r="BP20">
        <v>0</v>
      </c>
      <c r="BQ20">
        <f t="shared" si="38"/>
        <v>447.70970703573988</v>
      </c>
      <c r="BR20">
        <f t="shared" si="39"/>
        <v>0.58415638888407362</v>
      </c>
      <c r="BS20">
        <f t="shared" si="40"/>
        <v>0.41971343121003057</v>
      </c>
      <c r="BT20">
        <f t="shared" si="41"/>
        <v>0.67147063143265506</v>
      </c>
      <c r="BU20">
        <f t="shared" si="42"/>
        <v>0.53008661076893671</v>
      </c>
      <c r="BV20">
        <f t="shared" si="43"/>
        <v>0.72077563752215279</v>
      </c>
      <c r="BW20">
        <f t="shared" si="44"/>
        <v>0.23122698351833512</v>
      </c>
      <c r="BX20">
        <f t="shared" si="45"/>
        <v>0.76877301648166485</v>
      </c>
      <c r="DG20">
        <f t="shared" si="46"/>
        <v>1399.977333333333</v>
      </c>
      <c r="DH20">
        <f t="shared" si="47"/>
        <v>1176.2740597759841</v>
      </c>
      <c r="DI20">
        <f t="shared" si="48"/>
        <v>0.84020936037249017</v>
      </c>
      <c r="DJ20">
        <f t="shared" si="49"/>
        <v>0.16000406551890595</v>
      </c>
      <c r="DK20">
        <v>6</v>
      </c>
      <c r="DL20">
        <v>0.5</v>
      </c>
      <c r="DM20" t="s">
        <v>408</v>
      </c>
      <c r="DN20">
        <v>2</v>
      </c>
      <c r="DO20" t="b">
        <v>0</v>
      </c>
      <c r="DP20">
        <v>1783877388.25</v>
      </c>
      <c r="DQ20">
        <v>420.01993333333331</v>
      </c>
      <c r="DR20">
        <v>471.50240000000002</v>
      </c>
      <c r="DS20">
        <v>21.038743333333329</v>
      </c>
      <c r="DT20">
        <v>17.463283333333329</v>
      </c>
      <c r="DU20">
        <v>426.02543333333341</v>
      </c>
      <c r="DV20">
        <v>21.619050000000001</v>
      </c>
      <c r="DW20">
        <v>500.01053333333329</v>
      </c>
      <c r="DX20">
        <v>98.495173333333327</v>
      </c>
      <c r="DY20">
        <v>5.1923803333333338E-2</v>
      </c>
      <c r="DZ20">
        <v>25.042919999999999</v>
      </c>
      <c r="EA20">
        <v>25.462589999999999</v>
      </c>
      <c r="EB20">
        <v>999.9000000000002</v>
      </c>
      <c r="EC20">
        <v>0</v>
      </c>
      <c r="ED20">
        <v>0</v>
      </c>
      <c r="EE20">
        <v>9998.5</v>
      </c>
      <c r="EF20">
        <v>0</v>
      </c>
      <c r="EG20">
        <v>1805.7526666666661</v>
      </c>
      <c r="EH20">
        <v>-51.48254</v>
      </c>
      <c r="EI20">
        <v>429.04649999999998</v>
      </c>
      <c r="EJ20">
        <v>479.88283333333339</v>
      </c>
      <c r="EK20">
        <v>3.5754690000000009</v>
      </c>
      <c r="EL20">
        <v>471.50240000000002</v>
      </c>
      <c r="EM20">
        <v>17.463283333333329</v>
      </c>
      <c r="EN20">
        <v>2.0722149999999999</v>
      </c>
      <c r="EO20">
        <v>1.720048666666667</v>
      </c>
      <c r="EP20">
        <v>18.007189999999991</v>
      </c>
      <c r="EQ20">
        <v>15.07855</v>
      </c>
      <c r="ER20">
        <v>1399.977333333333</v>
      </c>
      <c r="ES20">
        <v>0.9929969333333335</v>
      </c>
      <c r="ET20">
        <v>7.0031093333333353E-3</v>
      </c>
      <c r="EU20">
        <v>0</v>
      </c>
      <c r="EV20">
        <v>812.54983333333337</v>
      </c>
      <c r="EW20">
        <v>5.0010700000000003</v>
      </c>
      <c r="EX20">
        <v>16682.43</v>
      </c>
      <c r="EY20">
        <v>12745.296666666671</v>
      </c>
      <c r="EZ20">
        <v>43.643599999999999</v>
      </c>
      <c r="FA20">
        <v>46.568299999999972</v>
      </c>
      <c r="FB20">
        <v>44.875</v>
      </c>
      <c r="FC20">
        <v>46.125</v>
      </c>
      <c r="FD20">
        <v>44.903933333333327</v>
      </c>
      <c r="FE20">
        <v>1385.2073333333331</v>
      </c>
      <c r="FF20">
        <v>9.77</v>
      </c>
      <c r="FG20">
        <v>0</v>
      </c>
      <c r="FH20">
        <v>182.39999985694891</v>
      </c>
      <c r="FI20">
        <v>0</v>
      </c>
      <c r="FJ20">
        <v>812.66370588235282</v>
      </c>
      <c r="FK20">
        <v>2.712254872483963</v>
      </c>
      <c r="FL20">
        <v>-354.3137240345622</v>
      </c>
      <c r="FM20">
        <v>16684.95882352941</v>
      </c>
      <c r="FN20">
        <v>10</v>
      </c>
      <c r="FO20">
        <v>1783877297.0999999</v>
      </c>
      <c r="FP20" t="s">
        <v>539</v>
      </c>
      <c r="FQ20">
        <v>1783877284.5999999</v>
      </c>
      <c r="FR20">
        <v>1783877297.0999999</v>
      </c>
      <c r="FS20">
        <v>32</v>
      </c>
      <c r="FT20">
        <v>6.7000000000000004E-2</v>
      </c>
      <c r="FU20">
        <v>8.9999999999999993E-3</v>
      </c>
      <c r="FV20">
        <v>-6.1989999999999998</v>
      </c>
      <c r="FW20">
        <v>-0.66700000000000004</v>
      </c>
      <c r="FX20">
        <v>473</v>
      </c>
      <c r="FY20">
        <v>17</v>
      </c>
      <c r="FZ20">
        <v>0.14000000000000001</v>
      </c>
      <c r="GA20">
        <v>0.09</v>
      </c>
      <c r="GB20">
        <v>420.02809677419361</v>
      </c>
      <c r="GC20">
        <v>-1.1623548387105771</v>
      </c>
      <c r="GD20">
        <v>0.1072180036755724</v>
      </c>
      <c r="GE20">
        <v>-1</v>
      </c>
      <c r="GF20">
        <v>812.51085294117638</v>
      </c>
      <c r="GG20">
        <v>0.63332314517240929</v>
      </c>
      <c r="GH20">
        <v>0.19248378577288719</v>
      </c>
      <c r="GI20">
        <v>1</v>
      </c>
      <c r="GJ20">
        <v>3.585081463414634</v>
      </c>
      <c r="GK20">
        <v>-0.17228885017421119</v>
      </c>
      <c r="GL20">
        <v>1.7302498841239699E-2</v>
      </c>
      <c r="GM20">
        <v>1</v>
      </c>
      <c r="GN20">
        <v>2</v>
      </c>
      <c r="GO20">
        <v>2</v>
      </c>
      <c r="GP20" t="s">
        <v>423</v>
      </c>
      <c r="GQ20">
        <v>3.1297299999999999</v>
      </c>
      <c r="GR20">
        <v>2.7284700000000002</v>
      </c>
      <c r="GS20">
        <v>9.1456499999999996E-2</v>
      </c>
      <c r="GT20">
        <v>9.9463599999999999E-2</v>
      </c>
      <c r="GU20">
        <v>0.103851</v>
      </c>
      <c r="GV20">
        <v>8.9498800000000003E-2</v>
      </c>
      <c r="GW20">
        <v>22693.1</v>
      </c>
      <c r="GX20">
        <v>30158.6</v>
      </c>
      <c r="GY20">
        <v>27108.7</v>
      </c>
      <c r="GZ20">
        <v>34459.1</v>
      </c>
      <c r="HA20">
        <v>35604.1</v>
      </c>
      <c r="HB20">
        <v>39759.9</v>
      </c>
      <c r="HC20">
        <v>40045.199999999997</v>
      </c>
      <c r="HD20">
        <v>43744</v>
      </c>
      <c r="HE20">
        <v>1.9301999999999999</v>
      </c>
      <c r="HF20">
        <v>1.6636</v>
      </c>
      <c r="HG20">
        <v>-0.124872</v>
      </c>
      <c r="HH20">
        <v>0</v>
      </c>
      <c r="HI20">
        <v>27.4955</v>
      </c>
      <c r="HJ20">
        <v>999.9</v>
      </c>
      <c r="HK20">
        <v>43.4</v>
      </c>
      <c r="HL20">
        <v>46.6</v>
      </c>
      <c r="HM20">
        <v>46.103200000000001</v>
      </c>
      <c r="HN20">
        <v>61.575699999999998</v>
      </c>
      <c r="HO20">
        <v>6.8229100000000003</v>
      </c>
      <c r="HP20">
        <v>1</v>
      </c>
      <c r="HQ20">
        <v>0.81817099999999998</v>
      </c>
      <c r="HR20">
        <v>9.2810500000000005</v>
      </c>
      <c r="HS20">
        <v>19.9955</v>
      </c>
      <c r="HT20">
        <v>5.2100999999999997</v>
      </c>
      <c r="HU20">
        <v>11.914099999999999</v>
      </c>
      <c r="HV20">
        <v>4.9832000000000001</v>
      </c>
      <c r="HW20">
        <v>3.2709999999999999</v>
      </c>
      <c r="HX20">
        <v>9999</v>
      </c>
      <c r="HY20">
        <v>9999</v>
      </c>
      <c r="HZ20">
        <v>9999</v>
      </c>
      <c r="IA20">
        <v>999.9</v>
      </c>
      <c r="IB20">
        <v>1.86755</v>
      </c>
      <c r="IC20">
        <v>1.8632500000000001</v>
      </c>
      <c r="ID20">
        <v>1.8627899999999999</v>
      </c>
      <c r="IE20">
        <v>1.8623700000000001</v>
      </c>
      <c r="IF20">
        <v>1.8623400000000001</v>
      </c>
      <c r="IG20">
        <v>1.8627899999999999</v>
      </c>
      <c r="IH20">
        <v>1.86371</v>
      </c>
      <c r="II20">
        <v>1.86172</v>
      </c>
      <c r="IJ20">
        <v>0</v>
      </c>
      <c r="IK20">
        <v>0</v>
      </c>
      <c r="IL20">
        <v>0</v>
      </c>
      <c r="IM20">
        <v>4.5</v>
      </c>
      <c r="IN20" t="s">
        <v>411</v>
      </c>
      <c r="IO20" t="s">
        <v>412</v>
      </c>
      <c r="IP20" t="s">
        <v>413</v>
      </c>
      <c r="IQ20" t="s">
        <v>414</v>
      </c>
      <c r="IR20" t="s">
        <v>414</v>
      </c>
      <c r="IS20" t="s">
        <v>413</v>
      </c>
      <c r="IT20">
        <v>0</v>
      </c>
      <c r="IU20">
        <v>100</v>
      </c>
      <c r="IV20">
        <v>100</v>
      </c>
      <c r="IW20">
        <v>-6.0060000000000002</v>
      </c>
      <c r="IX20">
        <v>-0.58069999999999999</v>
      </c>
      <c r="IY20">
        <v>-4.0177359300869337</v>
      </c>
      <c r="IZ20">
        <v>-5.6215304933332991E-3</v>
      </c>
      <c r="JA20">
        <v>2.3979931213773931E-6</v>
      </c>
      <c r="JB20">
        <v>-3.6297174575716598E-10</v>
      </c>
      <c r="JC20">
        <v>-0.90829229836606462</v>
      </c>
      <c r="JD20">
        <v>2.7492919904454862E-4</v>
      </c>
      <c r="JE20">
        <v>8.6739513355948885E-4</v>
      </c>
      <c r="JF20">
        <v>-8.2500691715147318E-6</v>
      </c>
      <c r="JG20">
        <v>17</v>
      </c>
      <c r="JH20">
        <v>1914</v>
      </c>
      <c r="JI20">
        <v>2</v>
      </c>
      <c r="JJ20">
        <v>37</v>
      </c>
      <c r="JK20">
        <v>1.9</v>
      </c>
      <c r="JL20">
        <v>1.6</v>
      </c>
      <c r="JM20">
        <v>1.1987300000000001</v>
      </c>
      <c r="JN20">
        <v>2.5854499999999998</v>
      </c>
      <c r="JO20">
        <v>1.50024</v>
      </c>
      <c r="JP20">
        <v>2.2619600000000002</v>
      </c>
      <c r="JQ20">
        <v>1.4477500000000001</v>
      </c>
      <c r="JR20">
        <v>2.49268</v>
      </c>
      <c r="JS20">
        <v>49.263500000000001</v>
      </c>
      <c r="JT20">
        <v>23.947399999999998</v>
      </c>
      <c r="JU20">
        <v>18</v>
      </c>
      <c r="JV20">
        <v>541.40200000000004</v>
      </c>
      <c r="JW20">
        <v>382.83199999999999</v>
      </c>
      <c r="JX20">
        <v>19.6708</v>
      </c>
      <c r="JY20">
        <v>36.913899999999998</v>
      </c>
      <c r="JZ20">
        <v>29.9998</v>
      </c>
      <c r="KA20">
        <v>36.848700000000001</v>
      </c>
      <c r="KB20">
        <v>36.844099999999997</v>
      </c>
      <c r="KC20">
        <v>23.970600000000001</v>
      </c>
      <c r="KD20">
        <v>58.0809</v>
      </c>
      <c r="KE20">
        <v>0</v>
      </c>
      <c r="KF20">
        <v>18.524699999999999</v>
      </c>
      <c r="KG20">
        <v>471.63799999999998</v>
      </c>
      <c r="KH20">
        <v>17.529900000000001</v>
      </c>
      <c r="KI20">
        <v>100.07</v>
      </c>
      <c r="KJ20">
        <v>98.396100000000004</v>
      </c>
    </row>
    <row r="21" spans="1:296" x14ac:dyDescent="0.3">
      <c r="A21">
        <v>5</v>
      </c>
      <c r="B21">
        <v>1783877578.5</v>
      </c>
      <c r="C21">
        <v>730.40000009536743</v>
      </c>
      <c r="D21" t="s">
        <v>540</v>
      </c>
      <c r="E21" t="s">
        <v>541</v>
      </c>
      <c r="F21">
        <v>15</v>
      </c>
      <c r="H21">
        <v>1783877570.75</v>
      </c>
      <c r="I21">
        <f t="shared" si="0"/>
        <v>2.0246803514038241E-3</v>
      </c>
      <c r="J21">
        <f t="shared" si="1"/>
        <v>2.0246803514038239</v>
      </c>
      <c r="K21">
        <f t="shared" si="2"/>
        <v>33.176849480914328</v>
      </c>
      <c r="L21">
        <f t="shared" si="3"/>
        <v>420.40433333333328</v>
      </c>
      <c r="M21">
        <f t="shared" si="4"/>
        <v>86.996049886678833</v>
      </c>
      <c r="N21">
        <f t="shared" si="5"/>
        <v>8.5727429043849259</v>
      </c>
      <c r="O21">
        <f t="shared" si="6"/>
        <v>41.427378257410624</v>
      </c>
      <c r="P21">
        <f t="shared" si="7"/>
        <v>0.16607254820842116</v>
      </c>
      <c r="Q21">
        <f t="shared" si="8"/>
        <v>2.9003184636516779</v>
      </c>
      <c r="R21">
        <f t="shared" si="9"/>
        <v>0.1609647778022468</v>
      </c>
      <c r="S21">
        <f t="shared" si="10"/>
        <v>0.10104881296209606</v>
      </c>
      <c r="T21">
        <f t="shared" si="11"/>
        <v>160.17866246140144</v>
      </c>
      <c r="U21">
        <f t="shared" si="12"/>
        <v>25.203925107247667</v>
      </c>
      <c r="V21">
        <f t="shared" si="13"/>
        <v>25.068633333333331</v>
      </c>
      <c r="W21">
        <f t="shared" si="14"/>
        <v>3.1927116609874364</v>
      </c>
      <c r="X21">
        <f t="shared" si="15"/>
        <v>63.272592637675665</v>
      </c>
      <c r="Y21">
        <f t="shared" si="16"/>
        <v>1.9857821192143372</v>
      </c>
      <c r="Z21">
        <f t="shared" si="17"/>
        <v>3.138455429803114</v>
      </c>
      <c r="AA21">
        <f t="shared" si="18"/>
        <v>1.2069295417730992</v>
      </c>
      <c r="AB21">
        <f t="shared" si="19"/>
        <v>-89.288403496908643</v>
      </c>
      <c r="AC21">
        <f t="shared" si="20"/>
        <v>-44.926963349767313</v>
      </c>
      <c r="AD21">
        <f t="shared" si="21"/>
        <v>-3.2741110048526942</v>
      </c>
      <c r="AE21">
        <f t="shared" si="22"/>
        <v>22.68918460987279</v>
      </c>
      <c r="AF21">
        <f t="shared" si="23"/>
        <v>33.176849480914328</v>
      </c>
      <c r="AG21">
        <f t="shared" si="24"/>
        <v>2.0246803514038239</v>
      </c>
      <c r="AH21">
        <f t="shared" si="25"/>
        <v>33.66581371078923</v>
      </c>
      <c r="AI21">
        <v>469.47362585372758</v>
      </c>
      <c r="AJ21">
        <v>428.78130909090919</v>
      </c>
      <c r="AK21">
        <v>-8.2843066905064988E-2</v>
      </c>
      <c r="AL21">
        <v>67.053099937101649</v>
      </c>
      <c r="AM21">
        <f t="shared" si="26"/>
        <v>1.8453132270474875</v>
      </c>
      <c r="AN21">
        <v>17.834752186709959</v>
      </c>
      <c r="AO21">
        <v>20.12958121212122</v>
      </c>
      <c r="AP21">
        <v>-1.9977506493509462E-2</v>
      </c>
      <c r="AQ21">
        <v>78.55</v>
      </c>
      <c r="AR21">
        <v>0</v>
      </c>
      <c r="AS21">
        <v>0</v>
      </c>
      <c r="AT21">
        <f t="shared" si="27"/>
        <v>1</v>
      </c>
      <c r="AU21">
        <f t="shared" si="28"/>
        <v>0</v>
      </c>
      <c r="AV21">
        <f t="shared" si="29"/>
        <v>52391.654094308789</v>
      </c>
      <c r="AW21" t="s">
        <v>525</v>
      </c>
      <c r="AX21">
        <v>5085.43</v>
      </c>
      <c r="AY21">
        <v>578.66176470588232</v>
      </c>
      <c r="AZ21">
        <v>2362.06</v>
      </c>
      <c r="BA21">
        <f t="shared" si="30"/>
        <v>0.7550181770548241</v>
      </c>
      <c r="BB21">
        <v>-2.144709974229277</v>
      </c>
      <c r="BC21" t="s">
        <v>542</v>
      </c>
      <c r="BD21">
        <v>5083.75</v>
      </c>
      <c r="BE21">
        <v>794.809705882353</v>
      </c>
      <c r="BF21">
        <v>1162.19</v>
      </c>
      <c r="BG21">
        <f t="shared" si="31"/>
        <v>0.31611035555085398</v>
      </c>
      <c r="BH21">
        <v>0.5</v>
      </c>
      <c r="BI21">
        <f t="shared" si="32"/>
        <v>840.30921570020791</v>
      </c>
      <c r="BJ21">
        <f t="shared" si="33"/>
        <v>33.176849480914328</v>
      </c>
      <c r="BK21">
        <f t="shared" si="34"/>
        <v>132.815222473826</v>
      </c>
      <c r="BL21">
        <f t="shared" si="35"/>
        <v>4.2034002240129029E-2</v>
      </c>
      <c r="BM21">
        <f t="shared" si="36"/>
        <v>1.0324215489721988</v>
      </c>
      <c r="BN21">
        <f t="shared" si="37"/>
        <v>461.84886531366584</v>
      </c>
      <c r="BO21" t="s">
        <v>407</v>
      </c>
      <c r="BP21">
        <v>0</v>
      </c>
      <c r="BQ21">
        <f t="shared" si="38"/>
        <v>461.84886531366584</v>
      </c>
      <c r="BR21">
        <f t="shared" si="39"/>
        <v>0.60260468140866319</v>
      </c>
      <c r="BS21">
        <f t="shared" si="40"/>
        <v>0.52457334850420823</v>
      </c>
      <c r="BT21">
        <f t="shared" si="41"/>
        <v>0.63144035844104296</v>
      </c>
      <c r="BU21">
        <f t="shared" si="42"/>
        <v>0.62958443464603753</v>
      </c>
      <c r="BV21">
        <f t="shared" si="43"/>
        <v>0.67279981344274331</v>
      </c>
      <c r="BW21">
        <f t="shared" si="44"/>
        <v>0.30481963668460771</v>
      </c>
      <c r="BX21">
        <f t="shared" si="45"/>
        <v>0.69518036331539235</v>
      </c>
      <c r="DG21">
        <f t="shared" si="46"/>
        <v>1000.0124</v>
      </c>
      <c r="DH21">
        <f t="shared" si="47"/>
        <v>840.30921570020791</v>
      </c>
      <c r="DI21">
        <f t="shared" si="48"/>
        <v>0.84029879599513757</v>
      </c>
      <c r="DJ21">
        <f t="shared" si="49"/>
        <v>0.16017667627061569</v>
      </c>
      <c r="DK21">
        <v>6</v>
      </c>
      <c r="DL21">
        <v>0.5</v>
      </c>
      <c r="DM21" t="s">
        <v>408</v>
      </c>
      <c r="DN21">
        <v>2</v>
      </c>
      <c r="DO21" t="b">
        <v>0</v>
      </c>
      <c r="DP21">
        <v>1783877570.75</v>
      </c>
      <c r="DQ21">
        <v>420.40433333333328</v>
      </c>
      <c r="DR21">
        <v>461.24216666666672</v>
      </c>
      <c r="DS21">
        <v>20.151683333333331</v>
      </c>
      <c r="DT21">
        <v>17.77078333333333</v>
      </c>
      <c r="DU21">
        <v>426.41120000000001</v>
      </c>
      <c r="DV21">
        <v>20.81868333333334</v>
      </c>
      <c r="DW21">
        <v>499.94866666666672</v>
      </c>
      <c r="DX21">
        <v>98.49075666666667</v>
      </c>
      <c r="DY21">
        <v>5.0992246666666657E-2</v>
      </c>
      <c r="DZ21">
        <v>24.781306666666659</v>
      </c>
      <c r="EA21">
        <v>25.068633333333331</v>
      </c>
      <c r="EB21">
        <v>999.9000000000002</v>
      </c>
      <c r="EC21">
        <v>0</v>
      </c>
      <c r="ED21">
        <v>0</v>
      </c>
      <c r="EE21">
        <v>9985</v>
      </c>
      <c r="EF21">
        <v>0</v>
      </c>
      <c r="EG21">
        <v>1632.491666666667</v>
      </c>
      <c r="EH21">
        <v>-40.837789999999998</v>
      </c>
      <c r="EI21">
        <v>429.07929999999999</v>
      </c>
      <c r="EJ21">
        <v>469.58699999999999</v>
      </c>
      <c r="EK21">
        <v>2.446839333333334</v>
      </c>
      <c r="EL21">
        <v>461.24216666666672</v>
      </c>
      <c r="EM21">
        <v>17.77078333333333</v>
      </c>
      <c r="EN21">
        <v>1.991248333333334</v>
      </c>
      <c r="EO21">
        <v>1.750257</v>
      </c>
      <c r="EP21">
        <v>17.374890000000001</v>
      </c>
      <c r="EQ21">
        <v>15.349320000000001</v>
      </c>
      <c r="ER21">
        <v>1000.0124</v>
      </c>
      <c r="ES21">
        <v>0.98999229999999983</v>
      </c>
      <c r="ET21">
        <v>1.0007403333333329E-2</v>
      </c>
      <c r="EU21">
        <v>0</v>
      </c>
      <c r="EV21">
        <v>795.15010000000007</v>
      </c>
      <c r="EW21">
        <v>5.0010700000000003</v>
      </c>
      <c r="EX21">
        <v>12562.66</v>
      </c>
      <c r="EY21">
        <v>9080.3616666666676</v>
      </c>
      <c r="EZ21">
        <v>42.2624</v>
      </c>
      <c r="FA21">
        <v>45.324599999999982</v>
      </c>
      <c r="FB21">
        <v>43.862266666666649</v>
      </c>
      <c r="FC21">
        <v>44.887333333333331</v>
      </c>
      <c r="FD21">
        <v>43.67466666666666</v>
      </c>
      <c r="FE21">
        <v>985.05233333333319</v>
      </c>
      <c r="FF21">
        <v>9.9599999999999991</v>
      </c>
      <c r="FG21">
        <v>0</v>
      </c>
      <c r="FH21">
        <v>181.5999999046326</v>
      </c>
      <c r="FI21">
        <v>0</v>
      </c>
      <c r="FJ21">
        <v>794.809705882353</v>
      </c>
      <c r="FK21">
        <v>-6.185294159080601</v>
      </c>
      <c r="FL21">
        <v>-946.0294124684192</v>
      </c>
      <c r="FM21">
        <v>12782.670588235291</v>
      </c>
      <c r="FN21">
        <v>10</v>
      </c>
      <c r="FO21">
        <v>1783877598.5</v>
      </c>
      <c r="FP21" t="s">
        <v>543</v>
      </c>
      <c r="FQ21">
        <v>1783877284.5999999</v>
      </c>
      <c r="FR21">
        <v>1783877598.5</v>
      </c>
      <c r="FS21">
        <v>33</v>
      </c>
      <c r="FT21">
        <v>6.7000000000000004E-2</v>
      </c>
      <c r="FU21">
        <v>-1.9E-2</v>
      </c>
      <c r="FV21">
        <v>-6.1989999999999998</v>
      </c>
      <c r="FW21">
        <v>-0.66700000000000004</v>
      </c>
      <c r="FX21">
        <v>473</v>
      </c>
      <c r="FY21">
        <v>18</v>
      </c>
      <c r="FZ21">
        <v>0.14000000000000001</v>
      </c>
      <c r="GA21">
        <v>0.13</v>
      </c>
      <c r="GB21">
        <v>420.4188333333334</v>
      </c>
      <c r="GC21">
        <v>-0.88997552836516958</v>
      </c>
      <c r="GD21">
        <v>8.8744232989469221E-2</v>
      </c>
      <c r="GE21">
        <v>-1</v>
      </c>
      <c r="GF21">
        <v>795.63788235294112</v>
      </c>
      <c r="GG21">
        <v>-8.976898403361167</v>
      </c>
      <c r="GH21">
        <v>0.90976227550052313</v>
      </c>
      <c r="GI21">
        <v>1</v>
      </c>
      <c r="GJ21">
        <v>2.5278247500000002</v>
      </c>
      <c r="GK21">
        <v>-1.4079844277673561</v>
      </c>
      <c r="GL21">
        <v>0.1454430400704603</v>
      </c>
      <c r="GM21">
        <v>0</v>
      </c>
      <c r="GN21">
        <v>1</v>
      </c>
      <c r="GO21">
        <v>2</v>
      </c>
      <c r="GP21" t="s">
        <v>410</v>
      </c>
      <c r="GQ21">
        <v>3.13001</v>
      </c>
      <c r="GR21">
        <v>2.7281499999999999</v>
      </c>
      <c r="GS21">
        <v>9.1550900000000004E-2</v>
      </c>
      <c r="GT21">
        <v>9.7820900000000002E-2</v>
      </c>
      <c r="GU21">
        <v>0.10087400000000001</v>
      </c>
      <c r="GV21">
        <v>9.1834200000000005E-2</v>
      </c>
      <c r="GW21">
        <v>22703.1</v>
      </c>
      <c r="GX21">
        <v>30229.5</v>
      </c>
      <c r="GY21">
        <v>27121.599999999999</v>
      </c>
      <c r="GZ21">
        <v>34474.199999999997</v>
      </c>
      <c r="HA21">
        <v>35736.800000000003</v>
      </c>
      <c r="HB21">
        <v>39672.300000000003</v>
      </c>
      <c r="HC21">
        <v>40063.4</v>
      </c>
      <c r="HD21">
        <v>43760.2</v>
      </c>
      <c r="HE21">
        <v>1.9321999999999999</v>
      </c>
      <c r="HF21">
        <v>1.6721999999999999</v>
      </c>
      <c r="HG21">
        <v>-8.9108900000000005E-2</v>
      </c>
      <c r="HH21">
        <v>0</v>
      </c>
      <c r="HI21">
        <v>26.552900000000001</v>
      </c>
      <c r="HJ21">
        <v>999.9</v>
      </c>
      <c r="HK21">
        <v>43.4</v>
      </c>
      <c r="HL21">
        <v>46.5</v>
      </c>
      <c r="HM21">
        <v>45.869599999999998</v>
      </c>
      <c r="HN21">
        <v>61.495699999999999</v>
      </c>
      <c r="HO21">
        <v>6.3541600000000003</v>
      </c>
      <c r="HP21">
        <v>1</v>
      </c>
      <c r="HQ21">
        <v>0.78481699999999999</v>
      </c>
      <c r="HR21">
        <v>9.2810500000000005</v>
      </c>
      <c r="HS21">
        <v>19.988099999999999</v>
      </c>
      <c r="HT21">
        <v>5.2112999999999996</v>
      </c>
      <c r="HU21">
        <v>11.914099999999999</v>
      </c>
      <c r="HV21">
        <v>4.9836</v>
      </c>
      <c r="HW21">
        <v>3.2709999999999999</v>
      </c>
      <c r="HX21">
        <v>9999</v>
      </c>
      <c r="HY21">
        <v>9999</v>
      </c>
      <c r="HZ21">
        <v>9999</v>
      </c>
      <c r="IA21">
        <v>999.9</v>
      </c>
      <c r="IB21">
        <v>1.8676200000000001</v>
      </c>
      <c r="IC21">
        <v>1.86334</v>
      </c>
      <c r="ID21">
        <v>1.8628199999999999</v>
      </c>
      <c r="IE21">
        <v>1.8623400000000001</v>
      </c>
      <c r="IF21">
        <v>1.8623400000000001</v>
      </c>
      <c r="IG21">
        <v>1.8627899999999999</v>
      </c>
      <c r="IH21">
        <v>1.86374</v>
      </c>
      <c r="II21">
        <v>1.86172</v>
      </c>
      <c r="IJ21">
        <v>0</v>
      </c>
      <c r="IK21">
        <v>0</v>
      </c>
      <c r="IL21">
        <v>0</v>
      </c>
      <c r="IM21">
        <v>4.5</v>
      </c>
      <c r="IN21" t="s">
        <v>411</v>
      </c>
      <c r="IO21" t="s">
        <v>412</v>
      </c>
      <c r="IP21" t="s">
        <v>413</v>
      </c>
      <c r="IQ21" t="s">
        <v>414</v>
      </c>
      <c r="IR21" t="s">
        <v>414</v>
      </c>
      <c r="IS21" t="s">
        <v>413</v>
      </c>
      <c r="IT21">
        <v>0</v>
      </c>
      <c r="IU21">
        <v>100</v>
      </c>
      <c r="IV21">
        <v>100</v>
      </c>
      <c r="IW21">
        <v>-6.0069999999999997</v>
      </c>
      <c r="IX21">
        <v>-0.66700000000000004</v>
      </c>
      <c r="IY21">
        <v>-4.0177359300869337</v>
      </c>
      <c r="IZ21">
        <v>-5.6215304933332991E-3</v>
      </c>
      <c r="JA21">
        <v>2.3979931213773931E-6</v>
      </c>
      <c r="JB21">
        <v>-3.6297174575716598E-10</v>
      </c>
      <c r="JC21">
        <v>-0.90829229836606462</v>
      </c>
      <c r="JD21">
        <v>2.7492919904454862E-4</v>
      </c>
      <c r="JE21">
        <v>8.6739513355948885E-4</v>
      </c>
      <c r="JF21">
        <v>-8.2500691715147318E-6</v>
      </c>
      <c r="JG21">
        <v>17</v>
      </c>
      <c r="JH21">
        <v>1914</v>
      </c>
      <c r="JI21">
        <v>2</v>
      </c>
      <c r="JJ21">
        <v>37</v>
      </c>
      <c r="JK21">
        <v>4.9000000000000004</v>
      </c>
      <c r="JL21">
        <v>4.7</v>
      </c>
      <c r="JM21">
        <v>1.17676</v>
      </c>
      <c r="JN21">
        <v>2.5988799999999999</v>
      </c>
      <c r="JO21">
        <v>1.50024</v>
      </c>
      <c r="JP21">
        <v>2.2619600000000002</v>
      </c>
      <c r="JQ21">
        <v>1.4477500000000001</v>
      </c>
      <c r="JR21">
        <v>2.3290999999999999</v>
      </c>
      <c r="JS21">
        <v>49.137900000000002</v>
      </c>
      <c r="JT21">
        <v>23.947399999999998</v>
      </c>
      <c r="JU21">
        <v>18</v>
      </c>
      <c r="JV21">
        <v>540.41399999999999</v>
      </c>
      <c r="JW21">
        <v>386.07900000000001</v>
      </c>
      <c r="JX21">
        <v>20.4573</v>
      </c>
      <c r="JY21">
        <v>36.494799999999998</v>
      </c>
      <c r="JZ21">
        <v>30.004200000000001</v>
      </c>
      <c r="KA21">
        <v>36.551499999999997</v>
      </c>
      <c r="KB21">
        <v>36.542499999999997</v>
      </c>
      <c r="KC21">
        <v>23.536200000000001</v>
      </c>
      <c r="KD21">
        <v>56.673900000000003</v>
      </c>
      <c r="KE21">
        <v>0</v>
      </c>
      <c r="KF21">
        <v>20.333600000000001</v>
      </c>
      <c r="KG21">
        <v>461.29199999999997</v>
      </c>
      <c r="KH21">
        <v>18.267700000000001</v>
      </c>
      <c r="KI21">
        <v>100.116</v>
      </c>
      <c r="KJ21">
        <v>98.435500000000005</v>
      </c>
    </row>
    <row r="22" spans="1:296" x14ac:dyDescent="0.3">
      <c r="A22">
        <v>6</v>
      </c>
      <c r="B22">
        <v>1783877779.5</v>
      </c>
      <c r="C22">
        <v>931.40000009536743</v>
      </c>
      <c r="D22" t="s">
        <v>544</v>
      </c>
      <c r="E22" t="s">
        <v>545</v>
      </c>
      <c r="F22">
        <v>15</v>
      </c>
      <c r="H22">
        <v>1783877771.75</v>
      </c>
      <c r="I22">
        <f t="shared" si="0"/>
        <v>2.4486941762989442E-3</v>
      </c>
      <c r="J22">
        <f t="shared" si="1"/>
        <v>2.448694176298944</v>
      </c>
      <c r="K22">
        <f t="shared" si="2"/>
        <v>35.305501405265595</v>
      </c>
      <c r="L22">
        <f t="shared" si="3"/>
        <v>419.97953333333328</v>
      </c>
      <c r="M22">
        <f t="shared" si="4"/>
        <v>147.33192128349981</v>
      </c>
      <c r="N22">
        <f t="shared" si="5"/>
        <v>14.518176378666693</v>
      </c>
      <c r="O22">
        <f t="shared" si="6"/>
        <v>41.385036502923285</v>
      </c>
      <c r="P22">
        <f t="shared" si="7"/>
        <v>0.21881688302133484</v>
      </c>
      <c r="Q22">
        <f t="shared" si="8"/>
        <v>2.9027047607102539</v>
      </c>
      <c r="R22">
        <f t="shared" si="9"/>
        <v>0.21004859001115436</v>
      </c>
      <c r="S22">
        <f t="shared" si="10"/>
        <v>0.13203888808026532</v>
      </c>
      <c r="T22">
        <f t="shared" si="11"/>
        <v>128.27867597226083</v>
      </c>
      <c r="U22">
        <f t="shared" si="12"/>
        <v>24.763263550543684</v>
      </c>
      <c r="V22">
        <f t="shared" si="13"/>
        <v>24.994796666666669</v>
      </c>
      <c r="W22">
        <f t="shared" si="14"/>
        <v>3.1786913304344178</v>
      </c>
      <c r="X22">
        <f t="shared" si="15"/>
        <v>66.199530241338294</v>
      </c>
      <c r="Y22">
        <f t="shared" si="16"/>
        <v>2.060467915786127</v>
      </c>
      <c r="Z22">
        <f t="shared" si="17"/>
        <v>3.1125113853141335</v>
      </c>
      <c r="AA22">
        <f t="shared" si="18"/>
        <v>1.1182234146482908</v>
      </c>
      <c r="AB22">
        <f t="shared" si="19"/>
        <v>-107.98741317478344</v>
      </c>
      <c r="AC22">
        <f t="shared" si="20"/>
        <v>-55.150423968919156</v>
      </c>
      <c r="AD22">
        <f t="shared" si="21"/>
        <v>-4.0115549449434988</v>
      </c>
      <c r="AE22">
        <f t="shared" si="22"/>
        <v>-38.870716116385267</v>
      </c>
      <c r="AF22">
        <f t="shared" si="23"/>
        <v>35.305501405265595</v>
      </c>
      <c r="AG22">
        <f t="shared" si="24"/>
        <v>2.448694176298944</v>
      </c>
      <c r="AH22">
        <f t="shared" si="25"/>
        <v>34.940405729481654</v>
      </c>
      <c r="AI22">
        <v>471.93836776601808</v>
      </c>
      <c r="AJ22">
        <v>429.04021212121211</v>
      </c>
      <c r="AK22">
        <v>3.7196734504811528E-2</v>
      </c>
      <c r="AL22">
        <v>67.063091876327704</v>
      </c>
      <c r="AM22">
        <f t="shared" si="26"/>
        <v>2.9421078375350538</v>
      </c>
      <c r="AN22">
        <v>17.724877376493509</v>
      </c>
      <c r="AO22">
        <v>21.069591515151529</v>
      </c>
      <c r="AP22">
        <v>1.7845212121216741E-2</v>
      </c>
      <c r="AQ22">
        <v>78.55</v>
      </c>
      <c r="AR22">
        <v>0</v>
      </c>
      <c r="AS22">
        <v>0</v>
      </c>
      <c r="AT22">
        <f t="shared" si="27"/>
        <v>1</v>
      </c>
      <c r="AU22">
        <f t="shared" si="28"/>
        <v>0</v>
      </c>
      <c r="AV22">
        <f t="shared" si="29"/>
        <v>52484.915703164239</v>
      </c>
      <c r="AW22" t="s">
        <v>525</v>
      </c>
      <c r="AX22">
        <v>5085.43</v>
      </c>
      <c r="AY22">
        <v>578.66176470588232</v>
      </c>
      <c r="AZ22">
        <v>2362.06</v>
      </c>
      <c r="BA22">
        <f t="shared" si="30"/>
        <v>0.7550181770548241</v>
      </c>
      <c r="BB22">
        <v>-2.144709974229277</v>
      </c>
      <c r="BC22" t="s">
        <v>546</v>
      </c>
      <c r="BD22">
        <v>5090</v>
      </c>
      <c r="BE22">
        <v>826.53905882352944</v>
      </c>
      <c r="BF22">
        <v>1377.53</v>
      </c>
      <c r="BG22">
        <f t="shared" si="31"/>
        <v>0.39998471262075641</v>
      </c>
      <c r="BH22">
        <v>0.5</v>
      </c>
      <c r="BI22">
        <f t="shared" si="32"/>
        <v>672.31564740531644</v>
      </c>
      <c r="BJ22">
        <f t="shared" si="33"/>
        <v>35.305501405265595</v>
      </c>
      <c r="BK22">
        <f t="shared" si="34"/>
        <v>134.45799050892666</v>
      </c>
      <c r="BL22">
        <f t="shared" si="35"/>
        <v>5.5703316625200311E-2</v>
      </c>
      <c r="BM22">
        <f t="shared" si="36"/>
        <v>0.71470675774756265</v>
      </c>
      <c r="BN22">
        <f t="shared" si="37"/>
        <v>492.44030989665396</v>
      </c>
      <c r="BO22" t="s">
        <v>407</v>
      </c>
      <c r="BP22">
        <v>0</v>
      </c>
      <c r="BQ22">
        <f t="shared" si="38"/>
        <v>492.44030989665396</v>
      </c>
      <c r="BR22">
        <f t="shared" si="39"/>
        <v>0.64251935718521269</v>
      </c>
      <c r="BS22">
        <f t="shared" si="40"/>
        <v>0.62252554440232488</v>
      </c>
      <c r="BT22">
        <f t="shared" si="41"/>
        <v>0.52659372663409354</v>
      </c>
      <c r="BU22">
        <f t="shared" si="42"/>
        <v>0.6897144195170225</v>
      </c>
      <c r="BV22">
        <f t="shared" si="43"/>
        <v>0.55205280599463613</v>
      </c>
      <c r="BW22">
        <f t="shared" si="44"/>
        <v>0.37089193635979828</v>
      </c>
      <c r="BX22">
        <f t="shared" si="45"/>
        <v>0.62910806364020178</v>
      </c>
      <c r="DG22">
        <f t="shared" si="46"/>
        <v>800.00720000000001</v>
      </c>
      <c r="DH22">
        <f t="shared" si="47"/>
        <v>672.31564740531644</v>
      </c>
      <c r="DI22">
        <f t="shared" si="48"/>
        <v>0.84038699577368359</v>
      </c>
      <c r="DJ22">
        <f t="shared" si="49"/>
        <v>0.16034690184320943</v>
      </c>
      <c r="DK22">
        <v>6</v>
      </c>
      <c r="DL22">
        <v>0.5</v>
      </c>
      <c r="DM22" t="s">
        <v>408</v>
      </c>
      <c r="DN22">
        <v>2</v>
      </c>
      <c r="DO22" t="b">
        <v>0</v>
      </c>
      <c r="DP22">
        <v>1783877771.75</v>
      </c>
      <c r="DQ22">
        <v>419.97953333333328</v>
      </c>
      <c r="DR22">
        <v>463.58146666666659</v>
      </c>
      <c r="DS22">
        <v>20.90983666666666</v>
      </c>
      <c r="DT22">
        <v>18.032763333333339</v>
      </c>
      <c r="DU22">
        <v>425.89043333333331</v>
      </c>
      <c r="DV22">
        <v>21.50492666666667</v>
      </c>
      <c r="DW22">
        <v>499.98566666666659</v>
      </c>
      <c r="DX22">
        <v>98.490726666666674</v>
      </c>
      <c r="DY22">
        <v>4.9876430000000013E-2</v>
      </c>
      <c r="DZ22">
        <v>24.64237666666666</v>
      </c>
      <c r="EA22">
        <v>24.994796666666669</v>
      </c>
      <c r="EB22">
        <v>999.9000000000002</v>
      </c>
      <c r="EC22">
        <v>0</v>
      </c>
      <c r="ED22">
        <v>0</v>
      </c>
      <c r="EE22">
        <v>9998.6666666666661</v>
      </c>
      <c r="EF22">
        <v>0</v>
      </c>
      <c r="EG22">
        <v>1712.752333333334</v>
      </c>
      <c r="EH22">
        <v>-43.601970000000001</v>
      </c>
      <c r="EI22">
        <v>428.94883333333331</v>
      </c>
      <c r="EJ22">
        <v>472.09469999999988</v>
      </c>
      <c r="EK22">
        <v>2.8770773333333328</v>
      </c>
      <c r="EL22">
        <v>463.58146666666659</v>
      </c>
      <c r="EM22">
        <v>18.032763333333339</v>
      </c>
      <c r="EN22">
        <v>2.0594250000000001</v>
      </c>
      <c r="EO22">
        <v>1.77606</v>
      </c>
      <c r="EP22">
        <v>17.908556666666659</v>
      </c>
      <c r="EQ22">
        <v>15.57668333333333</v>
      </c>
      <c r="ER22">
        <v>800.00720000000001</v>
      </c>
      <c r="ES22">
        <v>0.98702149999999989</v>
      </c>
      <c r="ET22">
        <v>1.297828333333333E-2</v>
      </c>
      <c r="EU22">
        <v>0</v>
      </c>
      <c r="EV22">
        <v>826.46386666666672</v>
      </c>
      <c r="EW22">
        <v>5.0010700000000003</v>
      </c>
      <c r="EX22">
        <v>11284.29</v>
      </c>
      <c r="EY22">
        <v>7246.7473333333337</v>
      </c>
      <c r="EZ22">
        <v>41.270666666666664</v>
      </c>
      <c r="FA22">
        <v>44.908066666666663</v>
      </c>
      <c r="FB22">
        <v>43.033066666666663</v>
      </c>
      <c r="FC22">
        <v>44.370800000000003</v>
      </c>
      <c r="FD22">
        <v>42.883266666666671</v>
      </c>
      <c r="FE22">
        <v>784.68766666666681</v>
      </c>
      <c r="FF22">
        <v>10.32</v>
      </c>
      <c r="FG22">
        <v>0</v>
      </c>
      <c r="FH22">
        <v>200.39999985694891</v>
      </c>
      <c r="FI22">
        <v>0</v>
      </c>
      <c r="FJ22">
        <v>826.53905882352944</v>
      </c>
      <c r="FK22">
        <v>-2.5262255288090221</v>
      </c>
      <c r="FL22">
        <v>65.122550023112638</v>
      </c>
      <c r="FM22">
        <v>11273.85882352941</v>
      </c>
      <c r="FN22">
        <v>10</v>
      </c>
      <c r="FO22">
        <v>1783877659.5</v>
      </c>
      <c r="FP22" t="s">
        <v>547</v>
      </c>
      <c r="FQ22">
        <v>1783877655.5</v>
      </c>
      <c r="FR22">
        <v>1783877659.5</v>
      </c>
      <c r="FS22">
        <v>34</v>
      </c>
      <c r="FT22">
        <v>9.4E-2</v>
      </c>
      <c r="FU22">
        <v>7.0000000000000001E-3</v>
      </c>
      <c r="FV22">
        <v>-6.0679999999999996</v>
      </c>
      <c r="FW22">
        <v>-0.66300000000000003</v>
      </c>
      <c r="FX22">
        <v>462</v>
      </c>
      <c r="FY22">
        <v>18</v>
      </c>
      <c r="FZ22">
        <v>0.17</v>
      </c>
      <c r="GA22">
        <v>0.13</v>
      </c>
      <c r="GB22">
        <v>419.97846666666669</v>
      </c>
      <c r="GC22">
        <v>-0.46787986651690422</v>
      </c>
      <c r="GD22">
        <v>7.6940121017727056E-2</v>
      </c>
      <c r="GE22">
        <v>-1</v>
      </c>
      <c r="GF22">
        <v>826.30076470588233</v>
      </c>
      <c r="GG22">
        <v>2.4134453650524388</v>
      </c>
      <c r="GH22">
        <v>0.36091534438584011</v>
      </c>
      <c r="GI22">
        <v>1</v>
      </c>
      <c r="GJ22">
        <v>2.7705647500000001</v>
      </c>
      <c r="GK22">
        <v>2.8297790994371468</v>
      </c>
      <c r="GL22">
        <v>0.30928279262664699</v>
      </c>
      <c r="GM22">
        <v>0</v>
      </c>
      <c r="GN22">
        <v>1</v>
      </c>
      <c r="GO22">
        <v>2</v>
      </c>
      <c r="GP22" t="s">
        <v>410</v>
      </c>
      <c r="GQ22">
        <v>3.13056</v>
      </c>
      <c r="GR22">
        <v>2.726</v>
      </c>
      <c r="GS22">
        <v>9.1583999999999999E-2</v>
      </c>
      <c r="GT22">
        <v>9.8377099999999995E-2</v>
      </c>
      <c r="GU22">
        <v>0.10423399999999999</v>
      </c>
      <c r="GV22">
        <v>9.0475700000000006E-2</v>
      </c>
      <c r="GW22">
        <v>22719.200000000001</v>
      </c>
      <c r="GX22">
        <v>30237</v>
      </c>
      <c r="GY22">
        <v>27139.7</v>
      </c>
      <c r="GZ22">
        <v>34500.9</v>
      </c>
      <c r="HA22">
        <v>35625.199999999997</v>
      </c>
      <c r="HB22">
        <v>39756.400000000001</v>
      </c>
      <c r="HC22">
        <v>40089.5</v>
      </c>
      <c r="HD22">
        <v>43788.2</v>
      </c>
      <c r="HE22">
        <v>1.9319999999999999</v>
      </c>
      <c r="HF22">
        <v>1.6781999999999999</v>
      </c>
      <c r="HG22">
        <v>-0.122339</v>
      </c>
      <c r="HH22">
        <v>0</v>
      </c>
      <c r="HI22">
        <v>27.038499999999999</v>
      </c>
      <c r="HJ22">
        <v>999.9</v>
      </c>
      <c r="HK22">
        <v>43.4</v>
      </c>
      <c r="HL22">
        <v>46.3</v>
      </c>
      <c r="HM22">
        <v>45.403199999999998</v>
      </c>
      <c r="HN22">
        <v>61.525799999999997</v>
      </c>
      <c r="HO22">
        <v>6.5665100000000001</v>
      </c>
      <c r="HP22">
        <v>1</v>
      </c>
      <c r="HQ22">
        <v>0.73650400000000005</v>
      </c>
      <c r="HR22">
        <v>7.78505</v>
      </c>
      <c r="HS22">
        <v>20.073399999999999</v>
      </c>
      <c r="HT22">
        <v>5.2100999999999997</v>
      </c>
      <c r="HU22">
        <v>11.914099999999999</v>
      </c>
      <c r="HV22">
        <v>4.984</v>
      </c>
      <c r="HW22">
        <v>3.2707999999999999</v>
      </c>
      <c r="HX22">
        <v>9999</v>
      </c>
      <c r="HY22">
        <v>9999</v>
      </c>
      <c r="HZ22">
        <v>9999</v>
      </c>
      <c r="IA22">
        <v>999.9</v>
      </c>
      <c r="IB22">
        <v>1.86765</v>
      </c>
      <c r="IC22">
        <v>1.86331</v>
      </c>
      <c r="ID22">
        <v>1.8628199999999999</v>
      </c>
      <c r="IE22">
        <v>1.8623700000000001</v>
      </c>
      <c r="IF22">
        <v>1.8623400000000001</v>
      </c>
      <c r="IG22">
        <v>1.8628199999999999</v>
      </c>
      <c r="IH22">
        <v>1.8637999999999999</v>
      </c>
      <c r="II22">
        <v>1.86172</v>
      </c>
      <c r="IJ22">
        <v>0</v>
      </c>
      <c r="IK22">
        <v>0</v>
      </c>
      <c r="IL22">
        <v>0</v>
      </c>
      <c r="IM22">
        <v>4.5</v>
      </c>
      <c r="IN22" t="s">
        <v>411</v>
      </c>
      <c r="IO22" t="s">
        <v>412</v>
      </c>
      <c r="IP22" t="s">
        <v>413</v>
      </c>
      <c r="IQ22" t="s">
        <v>414</v>
      </c>
      <c r="IR22" t="s">
        <v>414</v>
      </c>
      <c r="IS22" t="s">
        <v>413</v>
      </c>
      <c r="IT22">
        <v>0</v>
      </c>
      <c r="IU22">
        <v>100</v>
      </c>
      <c r="IV22">
        <v>100</v>
      </c>
      <c r="IW22">
        <v>-5.9109999999999996</v>
      </c>
      <c r="IX22">
        <v>-0.59079999999999999</v>
      </c>
      <c r="IY22">
        <v>-3.9235633000052221</v>
      </c>
      <c r="IZ22">
        <v>-5.6215304933332991E-3</v>
      </c>
      <c r="JA22">
        <v>2.3979931213773931E-6</v>
      </c>
      <c r="JB22">
        <v>-3.6297174575716598E-10</v>
      </c>
      <c r="JC22">
        <v>-0.9200887322265705</v>
      </c>
      <c r="JD22">
        <v>2.7492919904454862E-4</v>
      </c>
      <c r="JE22">
        <v>8.6739513355948885E-4</v>
      </c>
      <c r="JF22">
        <v>-8.2500691715147318E-6</v>
      </c>
      <c r="JG22">
        <v>17</v>
      </c>
      <c r="JH22">
        <v>1914</v>
      </c>
      <c r="JI22">
        <v>2</v>
      </c>
      <c r="JJ22">
        <v>37</v>
      </c>
      <c r="JK22">
        <v>2.1</v>
      </c>
      <c r="JL22">
        <v>2</v>
      </c>
      <c r="JM22">
        <v>1.18042</v>
      </c>
      <c r="JN22">
        <v>2.5793499999999998</v>
      </c>
      <c r="JO22">
        <v>1.50024</v>
      </c>
      <c r="JP22">
        <v>2.2619600000000002</v>
      </c>
      <c r="JQ22">
        <v>1.4477500000000001</v>
      </c>
      <c r="JR22">
        <v>2.4291999999999998</v>
      </c>
      <c r="JS22">
        <v>48.950299999999999</v>
      </c>
      <c r="JT22">
        <v>23.982399999999998</v>
      </c>
      <c r="JU22">
        <v>18</v>
      </c>
      <c r="JV22">
        <v>537.18299999999999</v>
      </c>
      <c r="JW22">
        <v>387.512</v>
      </c>
      <c r="JX22">
        <v>19.816600000000001</v>
      </c>
      <c r="JY22">
        <v>36.035899999999998</v>
      </c>
      <c r="JZ22">
        <v>29.9998</v>
      </c>
      <c r="KA22">
        <v>36.158799999999999</v>
      </c>
      <c r="KB22">
        <v>36.188899999999997</v>
      </c>
      <c r="KC22">
        <v>23.624700000000001</v>
      </c>
      <c r="KD22">
        <v>57.805100000000003</v>
      </c>
      <c r="KE22">
        <v>0</v>
      </c>
      <c r="KF22">
        <v>19.785</v>
      </c>
      <c r="KG22">
        <v>463.58499999999998</v>
      </c>
      <c r="KH22">
        <v>17.504200000000001</v>
      </c>
      <c r="KI22">
        <v>100.182</v>
      </c>
      <c r="KJ22">
        <v>98.504300000000001</v>
      </c>
    </row>
    <row r="23" spans="1:296" x14ac:dyDescent="0.3">
      <c r="A23">
        <v>7</v>
      </c>
      <c r="B23">
        <v>1783877962</v>
      </c>
      <c r="C23">
        <v>1113.900000095367</v>
      </c>
      <c r="D23" t="s">
        <v>548</v>
      </c>
      <c r="E23" t="s">
        <v>549</v>
      </c>
      <c r="F23">
        <v>15</v>
      </c>
      <c r="H23">
        <v>1783877954</v>
      </c>
      <c r="I23">
        <f t="shared" si="0"/>
        <v>2.0610252264446189E-3</v>
      </c>
      <c r="J23">
        <f t="shared" si="1"/>
        <v>2.0610252264446189</v>
      </c>
      <c r="K23">
        <f t="shared" si="2"/>
        <v>29.530290459554479</v>
      </c>
      <c r="L23">
        <f t="shared" si="3"/>
        <v>420.19870967741929</v>
      </c>
      <c r="M23">
        <f t="shared" si="4"/>
        <v>133.4271203827056</v>
      </c>
      <c r="N23">
        <f t="shared" si="5"/>
        <v>13.148127754087122</v>
      </c>
      <c r="O23">
        <f t="shared" si="6"/>
        <v>41.407071524099109</v>
      </c>
      <c r="P23">
        <f t="shared" si="7"/>
        <v>0.17268662158655251</v>
      </c>
      <c r="Q23">
        <f t="shared" si="8"/>
        <v>2.9018847470621854</v>
      </c>
      <c r="R23">
        <f t="shared" si="9"/>
        <v>0.1671740478902155</v>
      </c>
      <c r="S23">
        <f t="shared" si="10"/>
        <v>0.10496440367215965</v>
      </c>
      <c r="T23">
        <f t="shared" si="11"/>
        <v>96.350185317126247</v>
      </c>
      <c r="U23">
        <f t="shared" si="12"/>
        <v>24.597535795292988</v>
      </c>
      <c r="V23">
        <f t="shared" si="13"/>
        <v>25.038396774193551</v>
      </c>
      <c r="W23">
        <f t="shared" si="14"/>
        <v>3.1869637313963617</v>
      </c>
      <c r="X23">
        <f t="shared" si="15"/>
        <v>64.686487661257644</v>
      </c>
      <c r="Y23">
        <f t="shared" si="16"/>
        <v>2.0040805063144829</v>
      </c>
      <c r="Z23">
        <f t="shared" si="17"/>
        <v>3.0981439536634126</v>
      </c>
      <c r="AA23">
        <f t="shared" si="18"/>
        <v>1.1828832250818788</v>
      </c>
      <c r="AB23">
        <f t="shared" si="19"/>
        <v>-90.891212486207692</v>
      </c>
      <c r="AC23">
        <f t="shared" si="20"/>
        <v>-74.060721391264167</v>
      </c>
      <c r="AD23">
        <f t="shared" si="21"/>
        <v>-5.387667410664986</v>
      </c>
      <c r="AE23">
        <f t="shared" si="22"/>
        <v>-73.989415971010601</v>
      </c>
      <c r="AF23">
        <f t="shared" si="23"/>
        <v>29.530290459554479</v>
      </c>
      <c r="AG23">
        <f t="shared" si="24"/>
        <v>2.0610252264446189</v>
      </c>
      <c r="AH23">
        <f t="shared" si="25"/>
        <v>29.411204573401367</v>
      </c>
      <c r="AI23">
        <v>464.77338388778679</v>
      </c>
      <c r="AJ23">
        <v>428.90136363636373</v>
      </c>
      <c r="AK23">
        <v>-1.223792411280346E-2</v>
      </c>
      <c r="AL23">
        <v>67.082595072034096</v>
      </c>
      <c r="AM23">
        <f t="shared" si="26"/>
        <v>2.0412514988903969</v>
      </c>
      <c r="AN23">
        <v>17.913509687402598</v>
      </c>
      <c r="AO23">
        <v>20.316216363636361</v>
      </c>
      <c r="AP23">
        <v>-4.7384209441180832E-4</v>
      </c>
      <c r="AQ23">
        <v>78.55</v>
      </c>
      <c r="AR23">
        <v>0</v>
      </c>
      <c r="AS23">
        <v>0</v>
      </c>
      <c r="AT23">
        <f t="shared" si="27"/>
        <v>1</v>
      </c>
      <c r="AU23">
        <f t="shared" si="28"/>
        <v>0</v>
      </c>
      <c r="AV23">
        <f t="shared" si="29"/>
        <v>52474.894906880734</v>
      </c>
      <c r="AW23" t="s">
        <v>525</v>
      </c>
      <c r="AX23">
        <v>5085.43</v>
      </c>
      <c r="AY23">
        <v>578.66176470588232</v>
      </c>
      <c r="AZ23">
        <v>2362.06</v>
      </c>
      <c r="BA23">
        <f t="shared" si="30"/>
        <v>0.7550181770548241</v>
      </c>
      <c r="BB23">
        <v>-2.144709974229277</v>
      </c>
      <c r="BC23" t="s">
        <v>550</v>
      </c>
      <c r="BD23">
        <v>5090.25</v>
      </c>
      <c r="BE23">
        <v>823.86535294117641</v>
      </c>
      <c r="BF23">
        <v>1548.69</v>
      </c>
      <c r="BG23">
        <f t="shared" si="31"/>
        <v>0.46802436062660935</v>
      </c>
      <c r="BH23">
        <v>0.5</v>
      </c>
      <c r="BI23">
        <f t="shared" si="32"/>
        <v>504.32863681816673</v>
      </c>
      <c r="BJ23">
        <f t="shared" si="33"/>
        <v>29.530290459554479</v>
      </c>
      <c r="BK23">
        <f t="shared" si="34"/>
        <v>118.01904389625598</v>
      </c>
      <c r="BL23">
        <f t="shared" si="35"/>
        <v>6.2806269803798637E-2</v>
      </c>
      <c r="BM23">
        <f t="shared" si="36"/>
        <v>0.52519871633445037</v>
      </c>
      <c r="BN23">
        <f t="shared" si="37"/>
        <v>512.69615534285515</v>
      </c>
      <c r="BO23" t="s">
        <v>407</v>
      </c>
      <c r="BP23">
        <v>0</v>
      </c>
      <c r="BQ23">
        <f t="shared" si="38"/>
        <v>512.69615534285515</v>
      </c>
      <c r="BR23">
        <f t="shared" si="39"/>
        <v>0.66894849495841313</v>
      </c>
      <c r="BS23">
        <f t="shared" si="40"/>
        <v>0.69964184709871446</v>
      </c>
      <c r="BT23">
        <f t="shared" si="41"/>
        <v>0.4398106961752522</v>
      </c>
      <c r="BU23">
        <f t="shared" si="42"/>
        <v>0.74722015368867378</v>
      </c>
      <c r="BV23">
        <f t="shared" si="43"/>
        <v>0.45607872874555083</v>
      </c>
      <c r="BW23">
        <f t="shared" si="44"/>
        <v>0.43539115201764755</v>
      </c>
      <c r="BX23">
        <f t="shared" si="45"/>
        <v>0.56460884798235245</v>
      </c>
      <c r="DG23">
        <f t="shared" si="46"/>
        <v>600.03016129032255</v>
      </c>
      <c r="DH23">
        <f t="shared" si="47"/>
        <v>504.32863681816673</v>
      </c>
      <c r="DI23">
        <f t="shared" si="48"/>
        <v>0.8405054768141047</v>
      </c>
      <c r="DJ23">
        <f t="shared" si="49"/>
        <v>0.16057557025122199</v>
      </c>
      <c r="DK23">
        <v>6</v>
      </c>
      <c r="DL23">
        <v>0.5</v>
      </c>
      <c r="DM23" t="s">
        <v>408</v>
      </c>
      <c r="DN23">
        <v>2</v>
      </c>
      <c r="DO23" t="b">
        <v>0</v>
      </c>
      <c r="DP23">
        <v>1783877954</v>
      </c>
      <c r="DQ23">
        <v>420.19870967741929</v>
      </c>
      <c r="DR23">
        <v>456.67441935483862</v>
      </c>
      <c r="DS23">
        <v>20.33739677419355</v>
      </c>
      <c r="DT23">
        <v>17.914458064516129</v>
      </c>
      <c r="DU23">
        <v>426.17690322580648</v>
      </c>
      <c r="DV23">
        <v>20.93466129032258</v>
      </c>
      <c r="DW23">
        <v>499.99845161290312</v>
      </c>
      <c r="DX23">
        <v>98.490112903225793</v>
      </c>
      <c r="DY23">
        <v>5.1530777419354842E-2</v>
      </c>
      <c r="DZ23">
        <v>24.56500322580645</v>
      </c>
      <c r="EA23">
        <v>25.038396774193551</v>
      </c>
      <c r="EB23">
        <v>999.90000000000032</v>
      </c>
      <c r="EC23">
        <v>0</v>
      </c>
      <c r="ED23">
        <v>0</v>
      </c>
      <c r="EE23">
        <v>9994.032258064517</v>
      </c>
      <c r="EF23">
        <v>0</v>
      </c>
      <c r="EG23">
        <v>1746.160322580645</v>
      </c>
      <c r="EH23">
        <v>-36.475703225806448</v>
      </c>
      <c r="EI23">
        <v>428.92190322580649</v>
      </c>
      <c r="EJ23">
        <v>465.00464516129028</v>
      </c>
      <c r="EK23">
        <v>2.4229348387096779</v>
      </c>
      <c r="EL23">
        <v>456.67441935483862</v>
      </c>
      <c r="EM23">
        <v>17.914458064516129</v>
      </c>
      <c r="EN23">
        <v>2.003032258064517</v>
      </c>
      <c r="EO23">
        <v>1.764398709677419</v>
      </c>
      <c r="EP23">
        <v>17.46833548387097</v>
      </c>
      <c r="EQ23">
        <v>15.474893548387101</v>
      </c>
      <c r="ER23">
        <v>600.03016129032255</v>
      </c>
      <c r="ES23">
        <v>0.98300587096774183</v>
      </c>
      <c r="ET23">
        <v>1.6994177419354842E-2</v>
      </c>
      <c r="EU23">
        <v>0</v>
      </c>
      <c r="EV23">
        <v>824.08935483870982</v>
      </c>
      <c r="EW23">
        <v>5.0010700000000003</v>
      </c>
      <c r="EX23">
        <v>9484.4580645161277</v>
      </c>
      <c r="EY23">
        <v>5415.3977419354833</v>
      </c>
      <c r="EZ23">
        <v>40.75</v>
      </c>
      <c r="FA23">
        <v>44.811999999999969</v>
      </c>
      <c r="FB23">
        <v>42.654999999999987</v>
      </c>
      <c r="FC23">
        <v>44.311999999999969</v>
      </c>
      <c r="FD23">
        <v>42.5</v>
      </c>
      <c r="FE23">
        <v>584.91645161290319</v>
      </c>
      <c r="FF23">
        <v>10.11</v>
      </c>
      <c r="FG23">
        <v>0</v>
      </c>
      <c r="FH23">
        <v>181.5999999046326</v>
      </c>
      <c r="FI23">
        <v>0</v>
      </c>
      <c r="FJ23">
        <v>823.86535294117641</v>
      </c>
      <c r="FK23">
        <v>1.2872549228617129</v>
      </c>
      <c r="FL23">
        <v>643.37990663767448</v>
      </c>
      <c r="FM23">
        <v>9482.9847058823543</v>
      </c>
      <c r="FN23">
        <v>10</v>
      </c>
      <c r="FO23">
        <v>1783877897.5</v>
      </c>
      <c r="FP23" t="s">
        <v>551</v>
      </c>
      <c r="FQ23">
        <v>1783877897.5</v>
      </c>
      <c r="FR23">
        <v>1783877896</v>
      </c>
      <c r="FS23">
        <v>35</v>
      </c>
      <c r="FT23">
        <v>-6.6000000000000003E-2</v>
      </c>
      <c r="FU23">
        <v>1.2999999999999999E-2</v>
      </c>
      <c r="FV23">
        <v>-6.1180000000000003</v>
      </c>
      <c r="FW23">
        <v>-0.66200000000000003</v>
      </c>
      <c r="FX23">
        <v>458</v>
      </c>
      <c r="FY23">
        <v>18</v>
      </c>
      <c r="FZ23">
        <v>0.28000000000000003</v>
      </c>
      <c r="GA23">
        <v>0.1</v>
      </c>
      <c r="GB23">
        <v>420.20176666666669</v>
      </c>
      <c r="GC23">
        <v>0.36453837597326177</v>
      </c>
      <c r="GD23">
        <v>5.4868134852776841E-2</v>
      </c>
      <c r="GE23">
        <v>-1</v>
      </c>
      <c r="GF23">
        <v>824.25114705882368</v>
      </c>
      <c r="GG23">
        <v>-3.668281133878831</v>
      </c>
      <c r="GH23">
        <v>0.4477429102373604</v>
      </c>
      <c r="GI23">
        <v>1</v>
      </c>
      <c r="GJ23">
        <v>2.4306000000000001</v>
      </c>
      <c r="GK23">
        <v>-0.1976217636022583</v>
      </c>
      <c r="GL23">
        <v>1.9304210162552599E-2</v>
      </c>
      <c r="GM23">
        <v>1</v>
      </c>
      <c r="GN23">
        <v>2</v>
      </c>
      <c r="GO23">
        <v>2</v>
      </c>
      <c r="GP23" t="s">
        <v>423</v>
      </c>
      <c r="GQ23">
        <v>3.1316000000000002</v>
      </c>
      <c r="GR23">
        <v>2.7271100000000001</v>
      </c>
      <c r="GS23">
        <v>9.1651200000000002E-2</v>
      </c>
      <c r="GT23">
        <v>9.7200099999999998E-2</v>
      </c>
      <c r="GU23">
        <v>0.101622</v>
      </c>
      <c r="GV23">
        <v>9.1306999999999999E-2</v>
      </c>
      <c r="GW23">
        <v>22714.400000000001</v>
      </c>
      <c r="GX23">
        <v>30272.2</v>
      </c>
      <c r="GY23">
        <v>27136.3</v>
      </c>
      <c r="GZ23">
        <v>34496.400000000001</v>
      </c>
      <c r="HA23">
        <v>35725.4</v>
      </c>
      <c r="HB23">
        <v>39715.199999999997</v>
      </c>
      <c r="HC23">
        <v>40085.4</v>
      </c>
      <c r="HD23">
        <v>43782.8</v>
      </c>
      <c r="HE23">
        <v>1.9381999999999999</v>
      </c>
      <c r="HF23">
        <v>1.6778</v>
      </c>
      <c r="HG23">
        <v>-0.13634599999999999</v>
      </c>
      <c r="HH23">
        <v>0</v>
      </c>
      <c r="HI23">
        <v>27.265699999999999</v>
      </c>
      <c r="HJ23">
        <v>999.9</v>
      </c>
      <c r="HK23">
        <v>43.3</v>
      </c>
      <c r="HL23">
        <v>46.3</v>
      </c>
      <c r="HM23">
        <v>45.298499999999997</v>
      </c>
      <c r="HN23">
        <v>61.555799999999998</v>
      </c>
      <c r="HO23">
        <v>6.5304500000000001</v>
      </c>
      <c r="HP23">
        <v>1</v>
      </c>
      <c r="HQ23">
        <v>0.75134100000000004</v>
      </c>
      <c r="HR23">
        <v>9.2810500000000005</v>
      </c>
      <c r="HS23">
        <v>20.0032</v>
      </c>
      <c r="HT23">
        <v>5.2088999999999999</v>
      </c>
      <c r="HU23">
        <v>11.914099999999999</v>
      </c>
      <c r="HV23">
        <v>4.9843999999999999</v>
      </c>
      <c r="HW23">
        <v>3.2707999999999999</v>
      </c>
      <c r="HX23">
        <v>9999</v>
      </c>
      <c r="HY23">
        <v>9999</v>
      </c>
      <c r="HZ23">
        <v>9999</v>
      </c>
      <c r="IA23">
        <v>999.9</v>
      </c>
      <c r="IB23">
        <v>1.86755</v>
      </c>
      <c r="IC23">
        <v>1.86328</v>
      </c>
      <c r="ID23">
        <v>1.8627899999999999</v>
      </c>
      <c r="IE23">
        <v>1.8623400000000001</v>
      </c>
      <c r="IF23">
        <v>1.8623400000000001</v>
      </c>
      <c r="IG23">
        <v>1.8627899999999999</v>
      </c>
      <c r="IH23">
        <v>1.86371</v>
      </c>
      <c r="II23">
        <v>1.86172</v>
      </c>
      <c r="IJ23">
        <v>0</v>
      </c>
      <c r="IK23">
        <v>0</v>
      </c>
      <c r="IL23">
        <v>0</v>
      </c>
      <c r="IM23">
        <v>4.5</v>
      </c>
      <c r="IN23" t="s">
        <v>411</v>
      </c>
      <c r="IO23" t="s">
        <v>412</v>
      </c>
      <c r="IP23" t="s">
        <v>413</v>
      </c>
      <c r="IQ23" t="s">
        <v>414</v>
      </c>
      <c r="IR23" t="s">
        <v>414</v>
      </c>
      <c r="IS23" t="s">
        <v>413</v>
      </c>
      <c r="IT23">
        <v>0</v>
      </c>
      <c r="IU23">
        <v>100</v>
      </c>
      <c r="IV23">
        <v>100</v>
      </c>
      <c r="IW23">
        <v>-5.9790000000000001</v>
      </c>
      <c r="IX23">
        <v>-0.5978</v>
      </c>
      <c r="IY23">
        <v>-3.9898505523926908</v>
      </c>
      <c r="IZ23">
        <v>-5.6215304933332991E-3</v>
      </c>
      <c r="JA23">
        <v>2.3979931213773931E-6</v>
      </c>
      <c r="JB23">
        <v>-3.6297174575716598E-10</v>
      </c>
      <c r="JC23">
        <v>-0.90747295144832707</v>
      </c>
      <c r="JD23">
        <v>2.7492919904454862E-4</v>
      </c>
      <c r="JE23">
        <v>8.6739513355948885E-4</v>
      </c>
      <c r="JF23">
        <v>-8.2500691715147318E-6</v>
      </c>
      <c r="JG23">
        <v>17</v>
      </c>
      <c r="JH23">
        <v>1914</v>
      </c>
      <c r="JI23">
        <v>2</v>
      </c>
      <c r="JJ23">
        <v>37</v>
      </c>
      <c r="JK23">
        <v>1.1000000000000001</v>
      </c>
      <c r="JL23">
        <v>1.1000000000000001</v>
      </c>
      <c r="JM23">
        <v>1.16699</v>
      </c>
      <c r="JN23">
        <v>2.5793499999999998</v>
      </c>
      <c r="JO23">
        <v>1.50024</v>
      </c>
      <c r="JP23">
        <v>2.2619600000000002</v>
      </c>
      <c r="JQ23">
        <v>1.4477500000000001</v>
      </c>
      <c r="JR23">
        <v>2.4365199999999998</v>
      </c>
      <c r="JS23">
        <v>48.825800000000001</v>
      </c>
      <c r="JT23">
        <v>23.956199999999999</v>
      </c>
      <c r="JU23">
        <v>18</v>
      </c>
      <c r="JV23">
        <v>541.03700000000003</v>
      </c>
      <c r="JW23">
        <v>387.01499999999999</v>
      </c>
      <c r="JX23">
        <v>19.406300000000002</v>
      </c>
      <c r="JY23">
        <v>36.096200000000003</v>
      </c>
      <c r="JZ23">
        <v>30.000499999999999</v>
      </c>
      <c r="KA23">
        <v>36.119199999999999</v>
      </c>
      <c r="KB23">
        <v>36.143000000000001</v>
      </c>
      <c r="KC23">
        <v>23.3383</v>
      </c>
      <c r="KD23">
        <v>56.563299999999998</v>
      </c>
      <c r="KE23">
        <v>0</v>
      </c>
      <c r="KF23">
        <v>19.340599999999998</v>
      </c>
      <c r="KG23">
        <v>456.48899999999998</v>
      </c>
      <c r="KH23">
        <v>18.077100000000002</v>
      </c>
      <c r="KI23">
        <v>100.17100000000001</v>
      </c>
      <c r="KJ23">
        <v>98.491900000000001</v>
      </c>
    </row>
    <row r="24" spans="1:296" x14ac:dyDescent="0.3">
      <c r="A24">
        <v>8</v>
      </c>
      <c r="B24">
        <v>1783878144.5</v>
      </c>
      <c r="C24">
        <v>1296.400000095367</v>
      </c>
      <c r="D24" t="s">
        <v>552</v>
      </c>
      <c r="E24" t="s">
        <v>553</v>
      </c>
      <c r="F24">
        <v>15</v>
      </c>
      <c r="H24">
        <v>1783878136.5</v>
      </c>
      <c r="I24">
        <f t="shared" si="0"/>
        <v>1.6391624441011114E-3</v>
      </c>
      <c r="J24">
        <f t="shared" si="1"/>
        <v>1.6391624441011114</v>
      </c>
      <c r="K24">
        <f t="shared" si="2"/>
        <v>21.858105121236207</v>
      </c>
      <c r="L24">
        <f t="shared" si="3"/>
        <v>420.17790322580652</v>
      </c>
      <c r="M24">
        <f t="shared" si="4"/>
        <v>152.20453023500932</v>
      </c>
      <c r="N24">
        <f t="shared" si="5"/>
        <v>14.998334157333179</v>
      </c>
      <c r="O24">
        <f t="shared" si="6"/>
        <v>41.404605949492975</v>
      </c>
      <c r="P24">
        <f t="shared" si="7"/>
        <v>0.1362817947438493</v>
      </c>
      <c r="Q24">
        <f t="shared" si="8"/>
        <v>2.9030741039764068</v>
      </c>
      <c r="R24">
        <f t="shared" si="9"/>
        <v>0.13282480645418715</v>
      </c>
      <c r="S24">
        <f t="shared" si="10"/>
        <v>8.331879681306642E-2</v>
      </c>
      <c r="T24">
        <f t="shared" si="11"/>
        <v>64.410920796661387</v>
      </c>
      <c r="U24">
        <f t="shared" si="12"/>
        <v>24.371365943822248</v>
      </c>
      <c r="V24">
        <f t="shared" si="13"/>
        <v>24.989006451612909</v>
      </c>
      <c r="W24">
        <f t="shared" si="14"/>
        <v>3.1775941453708456</v>
      </c>
      <c r="X24">
        <f t="shared" si="15"/>
        <v>64.910236475416653</v>
      </c>
      <c r="Y24">
        <f t="shared" si="16"/>
        <v>1.9934323198507726</v>
      </c>
      <c r="Z24">
        <f t="shared" si="17"/>
        <v>3.0710600177920195</v>
      </c>
      <c r="AA24">
        <f t="shared" si="18"/>
        <v>1.184161825520073</v>
      </c>
      <c r="AB24">
        <f t="shared" si="19"/>
        <v>-72.287063784859015</v>
      </c>
      <c r="AC24">
        <f t="shared" si="20"/>
        <v>-89.323084458508816</v>
      </c>
      <c r="AD24">
        <f t="shared" si="21"/>
        <v>-6.4888788761850806</v>
      </c>
      <c r="AE24">
        <f t="shared" si="22"/>
        <v>-103.68810632289153</v>
      </c>
      <c r="AF24">
        <f t="shared" si="23"/>
        <v>21.858105121236207</v>
      </c>
      <c r="AG24">
        <f t="shared" si="24"/>
        <v>1.6391624441011114</v>
      </c>
      <c r="AH24">
        <f t="shared" si="25"/>
        <v>21.602796601193951</v>
      </c>
      <c r="AI24">
        <v>455.42844666226722</v>
      </c>
      <c r="AJ24">
        <v>428.94641212121212</v>
      </c>
      <c r="AK24">
        <v>1.432857071491905E-2</v>
      </c>
      <c r="AL24">
        <v>67.081818711387967</v>
      </c>
      <c r="AM24">
        <f t="shared" si="26"/>
        <v>1.6007832421756214</v>
      </c>
      <c r="AN24">
        <v>18.29901690147187</v>
      </c>
      <c r="AO24">
        <v>20.201381818181819</v>
      </c>
      <c r="AP24">
        <v>-3.2480554112547131E-3</v>
      </c>
      <c r="AQ24">
        <v>78.55</v>
      </c>
      <c r="AR24">
        <v>0</v>
      </c>
      <c r="AS24">
        <v>0</v>
      </c>
      <c r="AT24">
        <f t="shared" si="27"/>
        <v>1</v>
      </c>
      <c r="AU24">
        <f t="shared" si="28"/>
        <v>0</v>
      </c>
      <c r="AV24">
        <f t="shared" si="29"/>
        <v>52535.08102665472</v>
      </c>
      <c r="AW24" t="s">
        <v>525</v>
      </c>
      <c r="AX24">
        <v>5085.43</v>
      </c>
      <c r="AY24">
        <v>578.66176470588232</v>
      </c>
      <c r="AZ24">
        <v>2362.06</v>
      </c>
      <c r="BA24">
        <f t="shared" si="30"/>
        <v>0.7550181770548241</v>
      </c>
      <c r="BB24">
        <v>-2.144709974229277</v>
      </c>
      <c r="BC24" t="s">
        <v>554</v>
      </c>
      <c r="BD24">
        <v>5092.0600000000004</v>
      </c>
      <c r="BE24">
        <v>801.70176470588228</v>
      </c>
      <c r="BF24">
        <v>1759.01</v>
      </c>
      <c r="BG24">
        <f t="shared" si="31"/>
        <v>0.5442312637757134</v>
      </c>
      <c r="BH24">
        <v>0.5</v>
      </c>
      <c r="BI24">
        <f t="shared" si="32"/>
        <v>336.2947878572038</v>
      </c>
      <c r="BJ24">
        <f t="shared" si="33"/>
        <v>21.858105121236207</v>
      </c>
      <c r="BK24">
        <f t="shared" si="34"/>
        <v>91.511068698355729</v>
      </c>
      <c r="BL24">
        <f t="shared" si="35"/>
        <v>7.1374329790854396E-2</v>
      </c>
      <c r="BM24">
        <f t="shared" si="36"/>
        <v>0.34283489008021556</v>
      </c>
      <c r="BN24">
        <f t="shared" si="37"/>
        <v>533.82656988326369</v>
      </c>
      <c r="BO24" t="s">
        <v>407</v>
      </c>
      <c r="BP24">
        <v>0</v>
      </c>
      <c r="BQ24">
        <f t="shared" si="38"/>
        <v>533.82656988326369</v>
      </c>
      <c r="BR24">
        <f t="shared" si="39"/>
        <v>0.69651874072161979</v>
      </c>
      <c r="BS24">
        <f t="shared" si="40"/>
        <v>0.78135911061326113</v>
      </c>
      <c r="BT24">
        <f t="shared" si="41"/>
        <v>0.32985393991044898</v>
      </c>
      <c r="BU24">
        <f t="shared" si="42"/>
        <v>0.8110388160622588</v>
      </c>
      <c r="BV24">
        <f t="shared" si="43"/>
        <v>0.33814657212585225</v>
      </c>
      <c r="BW24">
        <f t="shared" si="44"/>
        <v>0.5202810723745116</v>
      </c>
      <c r="BX24">
        <f t="shared" si="45"/>
        <v>0.4797189276254884</v>
      </c>
      <c r="DG24">
        <f t="shared" si="46"/>
        <v>399.99864516129031</v>
      </c>
      <c r="DH24">
        <f t="shared" si="47"/>
        <v>336.2947878572038</v>
      </c>
      <c r="DI24">
        <f t="shared" si="48"/>
        <v>0.8407398173101327</v>
      </c>
      <c r="DJ24">
        <f t="shared" si="49"/>
        <v>0.161027847408556</v>
      </c>
      <c r="DK24">
        <v>6</v>
      </c>
      <c r="DL24">
        <v>0.5</v>
      </c>
      <c r="DM24" t="s">
        <v>408</v>
      </c>
      <c r="DN24">
        <v>2</v>
      </c>
      <c r="DO24" t="b">
        <v>0</v>
      </c>
      <c r="DP24">
        <v>1783878136.5</v>
      </c>
      <c r="DQ24">
        <v>420.17790322580652</v>
      </c>
      <c r="DR24">
        <v>447.23293548387102</v>
      </c>
      <c r="DS24">
        <v>20.229541935483869</v>
      </c>
      <c r="DT24">
        <v>18.30242258064516</v>
      </c>
      <c r="DU24">
        <v>426.09800000000001</v>
      </c>
      <c r="DV24">
        <v>20.840619354838712</v>
      </c>
      <c r="DW24">
        <v>500.02183870967752</v>
      </c>
      <c r="DX24">
        <v>98.488903225806453</v>
      </c>
      <c r="DY24">
        <v>5.1752129032258072E-2</v>
      </c>
      <c r="DZ24">
        <v>24.418290322580649</v>
      </c>
      <c r="EA24">
        <v>24.989006451612909</v>
      </c>
      <c r="EB24">
        <v>999.90000000000032</v>
      </c>
      <c r="EC24">
        <v>0</v>
      </c>
      <c r="ED24">
        <v>0</v>
      </c>
      <c r="EE24">
        <v>10000.967741935479</v>
      </c>
      <c r="EF24">
        <v>0</v>
      </c>
      <c r="EG24">
        <v>853.41719354838699</v>
      </c>
      <c r="EH24">
        <v>-27.055077419354831</v>
      </c>
      <c r="EI24">
        <v>428.85335483870961</v>
      </c>
      <c r="EJ24">
        <v>455.57090322580649</v>
      </c>
      <c r="EK24">
        <v>1.9271141935483871</v>
      </c>
      <c r="EL24">
        <v>447.23293548387102</v>
      </c>
      <c r="EM24">
        <v>18.30242258064516</v>
      </c>
      <c r="EN24">
        <v>1.9923845161290319</v>
      </c>
      <c r="EO24">
        <v>1.8025854838709681</v>
      </c>
      <c r="EP24">
        <v>17.383941935483868</v>
      </c>
      <c r="EQ24">
        <v>15.80922903225806</v>
      </c>
      <c r="ER24">
        <v>399.99864516129031</v>
      </c>
      <c r="ES24">
        <v>0.97502761290322593</v>
      </c>
      <c r="ET24">
        <v>2.49722064516129E-2</v>
      </c>
      <c r="EU24">
        <v>0</v>
      </c>
      <c r="EV24">
        <v>801.6339354838708</v>
      </c>
      <c r="EW24">
        <v>5.0010700000000003</v>
      </c>
      <c r="EX24">
        <v>5445.0829032258071</v>
      </c>
      <c r="EY24">
        <v>3583.7003225806452</v>
      </c>
      <c r="EZ24">
        <v>40.375</v>
      </c>
      <c r="FA24">
        <v>44.786000000000001</v>
      </c>
      <c r="FB24">
        <v>42.497967741935483</v>
      </c>
      <c r="FC24">
        <v>44.266000000000012</v>
      </c>
      <c r="FD24">
        <v>42.195129032258038</v>
      </c>
      <c r="FE24">
        <v>385.13322580645161</v>
      </c>
      <c r="FF24">
        <v>9.8641935483870977</v>
      </c>
      <c r="FG24">
        <v>0</v>
      </c>
      <c r="FH24">
        <v>181.79999995231631</v>
      </c>
      <c r="FI24">
        <v>0</v>
      </c>
      <c r="FJ24">
        <v>801.70176470588228</v>
      </c>
      <c r="FK24">
        <v>1.187009834682331</v>
      </c>
      <c r="FL24">
        <v>9856.5073780968833</v>
      </c>
      <c r="FM24">
        <v>5229.5747058823526</v>
      </c>
      <c r="FN24">
        <v>10</v>
      </c>
      <c r="FO24">
        <v>1783878066</v>
      </c>
      <c r="FP24" t="s">
        <v>555</v>
      </c>
      <c r="FQ24">
        <v>1783878059</v>
      </c>
      <c r="FR24">
        <v>1783878066</v>
      </c>
      <c r="FS24">
        <v>36</v>
      </c>
      <c r="FT24">
        <v>5.8000000000000003E-2</v>
      </c>
      <c r="FU24">
        <v>-1.0999999999999999E-2</v>
      </c>
      <c r="FV24">
        <v>-6.0259999999999998</v>
      </c>
      <c r="FW24">
        <v>-0.66300000000000003</v>
      </c>
      <c r="FX24">
        <v>449</v>
      </c>
      <c r="FY24">
        <v>18</v>
      </c>
      <c r="FZ24">
        <v>0.27</v>
      </c>
      <c r="GA24">
        <v>0.14000000000000001</v>
      </c>
      <c r="GB24">
        <v>420.17790322580652</v>
      </c>
      <c r="GC24">
        <v>0.55959677419157372</v>
      </c>
      <c r="GD24">
        <v>7.0169543452303154E-2</v>
      </c>
      <c r="GE24">
        <v>-1</v>
      </c>
      <c r="GF24">
        <v>801.67699999999991</v>
      </c>
      <c r="GG24">
        <v>8.7394957166412081E-3</v>
      </c>
      <c r="GH24">
        <v>0.19202037269364999</v>
      </c>
      <c r="GI24">
        <v>1</v>
      </c>
      <c r="GJ24">
        <v>1.9354463414634151</v>
      </c>
      <c r="GK24">
        <v>-0.19794501742159809</v>
      </c>
      <c r="GL24">
        <v>1.9796338754389031E-2</v>
      </c>
      <c r="GM24">
        <v>1</v>
      </c>
      <c r="GN24">
        <v>2</v>
      </c>
      <c r="GO24">
        <v>2</v>
      </c>
      <c r="GP24" t="s">
        <v>423</v>
      </c>
      <c r="GQ24">
        <v>3.1287699999999998</v>
      </c>
      <c r="GR24">
        <v>2.72742</v>
      </c>
      <c r="GS24">
        <v>9.1594700000000001E-2</v>
      </c>
      <c r="GT24">
        <v>9.5679399999999998E-2</v>
      </c>
      <c r="GU24">
        <v>0.10120700000000001</v>
      </c>
      <c r="GV24">
        <v>9.2688599999999996E-2</v>
      </c>
      <c r="GW24">
        <v>22704.9</v>
      </c>
      <c r="GX24">
        <v>30305.3</v>
      </c>
      <c r="GY24">
        <v>27124.6</v>
      </c>
      <c r="GZ24">
        <v>34478</v>
      </c>
      <c r="HA24">
        <v>35728.199999999997</v>
      </c>
      <c r="HB24">
        <v>39635.599999999999</v>
      </c>
      <c r="HC24">
        <v>40069</v>
      </c>
      <c r="HD24">
        <v>43761.2</v>
      </c>
      <c r="HE24">
        <v>1.93</v>
      </c>
      <c r="HF24">
        <v>1.6759999999999999</v>
      </c>
      <c r="HG24">
        <v>-0.14945900000000001</v>
      </c>
      <c r="HH24">
        <v>0</v>
      </c>
      <c r="HI24">
        <v>27.410599999999999</v>
      </c>
      <c r="HJ24">
        <v>999.9</v>
      </c>
      <c r="HK24">
        <v>43.3</v>
      </c>
      <c r="HL24">
        <v>46.3</v>
      </c>
      <c r="HM24">
        <v>45.302300000000002</v>
      </c>
      <c r="HN24">
        <v>61.505899999999997</v>
      </c>
      <c r="HO24">
        <v>6.7788500000000003</v>
      </c>
      <c r="HP24">
        <v>1</v>
      </c>
      <c r="HQ24">
        <v>0.77688999999999997</v>
      </c>
      <c r="HR24">
        <v>9.1207799999999999</v>
      </c>
      <c r="HS24">
        <v>20.0139</v>
      </c>
      <c r="HT24">
        <v>5.2088999999999999</v>
      </c>
      <c r="HU24">
        <v>11.914099999999999</v>
      </c>
      <c r="HV24">
        <v>4.9832000000000001</v>
      </c>
      <c r="HW24">
        <v>3.2709999999999999</v>
      </c>
      <c r="HX24">
        <v>9999</v>
      </c>
      <c r="HY24">
        <v>9999</v>
      </c>
      <c r="HZ24">
        <v>9999</v>
      </c>
      <c r="IA24">
        <v>999.9</v>
      </c>
      <c r="IB24">
        <v>1.8676200000000001</v>
      </c>
      <c r="IC24">
        <v>1.86331</v>
      </c>
      <c r="ID24">
        <v>1.8627899999999999</v>
      </c>
      <c r="IE24">
        <v>1.8623400000000001</v>
      </c>
      <c r="IF24">
        <v>1.8623400000000001</v>
      </c>
      <c r="IG24">
        <v>1.8628199999999999</v>
      </c>
      <c r="IH24">
        <v>1.86371</v>
      </c>
      <c r="II24">
        <v>1.86172</v>
      </c>
      <c r="IJ24">
        <v>0</v>
      </c>
      <c r="IK24">
        <v>0</v>
      </c>
      <c r="IL24">
        <v>0</v>
      </c>
      <c r="IM24">
        <v>4.5</v>
      </c>
      <c r="IN24" t="s">
        <v>411</v>
      </c>
      <c r="IO24" t="s">
        <v>412</v>
      </c>
      <c r="IP24" t="s">
        <v>413</v>
      </c>
      <c r="IQ24" t="s">
        <v>414</v>
      </c>
      <c r="IR24" t="s">
        <v>414</v>
      </c>
      <c r="IS24" t="s">
        <v>413</v>
      </c>
      <c r="IT24">
        <v>0</v>
      </c>
      <c r="IU24">
        <v>100</v>
      </c>
      <c r="IV24">
        <v>100</v>
      </c>
      <c r="IW24">
        <v>-5.9210000000000003</v>
      </c>
      <c r="IX24">
        <v>-0.61180000000000001</v>
      </c>
      <c r="IY24">
        <v>-3.9321441043087861</v>
      </c>
      <c r="IZ24">
        <v>-5.6215304933332991E-3</v>
      </c>
      <c r="JA24">
        <v>2.3979931213773931E-6</v>
      </c>
      <c r="JB24">
        <v>-3.6297174575716598E-10</v>
      </c>
      <c r="JC24">
        <v>-0.91887177176428292</v>
      </c>
      <c r="JD24">
        <v>2.7492919904454862E-4</v>
      </c>
      <c r="JE24">
        <v>8.6739513355948885E-4</v>
      </c>
      <c r="JF24">
        <v>-8.2500691715147318E-6</v>
      </c>
      <c r="JG24">
        <v>17</v>
      </c>
      <c r="JH24">
        <v>1914</v>
      </c>
      <c r="JI24">
        <v>2</v>
      </c>
      <c r="JJ24">
        <v>37</v>
      </c>
      <c r="JK24">
        <v>1.4</v>
      </c>
      <c r="JL24">
        <v>1.3</v>
      </c>
      <c r="JM24">
        <v>1.1474599999999999</v>
      </c>
      <c r="JN24">
        <v>2.5854499999999998</v>
      </c>
      <c r="JO24">
        <v>1.50024</v>
      </c>
      <c r="JP24">
        <v>2.2619600000000002</v>
      </c>
      <c r="JQ24">
        <v>1.4477500000000001</v>
      </c>
      <c r="JR24">
        <v>2.4719199999999999</v>
      </c>
      <c r="JS24">
        <v>48.825800000000001</v>
      </c>
      <c r="JT24">
        <v>23.956199999999999</v>
      </c>
      <c r="JU24">
        <v>18</v>
      </c>
      <c r="JV24">
        <v>537.06700000000001</v>
      </c>
      <c r="JW24">
        <v>386.98099999999999</v>
      </c>
      <c r="JX24">
        <v>19.4255</v>
      </c>
      <c r="JY24">
        <v>36.409700000000001</v>
      </c>
      <c r="JZ24">
        <v>30.000399999999999</v>
      </c>
      <c r="KA24">
        <v>36.314399999999999</v>
      </c>
      <c r="KB24">
        <v>36.3172</v>
      </c>
      <c r="KC24">
        <v>22.955500000000001</v>
      </c>
      <c r="KD24">
        <v>56.117899999999999</v>
      </c>
      <c r="KE24">
        <v>0</v>
      </c>
      <c r="KF24">
        <v>19.458400000000001</v>
      </c>
      <c r="KG24">
        <v>446.78800000000001</v>
      </c>
      <c r="KH24">
        <v>18.442699999999999</v>
      </c>
      <c r="KI24">
        <v>100.129</v>
      </c>
      <c r="KJ24">
        <v>98.441699999999997</v>
      </c>
    </row>
    <row r="25" spans="1:296" x14ac:dyDescent="0.3">
      <c r="A25">
        <v>9</v>
      </c>
      <c r="B25">
        <v>1783878327</v>
      </c>
      <c r="C25">
        <v>1478.900000095367</v>
      </c>
      <c r="D25" t="s">
        <v>556</v>
      </c>
      <c r="E25" t="s">
        <v>557</v>
      </c>
      <c r="F25">
        <v>15</v>
      </c>
      <c r="H25">
        <v>1783878319</v>
      </c>
      <c r="I25">
        <f t="shared" si="0"/>
        <v>1.130604177924488E-3</v>
      </c>
      <c r="J25">
        <f t="shared" si="1"/>
        <v>1.130604177924488</v>
      </c>
      <c r="K25">
        <f t="shared" si="2"/>
        <v>16.378512740218998</v>
      </c>
      <c r="L25">
        <f t="shared" si="3"/>
        <v>419.99096774193538</v>
      </c>
      <c r="M25">
        <f t="shared" si="4"/>
        <v>132.24887638545169</v>
      </c>
      <c r="N25">
        <f t="shared" si="5"/>
        <v>13.031424589938654</v>
      </c>
      <c r="O25">
        <f t="shared" si="6"/>
        <v>41.384704159093076</v>
      </c>
      <c r="P25">
        <f t="shared" si="7"/>
        <v>9.4240723722255171E-2</v>
      </c>
      <c r="Q25">
        <f t="shared" si="8"/>
        <v>2.9028699397913615</v>
      </c>
      <c r="R25">
        <f t="shared" si="9"/>
        <v>9.2573450324154441E-2</v>
      </c>
      <c r="S25">
        <f t="shared" si="10"/>
        <v>5.8005747435241554E-2</v>
      </c>
      <c r="T25">
        <f t="shared" si="11"/>
        <v>48.444899509343756</v>
      </c>
      <c r="U25">
        <f t="shared" si="12"/>
        <v>24.493138920393569</v>
      </c>
      <c r="V25">
        <f t="shared" si="13"/>
        <v>24.989251612903221</v>
      </c>
      <c r="W25">
        <f t="shared" si="14"/>
        <v>3.1776405941552057</v>
      </c>
      <c r="X25">
        <f t="shared" si="15"/>
        <v>64.989946185662589</v>
      </c>
      <c r="Y25">
        <f t="shared" si="16"/>
        <v>2.005854855147478</v>
      </c>
      <c r="Z25">
        <f t="shared" si="17"/>
        <v>3.0864079336474188</v>
      </c>
      <c r="AA25">
        <f t="shared" si="18"/>
        <v>1.1717857390077278</v>
      </c>
      <c r="AB25">
        <f t="shared" si="19"/>
        <v>-49.859644246469919</v>
      </c>
      <c r="AC25">
        <f t="shared" si="20"/>
        <v>-76.322293763554853</v>
      </c>
      <c r="AD25">
        <f t="shared" si="21"/>
        <v>-5.5471582942922</v>
      </c>
      <c r="AE25">
        <f t="shared" si="22"/>
        <v>-83.284196794973212</v>
      </c>
      <c r="AF25">
        <f t="shared" si="23"/>
        <v>16.378512740218998</v>
      </c>
      <c r="AG25">
        <f t="shared" si="24"/>
        <v>1.130604177924488</v>
      </c>
      <c r="AH25">
        <f t="shared" si="25"/>
        <v>16.387406394811688</v>
      </c>
      <c r="AI25">
        <v>448.83312116441579</v>
      </c>
      <c r="AJ25">
        <v>428.77626666666657</v>
      </c>
      <c r="AK25">
        <v>2.0032591369375679E-3</v>
      </c>
      <c r="AL25">
        <v>67.081890951207882</v>
      </c>
      <c r="AM25">
        <f t="shared" si="26"/>
        <v>1.130604886364224</v>
      </c>
      <c r="AN25">
        <v>19.02441024532467</v>
      </c>
      <c r="AO25">
        <v>20.35357999999999</v>
      </c>
      <c r="AP25">
        <v>-1.094179894180682E-5</v>
      </c>
      <c r="AQ25">
        <v>78.55</v>
      </c>
      <c r="AR25">
        <v>0</v>
      </c>
      <c r="AS25">
        <v>0</v>
      </c>
      <c r="AT25">
        <f t="shared" si="27"/>
        <v>1</v>
      </c>
      <c r="AU25">
        <f t="shared" si="28"/>
        <v>0</v>
      </c>
      <c r="AV25">
        <f t="shared" si="29"/>
        <v>52514.405762010683</v>
      </c>
      <c r="AW25" t="s">
        <v>525</v>
      </c>
      <c r="AX25">
        <v>5085.43</v>
      </c>
      <c r="AY25">
        <v>578.66176470588232</v>
      </c>
      <c r="AZ25">
        <v>2362.06</v>
      </c>
      <c r="BA25">
        <f t="shared" si="30"/>
        <v>0.7550181770548241</v>
      </c>
      <c r="BB25">
        <v>-2.144709974229277</v>
      </c>
      <c r="BC25" t="s">
        <v>558</v>
      </c>
      <c r="BD25">
        <v>5093.5600000000004</v>
      </c>
      <c r="BE25">
        <v>776.5765294117648</v>
      </c>
      <c r="BF25">
        <v>1839.24</v>
      </c>
      <c r="BG25">
        <f t="shared" si="31"/>
        <v>0.57777314031243077</v>
      </c>
      <c r="BH25">
        <v>0.5</v>
      </c>
      <c r="BI25">
        <f t="shared" si="32"/>
        <v>252.29924107621011</v>
      </c>
      <c r="BJ25">
        <f t="shared" si="33"/>
        <v>16.378512740218998</v>
      </c>
      <c r="BK25">
        <f t="shared" si="34"/>
        <v>72.885862407522467</v>
      </c>
      <c r="BL25">
        <f t="shared" si="35"/>
        <v>7.3417671156819311E-2</v>
      </c>
      <c r="BM25">
        <f t="shared" si="36"/>
        <v>0.28425871555642546</v>
      </c>
      <c r="BN25">
        <f t="shared" si="37"/>
        <v>540.98830314047791</v>
      </c>
      <c r="BO25" t="s">
        <v>407</v>
      </c>
      <c r="BP25">
        <v>0</v>
      </c>
      <c r="BQ25">
        <f t="shared" si="38"/>
        <v>540.98830314047791</v>
      </c>
      <c r="BR25">
        <f t="shared" si="39"/>
        <v>0.7058631265411377</v>
      </c>
      <c r="BS25">
        <f t="shared" si="40"/>
        <v>0.81853424352059301</v>
      </c>
      <c r="BT25">
        <f t="shared" si="41"/>
        <v>0.28709468215974937</v>
      </c>
      <c r="BU25">
        <f t="shared" si="42"/>
        <v>0.842996841318853</v>
      </c>
      <c r="BV25">
        <f t="shared" si="43"/>
        <v>0.29315942432441433</v>
      </c>
      <c r="BW25">
        <f t="shared" si="44"/>
        <v>0.57021740252696318</v>
      </c>
      <c r="BX25">
        <f t="shared" si="45"/>
        <v>0.42978259747303682</v>
      </c>
      <c r="DG25">
        <f t="shared" si="46"/>
        <v>300.00864516129019</v>
      </c>
      <c r="DH25">
        <f t="shared" si="47"/>
        <v>252.29924107621011</v>
      </c>
      <c r="DI25">
        <f t="shared" si="48"/>
        <v>0.84097323575648752</v>
      </c>
      <c r="DJ25">
        <f t="shared" si="49"/>
        <v>0.1614783450100209</v>
      </c>
      <c r="DK25">
        <v>6</v>
      </c>
      <c r="DL25">
        <v>0.5</v>
      </c>
      <c r="DM25" t="s">
        <v>408</v>
      </c>
      <c r="DN25">
        <v>2</v>
      </c>
      <c r="DO25" t="b">
        <v>0</v>
      </c>
      <c r="DP25">
        <v>1783878319</v>
      </c>
      <c r="DQ25">
        <v>419.99096774193538</v>
      </c>
      <c r="DR25">
        <v>440.21483870967739</v>
      </c>
      <c r="DS25">
        <v>20.356335483870971</v>
      </c>
      <c r="DT25">
        <v>19.02723870967742</v>
      </c>
      <c r="DU25">
        <v>425.98700000000002</v>
      </c>
      <c r="DV25">
        <v>20.972487096774191</v>
      </c>
      <c r="DW25">
        <v>500.00387096774188</v>
      </c>
      <c r="DX25">
        <v>98.485325806451627</v>
      </c>
      <c r="DY25">
        <v>5.1803174193548393E-2</v>
      </c>
      <c r="DZ25">
        <v>24.501567741935482</v>
      </c>
      <c r="EA25">
        <v>24.989251612903221</v>
      </c>
      <c r="EB25">
        <v>999.90000000000032</v>
      </c>
      <c r="EC25">
        <v>0</v>
      </c>
      <c r="ED25">
        <v>0</v>
      </c>
      <c r="EE25">
        <v>10000.16129032258</v>
      </c>
      <c r="EF25">
        <v>0</v>
      </c>
      <c r="EG25">
        <v>1679.0493548387101</v>
      </c>
      <c r="EH25">
        <v>-20.2239</v>
      </c>
      <c r="EI25">
        <v>428.7181290322581</v>
      </c>
      <c r="EJ25">
        <v>448.75335483870958</v>
      </c>
      <c r="EK25">
        <v>1.3291054838709671</v>
      </c>
      <c r="EL25">
        <v>440.21483870967739</v>
      </c>
      <c r="EM25">
        <v>19.02723870967742</v>
      </c>
      <c r="EN25">
        <v>2.0048003225806461</v>
      </c>
      <c r="EO25">
        <v>1.873902903225807</v>
      </c>
      <c r="EP25">
        <v>17.482309677419359</v>
      </c>
      <c r="EQ25">
        <v>16.41728387096774</v>
      </c>
      <c r="ER25">
        <v>300.00864516129019</v>
      </c>
      <c r="ES25">
        <v>0.96700574193548394</v>
      </c>
      <c r="ET25">
        <v>3.2994029032258058E-2</v>
      </c>
      <c r="EU25">
        <v>0</v>
      </c>
      <c r="EV25">
        <v>776.56512903225803</v>
      </c>
      <c r="EW25">
        <v>5.0010700000000003</v>
      </c>
      <c r="EX25">
        <v>6641.5119354838689</v>
      </c>
      <c r="EY25">
        <v>2668.1112903225812</v>
      </c>
      <c r="EZ25">
        <v>40</v>
      </c>
      <c r="FA25">
        <v>44.5</v>
      </c>
      <c r="FB25">
        <v>42.170999999999999</v>
      </c>
      <c r="FC25">
        <v>44.057999999999979</v>
      </c>
      <c r="FD25">
        <v>41.877000000000002</v>
      </c>
      <c r="FE25">
        <v>285.27322580645159</v>
      </c>
      <c r="FF25">
        <v>9.7325806451612937</v>
      </c>
      <c r="FG25">
        <v>0</v>
      </c>
      <c r="FH25">
        <v>182.0999999046326</v>
      </c>
      <c r="FI25">
        <v>0</v>
      </c>
      <c r="FJ25">
        <v>776.5765294117648</v>
      </c>
      <c r="FK25">
        <v>-1.571323582019249</v>
      </c>
      <c r="FL25">
        <v>275.77205660977052</v>
      </c>
      <c r="FM25">
        <v>6946.1594117647064</v>
      </c>
      <c r="FN25">
        <v>10</v>
      </c>
      <c r="FO25">
        <v>1783878266.5</v>
      </c>
      <c r="FP25" t="s">
        <v>559</v>
      </c>
      <c r="FQ25">
        <v>1783878265.5</v>
      </c>
      <c r="FR25">
        <v>1783878266.5</v>
      </c>
      <c r="FS25">
        <v>37</v>
      </c>
      <c r="FT25">
        <v>-7.5999999999999998E-2</v>
      </c>
      <c r="FU25">
        <v>-8.0000000000000002E-3</v>
      </c>
      <c r="FV25">
        <v>-6.0750000000000002</v>
      </c>
      <c r="FW25">
        <v>-0.66500000000000004</v>
      </c>
      <c r="FX25">
        <v>441</v>
      </c>
      <c r="FY25">
        <v>18</v>
      </c>
      <c r="FZ25">
        <v>0.28999999999999998</v>
      </c>
      <c r="GA25">
        <v>0.19</v>
      </c>
      <c r="GB25">
        <v>419.98723333333328</v>
      </c>
      <c r="GC25">
        <v>0.28802669632836531</v>
      </c>
      <c r="GD25">
        <v>6.9153299913229022E-2</v>
      </c>
      <c r="GE25">
        <v>-1</v>
      </c>
      <c r="GF25">
        <v>776.57873529411768</v>
      </c>
      <c r="GG25">
        <v>-0.63998472635279668</v>
      </c>
      <c r="GH25">
        <v>0.25138759724465998</v>
      </c>
      <c r="GI25">
        <v>1</v>
      </c>
      <c r="GJ25">
        <v>1.3179099999999999</v>
      </c>
      <c r="GK25">
        <v>0.172553245778611</v>
      </c>
      <c r="GL25">
        <v>3.5017294869821129E-2</v>
      </c>
      <c r="GM25">
        <v>1</v>
      </c>
      <c r="GN25">
        <v>2</v>
      </c>
      <c r="GO25">
        <v>2</v>
      </c>
      <c r="GP25" t="s">
        <v>423</v>
      </c>
      <c r="GQ25">
        <v>3.1295099999999998</v>
      </c>
      <c r="GR25">
        <v>2.7271100000000001</v>
      </c>
      <c r="GS25">
        <v>9.1533199999999995E-2</v>
      </c>
      <c r="GT25">
        <v>9.4531900000000002E-2</v>
      </c>
      <c r="GU25">
        <v>0.101731</v>
      </c>
      <c r="GV25">
        <v>9.5292600000000005E-2</v>
      </c>
      <c r="GW25">
        <v>22699.8</v>
      </c>
      <c r="GX25">
        <v>30335.1</v>
      </c>
      <c r="GY25">
        <v>27117.4</v>
      </c>
      <c r="GZ25">
        <v>34469.199999999997</v>
      </c>
      <c r="HA25">
        <v>35698.800000000003</v>
      </c>
      <c r="HB25">
        <v>39515.5</v>
      </c>
      <c r="HC25">
        <v>40058.6</v>
      </c>
      <c r="HD25">
        <v>43753.9</v>
      </c>
      <c r="HE25">
        <v>1.9244000000000001</v>
      </c>
      <c r="HF25">
        <v>1.6761999999999999</v>
      </c>
      <c r="HG25">
        <v>-0.13738900000000001</v>
      </c>
      <c r="HH25">
        <v>0</v>
      </c>
      <c r="HI25">
        <v>27.241199999999999</v>
      </c>
      <c r="HJ25">
        <v>999.9</v>
      </c>
      <c r="HK25">
        <v>43.1</v>
      </c>
      <c r="HL25">
        <v>46.3</v>
      </c>
      <c r="HM25">
        <v>45.088500000000003</v>
      </c>
      <c r="HN25">
        <v>61.505899999999997</v>
      </c>
      <c r="HO25">
        <v>6.6426299999999996</v>
      </c>
      <c r="HP25">
        <v>1</v>
      </c>
      <c r="HQ25">
        <v>0.78475600000000001</v>
      </c>
      <c r="HR25">
        <v>7.9868800000000002</v>
      </c>
      <c r="HS25">
        <v>20.064900000000002</v>
      </c>
      <c r="HT25">
        <v>5.2088999999999999</v>
      </c>
      <c r="HU25">
        <v>11.914099999999999</v>
      </c>
      <c r="HV25">
        <v>4.9843999999999999</v>
      </c>
      <c r="HW25">
        <v>3.2709999999999999</v>
      </c>
      <c r="HX25">
        <v>9999</v>
      </c>
      <c r="HY25">
        <v>9999</v>
      </c>
      <c r="HZ25">
        <v>9999</v>
      </c>
      <c r="IA25">
        <v>999.9</v>
      </c>
      <c r="IB25">
        <v>1.86758</v>
      </c>
      <c r="IC25">
        <v>1.86328</v>
      </c>
      <c r="ID25">
        <v>1.8627899999999999</v>
      </c>
      <c r="IE25">
        <v>1.8623400000000001</v>
      </c>
      <c r="IF25">
        <v>1.8623400000000001</v>
      </c>
      <c r="IG25">
        <v>1.8627899999999999</v>
      </c>
      <c r="IH25">
        <v>1.86371</v>
      </c>
      <c r="II25">
        <v>1.86172</v>
      </c>
      <c r="IJ25">
        <v>0</v>
      </c>
      <c r="IK25">
        <v>0</v>
      </c>
      <c r="IL25">
        <v>0</v>
      </c>
      <c r="IM25">
        <v>4.5</v>
      </c>
      <c r="IN25" t="s">
        <v>411</v>
      </c>
      <c r="IO25" t="s">
        <v>412</v>
      </c>
      <c r="IP25" t="s">
        <v>413</v>
      </c>
      <c r="IQ25" t="s">
        <v>414</v>
      </c>
      <c r="IR25" t="s">
        <v>414</v>
      </c>
      <c r="IS25" t="s">
        <v>413</v>
      </c>
      <c r="IT25">
        <v>0</v>
      </c>
      <c r="IU25">
        <v>100</v>
      </c>
      <c r="IV25">
        <v>100</v>
      </c>
      <c r="IW25">
        <v>-5.9960000000000004</v>
      </c>
      <c r="IX25">
        <v>-0.61619999999999997</v>
      </c>
      <c r="IY25">
        <v>-4.0084252290635636</v>
      </c>
      <c r="IZ25">
        <v>-5.6215304933332991E-3</v>
      </c>
      <c r="JA25">
        <v>2.3979931213773931E-6</v>
      </c>
      <c r="JB25">
        <v>-3.6297174575716598E-10</v>
      </c>
      <c r="JC25">
        <v>-0.92732115334075393</v>
      </c>
      <c r="JD25">
        <v>2.7492919904454862E-4</v>
      </c>
      <c r="JE25">
        <v>8.6739513355948885E-4</v>
      </c>
      <c r="JF25">
        <v>-8.2500691715147318E-6</v>
      </c>
      <c r="JG25">
        <v>17</v>
      </c>
      <c r="JH25">
        <v>1914</v>
      </c>
      <c r="JI25">
        <v>2</v>
      </c>
      <c r="JJ25">
        <v>37</v>
      </c>
      <c r="JK25">
        <v>1</v>
      </c>
      <c r="JL25">
        <v>1</v>
      </c>
      <c r="JM25">
        <v>1.1340300000000001</v>
      </c>
      <c r="JN25">
        <v>2.5830099999999998</v>
      </c>
      <c r="JO25">
        <v>1.50024</v>
      </c>
      <c r="JP25">
        <v>2.2619600000000002</v>
      </c>
      <c r="JQ25">
        <v>1.4477500000000001</v>
      </c>
      <c r="JR25">
        <v>2.48169</v>
      </c>
      <c r="JS25">
        <v>48.825800000000001</v>
      </c>
      <c r="JT25">
        <v>23.982399999999998</v>
      </c>
      <c r="JU25">
        <v>18</v>
      </c>
      <c r="JV25">
        <v>534.62099999999998</v>
      </c>
      <c r="JW25">
        <v>388.01499999999999</v>
      </c>
      <c r="JX25">
        <v>20.081600000000002</v>
      </c>
      <c r="JY25">
        <v>36.563000000000002</v>
      </c>
      <c r="JZ25">
        <v>29.9999</v>
      </c>
      <c r="KA25">
        <v>36.481099999999998</v>
      </c>
      <c r="KB25">
        <v>36.476100000000002</v>
      </c>
      <c r="KC25">
        <v>22.682700000000001</v>
      </c>
      <c r="KD25">
        <v>55.212600000000002</v>
      </c>
      <c r="KE25">
        <v>0</v>
      </c>
      <c r="KF25">
        <v>20.084299999999999</v>
      </c>
      <c r="KG25">
        <v>440.19</v>
      </c>
      <c r="KH25">
        <v>19.0929</v>
      </c>
      <c r="KI25">
        <v>100.10299999999999</v>
      </c>
      <c r="KJ25">
        <v>98.421300000000002</v>
      </c>
    </row>
    <row r="26" spans="1:296" x14ac:dyDescent="0.3">
      <c r="A26">
        <v>10</v>
      </c>
      <c r="B26">
        <v>1783878509.5</v>
      </c>
      <c r="C26">
        <v>1661.400000095367</v>
      </c>
      <c r="D26" t="s">
        <v>560</v>
      </c>
      <c r="E26" t="s">
        <v>561</v>
      </c>
      <c r="F26">
        <v>15</v>
      </c>
      <c r="H26">
        <v>1783878501.5</v>
      </c>
      <c r="I26">
        <f t="shared" si="0"/>
        <v>1.0537882757033689E-3</v>
      </c>
      <c r="J26">
        <f t="shared" si="1"/>
        <v>1.053788275703369</v>
      </c>
      <c r="K26">
        <f t="shared" si="2"/>
        <v>7.115772017648907</v>
      </c>
      <c r="L26">
        <f t="shared" si="3"/>
        <v>421.16593548387101</v>
      </c>
      <c r="M26">
        <f t="shared" si="4"/>
        <v>282.95556114810233</v>
      </c>
      <c r="N26">
        <f t="shared" si="5"/>
        <v>27.880988563645154</v>
      </c>
      <c r="O26">
        <f t="shared" si="6"/>
        <v>41.499529406586014</v>
      </c>
      <c r="P26">
        <f t="shared" si="7"/>
        <v>8.7918113686388813E-2</v>
      </c>
      <c r="Q26">
        <f t="shared" si="8"/>
        <v>2.9032120558496248</v>
      </c>
      <c r="R26">
        <f t="shared" si="9"/>
        <v>8.6465359597497474E-2</v>
      </c>
      <c r="S26">
        <f t="shared" si="10"/>
        <v>5.4169374350808611E-2</v>
      </c>
      <c r="T26">
        <f t="shared" si="11"/>
        <v>32.479766538033537</v>
      </c>
      <c r="U26">
        <f t="shared" si="12"/>
        <v>24.258200737959942</v>
      </c>
      <c r="V26">
        <f t="shared" si="13"/>
        <v>24.841177419354839</v>
      </c>
      <c r="W26">
        <f t="shared" si="14"/>
        <v>3.1496939497192971</v>
      </c>
      <c r="X26">
        <f t="shared" si="15"/>
        <v>64.772089904291363</v>
      </c>
      <c r="Y26">
        <f t="shared" si="16"/>
        <v>1.9800689579240021</v>
      </c>
      <c r="Z26">
        <f t="shared" si="17"/>
        <v>3.0569786475159204</v>
      </c>
      <c r="AA26">
        <f t="shared" si="18"/>
        <v>1.169624991795295</v>
      </c>
      <c r="AB26">
        <f t="shared" si="19"/>
        <v>-46.47206295851857</v>
      </c>
      <c r="AC26">
        <f t="shared" si="20"/>
        <v>-78.19839657682779</v>
      </c>
      <c r="AD26">
        <f t="shared" si="21"/>
        <v>-5.6740297135905307</v>
      </c>
      <c r="AE26">
        <f t="shared" si="22"/>
        <v>-97.864722710903351</v>
      </c>
      <c r="AF26">
        <f t="shared" si="23"/>
        <v>7.115772017648907</v>
      </c>
      <c r="AG26">
        <f t="shared" si="24"/>
        <v>1.053788275703369</v>
      </c>
      <c r="AH26">
        <f t="shared" si="25"/>
        <v>6.705754324318562</v>
      </c>
      <c r="AI26">
        <v>437.94083486044849</v>
      </c>
      <c r="AJ26">
        <v>429.77066666666661</v>
      </c>
      <c r="AK26">
        <v>-5.8162062496550301E-3</v>
      </c>
      <c r="AL26">
        <v>67.082902741700224</v>
      </c>
      <c r="AM26">
        <f t="shared" si="26"/>
        <v>0.94036590259271402</v>
      </c>
      <c r="AN26">
        <v>18.866355395064939</v>
      </c>
      <c r="AO26">
        <v>20.038695151515149</v>
      </c>
      <c r="AP26">
        <v>-1.06400692640628E-2</v>
      </c>
      <c r="AQ26">
        <v>78.55</v>
      </c>
      <c r="AR26">
        <v>0</v>
      </c>
      <c r="AS26">
        <v>0</v>
      </c>
      <c r="AT26">
        <f t="shared" si="27"/>
        <v>1</v>
      </c>
      <c r="AU26">
        <f t="shared" si="28"/>
        <v>0</v>
      </c>
      <c r="AV26">
        <f t="shared" si="29"/>
        <v>52552.512803037265</v>
      </c>
      <c r="AW26" t="s">
        <v>525</v>
      </c>
      <c r="AX26">
        <v>5085.43</v>
      </c>
      <c r="AY26">
        <v>578.66176470588232</v>
      </c>
      <c r="AZ26">
        <v>2362.06</v>
      </c>
      <c r="BA26">
        <f t="shared" si="30"/>
        <v>0.7550181770548241</v>
      </c>
      <c r="BB26">
        <v>-2.144709974229277</v>
      </c>
      <c r="BC26" t="s">
        <v>562</v>
      </c>
      <c r="BD26">
        <v>5096.13</v>
      </c>
      <c r="BE26">
        <v>768.23317647058821</v>
      </c>
      <c r="BF26">
        <v>1888.47</v>
      </c>
      <c r="BG26">
        <f t="shared" si="31"/>
        <v>0.59319810403628959</v>
      </c>
      <c r="BH26">
        <v>0.5</v>
      </c>
      <c r="BI26">
        <f t="shared" si="32"/>
        <v>168.26704658330331</v>
      </c>
      <c r="BJ26">
        <f t="shared" si="33"/>
        <v>7.115772017648907</v>
      </c>
      <c r="BK26">
        <f t="shared" si="34"/>
        <v>49.907846502500774</v>
      </c>
      <c r="BL26">
        <f t="shared" si="35"/>
        <v>5.5034435915493604E-2</v>
      </c>
      <c r="BM26">
        <f t="shared" si="36"/>
        <v>0.25077973174050949</v>
      </c>
      <c r="BN26">
        <f t="shared" si="37"/>
        <v>545.16853139818613</v>
      </c>
      <c r="BO26" t="s">
        <v>407</v>
      </c>
      <c r="BP26">
        <v>0</v>
      </c>
      <c r="BQ26">
        <f t="shared" si="38"/>
        <v>545.16853139818613</v>
      </c>
      <c r="BR26">
        <f t="shared" si="39"/>
        <v>0.71131734610653807</v>
      </c>
      <c r="BS26">
        <f t="shared" si="40"/>
        <v>0.83394297535862838</v>
      </c>
      <c r="BT26">
        <f t="shared" si="41"/>
        <v>0.26065948802349237</v>
      </c>
      <c r="BU26">
        <f t="shared" si="42"/>
        <v>0.85526781199223589</v>
      </c>
      <c r="BV26">
        <f t="shared" si="43"/>
        <v>0.26555482147928422</v>
      </c>
      <c r="BW26">
        <f t="shared" si="44"/>
        <v>0.59179879373968047</v>
      </c>
      <c r="BX26">
        <f t="shared" si="45"/>
        <v>0.40820120626031953</v>
      </c>
      <c r="DG26">
        <f t="shared" si="46"/>
        <v>199.96964516129029</v>
      </c>
      <c r="DH26">
        <f t="shared" si="47"/>
        <v>168.26704658330331</v>
      </c>
      <c r="DI26">
        <f t="shared" si="48"/>
        <v>0.84146294527643695</v>
      </c>
      <c r="DJ26">
        <f t="shared" si="49"/>
        <v>0.16242348438352336</v>
      </c>
      <c r="DK26">
        <v>6</v>
      </c>
      <c r="DL26">
        <v>0.5</v>
      </c>
      <c r="DM26" t="s">
        <v>408</v>
      </c>
      <c r="DN26">
        <v>2</v>
      </c>
      <c r="DO26" t="b">
        <v>0</v>
      </c>
      <c r="DP26">
        <v>1783878501.5</v>
      </c>
      <c r="DQ26">
        <v>421.16593548387101</v>
      </c>
      <c r="DR26">
        <v>430.2370967741935</v>
      </c>
      <c r="DS26">
        <v>20.095109677419359</v>
      </c>
      <c r="DT26">
        <v>18.85602258064516</v>
      </c>
      <c r="DU26">
        <v>427.13341935483868</v>
      </c>
      <c r="DV26">
        <v>20.733025806451611</v>
      </c>
      <c r="DW26">
        <v>500.01922580645157</v>
      </c>
      <c r="DX26">
        <v>98.483980645161296</v>
      </c>
      <c r="DY26">
        <v>5.0886280645161278E-2</v>
      </c>
      <c r="DZ26">
        <v>24.34156451612904</v>
      </c>
      <c r="EA26">
        <v>24.841177419354839</v>
      </c>
      <c r="EB26">
        <v>999.90000000000032</v>
      </c>
      <c r="EC26">
        <v>0</v>
      </c>
      <c r="ED26">
        <v>0</v>
      </c>
      <c r="EE26">
        <v>10002.258064516131</v>
      </c>
      <c r="EF26">
        <v>0</v>
      </c>
      <c r="EG26">
        <v>287.43812903225802</v>
      </c>
      <c r="EH26">
        <v>-9.0711909677419342</v>
      </c>
      <c r="EI26">
        <v>429.80283870967747</v>
      </c>
      <c r="EJ26">
        <v>438.50564516129037</v>
      </c>
      <c r="EK26">
        <v>1.2390987096774191</v>
      </c>
      <c r="EL26">
        <v>430.2370967741935</v>
      </c>
      <c r="EM26">
        <v>18.85602258064516</v>
      </c>
      <c r="EN26">
        <v>1.979046451612904</v>
      </c>
      <c r="EO26">
        <v>1.8570158064516129</v>
      </c>
      <c r="EP26">
        <v>17.277664516129029</v>
      </c>
      <c r="EQ26">
        <v>16.275145161290329</v>
      </c>
      <c r="ER26">
        <v>199.96964516129029</v>
      </c>
      <c r="ES26">
        <v>0.94996851612903221</v>
      </c>
      <c r="ET26">
        <v>5.0031667741935473E-2</v>
      </c>
      <c r="EU26">
        <v>0</v>
      </c>
      <c r="EV26">
        <v>767.68445161290322</v>
      </c>
      <c r="EW26">
        <v>5.0010700000000003</v>
      </c>
      <c r="EX26">
        <v>2429.789677419355</v>
      </c>
      <c r="EY26">
        <v>1751.531612903226</v>
      </c>
      <c r="EZ26">
        <v>39.467483870967733</v>
      </c>
      <c r="FA26">
        <v>43.997677419354822</v>
      </c>
      <c r="FB26">
        <v>41.747870967741918</v>
      </c>
      <c r="FC26">
        <v>43.598548387096763</v>
      </c>
      <c r="FD26">
        <v>41.467548387096762</v>
      </c>
      <c r="FE26">
        <v>185.2132258064515</v>
      </c>
      <c r="FF26">
        <v>9.751290322580644</v>
      </c>
      <c r="FG26">
        <v>0</v>
      </c>
      <c r="FH26">
        <v>181.79999995231631</v>
      </c>
      <c r="FI26">
        <v>0</v>
      </c>
      <c r="FJ26">
        <v>768.23317647058821</v>
      </c>
      <c r="FK26">
        <v>8.3017157464006797</v>
      </c>
      <c r="FL26">
        <v>-29.571077132213041</v>
      </c>
      <c r="FM26">
        <v>2428.4658823529421</v>
      </c>
      <c r="FN26">
        <v>10</v>
      </c>
      <c r="FO26">
        <v>1783878449</v>
      </c>
      <c r="FP26" t="s">
        <v>563</v>
      </c>
      <c r="FQ26">
        <v>1783878442.5</v>
      </c>
      <c r="FR26">
        <v>1783878449</v>
      </c>
      <c r="FS26">
        <v>38</v>
      </c>
      <c r="FT26">
        <v>3.3000000000000002E-2</v>
      </c>
      <c r="FU26">
        <v>-1.6E-2</v>
      </c>
      <c r="FV26">
        <v>-6.016</v>
      </c>
      <c r="FW26">
        <v>-0.65900000000000003</v>
      </c>
      <c r="FX26">
        <v>434</v>
      </c>
      <c r="FY26">
        <v>19</v>
      </c>
      <c r="FZ26">
        <v>0.55000000000000004</v>
      </c>
      <c r="GA26">
        <v>0.26</v>
      </c>
      <c r="GB26">
        <v>421.1693225806452</v>
      </c>
      <c r="GC26">
        <v>0.1005000000006729</v>
      </c>
      <c r="GD26">
        <v>5.4902486633128543E-2</v>
      </c>
      <c r="GE26">
        <v>-1</v>
      </c>
      <c r="GF26">
        <v>766.96038235294122</v>
      </c>
      <c r="GG26">
        <v>12.693735681009461</v>
      </c>
      <c r="GH26">
        <v>1.292943359268617</v>
      </c>
      <c r="GI26">
        <v>0</v>
      </c>
      <c r="GJ26">
        <v>1.3481387804878051</v>
      </c>
      <c r="GK26">
        <v>-1.580243832752612</v>
      </c>
      <c r="GL26">
        <v>0.17095812531350449</v>
      </c>
      <c r="GM26">
        <v>0</v>
      </c>
      <c r="GN26">
        <v>0</v>
      </c>
      <c r="GO26">
        <v>2</v>
      </c>
      <c r="GP26" t="s">
        <v>440</v>
      </c>
      <c r="GQ26">
        <v>3.1304500000000002</v>
      </c>
      <c r="GR26">
        <v>2.7278099999999998</v>
      </c>
      <c r="GS26">
        <v>9.16965E-2</v>
      </c>
      <c r="GT26">
        <v>9.2787700000000001E-2</v>
      </c>
      <c r="GU26">
        <v>0.100678</v>
      </c>
      <c r="GV26">
        <v>9.4694299999999995E-2</v>
      </c>
      <c r="GW26">
        <v>22697.4</v>
      </c>
      <c r="GX26">
        <v>30396</v>
      </c>
      <c r="GY26">
        <v>27119.3</v>
      </c>
      <c r="GZ26">
        <v>34471.699999999997</v>
      </c>
      <c r="HA26">
        <v>35742.300000000003</v>
      </c>
      <c r="HB26">
        <v>39544.5</v>
      </c>
      <c r="HC26">
        <v>40060.800000000003</v>
      </c>
      <c r="HD26">
        <v>43757.4</v>
      </c>
      <c r="HE26">
        <v>1.9288000000000001</v>
      </c>
      <c r="HF26">
        <v>1.6759999999999999</v>
      </c>
      <c r="HG26">
        <v>-0.128001</v>
      </c>
      <c r="HH26">
        <v>0</v>
      </c>
      <c r="HI26">
        <v>26.960699999999999</v>
      </c>
      <c r="HJ26">
        <v>999.9</v>
      </c>
      <c r="HK26">
        <v>43</v>
      </c>
      <c r="HL26">
        <v>46.3</v>
      </c>
      <c r="HM26">
        <v>44.987000000000002</v>
      </c>
      <c r="HN26">
        <v>61.2759</v>
      </c>
      <c r="HO26">
        <v>6.6065699999999996</v>
      </c>
      <c r="HP26">
        <v>1</v>
      </c>
      <c r="HQ26">
        <v>0.76585400000000003</v>
      </c>
      <c r="HR26">
        <v>5.6652300000000002</v>
      </c>
      <c r="HS26">
        <v>20.1554</v>
      </c>
      <c r="HT26">
        <v>5.2100999999999997</v>
      </c>
      <c r="HU26">
        <v>11.914099999999999</v>
      </c>
      <c r="HV26">
        <v>4.9836</v>
      </c>
      <c r="HW26">
        <v>3.2709999999999999</v>
      </c>
      <c r="HX26">
        <v>9999</v>
      </c>
      <c r="HY26">
        <v>9999</v>
      </c>
      <c r="HZ26">
        <v>9999</v>
      </c>
      <c r="IA26">
        <v>999.9</v>
      </c>
      <c r="IB26">
        <v>1.8676200000000001</v>
      </c>
      <c r="IC26">
        <v>1.86331</v>
      </c>
      <c r="ID26">
        <v>1.8627899999999999</v>
      </c>
      <c r="IE26">
        <v>1.8623400000000001</v>
      </c>
      <c r="IF26">
        <v>1.8623400000000001</v>
      </c>
      <c r="IG26">
        <v>1.8627899999999999</v>
      </c>
      <c r="IH26">
        <v>1.86374</v>
      </c>
      <c r="II26">
        <v>1.86175</v>
      </c>
      <c r="IJ26">
        <v>0</v>
      </c>
      <c r="IK26">
        <v>0</v>
      </c>
      <c r="IL26">
        <v>0</v>
      </c>
      <c r="IM26">
        <v>4.5</v>
      </c>
      <c r="IN26" t="s">
        <v>411</v>
      </c>
      <c r="IO26" t="s">
        <v>412</v>
      </c>
      <c r="IP26" t="s">
        <v>413</v>
      </c>
      <c r="IQ26" t="s">
        <v>414</v>
      </c>
      <c r="IR26" t="s">
        <v>414</v>
      </c>
      <c r="IS26" t="s">
        <v>413</v>
      </c>
      <c r="IT26">
        <v>0</v>
      </c>
      <c r="IU26">
        <v>100</v>
      </c>
      <c r="IV26">
        <v>100</v>
      </c>
      <c r="IW26">
        <v>-5.9669999999999996</v>
      </c>
      <c r="IX26">
        <v>-0.63949999999999996</v>
      </c>
      <c r="IY26">
        <v>-3.975454407560663</v>
      </c>
      <c r="IZ26">
        <v>-5.6215304933332991E-3</v>
      </c>
      <c r="JA26">
        <v>2.3979931213773931E-6</v>
      </c>
      <c r="JB26">
        <v>-3.6297174575716598E-10</v>
      </c>
      <c r="JC26">
        <v>-0.94293978982704418</v>
      </c>
      <c r="JD26">
        <v>2.7492919904454862E-4</v>
      </c>
      <c r="JE26">
        <v>8.6739513355948885E-4</v>
      </c>
      <c r="JF26">
        <v>-8.2500691715147318E-6</v>
      </c>
      <c r="JG26">
        <v>17</v>
      </c>
      <c r="JH26">
        <v>1914</v>
      </c>
      <c r="JI26">
        <v>2</v>
      </c>
      <c r="JJ26">
        <v>37</v>
      </c>
      <c r="JK26">
        <v>1.1000000000000001</v>
      </c>
      <c r="JL26">
        <v>1</v>
      </c>
      <c r="JM26">
        <v>1.11084</v>
      </c>
      <c r="JN26">
        <v>2.5781200000000002</v>
      </c>
      <c r="JO26">
        <v>1.50024</v>
      </c>
      <c r="JP26">
        <v>2.2619600000000002</v>
      </c>
      <c r="JQ26">
        <v>1.4477500000000001</v>
      </c>
      <c r="JR26">
        <v>2.4670399999999999</v>
      </c>
      <c r="JS26">
        <v>48.825800000000001</v>
      </c>
      <c r="JT26">
        <v>24.017499999999998</v>
      </c>
      <c r="JU26">
        <v>18</v>
      </c>
      <c r="JV26">
        <v>537.78</v>
      </c>
      <c r="JW26">
        <v>388.03300000000002</v>
      </c>
      <c r="JX26">
        <v>21.270399999999999</v>
      </c>
      <c r="JY26">
        <v>36.528799999999997</v>
      </c>
      <c r="JZ26">
        <v>29.9984</v>
      </c>
      <c r="KA26">
        <v>36.508000000000003</v>
      </c>
      <c r="KB26">
        <v>36.499299999999998</v>
      </c>
      <c r="KC26">
        <v>22.2225</v>
      </c>
      <c r="KD26">
        <v>55.488100000000003</v>
      </c>
      <c r="KE26">
        <v>0</v>
      </c>
      <c r="KF26">
        <v>21.2517</v>
      </c>
      <c r="KG26">
        <v>429.13200000000001</v>
      </c>
      <c r="KH26">
        <v>18.884599999999999</v>
      </c>
      <c r="KI26">
        <v>100.10899999999999</v>
      </c>
      <c r="KJ26">
        <v>98.428799999999995</v>
      </c>
    </row>
    <row r="27" spans="1:296" x14ac:dyDescent="0.3">
      <c r="A27">
        <v>11</v>
      </c>
      <c r="B27">
        <v>1783878692</v>
      </c>
      <c r="C27">
        <v>1843.900000095367</v>
      </c>
      <c r="D27" t="s">
        <v>564</v>
      </c>
      <c r="E27" t="s">
        <v>565</v>
      </c>
      <c r="F27">
        <v>15</v>
      </c>
      <c r="H27">
        <v>1783878684.25</v>
      </c>
      <c r="I27">
        <f t="shared" si="0"/>
        <v>6.6709743558989074E-6</v>
      </c>
      <c r="J27">
        <f t="shared" si="1"/>
        <v>6.6709743558989072E-3</v>
      </c>
      <c r="K27">
        <f t="shared" si="2"/>
        <v>4.3196762884220581</v>
      </c>
      <c r="L27">
        <f t="shared" si="3"/>
        <v>419.78426666666661</v>
      </c>
      <c r="M27">
        <f t="shared" si="4"/>
        <v>-11967.435985485015</v>
      </c>
      <c r="N27">
        <f t="shared" si="5"/>
        <v>-1179.1616243329768</v>
      </c>
      <c r="O27">
        <f t="shared" si="6"/>
        <v>41.361700062775228</v>
      </c>
      <c r="P27">
        <f t="shared" si="7"/>
        <v>5.5302767350582933E-4</v>
      </c>
      <c r="Q27">
        <f t="shared" si="8"/>
        <v>2.9026646107067866</v>
      </c>
      <c r="R27">
        <f t="shared" si="9"/>
        <v>5.5296914401827739E-4</v>
      </c>
      <c r="S27">
        <f t="shared" si="10"/>
        <v>3.4561097300541408E-4</v>
      </c>
      <c r="T27">
        <f t="shared" si="11"/>
        <v>16.511558045682261</v>
      </c>
      <c r="U27">
        <f t="shared" si="12"/>
        <v>24.817739037674659</v>
      </c>
      <c r="V27">
        <f t="shared" si="13"/>
        <v>25.057776666666669</v>
      </c>
      <c r="W27">
        <f t="shared" si="14"/>
        <v>3.190646781599344</v>
      </c>
      <c r="X27">
        <f t="shared" si="15"/>
        <v>65.026038265991005</v>
      </c>
      <c r="Y27">
        <f t="shared" si="16"/>
        <v>2.03349049372637</v>
      </c>
      <c r="Z27">
        <f t="shared" si="17"/>
        <v>3.1271941947444422</v>
      </c>
      <c r="AA27">
        <f t="shared" si="18"/>
        <v>1.157156287872974</v>
      </c>
      <c r="AB27">
        <f t="shared" si="19"/>
        <v>-0.29418996909514183</v>
      </c>
      <c r="AC27">
        <f t="shared" si="20"/>
        <v>-52.681838204874445</v>
      </c>
      <c r="AD27">
        <f t="shared" si="21"/>
        <v>-3.8347829141415182</v>
      </c>
      <c r="AE27">
        <f t="shared" si="22"/>
        <v>-40.299253042428845</v>
      </c>
      <c r="AF27">
        <f t="shared" si="23"/>
        <v>4.3196762884220581</v>
      </c>
      <c r="AG27">
        <f t="shared" si="24"/>
        <v>6.6709743558989072E-3</v>
      </c>
      <c r="AH27">
        <f t="shared" si="25"/>
        <v>4.5532499126775452</v>
      </c>
      <c r="AI27">
        <v>434.1453225161348</v>
      </c>
      <c r="AJ27">
        <v>428.61403030303018</v>
      </c>
      <c r="AK27">
        <v>-8.9486144974161297E-3</v>
      </c>
      <c r="AL27">
        <v>67.070107287830638</v>
      </c>
      <c r="AM27">
        <f t="shared" si="26"/>
        <v>3.5132999177385944E-2</v>
      </c>
      <c r="AN27">
        <v>20.630300114025971</v>
      </c>
      <c r="AO27">
        <v>20.665338787878781</v>
      </c>
      <c r="AP27">
        <v>1.0004242424234309E-3</v>
      </c>
      <c r="AQ27">
        <v>78.55</v>
      </c>
      <c r="AR27">
        <v>0</v>
      </c>
      <c r="AS27">
        <v>0</v>
      </c>
      <c r="AT27">
        <f t="shared" si="27"/>
        <v>1</v>
      </c>
      <c r="AU27">
        <f t="shared" si="28"/>
        <v>0</v>
      </c>
      <c r="AV27">
        <f t="shared" si="29"/>
        <v>52469.647346469239</v>
      </c>
      <c r="AW27" t="s">
        <v>525</v>
      </c>
      <c r="AX27">
        <v>5085.43</v>
      </c>
      <c r="AY27">
        <v>578.66176470588232</v>
      </c>
      <c r="AZ27">
        <v>2362.06</v>
      </c>
      <c r="BA27">
        <f t="shared" si="30"/>
        <v>0.7550181770548241</v>
      </c>
      <c r="BB27">
        <v>-2.144709974229277</v>
      </c>
      <c r="BC27" t="s">
        <v>566</v>
      </c>
      <c r="BD27">
        <v>5097.8999999999996</v>
      </c>
      <c r="BE27">
        <v>736.25976470588228</v>
      </c>
      <c r="BF27">
        <v>1948.41</v>
      </c>
      <c r="BG27">
        <f t="shared" si="31"/>
        <v>0.62212277461833887</v>
      </c>
      <c r="BH27">
        <v>0.5</v>
      </c>
      <c r="BI27">
        <f t="shared" si="32"/>
        <v>84.295608674446797</v>
      </c>
      <c r="BJ27">
        <f t="shared" si="33"/>
        <v>4.3196762884220581</v>
      </c>
      <c r="BK27">
        <f t="shared" si="34"/>
        <v>26.221108978344279</v>
      </c>
      <c r="BL27">
        <f t="shared" si="35"/>
        <v>7.6687105820862717E-2</v>
      </c>
      <c r="BM27">
        <f t="shared" si="36"/>
        <v>0.21230131235212293</v>
      </c>
      <c r="BN27">
        <f t="shared" si="37"/>
        <v>550.05350265241395</v>
      </c>
      <c r="BO27" t="s">
        <v>407</v>
      </c>
      <c r="BP27">
        <v>0</v>
      </c>
      <c r="BQ27">
        <f t="shared" si="38"/>
        <v>550.05350265241395</v>
      </c>
      <c r="BR27">
        <f t="shared" si="39"/>
        <v>0.71769109034935463</v>
      </c>
      <c r="BS27">
        <f t="shared" si="40"/>
        <v>0.86683920559123107</v>
      </c>
      <c r="BT27">
        <f t="shared" si="41"/>
        <v>0.22828284589790404</v>
      </c>
      <c r="BU27">
        <f t="shared" si="42"/>
        <v>0.88494381964568847</v>
      </c>
      <c r="BV27">
        <f t="shared" si="43"/>
        <v>0.23194482971537808</v>
      </c>
      <c r="BW27">
        <f t="shared" si="44"/>
        <v>0.64760830908961287</v>
      </c>
      <c r="BX27">
        <f t="shared" si="45"/>
        <v>0.35239169091038713</v>
      </c>
      <c r="DG27">
        <f t="shared" si="46"/>
        <v>100.0129766666667</v>
      </c>
      <c r="DH27">
        <f t="shared" si="47"/>
        <v>84.295608674446797</v>
      </c>
      <c r="DI27">
        <f t="shared" si="48"/>
        <v>0.84284671333596717</v>
      </c>
      <c r="DJ27">
        <f t="shared" si="49"/>
        <v>0.16509415673841646</v>
      </c>
      <c r="DK27">
        <v>6</v>
      </c>
      <c r="DL27">
        <v>0.5</v>
      </c>
      <c r="DM27" t="s">
        <v>408</v>
      </c>
      <c r="DN27">
        <v>2</v>
      </c>
      <c r="DO27" t="b">
        <v>0</v>
      </c>
      <c r="DP27">
        <v>1783878684.25</v>
      </c>
      <c r="DQ27">
        <v>419.78426666666661</v>
      </c>
      <c r="DR27">
        <v>424.97126666666662</v>
      </c>
      <c r="DS27">
        <v>20.638110000000001</v>
      </c>
      <c r="DT27">
        <v>20.630269999999999</v>
      </c>
      <c r="DU27">
        <v>425.68983333333318</v>
      </c>
      <c r="DV27">
        <v>21.276013333333331</v>
      </c>
      <c r="DW27">
        <v>499.9973</v>
      </c>
      <c r="DX27">
        <v>98.480253333333351</v>
      </c>
      <c r="DY27">
        <v>5.0595360000000013E-2</v>
      </c>
      <c r="DZ27">
        <v>24.72112666666667</v>
      </c>
      <c r="EA27">
        <v>25.057776666666669</v>
      </c>
      <c r="EB27">
        <v>999.9000000000002</v>
      </c>
      <c r="EC27">
        <v>0</v>
      </c>
      <c r="ED27">
        <v>0</v>
      </c>
      <c r="EE27">
        <v>9999.5</v>
      </c>
      <c r="EF27">
        <v>0</v>
      </c>
      <c r="EG27">
        <v>1868.7809999999999</v>
      </c>
      <c r="EH27">
        <v>-5.1871270000000012</v>
      </c>
      <c r="EI27">
        <v>428.63043333333337</v>
      </c>
      <c r="EJ27">
        <v>433.92343333333332</v>
      </c>
      <c r="EK27">
        <v>7.8527460000000007E-3</v>
      </c>
      <c r="EL27">
        <v>424.97126666666662</v>
      </c>
      <c r="EM27">
        <v>20.630269999999999</v>
      </c>
      <c r="EN27">
        <v>2.0324469999999999</v>
      </c>
      <c r="EO27">
        <v>2.0316736666666668</v>
      </c>
      <c r="EP27">
        <v>17.699400000000001</v>
      </c>
      <c r="EQ27">
        <v>17.69336333333333</v>
      </c>
      <c r="ER27">
        <v>100.0129766666667</v>
      </c>
      <c r="ES27">
        <v>0.90008486666666676</v>
      </c>
      <c r="ET27">
        <v>9.9915320000000016E-2</v>
      </c>
      <c r="EU27">
        <v>0</v>
      </c>
      <c r="EV27">
        <v>736.40870000000007</v>
      </c>
      <c r="EW27">
        <v>5.0010700000000003</v>
      </c>
      <c r="EX27">
        <v>5235.8626666666678</v>
      </c>
      <c r="EY27">
        <v>836.71403333333319</v>
      </c>
      <c r="EZ27">
        <v>38.40186666666667</v>
      </c>
      <c r="FA27">
        <v>42.811999999999983</v>
      </c>
      <c r="FB27">
        <v>40.710099999999983</v>
      </c>
      <c r="FC27">
        <v>42.370800000000003</v>
      </c>
      <c r="FD27">
        <v>40.447499999999977</v>
      </c>
      <c r="FE27">
        <v>85.51900000000002</v>
      </c>
      <c r="FF27">
        <v>9.490000000000002</v>
      </c>
      <c r="FG27">
        <v>0</v>
      </c>
      <c r="FH27">
        <v>181.5999999046326</v>
      </c>
      <c r="FI27">
        <v>0</v>
      </c>
      <c r="FJ27">
        <v>736.25976470588228</v>
      </c>
      <c r="FK27">
        <v>-2.939950954987069</v>
      </c>
      <c r="FL27">
        <v>-196.1715683394369</v>
      </c>
      <c r="FM27">
        <v>5227.6194117647055</v>
      </c>
      <c r="FN27">
        <v>10</v>
      </c>
      <c r="FO27">
        <v>1783878637</v>
      </c>
      <c r="FP27" t="s">
        <v>567</v>
      </c>
      <c r="FQ27">
        <v>1783878636</v>
      </c>
      <c r="FR27">
        <v>1783878637</v>
      </c>
      <c r="FS27">
        <v>39</v>
      </c>
      <c r="FT27">
        <v>5.7000000000000002E-2</v>
      </c>
      <c r="FU27">
        <v>-1.4E-2</v>
      </c>
      <c r="FV27">
        <v>-5.9240000000000004</v>
      </c>
      <c r="FW27">
        <v>-0.65</v>
      </c>
      <c r="FX27">
        <v>425</v>
      </c>
      <c r="FY27">
        <v>20</v>
      </c>
      <c r="FZ27">
        <v>1.3</v>
      </c>
      <c r="GA27">
        <v>0.46</v>
      </c>
      <c r="GB27">
        <v>419.78426666666661</v>
      </c>
      <c r="GC27">
        <v>-0.20956618464928539</v>
      </c>
      <c r="GD27">
        <v>5.3548690200813688E-2</v>
      </c>
      <c r="GE27">
        <v>-1</v>
      </c>
      <c r="GF27">
        <v>736.5772352941176</v>
      </c>
      <c r="GG27">
        <v>-3.7891520207882712</v>
      </c>
      <c r="GH27">
        <v>0.41991904393609958</v>
      </c>
      <c r="GI27">
        <v>1</v>
      </c>
      <c r="GJ27">
        <v>1.402931525E-2</v>
      </c>
      <c r="GK27">
        <v>-1.5195668667917659E-3</v>
      </c>
      <c r="GL27">
        <v>2.635543839966089E-2</v>
      </c>
      <c r="GM27">
        <v>1</v>
      </c>
      <c r="GN27">
        <v>2</v>
      </c>
      <c r="GO27">
        <v>2</v>
      </c>
      <c r="GP27" t="s">
        <v>423</v>
      </c>
      <c r="GQ27">
        <v>3.1312500000000001</v>
      </c>
      <c r="GR27">
        <v>2.72702</v>
      </c>
      <c r="GS27">
        <v>9.1579099999999997E-2</v>
      </c>
      <c r="GT27">
        <v>9.2221700000000004E-2</v>
      </c>
      <c r="GU27">
        <v>0.10299899999999999</v>
      </c>
      <c r="GV27">
        <v>0.101089</v>
      </c>
      <c r="GW27">
        <v>22723.9</v>
      </c>
      <c r="GX27">
        <v>30453</v>
      </c>
      <c r="GY27">
        <v>27143.9</v>
      </c>
      <c r="GZ27">
        <v>34509.5</v>
      </c>
      <c r="HA27">
        <v>35679.800000000003</v>
      </c>
      <c r="HB27">
        <v>39300.300000000003</v>
      </c>
      <c r="HC27">
        <v>40096.699999999997</v>
      </c>
      <c r="HD27">
        <v>43797.2</v>
      </c>
      <c r="HE27">
        <v>1.9350000000000001</v>
      </c>
      <c r="HF27">
        <v>1.6910000000000001</v>
      </c>
      <c r="HG27">
        <v>-0.108629</v>
      </c>
      <c r="HH27">
        <v>0</v>
      </c>
      <c r="HI27">
        <v>26.8245</v>
      </c>
      <c r="HJ27">
        <v>999.9</v>
      </c>
      <c r="HK27">
        <v>42.7</v>
      </c>
      <c r="HL27">
        <v>46.2</v>
      </c>
      <c r="HM27">
        <v>44.451599999999999</v>
      </c>
      <c r="HN27">
        <v>61.515999999999998</v>
      </c>
      <c r="HO27">
        <v>6.3661899999999996</v>
      </c>
      <c r="HP27">
        <v>1</v>
      </c>
      <c r="HQ27">
        <v>0.72229699999999997</v>
      </c>
      <c r="HR27">
        <v>7.8649699999999996</v>
      </c>
      <c r="HS27">
        <v>20.071200000000001</v>
      </c>
      <c r="HT27">
        <v>5.2088999999999999</v>
      </c>
      <c r="HU27">
        <v>11.914099999999999</v>
      </c>
      <c r="HV27">
        <v>4.9847999999999999</v>
      </c>
      <c r="HW27">
        <v>3.2709999999999999</v>
      </c>
      <c r="HX27">
        <v>9999</v>
      </c>
      <c r="HY27">
        <v>9999</v>
      </c>
      <c r="HZ27">
        <v>9999</v>
      </c>
      <c r="IA27">
        <v>999.9</v>
      </c>
      <c r="IB27">
        <v>1.86758</v>
      </c>
      <c r="IC27">
        <v>1.8632500000000001</v>
      </c>
      <c r="ID27">
        <v>1.8627899999999999</v>
      </c>
      <c r="IE27">
        <v>1.8623400000000001</v>
      </c>
      <c r="IF27">
        <v>1.8623400000000001</v>
      </c>
      <c r="IG27">
        <v>1.8627899999999999</v>
      </c>
      <c r="IH27">
        <v>1.86374</v>
      </c>
      <c r="II27">
        <v>1.86172</v>
      </c>
      <c r="IJ27">
        <v>0</v>
      </c>
      <c r="IK27">
        <v>0</v>
      </c>
      <c r="IL27">
        <v>0</v>
      </c>
      <c r="IM27">
        <v>4.5</v>
      </c>
      <c r="IN27" t="s">
        <v>411</v>
      </c>
      <c r="IO27" t="s">
        <v>412</v>
      </c>
      <c r="IP27" t="s">
        <v>413</v>
      </c>
      <c r="IQ27" t="s">
        <v>414</v>
      </c>
      <c r="IR27" t="s">
        <v>414</v>
      </c>
      <c r="IS27" t="s">
        <v>413</v>
      </c>
      <c r="IT27">
        <v>0</v>
      </c>
      <c r="IU27">
        <v>100</v>
      </c>
      <c r="IV27">
        <v>100</v>
      </c>
      <c r="IW27">
        <v>-5.9059999999999997</v>
      </c>
      <c r="IX27">
        <v>-0.63719999999999999</v>
      </c>
      <c r="IY27">
        <v>-3.9190316913515559</v>
      </c>
      <c r="IZ27">
        <v>-5.6215304933332991E-3</v>
      </c>
      <c r="JA27">
        <v>2.3979931213773931E-6</v>
      </c>
      <c r="JB27">
        <v>-3.6297174575716598E-10</v>
      </c>
      <c r="JC27">
        <v>-0.95692972748099225</v>
      </c>
      <c r="JD27">
        <v>2.7492919904454862E-4</v>
      </c>
      <c r="JE27">
        <v>8.6739513355948885E-4</v>
      </c>
      <c r="JF27">
        <v>-8.2500691715147318E-6</v>
      </c>
      <c r="JG27">
        <v>17</v>
      </c>
      <c r="JH27">
        <v>1914</v>
      </c>
      <c r="JI27">
        <v>2</v>
      </c>
      <c r="JJ27">
        <v>37</v>
      </c>
      <c r="JK27">
        <v>0.9</v>
      </c>
      <c r="JL27">
        <v>0.9</v>
      </c>
      <c r="JM27">
        <v>1.1035200000000001</v>
      </c>
      <c r="JN27">
        <v>2.5708000000000002</v>
      </c>
      <c r="JO27">
        <v>1.50024</v>
      </c>
      <c r="JP27">
        <v>2.2619600000000002</v>
      </c>
      <c r="JQ27">
        <v>1.4477500000000001</v>
      </c>
      <c r="JR27">
        <v>2.4426299999999999</v>
      </c>
      <c r="JS27">
        <v>48.639699999999998</v>
      </c>
      <c r="JT27">
        <v>23.991199999999999</v>
      </c>
      <c r="JU27">
        <v>18</v>
      </c>
      <c r="JV27">
        <v>537.90599999999995</v>
      </c>
      <c r="JW27">
        <v>394.04899999999998</v>
      </c>
      <c r="JX27">
        <v>20.048999999999999</v>
      </c>
      <c r="JY27">
        <v>35.773499999999999</v>
      </c>
      <c r="JZ27">
        <v>29.999400000000001</v>
      </c>
      <c r="KA27">
        <v>35.994999999999997</v>
      </c>
      <c r="KB27">
        <v>36.0319</v>
      </c>
      <c r="KC27">
        <v>22.073899999999998</v>
      </c>
      <c r="KD27">
        <v>51.973700000000001</v>
      </c>
      <c r="KE27">
        <v>0</v>
      </c>
      <c r="KF27">
        <v>20.057600000000001</v>
      </c>
      <c r="KG27">
        <v>425.27800000000002</v>
      </c>
      <c r="KH27">
        <v>20.6554</v>
      </c>
      <c r="KI27">
        <v>100.199</v>
      </c>
      <c r="KJ27">
        <v>98.526600000000002</v>
      </c>
    </row>
    <row r="28" spans="1:296" x14ac:dyDescent="0.3">
      <c r="A28">
        <v>12</v>
      </c>
      <c r="B28">
        <v>1783878874</v>
      </c>
      <c r="C28">
        <v>2025.900000095367</v>
      </c>
      <c r="D28" t="s">
        <v>568</v>
      </c>
      <c r="E28" t="s">
        <v>569</v>
      </c>
      <c r="F28">
        <v>15</v>
      </c>
      <c r="H28">
        <v>1783878866.25</v>
      </c>
      <c r="I28">
        <f t="shared" si="0"/>
        <v>4.1178807042602147E-4</v>
      </c>
      <c r="J28">
        <f t="shared" si="1"/>
        <v>0.41178807042602145</v>
      </c>
      <c r="K28">
        <f t="shared" si="2"/>
        <v>0.65669450485374814</v>
      </c>
      <c r="L28">
        <f t="shared" si="3"/>
        <v>420.03569999999991</v>
      </c>
      <c r="M28">
        <f t="shared" si="4"/>
        <v>381.8379979178697</v>
      </c>
      <c r="N28">
        <f t="shared" si="5"/>
        <v>37.622169454891612</v>
      </c>
      <c r="O28">
        <f t="shared" si="6"/>
        <v>41.385756181088716</v>
      </c>
      <c r="P28">
        <f t="shared" si="7"/>
        <v>3.4618023575021459E-2</v>
      </c>
      <c r="Q28">
        <f t="shared" si="8"/>
        <v>2.9027166730536536</v>
      </c>
      <c r="R28">
        <f t="shared" si="9"/>
        <v>3.4390287474839853E-2</v>
      </c>
      <c r="S28">
        <f t="shared" si="10"/>
        <v>2.1514265818458566E-2</v>
      </c>
      <c r="T28">
        <f t="shared" si="11"/>
        <v>8.2388920506137406</v>
      </c>
      <c r="U28">
        <f t="shared" si="12"/>
        <v>24.334185233804597</v>
      </c>
      <c r="V28">
        <f t="shared" si="13"/>
        <v>24.867646666666658</v>
      </c>
      <c r="W28">
        <f t="shared" si="14"/>
        <v>3.1546737735245496</v>
      </c>
      <c r="X28">
        <f t="shared" si="15"/>
        <v>65.41028213537767</v>
      </c>
      <c r="Y28">
        <f t="shared" si="16"/>
        <v>2.0057849574158406</v>
      </c>
      <c r="Z28">
        <f t="shared" si="17"/>
        <v>3.0664673686386621</v>
      </c>
      <c r="AA28">
        <f t="shared" si="18"/>
        <v>1.148888816108709</v>
      </c>
      <c r="AB28">
        <f t="shared" si="19"/>
        <v>-18.159853905787546</v>
      </c>
      <c r="AC28">
        <f t="shared" si="20"/>
        <v>-74.231108149523209</v>
      </c>
      <c r="AD28">
        <f t="shared" si="21"/>
        <v>-5.3892082393757299</v>
      </c>
      <c r="AE28">
        <f t="shared" si="22"/>
        <v>-89.541278244072743</v>
      </c>
      <c r="AF28">
        <f t="shared" si="23"/>
        <v>0.65669450485374814</v>
      </c>
      <c r="AG28">
        <f t="shared" si="24"/>
        <v>0.41178807042602145</v>
      </c>
      <c r="AH28">
        <f t="shared" si="25"/>
        <v>0.80361665438159746</v>
      </c>
      <c r="AI28">
        <v>429.49258928234462</v>
      </c>
      <c r="AJ28">
        <v>428.67040606060601</v>
      </c>
      <c r="AK28">
        <v>-3.0284088833495079E-2</v>
      </c>
      <c r="AL28">
        <v>67.070107287830638</v>
      </c>
      <c r="AM28">
        <f t="shared" si="26"/>
        <v>0.42498412839636779</v>
      </c>
      <c r="AN28">
        <v>19.866131255584421</v>
      </c>
      <c r="AO28">
        <v>20.365493939393929</v>
      </c>
      <c r="AP28">
        <v>3.7760165760079237E-5</v>
      </c>
      <c r="AQ28">
        <v>78.55</v>
      </c>
      <c r="AR28">
        <v>0</v>
      </c>
      <c r="AS28">
        <v>0</v>
      </c>
      <c r="AT28">
        <f t="shared" si="27"/>
        <v>1</v>
      </c>
      <c r="AU28">
        <f t="shared" si="28"/>
        <v>0</v>
      </c>
      <c r="AV28">
        <f t="shared" si="29"/>
        <v>52528.945874293851</v>
      </c>
      <c r="AW28" t="s">
        <v>525</v>
      </c>
      <c r="AX28">
        <v>5085.43</v>
      </c>
      <c r="AY28">
        <v>578.66176470588232</v>
      </c>
      <c r="AZ28">
        <v>2362.06</v>
      </c>
      <c r="BA28">
        <f t="shared" si="30"/>
        <v>0.7550181770548241</v>
      </c>
      <c r="BB28">
        <v>-2.144709974229277</v>
      </c>
      <c r="BC28" t="s">
        <v>570</v>
      </c>
      <c r="BD28">
        <v>5093.12</v>
      </c>
      <c r="BE28">
        <v>733.97482352941176</v>
      </c>
      <c r="BF28">
        <v>2036.38</v>
      </c>
      <c r="BG28">
        <f t="shared" si="31"/>
        <v>0.63956883119584185</v>
      </c>
      <c r="BH28">
        <v>0.5</v>
      </c>
      <c r="BI28">
        <f t="shared" si="32"/>
        <v>42.126454306017479</v>
      </c>
      <c r="BJ28">
        <f t="shared" si="33"/>
        <v>0.65669450485374814</v>
      </c>
      <c r="BK28">
        <f t="shared" si="34"/>
        <v>13.471383571462319</v>
      </c>
      <c r="BL28">
        <f t="shared" si="35"/>
        <v>6.649988766519245E-2</v>
      </c>
      <c r="BM28">
        <f t="shared" si="36"/>
        <v>0.15993085769846482</v>
      </c>
      <c r="BN28">
        <f t="shared" si="37"/>
        <v>556.8445115119107</v>
      </c>
      <c r="BO28" t="s">
        <v>407</v>
      </c>
      <c r="BP28">
        <v>0</v>
      </c>
      <c r="BQ28">
        <f t="shared" si="38"/>
        <v>556.8445115119107</v>
      </c>
      <c r="BR28">
        <f t="shared" si="39"/>
        <v>0.72655176759155427</v>
      </c>
      <c r="BS28">
        <f t="shared" si="40"/>
        <v>0.88027978146133723</v>
      </c>
      <c r="BT28">
        <f t="shared" si="41"/>
        <v>0.18041059478874988</v>
      </c>
      <c r="BU28">
        <f t="shared" si="42"/>
        <v>0.89345467795963152</v>
      </c>
      <c r="BV28">
        <f t="shared" si="43"/>
        <v>0.18261765294742976</v>
      </c>
      <c r="BW28">
        <f t="shared" si="44"/>
        <v>0.66784166048715621</v>
      </c>
      <c r="BX28">
        <f t="shared" si="45"/>
        <v>0.33215833951284379</v>
      </c>
      <c r="DG28">
        <f t="shared" si="46"/>
        <v>49.989849999999997</v>
      </c>
      <c r="DH28">
        <f t="shared" si="47"/>
        <v>42.126454306017479</v>
      </c>
      <c r="DI28">
        <f t="shared" si="48"/>
        <v>0.84270015425166278</v>
      </c>
      <c r="DJ28">
        <f t="shared" si="49"/>
        <v>0.16481129770570907</v>
      </c>
      <c r="DK28">
        <v>6</v>
      </c>
      <c r="DL28">
        <v>0.5</v>
      </c>
      <c r="DM28" t="s">
        <v>408</v>
      </c>
      <c r="DN28">
        <v>2</v>
      </c>
      <c r="DO28" t="b">
        <v>0</v>
      </c>
      <c r="DP28">
        <v>1783878866.25</v>
      </c>
      <c r="DQ28">
        <v>420.03569999999991</v>
      </c>
      <c r="DR28">
        <v>421.03129999999999</v>
      </c>
      <c r="DS28">
        <v>20.35727666666666</v>
      </c>
      <c r="DT28">
        <v>19.873186666666669</v>
      </c>
      <c r="DU28">
        <v>425.9206999999999</v>
      </c>
      <c r="DV28">
        <v>21.00527666666666</v>
      </c>
      <c r="DW28">
        <v>499.99610000000013</v>
      </c>
      <c r="DX28">
        <v>98.47826666666667</v>
      </c>
      <c r="DY28">
        <v>5.0873073333333331E-2</v>
      </c>
      <c r="DZ28">
        <v>24.3933</v>
      </c>
      <c r="EA28">
        <v>24.867646666666658</v>
      </c>
      <c r="EB28">
        <v>999.9000000000002</v>
      </c>
      <c r="EC28">
        <v>0</v>
      </c>
      <c r="ED28">
        <v>0</v>
      </c>
      <c r="EE28">
        <v>10000</v>
      </c>
      <c r="EF28">
        <v>0</v>
      </c>
      <c r="EG28">
        <v>373.30903333333328</v>
      </c>
      <c r="EH28">
        <v>-1.017020666666667</v>
      </c>
      <c r="EI28">
        <v>428.74380000000002</v>
      </c>
      <c r="EJ28">
        <v>429.56830000000002</v>
      </c>
      <c r="EK28">
        <v>0.48717796666666668</v>
      </c>
      <c r="EL28">
        <v>421.03129999999999</v>
      </c>
      <c r="EM28">
        <v>19.873186666666669</v>
      </c>
      <c r="EN28">
        <v>2.005053333333334</v>
      </c>
      <c r="EO28">
        <v>1.9570773333333329</v>
      </c>
      <c r="EP28">
        <v>17.484306666666669</v>
      </c>
      <c r="EQ28">
        <v>17.10127</v>
      </c>
      <c r="ER28">
        <v>49.989849999999997</v>
      </c>
      <c r="ES28">
        <v>0.89998850000000019</v>
      </c>
      <c r="ET28">
        <v>0.10001163333333329</v>
      </c>
      <c r="EU28">
        <v>0</v>
      </c>
      <c r="EV28">
        <v>734.03509999999983</v>
      </c>
      <c r="EW28">
        <v>5.0010700000000003</v>
      </c>
      <c r="EX28">
        <v>1335.2643333333331</v>
      </c>
      <c r="EY28">
        <v>396.17433333333338</v>
      </c>
      <c r="EZ28">
        <v>38.311999999999991</v>
      </c>
      <c r="FA28">
        <v>43.103999999999978</v>
      </c>
      <c r="FB28">
        <v>40.625</v>
      </c>
      <c r="FC28">
        <v>42.745800000000003</v>
      </c>
      <c r="FD28">
        <v>40.436999999999983</v>
      </c>
      <c r="FE28">
        <v>40.489333333333327</v>
      </c>
      <c r="FF28">
        <v>4.4993333333333343</v>
      </c>
      <c r="FG28">
        <v>0</v>
      </c>
      <c r="FH28">
        <v>181.39999985694891</v>
      </c>
      <c r="FI28">
        <v>0</v>
      </c>
      <c r="FJ28">
        <v>733.97482352941176</v>
      </c>
      <c r="FK28">
        <v>-3.3362745264585398</v>
      </c>
      <c r="FL28">
        <v>-47.193627961947968</v>
      </c>
      <c r="FM28">
        <v>1326.145882352941</v>
      </c>
      <c r="FN28">
        <v>10</v>
      </c>
      <c r="FO28">
        <v>1783878891.5</v>
      </c>
      <c r="FP28" t="s">
        <v>571</v>
      </c>
      <c r="FQ28">
        <v>1783878891.5</v>
      </c>
      <c r="FR28">
        <v>1783878889</v>
      </c>
      <c r="FS28">
        <v>40</v>
      </c>
      <c r="FT28">
        <v>2.5999999999999999E-2</v>
      </c>
      <c r="FU28">
        <v>0.01</v>
      </c>
      <c r="FV28">
        <v>-5.8849999999999998</v>
      </c>
      <c r="FW28">
        <v>-0.64800000000000002</v>
      </c>
      <c r="FX28">
        <v>421</v>
      </c>
      <c r="FY28">
        <v>20</v>
      </c>
      <c r="FZ28">
        <v>1.41</v>
      </c>
      <c r="GA28">
        <v>0.56000000000000005</v>
      </c>
      <c r="GB28">
        <v>420.02138709677428</v>
      </c>
      <c r="GC28">
        <v>-0.26801612903413002</v>
      </c>
      <c r="GD28">
        <v>4.7410137352988123E-2</v>
      </c>
      <c r="GE28">
        <v>-1</v>
      </c>
      <c r="GF28">
        <v>734.15523529411757</v>
      </c>
      <c r="GG28">
        <v>-1.6743162713426001</v>
      </c>
      <c r="GH28">
        <v>0.2777786951157491</v>
      </c>
      <c r="GI28">
        <v>1</v>
      </c>
      <c r="GJ28">
        <v>0.4810888536585366</v>
      </c>
      <c r="GK28">
        <v>0.1174141881533096</v>
      </c>
      <c r="GL28">
        <v>1.198811961609508E-2</v>
      </c>
      <c r="GM28">
        <v>1</v>
      </c>
      <c r="GN28">
        <v>2</v>
      </c>
      <c r="GO28">
        <v>2</v>
      </c>
      <c r="GP28" t="s">
        <v>423</v>
      </c>
      <c r="GQ28">
        <v>3.13001</v>
      </c>
      <c r="GR28">
        <v>2.7272400000000001</v>
      </c>
      <c r="GS28">
        <v>9.1629600000000005E-2</v>
      </c>
      <c r="GT28">
        <v>9.1510499999999995E-2</v>
      </c>
      <c r="GU28">
        <v>0.102002</v>
      </c>
      <c r="GV28">
        <v>9.8417599999999994E-2</v>
      </c>
      <c r="GW28">
        <v>22722.9</v>
      </c>
      <c r="GX28">
        <v>30478</v>
      </c>
      <c r="GY28">
        <v>27144.3</v>
      </c>
      <c r="GZ28">
        <v>34510.800000000003</v>
      </c>
      <c r="HA28">
        <v>35719.800000000003</v>
      </c>
      <c r="HB28">
        <v>39417.4</v>
      </c>
      <c r="HC28">
        <v>40097.300000000003</v>
      </c>
      <c r="HD28">
        <v>43797.8</v>
      </c>
      <c r="HE28">
        <v>1.9356</v>
      </c>
      <c r="HF28">
        <v>1.6892</v>
      </c>
      <c r="HG28">
        <v>-0.13664399999999999</v>
      </c>
      <c r="HH28">
        <v>0</v>
      </c>
      <c r="HI28">
        <v>27.096399999999999</v>
      </c>
      <c r="HJ28">
        <v>999.9</v>
      </c>
      <c r="HK28">
        <v>42.6</v>
      </c>
      <c r="HL28">
        <v>46.2</v>
      </c>
      <c r="HM28">
        <v>44.344099999999997</v>
      </c>
      <c r="HN28">
        <v>61.405999999999999</v>
      </c>
      <c r="HO28">
        <v>6.7468000000000004</v>
      </c>
      <c r="HP28">
        <v>1</v>
      </c>
      <c r="HQ28">
        <v>0.71191099999999996</v>
      </c>
      <c r="HR28">
        <v>6.3747299999999996</v>
      </c>
      <c r="HS28">
        <v>20.133299999999998</v>
      </c>
      <c r="HT28">
        <v>5.2100999999999997</v>
      </c>
      <c r="HU28">
        <v>11.914099999999999</v>
      </c>
      <c r="HV28">
        <v>4.9836</v>
      </c>
      <c r="HW28">
        <v>3.2709999999999999</v>
      </c>
      <c r="HX28">
        <v>9999</v>
      </c>
      <c r="HY28">
        <v>9999</v>
      </c>
      <c r="HZ28">
        <v>9999</v>
      </c>
      <c r="IA28">
        <v>999.9</v>
      </c>
      <c r="IB28">
        <v>1.86771</v>
      </c>
      <c r="IC28">
        <v>1.8633999999999999</v>
      </c>
      <c r="ID28">
        <v>1.8629199999999999</v>
      </c>
      <c r="IE28">
        <v>1.86249</v>
      </c>
      <c r="IF28">
        <v>1.86243</v>
      </c>
      <c r="IG28">
        <v>1.8629199999999999</v>
      </c>
      <c r="IH28">
        <v>1.8638600000000001</v>
      </c>
      <c r="II28">
        <v>1.86185</v>
      </c>
      <c r="IJ28">
        <v>0</v>
      </c>
      <c r="IK28">
        <v>0</v>
      </c>
      <c r="IL28">
        <v>0</v>
      </c>
      <c r="IM28">
        <v>4.5</v>
      </c>
      <c r="IN28" t="s">
        <v>411</v>
      </c>
      <c r="IO28" t="s">
        <v>412</v>
      </c>
      <c r="IP28" t="s">
        <v>413</v>
      </c>
      <c r="IQ28" t="s">
        <v>414</v>
      </c>
      <c r="IR28" t="s">
        <v>414</v>
      </c>
      <c r="IS28" t="s">
        <v>413</v>
      </c>
      <c r="IT28">
        <v>0</v>
      </c>
      <c r="IU28">
        <v>100</v>
      </c>
      <c r="IV28">
        <v>100</v>
      </c>
      <c r="IW28">
        <v>-5.8849999999999998</v>
      </c>
      <c r="IX28">
        <v>-0.64800000000000002</v>
      </c>
      <c r="IY28">
        <v>-3.9190316913515559</v>
      </c>
      <c r="IZ28">
        <v>-5.6215304933332991E-3</v>
      </c>
      <c r="JA28">
        <v>2.3979931213773931E-6</v>
      </c>
      <c r="JB28">
        <v>-3.6297174575716598E-10</v>
      </c>
      <c r="JC28">
        <v>-0.95692972748099225</v>
      </c>
      <c r="JD28">
        <v>2.7492919904454862E-4</v>
      </c>
      <c r="JE28">
        <v>8.6739513355948885E-4</v>
      </c>
      <c r="JF28">
        <v>-8.2500691715147318E-6</v>
      </c>
      <c r="JG28">
        <v>17</v>
      </c>
      <c r="JH28">
        <v>1914</v>
      </c>
      <c r="JI28">
        <v>2</v>
      </c>
      <c r="JJ28">
        <v>37</v>
      </c>
      <c r="JK28">
        <v>4</v>
      </c>
      <c r="JL28">
        <v>4</v>
      </c>
      <c r="JM28">
        <v>1.09497</v>
      </c>
      <c r="JN28">
        <v>2.5805699999999998</v>
      </c>
      <c r="JO28">
        <v>1.50024</v>
      </c>
      <c r="JP28">
        <v>2.2631800000000002</v>
      </c>
      <c r="JQ28">
        <v>1.4477500000000001</v>
      </c>
      <c r="JR28">
        <v>2.50366</v>
      </c>
      <c r="JS28">
        <v>48.732599999999998</v>
      </c>
      <c r="JT28">
        <v>23.9299</v>
      </c>
      <c r="JU28">
        <v>18</v>
      </c>
      <c r="JV28">
        <v>537.601</v>
      </c>
      <c r="JW28">
        <v>392.476</v>
      </c>
      <c r="JX28">
        <v>20.751799999999999</v>
      </c>
      <c r="JY28">
        <v>35.776800000000001</v>
      </c>
      <c r="JZ28">
        <v>29.999600000000001</v>
      </c>
      <c r="KA28">
        <v>35.905999999999999</v>
      </c>
      <c r="KB28">
        <v>35.944099999999999</v>
      </c>
      <c r="KC28">
        <v>21.8949</v>
      </c>
      <c r="KD28">
        <v>53.102699999999999</v>
      </c>
      <c r="KE28">
        <v>0</v>
      </c>
      <c r="KF28">
        <v>20.851400000000002</v>
      </c>
      <c r="KG28">
        <v>421.10399999999998</v>
      </c>
      <c r="KH28">
        <v>19.86</v>
      </c>
      <c r="KI28">
        <v>100.2</v>
      </c>
      <c r="KJ28">
        <v>98.528899999999993</v>
      </c>
    </row>
    <row r="29" spans="1:296" x14ac:dyDescent="0.3">
      <c r="A29">
        <v>13</v>
      </c>
      <c r="B29">
        <v>1783879072.5999999</v>
      </c>
      <c r="C29">
        <v>2224.5</v>
      </c>
      <c r="D29" t="s">
        <v>572</v>
      </c>
      <c r="E29" t="s">
        <v>573</v>
      </c>
      <c r="F29">
        <v>15</v>
      </c>
      <c r="H29">
        <v>1783879064.849999</v>
      </c>
      <c r="I29">
        <f t="shared" si="0"/>
        <v>2.2816818636197422E-4</v>
      </c>
      <c r="J29">
        <f t="shared" si="1"/>
        <v>0.22816818636197422</v>
      </c>
      <c r="K29">
        <f t="shared" si="2"/>
        <v>-2.7030707972498216</v>
      </c>
      <c r="L29">
        <f t="shared" si="3"/>
        <v>420.04020000000003</v>
      </c>
      <c r="M29">
        <f t="shared" si="4"/>
        <v>635.60504266950079</v>
      </c>
      <c r="N29">
        <f t="shared" si="5"/>
        <v>62.622805749373271</v>
      </c>
      <c r="O29">
        <f t="shared" si="6"/>
        <v>41.384341038347287</v>
      </c>
      <c r="P29">
        <f t="shared" si="7"/>
        <v>1.9229670980648428E-2</v>
      </c>
      <c r="Q29">
        <f t="shared" si="8"/>
        <v>2.9025625209588002</v>
      </c>
      <c r="R29">
        <f t="shared" si="9"/>
        <v>1.9159174564449162E-2</v>
      </c>
      <c r="S29">
        <f t="shared" si="10"/>
        <v>1.198079628865405E-2</v>
      </c>
      <c r="T29">
        <f t="shared" si="11"/>
        <v>1.5966703903835998E-4</v>
      </c>
      <c r="U29">
        <f t="shared" si="12"/>
        <v>24.502608454449472</v>
      </c>
      <c r="V29">
        <f t="shared" si="13"/>
        <v>24.92642</v>
      </c>
      <c r="W29">
        <f t="shared" si="14"/>
        <v>3.1657557738820006</v>
      </c>
      <c r="X29">
        <f t="shared" si="15"/>
        <v>65.316883766239343</v>
      </c>
      <c r="Y29">
        <f t="shared" si="16"/>
        <v>2.0233153723963193</v>
      </c>
      <c r="Z29">
        <f t="shared" si="17"/>
        <v>3.097691218150429</v>
      </c>
      <c r="AA29">
        <f t="shared" si="18"/>
        <v>1.1424404014856813</v>
      </c>
      <c r="AB29">
        <f t="shared" si="19"/>
        <v>-10.062217018563063</v>
      </c>
      <c r="AC29">
        <f t="shared" si="20"/>
        <v>-56.937886416208144</v>
      </c>
      <c r="AD29">
        <f t="shared" si="21"/>
        <v>-4.1386845737536833</v>
      </c>
      <c r="AE29">
        <f t="shared" si="22"/>
        <v>-71.138628341485855</v>
      </c>
      <c r="AF29">
        <f t="shared" si="23"/>
        <v>-2.7030707972498216</v>
      </c>
      <c r="AG29">
        <f t="shared" si="24"/>
        <v>0.22816818636197422</v>
      </c>
      <c r="AH29">
        <f t="shared" si="25"/>
        <v>-2.7167595291590918</v>
      </c>
      <c r="AI29">
        <v>425.40654138306212</v>
      </c>
      <c r="AJ29">
        <v>428.80755757575753</v>
      </c>
      <c r="AK29">
        <v>-1.3756842121971121E-2</v>
      </c>
      <c r="AL29">
        <v>67.022816510851229</v>
      </c>
      <c r="AM29">
        <f t="shared" si="26"/>
        <v>0.2222012269489283</v>
      </c>
      <c r="AN29">
        <v>20.276630610747929</v>
      </c>
      <c r="AO29">
        <v>20.538174545454549</v>
      </c>
      <c r="AP29">
        <v>-5.9674497102319409E-5</v>
      </c>
      <c r="AQ29">
        <v>78.199295121816547</v>
      </c>
      <c r="AR29">
        <v>0</v>
      </c>
      <c r="AS29">
        <v>0</v>
      </c>
      <c r="AT29">
        <f t="shared" si="27"/>
        <v>1</v>
      </c>
      <c r="AU29">
        <f t="shared" si="28"/>
        <v>0</v>
      </c>
      <c r="AV29">
        <f t="shared" si="29"/>
        <v>52494.537115457271</v>
      </c>
      <c r="AW29" t="s">
        <v>471</v>
      </c>
      <c r="AX29">
        <v>5093.3999999999996</v>
      </c>
      <c r="AY29">
        <v>591.17352941176478</v>
      </c>
      <c r="AZ29">
        <v>2325.63</v>
      </c>
      <c r="BA29">
        <f t="shared" si="30"/>
        <v>0.74580069511841318</v>
      </c>
      <c r="BB29">
        <v>-2.7030707972498691</v>
      </c>
      <c r="BC29" t="s">
        <v>407</v>
      </c>
      <c r="BD29" t="s">
        <v>407</v>
      </c>
      <c r="BE29">
        <v>0</v>
      </c>
      <c r="BF29">
        <v>0</v>
      </c>
      <c r="BG29" t="e">
        <f t="shared" si="31"/>
        <v>#DIV/0!</v>
      </c>
      <c r="BH29">
        <v>0.5</v>
      </c>
      <c r="BI29">
        <f t="shared" si="32"/>
        <v>8.4035283704399992E-4</v>
      </c>
      <c r="BJ29">
        <f t="shared" si="33"/>
        <v>-2.7030707972498216</v>
      </c>
      <c r="BK29" t="e">
        <f t="shared" si="34"/>
        <v>#DIV/0!</v>
      </c>
      <c r="BL29">
        <f t="shared" si="35"/>
        <v>5.6544755201997057E-11</v>
      </c>
      <c r="BM29" t="e">
        <f t="shared" si="36"/>
        <v>#DIV/0!</v>
      </c>
      <c r="BN29" t="e">
        <f t="shared" si="37"/>
        <v>#DIV/0!</v>
      </c>
      <c r="BO29" t="s">
        <v>407</v>
      </c>
      <c r="BP29">
        <v>0</v>
      </c>
      <c r="BQ29" t="e">
        <f t="shared" si="38"/>
        <v>#DIV/0!</v>
      </c>
      <c r="BR29" t="e">
        <f t="shared" si="39"/>
        <v>#DIV/0!</v>
      </c>
      <c r="BS29" t="e">
        <f t="shared" si="40"/>
        <v>#DIV/0!</v>
      </c>
      <c r="BT29" t="e">
        <f t="shared" si="41"/>
        <v>#DIV/0!</v>
      </c>
      <c r="BU29">
        <f t="shared" si="42"/>
        <v>0</v>
      </c>
      <c r="BV29">
        <f t="shared" si="43"/>
        <v>1.3408407990840325</v>
      </c>
      <c r="BW29" t="e">
        <f t="shared" si="44"/>
        <v>#DIV/0!</v>
      </c>
      <c r="BX29" t="e">
        <f t="shared" si="45"/>
        <v>#DIV/0!</v>
      </c>
      <c r="DG29">
        <f t="shared" si="46"/>
        <v>1.00021E-2</v>
      </c>
      <c r="DH29">
        <f t="shared" si="47"/>
        <v>8.4035283704399992E-4</v>
      </c>
      <c r="DI29">
        <f t="shared" si="48"/>
        <v>8.4017639999999991E-2</v>
      </c>
      <c r="DJ29">
        <f t="shared" si="49"/>
        <v>1.5963351599999998E-2</v>
      </c>
      <c r="DK29">
        <v>6</v>
      </c>
      <c r="DL29">
        <v>0.5</v>
      </c>
      <c r="DM29" t="s">
        <v>408</v>
      </c>
      <c r="DN29">
        <v>2</v>
      </c>
      <c r="DO29" t="b">
        <v>0</v>
      </c>
      <c r="DP29">
        <v>1783879064.849999</v>
      </c>
      <c r="DQ29">
        <v>420.04020000000003</v>
      </c>
      <c r="DR29">
        <v>416.91143333333332</v>
      </c>
      <c r="DS29">
        <v>20.53612</v>
      </c>
      <c r="DT29">
        <v>20.267933333333339</v>
      </c>
      <c r="DU29">
        <v>425.9042</v>
      </c>
      <c r="DV29">
        <v>21.179120000000001</v>
      </c>
      <c r="DW29">
        <v>499.98570000000001</v>
      </c>
      <c r="DX29">
        <v>98.474493333333328</v>
      </c>
      <c r="DY29">
        <v>5.022177333333333E-2</v>
      </c>
      <c r="DZ29">
        <v>24.562559999999991</v>
      </c>
      <c r="EA29">
        <v>24.92642</v>
      </c>
      <c r="EB29">
        <v>999.9000000000002</v>
      </c>
      <c r="EC29">
        <v>0</v>
      </c>
      <c r="ED29">
        <v>0</v>
      </c>
      <c r="EE29">
        <v>9999.5</v>
      </c>
      <c r="EF29">
        <v>0</v>
      </c>
      <c r="EG29">
        <v>350.96513333333331</v>
      </c>
      <c r="EH29">
        <v>3.1124369999999999</v>
      </c>
      <c r="EI29">
        <v>428.83566666666673</v>
      </c>
      <c r="EJ29">
        <v>425.536</v>
      </c>
      <c r="EK29">
        <v>0.2804512666666667</v>
      </c>
      <c r="EL29">
        <v>416.91143333333332</v>
      </c>
      <c r="EM29">
        <v>20.267933333333339</v>
      </c>
      <c r="EN29">
        <v>2.0234923333333339</v>
      </c>
      <c r="EO29">
        <v>1.995874666666666</v>
      </c>
      <c r="EP29">
        <v>17.629370000000002</v>
      </c>
      <c r="EQ29">
        <v>17.411636666666659</v>
      </c>
      <c r="ER29">
        <v>1.00021E-2</v>
      </c>
      <c r="ES29">
        <v>0</v>
      </c>
      <c r="ET29">
        <v>0</v>
      </c>
      <c r="EU29">
        <v>0</v>
      </c>
      <c r="EV29">
        <v>590.57833333333326</v>
      </c>
      <c r="EW29">
        <v>1.00021E-2</v>
      </c>
      <c r="EX29">
        <v>818.23833333333323</v>
      </c>
      <c r="EY29">
        <v>0.36166666666666658</v>
      </c>
      <c r="EZ29">
        <v>37.860299999999988</v>
      </c>
      <c r="FA29">
        <v>42.414266666666663</v>
      </c>
      <c r="FB29">
        <v>40.226899999999993</v>
      </c>
      <c r="FC29">
        <v>42.097699999999982</v>
      </c>
      <c r="FD29">
        <v>39.789266666666663</v>
      </c>
      <c r="FE29">
        <v>0</v>
      </c>
      <c r="FF29">
        <v>0</v>
      </c>
      <c r="FG29">
        <v>0</v>
      </c>
      <c r="FH29">
        <v>197.79999995231631</v>
      </c>
      <c r="FI29">
        <v>0</v>
      </c>
      <c r="FJ29">
        <v>591.17352941176478</v>
      </c>
      <c r="FK29">
        <v>-27.45098118485992</v>
      </c>
      <c r="FL29">
        <v>1909.264709723883</v>
      </c>
      <c r="FM29">
        <v>856.60882352941178</v>
      </c>
      <c r="FN29">
        <v>10</v>
      </c>
      <c r="FO29">
        <v>1783879092.5999999</v>
      </c>
      <c r="FP29" t="s">
        <v>574</v>
      </c>
      <c r="FQ29">
        <v>1783879086.5999999</v>
      </c>
      <c r="FR29">
        <v>1783879092.5999999</v>
      </c>
      <c r="FS29">
        <v>41</v>
      </c>
      <c r="FT29">
        <v>5.0000000000000001E-3</v>
      </c>
      <c r="FU29">
        <v>0</v>
      </c>
      <c r="FV29">
        <v>-5.8639999999999999</v>
      </c>
      <c r="FW29">
        <v>-0.64300000000000002</v>
      </c>
      <c r="FX29">
        <v>417</v>
      </c>
      <c r="FY29">
        <v>20</v>
      </c>
      <c r="FZ29">
        <v>1.34</v>
      </c>
      <c r="GA29">
        <v>0.54</v>
      </c>
      <c r="GB29">
        <v>420.02163333333323</v>
      </c>
      <c r="GC29">
        <v>0.1604716351503544</v>
      </c>
      <c r="GD29">
        <v>4.4084376169136921E-2</v>
      </c>
      <c r="GE29">
        <v>-1</v>
      </c>
      <c r="GF29">
        <v>591.88088235294106</v>
      </c>
      <c r="GG29">
        <v>-4.9419405172908633</v>
      </c>
      <c r="GH29">
        <v>3.3127209073039339</v>
      </c>
      <c r="GI29">
        <v>1</v>
      </c>
      <c r="GJ29">
        <v>0.280931025</v>
      </c>
      <c r="GK29">
        <v>-5.7063005628518397E-2</v>
      </c>
      <c r="GL29">
        <v>6.7205532082095006E-3</v>
      </c>
      <c r="GM29">
        <v>1</v>
      </c>
      <c r="GN29">
        <v>2</v>
      </c>
      <c r="GO29">
        <v>2</v>
      </c>
      <c r="GP29" t="s">
        <v>423</v>
      </c>
      <c r="GQ29">
        <v>3.1308400000000001</v>
      </c>
      <c r="GR29">
        <v>2.7254100000000001</v>
      </c>
      <c r="GS29">
        <v>9.1642500000000002E-2</v>
      </c>
      <c r="GT29">
        <v>9.0902499999999997E-2</v>
      </c>
      <c r="GU29">
        <v>0.10256999999999999</v>
      </c>
      <c r="GV29">
        <v>9.9470100000000006E-2</v>
      </c>
      <c r="GW29">
        <v>22723.599999999999</v>
      </c>
      <c r="GX29">
        <v>30499.5</v>
      </c>
      <c r="GY29">
        <v>27144.9</v>
      </c>
      <c r="GZ29">
        <v>34511.199999999997</v>
      </c>
      <c r="HA29">
        <v>35697.9</v>
      </c>
      <c r="HB29">
        <v>39371.300000000003</v>
      </c>
      <c r="HC29">
        <v>40098.5</v>
      </c>
      <c r="HD29">
        <v>43798</v>
      </c>
      <c r="HE29">
        <v>1.9356</v>
      </c>
      <c r="HF29">
        <v>1.6918</v>
      </c>
      <c r="HG29">
        <v>-0.10502300000000001</v>
      </c>
      <c r="HH29">
        <v>0</v>
      </c>
      <c r="HI29">
        <v>26.67</v>
      </c>
      <c r="HJ29">
        <v>999.9</v>
      </c>
      <c r="HK29">
        <v>42.3</v>
      </c>
      <c r="HL29">
        <v>46.2</v>
      </c>
      <c r="HM29">
        <v>44.033299999999997</v>
      </c>
      <c r="HN29">
        <v>61.185200000000002</v>
      </c>
      <c r="HO29">
        <v>6.6105799999999997</v>
      </c>
      <c r="HP29">
        <v>1</v>
      </c>
      <c r="HQ29">
        <v>0.69959300000000002</v>
      </c>
      <c r="HR29">
        <v>5.1384100000000004</v>
      </c>
      <c r="HS29">
        <v>20.173500000000001</v>
      </c>
      <c r="HT29">
        <v>5.2112999999999996</v>
      </c>
      <c r="HU29">
        <v>11.914099999999999</v>
      </c>
      <c r="HV29">
        <v>4.9847999999999999</v>
      </c>
      <c r="HW29">
        <v>3.2709999999999999</v>
      </c>
      <c r="HX29">
        <v>9999</v>
      </c>
      <c r="HY29">
        <v>9999</v>
      </c>
      <c r="HZ29">
        <v>9999</v>
      </c>
      <c r="IA29">
        <v>999.9</v>
      </c>
      <c r="IB29">
        <v>1.86771</v>
      </c>
      <c r="IC29">
        <v>1.8633999999999999</v>
      </c>
      <c r="ID29">
        <v>1.8629199999999999</v>
      </c>
      <c r="IE29">
        <v>1.86249</v>
      </c>
      <c r="IF29">
        <v>1.86243</v>
      </c>
      <c r="IG29">
        <v>1.8629500000000001</v>
      </c>
      <c r="IH29">
        <v>1.8638600000000001</v>
      </c>
      <c r="II29">
        <v>1.86185</v>
      </c>
      <c r="IJ29">
        <v>0</v>
      </c>
      <c r="IK29">
        <v>0</v>
      </c>
      <c r="IL29">
        <v>0</v>
      </c>
      <c r="IM29">
        <v>4.5</v>
      </c>
      <c r="IN29" t="s">
        <v>411</v>
      </c>
      <c r="IO29" t="s">
        <v>412</v>
      </c>
      <c r="IP29" t="s">
        <v>413</v>
      </c>
      <c r="IQ29" t="s">
        <v>414</v>
      </c>
      <c r="IR29" t="s">
        <v>414</v>
      </c>
      <c r="IS29" t="s">
        <v>413</v>
      </c>
      <c r="IT29">
        <v>0</v>
      </c>
      <c r="IU29">
        <v>100</v>
      </c>
      <c r="IV29">
        <v>100</v>
      </c>
      <c r="IW29">
        <v>-5.8639999999999999</v>
      </c>
      <c r="IX29">
        <v>-0.64300000000000002</v>
      </c>
      <c r="IY29">
        <v>-3.8931275475923139</v>
      </c>
      <c r="IZ29">
        <v>-5.6215304933332991E-3</v>
      </c>
      <c r="JA29">
        <v>2.3979931213773931E-6</v>
      </c>
      <c r="JB29">
        <v>-3.6297174575716598E-10</v>
      </c>
      <c r="JC29">
        <v>-0.94726336076500806</v>
      </c>
      <c r="JD29">
        <v>2.7492919904454862E-4</v>
      </c>
      <c r="JE29">
        <v>8.6739513355948885E-4</v>
      </c>
      <c r="JF29">
        <v>-8.2500691715147318E-6</v>
      </c>
      <c r="JG29">
        <v>17</v>
      </c>
      <c r="JH29">
        <v>1914</v>
      </c>
      <c r="JI29">
        <v>2</v>
      </c>
      <c r="JJ29">
        <v>37</v>
      </c>
      <c r="JK29">
        <v>3</v>
      </c>
      <c r="JL29">
        <v>3.1</v>
      </c>
      <c r="JM29">
        <v>1.08521</v>
      </c>
      <c r="JN29">
        <v>2.5915499999999998</v>
      </c>
      <c r="JO29">
        <v>1.50024</v>
      </c>
      <c r="JP29">
        <v>2.2631800000000002</v>
      </c>
      <c r="JQ29">
        <v>1.4477500000000001</v>
      </c>
      <c r="JR29">
        <v>2.3315399999999999</v>
      </c>
      <c r="JS29">
        <v>48.9191</v>
      </c>
      <c r="JT29">
        <v>23.9299</v>
      </c>
      <c r="JU29">
        <v>18</v>
      </c>
      <c r="JV29">
        <v>536.798</v>
      </c>
      <c r="JW29">
        <v>393.34399999999999</v>
      </c>
      <c r="JX29">
        <v>21.650099999999998</v>
      </c>
      <c r="JY29">
        <v>35.644300000000001</v>
      </c>
      <c r="JZ29">
        <v>29.999400000000001</v>
      </c>
      <c r="KA29">
        <v>35.805</v>
      </c>
      <c r="KB29">
        <v>35.834000000000003</v>
      </c>
      <c r="KC29">
        <v>21.7241</v>
      </c>
      <c r="KD29">
        <v>52.619100000000003</v>
      </c>
      <c r="KE29">
        <v>0</v>
      </c>
      <c r="KF29">
        <v>21.677</v>
      </c>
      <c r="KG29">
        <v>416.976</v>
      </c>
      <c r="KH29">
        <v>20.163900000000002</v>
      </c>
      <c r="KI29">
        <v>100.203</v>
      </c>
      <c r="KJ29">
        <v>98.529600000000002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023DF-23A9-4406-8345-C299AD5F59A7}">
  <dimension ref="A2:KJ29"/>
  <sheetViews>
    <sheetView workbookViewId="0">
      <selection activeCell="M36" sqref="M36"/>
    </sheetView>
  </sheetViews>
  <sheetFormatPr defaultRowHeight="14.4" x14ac:dyDescent="0.3"/>
  <sheetData>
    <row r="2" spans="1:296" x14ac:dyDescent="0.3">
      <c r="A2" t="s">
        <v>0</v>
      </c>
      <c r="B2" t="s">
        <v>1</v>
      </c>
      <c r="C2" t="s">
        <v>2</v>
      </c>
    </row>
    <row r="3" spans="1:296" x14ac:dyDescent="0.3">
      <c r="B3" t="s">
        <v>3</v>
      </c>
      <c r="C3">
        <v>21</v>
      </c>
    </row>
    <row r="4" spans="1:296" x14ac:dyDescent="0.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</row>
    <row r="5" spans="1:296" x14ac:dyDescent="0.3">
      <c r="B5" t="s">
        <v>15</v>
      </c>
      <c r="C5" t="s">
        <v>16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96" x14ac:dyDescent="0.3">
      <c r="A6" t="s">
        <v>17</v>
      </c>
      <c r="B6" t="s">
        <v>18</v>
      </c>
      <c r="C6" t="s">
        <v>19</v>
      </c>
      <c r="D6" t="s">
        <v>20</v>
      </c>
      <c r="E6" t="s">
        <v>21</v>
      </c>
    </row>
    <row r="7" spans="1:296" x14ac:dyDescent="0.3">
      <c r="B7">
        <v>0</v>
      </c>
      <c r="C7">
        <v>1</v>
      </c>
      <c r="D7">
        <v>0</v>
      </c>
      <c r="E7">
        <v>0</v>
      </c>
    </row>
    <row r="8" spans="1:296" x14ac:dyDescent="0.3">
      <c r="A8" t="s">
        <v>22</v>
      </c>
      <c r="B8" t="s">
        <v>23</v>
      </c>
      <c r="C8" t="s">
        <v>24</v>
      </c>
      <c r="D8" t="s">
        <v>25</v>
      </c>
      <c r="E8" t="s">
        <v>26</v>
      </c>
      <c r="F8" t="s">
        <v>27</v>
      </c>
      <c r="G8" t="s">
        <v>28</v>
      </c>
      <c r="H8" t="s">
        <v>29</v>
      </c>
      <c r="I8" t="s">
        <v>30</v>
      </c>
      <c r="J8" t="s">
        <v>31</v>
      </c>
      <c r="K8" t="s">
        <v>32</v>
      </c>
      <c r="L8" t="s">
        <v>33</v>
      </c>
      <c r="M8" t="s">
        <v>34</v>
      </c>
      <c r="N8" t="s">
        <v>35</v>
      </c>
      <c r="O8" t="s">
        <v>36</v>
      </c>
      <c r="P8" t="s">
        <v>37</v>
      </c>
      <c r="Q8" t="s">
        <v>38</v>
      </c>
    </row>
    <row r="9" spans="1:296" x14ac:dyDescent="0.3">
      <c r="B9" t="s">
        <v>39</v>
      </c>
      <c r="C9" t="s">
        <v>40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96" x14ac:dyDescent="0.3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</row>
    <row r="11" spans="1:296" x14ac:dyDescent="0.3">
      <c r="B11">
        <v>0</v>
      </c>
      <c r="C11">
        <v>0</v>
      </c>
      <c r="D11">
        <v>0</v>
      </c>
      <c r="E11">
        <v>0</v>
      </c>
      <c r="F11">
        <v>1</v>
      </c>
    </row>
    <row r="12" spans="1:296" x14ac:dyDescent="0.3">
      <c r="A12" t="s">
        <v>47</v>
      </c>
      <c r="B12" t="s">
        <v>48</v>
      </c>
      <c r="C12" t="s">
        <v>49</v>
      </c>
      <c r="D12" t="s">
        <v>50</v>
      </c>
      <c r="E12" t="s">
        <v>51</v>
      </c>
      <c r="F12" t="s">
        <v>52</v>
      </c>
      <c r="G12" t="s">
        <v>53</v>
      </c>
      <c r="H12" t="s">
        <v>54</v>
      </c>
    </row>
    <row r="13" spans="1:296" x14ac:dyDescent="0.3">
      <c r="B13">
        <v>-6276</v>
      </c>
      <c r="C13">
        <v>6.6</v>
      </c>
      <c r="D13">
        <v>1.7090000000000001E-5</v>
      </c>
      <c r="E13">
        <v>3.11</v>
      </c>
      <c r="F13" t="s">
        <v>521</v>
      </c>
      <c r="G13" t="s">
        <v>522</v>
      </c>
      <c r="H13">
        <v>0</v>
      </c>
    </row>
    <row r="14" spans="1:296" x14ac:dyDescent="0.3">
      <c r="A14" t="s">
        <v>57</v>
      </c>
      <c r="B14" t="s">
        <v>57</v>
      </c>
      <c r="C14" t="s">
        <v>57</v>
      </c>
      <c r="D14" t="s">
        <v>57</v>
      </c>
      <c r="E14" t="s">
        <v>57</v>
      </c>
      <c r="F14" t="s">
        <v>57</v>
      </c>
      <c r="G14" t="s">
        <v>58</v>
      </c>
      <c r="H14" t="s">
        <v>59</v>
      </c>
      <c r="I14" t="s">
        <v>59</v>
      </c>
      <c r="J14" t="s">
        <v>59</v>
      </c>
      <c r="K14" t="s">
        <v>59</v>
      </c>
      <c r="L14" t="s">
        <v>59</v>
      </c>
      <c r="M14" t="s">
        <v>59</v>
      </c>
      <c r="N14" t="s">
        <v>59</v>
      </c>
      <c r="O14" t="s">
        <v>59</v>
      </c>
      <c r="P14" t="s">
        <v>59</v>
      </c>
      <c r="Q14" t="s">
        <v>59</v>
      </c>
      <c r="R14" t="s">
        <v>59</v>
      </c>
      <c r="S14" t="s">
        <v>59</v>
      </c>
      <c r="T14" t="s">
        <v>59</v>
      </c>
      <c r="U14" t="s">
        <v>59</v>
      </c>
      <c r="V14" t="s">
        <v>59</v>
      </c>
      <c r="W14" t="s">
        <v>59</v>
      </c>
      <c r="X14" t="s">
        <v>59</v>
      </c>
      <c r="Y14" t="s">
        <v>59</v>
      </c>
      <c r="Z14" t="s">
        <v>59</v>
      </c>
      <c r="AA14" t="s">
        <v>59</v>
      </c>
      <c r="AB14" t="s">
        <v>59</v>
      </c>
      <c r="AC14" t="s">
        <v>59</v>
      </c>
      <c r="AD14" t="s">
        <v>59</v>
      </c>
      <c r="AE14" t="s">
        <v>59</v>
      </c>
      <c r="AF14" t="s">
        <v>59</v>
      </c>
      <c r="AG14" t="s">
        <v>59</v>
      </c>
      <c r="AH14" t="s">
        <v>60</v>
      </c>
      <c r="AI14" t="s">
        <v>60</v>
      </c>
      <c r="AJ14" t="s">
        <v>60</v>
      </c>
      <c r="AK14" t="s">
        <v>60</v>
      </c>
      <c r="AL14" t="s">
        <v>60</v>
      </c>
      <c r="AM14" t="s">
        <v>60</v>
      </c>
      <c r="AN14" t="s">
        <v>60</v>
      </c>
      <c r="AO14" t="s">
        <v>60</v>
      </c>
      <c r="AP14" t="s">
        <v>60</v>
      </c>
      <c r="AQ14" t="s">
        <v>60</v>
      </c>
      <c r="AR14" t="s">
        <v>61</v>
      </c>
      <c r="AS14" t="s">
        <v>61</v>
      </c>
      <c r="AT14" t="s">
        <v>61</v>
      </c>
      <c r="AU14" t="s">
        <v>61</v>
      </c>
      <c r="AV14" t="s">
        <v>61</v>
      </c>
      <c r="AW14" t="s">
        <v>62</v>
      </c>
      <c r="AX14" t="s">
        <v>62</v>
      </c>
      <c r="AY14" t="s">
        <v>62</v>
      </c>
      <c r="AZ14" t="s">
        <v>62</v>
      </c>
      <c r="BA14" t="s">
        <v>62</v>
      </c>
      <c r="BB14" t="s">
        <v>62</v>
      </c>
      <c r="BC14" t="s">
        <v>62</v>
      </c>
      <c r="BD14" t="s">
        <v>62</v>
      </c>
      <c r="BE14" t="s">
        <v>62</v>
      </c>
      <c r="BF14" t="s">
        <v>62</v>
      </c>
      <c r="BG14" t="s">
        <v>62</v>
      </c>
      <c r="BH14" t="s">
        <v>62</v>
      </c>
      <c r="BI14" t="s">
        <v>62</v>
      </c>
      <c r="BJ14" t="s">
        <v>62</v>
      </c>
      <c r="BK14" t="s">
        <v>62</v>
      </c>
      <c r="BL14" t="s">
        <v>62</v>
      </c>
      <c r="BM14" t="s">
        <v>62</v>
      </c>
      <c r="BN14" t="s">
        <v>62</v>
      </c>
      <c r="BO14" t="s">
        <v>62</v>
      </c>
      <c r="BP14" t="s">
        <v>62</v>
      </c>
      <c r="BQ14" t="s">
        <v>62</v>
      </c>
      <c r="BR14" t="s">
        <v>62</v>
      </c>
      <c r="BS14" t="s">
        <v>62</v>
      </c>
      <c r="BT14" t="s">
        <v>62</v>
      </c>
      <c r="BU14" t="s">
        <v>62</v>
      </c>
      <c r="BV14" t="s">
        <v>62</v>
      </c>
      <c r="BW14" t="s">
        <v>62</v>
      </c>
      <c r="BX14" t="s">
        <v>62</v>
      </c>
      <c r="BY14" t="s">
        <v>63</v>
      </c>
      <c r="BZ14" t="s">
        <v>63</v>
      </c>
      <c r="CA14" t="s">
        <v>63</v>
      </c>
      <c r="CB14" t="s">
        <v>63</v>
      </c>
      <c r="CC14" t="s">
        <v>63</v>
      </c>
      <c r="CD14" t="s">
        <v>63</v>
      </c>
      <c r="CE14" t="s">
        <v>63</v>
      </c>
      <c r="CF14" t="s">
        <v>63</v>
      </c>
      <c r="CG14" t="s">
        <v>63</v>
      </c>
      <c r="CH14" t="s">
        <v>63</v>
      </c>
      <c r="CI14" t="s">
        <v>63</v>
      </c>
      <c r="CJ14" t="s">
        <v>63</v>
      </c>
      <c r="CK14" t="s">
        <v>63</v>
      </c>
      <c r="CL14" t="s">
        <v>63</v>
      </c>
      <c r="CM14" t="s">
        <v>63</v>
      </c>
      <c r="CN14" t="s">
        <v>63</v>
      </c>
      <c r="CO14" t="s">
        <v>63</v>
      </c>
      <c r="CP14" t="s">
        <v>63</v>
      </c>
      <c r="CQ14" t="s">
        <v>63</v>
      </c>
      <c r="CR14" t="s">
        <v>63</v>
      </c>
      <c r="CS14" t="s">
        <v>63</v>
      </c>
      <c r="CT14" t="s">
        <v>64</v>
      </c>
      <c r="CU14" t="s">
        <v>64</v>
      </c>
      <c r="CV14" t="s">
        <v>64</v>
      </c>
      <c r="CW14" t="s">
        <v>64</v>
      </c>
      <c r="CX14" t="s">
        <v>64</v>
      </c>
      <c r="CY14" t="s">
        <v>64</v>
      </c>
      <c r="CZ14" t="s">
        <v>64</v>
      </c>
      <c r="DA14" t="s">
        <v>64</v>
      </c>
      <c r="DB14" t="s">
        <v>64</v>
      </c>
      <c r="DC14" t="s">
        <v>64</v>
      </c>
      <c r="DD14" t="s">
        <v>64</v>
      </c>
      <c r="DE14" t="s">
        <v>64</v>
      </c>
      <c r="DF14" t="s">
        <v>64</v>
      </c>
      <c r="DG14" t="s">
        <v>65</v>
      </c>
      <c r="DH14" t="s">
        <v>65</v>
      </c>
      <c r="DI14" t="s">
        <v>65</v>
      </c>
      <c r="DJ14" t="s">
        <v>65</v>
      </c>
      <c r="DK14" t="s">
        <v>66</v>
      </c>
      <c r="DL14" t="s">
        <v>66</v>
      </c>
      <c r="DM14" t="s">
        <v>66</v>
      </c>
      <c r="DN14" t="s">
        <v>66</v>
      </c>
      <c r="DO14" t="s">
        <v>66</v>
      </c>
      <c r="DP14" t="s">
        <v>67</v>
      </c>
      <c r="DQ14" t="s">
        <v>67</v>
      </c>
      <c r="DR14" t="s">
        <v>67</v>
      </c>
      <c r="DS14" t="s">
        <v>67</v>
      </c>
      <c r="DT14" t="s">
        <v>67</v>
      </c>
      <c r="DU14" t="s">
        <v>67</v>
      </c>
      <c r="DV14" t="s">
        <v>67</v>
      </c>
      <c r="DW14" t="s">
        <v>67</v>
      </c>
      <c r="DX14" t="s">
        <v>67</v>
      </c>
      <c r="DY14" t="s">
        <v>67</v>
      </c>
      <c r="DZ14" t="s">
        <v>67</v>
      </c>
      <c r="EA14" t="s">
        <v>67</v>
      </c>
      <c r="EB14" t="s">
        <v>67</v>
      </c>
      <c r="EC14" t="s">
        <v>67</v>
      </c>
      <c r="ED14" t="s">
        <v>67</v>
      </c>
      <c r="EE14" t="s">
        <v>67</v>
      </c>
      <c r="EF14" t="s">
        <v>67</v>
      </c>
      <c r="EG14" t="s">
        <v>67</v>
      </c>
      <c r="EH14" t="s">
        <v>68</v>
      </c>
      <c r="EI14" t="s">
        <v>68</v>
      </c>
      <c r="EJ14" t="s">
        <v>68</v>
      </c>
      <c r="EK14" t="s">
        <v>68</v>
      </c>
      <c r="EL14" t="s">
        <v>68</v>
      </c>
      <c r="EM14" t="s">
        <v>68</v>
      </c>
      <c r="EN14" t="s">
        <v>68</v>
      </c>
      <c r="EO14" t="s">
        <v>68</v>
      </c>
      <c r="EP14" t="s">
        <v>68</v>
      </c>
      <c r="EQ14" t="s">
        <v>68</v>
      </c>
      <c r="ER14" t="s">
        <v>69</v>
      </c>
      <c r="ES14" t="s">
        <v>69</v>
      </c>
      <c r="ET14" t="s">
        <v>69</v>
      </c>
      <c r="EU14" t="s">
        <v>69</v>
      </c>
      <c r="EV14" t="s">
        <v>69</v>
      </c>
      <c r="EW14" t="s">
        <v>69</v>
      </c>
      <c r="EX14" t="s">
        <v>69</v>
      </c>
      <c r="EY14" t="s">
        <v>69</v>
      </c>
      <c r="EZ14" t="s">
        <v>69</v>
      </c>
      <c r="FA14" t="s">
        <v>69</v>
      </c>
      <c r="FB14" t="s">
        <v>69</v>
      </c>
      <c r="FC14" t="s">
        <v>69</v>
      </c>
      <c r="FD14" t="s">
        <v>69</v>
      </c>
      <c r="FE14" t="s">
        <v>69</v>
      </c>
      <c r="FF14" t="s">
        <v>69</v>
      </c>
      <c r="FG14" t="s">
        <v>69</v>
      </c>
      <c r="FH14" t="s">
        <v>69</v>
      </c>
      <c r="FI14" t="s">
        <v>69</v>
      </c>
      <c r="FJ14" t="s">
        <v>70</v>
      </c>
      <c r="FK14" t="s">
        <v>70</v>
      </c>
      <c r="FL14" t="s">
        <v>70</v>
      </c>
      <c r="FM14" t="s">
        <v>70</v>
      </c>
      <c r="FN14" t="s">
        <v>70</v>
      </c>
      <c r="FO14" t="s">
        <v>71</v>
      </c>
      <c r="FP14" t="s">
        <v>71</v>
      </c>
      <c r="FQ14" t="s">
        <v>71</v>
      </c>
      <c r="FR14" t="s">
        <v>71</v>
      </c>
      <c r="FS14" t="s">
        <v>71</v>
      </c>
      <c r="FT14" t="s">
        <v>71</v>
      </c>
      <c r="FU14" t="s">
        <v>71</v>
      </c>
      <c r="FV14" t="s">
        <v>71</v>
      </c>
      <c r="FW14" t="s">
        <v>71</v>
      </c>
      <c r="FX14" t="s">
        <v>71</v>
      </c>
      <c r="FY14" t="s">
        <v>71</v>
      </c>
      <c r="FZ14" t="s">
        <v>71</v>
      </c>
      <c r="GA14" t="s">
        <v>71</v>
      </c>
      <c r="GB14" t="s">
        <v>72</v>
      </c>
      <c r="GC14" t="s">
        <v>72</v>
      </c>
      <c r="GD14" t="s">
        <v>72</v>
      </c>
      <c r="GE14" t="s">
        <v>72</v>
      </c>
      <c r="GF14" t="s">
        <v>72</v>
      </c>
      <c r="GG14" t="s">
        <v>72</v>
      </c>
      <c r="GH14" t="s">
        <v>72</v>
      </c>
      <c r="GI14" t="s">
        <v>72</v>
      </c>
      <c r="GJ14" t="s">
        <v>72</v>
      </c>
      <c r="GK14" t="s">
        <v>72</v>
      </c>
      <c r="GL14" t="s">
        <v>72</v>
      </c>
      <c r="GM14" t="s">
        <v>72</v>
      </c>
      <c r="GN14" t="s">
        <v>72</v>
      </c>
      <c r="GO14" t="s">
        <v>72</v>
      </c>
      <c r="GP14" t="s">
        <v>72</v>
      </c>
      <c r="GQ14" t="s">
        <v>73</v>
      </c>
      <c r="GR14" t="s">
        <v>73</v>
      </c>
      <c r="GS14" t="s">
        <v>73</v>
      </c>
      <c r="GT14" t="s">
        <v>73</v>
      </c>
      <c r="GU14" t="s">
        <v>73</v>
      </c>
      <c r="GV14" t="s">
        <v>73</v>
      </c>
      <c r="GW14" t="s">
        <v>73</v>
      </c>
      <c r="GX14" t="s">
        <v>73</v>
      </c>
      <c r="GY14" t="s">
        <v>73</v>
      </c>
      <c r="GZ14" t="s">
        <v>73</v>
      </c>
      <c r="HA14" t="s">
        <v>73</v>
      </c>
      <c r="HB14" t="s">
        <v>73</v>
      </c>
      <c r="HC14" t="s">
        <v>73</v>
      </c>
      <c r="HD14" t="s">
        <v>73</v>
      </c>
      <c r="HE14" t="s">
        <v>73</v>
      </c>
      <c r="HF14" t="s">
        <v>73</v>
      </c>
      <c r="HG14" t="s">
        <v>73</v>
      </c>
      <c r="HH14" t="s">
        <v>73</v>
      </c>
      <c r="HI14" t="s">
        <v>74</v>
      </c>
      <c r="HJ14" t="s">
        <v>74</v>
      </c>
      <c r="HK14" t="s">
        <v>74</v>
      </c>
      <c r="HL14" t="s">
        <v>74</v>
      </c>
      <c r="HM14" t="s">
        <v>74</v>
      </c>
      <c r="HN14" t="s">
        <v>74</v>
      </c>
      <c r="HO14" t="s">
        <v>74</v>
      </c>
      <c r="HP14" t="s">
        <v>74</v>
      </c>
      <c r="HQ14" t="s">
        <v>74</v>
      </c>
      <c r="HR14" t="s">
        <v>74</v>
      </c>
      <c r="HS14" t="s">
        <v>74</v>
      </c>
      <c r="HT14" t="s">
        <v>74</v>
      </c>
      <c r="HU14" t="s">
        <v>74</v>
      </c>
      <c r="HV14" t="s">
        <v>74</v>
      </c>
      <c r="HW14" t="s">
        <v>74</v>
      </c>
      <c r="HX14" t="s">
        <v>74</v>
      </c>
      <c r="HY14" t="s">
        <v>74</v>
      </c>
      <c r="HZ14" t="s">
        <v>74</v>
      </c>
      <c r="IA14" t="s">
        <v>74</v>
      </c>
      <c r="IB14" t="s">
        <v>75</v>
      </c>
      <c r="IC14" t="s">
        <v>75</v>
      </c>
      <c r="ID14" t="s">
        <v>75</v>
      </c>
      <c r="IE14" t="s">
        <v>75</v>
      </c>
      <c r="IF14" t="s">
        <v>75</v>
      </c>
      <c r="IG14" t="s">
        <v>75</v>
      </c>
      <c r="IH14" t="s">
        <v>75</v>
      </c>
      <c r="II14" t="s">
        <v>75</v>
      </c>
      <c r="IJ14" t="s">
        <v>75</v>
      </c>
      <c r="IK14" t="s">
        <v>75</v>
      </c>
      <c r="IL14" t="s">
        <v>75</v>
      </c>
      <c r="IM14" t="s">
        <v>75</v>
      </c>
      <c r="IN14" t="s">
        <v>75</v>
      </c>
      <c r="IO14" t="s">
        <v>75</v>
      </c>
      <c r="IP14" t="s">
        <v>75</v>
      </c>
      <c r="IQ14" t="s">
        <v>75</v>
      </c>
      <c r="IR14" t="s">
        <v>75</v>
      </c>
      <c r="IS14" t="s">
        <v>75</v>
      </c>
      <c r="IT14" t="s">
        <v>75</v>
      </c>
      <c r="IU14" t="s">
        <v>76</v>
      </c>
      <c r="IV14" t="s">
        <v>76</v>
      </c>
      <c r="IW14" t="s">
        <v>76</v>
      </c>
      <c r="IX14" t="s">
        <v>76</v>
      </c>
      <c r="IY14" t="s">
        <v>76</v>
      </c>
      <c r="IZ14" t="s">
        <v>76</v>
      </c>
      <c r="JA14" t="s">
        <v>76</v>
      </c>
      <c r="JB14" t="s">
        <v>76</v>
      </c>
      <c r="JC14" t="s">
        <v>76</v>
      </c>
      <c r="JD14" t="s">
        <v>76</v>
      </c>
      <c r="JE14" t="s">
        <v>76</v>
      </c>
      <c r="JF14" t="s">
        <v>76</v>
      </c>
      <c r="JG14" t="s">
        <v>76</v>
      </c>
      <c r="JH14" t="s">
        <v>76</v>
      </c>
      <c r="JI14" t="s">
        <v>76</v>
      </c>
      <c r="JJ14" t="s">
        <v>76</v>
      </c>
      <c r="JK14" t="s">
        <v>76</v>
      </c>
      <c r="JL14" t="s">
        <v>76</v>
      </c>
      <c r="JM14" t="s">
        <v>77</v>
      </c>
      <c r="JN14" t="s">
        <v>77</v>
      </c>
      <c r="JO14" t="s">
        <v>77</v>
      </c>
      <c r="JP14" t="s">
        <v>77</v>
      </c>
      <c r="JQ14" t="s">
        <v>77</v>
      </c>
      <c r="JR14" t="s">
        <v>77</v>
      </c>
      <c r="JS14" t="s">
        <v>77</v>
      </c>
      <c r="JT14" t="s">
        <v>77</v>
      </c>
      <c r="JU14" t="s">
        <v>78</v>
      </c>
      <c r="JV14" t="s">
        <v>78</v>
      </c>
      <c r="JW14" t="s">
        <v>78</v>
      </c>
      <c r="JX14" t="s">
        <v>78</v>
      </c>
      <c r="JY14" t="s">
        <v>78</v>
      </c>
      <c r="JZ14" t="s">
        <v>78</v>
      </c>
      <c r="KA14" t="s">
        <v>78</v>
      </c>
      <c r="KB14" t="s">
        <v>78</v>
      </c>
      <c r="KC14" t="s">
        <v>78</v>
      </c>
      <c r="KD14" t="s">
        <v>78</v>
      </c>
      <c r="KE14" t="s">
        <v>78</v>
      </c>
      <c r="KF14" t="s">
        <v>78</v>
      </c>
      <c r="KG14" t="s">
        <v>78</v>
      </c>
      <c r="KH14" t="s">
        <v>78</v>
      </c>
      <c r="KI14" t="s">
        <v>78</v>
      </c>
      <c r="KJ14" t="s">
        <v>78</v>
      </c>
    </row>
    <row r="15" spans="1:296" x14ac:dyDescent="0.3">
      <c r="A15" t="s">
        <v>79</v>
      </c>
      <c r="B15" t="s">
        <v>80</v>
      </c>
      <c r="C15" t="s">
        <v>81</v>
      </c>
      <c r="D15" t="s">
        <v>82</v>
      </c>
      <c r="E15" t="s">
        <v>83</v>
      </c>
      <c r="F15" t="s">
        <v>84</v>
      </c>
      <c r="G15" t="s">
        <v>85</v>
      </c>
      <c r="H15" t="s">
        <v>86</v>
      </c>
      <c r="I15" t="s">
        <v>87</v>
      </c>
      <c r="J15" t="s">
        <v>88</v>
      </c>
      <c r="K15" t="s">
        <v>89</v>
      </c>
      <c r="L15" t="s">
        <v>90</v>
      </c>
      <c r="M15" t="s">
        <v>91</v>
      </c>
      <c r="N15" t="s">
        <v>92</v>
      </c>
      <c r="O15" t="s">
        <v>93</v>
      </c>
      <c r="P15" t="s">
        <v>94</v>
      </c>
      <c r="Q15" t="s">
        <v>95</v>
      </c>
      <c r="R15" t="s">
        <v>96</v>
      </c>
      <c r="S15" t="s">
        <v>97</v>
      </c>
      <c r="T15" t="s">
        <v>98</v>
      </c>
      <c r="U15" t="s">
        <v>99</v>
      </c>
      <c r="V15" t="s">
        <v>100</v>
      </c>
      <c r="W15" t="s">
        <v>101</v>
      </c>
      <c r="X15" t="s">
        <v>102</v>
      </c>
      <c r="Y15" t="s">
        <v>103</v>
      </c>
      <c r="Z15" t="s">
        <v>104</v>
      </c>
      <c r="AA15" t="s">
        <v>105</v>
      </c>
      <c r="AB15" t="s">
        <v>106</v>
      </c>
      <c r="AC15" t="s">
        <v>107</v>
      </c>
      <c r="AD15" t="s">
        <v>108</v>
      </c>
      <c r="AE15" t="s">
        <v>109</v>
      </c>
      <c r="AF15" t="s">
        <v>110</v>
      </c>
      <c r="AG15" t="s">
        <v>111</v>
      </c>
      <c r="AH15" t="s">
        <v>112</v>
      </c>
      <c r="AI15" t="s">
        <v>113</v>
      </c>
      <c r="AJ15" t="s">
        <v>114</v>
      </c>
      <c r="AK15" t="s">
        <v>115</v>
      </c>
      <c r="AL15" t="s">
        <v>116</v>
      </c>
      <c r="AM15" t="s">
        <v>117</v>
      </c>
      <c r="AN15" t="s">
        <v>118</v>
      </c>
      <c r="AO15" t="s">
        <v>119</v>
      </c>
      <c r="AP15" t="s">
        <v>120</v>
      </c>
      <c r="AQ15" t="s">
        <v>121</v>
      </c>
      <c r="AR15" t="s">
        <v>61</v>
      </c>
      <c r="AS15" t="s">
        <v>122</v>
      </c>
      <c r="AT15" t="s">
        <v>123</v>
      </c>
      <c r="AU15" t="s">
        <v>124</v>
      </c>
      <c r="AV15" t="s">
        <v>125</v>
      </c>
      <c r="AW15" t="s">
        <v>126</v>
      </c>
      <c r="AX15" t="s">
        <v>127</v>
      </c>
      <c r="AY15" t="s">
        <v>128</v>
      </c>
      <c r="AZ15" t="s">
        <v>129</v>
      </c>
      <c r="BA15" t="s">
        <v>130</v>
      </c>
      <c r="BB15" t="s">
        <v>131</v>
      </c>
      <c r="BC15" t="s">
        <v>132</v>
      </c>
      <c r="BD15" t="s">
        <v>133</v>
      </c>
      <c r="BE15" t="s">
        <v>134</v>
      </c>
      <c r="BF15" t="s">
        <v>135</v>
      </c>
      <c r="BG15" t="s">
        <v>136</v>
      </c>
      <c r="BH15" t="s">
        <v>137</v>
      </c>
      <c r="BI15" t="s">
        <v>138</v>
      </c>
      <c r="BJ15" t="s">
        <v>139</v>
      </c>
      <c r="BK15" t="s">
        <v>140</v>
      </c>
      <c r="BL15" t="s">
        <v>141</v>
      </c>
      <c r="BM15" t="s">
        <v>142</v>
      </c>
      <c r="BN15" t="s">
        <v>143</v>
      </c>
      <c r="BO15" t="s">
        <v>144</v>
      </c>
      <c r="BP15" t="s">
        <v>145</v>
      </c>
      <c r="BQ15" t="s">
        <v>146</v>
      </c>
      <c r="BR15" t="s">
        <v>147</v>
      </c>
      <c r="BS15" t="s">
        <v>148</v>
      </c>
      <c r="BT15" t="s">
        <v>149</v>
      </c>
      <c r="BU15" t="s">
        <v>150</v>
      </c>
      <c r="BV15" t="s">
        <v>151</v>
      </c>
      <c r="BW15" t="s">
        <v>152</v>
      </c>
      <c r="BX15" t="s">
        <v>153</v>
      </c>
      <c r="BY15" t="s">
        <v>154</v>
      </c>
      <c r="BZ15" t="s">
        <v>155</v>
      </c>
      <c r="CA15" t="s">
        <v>156</v>
      </c>
      <c r="CB15" t="s">
        <v>157</v>
      </c>
      <c r="CC15" t="s">
        <v>158</v>
      </c>
      <c r="CD15" t="s">
        <v>159</v>
      </c>
      <c r="CE15" t="s">
        <v>160</v>
      </c>
      <c r="CF15" t="s">
        <v>161</v>
      </c>
      <c r="CG15" t="s">
        <v>162</v>
      </c>
      <c r="CH15" t="s">
        <v>163</v>
      </c>
      <c r="CI15" t="s">
        <v>164</v>
      </c>
      <c r="CJ15" t="s">
        <v>165</v>
      </c>
      <c r="CK15" t="s">
        <v>166</v>
      </c>
      <c r="CL15" t="s">
        <v>167</v>
      </c>
      <c r="CM15" t="s">
        <v>168</v>
      </c>
      <c r="CN15" t="s">
        <v>169</v>
      </c>
      <c r="CO15" t="s">
        <v>170</v>
      </c>
      <c r="CP15" t="s">
        <v>171</v>
      </c>
      <c r="CQ15" t="s">
        <v>172</v>
      </c>
      <c r="CR15" t="s">
        <v>173</v>
      </c>
      <c r="CS15" t="s">
        <v>174</v>
      </c>
      <c r="CT15" t="s">
        <v>154</v>
      </c>
      <c r="CU15" t="s">
        <v>175</v>
      </c>
      <c r="CV15" t="s">
        <v>176</v>
      </c>
      <c r="CW15" t="s">
        <v>177</v>
      </c>
      <c r="CX15" t="s">
        <v>128</v>
      </c>
      <c r="CY15" t="s">
        <v>178</v>
      </c>
      <c r="CZ15" t="s">
        <v>179</v>
      </c>
      <c r="DA15" t="s">
        <v>180</v>
      </c>
      <c r="DB15" t="s">
        <v>181</v>
      </c>
      <c r="DC15" t="s">
        <v>182</v>
      </c>
      <c r="DD15" t="s">
        <v>183</v>
      </c>
      <c r="DE15" t="s">
        <v>184</v>
      </c>
      <c r="DF15" t="s">
        <v>185</v>
      </c>
      <c r="DG15" t="s">
        <v>186</v>
      </c>
      <c r="DH15" t="s">
        <v>187</v>
      </c>
      <c r="DI15" t="s">
        <v>188</v>
      </c>
      <c r="DJ15" t="s">
        <v>189</v>
      </c>
      <c r="DK15" t="s">
        <v>190</v>
      </c>
      <c r="DL15" t="s">
        <v>191</v>
      </c>
      <c r="DM15" t="s">
        <v>192</v>
      </c>
      <c r="DN15" t="s">
        <v>193</v>
      </c>
      <c r="DO15" t="s">
        <v>194</v>
      </c>
      <c r="DP15" t="s">
        <v>86</v>
      </c>
      <c r="DQ15" t="s">
        <v>195</v>
      </c>
      <c r="DR15" t="s">
        <v>196</v>
      </c>
      <c r="DS15" t="s">
        <v>197</v>
      </c>
      <c r="DT15" t="s">
        <v>198</v>
      </c>
      <c r="DU15" t="s">
        <v>199</v>
      </c>
      <c r="DV15" t="s">
        <v>200</v>
      </c>
      <c r="DW15" t="s">
        <v>201</v>
      </c>
      <c r="DX15" t="s">
        <v>202</v>
      </c>
      <c r="DY15" t="s">
        <v>203</v>
      </c>
      <c r="DZ15" t="s">
        <v>204</v>
      </c>
      <c r="EA15" t="s">
        <v>205</v>
      </c>
      <c r="EB15" t="s">
        <v>206</v>
      </c>
      <c r="EC15" t="s">
        <v>207</v>
      </c>
      <c r="ED15" t="s">
        <v>208</v>
      </c>
      <c r="EE15" t="s">
        <v>209</v>
      </c>
      <c r="EF15" t="s">
        <v>210</v>
      </c>
      <c r="EG15" t="s">
        <v>211</v>
      </c>
      <c r="EH15" t="s">
        <v>212</v>
      </c>
      <c r="EI15" t="s">
        <v>213</v>
      </c>
      <c r="EJ15" t="s">
        <v>214</v>
      </c>
      <c r="EK15" t="s">
        <v>215</v>
      </c>
      <c r="EL15" t="s">
        <v>216</v>
      </c>
      <c r="EM15" t="s">
        <v>217</v>
      </c>
      <c r="EN15" t="s">
        <v>218</v>
      </c>
      <c r="EO15" t="s">
        <v>219</v>
      </c>
      <c r="EP15" t="s">
        <v>220</v>
      </c>
      <c r="EQ15" t="s">
        <v>221</v>
      </c>
      <c r="ER15" t="s">
        <v>222</v>
      </c>
      <c r="ES15" t="s">
        <v>223</v>
      </c>
      <c r="ET15" t="s">
        <v>224</v>
      </c>
      <c r="EU15" t="s">
        <v>225</v>
      </c>
      <c r="EV15" t="s">
        <v>226</v>
      </c>
      <c r="EW15" t="s">
        <v>227</v>
      </c>
      <c r="EX15" t="s">
        <v>228</v>
      </c>
      <c r="EY15" t="s">
        <v>229</v>
      </c>
      <c r="EZ15" t="s">
        <v>230</v>
      </c>
      <c r="FA15" t="s">
        <v>231</v>
      </c>
      <c r="FB15" t="s">
        <v>232</v>
      </c>
      <c r="FC15" t="s">
        <v>233</v>
      </c>
      <c r="FD15" t="s">
        <v>234</v>
      </c>
      <c r="FE15" t="s">
        <v>235</v>
      </c>
      <c r="FF15" t="s">
        <v>236</v>
      </c>
      <c r="FG15" t="s">
        <v>237</v>
      </c>
      <c r="FH15" t="s">
        <v>238</v>
      </c>
      <c r="FI15" t="s">
        <v>239</v>
      </c>
      <c r="FJ15" t="s">
        <v>240</v>
      </c>
      <c r="FK15" t="s">
        <v>241</v>
      </c>
      <c r="FL15" t="s">
        <v>242</v>
      </c>
      <c r="FM15" t="s">
        <v>243</v>
      </c>
      <c r="FN15" t="s">
        <v>244</v>
      </c>
      <c r="FO15" t="s">
        <v>80</v>
      </c>
      <c r="FP15" t="s">
        <v>83</v>
      </c>
      <c r="FQ15" t="s">
        <v>245</v>
      </c>
      <c r="FR15" t="s">
        <v>246</v>
      </c>
      <c r="FS15" t="s">
        <v>247</v>
      </c>
      <c r="FT15" t="s">
        <v>248</v>
      </c>
      <c r="FU15" t="s">
        <v>249</v>
      </c>
      <c r="FV15" t="s">
        <v>250</v>
      </c>
      <c r="FW15" t="s">
        <v>251</v>
      </c>
      <c r="FX15" t="s">
        <v>252</v>
      </c>
      <c r="FY15" t="s">
        <v>253</v>
      </c>
      <c r="FZ15" t="s">
        <v>254</v>
      </c>
      <c r="GA15" t="s">
        <v>255</v>
      </c>
      <c r="GB15" t="s">
        <v>256</v>
      </c>
      <c r="GC15" t="s">
        <v>257</v>
      </c>
      <c r="GD15" t="s">
        <v>258</v>
      </c>
      <c r="GE15" t="s">
        <v>259</v>
      </c>
      <c r="GF15" t="s">
        <v>260</v>
      </c>
      <c r="GG15" t="s">
        <v>261</v>
      </c>
      <c r="GH15" t="s">
        <v>262</v>
      </c>
      <c r="GI15" t="s">
        <v>263</v>
      </c>
      <c r="GJ15" t="s">
        <v>264</v>
      </c>
      <c r="GK15" t="s">
        <v>265</v>
      </c>
      <c r="GL15" t="s">
        <v>266</v>
      </c>
      <c r="GM15" t="s">
        <v>267</v>
      </c>
      <c r="GN15" t="s">
        <v>268</v>
      </c>
      <c r="GO15" t="s">
        <v>269</v>
      </c>
      <c r="GP15" t="s">
        <v>270</v>
      </c>
      <c r="GQ15" t="s">
        <v>271</v>
      </c>
      <c r="GR15" t="s">
        <v>272</v>
      </c>
      <c r="GS15" t="s">
        <v>273</v>
      </c>
      <c r="GT15" t="s">
        <v>274</v>
      </c>
      <c r="GU15" t="s">
        <v>275</v>
      </c>
      <c r="GV15" t="s">
        <v>276</v>
      </c>
      <c r="GW15" t="s">
        <v>277</v>
      </c>
      <c r="GX15" t="s">
        <v>278</v>
      </c>
      <c r="GY15" t="s">
        <v>279</v>
      </c>
      <c r="GZ15" t="s">
        <v>280</v>
      </c>
      <c r="HA15" t="s">
        <v>281</v>
      </c>
      <c r="HB15" t="s">
        <v>282</v>
      </c>
      <c r="HC15" t="s">
        <v>283</v>
      </c>
      <c r="HD15" t="s">
        <v>284</v>
      </c>
      <c r="HE15" t="s">
        <v>285</v>
      </c>
      <c r="HF15" t="s">
        <v>286</v>
      </c>
      <c r="HG15" t="s">
        <v>287</v>
      </c>
      <c r="HH15" t="s">
        <v>288</v>
      </c>
      <c r="HI15" t="s">
        <v>289</v>
      </c>
      <c r="HJ15" t="s">
        <v>290</v>
      </c>
      <c r="HK15" t="s">
        <v>291</v>
      </c>
      <c r="HL15" t="s">
        <v>292</v>
      </c>
      <c r="HM15" t="s">
        <v>293</v>
      </c>
      <c r="HN15" t="s">
        <v>294</v>
      </c>
      <c r="HO15" t="s">
        <v>295</v>
      </c>
      <c r="HP15" t="s">
        <v>296</v>
      </c>
      <c r="HQ15" t="s">
        <v>297</v>
      </c>
      <c r="HR15" t="s">
        <v>298</v>
      </c>
      <c r="HS15" t="s">
        <v>299</v>
      </c>
      <c r="HT15" t="s">
        <v>300</v>
      </c>
      <c r="HU15" t="s">
        <v>301</v>
      </c>
      <c r="HV15" t="s">
        <v>302</v>
      </c>
      <c r="HW15" t="s">
        <v>303</v>
      </c>
      <c r="HX15" t="s">
        <v>304</v>
      </c>
      <c r="HY15" t="s">
        <v>305</v>
      </c>
      <c r="HZ15" t="s">
        <v>306</v>
      </c>
      <c r="IA15" t="s">
        <v>307</v>
      </c>
      <c r="IB15" t="s">
        <v>308</v>
      </c>
      <c r="IC15" t="s">
        <v>309</v>
      </c>
      <c r="ID15" t="s">
        <v>310</v>
      </c>
      <c r="IE15" t="s">
        <v>311</v>
      </c>
      <c r="IF15" t="s">
        <v>312</v>
      </c>
      <c r="IG15" t="s">
        <v>313</v>
      </c>
      <c r="IH15" t="s">
        <v>314</v>
      </c>
      <c r="II15" t="s">
        <v>315</v>
      </c>
      <c r="IJ15" t="s">
        <v>316</v>
      </c>
      <c r="IK15" t="s">
        <v>317</v>
      </c>
      <c r="IL15" t="s">
        <v>318</v>
      </c>
      <c r="IM15" t="s">
        <v>319</v>
      </c>
      <c r="IN15" t="s">
        <v>320</v>
      </c>
      <c r="IO15" t="s">
        <v>321</v>
      </c>
      <c r="IP15" t="s">
        <v>322</v>
      </c>
      <c r="IQ15" t="s">
        <v>323</v>
      </c>
      <c r="IR15" t="s">
        <v>324</v>
      </c>
      <c r="IS15" t="s">
        <v>325</v>
      </c>
      <c r="IT15" t="s">
        <v>326</v>
      </c>
      <c r="IU15" t="s">
        <v>327</v>
      </c>
      <c r="IV15" t="s">
        <v>328</v>
      </c>
      <c r="IW15" t="s">
        <v>329</v>
      </c>
      <c r="IX15" t="s">
        <v>330</v>
      </c>
      <c r="IY15" t="s">
        <v>331</v>
      </c>
      <c r="IZ15" t="s">
        <v>332</v>
      </c>
      <c r="JA15" t="s">
        <v>333</v>
      </c>
      <c r="JB15" t="s">
        <v>334</v>
      </c>
      <c r="JC15" t="s">
        <v>335</v>
      </c>
      <c r="JD15" t="s">
        <v>336</v>
      </c>
      <c r="JE15" t="s">
        <v>337</v>
      </c>
      <c r="JF15" t="s">
        <v>338</v>
      </c>
      <c r="JG15" t="s">
        <v>339</v>
      </c>
      <c r="JH15" t="s">
        <v>340</v>
      </c>
      <c r="JI15" t="s">
        <v>341</v>
      </c>
      <c r="JJ15" t="s">
        <v>342</v>
      </c>
      <c r="JK15" t="s">
        <v>343</v>
      </c>
      <c r="JL15" t="s">
        <v>344</v>
      </c>
      <c r="JM15" t="s">
        <v>345</v>
      </c>
      <c r="JN15" t="s">
        <v>346</v>
      </c>
      <c r="JO15" t="s">
        <v>347</v>
      </c>
      <c r="JP15" t="s">
        <v>348</v>
      </c>
      <c r="JQ15" t="s">
        <v>349</v>
      </c>
      <c r="JR15" t="s">
        <v>350</v>
      </c>
      <c r="JS15" t="s">
        <v>351</v>
      </c>
      <c r="JT15" t="s">
        <v>352</v>
      </c>
      <c r="JU15" t="s">
        <v>353</v>
      </c>
      <c r="JV15" t="s">
        <v>354</v>
      </c>
      <c r="JW15" t="s">
        <v>355</v>
      </c>
      <c r="JX15" t="s">
        <v>356</v>
      </c>
      <c r="JY15" t="s">
        <v>357</v>
      </c>
      <c r="JZ15" t="s">
        <v>358</v>
      </c>
      <c r="KA15" t="s">
        <v>359</v>
      </c>
      <c r="KB15" t="s">
        <v>360</v>
      </c>
      <c r="KC15" t="s">
        <v>361</v>
      </c>
      <c r="KD15" t="s">
        <v>362</v>
      </c>
      <c r="KE15" t="s">
        <v>363</v>
      </c>
      <c r="KF15" t="s">
        <v>364</v>
      </c>
      <c r="KG15" t="s">
        <v>365</v>
      </c>
      <c r="KH15" t="s">
        <v>366</v>
      </c>
      <c r="KI15" t="s">
        <v>367</v>
      </c>
      <c r="KJ15" t="s">
        <v>368</v>
      </c>
    </row>
    <row r="16" spans="1:296" x14ac:dyDescent="0.3">
      <c r="B16" t="s">
        <v>369</v>
      </c>
      <c r="C16" t="s">
        <v>369</v>
      </c>
      <c r="F16" t="s">
        <v>369</v>
      </c>
      <c r="H16" t="s">
        <v>369</v>
      </c>
      <c r="I16" t="s">
        <v>370</v>
      </c>
      <c r="J16" t="s">
        <v>371</v>
      </c>
      <c r="K16" t="s">
        <v>372</v>
      </c>
      <c r="L16" t="s">
        <v>373</v>
      </c>
      <c r="M16" t="s">
        <v>373</v>
      </c>
      <c r="N16" t="s">
        <v>202</v>
      </c>
      <c r="O16" t="s">
        <v>202</v>
      </c>
      <c r="P16" t="s">
        <v>370</v>
      </c>
      <c r="Q16" t="s">
        <v>370</v>
      </c>
      <c r="R16" t="s">
        <v>370</v>
      </c>
      <c r="S16" t="s">
        <v>370</v>
      </c>
      <c r="T16" t="s">
        <v>374</v>
      </c>
      <c r="U16" t="s">
        <v>375</v>
      </c>
      <c r="V16" t="s">
        <v>375</v>
      </c>
      <c r="W16" t="s">
        <v>376</v>
      </c>
      <c r="X16" t="s">
        <v>377</v>
      </c>
      <c r="Y16" t="s">
        <v>376</v>
      </c>
      <c r="Z16" t="s">
        <v>376</v>
      </c>
      <c r="AA16" t="s">
        <v>376</v>
      </c>
      <c r="AB16" t="s">
        <v>374</v>
      </c>
      <c r="AC16" t="s">
        <v>374</v>
      </c>
      <c r="AD16" t="s">
        <v>374</v>
      </c>
      <c r="AE16" t="s">
        <v>374</v>
      </c>
      <c r="AF16" t="s">
        <v>372</v>
      </c>
      <c r="AG16" t="s">
        <v>371</v>
      </c>
      <c r="AH16" t="s">
        <v>372</v>
      </c>
      <c r="AI16" t="s">
        <v>373</v>
      </c>
      <c r="AJ16" t="s">
        <v>373</v>
      </c>
      <c r="AK16" t="s">
        <v>378</v>
      </c>
      <c r="AL16" t="s">
        <v>379</v>
      </c>
      <c r="AM16" t="s">
        <v>371</v>
      </c>
      <c r="AN16" t="s">
        <v>380</v>
      </c>
      <c r="AO16" t="s">
        <v>380</v>
      </c>
      <c r="AP16" t="s">
        <v>381</v>
      </c>
      <c r="AQ16" t="s">
        <v>379</v>
      </c>
      <c r="AR16" t="s">
        <v>382</v>
      </c>
      <c r="AS16" t="s">
        <v>377</v>
      </c>
      <c r="AU16" t="s">
        <v>377</v>
      </c>
      <c r="AV16" t="s">
        <v>382</v>
      </c>
      <c r="BB16" t="s">
        <v>372</v>
      </c>
      <c r="BI16" t="s">
        <v>372</v>
      </c>
      <c r="BJ16" t="s">
        <v>372</v>
      </c>
      <c r="BK16" t="s">
        <v>372</v>
      </c>
      <c r="BL16" t="s">
        <v>383</v>
      </c>
      <c r="BZ16" t="s">
        <v>384</v>
      </c>
      <c r="CB16" t="s">
        <v>384</v>
      </c>
      <c r="CC16" t="s">
        <v>372</v>
      </c>
      <c r="CF16" t="s">
        <v>384</v>
      </c>
      <c r="CG16" t="s">
        <v>377</v>
      </c>
      <c r="CJ16" t="s">
        <v>385</v>
      </c>
      <c r="CK16" t="s">
        <v>385</v>
      </c>
      <c r="CM16" t="s">
        <v>386</v>
      </c>
      <c r="CN16" t="s">
        <v>384</v>
      </c>
      <c r="CP16" t="s">
        <v>384</v>
      </c>
      <c r="CQ16" t="s">
        <v>372</v>
      </c>
      <c r="CU16" t="s">
        <v>384</v>
      </c>
      <c r="CW16" t="s">
        <v>387</v>
      </c>
      <c r="CZ16" t="s">
        <v>384</v>
      </c>
      <c r="DA16" t="s">
        <v>384</v>
      </c>
      <c r="DC16" t="s">
        <v>384</v>
      </c>
      <c r="DE16" t="s">
        <v>384</v>
      </c>
      <c r="DG16" t="s">
        <v>372</v>
      </c>
      <c r="DH16" t="s">
        <v>372</v>
      </c>
      <c r="DJ16" t="s">
        <v>388</v>
      </c>
      <c r="DK16" t="s">
        <v>389</v>
      </c>
      <c r="DN16" t="s">
        <v>370</v>
      </c>
      <c r="DP16" t="s">
        <v>369</v>
      </c>
      <c r="DQ16" t="s">
        <v>373</v>
      </c>
      <c r="DR16" t="s">
        <v>373</v>
      </c>
      <c r="DS16" t="s">
        <v>380</v>
      </c>
      <c r="DT16" t="s">
        <v>380</v>
      </c>
      <c r="DU16" t="s">
        <v>373</v>
      </c>
      <c r="DV16" t="s">
        <v>380</v>
      </c>
      <c r="DW16" t="s">
        <v>382</v>
      </c>
      <c r="DX16" t="s">
        <v>376</v>
      </c>
      <c r="DY16" t="s">
        <v>376</v>
      </c>
      <c r="DZ16" t="s">
        <v>375</v>
      </c>
      <c r="EA16" t="s">
        <v>375</v>
      </c>
      <c r="EB16" t="s">
        <v>375</v>
      </c>
      <c r="EC16" t="s">
        <v>375</v>
      </c>
      <c r="ED16" t="s">
        <v>375</v>
      </c>
      <c r="EE16" t="s">
        <v>390</v>
      </c>
      <c r="EF16" t="s">
        <v>372</v>
      </c>
      <c r="EG16" t="s">
        <v>372</v>
      </c>
      <c r="EH16" t="s">
        <v>373</v>
      </c>
      <c r="EI16" t="s">
        <v>373</v>
      </c>
      <c r="EJ16" t="s">
        <v>373</v>
      </c>
      <c r="EK16" t="s">
        <v>380</v>
      </c>
      <c r="EL16" t="s">
        <v>373</v>
      </c>
      <c r="EM16" t="s">
        <v>380</v>
      </c>
      <c r="EN16" t="s">
        <v>376</v>
      </c>
      <c r="EO16" t="s">
        <v>376</v>
      </c>
      <c r="EP16" t="s">
        <v>375</v>
      </c>
      <c r="EQ16" t="s">
        <v>375</v>
      </c>
      <c r="ER16" t="s">
        <v>372</v>
      </c>
      <c r="EW16" t="s">
        <v>372</v>
      </c>
      <c r="EZ16" t="s">
        <v>375</v>
      </c>
      <c r="FA16" t="s">
        <v>375</v>
      </c>
      <c r="FB16" t="s">
        <v>375</v>
      </c>
      <c r="FC16" t="s">
        <v>375</v>
      </c>
      <c r="FD16" t="s">
        <v>375</v>
      </c>
      <c r="FE16" t="s">
        <v>372</v>
      </c>
      <c r="FF16" t="s">
        <v>372</v>
      </c>
      <c r="FG16" t="s">
        <v>372</v>
      </c>
      <c r="FH16" t="s">
        <v>369</v>
      </c>
      <c r="FK16" t="s">
        <v>391</v>
      </c>
      <c r="FL16" t="s">
        <v>391</v>
      </c>
      <c r="FN16" t="s">
        <v>369</v>
      </c>
      <c r="FO16" t="s">
        <v>392</v>
      </c>
      <c r="FQ16" t="s">
        <v>369</v>
      </c>
      <c r="FR16" t="s">
        <v>369</v>
      </c>
      <c r="FT16" t="s">
        <v>393</v>
      </c>
      <c r="FU16" t="s">
        <v>394</v>
      </c>
      <c r="FV16" t="s">
        <v>393</v>
      </c>
      <c r="FW16" t="s">
        <v>394</v>
      </c>
      <c r="FX16" t="s">
        <v>393</v>
      </c>
      <c r="FY16" t="s">
        <v>394</v>
      </c>
      <c r="FZ16" t="s">
        <v>377</v>
      </c>
      <c r="GA16" t="s">
        <v>377</v>
      </c>
      <c r="GB16" t="s">
        <v>373</v>
      </c>
      <c r="GC16" t="s">
        <v>395</v>
      </c>
      <c r="GD16" t="s">
        <v>373</v>
      </c>
      <c r="GG16" t="s">
        <v>396</v>
      </c>
      <c r="GJ16" t="s">
        <v>380</v>
      </c>
      <c r="GK16" t="s">
        <v>397</v>
      </c>
      <c r="GL16" t="s">
        <v>380</v>
      </c>
      <c r="GQ16" t="s">
        <v>398</v>
      </c>
      <c r="GR16" t="s">
        <v>398</v>
      </c>
      <c r="HE16" t="s">
        <v>398</v>
      </c>
      <c r="HF16" t="s">
        <v>398</v>
      </c>
      <c r="HG16" t="s">
        <v>399</v>
      </c>
      <c r="HH16" t="s">
        <v>399</v>
      </c>
      <c r="HI16" t="s">
        <v>375</v>
      </c>
      <c r="HJ16" t="s">
        <v>375</v>
      </c>
      <c r="HK16" t="s">
        <v>377</v>
      </c>
      <c r="HL16" t="s">
        <v>375</v>
      </c>
      <c r="HM16" t="s">
        <v>380</v>
      </c>
      <c r="HN16" t="s">
        <v>377</v>
      </c>
      <c r="HO16" t="s">
        <v>377</v>
      </c>
      <c r="HQ16" t="s">
        <v>398</v>
      </c>
      <c r="HR16" t="s">
        <v>398</v>
      </c>
      <c r="HS16" t="s">
        <v>398</v>
      </c>
      <c r="HT16" t="s">
        <v>398</v>
      </c>
      <c r="HU16" t="s">
        <v>398</v>
      </c>
      <c r="HV16" t="s">
        <v>398</v>
      </c>
      <c r="HW16" t="s">
        <v>398</v>
      </c>
      <c r="HX16" t="s">
        <v>400</v>
      </c>
      <c r="HY16" t="s">
        <v>400</v>
      </c>
      <c r="HZ16" t="s">
        <v>400</v>
      </c>
      <c r="IA16" t="s">
        <v>401</v>
      </c>
      <c r="IB16" t="s">
        <v>398</v>
      </c>
      <c r="IC16" t="s">
        <v>398</v>
      </c>
      <c r="ID16" t="s">
        <v>398</v>
      </c>
      <c r="IE16" t="s">
        <v>398</v>
      </c>
      <c r="IF16" t="s">
        <v>398</v>
      </c>
      <c r="IG16" t="s">
        <v>398</v>
      </c>
      <c r="IH16" t="s">
        <v>398</v>
      </c>
      <c r="II16" t="s">
        <v>398</v>
      </c>
      <c r="IJ16" t="s">
        <v>398</v>
      </c>
      <c r="IK16" t="s">
        <v>398</v>
      </c>
      <c r="IL16" t="s">
        <v>398</v>
      </c>
      <c r="IM16" t="s">
        <v>398</v>
      </c>
      <c r="IT16" t="s">
        <v>398</v>
      </c>
      <c r="IU16" t="s">
        <v>377</v>
      </c>
      <c r="IV16" t="s">
        <v>377</v>
      </c>
      <c r="IW16" t="s">
        <v>393</v>
      </c>
      <c r="IX16" t="s">
        <v>394</v>
      </c>
      <c r="IY16" t="s">
        <v>393</v>
      </c>
      <c r="JC16" t="s">
        <v>394</v>
      </c>
      <c r="JG16" t="s">
        <v>373</v>
      </c>
      <c r="JH16" t="s">
        <v>373</v>
      </c>
      <c r="JI16" t="s">
        <v>380</v>
      </c>
      <c r="JJ16" t="s">
        <v>380</v>
      </c>
      <c r="JK16" t="s">
        <v>402</v>
      </c>
      <c r="JL16" t="s">
        <v>402</v>
      </c>
      <c r="JM16" t="s">
        <v>398</v>
      </c>
      <c r="JN16" t="s">
        <v>398</v>
      </c>
      <c r="JO16" t="s">
        <v>398</v>
      </c>
      <c r="JP16" t="s">
        <v>398</v>
      </c>
      <c r="JQ16" t="s">
        <v>398</v>
      </c>
      <c r="JR16" t="s">
        <v>398</v>
      </c>
      <c r="JS16" t="s">
        <v>375</v>
      </c>
      <c r="JT16" t="s">
        <v>398</v>
      </c>
      <c r="JV16" t="s">
        <v>382</v>
      </c>
      <c r="JW16" t="s">
        <v>382</v>
      </c>
      <c r="JX16" t="s">
        <v>375</v>
      </c>
      <c r="JY16" t="s">
        <v>375</v>
      </c>
      <c r="JZ16" t="s">
        <v>375</v>
      </c>
      <c r="KA16" t="s">
        <v>375</v>
      </c>
      <c r="KB16" t="s">
        <v>375</v>
      </c>
      <c r="KC16" t="s">
        <v>377</v>
      </c>
      <c r="KD16" t="s">
        <v>377</v>
      </c>
      <c r="KE16" t="s">
        <v>377</v>
      </c>
      <c r="KF16" t="s">
        <v>375</v>
      </c>
      <c r="KG16" t="s">
        <v>373</v>
      </c>
      <c r="KH16" t="s">
        <v>380</v>
      </c>
      <c r="KI16" t="s">
        <v>377</v>
      </c>
      <c r="KJ16" t="s">
        <v>377</v>
      </c>
    </row>
    <row r="17" spans="1:296" x14ac:dyDescent="0.3">
      <c r="A17">
        <v>1</v>
      </c>
      <c r="B17">
        <v>1783872219.0999999</v>
      </c>
      <c r="C17">
        <v>0</v>
      </c>
      <c r="D17" t="s">
        <v>575</v>
      </c>
      <c r="E17" t="s">
        <v>576</v>
      </c>
      <c r="F17">
        <v>15</v>
      </c>
      <c r="H17">
        <v>1783872211.099999</v>
      </c>
      <c r="I17">
        <f t="shared" ref="I17:I29" si="0">(J17)/1000</f>
        <v>3.1139106897095361E-3</v>
      </c>
      <c r="J17">
        <f t="shared" ref="J17:J29" si="1">IF(DO17, AM17, AG17)</f>
        <v>3.1139106897095363</v>
      </c>
      <c r="K17">
        <f t="shared" ref="K17:K29" si="2">IF(DO17, AH17, AF17)</f>
        <v>45.187458165797061</v>
      </c>
      <c r="L17">
        <f t="shared" ref="L17:L29" si="3">DQ17 - IF(AT17&gt;1, K17*DK17*100/(AV17), 0)</f>
        <v>419.99677419354828</v>
      </c>
      <c r="M17">
        <f t="shared" ref="M17:M29" si="4">((S17-I17/2)*L17-K17)/(S17+I17/2)</f>
        <v>134.50984035846807</v>
      </c>
      <c r="N17">
        <f t="shared" ref="N17:N29" si="5">M17*(DX17+DY17)/1000</f>
        <v>13.259723946689782</v>
      </c>
      <c r="O17">
        <f t="shared" ref="O17:O29" si="6">(DQ17 - IF(AT17&gt;1, K17*DK17*100/(AV17), 0))*(DX17+DY17)/1000</f>
        <v>41.402482297690526</v>
      </c>
      <c r="P17">
        <f t="shared" ref="P17:P29" si="7">2/((1/R17-1/Q17)+SIGN(R17)*SQRT((1/R17-1/Q17)*(1/R17-1/Q17) + 4*DL17/((DL17+1)*(DL17+1))*(2*1/R17*1/Q17-1/Q17*1/Q17)))</f>
        <v>0.26944412017543684</v>
      </c>
      <c r="Q17">
        <f t="shared" ref="Q17:Q29" si="8">IF(LEFT(DM17,1)&lt;&gt;"0",IF(LEFT(DM17,1)="1",3,DN17),$D$5+$E$5*(EE17*DX17/($K$5*1000))+$F$5*(EE17*DX17/($K$5*1000))*MAX(MIN(DK17,$J$5),$I$5)*MAX(MIN(DK17,$J$5),$I$5)+$G$5*MAX(MIN(DK17,$J$5),$I$5)*(EE17*DX17/($K$5*1000))+$H$5*(EE17*DX17/($K$5*1000))*(EE17*DX17/($K$5*1000)))</f>
        <v>2.9035185766315279</v>
      </c>
      <c r="R17">
        <f t="shared" ref="R17:R29" si="9">I17*(1000-(1000*0.61365*EXP(17.502*V17/(240.97+V17))/(DX17+DY17)+DS17)/2)/(1000*0.61365*EXP(17.502*V17/(240.97+V17))/(DX17+DY17)-DS17)</f>
        <v>0.25628372439346092</v>
      </c>
      <c r="S17">
        <f t="shared" ref="S17:S29" si="10">1/((DL17+1)/(P17/1.6)+1/(Q17/1.37)) + DL17/((DL17+1)/(P17/1.6) + DL17/(Q17/1.37))</f>
        <v>0.16130615711359919</v>
      </c>
      <c r="T17">
        <f t="shared" ref="T17:T29" si="11">(DG17*DJ17)</f>
        <v>319.7766448847122</v>
      </c>
      <c r="U17">
        <f t="shared" ref="U17:U29" si="12">(DZ17+(T17+2*0.95*0.0000000567*(((DZ17+$B$7)+273)^4-(DZ17+273)^4)-44100*I17)/(1.84*29.3*Q17+8*0.95*0.0000000567*(DZ17+273)^3))</f>
        <v>25.668624656420167</v>
      </c>
      <c r="V17">
        <f t="shared" ref="V17:V29" si="13">($C$7*EA17+$D$7*EB17+$E$7*U17)</f>
        <v>25.00201612903226</v>
      </c>
      <c r="W17">
        <f t="shared" ref="W17:W29" si="14">0.61365*EXP(17.502*V17/(240.97+V17))</f>
        <v>3.1800598065996546</v>
      </c>
      <c r="X17">
        <f t="shared" ref="X17:X29" si="15">(Y17/Z17*100)</f>
        <v>64.936718419317046</v>
      </c>
      <c r="Y17">
        <f t="shared" ref="Y17:Y29" si="16">DS17*(DX17+DY17)/1000</f>
        <v>2.0138652775421297</v>
      </c>
      <c r="Z17">
        <f t="shared" ref="Z17:Z29" si="17">0.61365*EXP(17.502*DZ17/(240.97+DZ17))</f>
        <v>3.1012735576472483</v>
      </c>
      <c r="AA17">
        <f t="shared" ref="AA17:AA29" si="18">(W17-DS17*(DX17+DY17)/1000)</f>
        <v>1.1661945290575249</v>
      </c>
      <c r="AB17">
        <f t="shared" ref="AB17:AB29" si="19">(-I17*44100)</f>
        <v>-137.32346141619055</v>
      </c>
      <c r="AC17">
        <f t="shared" ref="AC17:AC29" si="20">2*29.3*Q17*0.92*(DZ17-V17)</f>
        <v>-65.765190220552086</v>
      </c>
      <c r="AD17">
        <f t="shared" ref="AD17:AD29" si="21">2*0.95*0.0000000567*(((DZ17+$B$7)+273)^4-(V17+273)^4)</f>
        <v>-4.7810331653366944</v>
      </c>
      <c r="AE17">
        <f t="shared" ref="AE17:AE29" si="22">T17+AD17+AB17+AC17</f>
        <v>111.90696008263288</v>
      </c>
      <c r="AF17">
        <f t="shared" ref="AF17:AF29" si="23">DW17*AT17*(DR17-DQ17*(1000-AT17*DT17)/(1000-AT17*DS17))/(100*DK17)</f>
        <v>45.187458165797061</v>
      </c>
      <c r="AG17">
        <f t="shared" ref="AG17:AG29" si="24">1000*DW17*AT17*(DS17-DT17)/(100*DK17*(1000-AT17*DS17))</f>
        <v>3.1139106897095363</v>
      </c>
      <c r="AH17">
        <f t="shared" ref="AH17:AH29" si="25">(AI17 - AJ17 - DX17*1000/(8.314*(DZ17+273.15)) * AL17/DW17 * AK17) * DW17/(100*DK17) * (1000 - DT17)/1000</f>
        <v>45.060341579305017</v>
      </c>
      <c r="AI17">
        <v>483.80583301996643</v>
      </c>
      <c r="AJ17">
        <v>428.810406060606</v>
      </c>
      <c r="AK17">
        <v>3.5503661765585819E-4</v>
      </c>
      <c r="AL17">
        <v>67.081067384243909</v>
      </c>
      <c r="AM17">
        <f t="shared" ref="AM17:AM29" si="26">(AO17 - AN17 + DX17*1000/(8.314*(DZ17+273.15)) * AQ17/DW17 * AP17) * DW17/(100*DK17) * 1000/(1000 - AO17)</f>
        <v>3.1762194787506171</v>
      </c>
      <c r="AN17">
        <v>16.765677651125539</v>
      </c>
      <c r="AO17">
        <v>20.457140606060591</v>
      </c>
      <c r="AP17">
        <v>6.7103896103889397E-3</v>
      </c>
      <c r="AQ17">
        <v>78.55</v>
      </c>
      <c r="AR17">
        <v>0</v>
      </c>
      <c r="AS17">
        <v>0</v>
      </c>
      <c r="AT17">
        <f t="shared" ref="AT17:AT29" si="27">IF(AR17*$H$13&gt;=AV17,1,(AV17/(AV17-AR17*$H$13)))</f>
        <v>1</v>
      </c>
      <c r="AU17">
        <f t="shared" ref="AU17:AU29" si="28">(AT17-1)*100</f>
        <v>0</v>
      </c>
      <c r="AV17">
        <f t="shared" ref="AV17:AV29" si="29">MAX(0,($B$13+$C$13*EE17)/(1+$D$13*EE17)*DX17/(DZ17+273)*$E$13)</f>
        <v>52519.640318764672</v>
      </c>
      <c r="AW17" t="s">
        <v>577</v>
      </c>
      <c r="AX17">
        <v>5096.58</v>
      </c>
      <c r="AY17">
        <v>563.61176470588236</v>
      </c>
      <c r="AZ17">
        <v>2395.3200000000002</v>
      </c>
      <c r="BA17">
        <f t="shared" ref="BA17:BA29" si="30">1-AY17/AZ17</f>
        <v>0.76470293542997081</v>
      </c>
      <c r="BB17">
        <v>-3.4864551676958428</v>
      </c>
      <c r="BC17" t="s">
        <v>578</v>
      </c>
      <c r="BD17">
        <v>5075.33</v>
      </c>
      <c r="BE17">
        <v>843.30588235294124</v>
      </c>
      <c r="BF17">
        <v>981.82</v>
      </c>
      <c r="BG17">
        <f t="shared" ref="BG17:BG29" si="31">1-BE17/BF17</f>
        <v>0.14107893264249949</v>
      </c>
      <c r="BH17">
        <v>0.5</v>
      </c>
      <c r="BI17">
        <f t="shared" ref="BI17:BI29" si="32">DH17</f>
        <v>1680.2958482270778</v>
      </c>
      <c r="BJ17">
        <f t="shared" ref="BJ17:BJ29" si="33">K17</f>
        <v>45.187458165797061</v>
      </c>
      <c r="BK17">
        <f t="shared" ref="BK17:BK29" si="34">BG17*BH17*BI17</f>
        <v>118.52717239574973</v>
      </c>
      <c r="BL17">
        <f t="shared" ref="BL17:BL29" si="35">(BJ17-BB17)/BI17</f>
        <v>2.8967466285684137E-2</v>
      </c>
      <c r="BM17">
        <f t="shared" ref="BM17:BM29" si="36">(AZ17-BF17)/BF17</f>
        <v>1.4396732598643336</v>
      </c>
      <c r="BN17">
        <f t="shared" ref="BN17:BN29" si="37">AY17/(BA17+AY17/BF17)</f>
        <v>420.99823655001416</v>
      </c>
      <c r="BO17" t="s">
        <v>407</v>
      </c>
      <c r="BP17">
        <v>0</v>
      </c>
      <c r="BQ17">
        <f t="shared" ref="BQ17:BQ29" si="38">IF(BP17&lt;&gt;0, BP17, BN17)</f>
        <v>420.99823655001416</v>
      </c>
      <c r="BR17">
        <f t="shared" ref="BR17:BR29" si="39">1-BQ17/BF17</f>
        <v>0.57120629387258948</v>
      </c>
      <c r="BS17">
        <f t="shared" ref="BS17:BS29" si="40">(BF17-BE17)/(BF17-BQ17)</f>
        <v>0.24698420545409436</v>
      </c>
      <c r="BT17">
        <f t="shared" ref="BT17:BT29" si="41">(AZ17-BF17)/(AZ17-BQ17)</f>
        <v>0.71594206484864442</v>
      </c>
      <c r="BU17">
        <f t="shared" ref="BU17:BU29" si="42">(BF17-BE17)/(BF17-AY17)</f>
        <v>0.33120848887551085</v>
      </c>
      <c r="BV17">
        <f t="shared" ref="BV17:BV29" si="43">(AZ17-BF17)/(AZ17-AY17)</f>
        <v>0.77168403393296636</v>
      </c>
      <c r="BW17">
        <f t="shared" ref="BW17:BW29" si="44">(BS17*BQ17/BE17)</f>
        <v>0.12330035533697646</v>
      </c>
      <c r="BX17">
        <f t="shared" ref="BX17:BX29" si="45">(1-BW17)</f>
        <v>0.87669964466302353</v>
      </c>
      <c r="DG17">
        <f t="shared" ref="DG17:DG29" si="46">$B$11*EF17+$C$11*EG17+$F$11*ER17*(1-EU17)</f>
        <v>1999.9961290322581</v>
      </c>
      <c r="DH17">
        <f t="shared" ref="DH17:DH29" si="47">DG17*DI17</f>
        <v>1680.2958482270778</v>
      </c>
      <c r="DI17">
        <f t="shared" ref="DI17:DI29" si="48">($B$11*$D$9+$C$11*$D$9+$F$11*((FE17+EW17)/MAX(FE17+EW17+FF17, 0.1)*$I$9+FF17/MAX(FE17+EW17+FF17, 0.1)*$J$9))/($B$11+$C$11+$F$11)</f>
        <v>0.8401495502094426</v>
      </c>
      <c r="DJ17">
        <f t="shared" ref="DJ17:DJ29" si="49">($B$11*$K$9+$C$11*$K$9+$F$11*((FE17+EW17)/MAX(FE17+EW17+FF17, 0.1)*$P$9+FF17/MAX(FE17+EW17+FF17, 0.1)*$Q$9))/($B$11+$C$11+$F$11)</f>
        <v>0.15988863190422431</v>
      </c>
      <c r="DK17">
        <v>6</v>
      </c>
      <c r="DL17">
        <v>0.5</v>
      </c>
      <c r="DM17" t="s">
        <v>408</v>
      </c>
      <c r="DN17">
        <v>2</v>
      </c>
      <c r="DO17" t="b">
        <v>0</v>
      </c>
      <c r="DP17">
        <v>1783872211.099999</v>
      </c>
      <c r="DQ17">
        <v>419.99677419354828</v>
      </c>
      <c r="DR17">
        <v>475.79003225806451</v>
      </c>
      <c r="DS17">
        <v>20.429135483870969</v>
      </c>
      <c r="DT17">
        <v>16.768851612903219</v>
      </c>
      <c r="DU17">
        <v>425.81487096774202</v>
      </c>
      <c r="DV17">
        <v>20.959932258064519</v>
      </c>
      <c r="DW17">
        <v>500.00977419354842</v>
      </c>
      <c r="DX17">
        <v>98.517161290322576</v>
      </c>
      <c r="DY17">
        <v>6.0934641935483883E-2</v>
      </c>
      <c r="DZ17">
        <v>24.58188387096774</v>
      </c>
      <c r="EA17">
        <v>25.00201612903226</v>
      </c>
      <c r="EB17">
        <v>999.90000000000032</v>
      </c>
      <c r="EC17">
        <v>0</v>
      </c>
      <c r="ED17">
        <v>0</v>
      </c>
      <c r="EE17">
        <v>10000.64516129032</v>
      </c>
      <c r="EF17">
        <v>0</v>
      </c>
      <c r="EG17">
        <v>708.73180645161267</v>
      </c>
      <c r="EH17">
        <v>-55.79318709677419</v>
      </c>
      <c r="EI17">
        <v>428.75596774193548</v>
      </c>
      <c r="EJ17">
        <v>483.90458064516127</v>
      </c>
      <c r="EK17">
        <v>3.6602883870967742</v>
      </c>
      <c r="EL17">
        <v>475.79003225806451</v>
      </c>
      <c r="EM17">
        <v>16.768851612903219</v>
      </c>
      <c r="EN17">
        <v>2.0126203225806449</v>
      </c>
      <c r="EO17">
        <v>1.6520196774193541</v>
      </c>
      <c r="EP17">
        <v>17.543970967741942</v>
      </c>
      <c r="EQ17">
        <v>14.452783870967741</v>
      </c>
      <c r="ER17">
        <v>1999.9961290322581</v>
      </c>
      <c r="ES17">
        <v>0.99500106451612869</v>
      </c>
      <c r="ET17">
        <v>4.9988719354838694E-3</v>
      </c>
      <c r="EU17">
        <v>0</v>
      </c>
      <c r="EV17">
        <v>843.68977419354837</v>
      </c>
      <c r="EW17">
        <v>5.0010700000000003</v>
      </c>
      <c r="EX17">
        <v>22065.5</v>
      </c>
      <c r="EY17">
        <v>18241.6129032258</v>
      </c>
      <c r="EZ17">
        <v>43.295999999999978</v>
      </c>
      <c r="FA17">
        <v>44.584354838709672</v>
      </c>
      <c r="FB17">
        <v>44.03399999999997</v>
      </c>
      <c r="FC17">
        <v>43.908999999999978</v>
      </c>
      <c r="FD17">
        <v>43.941064516129003</v>
      </c>
      <c r="FE17">
        <v>1985.026129032258</v>
      </c>
      <c r="FF17">
        <v>9.970000000000006</v>
      </c>
      <c r="FG17">
        <v>0</v>
      </c>
      <c r="FH17">
        <v>1424.900000095367</v>
      </c>
      <c r="FI17">
        <v>0</v>
      </c>
      <c r="FJ17">
        <v>843.30588235294124</v>
      </c>
      <c r="FK17">
        <v>-6.8098038453483074</v>
      </c>
      <c r="FL17">
        <v>-3153.5539024286668</v>
      </c>
      <c r="FM17">
        <v>21936.02941176471</v>
      </c>
      <c r="FN17">
        <v>10</v>
      </c>
      <c r="FO17">
        <v>1783872100</v>
      </c>
      <c r="FP17" t="s">
        <v>579</v>
      </c>
      <c r="FQ17">
        <v>1783872093</v>
      </c>
      <c r="FR17">
        <v>1783872100</v>
      </c>
      <c r="FS17">
        <v>16</v>
      </c>
      <c r="FT17">
        <v>-0.27800000000000002</v>
      </c>
      <c r="FU17">
        <v>1.2999999999999999E-2</v>
      </c>
      <c r="FV17">
        <v>-6.0229999999999997</v>
      </c>
      <c r="FW17">
        <v>-0.624</v>
      </c>
      <c r="FX17">
        <v>476</v>
      </c>
      <c r="FY17">
        <v>16</v>
      </c>
      <c r="FZ17">
        <v>0.16</v>
      </c>
      <c r="GA17">
        <v>7.0000000000000007E-2</v>
      </c>
      <c r="GB17">
        <v>419.99493333333328</v>
      </c>
      <c r="GC17">
        <v>0.44241156840866208</v>
      </c>
      <c r="GD17">
        <v>7.1663069677169719E-2</v>
      </c>
      <c r="GE17">
        <v>-1</v>
      </c>
      <c r="GF17">
        <v>844.08573529411751</v>
      </c>
      <c r="GG17">
        <v>-7.584675317252854</v>
      </c>
      <c r="GH17">
        <v>0.77872457219646063</v>
      </c>
      <c r="GI17">
        <v>1</v>
      </c>
      <c r="GJ17">
        <v>3.66398125</v>
      </c>
      <c r="GK17">
        <v>-6.6215572232664027E-2</v>
      </c>
      <c r="GL17">
        <v>1.103147115925616E-2</v>
      </c>
      <c r="GM17">
        <v>1</v>
      </c>
      <c r="GN17">
        <v>2</v>
      </c>
      <c r="GO17">
        <v>2</v>
      </c>
      <c r="GP17" t="s">
        <v>423</v>
      </c>
      <c r="GQ17">
        <v>3.1298400000000002</v>
      </c>
      <c r="GR17">
        <v>2.73752</v>
      </c>
      <c r="GS17">
        <v>9.1809799999999997E-2</v>
      </c>
      <c r="GT17">
        <v>0.100526</v>
      </c>
      <c r="GU17">
        <v>0.102147</v>
      </c>
      <c r="GV17">
        <v>8.7221800000000002E-2</v>
      </c>
      <c r="GW17">
        <v>22752.7</v>
      </c>
      <c r="GX17">
        <v>30196.1</v>
      </c>
      <c r="GY17">
        <v>27182.5</v>
      </c>
      <c r="GZ17">
        <v>34530.800000000003</v>
      </c>
      <c r="HA17">
        <v>35752.699999999997</v>
      </c>
      <c r="HB17">
        <v>39930.400000000001</v>
      </c>
      <c r="HC17">
        <v>40142.9</v>
      </c>
      <c r="HD17">
        <v>43824</v>
      </c>
      <c r="HE17">
        <v>1.9572000000000001</v>
      </c>
      <c r="HF17">
        <v>1.6839999999999999</v>
      </c>
      <c r="HG17">
        <v>-9.2536199999999999E-2</v>
      </c>
      <c r="HH17">
        <v>0</v>
      </c>
      <c r="HI17">
        <v>26.505700000000001</v>
      </c>
      <c r="HJ17">
        <v>999.9</v>
      </c>
      <c r="HK17">
        <v>52.2</v>
      </c>
      <c r="HL17">
        <v>44.8</v>
      </c>
      <c r="HM17">
        <v>50.545400000000001</v>
      </c>
      <c r="HN17">
        <v>61.274999999999999</v>
      </c>
      <c r="HO17">
        <v>7.3918299999999997</v>
      </c>
      <c r="HP17">
        <v>1</v>
      </c>
      <c r="HQ17">
        <v>0.675508</v>
      </c>
      <c r="HR17">
        <v>7.9393900000000004</v>
      </c>
      <c r="HS17">
        <v>20.087499999999999</v>
      </c>
      <c r="HT17">
        <v>5.2100999999999997</v>
      </c>
      <c r="HU17">
        <v>11.914099999999999</v>
      </c>
      <c r="HV17">
        <v>4.9855999999999998</v>
      </c>
      <c r="HW17">
        <v>3.2709999999999999</v>
      </c>
      <c r="HX17">
        <v>9999</v>
      </c>
      <c r="HY17">
        <v>9999</v>
      </c>
      <c r="HZ17">
        <v>9999</v>
      </c>
      <c r="IA17">
        <v>999.9</v>
      </c>
      <c r="IB17">
        <v>1.8674299999999999</v>
      </c>
      <c r="IC17">
        <v>1.8631599999999999</v>
      </c>
      <c r="ID17">
        <v>1.8626400000000001</v>
      </c>
      <c r="IE17">
        <v>1.8621799999999999</v>
      </c>
      <c r="IF17">
        <v>1.8621799999999999</v>
      </c>
      <c r="IG17">
        <v>1.8626400000000001</v>
      </c>
      <c r="IH17">
        <v>1.8636200000000001</v>
      </c>
      <c r="II17">
        <v>1.8615699999999999</v>
      </c>
      <c r="IJ17">
        <v>0</v>
      </c>
      <c r="IK17">
        <v>0</v>
      </c>
      <c r="IL17">
        <v>0</v>
      </c>
      <c r="IM17">
        <v>4.5</v>
      </c>
      <c r="IN17" t="s">
        <v>411</v>
      </c>
      <c r="IO17" t="s">
        <v>412</v>
      </c>
      <c r="IP17" t="s">
        <v>413</v>
      </c>
      <c r="IQ17" t="s">
        <v>414</v>
      </c>
      <c r="IR17" t="s">
        <v>414</v>
      </c>
      <c r="IS17" t="s">
        <v>413</v>
      </c>
      <c r="IT17">
        <v>0</v>
      </c>
      <c r="IU17">
        <v>100</v>
      </c>
      <c r="IV17">
        <v>100</v>
      </c>
      <c r="IW17">
        <v>-5.8179999999999996</v>
      </c>
      <c r="IX17">
        <v>-0.53</v>
      </c>
      <c r="IY17">
        <v>-3.831079339809961</v>
      </c>
      <c r="IZ17">
        <v>-5.6215304933332991E-3</v>
      </c>
      <c r="JA17">
        <v>2.3979931213773931E-6</v>
      </c>
      <c r="JB17">
        <v>-3.6297174575716598E-10</v>
      </c>
      <c r="JC17">
        <v>-0.84165093630110221</v>
      </c>
      <c r="JD17">
        <v>2.7492919904454862E-4</v>
      </c>
      <c r="JE17">
        <v>8.6739513355948885E-4</v>
      </c>
      <c r="JF17">
        <v>-8.2500691715147318E-6</v>
      </c>
      <c r="JG17">
        <v>17</v>
      </c>
      <c r="JH17">
        <v>1914</v>
      </c>
      <c r="JI17">
        <v>2</v>
      </c>
      <c r="JJ17">
        <v>37</v>
      </c>
      <c r="JK17">
        <v>2.1</v>
      </c>
      <c r="JL17">
        <v>2</v>
      </c>
      <c r="JM17">
        <v>1.1975100000000001</v>
      </c>
      <c r="JN17">
        <v>2.5781200000000002</v>
      </c>
      <c r="JO17">
        <v>1.50024</v>
      </c>
      <c r="JP17">
        <v>2.2656200000000002</v>
      </c>
      <c r="JQ17">
        <v>1.4477500000000001</v>
      </c>
      <c r="JR17">
        <v>2.4584999999999999</v>
      </c>
      <c r="JS17">
        <v>49.515799999999999</v>
      </c>
      <c r="JT17">
        <v>14.7012</v>
      </c>
      <c r="JU17">
        <v>18</v>
      </c>
      <c r="JV17">
        <v>546.38199999999995</v>
      </c>
      <c r="JW17">
        <v>385.15899999999999</v>
      </c>
      <c r="JX17">
        <v>19.050699999999999</v>
      </c>
      <c r="JY17">
        <v>35.166699999999999</v>
      </c>
      <c r="JZ17">
        <v>29.9983</v>
      </c>
      <c r="KA17">
        <v>35.191800000000001</v>
      </c>
      <c r="KB17">
        <v>35.2119</v>
      </c>
      <c r="KC17">
        <v>23.959700000000002</v>
      </c>
      <c r="KD17">
        <v>61.448500000000003</v>
      </c>
      <c r="KE17">
        <v>0</v>
      </c>
      <c r="KF17">
        <v>19.107299999999999</v>
      </c>
      <c r="KG17">
        <v>475.76</v>
      </c>
      <c r="KH17">
        <v>16.6876</v>
      </c>
      <c r="KI17">
        <v>100.325</v>
      </c>
      <c r="KJ17">
        <v>98.5869</v>
      </c>
    </row>
    <row r="18" spans="1:296" x14ac:dyDescent="0.3">
      <c r="A18">
        <v>2</v>
      </c>
      <c r="B18">
        <v>1783872401.5999999</v>
      </c>
      <c r="C18">
        <v>182.5</v>
      </c>
      <c r="D18" t="s">
        <v>580</v>
      </c>
      <c r="E18" t="s">
        <v>581</v>
      </c>
      <c r="F18">
        <v>15</v>
      </c>
      <c r="H18">
        <v>1783872393.599999</v>
      </c>
      <c r="I18">
        <f t="shared" si="0"/>
        <v>2.9348942900427354E-3</v>
      </c>
      <c r="J18">
        <f t="shared" si="1"/>
        <v>2.9348942900427355</v>
      </c>
      <c r="K18">
        <f t="shared" si="2"/>
        <v>43.442094324463532</v>
      </c>
      <c r="L18">
        <f t="shared" si="3"/>
        <v>420.04487096774199</v>
      </c>
      <c r="M18">
        <f t="shared" si="4"/>
        <v>129.54838865385446</v>
      </c>
      <c r="N18">
        <f t="shared" si="5"/>
        <v>12.770510447051738</v>
      </c>
      <c r="O18">
        <f t="shared" si="6"/>
        <v>41.406824651882282</v>
      </c>
      <c r="P18">
        <f t="shared" si="7"/>
        <v>0.25381616114272032</v>
      </c>
      <c r="Q18">
        <f t="shared" si="8"/>
        <v>2.903120264957824</v>
      </c>
      <c r="R18">
        <f t="shared" si="9"/>
        <v>0.24210093353988776</v>
      </c>
      <c r="S18">
        <f t="shared" si="10"/>
        <v>0.15232058244480462</v>
      </c>
      <c r="T18">
        <f t="shared" si="11"/>
        <v>271.910261388489</v>
      </c>
      <c r="U18">
        <f t="shared" si="12"/>
        <v>25.472303833476168</v>
      </c>
      <c r="V18">
        <f t="shared" si="13"/>
        <v>24.987296774193549</v>
      </c>
      <c r="W18">
        <f t="shared" si="14"/>
        <v>3.1772702427126815</v>
      </c>
      <c r="X18">
        <f t="shared" si="15"/>
        <v>64.770491462967357</v>
      </c>
      <c r="Y18">
        <f t="shared" si="16"/>
        <v>2.0137224947073196</v>
      </c>
      <c r="Z18">
        <f t="shared" si="17"/>
        <v>3.1090122202618593</v>
      </c>
      <c r="AA18">
        <f t="shared" si="18"/>
        <v>1.163547748005362</v>
      </c>
      <c r="AB18">
        <f t="shared" si="19"/>
        <v>-129.42883819088462</v>
      </c>
      <c r="AC18">
        <f t="shared" si="20"/>
        <v>-56.929338961563303</v>
      </c>
      <c r="AD18">
        <f t="shared" si="21"/>
        <v>-4.1398091075760002</v>
      </c>
      <c r="AE18">
        <f t="shared" si="22"/>
        <v>81.412275128465069</v>
      </c>
      <c r="AF18">
        <f t="shared" si="23"/>
        <v>43.442094324463532</v>
      </c>
      <c r="AG18">
        <f t="shared" si="24"/>
        <v>2.9348942900427355</v>
      </c>
      <c r="AH18">
        <f t="shared" si="25"/>
        <v>43.523491502258274</v>
      </c>
      <c r="AI18">
        <v>481.88925344078478</v>
      </c>
      <c r="AJ18">
        <v>428.79275757575772</v>
      </c>
      <c r="AK18">
        <v>-6.1075704220741878E-3</v>
      </c>
      <c r="AL18">
        <v>67.073186766611471</v>
      </c>
      <c r="AM18">
        <f t="shared" si="26"/>
        <v>3.0336351335793794</v>
      </c>
      <c r="AN18">
        <v>16.969300650562769</v>
      </c>
      <c r="AO18">
        <v>20.47969757575758</v>
      </c>
      <c r="AP18">
        <v>8.8515844155920981E-3</v>
      </c>
      <c r="AQ18">
        <v>78.55</v>
      </c>
      <c r="AR18">
        <v>0</v>
      </c>
      <c r="AS18">
        <v>0</v>
      </c>
      <c r="AT18">
        <f t="shared" si="27"/>
        <v>1</v>
      </c>
      <c r="AU18">
        <f t="shared" si="28"/>
        <v>0</v>
      </c>
      <c r="AV18">
        <f t="shared" si="29"/>
        <v>52500.789593236972</v>
      </c>
      <c r="AW18" t="s">
        <v>577</v>
      </c>
      <c r="AX18">
        <v>5096.58</v>
      </c>
      <c r="AY18">
        <v>563.61176470588236</v>
      </c>
      <c r="AZ18">
        <v>2395.3200000000002</v>
      </c>
      <c r="BA18">
        <f t="shared" si="30"/>
        <v>0.76470293542997081</v>
      </c>
      <c r="BB18">
        <v>-3.4864551676958428</v>
      </c>
      <c r="BC18" t="s">
        <v>582</v>
      </c>
      <c r="BD18">
        <v>5076.6000000000004</v>
      </c>
      <c r="BE18">
        <v>822.00141176470595</v>
      </c>
      <c r="BF18">
        <v>999.11</v>
      </c>
      <c r="BG18">
        <f t="shared" si="31"/>
        <v>0.17726635529150347</v>
      </c>
      <c r="BH18">
        <v>0.5</v>
      </c>
      <c r="BI18">
        <f t="shared" si="32"/>
        <v>1428.3180495243716</v>
      </c>
      <c r="BJ18">
        <f t="shared" si="33"/>
        <v>43.442094324463532</v>
      </c>
      <c r="BK18">
        <f t="shared" si="34"/>
        <v>126.59636741812726</v>
      </c>
      <c r="BL18">
        <f t="shared" si="35"/>
        <v>3.28558121265684E-2</v>
      </c>
      <c r="BM18">
        <f t="shared" si="36"/>
        <v>1.3974537338231026</v>
      </c>
      <c r="BN18">
        <f t="shared" si="37"/>
        <v>424.14558655528043</v>
      </c>
      <c r="BO18" t="s">
        <v>407</v>
      </c>
      <c r="BP18">
        <v>0</v>
      </c>
      <c r="BQ18">
        <f t="shared" si="38"/>
        <v>424.14558655528043</v>
      </c>
      <c r="BR18">
        <f t="shared" si="39"/>
        <v>0.57547658760769038</v>
      </c>
      <c r="BS18">
        <f t="shared" si="40"/>
        <v>0.3080340001813387</v>
      </c>
      <c r="BT18">
        <f t="shared" si="41"/>
        <v>0.70831378008811385</v>
      </c>
      <c r="BU18">
        <f t="shared" si="42"/>
        <v>0.40668038095649728</v>
      </c>
      <c r="BV18">
        <f t="shared" si="43"/>
        <v>0.76224475770608202</v>
      </c>
      <c r="BW18">
        <f t="shared" si="44"/>
        <v>0.15894286775663297</v>
      </c>
      <c r="BX18">
        <f t="shared" si="45"/>
        <v>0.84105713224336709</v>
      </c>
      <c r="DG18">
        <f t="shared" si="46"/>
        <v>1700.016129032258</v>
      </c>
      <c r="DH18">
        <f t="shared" si="47"/>
        <v>1428.3180495243716</v>
      </c>
      <c r="DI18">
        <f t="shared" si="48"/>
        <v>0.84017911661664546</v>
      </c>
      <c r="DJ18">
        <f t="shared" si="49"/>
        <v>0.15994569507012571</v>
      </c>
      <c r="DK18">
        <v>6</v>
      </c>
      <c r="DL18">
        <v>0.5</v>
      </c>
      <c r="DM18" t="s">
        <v>408</v>
      </c>
      <c r="DN18">
        <v>2</v>
      </c>
      <c r="DO18" t="b">
        <v>0</v>
      </c>
      <c r="DP18">
        <v>1783872393.599999</v>
      </c>
      <c r="DQ18">
        <v>420.04487096774199</v>
      </c>
      <c r="DR18">
        <v>473.65358064516118</v>
      </c>
      <c r="DS18">
        <v>20.42788387096774</v>
      </c>
      <c r="DT18">
        <v>16.97802903225806</v>
      </c>
      <c r="DU18">
        <v>425.85696774193542</v>
      </c>
      <c r="DV18">
        <v>20.96589354838709</v>
      </c>
      <c r="DW18">
        <v>500.0107096774193</v>
      </c>
      <c r="DX18">
        <v>98.516929032258062</v>
      </c>
      <c r="DY18">
        <v>6.0217158064516128E-2</v>
      </c>
      <c r="DZ18">
        <v>24.623561290322581</v>
      </c>
      <c r="EA18">
        <v>24.987296774193549</v>
      </c>
      <c r="EB18">
        <v>999.90000000000032</v>
      </c>
      <c r="EC18">
        <v>0</v>
      </c>
      <c r="ED18">
        <v>0</v>
      </c>
      <c r="EE18">
        <v>9998.3870967741932</v>
      </c>
      <c r="EF18">
        <v>0</v>
      </c>
      <c r="EG18">
        <v>804.95400000000006</v>
      </c>
      <c r="EH18">
        <v>-53.608674193548389</v>
      </c>
      <c r="EI18">
        <v>428.80448387096777</v>
      </c>
      <c r="EJ18">
        <v>481.83412903225809</v>
      </c>
      <c r="EK18">
        <v>3.4498616129032249</v>
      </c>
      <c r="EL18">
        <v>473.65358064516118</v>
      </c>
      <c r="EM18">
        <v>16.97802903225806</v>
      </c>
      <c r="EN18">
        <v>2.012492903225807</v>
      </c>
      <c r="EO18">
        <v>1.6726225806451609</v>
      </c>
      <c r="EP18">
        <v>17.542954838709679</v>
      </c>
      <c r="EQ18">
        <v>14.64464838709678</v>
      </c>
      <c r="ER18">
        <v>1700.016129032258</v>
      </c>
      <c r="ES18">
        <v>0.9940095161290321</v>
      </c>
      <c r="ET18">
        <v>5.9901987096774188E-3</v>
      </c>
      <c r="EU18">
        <v>0</v>
      </c>
      <c r="EV18">
        <v>822.23903225806441</v>
      </c>
      <c r="EW18">
        <v>5.0010700000000003</v>
      </c>
      <c r="EX18">
        <v>20887.43225806452</v>
      </c>
      <c r="EY18">
        <v>15492.722580645161</v>
      </c>
      <c r="EZ18">
        <v>43.301999999999971</v>
      </c>
      <c r="FA18">
        <v>44.902999999999992</v>
      </c>
      <c r="FB18">
        <v>44.311999999999969</v>
      </c>
      <c r="FC18">
        <v>44.128999999999998</v>
      </c>
      <c r="FD18">
        <v>44.116870967741939</v>
      </c>
      <c r="FE18">
        <v>1684.858709677419</v>
      </c>
      <c r="FF18">
        <v>10.15</v>
      </c>
      <c r="FG18">
        <v>0</v>
      </c>
      <c r="FH18">
        <v>182</v>
      </c>
      <c r="FI18">
        <v>0</v>
      </c>
      <c r="FJ18">
        <v>822.00141176470595</v>
      </c>
      <c r="FK18">
        <v>-1.0311274996323141</v>
      </c>
      <c r="FL18">
        <v>-1722.181381075007</v>
      </c>
      <c r="FM18">
        <v>20729.517647058819</v>
      </c>
      <c r="FN18">
        <v>10</v>
      </c>
      <c r="FO18">
        <v>1783872298.0999999</v>
      </c>
      <c r="FP18" t="s">
        <v>583</v>
      </c>
      <c r="FQ18">
        <v>1783872297.0999999</v>
      </c>
      <c r="FR18">
        <v>1783872298.0999999</v>
      </c>
      <c r="FS18">
        <v>17</v>
      </c>
      <c r="FT18">
        <v>6.0000000000000001E-3</v>
      </c>
      <c r="FU18">
        <v>-7.0000000000000001E-3</v>
      </c>
      <c r="FV18">
        <v>-6.0119999999999996</v>
      </c>
      <c r="FW18">
        <v>-0.629</v>
      </c>
      <c r="FX18">
        <v>474</v>
      </c>
      <c r="FY18">
        <v>17</v>
      </c>
      <c r="FZ18">
        <v>0.14000000000000001</v>
      </c>
      <c r="GA18">
        <v>7.0000000000000007E-2</v>
      </c>
      <c r="GB18">
        <v>420.03938709677419</v>
      </c>
      <c r="GC18">
        <v>-0.122661290324821</v>
      </c>
      <c r="GD18">
        <v>5.6669202775266173E-2</v>
      </c>
      <c r="GE18">
        <v>-1</v>
      </c>
      <c r="GF18">
        <v>822.48820588235299</v>
      </c>
      <c r="GG18">
        <v>-4.7452864773881904</v>
      </c>
      <c r="GH18">
        <v>0.50990920641710957</v>
      </c>
      <c r="GI18">
        <v>1</v>
      </c>
      <c r="GJ18">
        <v>3.441046341463414</v>
      </c>
      <c r="GK18">
        <v>0.23794076655052171</v>
      </c>
      <c r="GL18">
        <v>2.8255241582032381E-2</v>
      </c>
      <c r="GM18">
        <v>1</v>
      </c>
      <c r="GN18">
        <v>2</v>
      </c>
      <c r="GO18">
        <v>2</v>
      </c>
      <c r="GP18" t="s">
        <v>423</v>
      </c>
      <c r="GQ18">
        <v>3.1300699999999999</v>
      </c>
      <c r="GR18">
        <v>2.7361300000000002</v>
      </c>
      <c r="GS18">
        <v>9.1776800000000006E-2</v>
      </c>
      <c r="GT18">
        <v>0.100105</v>
      </c>
      <c r="GU18">
        <v>0.10222100000000001</v>
      </c>
      <c r="GV18">
        <v>8.7966900000000001E-2</v>
      </c>
      <c r="GW18">
        <v>22749.4</v>
      </c>
      <c r="GX18">
        <v>30203</v>
      </c>
      <c r="GY18">
        <v>27178.1</v>
      </c>
      <c r="GZ18">
        <v>34523.4</v>
      </c>
      <c r="HA18">
        <v>35744.800000000003</v>
      </c>
      <c r="HB18">
        <v>39891.9</v>
      </c>
      <c r="HC18">
        <v>40136.9</v>
      </c>
      <c r="HD18">
        <v>43817.4</v>
      </c>
      <c r="HE18">
        <v>1.956</v>
      </c>
      <c r="HF18">
        <v>1.6826000000000001</v>
      </c>
      <c r="HG18">
        <v>-9.7781400000000004E-2</v>
      </c>
      <c r="HH18">
        <v>0</v>
      </c>
      <c r="HI18">
        <v>26.584299999999999</v>
      </c>
      <c r="HJ18">
        <v>999.9</v>
      </c>
      <c r="HK18">
        <v>51.2</v>
      </c>
      <c r="HL18">
        <v>45</v>
      </c>
      <c r="HM18">
        <v>50.088200000000001</v>
      </c>
      <c r="HN18">
        <v>61.255099999999999</v>
      </c>
      <c r="HO18">
        <v>7.1314099999999998</v>
      </c>
      <c r="HP18">
        <v>1</v>
      </c>
      <c r="HQ18">
        <v>0.68451200000000001</v>
      </c>
      <c r="HR18">
        <v>7.7596999999999996</v>
      </c>
      <c r="HS18">
        <v>20.096399999999999</v>
      </c>
      <c r="HT18">
        <v>5.2100999999999997</v>
      </c>
      <c r="HU18">
        <v>11.914099999999999</v>
      </c>
      <c r="HV18">
        <v>4.9847999999999999</v>
      </c>
      <c r="HW18">
        <v>3.2709999999999999</v>
      </c>
      <c r="HX18">
        <v>9999</v>
      </c>
      <c r="HY18">
        <v>9999</v>
      </c>
      <c r="HZ18">
        <v>9999</v>
      </c>
      <c r="IA18">
        <v>999.9</v>
      </c>
      <c r="IB18">
        <v>1.8673999999999999</v>
      </c>
      <c r="IC18">
        <v>1.86313</v>
      </c>
      <c r="ID18">
        <v>1.8626400000000001</v>
      </c>
      <c r="IE18">
        <v>1.8621799999999999</v>
      </c>
      <c r="IF18">
        <v>1.8621799999999999</v>
      </c>
      <c r="IG18">
        <v>1.8626400000000001</v>
      </c>
      <c r="IH18">
        <v>1.8635600000000001</v>
      </c>
      <c r="II18">
        <v>1.8615699999999999</v>
      </c>
      <c r="IJ18">
        <v>0</v>
      </c>
      <c r="IK18">
        <v>0</v>
      </c>
      <c r="IL18">
        <v>0</v>
      </c>
      <c r="IM18">
        <v>4.5</v>
      </c>
      <c r="IN18" t="s">
        <v>411</v>
      </c>
      <c r="IO18" t="s">
        <v>412</v>
      </c>
      <c r="IP18" t="s">
        <v>413</v>
      </c>
      <c r="IQ18" t="s">
        <v>414</v>
      </c>
      <c r="IR18" t="s">
        <v>414</v>
      </c>
      <c r="IS18" t="s">
        <v>413</v>
      </c>
      <c r="IT18">
        <v>0</v>
      </c>
      <c r="IU18">
        <v>100</v>
      </c>
      <c r="IV18">
        <v>100</v>
      </c>
      <c r="IW18">
        <v>-5.8120000000000003</v>
      </c>
      <c r="IX18">
        <v>-0.53649999999999998</v>
      </c>
      <c r="IY18">
        <v>-3.8250737843975879</v>
      </c>
      <c r="IZ18">
        <v>-5.6215304933332991E-3</v>
      </c>
      <c r="JA18">
        <v>2.3979931213773931E-6</v>
      </c>
      <c r="JB18">
        <v>-3.6297174575716598E-10</v>
      </c>
      <c r="JC18">
        <v>-0.84902648642712708</v>
      </c>
      <c r="JD18">
        <v>2.7492919904454862E-4</v>
      </c>
      <c r="JE18">
        <v>8.6739513355948885E-4</v>
      </c>
      <c r="JF18">
        <v>-8.2500691715147318E-6</v>
      </c>
      <c r="JG18">
        <v>17</v>
      </c>
      <c r="JH18">
        <v>1914</v>
      </c>
      <c r="JI18">
        <v>2</v>
      </c>
      <c r="JJ18">
        <v>37</v>
      </c>
      <c r="JK18">
        <v>1.7</v>
      </c>
      <c r="JL18">
        <v>1.7</v>
      </c>
      <c r="JM18">
        <v>1.1950700000000001</v>
      </c>
      <c r="JN18">
        <v>2.5903299999999998</v>
      </c>
      <c r="JO18">
        <v>1.50024</v>
      </c>
      <c r="JP18">
        <v>2.2656200000000002</v>
      </c>
      <c r="JQ18">
        <v>1.4477500000000001</v>
      </c>
      <c r="JR18">
        <v>2.3535200000000001</v>
      </c>
      <c r="JS18">
        <v>49.389400000000002</v>
      </c>
      <c r="JT18">
        <v>14.6486</v>
      </c>
      <c r="JU18">
        <v>18</v>
      </c>
      <c r="JV18">
        <v>546.63800000000003</v>
      </c>
      <c r="JW18">
        <v>385.113</v>
      </c>
      <c r="JX18">
        <v>19.276399999999999</v>
      </c>
      <c r="JY18">
        <v>35.295900000000003</v>
      </c>
      <c r="JZ18">
        <v>29.999700000000001</v>
      </c>
      <c r="KA18">
        <v>35.322099999999999</v>
      </c>
      <c r="KB18">
        <v>35.341299999999997</v>
      </c>
      <c r="KC18">
        <v>23.906400000000001</v>
      </c>
      <c r="KD18">
        <v>60.932099999999998</v>
      </c>
      <c r="KE18">
        <v>0</v>
      </c>
      <c r="KF18">
        <v>19.2926</v>
      </c>
      <c r="KG18">
        <v>473.69900000000001</v>
      </c>
      <c r="KH18">
        <v>16.921299999999999</v>
      </c>
      <c r="KI18">
        <v>100.31</v>
      </c>
      <c r="KJ18">
        <v>98.569400000000002</v>
      </c>
    </row>
    <row r="19" spans="1:296" x14ac:dyDescent="0.3">
      <c r="A19">
        <v>3</v>
      </c>
      <c r="B19">
        <v>1783872584.0999999</v>
      </c>
      <c r="C19">
        <v>365</v>
      </c>
      <c r="D19" t="s">
        <v>584</v>
      </c>
      <c r="E19" t="s">
        <v>585</v>
      </c>
      <c r="F19">
        <v>15</v>
      </c>
      <c r="H19">
        <v>1783872576.099999</v>
      </c>
      <c r="I19">
        <f t="shared" si="0"/>
        <v>2.7364051703852297E-3</v>
      </c>
      <c r="J19">
        <f t="shared" si="1"/>
        <v>2.7364051703852299</v>
      </c>
      <c r="K19">
        <f t="shared" si="2"/>
        <v>42.715163489612245</v>
      </c>
      <c r="L19">
        <f t="shared" si="3"/>
        <v>420.01919354838719</v>
      </c>
      <c r="M19">
        <f t="shared" si="4"/>
        <v>111.40949866584626</v>
      </c>
      <c r="N19">
        <f t="shared" si="5"/>
        <v>10.982568347557601</v>
      </c>
      <c r="O19">
        <f t="shared" si="6"/>
        <v>41.404813374726338</v>
      </c>
      <c r="P19">
        <f t="shared" si="7"/>
        <v>0.23382941586296183</v>
      </c>
      <c r="Q19">
        <f t="shared" si="8"/>
        <v>2.9040241703851706</v>
      </c>
      <c r="R19">
        <f t="shared" si="9"/>
        <v>0.22385054307968708</v>
      </c>
      <c r="S19">
        <f t="shared" si="10"/>
        <v>0.14076766323455819</v>
      </c>
      <c r="T19">
        <f t="shared" si="11"/>
        <v>255.9113875085761</v>
      </c>
      <c r="U19">
        <f t="shared" si="12"/>
        <v>25.402736851818602</v>
      </c>
      <c r="V19">
        <f t="shared" si="13"/>
        <v>25.053464516129029</v>
      </c>
      <c r="W19">
        <f t="shared" si="14"/>
        <v>3.1898269577117744</v>
      </c>
      <c r="X19">
        <f t="shared" si="15"/>
        <v>64.964767464228672</v>
      </c>
      <c r="Y19">
        <f t="shared" si="16"/>
        <v>2.0166024209972377</v>
      </c>
      <c r="Z19">
        <f t="shared" si="17"/>
        <v>3.1041478322963791</v>
      </c>
      <c r="AA19">
        <f t="shared" si="18"/>
        <v>1.1732245367145366</v>
      </c>
      <c r="AB19">
        <f t="shared" si="19"/>
        <v>-120.67546801398863</v>
      </c>
      <c r="AC19">
        <f t="shared" si="20"/>
        <v>-71.406299551041599</v>
      </c>
      <c r="AD19">
        <f t="shared" si="21"/>
        <v>-5.1919804571145942</v>
      </c>
      <c r="AE19">
        <f t="shared" si="22"/>
        <v>58.637639486431254</v>
      </c>
      <c r="AF19">
        <f t="shared" si="23"/>
        <v>42.715163489612245</v>
      </c>
      <c r="AG19">
        <f t="shared" si="24"/>
        <v>2.7364051703852299</v>
      </c>
      <c r="AH19">
        <f t="shared" si="25"/>
        <v>42.697447253595556</v>
      </c>
      <c r="AI19">
        <v>480.85559864718209</v>
      </c>
      <c r="AJ19">
        <v>428.73826666666662</v>
      </c>
      <c r="AK19">
        <v>-3.5339530247286231E-3</v>
      </c>
      <c r="AL19">
        <v>67.079237031983936</v>
      </c>
      <c r="AM19">
        <f t="shared" si="26"/>
        <v>2.7573076386409627</v>
      </c>
      <c r="AN19">
        <v>17.230161646277061</v>
      </c>
      <c r="AO19">
        <v>20.468875757575741</v>
      </c>
      <c r="AP19">
        <v>3.7663911845732453E-4</v>
      </c>
      <c r="AQ19">
        <v>78.55</v>
      </c>
      <c r="AR19">
        <v>0</v>
      </c>
      <c r="AS19">
        <v>0</v>
      </c>
      <c r="AT19">
        <f t="shared" si="27"/>
        <v>1</v>
      </c>
      <c r="AU19">
        <f t="shared" si="28"/>
        <v>0</v>
      </c>
      <c r="AV19">
        <f t="shared" si="29"/>
        <v>52531.494067215121</v>
      </c>
      <c r="AW19" t="s">
        <v>577</v>
      </c>
      <c r="AX19">
        <v>5096.58</v>
      </c>
      <c r="AY19">
        <v>563.61176470588236</v>
      </c>
      <c r="AZ19">
        <v>2395.3200000000002</v>
      </c>
      <c r="BA19">
        <f t="shared" si="30"/>
        <v>0.76470293542997081</v>
      </c>
      <c r="BB19">
        <v>-3.4864551676958428</v>
      </c>
      <c r="BC19" t="s">
        <v>586</v>
      </c>
      <c r="BD19">
        <v>5076.1000000000004</v>
      </c>
      <c r="BE19">
        <v>809.1676470588236</v>
      </c>
      <c r="BF19">
        <v>1001.46</v>
      </c>
      <c r="BG19">
        <f t="shared" si="31"/>
        <v>0.19201201539869428</v>
      </c>
      <c r="BH19">
        <v>0.5</v>
      </c>
      <c r="BI19">
        <f t="shared" si="32"/>
        <v>1344.2771427839853</v>
      </c>
      <c r="BJ19">
        <f t="shared" si="33"/>
        <v>42.715163489612245</v>
      </c>
      <c r="BK19">
        <f t="shared" si="34"/>
        <v>129.05868172017566</v>
      </c>
      <c r="BL19">
        <f t="shared" si="35"/>
        <v>3.4369117190838322E-2</v>
      </c>
      <c r="BM19">
        <f t="shared" si="36"/>
        <v>1.3918279312204183</v>
      </c>
      <c r="BN19">
        <f t="shared" si="37"/>
        <v>424.56853136792114</v>
      </c>
      <c r="BO19" t="s">
        <v>407</v>
      </c>
      <c r="BP19">
        <v>0</v>
      </c>
      <c r="BQ19">
        <f t="shared" si="38"/>
        <v>424.56853136792114</v>
      </c>
      <c r="BR19">
        <f t="shared" si="39"/>
        <v>0.57605043499698327</v>
      </c>
      <c r="BS19">
        <f t="shared" si="40"/>
        <v>0.33332500721000219</v>
      </c>
      <c r="BT19">
        <f t="shared" si="41"/>
        <v>0.707273353431772</v>
      </c>
      <c r="BU19">
        <f t="shared" si="42"/>
        <v>0.43917580896953273</v>
      </c>
      <c r="BV19">
        <f t="shared" si="43"/>
        <v>0.76096180229062937</v>
      </c>
      <c r="BW19">
        <f t="shared" si="44"/>
        <v>0.17489491738053189</v>
      </c>
      <c r="BX19">
        <f t="shared" si="45"/>
        <v>0.82510508261946813</v>
      </c>
      <c r="DG19">
        <f t="shared" si="46"/>
        <v>1599.9887096774189</v>
      </c>
      <c r="DH19">
        <f t="shared" si="47"/>
        <v>1344.2771427839853</v>
      </c>
      <c r="DI19">
        <f t="shared" si="48"/>
        <v>0.84017914292345919</v>
      </c>
      <c r="DJ19">
        <f t="shared" si="49"/>
        <v>0.15994574584227633</v>
      </c>
      <c r="DK19">
        <v>6</v>
      </c>
      <c r="DL19">
        <v>0.5</v>
      </c>
      <c r="DM19" t="s">
        <v>408</v>
      </c>
      <c r="DN19">
        <v>2</v>
      </c>
      <c r="DO19" t="b">
        <v>0</v>
      </c>
      <c r="DP19">
        <v>1783872576.099999</v>
      </c>
      <c r="DQ19">
        <v>420.01919354838719</v>
      </c>
      <c r="DR19">
        <v>472.65703225806459</v>
      </c>
      <c r="DS19">
        <v>20.456841935483869</v>
      </c>
      <c r="DT19">
        <v>17.24030322580645</v>
      </c>
      <c r="DU19">
        <v>425.8411290322581</v>
      </c>
      <c r="DV19">
        <v>20.99756774193548</v>
      </c>
      <c r="DW19">
        <v>499.99590322580639</v>
      </c>
      <c r="DX19">
        <v>98.517096774193519</v>
      </c>
      <c r="DY19">
        <v>6.1287287096774203E-2</v>
      </c>
      <c r="DZ19">
        <v>24.59737419354839</v>
      </c>
      <c r="EA19">
        <v>25.053464516129029</v>
      </c>
      <c r="EB19">
        <v>999.90000000000032</v>
      </c>
      <c r="EC19">
        <v>0</v>
      </c>
      <c r="ED19">
        <v>0</v>
      </c>
      <c r="EE19">
        <v>10003.548387096769</v>
      </c>
      <c r="EF19">
        <v>0</v>
      </c>
      <c r="EG19">
        <v>821.70780645161278</v>
      </c>
      <c r="EH19">
        <v>-52.637935483870969</v>
      </c>
      <c r="EI19">
        <v>428.79074193548382</v>
      </c>
      <c r="EJ19">
        <v>480.94883870967749</v>
      </c>
      <c r="EK19">
        <v>3.2165245161290321</v>
      </c>
      <c r="EL19">
        <v>472.65703225806459</v>
      </c>
      <c r="EM19">
        <v>17.24030322580645</v>
      </c>
      <c r="EN19">
        <v>2.0153470967741942</v>
      </c>
      <c r="EO19">
        <v>1.6984645161290319</v>
      </c>
      <c r="EP19">
        <v>17.565429032258059</v>
      </c>
      <c r="EQ19">
        <v>14.88240967741935</v>
      </c>
      <c r="ER19">
        <v>1599.9887096774189</v>
      </c>
      <c r="ES19">
        <v>0.99400899999999959</v>
      </c>
      <c r="ET19">
        <v>5.9905600000000024E-3</v>
      </c>
      <c r="EU19">
        <v>0</v>
      </c>
      <c r="EV19">
        <v>809.43441935483872</v>
      </c>
      <c r="EW19">
        <v>5.0010700000000003</v>
      </c>
      <c r="EX19">
        <v>20417.538709677421</v>
      </c>
      <c r="EY19">
        <v>14578.45483870968</v>
      </c>
      <c r="EZ19">
        <v>43.432999999999971</v>
      </c>
      <c r="FA19">
        <v>45.186999999999969</v>
      </c>
      <c r="FB19">
        <v>44.561999999999969</v>
      </c>
      <c r="FC19">
        <v>44.400999999999989</v>
      </c>
      <c r="FD19">
        <v>44.269935483870967</v>
      </c>
      <c r="FE19">
        <v>1585.428709677419</v>
      </c>
      <c r="FF19">
        <v>9.554193548387099</v>
      </c>
      <c r="FG19">
        <v>0</v>
      </c>
      <c r="FH19">
        <v>181.60000014305109</v>
      </c>
      <c r="FI19">
        <v>0</v>
      </c>
      <c r="FJ19">
        <v>809.1676470588236</v>
      </c>
      <c r="FK19">
        <v>-2.194117674196618</v>
      </c>
      <c r="FL19">
        <v>7655.7843027103263</v>
      </c>
      <c r="FM19">
        <v>20309.635294117641</v>
      </c>
      <c r="FN19">
        <v>10</v>
      </c>
      <c r="FO19">
        <v>1783872477.5999999</v>
      </c>
      <c r="FP19" t="s">
        <v>587</v>
      </c>
      <c r="FQ19">
        <v>1783872477.5999999</v>
      </c>
      <c r="FR19">
        <v>1783872472.0999999</v>
      </c>
      <c r="FS19">
        <v>18</v>
      </c>
      <c r="FT19">
        <v>-0.01</v>
      </c>
      <c r="FU19">
        <v>-4.0000000000000001E-3</v>
      </c>
      <c r="FV19">
        <v>-6.0179999999999998</v>
      </c>
      <c r="FW19">
        <v>-0.627</v>
      </c>
      <c r="FX19">
        <v>473</v>
      </c>
      <c r="FY19">
        <v>17</v>
      </c>
      <c r="FZ19">
        <v>0.15</v>
      </c>
      <c r="GA19">
        <v>0.05</v>
      </c>
      <c r="GB19">
        <v>420.02160000000009</v>
      </c>
      <c r="GC19">
        <v>-0.31325472747559019</v>
      </c>
      <c r="GD19">
        <v>5.7896804747758088E-2</v>
      </c>
      <c r="GE19">
        <v>-1</v>
      </c>
      <c r="GF19">
        <v>809.77764705882339</v>
      </c>
      <c r="GG19">
        <v>-5.858212376704425</v>
      </c>
      <c r="GH19">
        <v>0.65066277894399005</v>
      </c>
      <c r="GI19">
        <v>1</v>
      </c>
      <c r="GJ19">
        <v>3.1838489999999999</v>
      </c>
      <c r="GK19">
        <v>0.57164240150092582</v>
      </c>
      <c r="GL19">
        <v>6.2831851707553524E-2</v>
      </c>
      <c r="GM19">
        <v>0</v>
      </c>
      <c r="GN19">
        <v>1</v>
      </c>
      <c r="GO19">
        <v>2</v>
      </c>
      <c r="GP19" t="s">
        <v>410</v>
      </c>
      <c r="GQ19">
        <v>3.12914</v>
      </c>
      <c r="GR19">
        <v>2.7364999999999999</v>
      </c>
      <c r="GS19">
        <v>9.1744099999999995E-2</v>
      </c>
      <c r="GT19">
        <v>9.9965200000000004E-2</v>
      </c>
      <c r="GU19">
        <v>0.102145</v>
      </c>
      <c r="GV19">
        <v>8.8862399999999994E-2</v>
      </c>
      <c r="GW19">
        <v>22742.9</v>
      </c>
      <c r="GX19">
        <v>30196.400000000001</v>
      </c>
      <c r="GY19">
        <v>27170.3</v>
      </c>
      <c r="GZ19">
        <v>34511.800000000003</v>
      </c>
      <c r="HA19">
        <v>35739.1</v>
      </c>
      <c r="HB19">
        <v>39840.6</v>
      </c>
      <c r="HC19">
        <v>40126.400000000001</v>
      </c>
      <c r="HD19">
        <v>43803.7</v>
      </c>
      <c r="HE19">
        <v>1.9528000000000001</v>
      </c>
      <c r="HF19">
        <v>1.6779999999999999</v>
      </c>
      <c r="HG19">
        <v>-0.11161</v>
      </c>
      <c r="HH19">
        <v>0</v>
      </c>
      <c r="HI19">
        <v>26.878599999999999</v>
      </c>
      <c r="HJ19">
        <v>999.9</v>
      </c>
      <c r="HK19">
        <v>50.2</v>
      </c>
      <c r="HL19">
        <v>45.3</v>
      </c>
      <c r="HM19">
        <v>49.878399999999999</v>
      </c>
      <c r="HN19">
        <v>61.165100000000002</v>
      </c>
      <c r="HO19">
        <v>7.1674699999999998</v>
      </c>
      <c r="HP19">
        <v>1</v>
      </c>
      <c r="HQ19">
        <v>0.70817099999999999</v>
      </c>
      <c r="HR19">
        <v>9.2810500000000005</v>
      </c>
      <c r="HS19">
        <v>20.024000000000001</v>
      </c>
      <c r="HT19">
        <v>5.2125000000000004</v>
      </c>
      <c r="HU19">
        <v>11.914099999999999</v>
      </c>
      <c r="HV19">
        <v>4.9859999999999998</v>
      </c>
      <c r="HW19">
        <v>3.2709999999999999</v>
      </c>
      <c r="HX19">
        <v>9999</v>
      </c>
      <c r="HY19">
        <v>9999</v>
      </c>
      <c r="HZ19">
        <v>9999</v>
      </c>
      <c r="IA19">
        <v>999.9</v>
      </c>
      <c r="IB19">
        <v>1.86737</v>
      </c>
      <c r="IC19">
        <v>1.8631899999999999</v>
      </c>
      <c r="ID19">
        <v>1.8626400000000001</v>
      </c>
      <c r="IE19">
        <v>1.8621799999999999</v>
      </c>
      <c r="IF19">
        <v>1.8621799999999999</v>
      </c>
      <c r="IG19">
        <v>1.8626400000000001</v>
      </c>
      <c r="IH19">
        <v>1.8635600000000001</v>
      </c>
      <c r="II19">
        <v>1.8615699999999999</v>
      </c>
      <c r="IJ19">
        <v>0</v>
      </c>
      <c r="IK19">
        <v>0</v>
      </c>
      <c r="IL19">
        <v>0</v>
      </c>
      <c r="IM19">
        <v>4.5</v>
      </c>
      <c r="IN19" t="s">
        <v>411</v>
      </c>
      <c r="IO19" t="s">
        <v>412</v>
      </c>
      <c r="IP19" t="s">
        <v>413</v>
      </c>
      <c r="IQ19" t="s">
        <v>414</v>
      </c>
      <c r="IR19" t="s">
        <v>414</v>
      </c>
      <c r="IS19" t="s">
        <v>413</v>
      </c>
      <c r="IT19">
        <v>0</v>
      </c>
      <c r="IU19">
        <v>100</v>
      </c>
      <c r="IV19">
        <v>100</v>
      </c>
      <c r="IW19">
        <v>-5.8220000000000001</v>
      </c>
      <c r="IX19">
        <v>-0.54039999999999999</v>
      </c>
      <c r="IY19">
        <v>-3.8348653845585599</v>
      </c>
      <c r="IZ19">
        <v>-5.6215304933332991E-3</v>
      </c>
      <c r="JA19">
        <v>2.3979931213773931E-6</v>
      </c>
      <c r="JB19">
        <v>-3.6297174575716598E-10</v>
      </c>
      <c r="JC19">
        <v>-0.85256463995046494</v>
      </c>
      <c r="JD19">
        <v>2.7492919904454862E-4</v>
      </c>
      <c r="JE19">
        <v>8.6739513355948885E-4</v>
      </c>
      <c r="JF19">
        <v>-8.2500691715147318E-6</v>
      </c>
      <c r="JG19">
        <v>17</v>
      </c>
      <c r="JH19">
        <v>1914</v>
      </c>
      <c r="JI19">
        <v>2</v>
      </c>
      <c r="JJ19">
        <v>37</v>
      </c>
      <c r="JK19">
        <v>1.8</v>
      </c>
      <c r="JL19">
        <v>1.9</v>
      </c>
      <c r="JM19">
        <v>1.1938500000000001</v>
      </c>
      <c r="JN19">
        <v>2.5915499999999998</v>
      </c>
      <c r="JO19">
        <v>1.50024</v>
      </c>
      <c r="JP19">
        <v>2.2644000000000002</v>
      </c>
      <c r="JQ19">
        <v>1.4477500000000001</v>
      </c>
      <c r="JR19">
        <v>2.34741</v>
      </c>
      <c r="JS19">
        <v>49.929600000000001</v>
      </c>
      <c r="JT19">
        <v>14.5261</v>
      </c>
      <c r="JU19">
        <v>18</v>
      </c>
      <c r="JV19">
        <v>545.87599999999998</v>
      </c>
      <c r="JW19">
        <v>383.488</v>
      </c>
      <c r="JX19">
        <v>18.758600000000001</v>
      </c>
      <c r="JY19">
        <v>35.504100000000001</v>
      </c>
      <c r="JZ19">
        <v>30.000599999999999</v>
      </c>
      <c r="KA19">
        <v>35.494799999999998</v>
      </c>
      <c r="KB19">
        <v>35.515500000000003</v>
      </c>
      <c r="KC19">
        <v>23.879899999999999</v>
      </c>
      <c r="KD19">
        <v>60.399700000000003</v>
      </c>
      <c r="KE19">
        <v>0</v>
      </c>
      <c r="KF19">
        <v>18.3628</v>
      </c>
      <c r="KG19">
        <v>472.637</v>
      </c>
      <c r="KH19">
        <v>17.285799999999998</v>
      </c>
      <c r="KI19">
        <v>100.282</v>
      </c>
      <c r="KJ19">
        <v>98.537700000000001</v>
      </c>
    </row>
    <row r="20" spans="1:296" x14ac:dyDescent="0.3">
      <c r="A20">
        <v>4</v>
      </c>
      <c r="B20">
        <v>1783872766.5999999</v>
      </c>
      <c r="C20">
        <v>547.5</v>
      </c>
      <c r="D20" t="s">
        <v>588</v>
      </c>
      <c r="E20" t="s">
        <v>589</v>
      </c>
      <c r="F20">
        <v>15</v>
      </c>
      <c r="H20">
        <v>1783872758.849999</v>
      </c>
      <c r="I20">
        <f t="shared" si="0"/>
        <v>2.6000349538639425E-3</v>
      </c>
      <c r="J20">
        <f t="shared" si="1"/>
        <v>2.6000349538639425</v>
      </c>
      <c r="K20">
        <f t="shared" si="2"/>
        <v>39.756795635135994</v>
      </c>
      <c r="L20">
        <f t="shared" si="3"/>
        <v>420.15863333333328</v>
      </c>
      <c r="M20">
        <f t="shared" si="4"/>
        <v>114.10626091339728</v>
      </c>
      <c r="N20">
        <f t="shared" si="5"/>
        <v>11.249046400960671</v>
      </c>
      <c r="O20">
        <f t="shared" si="6"/>
        <v>41.420899469469511</v>
      </c>
      <c r="P20">
        <f t="shared" si="7"/>
        <v>0.21904235327204702</v>
      </c>
      <c r="Q20">
        <f t="shared" si="8"/>
        <v>2.9033919067502492</v>
      </c>
      <c r="R20">
        <f t="shared" si="9"/>
        <v>0.21025836097171716</v>
      </c>
      <c r="S20">
        <f t="shared" si="10"/>
        <v>0.1321713307272275</v>
      </c>
      <c r="T20">
        <f t="shared" si="11"/>
        <v>223.99642576763901</v>
      </c>
      <c r="U20">
        <f t="shared" si="12"/>
        <v>25.218817827638834</v>
      </c>
      <c r="V20">
        <f t="shared" si="13"/>
        <v>25.02783333333333</v>
      </c>
      <c r="W20">
        <f t="shared" si="14"/>
        <v>3.1849577679062651</v>
      </c>
      <c r="X20">
        <f t="shared" si="15"/>
        <v>64.477905304569589</v>
      </c>
      <c r="Y20">
        <f t="shared" si="16"/>
        <v>1.9979234472634249</v>
      </c>
      <c r="Z20">
        <f t="shared" si="17"/>
        <v>3.0986171740939468</v>
      </c>
      <c r="AA20">
        <f t="shared" si="18"/>
        <v>1.1870343206428402</v>
      </c>
      <c r="AB20">
        <f t="shared" si="19"/>
        <v>-114.66154146539986</v>
      </c>
      <c r="AC20">
        <f t="shared" si="20"/>
        <v>-72.046031646462069</v>
      </c>
      <c r="AD20">
        <f t="shared" si="21"/>
        <v>-5.2381733365174821</v>
      </c>
      <c r="AE20">
        <f t="shared" si="22"/>
        <v>32.050679319259586</v>
      </c>
      <c r="AF20">
        <f t="shared" si="23"/>
        <v>39.756795635135994</v>
      </c>
      <c r="AG20">
        <f t="shared" si="24"/>
        <v>2.6000349538639425</v>
      </c>
      <c r="AH20">
        <f t="shared" si="25"/>
        <v>39.621609745536553</v>
      </c>
      <c r="AI20">
        <v>477.25907052156231</v>
      </c>
      <c r="AJ20">
        <v>428.84567878787868</v>
      </c>
      <c r="AK20">
        <v>6.4671645485919792E-3</v>
      </c>
      <c r="AL20">
        <v>67.079237031983936</v>
      </c>
      <c r="AM20">
        <f t="shared" si="26"/>
        <v>2.5873735494240733</v>
      </c>
      <c r="AN20">
        <v>17.212311376753249</v>
      </c>
      <c r="AO20">
        <v>20.308396969696972</v>
      </c>
      <c r="AP20">
        <v>-8.6786147186085853E-3</v>
      </c>
      <c r="AQ20">
        <v>78.55</v>
      </c>
      <c r="AR20">
        <v>0</v>
      </c>
      <c r="AS20">
        <v>0</v>
      </c>
      <c r="AT20">
        <f t="shared" si="27"/>
        <v>1</v>
      </c>
      <c r="AU20">
        <f t="shared" si="28"/>
        <v>0</v>
      </c>
      <c r="AV20">
        <f t="shared" si="29"/>
        <v>52518.639657942214</v>
      </c>
      <c r="AW20" t="s">
        <v>577</v>
      </c>
      <c r="AX20">
        <v>5096.58</v>
      </c>
      <c r="AY20">
        <v>563.61176470588236</v>
      </c>
      <c r="AZ20">
        <v>2395.3200000000002</v>
      </c>
      <c r="BA20">
        <f t="shared" si="30"/>
        <v>0.76470293542997081</v>
      </c>
      <c r="BB20">
        <v>-3.4864551676958428</v>
      </c>
      <c r="BC20" t="s">
        <v>590</v>
      </c>
      <c r="BD20">
        <v>5076.74</v>
      </c>
      <c r="BE20">
        <v>793.55370588235292</v>
      </c>
      <c r="BF20">
        <v>1018.89</v>
      </c>
      <c r="BG20">
        <f t="shared" si="31"/>
        <v>0.22115860801229481</v>
      </c>
      <c r="BH20">
        <v>0.5</v>
      </c>
      <c r="BI20">
        <f t="shared" si="32"/>
        <v>1176.2443797759788</v>
      </c>
      <c r="BJ20">
        <f t="shared" si="33"/>
        <v>39.756795635135994</v>
      </c>
      <c r="BK20">
        <f t="shared" si="34"/>
        <v>130.06828485677028</v>
      </c>
      <c r="BL20">
        <f t="shared" si="35"/>
        <v>3.6763832028738549E-2</v>
      </c>
      <c r="BM20">
        <f t="shared" si="36"/>
        <v>1.3509112858110299</v>
      </c>
      <c r="BN20">
        <f t="shared" si="37"/>
        <v>427.67018469872471</v>
      </c>
      <c r="BO20" t="s">
        <v>407</v>
      </c>
      <c r="BP20">
        <v>0</v>
      </c>
      <c r="BQ20">
        <f t="shared" si="38"/>
        <v>427.67018469872471</v>
      </c>
      <c r="BR20">
        <f t="shared" si="39"/>
        <v>0.58025872793066502</v>
      </c>
      <c r="BS20">
        <f t="shared" si="40"/>
        <v>0.38113792583697426</v>
      </c>
      <c r="BT20">
        <f t="shared" si="41"/>
        <v>0.69952996173216375</v>
      </c>
      <c r="BU20">
        <f t="shared" si="42"/>
        <v>0.49494194241918005</v>
      </c>
      <c r="BV20">
        <f t="shared" si="43"/>
        <v>0.75144609467729262</v>
      </c>
      <c r="BW20">
        <f t="shared" si="44"/>
        <v>0.20540679972900677</v>
      </c>
      <c r="BX20">
        <f t="shared" si="45"/>
        <v>0.79459320027099323</v>
      </c>
      <c r="DG20">
        <f t="shared" si="46"/>
        <v>1399.942</v>
      </c>
      <c r="DH20">
        <f t="shared" si="47"/>
        <v>1176.2443797759788</v>
      </c>
      <c r="DI20">
        <f t="shared" si="48"/>
        <v>0.84020936565656201</v>
      </c>
      <c r="DJ20">
        <f t="shared" si="49"/>
        <v>0.16000407571716471</v>
      </c>
      <c r="DK20">
        <v>6</v>
      </c>
      <c r="DL20">
        <v>0.5</v>
      </c>
      <c r="DM20" t="s">
        <v>408</v>
      </c>
      <c r="DN20">
        <v>2</v>
      </c>
      <c r="DO20" t="b">
        <v>0</v>
      </c>
      <c r="DP20">
        <v>1783872758.849999</v>
      </c>
      <c r="DQ20">
        <v>420.15863333333328</v>
      </c>
      <c r="DR20">
        <v>469.17806666666661</v>
      </c>
      <c r="DS20">
        <v>20.266213333333329</v>
      </c>
      <c r="DT20">
        <v>17.209379999999999</v>
      </c>
      <c r="DU20">
        <v>425.98126666666661</v>
      </c>
      <c r="DV20">
        <v>20.89721333333333</v>
      </c>
      <c r="DW20">
        <v>499.99626666666671</v>
      </c>
      <c r="DX20">
        <v>98.522936666666681</v>
      </c>
      <c r="DY20">
        <v>6.1017543333333327E-2</v>
      </c>
      <c r="DZ20">
        <v>24.567556666666668</v>
      </c>
      <c r="EA20">
        <v>25.02783333333333</v>
      </c>
      <c r="EB20">
        <v>999.9000000000002</v>
      </c>
      <c r="EC20">
        <v>0</v>
      </c>
      <c r="ED20">
        <v>0</v>
      </c>
      <c r="EE20">
        <v>9999.3333333333339</v>
      </c>
      <c r="EF20">
        <v>0</v>
      </c>
      <c r="EG20">
        <v>686.6504666666666</v>
      </c>
      <c r="EH20">
        <v>-49.019280000000002</v>
      </c>
      <c r="EI20">
        <v>428.88823333333329</v>
      </c>
      <c r="EJ20">
        <v>477.39363333333341</v>
      </c>
      <c r="EK20">
        <v>3.144518666666666</v>
      </c>
      <c r="EL20">
        <v>469.17806666666661</v>
      </c>
      <c r="EM20">
        <v>17.209379999999999</v>
      </c>
      <c r="EN20">
        <v>2.0053246666666671</v>
      </c>
      <c r="EO20">
        <v>1.695518333333333</v>
      </c>
      <c r="EP20">
        <v>17.48643666666667</v>
      </c>
      <c r="EQ20">
        <v>14.85546666666667</v>
      </c>
      <c r="ER20">
        <v>1399.942</v>
      </c>
      <c r="ES20">
        <v>0.99299700000000002</v>
      </c>
      <c r="ET20">
        <v>7.0030646666666687E-3</v>
      </c>
      <c r="EU20">
        <v>0</v>
      </c>
      <c r="EV20">
        <v>793.7983999999999</v>
      </c>
      <c r="EW20">
        <v>5.0010700000000003</v>
      </c>
      <c r="EX20">
        <v>17231.69666666667</v>
      </c>
      <c r="EY20">
        <v>12744.97666666666</v>
      </c>
      <c r="EZ20">
        <v>43</v>
      </c>
      <c r="FA20">
        <v>44.949599999999982</v>
      </c>
      <c r="FB20">
        <v>44.254133333333343</v>
      </c>
      <c r="FC20">
        <v>44.25</v>
      </c>
      <c r="FD20">
        <v>43.936999999999983</v>
      </c>
      <c r="FE20">
        <v>1385.172</v>
      </c>
      <c r="FF20">
        <v>9.77</v>
      </c>
      <c r="FG20">
        <v>0</v>
      </c>
      <c r="FH20">
        <v>181.80000019073489</v>
      </c>
      <c r="FI20">
        <v>0</v>
      </c>
      <c r="FJ20">
        <v>793.55370588235292</v>
      </c>
      <c r="FK20">
        <v>-2.8970588468671852</v>
      </c>
      <c r="FL20">
        <v>-14474.166647295349</v>
      </c>
      <c r="FM20">
        <v>16629.858823529408</v>
      </c>
      <c r="FN20">
        <v>10</v>
      </c>
      <c r="FO20">
        <v>1783872795.5999999</v>
      </c>
      <c r="FP20" t="s">
        <v>591</v>
      </c>
      <c r="FQ20">
        <v>1783872477.5999999</v>
      </c>
      <c r="FR20">
        <v>1783872795.5999999</v>
      </c>
      <c r="FS20">
        <v>19</v>
      </c>
      <c r="FT20">
        <v>-0.01</v>
      </c>
      <c r="FU20">
        <v>-1.2999999999999999E-2</v>
      </c>
      <c r="FV20">
        <v>-6.0179999999999998</v>
      </c>
      <c r="FW20">
        <v>-0.63100000000000001</v>
      </c>
      <c r="FX20">
        <v>473</v>
      </c>
      <c r="FY20">
        <v>17</v>
      </c>
      <c r="FZ20">
        <v>0.15</v>
      </c>
      <c r="GA20">
        <v>0.09</v>
      </c>
      <c r="GB20">
        <v>420.15261290322582</v>
      </c>
      <c r="GC20">
        <v>-0.17903225806494399</v>
      </c>
      <c r="GD20">
        <v>6.3179558463953248E-2</v>
      </c>
      <c r="GE20">
        <v>-1</v>
      </c>
      <c r="GF20">
        <v>794.24685294117648</v>
      </c>
      <c r="GG20">
        <v>-7.0218945888578697</v>
      </c>
      <c r="GH20">
        <v>0.73633289036448701</v>
      </c>
      <c r="GI20">
        <v>1</v>
      </c>
      <c r="GJ20">
        <v>3.1445129268292682</v>
      </c>
      <c r="GK20">
        <v>-5.8136864111497329E-2</v>
      </c>
      <c r="GL20">
        <v>1.8204057071781979E-2</v>
      </c>
      <c r="GM20">
        <v>1</v>
      </c>
      <c r="GN20">
        <v>2</v>
      </c>
      <c r="GO20">
        <v>2</v>
      </c>
      <c r="GP20" t="s">
        <v>423</v>
      </c>
      <c r="GQ20">
        <v>3.1299299999999999</v>
      </c>
      <c r="GR20">
        <v>2.7366799999999998</v>
      </c>
      <c r="GS20">
        <v>9.1741000000000003E-2</v>
      </c>
      <c r="GT20">
        <v>9.9398799999999995E-2</v>
      </c>
      <c r="GU20">
        <v>0.101537</v>
      </c>
      <c r="GV20">
        <v>8.8811799999999996E-2</v>
      </c>
      <c r="GW20">
        <v>22736.799999999999</v>
      </c>
      <c r="GX20">
        <v>30206.799999999999</v>
      </c>
      <c r="GY20">
        <v>27163.8</v>
      </c>
      <c r="GZ20">
        <v>34503.199999999997</v>
      </c>
      <c r="HA20">
        <v>35755.699999999997</v>
      </c>
      <c r="HB20">
        <v>39835.199999999997</v>
      </c>
      <c r="HC20">
        <v>40117.300000000003</v>
      </c>
      <c r="HD20">
        <v>43795.199999999997</v>
      </c>
      <c r="HE20">
        <v>1.9534</v>
      </c>
      <c r="HF20">
        <v>1.6739999999999999</v>
      </c>
      <c r="HG20">
        <v>-0.10687099999999999</v>
      </c>
      <c r="HH20">
        <v>0</v>
      </c>
      <c r="HI20">
        <v>26.780899999999999</v>
      </c>
      <c r="HJ20">
        <v>999.9</v>
      </c>
      <c r="HK20">
        <v>49.1</v>
      </c>
      <c r="HL20">
        <v>45.6</v>
      </c>
      <c r="HM20">
        <v>49.538200000000003</v>
      </c>
      <c r="HN20">
        <v>61.205199999999998</v>
      </c>
      <c r="HO20">
        <v>7.1193900000000001</v>
      </c>
      <c r="HP20">
        <v>1</v>
      </c>
      <c r="HQ20">
        <v>0.718333</v>
      </c>
      <c r="HR20">
        <v>8.4895399999999999</v>
      </c>
      <c r="HS20">
        <v>20.062999999999999</v>
      </c>
      <c r="HT20">
        <v>5.2125000000000004</v>
      </c>
      <c r="HU20">
        <v>11.914099999999999</v>
      </c>
      <c r="HV20">
        <v>4.9855999999999998</v>
      </c>
      <c r="HW20">
        <v>3.2709999999999999</v>
      </c>
      <c r="HX20">
        <v>9999</v>
      </c>
      <c r="HY20">
        <v>9999</v>
      </c>
      <c r="HZ20">
        <v>9999</v>
      </c>
      <c r="IA20">
        <v>999.9</v>
      </c>
      <c r="IB20">
        <v>1.8673999999999999</v>
      </c>
      <c r="IC20">
        <v>1.86313</v>
      </c>
      <c r="ID20">
        <v>1.8626400000000001</v>
      </c>
      <c r="IE20">
        <v>1.8621799999999999</v>
      </c>
      <c r="IF20">
        <v>1.8621799999999999</v>
      </c>
      <c r="IG20">
        <v>1.8626400000000001</v>
      </c>
      <c r="IH20">
        <v>1.8636200000000001</v>
      </c>
      <c r="II20">
        <v>1.8615699999999999</v>
      </c>
      <c r="IJ20">
        <v>0</v>
      </c>
      <c r="IK20">
        <v>0</v>
      </c>
      <c r="IL20">
        <v>0</v>
      </c>
      <c r="IM20">
        <v>4.5</v>
      </c>
      <c r="IN20" t="s">
        <v>411</v>
      </c>
      <c r="IO20" t="s">
        <v>412</v>
      </c>
      <c r="IP20" t="s">
        <v>413</v>
      </c>
      <c r="IQ20" t="s">
        <v>414</v>
      </c>
      <c r="IR20" t="s">
        <v>414</v>
      </c>
      <c r="IS20" t="s">
        <v>413</v>
      </c>
      <c r="IT20">
        <v>0</v>
      </c>
      <c r="IU20">
        <v>100</v>
      </c>
      <c r="IV20">
        <v>100</v>
      </c>
      <c r="IW20">
        <v>-5.8220000000000001</v>
      </c>
      <c r="IX20">
        <v>-0.63100000000000001</v>
      </c>
      <c r="IY20">
        <v>-3.8348653845585599</v>
      </c>
      <c r="IZ20">
        <v>-5.6215304933332991E-3</v>
      </c>
      <c r="JA20">
        <v>2.3979931213773931E-6</v>
      </c>
      <c r="JB20">
        <v>-3.6297174575716598E-10</v>
      </c>
      <c r="JC20">
        <v>-0.85256463995046494</v>
      </c>
      <c r="JD20">
        <v>2.7492919904454862E-4</v>
      </c>
      <c r="JE20">
        <v>8.6739513355948885E-4</v>
      </c>
      <c r="JF20">
        <v>-8.2500691715147318E-6</v>
      </c>
      <c r="JG20">
        <v>17</v>
      </c>
      <c r="JH20">
        <v>1914</v>
      </c>
      <c r="JI20">
        <v>2</v>
      </c>
      <c r="JJ20">
        <v>37</v>
      </c>
      <c r="JK20">
        <v>4.8</v>
      </c>
      <c r="JL20">
        <v>4.9000000000000004</v>
      </c>
      <c r="JM20">
        <v>1.18652</v>
      </c>
      <c r="JN20">
        <v>2.5891099999999998</v>
      </c>
      <c r="JO20">
        <v>1.50024</v>
      </c>
      <c r="JP20">
        <v>2.2644000000000002</v>
      </c>
      <c r="JQ20">
        <v>1.4477500000000001</v>
      </c>
      <c r="JR20">
        <v>2.4243199999999998</v>
      </c>
      <c r="JS20">
        <v>50.283200000000001</v>
      </c>
      <c r="JT20">
        <v>14.517300000000001</v>
      </c>
      <c r="JU20">
        <v>18</v>
      </c>
      <c r="JV20">
        <v>547.53599999999994</v>
      </c>
      <c r="JW20">
        <v>382.04</v>
      </c>
      <c r="JX20">
        <v>19.529</v>
      </c>
      <c r="JY20">
        <v>35.674599999999998</v>
      </c>
      <c r="JZ20">
        <v>30.0014</v>
      </c>
      <c r="KA20">
        <v>35.6494</v>
      </c>
      <c r="KB20">
        <v>35.6601</v>
      </c>
      <c r="KC20">
        <v>23.741499999999998</v>
      </c>
      <c r="KD20">
        <v>60.096899999999998</v>
      </c>
      <c r="KE20">
        <v>0</v>
      </c>
      <c r="KF20">
        <v>19.4815</v>
      </c>
      <c r="KG20">
        <v>469.02600000000001</v>
      </c>
      <c r="KH20">
        <v>17.293600000000001</v>
      </c>
      <c r="KI20">
        <v>100.259</v>
      </c>
      <c r="KJ20">
        <v>98.516099999999994</v>
      </c>
    </row>
    <row r="21" spans="1:296" x14ac:dyDescent="0.3">
      <c r="A21">
        <v>5</v>
      </c>
      <c r="B21">
        <v>1783872976.5999999</v>
      </c>
      <c r="C21">
        <v>757.5</v>
      </c>
      <c r="D21" t="s">
        <v>592</v>
      </c>
      <c r="E21" t="s">
        <v>593</v>
      </c>
      <c r="F21">
        <v>15</v>
      </c>
      <c r="H21">
        <v>1783872968.599999</v>
      </c>
      <c r="I21">
        <f t="shared" si="0"/>
        <v>1.8652051987777447E-3</v>
      </c>
      <c r="J21">
        <f t="shared" si="1"/>
        <v>1.8652051987777447</v>
      </c>
      <c r="K21">
        <f t="shared" si="2"/>
        <v>37.167307274376512</v>
      </c>
      <c r="L21">
        <f t="shared" si="3"/>
        <v>419.75077419354841</v>
      </c>
      <c r="M21">
        <f t="shared" si="4"/>
        <v>35.056717682605928</v>
      </c>
      <c r="N21">
        <f t="shared" si="5"/>
        <v>3.4560708486902518</v>
      </c>
      <c r="O21">
        <f t="shared" si="6"/>
        <v>41.381181990271557</v>
      </c>
      <c r="P21">
        <f t="shared" si="7"/>
        <v>0.16045049981278112</v>
      </c>
      <c r="Q21">
        <f t="shared" si="8"/>
        <v>2.9031656410125244</v>
      </c>
      <c r="R21">
        <f t="shared" si="9"/>
        <v>0.15568188344234718</v>
      </c>
      <c r="S21">
        <f t="shared" si="10"/>
        <v>9.7717813122627423E-2</v>
      </c>
      <c r="T21">
        <f t="shared" si="11"/>
        <v>160.16994628030957</v>
      </c>
      <c r="U21">
        <f t="shared" si="12"/>
        <v>25.041075441261835</v>
      </c>
      <c r="V21">
        <f t="shared" si="13"/>
        <v>24.990306451612909</v>
      </c>
      <c r="W21">
        <f t="shared" si="14"/>
        <v>3.1778404529302358</v>
      </c>
      <c r="X21">
        <f t="shared" si="15"/>
        <v>65.408240430003417</v>
      </c>
      <c r="Y21">
        <f t="shared" si="16"/>
        <v>2.027888997813609</v>
      </c>
      <c r="Z21">
        <f t="shared" si="17"/>
        <v>3.1003570566674288</v>
      </c>
      <c r="AA21">
        <f t="shared" si="18"/>
        <v>1.1499514551166268</v>
      </c>
      <c r="AB21">
        <f t="shared" si="19"/>
        <v>-82.255549266098541</v>
      </c>
      <c r="AC21">
        <f t="shared" si="20"/>
        <v>-64.697939885619462</v>
      </c>
      <c r="AD21">
        <f t="shared" si="21"/>
        <v>-4.7036228058345992</v>
      </c>
      <c r="AE21">
        <f t="shared" si="22"/>
        <v>8.5128343227569587</v>
      </c>
      <c r="AF21">
        <f t="shared" si="23"/>
        <v>37.167307274376512</v>
      </c>
      <c r="AG21">
        <f t="shared" si="24"/>
        <v>1.8652051987777447</v>
      </c>
      <c r="AH21">
        <f t="shared" si="25"/>
        <v>36.952413507597015</v>
      </c>
      <c r="AI21">
        <v>474.02756895319033</v>
      </c>
      <c r="AJ21">
        <v>428.66377575757571</v>
      </c>
      <c r="AK21">
        <v>3.5910309845098409E-2</v>
      </c>
      <c r="AL21">
        <v>67.013133125498356</v>
      </c>
      <c r="AM21">
        <f t="shared" si="26"/>
        <v>1.8989591728286852</v>
      </c>
      <c r="AN21">
        <v>18.379958176922528</v>
      </c>
      <c r="AO21">
        <v>20.601353939393931</v>
      </c>
      <c r="AP21">
        <v>1.666023755639655E-3</v>
      </c>
      <c r="AQ21">
        <v>78.176548573549397</v>
      </c>
      <c r="AR21">
        <v>0</v>
      </c>
      <c r="AS21">
        <v>0</v>
      </c>
      <c r="AT21">
        <f t="shared" si="27"/>
        <v>1</v>
      </c>
      <c r="AU21">
        <f t="shared" si="28"/>
        <v>0</v>
      </c>
      <c r="AV21">
        <f t="shared" si="29"/>
        <v>52510.483269688659</v>
      </c>
      <c r="AW21" t="s">
        <v>577</v>
      </c>
      <c r="AX21">
        <v>5096.58</v>
      </c>
      <c r="AY21">
        <v>563.61176470588236</v>
      </c>
      <c r="AZ21">
        <v>2395.3200000000002</v>
      </c>
      <c r="BA21">
        <f t="shared" si="30"/>
        <v>0.76470293542997081</v>
      </c>
      <c r="BB21">
        <v>-3.4864551676958428</v>
      </c>
      <c r="BC21" t="s">
        <v>594</v>
      </c>
      <c r="BD21">
        <v>5083.17</v>
      </c>
      <c r="BE21">
        <v>792.86229411764714</v>
      </c>
      <c r="BF21">
        <v>1162.23</v>
      </c>
      <c r="BG21">
        <f t="shared" si="31"/>
        <v>0.31780947478756605</v>
      </c>
      <c r="BH21">
        <v>0.5</v>
      </c>
      <c r="BI21">
        <f t="shared" si="32"/>
        <v>840.26606718184178</v>
      </c>
      <c r="BJ21">
        <f t="shared" si="33"/>
        <v>37.167307274376512</v>
      </c>
      <c r="BK21">
        <f t="shared" si="34"/>
        <v>133.52225874643742</v>
      </c>
      <c r="BL21">
        <f t="shared" si="35"/>
        <v>4.8382011400770378E-2</v>
      </c>
      <c r="BM21">
        <f t="shared" si="36"/>
        <v>1.0609689992514391</v>
      </c>
      <c r="BN21">
        <f t="shared" si="37"/>
        <v>451.01826186446658</v>
      </c>
      <c r="BO21" t="s">
        <v>407</v>
      </c>
      <c r="BP21">
        <v>0</v>
      </c>
      <c r="BQ21">
        <f t="shared" si="38"/>
        <v>451.01826186446658</v>
      </c>
      <c r="BR21">
        <f t="shared" si="39"/>
        <v>0.61193717090036692</v>
      </c>
      <c r="BS21">
        <f t="shared" si="40"/>
        <v>0.51934984488678904</v>
      </c>
      <c r="BT21">
        <f t="shared" si="41"/>
        <v>0.6342071170406185</v>
      </c>
      <c r="BU21">
        <f t="shared" si="42"/>
        <v>0.61703383576491344</v>
      </c>
      <c r="BV21">
        <f t="shared" si="43"/>
        <v>0.673191273719421</v>
      </c>
      <c r="BW21">
        <f t="shared" si="44"/>
        <v>0.29543120675336754</v>
      </c>
      <c r="BX21">
        <f t="shared" si="45"/>
        <v>0.70456879324663246</v>
      </c>
      <c r="DG21">
        <f t="shared" si="46"/>
        <v>999.96138709677405</v>
      </c>
      <c r="DH21">
        <f t="shared" si="47"/>
        <v>840.26606718184178</v>
      </c>
      <c r="DI21">
        <f t="shared" si="48"/>
        <v>0.84029851354702623</v>
      </c>
      <c r="DJ21">
        <f t="shared" si="49"/>
        <v>0.16017613114576063</v>
      </c>
      <c r="DK21">
        <v>6</v>
      </c>
      <c r="DL21">
        <v>0.5</v>
      </c>
      <c r="DM21" t="s">
        <v>408</v>
      </c>
      <c r="DN21">
        <v>2</v>
      </c>
      <c r="DO21" t="b">
        <v>0</v>
      </c>
      <c r="DP21">
        <v>1783872968.599999</v>
      </c>
      <c r="DQ21">
        <v>419.75077419354841</v>
      </c>
      <c r="DR21">
        <v>465.29019354838732</v>
      </c>
      <c r="DS21">
        <v>20.569929032258059</v>
      </c>
      <c r="DT21">
        <v>18.37776451612903</v>
      </c>
      <c r="DU21">
        <v>425.63303225806447</v>
      </c>
      <c r="DV21">
        <v>21.122322580645161</v>
      </c>
      <c r="DW21">
        <v>500.00938709677428</v>
      </c>
      <c r="DX21">
        <v>98.524258064516118</v>
      </c>
      <c r="DY21">
        <v>6.086561935483871E-2</v>
      </c>
      <c r="DZ21">
        <v>24.57694193548387</v>
      </c>
      <c r="EA21">
        <v>24.990306451612909</v>
      </c>
      <c r="EB21">
        <v>999.90000000000032</v>
      </c>
      <c r="EC21">
        <v>0</v>
      </c>
      <c r="ED21">
        <v>0</v>
      </c>
      <c r="EE21">
        <v>9997.9032258064508</v>
      </c>
      <c r="EF21">
        <v>0</v>
      </c>
      <c r="EG21">
        <v>875.70538709677442</v>
      </c>
      <c r="EH21">
        <v>-45.539358064516129</v>
      </c>
      <c r="EI21">
        <v>428.56638709677418</v>
      </c>
      <c r="EJ21">
        <v>474.00119354838711</v>
      </c>
      <c r="EK21">
        <v>2.1921638709677418</v>
      </c>
      <c r="EL21">
        <v>465.29019354838732</v>
      </c>
      <c r="EM21">
        <v>18.37776451612903</v>
      </c>
      <c r="EN21">
        <v>2.0266377419354842</v>
      </c>
      <c r="EO21">
        <v>1.8106558064516129</v>
      </c>
      <c r="EP21">
        <v>17.65399032258064</v>
      </c>
      <c r="EQ21">
        <v>15.87908064516129</v>
      </c>
      <c r="ER21">
        <v>999.96138709677405</v>
      </c>
      <c r="ES21">
        <v>0.98999554838709658</v>
      </c>
      <c r="ET21">
        <v>1.000412903225806E-2</v>
      </c>
      <c r="EU21">
        <v>0</v>
      </c>
      <c r="EV21">
        <v>792.29374193548415</v>
      </c>
      <c r="EW21">
        <v>5.0010700000000003</v>
      </c>
      <c r="EX21">
        <v>15788.9064516129</v>
      </c>
      <c r="EY21">
        <v>9079.9093548387082</v>
      </c>
      <c r="EZ21">
        <v>42.25</v>
      </c>
      <c r="FA21">
        <v>44.757999999999988</v>
      </c>
      <c r="FB21">
        <v>43.836387096774182</v>
      </c>
      <c r="FC21">
        <v>44.156999999999982</v>
      </c>
      <c r="FD21">
        <v>43.420999999999992</v>
      </c>
      <c r="FE21">
        <v>985.00354838709677</v>
      </c>
      <c r="FF21">
        <v>9.9499999999999975</v>
      </c>
      <c r="FG21">
        <v>0</v>
      </c>
      <c r="FH21">
        <v>209.20000004768369</v>
      </c>
      <c r="FI21">
        <v>0</v>
      </c>
      <c r="FJ21">
        <v>792.86229411764714</v>
      </c>
      <c r="FK21">
        <v>11.19558826542109</v>
      </c>
      <c r="FL21">
        <v>398.84804357952441</v>
      </c>
      <c r="FM21">
        <v>15802.664705882349</v>
      </c>
      <c r="FN21">
        <v>10</v>
      </c>
      <c r="FO21">
        <v>1783872874.0999999</v>
      </c>
      <c r="FP21" t="s">
        <v>595</v>
      </c>
      <c r="FQ21">
        <v>1783872874.0999999</v>
      </c>
      <c r="FR21">
        <v>1783872869.5999999</v>
      </c>
      <c r="FS21">
        <v>20</v>
      </c>
      <c r="FT21">
        <v>-6.0999999999999999E-2</v>
      </c>
      <c r="FU21">
        <v>-2E-3</v>
      </c>
      <c r="FV21">
        <v>-6.0529999999999999</v>
      </c>
      <c r="FW21">
        <v>-0.63300000000000001</v>
      </c>
      <c r="FX21">
        <v>466</v>
      </c>
      <c r="FY21">
        <v>17</v>
      </c>
      <c r="FZ21">
        <v>0.19</v>
      </c>
      <c r="GA21">
        <v>0.06</v>
      </c>
      <c r="GB21">
        <v>419.74480000000011</v>
      </c>
      <c r="GC21">
        <v>3.2035595106528883E-2</v>
      </c>
      <c r="GD21">
        <v>6.6148015843263866E-2</v>
      </c>
      <c r="GE21">
        <v>-1</v>
      </c>
      <c r="GF21">
        <v>791.76373529411762</v>
      </c>
      <c r="GG21">
        <v>10.27879297392179</v>
      </c>
      <c r="GH21">
        <v>1.029690767652905</v>
      </c>
      <c r="GI21">
        <v>0</v>
      </c>
      <c r="GJ21">
        <v>2.1809935</v>
      </c>
      <c r="GK21">
        <v>0.2121095684802998</v>
      </c>
      <c r="GL21">
        <v>2.060760097027306E-2</v>
      </c>
      <c r="GM21">
        <v>1</v>
      </c>
      <c r="GN21">
        <v>1</v>
      </c>
      <c r="GO21">
        <v>2</v>
      </c>
      <c r="GP21" t="s">
        <v>410</v>
      </c>
      <c r="GQ21">
        <v>3.1306400000000001</v>
      </c>
      <c r="GR21">
        <v>2.73617</v>
      </c>
      <c r="GS21">
        <v>9.1672299999999998E-2</v>
      </c>
      <c r="GT21">
        <v>9.8777299999999998E-2</v>
      </c>
      <c r="GU21">
        <v>0.10258200000000001</v>
      </c>
      <c r="GV21">
        <v>9.3164300000000005E-2</v>
      </c>
      <c r="GW21">
        <v>22736.1</v>
      </c>
      <c r="GX21">
        <v>30225.200000000001</v>
      </c>
      <c r="GY21">
        <v>27160.9</v>
      </c>
      <c r="GZ21">
        <v>34500.300000000003</v>
      </c>
      <c r="HA21">
        <v>35710.5</v>
      </c>
      <c r="HB21">
        <v>39643.199999999997</v>
      </c>
      <c r="HC21">
        <v>40113</v>
      </c>
      <c r="HD21">
        <v>43793.2</v>
      </c>
      <c r="HE21">
        <v>1.9503999999999999</v>
      </c>
      <c r="HF21">
        <v>1.6736</v>
      </c>
      <c r="HG21">
        <v>-0.12064</v>
      </c>
      <c r="HH21">
        <v>0</v>
      </c>
      <c r="HI21">
        <v>26.949300000000001</v>
      </c>
      <c r="HJ21">
        <v>999.9</v>
      </c>
      <c r="HK21">
        <v>48.6</v>
      </c>
      <c r="HL21">
        <v>45.9</v>
      </c>
      <c r="HM21">
        <v>49.7971</v>
      </c>
      <c r="HN21">
        <v>61.205199999999998</v>
      </c>
      <c r="HO21">
        <v>7.1354100000000003</v>
      </c>
      <c r="HP21">
        <v>1</v>
      </c>
      <c r="HQ21">
        <v>0.72560999999999998</v>
      </c>
      <c r="HR21">
        <v>8.5463199999999997</v>
      </c>
      <c r="HS21">
        <v>20.066400000000002</v>
      </c>
      <c r="HT21">
        <v>5.2100999999999997</v>
      </c>
      <c r="HU21">
        <v>11.914099999999999</v>
      </c>
      <c r="HV21">
        <v>4.9843999999999999</v>
      </c>
      <c r="HW21">
        <v>3.2709999999999999</v>
      </c>
      <c r="HX21">
        <v>9999</v>
      </c>
      <c r="HY21">
        <v>9999</v>
      </c>
      <c r="HZ21">
        <v>9999</v>
      </c>
      <c r="IA21">
        <v>999.9</v>
      </c>
      <c r="IB21">
        <v>1.8673999999999999</v>
      </c>
      <c r="IC21">
        <v>1.8631599999999999</v>
      </c>
      <c r="ID21">
        <v>1.8626400000000001</v>
      </c>
      <c r="IE21">
        <v>1.8621799999999999</v>
      </c>
      <c r="IF21">
        <v>1.8621799999999999</v>
      </c>
      <c r="IG21">
        <v>1.86267</v>
      </c>
      <c r="IH21">
        <v>1.8635900000000001</v>
      </c>
      <c r="II21">
        <v>1.8615699999999999</v>
      </c>
      <c r="IJ21">
        <v>0</v>
      </c>
      <c r="IK21">
        <v>0</v>
      </c>
      <c r="IL21">
        <v>0</v>
      </c>
      <c r="IM21">
        <v>4.5</v>
      </c>
      <c r="IN21" t="s">
        <v>411</v>
      </c>
      <c r="IO21" t="s">
        <v>412</v>
      </c>
      <c r="IP21" t="s">
        <v>413</v>
      </c>
      <c r="IQ21" t="s">
        <v>414</v>
      </c>
      <c r="IR21" t="s">
        <v>414</v>
      </c>
      <c r="IS21" t="s">
        <v>413</v>
      </c>
      <c r="IT21">
        <v>0</v>
      </c>
      <c r="IU21">
        <v>100</v>
      </c>
      <c r="IV21">
        <v>100</v>
      </c>
      <c r="IW21">
        <v>-5.8819999999999997</v>
      </c>
      <c r="IX21">
        <v>-0.55159999999999998</v>
      </c>
      <c r="IY21">
        <v>-3.895937415206054</v>
      </c>
      <c r="IZ21">
        <v>-5.6215304933332991E-3</v>
      </c>
      <c r="JA21">
        <v>2.3979931213773931E-6</v>
      </c>
      <c r="JB21">
        <v>-3.6297174575716598E-10</v>
      </c>
      <c r="JC21">
        <v>-0.86744878582564122</v>
      </c>
      <c r="JD21">
        <v>2.7492919904454862E-4</v>
      </c>
      <c r="JE21">
        <v>8.6739513355948885E-4</v>
      </c>
      <c r="JF21">
        <v>-8.2500691715147318E-6</v>
      </c>
      <c r="JG21">
        <v>17</v>
      </c>
      <c r="JH21">
        <v>1914</v>
      </c>
      <c r="JI21">
        <v>2</v>
      </c>
      <c r="JJ21">
        <v>37</v>
      </c>
      <c r="JK21">
        <v>1.7</v>
      </c>
      <c r="JL21">
        <v>1.8</v>
      </c>
      <c r="JM21">
        <v>1.18042</v>
      </c>
      <c r="JN21">
        <v>2.5866699999999998</v>
      </c>
      <c r="JO21">
        <v>1.50024</v>
      </c>
      <c r="JP21">
        <v>2.2644000000000002</v>
      </c>
      <c r="JQ21">
        <v>1.4477500000000001</v>
      </c>
      <c r="JR21">
        <v>2.36938</v>
      </c>
      <c r="JS21">
        <v>50.3155</v>
      </c>
      <c r="JT21">
        <v>14.4648</v>
      </c>
      <c r="JU21">
        <v>18</v>
      </c>
      <c r="JV21">
        <v>546.18499999999995</v>
      </c>
      <c r="JW21">
        <v>382.38499999999999</v>
      </c>
      <c r="JX21">
        <v>18.950500000000002</v>
      </c>
      <c r="JY21">
        <v>35.685099999999998</v>
      </c>
      <c r="JZ21">
        <v>30.000399999999999</v>
      </c>
      <c r="KA21">
        <v>35.733499999999999</v>
      </c>
      <c r="KB21">
        <v>35.759700000000002</v>
      </c>
      <c r="KC21">
        <v>23.611799999999999</v>
      </c>
      <c r="KD21">
        <v>58.8125</v>
      </c>
      <c r="KE21">
        <v>0</v>
      </c>
      <c r="KF21">
        <v>19.639099999999999</v>
      </c>
      <c r="KG21">
        <v>465.55399999999997</v>
      </c>
      <c r="KH21">
        <v>18.2364</v>
      </c>
      <c r="KI21">
        <v>100.248</v>
      </c>
      <c r="KJ21">
        <v>98.509900000000002</v>
      </c>
    </row>
    <row r="22" spans="1:296" x14ac:dyDescent="0.3">
      <c r="A22">
        <v>6</v>
      </c>
      <c r="B22">
        <v>1783873159.0999999</v>
      </c>
      <c r="C22">
        <v>940</v>
      </c>
      <c r="D22" t="s">
        <v>596</v>
      </c>
      <c r="E22" t="s">
        <v>597</v>
      </c>
      <c r="F22">
        <v>15</v>
      </c>
      <c r="H22">
        <v>1783873151.099999</v>
      </c>
      <c r="I22">
        <f t="shared" si="0"/>
        <v>2.1545347521175545E-3</v>
      </c>
      <c r="J22">
        <f t="shared" si="1"/>
        <v>2.1545347521175544</v>
      </c>
      <c r="K22">
        <f t="shared" si="2"/>
        <v>34.12169438844569</v>
      </c>
      <c r="L22">
        <f t="shared" si="3"/>
        <v>420.19467741935478</v>
      </c>
      <c r="M22">
        <f t="shared" si="4"/>
        <v>105.28414617178062</v>
      </c>
      <c r="N22">
        <f t="shared" si="5"/>
        <v>10.379528902002363</v>
      </c>
      <c r="O22">
        <f t="shared" si="6"/>
        <v>41.425256862754026</v>
      </c>
      <c r="P22">
        <f t="shared" si="7"/>
        <v>0.18146861072517578</v>
      </c>
      <c r="Q22">
        <f t="shared" si="8"/>
        <v>2.9040441903941772</v>
      </c>
      <c r="R22">
        <f t="shared" si="9"/>
        <v>0.17539606907730382</v>
      </c>
      <c r="S22">
        <f t="shared" si="10"/>
        <v>0.1101512084860686</v>
      </c>
      <c r="T22">
        <f t="shared" si="11"/>
        <v>128.27731713101235</v>
      </c>
      <c r="U22">
        <f t="shared" si="12"/>
        <v>24.676196864606041</v>
      </c>
      <c r="V22">
        <f t="shared" si="13"/>
        <v>25.001190322580641</v>
      </c>
      <c r="W22">
        <f t="shared" si="14"/>
        <v>3.1799032458171572</v>
      </c>
      <c r="X22">
        <f t="shared" si="15"/>
        <v>64.914389859011806</v>
      </c>
      <c r="Y22">
        <f t="shared" si="16"/>
        <v>2.0007105029791372</v>
      </c>
      <c r="Z22">
        <f t="shared" si="17"/>
        <v>3.0820754956250838</v>
      </c>
      <c r="AA22">
        <f t="shared" si="18"/>
        <v>1.17919274283802</v>
      </c>
      <c r="AB22">
        <f t="shared" si="19"/>
        <v>-95.014982568384156</v>
      </c>
      <c r="AC22">
        <f t="shared" si="20"/>
        <v>-81.897006495557036</v>
      </c>
      <c r="AD22">
        <f t="shared" si="21"/>
        <v>-5.9495804615451711</v>
      </c>
      <c r="AE22">
        <f t="shared" si="22"/>
        <v>-54.584252394474007</v>
      </c>
      <c r="AF22">
        <f t="shared" si="23"/>
        <v>34.12169438844569</v>
      </c>
      <c r="AG22">
        <f t="shared" si="24"/>
        <v>2.1545347521175544</v>
      </c>
      <c r="AH22">
        <f t="shared" si="25"/>
        <v>34.022836716322814</v>
      </c>
      <c r="AI22">
        <v>469.92325848687102</v>
      </c>
      <c r="AJ22">
        <v>428.67246666666631</v>
      </c>
      <c r="AK22">
        <v>-5.8434985755409813E-2</v>
      </c>
      <c r="AL22">
        <v>67.073465342338039</v>
      </c>
      <c r="AM22">
        <f t="shared" si="26"/>
        <v>2.1620180215940468</v>
      </c>
      <c r="AN22">
        <v>17.754779833419921</v>
      </c>
      <c r="AO22">
        <v>20.29555757575757</v>
      </c>
      <c r="AP22">
        <v>1.3090485025173311E-4</v>
      </c>
      <c r="AQ22">
        <v>78.55</v>
      </c>
      <c r="AR22">
        <v>0</v>
      </c>
      <c r="AS22">
        <v>0</v>
      </c>
      <c r="AT22">
        <f t="shared" si="27"/>
        <v>1</v>
      </c>
      <c r="AU22">
        <f t="shared" si="28"/>
        <v>0</v>
      </c>
      <c r="AV22">
        <f t="shared" si="29"/>
        <v>52553.298623202929</v>
      </c>
      <c r="AW22" t="s">
        <v>577</v>
      </c>
      <c r="AX22">
        <v>5096.58</v>
      </c>
      <c r="AY22">
        <v>563.61176470588236</v>
      </c>
      <c r="AZ22">
        <v>2395.3200000000002</v>
      </c>
      <c r="BA22">
        <f t="shared" si="30"/>
        <v>0.76470293542997081</v>
      </c>
      <c r="BB22">
        <v>-3.4864551676958428</v>
      </c>
      <c r="BC22" t="s">
        <v>598</v>
      </c>
      <c r="BD22">
        <v>5084.43</v>
      </c>
      <c r="BE22">
        <v>798.71511764705883</v>
      </c>
      <c r="BF22">
        <v>1293.0999999999999</v>
      </c>
      <c r="BG22">
        <f t="shared" si="31"/>
        <v>0.38232532855381729</v>
      </c>
      <c r="BH22">
        <v>0.5</v>
      </c>
      <c r="BI22">
        <f t="shared" si="32"/>
        <v>672.31122521580119</v>
      </c>
      <c r="BJ22">
        <f t="shared" si="33"/>
        <v>34.12169438844569</v>
      </c>
      <c r="BK22">
        <f t="shared" si="34"/>
        <v>128.52080503552531</v>
      </c>
      <c r="BL22">
        <f t="shared" si="35"/>
        <v>5.5938601269181425E-2</v>
      </c>
      <c r="BM22">
        <f t="shared" si="36"/>
        <v>0.85238573969530607</v>
      </c>
      <c r="BN22">
        <f t="shared" si="37"/>
        <v>469.45588014312369</v>
      </c>
      <c r="BO22" t="s">
        <v>407</v>
      </c>
      <c r="BP22">
        <v>0</v>
      </c>
      <c r="BQ22">
        <f t="shared" si="38"/>
        <v>469.45588014312369</v>
      </c>
      <c r="BR22">
        <f t="shared" si="39"/>
        <v>0.63695315123105423</v>
      </c>
      <c r="BS22">
        <f t="shared" si="40"/>
        <v>0.60024089340776188</v>
      </c>
      <c r="BT22">
        <f t="shared" si="41"/>
        <v>0.57232490529078106</v>
      </c>
      <c r="BU22">
        <f t="shared" si="42"/>
        <v>0.67771467507438732</v>
      </c>
      <c r="BV22">
        <f t="shared" si="43"/>
        <v>0.60174430554056901</v>
      </c>
      <c r="BW22">
        <f t="shared" si="44"/>
        <v>0.35279990410442358</v>
      </c>
      <c r="BX22">
        <f t="shared" si="45"/>
        <v>0.64720009589557637</v>
      </c>
      <c r="DG22">
        <f t="shared" si="46"/>
        <v>800.00229032258073</v>
      </c>
      <c r="DH22">
        <f t="shared" si="47"/>
        <v>672.31122521580119</v>
      </c>
      <c r="DI22">
        <f t="shared" si="48"/>
        <v>0.8403866255741701</v>
      </c>
      <c r="DJ22">
        <f t="shared" si="49"/>
        <v>0.1603461873581484</v>
      </c>
      <c r="DK22">
        <v>6</v>
      </c>
      <c r="DL22">
        <v>0.5</v>
      </c>
      <c r="DM22" t="s">
        <v>408</v>
      </c>
      <c r="DN22">
        <v>2</v>
      </c>
      <c r="DO22" t="b">
        <v>0</v>
      </c>
      <c r="DP22">
        <v>1783873151.099999</v>
      </c>
      <c r="DQ22">
        <v>420.19467741935478</v>
      </c>
      <c r="DR22">
        <v>462.22429032258071</v>
      </c>
      <c r="DS22">
        <v>20.29409032258064</v>
      </c>
      <c r="DT22">
        <v>17.76128709677419</v>
      </c>
      <c r="DU22">
        <v>426.07138709677417</v>
      </c>
      <c r="DV22">
        <v>20.863787096774189</v>
      </c>
      <c r="DW22">
        <v>500.03341935483883</v>
      </c>
      <c r="DX22">
        <v>98.524580645161294</v>
      </c>
      <c r="DY22">
        <v>6.1287022580645147E-2</v>
      </c>
      <c r="DZ22">
        <v>24.478096774193538</v>
      </c>
      <c r="EA22">
        <v>25.001190322580641</v>
      </c>
      <c r="EB22">
        <v>999.90000000000032</v>
      </c>
      <c r="EC22">
        <v>0</v>
      </c>
      <c r="ED22">
        <v>0</v>
      </c>
      <c r="EE22">
        <v>10002.903225806451</v>
      </c>
      <c r="EF22">
        <v>0</v>
      </c>
      <c r="EG22">
        <v>785.28438709677425</v>
      </c>
      <c r="EH22">
        <v>-42.029525806451609</v>
      </c>
      <c r="EI22">
        <v>428.89877419354849</v>
      </c>
      <c r="EJ22">
        <v>470.58241935483869</v>
      </c>
      <c r="EK22">
        <v>2.5328012903225812</v>
      </c>
      <c r="EL22">
        <v>462.22429032258071</v>
      </c>
      <c r="EM22">
        <v>17.76128709677419</v>
      </c>
      <c r="EN22">
        <v>1.999466451612903</v>
      </c>
      <c r="EO22">
        <v>1.7499232258064521</v>
      </c>
      <c r="EP22">
        <v>17.44011290322581</v>
      </c>
      <c r="EQ22">
        <v>15.346512903225801</v>
      </c>
      <c r="ER22">
        <v>800.00229032258073</v>
      </c>
      <c r="ES22">
        <v>0.98702893548387105</v>
      </c>
      <c r="ET22">
        <v>1.2971E-2</v>
      </c>
      <c r="EU22">
        <v>0</v>
      </c>
      <c r="EV22">
        <v>798.6442258064518</v>
      </c>
      <c r="EW22">
        <v>5.0010700000000003</v>
      </c>
      <c r="EX22">
        <v>14238.93548387097</v>
      </c>
      <c r="EY22">
        <v>7246.7232258064496</v>
      </c>
      <c r="EZ22">
        <v>41.977645161290312</v>
      </c>
      <c r="FA22">
        <v>44.902999999999999</v>
      </c>
      <c r="FB22">
        <v>43.75</v>
      </c>
      <c r="FC22">
        <v>44.25</v>
      </c>
      <c r="FD22">
        <v>43.259999999999977</v>
      </c>
      <c r="FE22">
        <v>784.68774193548393</v>
      </c>
      <c r="FF22">
        <v>10.31</v>
      </c>
      <c r="FG22">
        <v>0</v>
      </c>
      <c r="FH22">
        <v>182</v>
      </c>
      <c r="FI22">
        <v>0</v>
      </c>
      <c r="FJ22">
        <v>798.71511764705883</v>
      </c>
      <c r="FK22">
        <v>-1.6522058948743179</v>
      </c>
      <c r="FL22">
        <v>2973.9460832412578</v>
      </c>
      <c r="FM22">
        <v>14412.77647058824</v>
      </c>
      <c r="FN22">
        <v>10</v>
      </c>
      <c r="FO22">
        <v>1783873123.5999999</v>
      </c>
      <c r="FP22" t="s">
        <v>599</v>
      </c>
      <c r="FQ22">
        <v>1783873123.5999999</v>
      </c>
      <c r="FR22">
        <v>1783873118.5999999</v>
      </c>
      <c r="FS22">
        <v>21</v>
      </c>
      <c r="FT22">
        <v>7.0000000000000001E-3</v>
      </c>
      <c r="FU22">
        <v>-1.0999999999999999E-2</v>
      </c>
      <c r="FV22">
        <v>-6.0350000000000001</v>
      </c>
      <c r="FW22">
        <v>-0.63500000000000001</v>
      </c>
      <c r="FX22">
        <v>463</v>
      </c>
      <c r="FY22">
        <v>18</v>
      </c>
      <c r="FZ22">
        <v>0.21</v>
      </c>
      <c r="GA22">
        <v>0.09</v>
      </c>
      <c r="GB22">
        <v>420.19467741935478</v>
      </c>
      <c r="GC22">
        <v>-0.30561290322654749</v>
      </c>
      <c r="GD22">
        <v>0.16451186585242419</v>
      </c>
      <c r="GE22">
        <v>-1</v>
      </c>
      <c r="GF22">
        <v>798.52217647058831</v>
      </c>
      <c r="GG22">
        <v>2.158441558741246</v>
      </c>
      <c r="GH22">
        <v>0.32622262973658828</v>
      </c>
      <c r="GI22">
        <v>1</v>
      </c>
      <c r="GJ22">
        <v>2.5296441463414632</v>
      </c>
      <c r="GK22">
        <v>8.3498675958192256E-2</v>
      </c>
      <c r="GL22">
        <v>8.9313424483558751E-3</v>
      </c>
      <c r="GM22">
        <v>1</v>
      </c>
      <c r="GN22">
        <v>2</v>
      </c>
      <c r="GO22">
        <v>2</v>
      </c>
      <c r="GP22" t="s">
        <v>423</v>
      </c>
      <c r="GQ22">
        <v>3.13015</v>
      </c>
      <c r="GR22">
        <v>2.73637</v>
      </c>
      <c r="GS22">
        <v>9.1645000000000004E-2</v>
      </c>
      <c r="GT22">
        <v>9.8098900000000003E-2</v>
      </c>
      <c r="GU22">
        <v>0.10151300000000001</v>
      </c>
      <c r="GV22">
        <v>9.07665E-2</v>
      </c>
      <c r="GW22">
        <v>22725.3</v>
      </c>
      <c r="GX22">
        <v>30228.6</v>
      </c>
      <c r="GY22">
        <v>27148.799999999999</v>
      </c>
      <c r="GZ22">
        <v>34480.699999999997</v>
      </c>
      <c r="HA22">
        <v>35739.800000000003</v>
      </c>
      <c r="HB22">
        <v>39727.300000000003</v>
      </c>
      <c r="HC22">
        <v>40097</v>
      </c>
      <c r="HD22">
        <v>43770.2</v>
      </c>
      <c r="HE22">
        <v>1.9481999999999999</v>
      </c>
      <c r="HF22">
        <v>1.6646000000000001</v>
      </c>
      <c r="HG22">
        <v>-0.133961</v>
      </c>
      <c r="HH22">
        <v>0</v>
      </c>
      <c r="HI22">
        <v>27.188099999999999</v>
      </c>
      <c r="HJ22">
        <v>999.9</v>
      </c>
      <c r="HK22">
        <v>48.2</v>
      </c>
      <c r="HL22">
        <v>46.2</v>
      </c>
      <c r="HM22">
        <v>50.146700000000003</v>
      </c>
      <c r="HN22">
        <v>61.115299999999998</v>
      </c>
      <c r="HO22">
        <v>6.9791600000000003</v>
      </c>
      <c r="HP22">
        <v>1</v>
      </c>
      <c r="HQ22">
        <v>0.75378000000000001</v>
      </c>
      <c r="HR22">
        <v>9.2810500000000005</v>
      </c>
      <c r="HS22">
        <v>20.029900000000001</v>
      </c>
      <c r="HT22">
        <v>5.2112999999999996</v>
      </c>
      <c r="HU22">
        <v>11.914099999999999</v>
      </c>
      <c r="HV22">
        <v>4.984</v>
      </c>
      <c r="HW22">
        <v>3.2709999999999999</v>
      </c>
      <c r="HX22">
        <v>9999</v>
      </c>
      <c r="HY22">
        <v>9999</v>
      </c>
      <c r="HZ22">
        <v>9999</v>
      </c>
      <c r="IA22">
        <v>999.9</v>
      </c>
      <c r="IB22">
        <v>1.86737</v>
      </c>
      <c r="IC22">
        <v>1.8631599999999999</v>
      </c>
      <c r="ID22">
        <v>1.8626400000000001</v>
      </c>
      <c r="IE22">
        <v>1.8621799999999999</v>
      </c>
      <c r="IF22">
        <v>1.8621799999999999</v>
      </c>
      <c r="IG22">
        <v>1.8626400000000001</v>
      </c>
      <c r="IH22">
        <v>1.8635900000000001</v>
      </c>
      <c r="II22">
        <v>1.8615699999999999</v>
      </c>
      <c r="IJ22">
        <v>0</v>
      </c>
      <c r="IK22">
        <v>0</v>
      </c>
      <c r="IL22">
        <v>0</v>
      </c>
      <c r="IM22">
        <v>4.5</v>
      </c>
      <c r="IN22" t="s">
        <v>411</v>
      </c>
      <c r="IO22" t="s">
        <v>412</v>
      </c>
      <c r="IP22" t="s">
        <v>413</v>
      </c>
      <c r="IQ22" t="s">
        <v>414</v>
      </c>
      <c r="IR22" t="s">
        <v>414</v>
      </c>
      <c r="IS22" t="s">
        <v>413</v>
      </c>
      <c r="IT22">
        <v>0</v>
      </c>
      <c r="IU22">
        <v>100</v>
      </c>
      <c r="IV22">
        <v>100</v>
      </c>
      <c r="IW22">
        <v>-5.8760000000000003</v>
      </c>
      <c r="IX22">
        <v>-0.56969999999999998</v>
      </c>
      <c r="IY22">
        <v>-3.888783483637023</v>
      </c>
      <c r="IZ22">
        <v>-5.6215304933332991E-3</v>
      </c>
      <c r="JA22">
        <v>2.3979931213773931E-6</v>
      </c>
      <c r="JB22">
        <v>-3.6297174575716598E-10</v>
      </c>
      <c r="JC22">
        <v>-0.87808187412724537</v>
      </c>
      <c r="JD22">
        <v>2.7492919904454862E-4</v>
      </c>
      <c r="JE22">
        <v>8.6739513355948885E-4</v>
      </c>
      <c r="JF22">
        <v>-8.2500691715147318E-6</v>
      </c>
      <c r="JG22">
        <v>17</v>
      </c>
      <c r="JH22">
        <v>1914</v>
      </c>
      <c r="JI22">
        <v>2</v>
      </c>
      <c r="JJ22">
        <v>37</v>
      </c>
      <c r="JK22">
        <v>0.6</v>
      </c>
      <c r="JL22">
        <v>0.7</v>
      </c>
      <c r="JM22">
        <v>1.17188</v>
      </c>
      <c r="JN22">
        <v>2.5988799999999999</v>
      </c>
      <c r="JO22">
        <v>1.50024</v>
      </c>
      <c r="JP22">
        <v>2.2644000000000002</v>
      </c>
      <c r="JQ22">
        <v>1.4477500000000001</v>
      </c>
      <c r="JR22">
        <v>2.4365199999999998</v>
      </c>
      <c r="JS22">
        <v>50.836399999999998</v>
      </c>
      <c r="JT22">
        <v>14.3772</v>
      </c>
      <c r="JU22">
        <v>18</v>
      </c>
      <c r="JV22">
        <v>546.851</v>
      </c>
      <c r="JW22">
        <v>378.72300000000001</v>
      </c>
      <c r="JX22">
        <v>19.0595</v>
      </c>
      <c r="JY22">
        <v>36.039299999999997</v>
      </c>
      <c r="JZ22">
        <v>30.000800000000002</v>
      </c>
      <c r="KA22">
        <v>36.000900000000001</v>
      </c>
      <c r="KB22">
        <v>36.018300000000004</v>
      </c>
      <c r="KC22">
        <v>23.449400000000001</v>
      </c>
      <c r="KD22">
        <v>59.900300000000001</v>
      </c>
      <c r="KE22">
        <v>0</v>
      </c>
      <c r="KF22">
        <v>18.9054</v>
      </c>
      <c r="KG22">
        <v>461.88200000000001</v>
      </c>
      <c r="KH22">
        <v>17.775600000000001</v>
      </c>
      <c r="KI22">
        <v>100.20699999999999</v>
      </c>
      <c r="KJ22">
        <v>98.456299999999999</v>
      </c>
    </row>
    <row r="23" spans="1:296" x14ac:dyDescent="0.3">
      <c r="A23">
        <v>7</v>
      </c>
      <c r="B23">
        <v>1783873341.5999999</v>
      </c>
      <c r="C23">
        <v>1122.5</v>
      </c>
      <c r="D23" t="s">
        <v>600</v>
      </c>
      <c r="E23" t="s">
        <v>601</v>
      </c>
      <c r="F23">
        <v>15</v>
      </c>
      <c r="H23">
        <v>1783873333.599999</v>
      </c>
      <c r="I23">
        <f t="shared" si="0"/>
        <v>1.4642094621028607E-3</v>
      </c>
      <c r="J23">
        <f t="shared" si="1"/>
        <v>1.4642094621028607</v>
      </c>
      <c r="K23">
        <f t="shared" si="2"/>
        <v>25.808190669353049</v>
      </c>
      <c r="L23">
        <f t="shared" si="3"/>
        <v>420.72829032258068</v>
      </c>
      <c r="M23">
        <f t="shared" si="4"/>
        <v>66.650429027054471</v>
      </c>
      <c r="N23">
        <f t="shared" si="5"/>
        <v>6.5703678209394409</v>
      </c>
      <c r="O23">
        <f t="shared" si="6"/>
        <v>41.475196190744121</v>
      </c>
      <c r="P23">
        <f t="shared" si="7"/>
        <v>0.12056520830101893</v>
      </c>
      <c r="Q23">
        <f t="shared" si="8"/>
        <v>2.9041260301606933</v>
      </c>
      <c r="R23">
        <f t="shared" si="9"/>
        <v>0.11785199794940558</v>
      </c>
      <c r="S23">
        <f t="shared" si="10"/>
        <v>7.3896184415112143E-2</v>
      </c>
      <c r="T23">
        <f t="shared" si="11"/>
        <v>96.346460375681815</v>
      </c>
      <c r="U23">
        <f t="shared" si="12"/>
        <v>24.837372092058157</v>
      </c>
      <c r="V23">
        <f t="shared" si="13"/>
        <v>25</v>
      </c>
      <c r="W23">
        <f t="shared" si="14"/>
        <v>3.1796775899783087</v>
      </c>
      <c r="X23">
        <f t="shared" si="15"/>
        <v>63.817313901575545</v>
      </c>
      <c r="Y23">
        <f t="shared" si="16"/>
        <v>1.9870077580859449</v>
      </c>
      <c r="Z23">
        <f t="shared" si="17"/>
        <v>3.1135872643440874</v>
      </c>
      <c r="AA23">
        <f t="shared" si="18"/>
        <v>1.1926698318923639</v>
      </c>
      <c r="AB23">
        <f t="shared" si="19"/>
        <v>-64.571637278736162</v>
      </c>
      <c r="AC23">
        <f t="shared" si="20"/>
        <v>-55.086921647952053</v>
      </c>
      <c r="AD23">
        <f t="shared" si="21"/>
        <v>-4.0051964837960448</v>
      </c>
      <c r="AE23">
        <f t="shared" si="22"/>
        <v>-27.317295034802441</v>
      </c>
      <c r="AF23">
        <f t="shared" si="23"/>
        <v>25.808190669353049</v>
      </c>
      <c r="AG23">
        <f t="shared" si="24"/>
        <v>1.4642094621028607</v>
      </c>
      <c r="AH23">
        <f t="shared" si="25"/>
        <v>25.865644089377049</v>
      </c>
      <c r="AI23">
        <v>460.91997113270878</v>
      </c>
      <c r="AJ23">
        <v>429.28456363636383</v>
      </c>
      <c r="AK23">
        <v>3.1867782542474741E-3</v>
      </c>
      <c r="AL23">
        <v>67.073915610758149</v>
      </c>
      <c r="AM23">
        <f t="shared" si="26"/>
        <v>1.4437256617030885</v>
      </c>
      <c r="AN23">
        <v>18.52598655666667</v>
      </c>
      <c r="AO23">
        <v>20.206313939393919</v>
      </c>
      <c r="AP23">
        <v>2.7130851370836071E-3</v>
      </c>
      <c r="AQ23">
        <v>78.55</v>
      </c>
      <c r="AR23">
        <v>0</v>
      </c>
      <c r="AS23">
        <v>0</v>
      </c>
      <c r="AT23">
        <f t="shared" si="27"/>
        <v>1</v>
      </c>
      <c r="AU23">
        <f t="shared" si="28"/>
        <v>0</v>
      </c>
      <c r="AV23">
        <f t="shared" si="29"/>
        <v>52525.526297245568</v>
      </c>
      <c r="AW23" t="s">
        <v>577</v>
      </c>
      <c r="AX23">
        <v>5096.58</v>
      </c>
      <c r="AY23">
        <v>563.61176470588236</v>
      </c>
      <c r="AZ23">
        <v>2395.3200000000002</v>
      </c>
      <c r="BA23">
        <f t="shared" si="30"/>
        <v>0.76470293542997081</v>
      </c>
      <c r="BB23">
        <v>-3.4864551676958428</v>
      </c>
      <c r="BC23" t="s">
        <v>602</v>
      </c>
      <c r="BD23">
        <v>5083.82</v>
      </c>
      <c r="BE23">
        <v>779.10970588235307</v>
      </c>
      <c r="BF23">
        <v>1376.48</v>
      </c>
      <c r="BG23">
        <f t="shared" si="31"/>
        <v>0.4339839984000109</v>
      </c>
      <c r="BH23">
        <v>0.5</v>
      </c>
      <c r="BI23">
        <f t="shared" si="32"/>
        <v>504.3048670774885</v>
      </c>
      <c r="BJ23">
        <f t="shared" si="33"/>
        <v>25.808190669353049</v>
      </c>
      <c r="BK23">
        <f t="shared" si="34"/>
        <v>109.43012131343724</v>
      </c>
      <c r="BL23">
        <f t="shared" si="35"/>
        <v>5.8089159453913526E-2</v>
      </c>
      <c r="BM23">
        <f t="shared" si="36"/>
        <v>0.74017784493781247</v>
      </c>
      <c r="BN23">
        <f t="shared" si="37"/>
        <v>480.01206060702526</v>
      </c>
      <c r="BO23" t="s">
        <v>407</v>
      </c>
      <c r="BP23">
        <v>0</v>
      </c>
      <c r="BQ23">
        <f t="shared" si="38"/>
        <v>480.01206060702526</v>
      </c>
      <c r="BR23">
        <f t="shared" si="39"/>
        <v>0.65127567374242612</v>
      </c>
      <c r="BS23">
        <f t="shared" si="40"/>
        <v>0.66635990855639993</v>
      </c>
      <c r="BT23">
        <f t="shared" si="41"/>
        <v>0.53194579265562103</v>
      </c>
      <c r="BU23">
        <f t="shared" si="42"/>
        <v>0.73489191504881757</v>
      </c>
      <c r="BV23">
        <f t="shared" si="43"/>
        <v>0.55622395552335591</v>
      </c>
      <c r="BW23">
        <f t="shared" si="44"/>
        <v>0.41054653843622635</v>
      </c>
      <c r="BX23">
        <f t="shared" si="45"/>
        <v>0.58945346156377365</v>
      </c>
      <c r="DG23">
        <f t="shared" si="46"/>
        <v>600.00132258064525</v>
      </c>
      <c r="DH23">
        <f t="shared" si="47"/>
        <v>504.3048670774885</v>
      </c>
      <c r="DI23">
        <f t="shared" si="48"/>
        <v>0.84050625906696341</v>
      </c>
      <c r="DJ23">
        <f t="shared" si="49"/>
        <v>0.16057707999923956</v>
      </c>
      <c r="DK23">
        <v>6</v>
      </c>
      <c r="DL23">
        <v>0.5</v>
      </c>
      <c r="DM23" t="s">
        <v>408</v>
      </c>
      <c r="DN23">
        <v>2</v>
      </c>
      <c r="DO23" t="b">
        <v>0</v>
      </c>
      <c r="DP23">
        <v>1783873333.599999</v>
      </c>
      <c r="DQ23">
        <v>420.72829032258068</v>
      </c>
      <c r="DR23">
        <v>452.43403225806458</v>
      </c>
      <c r="DS23">
        <v>20.15639354838709</v>
      </c>
      <c r="DT23">
        <v>18.434938709677422</v>
      </c>
      <c r="DU23">
        <v>426.61458064516131</v>
      </c>
      <c r="DV23">
        <v>20.72693870967742</v>
      </c>
      <c r="DW23">
        <v>500.05248387096782</v>
      </c>
      <c r="DX23">
        <v>98.519667741935478</v>
      </c>
      <c r="DY23">
        <v>5.9860054838709688E-2</v>
      </c>
      <c r="DZ23">
        <v>24.648158064516121</v>
      </c>
      <c r="EA23">
        <v>25</v>
      </c>
      <c r="EB23">
        <v>999.90000000000032</v>
      </c>
      <c r="EC23">
        <v>0</v>
      </c>
      <c r="ED23">
        <v>0</v>
      </c>
      <c r="EE23">
        <v>10003.870967741939</v>
      </c>
      <c r="EF23">
        <v>0</v>
      </c>
      <c r="EG23">
        <v>213.32293548387091</v>
      </c>
      <c r="EH23">
        <v>-31.70572903225807</v>
      </c>
      <c r="EI23">
        <v>429.38309677419358</v>
      </c>
      <c r="EJ23">
        <v>460.93122580645172</v>
      </c>
      <c r="EK23">
        <v>1.7214541935483869</v>
      </c>
      <c r="EL23">
        <v>452.43403225806458</v>
      </c>
      <c r="EM23">
        <v>18.434938709677422</v>
      </c>
      <c r="EN23">
        <v>1.9857996774193549</v>
      </c>
      <c r="EO23">
        <v>1.816203225806452</v>
      </c>
      <c r="EP23">
        <v>17.33155806451613</v>
      </c>
      <c r="EQ23">
        <v>15.92687419354839</v>
      </c>
      <c r="ER23">
        <v>600.00132258064525</v>
      </c>
      <c r="ES23">
        <v>0.98297938709677424</v>
      </c>
      <c r="ET23">
        <v>1.7020454838709669E-2</v>
      </c>
      <c r="EU23">
        <v>0</v>
      </c>
      <c r="EV23">
        <v>779.80241935483855</v>
      </c>
      <c r="EW23">
        <v>5.0010700000000003</v>
      </c>
      <c r="EX23">
        <v>6661.3680645161276</v>
      </c>
      <c r="EY23">
        <v>5415.0803225806458</v>
      </c>
      <c r="EZ23">
        <v>41.040032258064507</v>
      </c>
      <c r="FA23">
        <v>44.11467741935482</v>
      </c>
      <c r="FB23">
        <v>42.93922580645161</v>
      </c>
      <c r="FC23">
        <v>43.647000000000013</v>
      </c>
      <c r="FD23">
        <v>42.548032258064516</v>
      </c>
      <c r="FE23">
        <v>584.87258064516129</v>
      </c>
      <c r="FF23">
        <v>10.12516129032258</v>
      </c>
      <c r="FG23">
        <v>0</v>
      </c>
      <c r="FH23">
        <v>182.20000004768369</v>
      </c>
      <c r="FI23">
        <v>0</v>
      </c>
      <c r="FJ23">
        <v>779.10970588235307</v>
      </c>
      <c r="FK23">
        <v>-13.446813771105649</v>
      </c>
      <c r="FL23">
        <v>-336.90686362357701</v>
      </c>
      <c r="FM23">
        <v>6644.6870588235297</v>
      </c>
      <c r="FN23">
        <v>10</v>
      </c>
      <c r="FO23">
        <v>1783873299.0999999</v>
      </c>
      <c r="FP23" t="s">
        <v>603</v>
      </c>
      <c r="FQ23">
        <v>1783873294.5999999</v>
      </c>
      <c r="FR23">
        <v>1783873299.0999999</v>
      </c>
      <c r="FS23">
        <v>22</v>
      </c>
      <c r="FT23">
        <v>-7.0000000000000001E-3</v>
      </c>
      <c r="FU23">
        <v>3.0000000000000001E-3</v>
      </c>
      <c r="FV23">
        <v>-6.0170000000000003</v>
      </c>
      <c r="FW23">
        <v>-0.63800000000000001</v>
      </c>
      <c r="FX23">
        <v>456</v>
      </c>
      <c r="FY23">
        <v>17</v>
      </c>
      <c r="FZ23">
        <v>0.24</v>
      </c>
      <c r="GA23">
        <v>0.08</v>
      </c>
      <c r="GB23">
        <v>420.74736666666661</v>
      </c>
      <c r="GC23">
        <v>-2.021953281423738</v>
      </c>
      <c r="GD23">
        <v>0.16696097015636879</v>
      </c>
      <c r="GE23">
        <v>-1</v>
      </c>
      <c r="GF23">
        <v>780.60532352941175</v>
      </c>
      <c r="GG23">
        <v>-13.23213139344686</v>
      </c>
      <c r="GH23">
        <v>1.3112405379143439</v>
      </c>
      <c r="GI23">
        <v>0</v>
      </c>
      <c r="GJ23">
        <v>1.7557907500000001</v>
      </c>
      <c r="GK23">
        <v>-0.55495981238274272</v>
      </c>
      <c r="GL23">
        <v>7.9548031288885448E-2</v>
      </c>
      <c r="GM23">
        <v>0</v>
      </c>
      <c r="GN23">
        <v>0</v>
      </c>
      <c r="GO23">
        <v>2</v>
      </c>
      <c r="GP23" t="s">
        <v>440</v>
      </c>
      <c r="GQ23">
        <v>3.1298900000000001</v>
      </c>
      <c r="GR23">
        <v>2.7366299999999999</v>
      </c>
      <c r="GS23">
        <v>9.1730400000000004E-2</v>
      </c>
      <c r="GT23">
        <v>9.6591700000000003E-2</v>
      </c>
      <c r="GU23">
        <v>0.101199</v>
      </c>
      <c r="GV23">
        <v>9.3687800000000002E-2</v>
      </c>
      <c r="GW23">
        <v>22722.5</v>
      </c>
      <c r="GX23">
        <v>30280</v>
      </c>
      <c r="GY23">
        <v>27148.1</v>
      </c>
      <c r="GZ23">
        <v>34481.599999999999</v>
      </c>
      <c r="HA23">
        <v>35751.5</v>
      </c>
      <c r="HB23">
        <v>39602.1</v>
      </c>
      <c r="HC23">
        <v>40096</v>
      </c>
      <c r="HD23">
        <v>43772.800000000003</v>
      </c>
      <c r="HE23">
        <v>1.9470000000000001</v>
      </c>
      <c r="HF23">
        <v>1.6654</v>
      </c>
      <c r="HG23">
        <v>-0.10299700000000001</v>
      </c>
      <c r="HH23">
        <v>0</v>
      </c>
      <c r="HI23">
        <v>26.697099999999999</v>
      </c>
      <c r="HJ23">
        <v>999.9</v>
      </c>
      <c r="HK23">
        <v>47</v>
      </c>
      <c r="HL23">
        <v>46.5</v>
      </c>
      <c r="HM23">
        <v>49.658900000000003</v>
      </c>
      <c r="HN23">
        <v>60.915399999999998</v>
      </c>
      <c r="HO23">
        <v>7.0232400000000004</v>
      </c>
      <c r="HP23">
        <v>1</v>
      </c>
      <c r="HQ23">
        <v>0.73126000000000002</v>
      </c>
      <c r="HR23">
        <v>9.1565100000000008</v>
      </c>
      <c r="HS23">
        <v>20.027699999999999</v>
      </c>
      <c r="HT23">
        <v>5.2100999999999997</v>
      </c>
      <c r="HU23">
        <v>11.914099999999999</v>
      </c>
      <c r="HV23">
        <v>4.9855999999999998</v>
      </c>
      <c r="HW23">
        <v>3.2707999999999999</v>
      </c>
      <c r="HX23">
        <v>9999</v>
      </c>
      <c r="HY23">
        <v>9999</v>
      </c>
      <c r="HZ23">
        <v>9999</v>
      </c>
      <c r="IA23">
        <v>999.9</v>
      </c>
      <c r="IB23">
        <v>1.8673999999999999</v>
      </c>
      <c r="IC23">
        <v>1.8631599999999999</v>
      </c>
      <c r="ID23">
        <v>1.86267</v>
      </c>
      <c r="IE23">
        <v>1.8622399999999999</v>
      </c>
      <c r="IF23">
        <v>1.8622099999999999</v>
      </c>
      <c r="IG23">
        <v>1.86267</v>
      </c>
      <c r="IH23">
        <v>1.86365</v>
      </c>
      <c r="II23">
        <v>1.8615699999999999</v>
      </c>
      <c r="IJ23">
        <v>0</v>
      </c>
      <c r="IK23">
        <v>0</v>
      </c>
      <c r="IL23">
        <v>0</v>
      </c>
      <c r="IM23">
        <v>4.5</v>
      </c>
      <c r="IN23" t="s">
        <v>411</v>
      </c>
      <c r="IO23" t="s">
        <v>412</v>
      </c>
      <c r="IP23" t="s">
        <v>413</v>
      </c>
      <c r="IQ23" t="s">
        <v>414</v>
      </c>
      <c r="IR23" t="s">
        <v>414</v>
      </c>
      <c r="IS23" t="s">
        <v>413</v>
      </c>
      <c r="IT23">
        <v>0</v>
      </c>
      <c r="IU23">
        <v>100</v>
      </c>
      <c r="IV23">
        <v>100</v>
      </c>
      <c r="IW23">
        <v>-5.8860000000000001</v>
      </c>
      <c r="IX23">
        <v>-0.56910000000000005</v>
      </c>
      <c r="IY23">
        <v>-3.8963407265548882</v>
      </c>
      <c r="IZ23">
        <v>-5.6215304933332991E-3</v>
      </c>
      <c r="JA23">
        <v>2.3979931213773931E-6</v>
      </c>
      <c r="JB23">
        <v>-3.6297174575716598E-10</v>
      </c>
      <c r="JC23">
        <v>-0.87542627472570089</v>
      </c>
      <c r="JD23">
        <v>2.7492919904454862E-4</v>
      </c>
      <c r="JE23">
        <v>8.6739513355948885E-4</v>
      </c>
      <c r="JF23">
        <v>-8.2500691715147318E-6</v>
      </c>
      <c r="JG23">
        <v>17</v>
      </c>
      <c r="JH23">
        <v>1914</v>
      </c>
      <c r="JI23">
        <v>2</v>
      </c>
      <c r="JJ23">
        <v>37</v>
      </c>
      <c r="JK23">
        <v>0.8</v>
      </c>
      <c r="JL23">
        <v>0.7</v>
      </c>
      <c r="JM23">
        <v>1.1535599999999999</v>
      </c>
      <c r="JN23">
        <v>2.5976599999999999</v>
      </c>
      <c r="JO23">
        <v>1.50024</v>
      </c>
      <c r="JP23">
        <v>2.2644000000000002</v>
      </c>
      <c r="JQ23">
        <v>1.4477500000000001</v>
      </c>
      <c r="JR23">
        <v>2.3950200000000001</v>
      </c>
      <c r="JS23">
        <v>51.066699999999997</v>
      </c>
      <c r="JT23">
        <v>14.456</v>
      </c>
      <c r="JU23">
        <v>18</v>
      </c>
      <c r="JV23">
        <v>546.596</v>
      </c>
      <c r="JW23">
        <v>379.483</v>
      </c>
      <c r="JX23">
        <v>21.4407</v>
      </c>
      <c r="JY23">
        <v>36.045299999999997</v>
      </c>
      <c r="JZ23">
        <v>29.999400000000001</v>
      </c>
      <c r="KA23">
        <v>36.069899999999997</v>
      </c>
      <c r="KB23">
        <v>36.071100000000001</v>
      </c>
      <c r="KC23">
        <v>23.074000000000002</v>
      </c>
      <c r="KD23">
        <v>58.3857</v>
      </c>
      <c r="KE23">
        <v>0</v>
      </c>
      <c r="KF23">
        <v>20.247199999999999</v>
      </c>
      <c r="KG23">
        <v>452.00400000000002</v>
      </c>
      <c r="KH23">
        <v>18.604800000000001</v>
      </c>
      <c r="KI23">
        <v>100.20399999999999</v>
      </c>
      <c r="KJ23">
        <v>98.460700000000003</v>
      </c>
    </row>
    <row r="24" spans="1:296" x14ac:dyDescent="0.3">
      <c r="A24">
        <v>8</v>
      </c>
      <c r="B24">
        <v>1783873523.5999999</v>
      </c>
      <c r="C24">
        <v>1304.5</v>
      </c>
      <c r="D24" t="s">
        <v>604</v>
      </c>
      <c r="E24" t="s">
        <v>605</v>
      </c>
      <c r="F24">
        <v>15</v>
      </c>
      <c r="H24">
        <v>1783873515.849999</v>
      </c>
      <c r="I24">
        <f t="shared" si="0"/>
        <v>1.1511088652957301E-3</v>
      </c>
      <c r="J24">
        <f t="shared" si="1"/>
        <v>1.1511088652957302</v>
      </c>
      <c r="K24">
        <f t="shared" si="2"/>
        <v>21.277477303214948</v>
      </c>
      <c r="L24">
        <f t="shared" si="3"/>
        <v>419.97953333333339</v>
      </c>
      <c r="M24">
        <f t="shared" si="4"/>
        <v>59.163042372045794</v>
      </c>
      <c r="N24">
        <f t="shared" si="5"/>
        <v>5.8321372554930928</v>
      </c>
      <c r="O24">
        <f t="shared" si="6"/>
        <v>41.400478824179842</v>
      </c>
      <c r="P24">
        <f t="shared" si="7"/>
        <v>9.709403043212661E-2</v>
      </c>
      <c r="Q24">
        <f t="shared" si="8"/>
        <v>2.9032482295472803</v>
      </c>
      <c r="R24">
        <f t="shared" si="9"/>
        <v>9.5325516486901796E-2</v>
      </c>
      <c r="S24">
        <f t="shared" si="10"/>
        <v>5.9734658687883996E-2</v>
      </c>
      <c r="T24">
        <f t="shared" si="11"/>
        <v>64.417318103835669</v>
      </c>
      <c r="U24">
        <f t="shared" si="12"/>
        <v>24.918336366478627</v>
      </c>
      <c r="V24">
        <f t="shared" si="13"/>
        <v>25.084463333333339</v>
      </c>
      <c r="W24">
        <f t="shared" si="14"/>
        <v>3.1957245341475939</v>
      </c>
      <c r="X24">
        <f t="shared" si="15"/>
        <v>64.687139804771604</v>
      </c>
      <c r="Y24">
        <f t="shared" si="16"/>
        <v>2.0369413750584004</v>
      </c>
      <c r="Z24">
        <f t="shared" si="17"/>
        <v>3.1489124132029511</v>
      </c>
      <c r="AA24">
        <f t="shared" si="18"/>
        <v>1.1587831590891935</v>
      </c>
      <c r="AB24">
        <f t="shared" si="19"/>
        <v>-50.763900959541701</v>
      </c>
      <c r="AC24">
        <f t="shared" si="20"/>
        <v>-38.729810379409685</v>
      </c>
      <c r="AD24">
        <f t="shared" si="21"/>
        <v>-2.8206527489891657</v>
      </c>
      <c r="AE24">
        <f t="shared" si="22"/>
        <v>-27.897045984104885</v>
      </c>
      <c r="AF24">
        <f t="shared" si="23"/>
        <v>21.277477303214948</v>
      </c>
      <c r="AG24">
        <f t="shared" si="24"/>
        <v>1.1511088652957302</v>
      </c>
      <c r="AH24">
        <f t="shared" si="25"/>
        <v>21.450086158663449</v>
      </c>
      <c r="AI24">
        <v>454.78400885666832</v>
      </c>
      <c r="AJ24">
        <v>428.73232727272728</v>
      </c>
      <c r="AK24">
        <v>-3.6516229634477843E-2</v>
      </c>
      <c r="AL24">
        <v>67.075832416325952</v>
      </c>
      <c r="AM24">
        <f t="shared" si="26"/>
        <v>1.1454747132439913</v>
      </c>
      <c r="AN24">
        <v>19.308317353073601</v>
      </c>
      <c r="AO24">
        <v>20.654763636363629</v>
      </c>
      <c r="AP24">
        <v>-4.6785758459308617E-5</v>
      </c>
      <c r="AQ24">
        <v>78.55</v>
      </c>
      <c r="AR24">
        <v>0</v>
      </c>
      <c r="AS24">
        <v>0</v>
      </c>
      <c r="AT24">
        <f t="shared" si="27"/>
        <v>1</v>
      </c>
      <c r="AU24">
        <f t="shared" si="28"/>
        <v>0</v>
      </c>
      <c r="AV24">
        <f t="shared" si="29"/>
        <v>52466.84145480609</v>
      </c>
      <c r="AW24" t="s">
        <v>577</v>
      </c>
      <c r="AX24">
        <v>5096.58</v>
      </c>
      <c r="AY24">
        <v>563.61176470588236</v>
      </c>
      <c r="AZ24">
        <v>2395.3200000000002</v>
      </c>
      <c r="BA24">
        <f t="shared" si="30"/>
        <v>0.76470293542997081</v>
      </c>
      <c r="BB24">
        <v>-3.4864551676958428</v>
      </c>
      <c r="BC24" t="s">
        <v>606</v>
      </c>
      <c r="BD24">
        <v>5088.43</v>
      </c>
      <c r="BE24">
        <v>781.89941176470597</v>
      </c>
      <c r="BF24">
        <v>1655.97</v>
      </c>
      <c r="BG24">
        <f t="shared" si="31"/>
        <v>0.52782996566078744</v>
      </c>
      <c r="BH24">
        <v>0.5</v>
      </c>
      <c r="BI24">
        <f t="shared" si="32"/>
        <v>336.32687118333456</v>
      </c>
      <c r="BJ24">
        <f t="shared" si="33"/>
        <v>21.277477303214948</v>
      </c>
      <c r="BK24">
        <f t="shared" si="34"/>
        <v>88.76170043374978</v>
      </c>
      <c r="BL24">
        <f t="shared" si="35"/>
        <v>7.3630549898618614E-2</v>
      </c>
      <c r="BM24">
        <f t="shared" si="36"/>
        <v>0.44647547962825423</v>
      </c>
      <c r="BN24">
        <f t="shared" si="37"/>
        <v>510.03080041101282</v>
      </c>
      <c r="BO24" t="s">
        <v>407</v>
      </c>
      <c r="BP24">
        <v>0</v>
      </c>
      <c r="BQ24">
        <f t="shared" si="38"/>
        <v>510.03080041101282</v>
      </c>
      <c r="BR24">
        <f t="shared" si="39"/>
        <v>0.69200480660216501</v>
      </c>
      <c r="BS24">
        <f t="shared" si="40"/>
        <v>0.7627547679220642</v>
      </c>
      <c r="BT24">
        <f t="shared" si="41"/>
        <v>0.39216794970298785</v>
      </c>
      <c r="BU24">
        <f t="shared" si="42"/>
        <v>0.80016844291007749</v>
      </c>
      <c r="BV24">
        <f t="shared" si="43"/>
        <v>0.40363961124042363</v>
      </c>
      <c r="BW24">
        <f t="shared" si="44"/>
        <v>0.497542802753349</v>
      </c>
      <c r="BX24">
        <f t="shared" si="45"/>
        <v>0.50245719724665094</v>
      </c>
      <c r="DG24">
        <f t="shared" si="46"/>
        <v>400.03663333333333</v>
      </c>
      <c r="DH24">
        <f t="shared" si="47"/>
        <v>336.32687118333456</v>
      </c>
      <c r="DI24">
        <f t="shared" si="48"/>
        <v>0.84074018017016916</v>
      </c>
      <c r="DJ24">
        <f t="shared" si="49"/>
        <v>0.1610285477284264</v>
      </c>
      <c r="DK24">
        <v>6</v>
      </c>
      <c r="DL24">
        <v>0.5</v>
      </c>
      <c r="DM24" t="s">
        <v>408</v>
      </c>
      <c r="DN24">
        <v>2</v>
      </c>
      <c r="DO24" t="b">
        <v>0</v>
      </c>
      <c r="DP24">
        <v>1783873515.849999</v>
      </c>
      <c r="DQ24">
        <v>419.97953333333339</v>
      </c>
      <c r="DR24">
        <v>446.09216666666663</v>
      </c>
      <c r="DS24">
        <v>20.663376666666672</v>
      </c>
      <c r="DT24">
        <v>19.310613333333329</v>
      </c>
      <c r="DU24">
        <v>425.80413333333331</v>
      </c>
      <c r="DV24">
        <v>21.250466666666661</v>
      </c>
      <c r="DW24">
        <v>500.00900000000001</v>
      </c>
      <c r="DX24">
        <v>98.516469999999984</v>
      </c>
      <c r="DY24">
        <v>6.0902320000000003E-2</v>
      </c>
      <c r="DZ24">
        <v>24.837019999999999</v>
      </c>
      <c r="EA24">
        <v>25.084463333333339</v>
      </c>
      <c r="EB24">
        <v>999.9000000000002</v>
      </c>
      <c r="EC24">
        <v>0</v>
      </c>
      <c r="ED24">
        <v>0</v>
      </c>
      <c r="EE24">
        <v>9999.1666666666661</v>
      </c>
      <c r="EF24">
        <v>0</v>
      </c>
      <c r="EG24">
        <v>823.62146666666695</v>
      </c>
      <c r="EH24">
        <v>-26.11262666666666</v>
      </c>
      <c r="EI24">
        <v>428.84086666666673</v>
      </c>
      <c r="EJ24">
        <v>454.87619999999998</v>
      </c>
      <c r="EK24">
        <v>1.3527696666666671</v>
      </c>
      <c r="EL24">
        <v>446.09216666666663</v>
      </c>
      <c r="EM24">
        <v>19.310613333333329</v>
      </c>
      <c r="EN24">
        <v>2.0356836666666669</v>
      </c>
      <c r="EO24">
        <v>1.902413333333334</v>
      </c>
      <c r="EP24">
        <v>17.724646666666668</v>
      </c>
      <c r="EQ24">
        <v>16.654689999999999</v>
      </c>
      <c r="ER24">
        <v>400.03663333333333</v>
      </c>
      <c r="ES24">
        <v>0.97501596666666657</v>
      </c>
      <c r="ET24">
        <v>2.4984390000000009E-2</v>
      </c>
      <c r="EU24">
        <v>0</v>
      </c>
      <c r="EV24">
        <v>781.9876999999999</v>
      </c>
      <c r="EW24">
        <v>5.0010700000000003</v>
      </c>
      <c r="EX24">
        <v>10430.40266666667</v>
      </c>
      <c r="EY24">
        <v>3584.0283333333332</v>
      </c>
      <c r="EZ24">
        <v>39.839299999999987</v>
      </c>
      <c r="FA24">
        <v>42.976899999999979</v>
      </c>
      <c r="FB24">
        <v>41.835099999999983</v>
      </c>
      <c r="FC24">
        <v>42.680799999999977</v>
      </c>
      <c r="FD24">
        <v>41.478899999999967</v>
      </c>
      <c r="FE24">
        <v>385.16666666666657</v>
      </c>
      <c r="FF24">
        <v>9.870000000000001</v>
      </c>
      <c r="FG24">
        <v>0</v>
      </c>
      <c r="FH24">
        <v>181.20000004768369</v>
      </c>
      <c r="FI24">
        <v>0</v>
      </c>
      <c r="FJ24">
        <v>781.89941176470597</v>
      </c>
      <c r="FK24">
        <v>-3.1627451384385932</v>
      </c>
      <c r="FL24">
        <v>7824.2426773333154</v>
      </c>
      <c r="FM24">
        <v>10705.19294117647</v>
      </c>
      <c r="FN24">
        <v>10</v>
      </c>
      <c r="FO24">
        <v>1783873437.5999999</v>
      </c>
      <c r="FP24" t="s">
        <v>607</v>
      </c>
      <c r="FQ24">
        <v>1783873429.5999999</v>
      </c>
      <c r="FR24">
        <v>1783873437.5999999</v>
      </c>
      <c r="FS24">
        <v>23</v>
      </c>
      <c r="FT24">
        <v>5.8999999999999997E-2</v>
      </c>
      <c r="FU24">
        <v>-0.03</v>
      </c>
      <c r="FV24">
        <v>-5.9260000000000002</v>
      </c>
      <c r="FW24">
        <v>-0.627</v>
      </c>
      <c r="FX24">
        <v>447</v>
      </c>
      <c r="FY24">
        <v>19</v>
      </c>
      <c r="FZ24">
        <v>0.38</v>
      </c>
      <c r="GA24">
        <v>0.16</v>
      </c>
      <c r="GB24">
        <v>419.98303225806461</v>
      </c>
      <c r="GC24">
        <v>-0.2176451612908557</v>
      </c>
      <c r="GD24">
        <v>5.4411504873905982E-2</v>
      </c>
      <c r="GE24">
        <v>-1</v>
      </c>
      <c r="GF24">
        <v>782.16514705882355</v>
      </c>
      <c r="GG24">
        <v>-2.9737356827669248</v>
      </c>
      <c r="GH24">
        <v>0.34709289588480408</v>
      </c>
      <c r="GI24">
        <v>1</v>
      </c>
      <c r="GJ24">
        <v>1.35395512195122</v>
      </c>
      <c r="GK24">
        <v>-2.224599303135864E-2</v>
      </c>
      <c r="GL24">
        <v>4.541483652465989E-3</v>
      </c>
      <c r="GM24">
        <v>1</v>
      </c>
      <c r="GN24">
        <v>2</v>
      </c>
      <c r="GO24">
        <v>2</v>
      </c>
      <c r="GP24" t="s">
        <v>423</v>
      </c>
      <c r="GQ24">
        <v>3.1302599999999998</v>
      </c>
      <c r="GR24">
        <v>2.73569</v>
      </c>
      <c r="GS24">
        <v>9.1679800000000006E-2</v>
      </c>
      <c r="GT24">
        <v>9.5716999999999997E-2</v>
      </c>
      <c r="GU24">
        <v>0.102883</v>
      </c>
      <c r="GV24">
        <v>9.6504999999999994E-2</v>
      </c>
      <c r="GW24">
        <v>22738.400000000001</v>
      </c>
      <c r="GX24">
        <v>30334.2</v>
      </c>
      <c r="GY24">
        <v>27163</v>
      </c>
      <c r="GZ24">
        <v>34505.9</v>
      </c>
      <c r="HA24">
        <v>35701.800000000003</v>
      </c>
      <c r="HB24">
        <v>39500.1</v>
      </c>
      <c r="HC24">
        <v>40117.4</v>
      </c>
      <c r="HD24">
        <v>43796.9</v>
      </c>
      <c r="HE24">
        <v>1.952</v>
      </c>
      <c r="HF24">
        <v>1.6728000000000001</v>
      </c>
      <c r="HG24">
        <v>-8.1062300000000004E-2</v>
      </c>
      <c r="HH24">
        <v>0</v>
      </c>
      <c r="HI24">
        <v>26.447500000000002</v>
      </c>
      <c r="HJ24">
        <v>999.9</v>
      </c>
      <c r="HK24">
        <v>46.5</v>
      </c>
      <c r="HL24">
        <v>46.7</v>
      </c>
      <c r="HM24">
        <v>49.637599999999999</v>
      </c>
      <c r="HN24">
        <v>61.165399999999998</v>
      </c>
      <c r="HO24">
        <v>7.1394200000000003</v>
      </c>
      <c r="HP24">
        <v>1</v>
      </c>
      <c r="HQ24">
        <v>0.69784599999999997</v>
      </c>
      <c r="HR24">
        <v>6.492</v>
      </c>
      <c r="HS24">
        <v>20.154900000000001</v>
      </c>
      <c r="HT24">
        <v>5.2100999999999997</v>
      </c>
      <c r="HU24">
        <v>11.914099999999999</v>
      </c>
      <c r="HV24">
        <v>4.9843999999999999</v>
      </c>
      <c r="HW24">
        <v>3.2704</v>
      </c>
      <c r="HX24">
        <v>9999</v>
      </c>
      <c r="HY24">
        <v>9999</v>
      </c>
      <c r="HZ24">
        <v>9999</v>
      </c>
      <c r="IA24">
        <v>999.9</v>
      </c>
      <c r="IB24">
        <v>1.8673999999999999</v>
      </c>
      <c r="IC24">
        <v>1.8632500000000001</v>
      </c>
      <c r="ID24">
        <v>1.86267</v>
      </c>
      <c r="IE24">
        <v>1.8621799999999999</v>
      </c>
      <c r="IF24">
        <v>1.8622099999999999</v>
      </c>
      <c r="IG24">
        <v>1.8626400000000001</v>
      </c>
      <c r="IH24">
        <v>1.8636200000000001</v>
      </c>
      <c r="II24">
        <v>1.8615699999999999</v>
      </c>
      <c r="IJ24">
        <v>0</v>
      </c>
      <c r="IK24">
        <v>0</v>
      </c>
      <c r="IL24">
        <v>0</v>
      </c>
      <c r="IM24">
        <v>4.5</v>
      </c>
      <c r="IN24" t="s">
        <v>411</v>
      </c>
      <c r="IO24" t="s">
        <v>412</v>
      </c>
      <c r="IP24" t="s">
        <v>413</v>
      </c>
      <c r="IQ24" t="s">
        <v>414</v>
      </c>
      <c r="IR24" t="s">
        <v>414</v>
      </c>
      <c r="IS24" t="s">
        <v>413</v>
      </c>
      <c r="IT24">
        <v>0</v>
      </c>
      <c r="IU24">
        <v>100</v>
      </c>
      <c r="IV24">
        <v>100</v>
      </c>
      <c r="IW24">
        <v>-5.8239999999999998</v>
      </c>
      <c r="IX24">
        <v>-0.58740000000000003</v>
      </c>
      <c r="IY24">
        <v>-3.8376754808847711</v>
      </c>
      <c r="IZ24">
        <v>-5.6215304933332991E-3</v>
      </c>
      <c r="JA24">
        <v>2.3979931213773931E-6</v>
      </c>
      <c r="JB24">
        <v>-3.6297174575716598E-10</v>
      </c>
      <c r="JC24">
        <v>-0.90545856005958592</v>
      </c>
      <c r="JD24">
        <v>2.7492919904454862E-4</v>
      </c>
      <c r="JE24">
        <v>8.6739513355948885E-4</v>
      </c>
      <c r="JF24">
        <v>-8.2500691715147318E-6</v>
      </c>
      <c r="JG24">
        <v>17</v>
      </c>
      <c r="JH24">
        <v>1914</v>
      </c>
      <c r="JI24">
        <v>2</v>
      </c>
      <c r="JJ24">
        <v>37</v>
      </c>
      <c r="JK24">
        <v>1.6</v>
      </c>
      <c r="JL24">
        <v>1.4</v>
      </c>
      <c r="JM24">
        <v>1.1425799999999999</v>
      </c>
      <c r="JN24">
        <v>2.5903299999999998</v>
      </c>
      <c r="JO24">
        <v>1.50024</v>
      </c>
      <c r="JP24">
        <v>2.2644000000000002</v>
      </c>
      <c r="JQ24">
        <v>1.4477500000000001</v>
      </c>
      <c r="JR24">
        <v>2.47803</v>
      </c>
      <c r="JS24">
        <v>50.51</v>
      </c>
      <c r="JT24">
        <v>14.4122</v>
      </c>
      <c r="JU24">
        <v>18</v>
      </c>
      <c r="JV24">
        <v>547.22</v>
      </c>
      <c r="JW24">
        <v>381.93200000000002</v>
      </c>
      <c r="JX24">
        <v>20.849299999999999</v>
      </c>
      <c r="JY24">
        <v>35.484400000000001</v>
      </c>
      <c r="JZ24">
        <v>30.0002</v>
      </c>
      <c r="KA24">
        <v>35.7271</v>
      </c>
      <c r="KB24">
        <v>35.759700000000002</v>
      </c>
      <c r="KC24">
        <v>22.840800000000002</v>
      </c>
      <c r="KD24">
        <v>57.4968</v>
      </c>
      <c r="KE24">
        <v>0</v>
      </c>
      <c r="KF24">
        <v>20.845400000000001</v>
      </c>
      <c r="KG24">
        <v>446.22199999999998</v>
      </c>
      <c r="KH24">
        <v>19.337499999999999</v>
      </c>
      <c r="KI24">
        <v>100.258</v>
      </c>
      <c r="KJ24">
        <v>98.521600000000007</v>
      </c>
    </row>
    <row r="25" spans="1:296" x14ac:dyDescent="0.3">
      <c r="A25">
        <v>9</v>
      </c>
      <c r="B25">
        <v>1783873706.0999999</v>
      </c>
      <c r="C25">
        <v>1487</v>
      </c>
      <c r="D25" t="s">
        <v>608</v>
      </c>
      <c r="E25" t="s">
        <v>609</v>
      </c>
      <c r="F25">
        <v>15</v>
      </c>
      <c r="H25">
        <v>1783873698.349999</v>
      </c>
      <c r="I25">
        <f t="shared" si="0"/>
        <v>1.5277619084375065E-3</v>
      </c>
      <c r="J25">
        <f t="shared" si="1"/>
        <v>1.5277619084375065</v>
      </c>
      <c r="K25">
        <f t="shared" si="2"/>
        <v>17.884757220269687</v>
      </c>
      <c r="L25">
        <f t="shared" si="3"/>
        <v>420.22770000000003</v>
      </c>
      <c r="M25">
        <f t="shared" si="4"/>
        <v>184.94836879667014</v>
      </c>
      <c r="N25">
        <f t="shared" si="5"/>
        <v>18.231739872273899</v>
      </c>
      <c r="O25">
        <f t="shared" si="6"/>
        <v>41.424978026958911</v>
      </c>
      <c r="P25">
        <f t="shared" si="7"/>
        <v>0.12736706522671673</v>
      </c>
      <c r="Q25">
        <f t="shared" si="8"/>
        <v>2.9034088264325266</v>
      </c>
      <c r="R25">
        <f t="shared" si="9"/>
        <v>0.12434248816353999</v>
      </c>
      <c r="S25">
        <f t="shared" si="10"/>
        <v>7.7979819133865258E-2</v>
      </c>
      <c r="T25">
        <f t="shared" si="11"/>
        <v>48.445168842607714</v>
      </c>
      <c r="U25">
        <f t="shared" si="12"/>
        <v>24.34410602973356</v>
      </c>
      <c r="V25">
        <f t="shared" si="13"/>
        <v>25.03091666666667</v>
      </c>
      <c r="W25">
        <f t="shared" si="14"/>
        <v>3.1855431689464986</v>
      </c>
      <c r="X25">
        <f t="shared" si="15"/>
        <v>65.176706361761887</v>
      </c>
      <c r="Y25">
        <f t="shared" si="16"/>
        <v>2.0062441331741976</v>
      </c>
      <c r="Z25">
        <f t="shared" si="17"/>
        <v>3.0781612713575663</v>
      </c>
      <c r="AA25">
        <f t="shared" si="18"/>
        <v>1.179299035772301</v>
      </c>
      <c r="AB25">
        <f t="shared" si="19"/>
        <v>-67.37430016209403</v>
      </c>
      <c r="AC25">
        <f t="shared" si="20"/>
        <v>-89.855229426294329</v>
      </c>
      <c r="AD25">
        <f t="shared" si="21"/>
        <v>-6.5294313126885033</v>
      </c>
      <c r="AE25">
        <f t="shared" si="22"/>
        <v>-115.31379205846915</v>
      </c>
      <c r="AF25">
        <f t="shared" si="23"/>
        <v>17.884757220269687</v>
      </c>
      <c r="AG25">
        <f t="shared" si="24"/>
        <v>1.5277619084375065</v>
      </c>
      <c r="AH25">
        <f t="shared" si="25"/>
        <v>17.74959197536737</v>
      </c>
      <c r="AI25">
        <v>450.66917305513431</v>
      </c>
      <c r="AJ25">
        <v>428.9834181818178</v>
      </c>
      <c r="AK25">
        <v>-2.9326047628084289E-3</v>
      </c>
      <c r="AL25">
        <v>67.075832416325952</v>
      </c>
      <c r="AM25">
        <f t="shared" si="26"/>
        <v>1.4706516871095496</v>
      </c>
      <c r="AN25">
        <v>18.56002753225108</v>
      </c>
      <c r="AO25">
        <v>20.335252727272721</v>
      </c>
      <c r="AP25">
        <v>-7.4172467532459124E-3</v>
      </c>
      <c r="AQ25">
        <v>78.55</v>
      </c>
      <c r="AR25">
        <v>0</v>
      </c>
      <c r="AS25">
        <v>0</v>
      </c>
      <c r="AT25">
        <f t="shared" si="27"/>
        <v>1</v>
      </c>
      <c r="AU25">
        <f t="shared" si="28"/>
        <v>0</v>
      </c>
      <c r="AV25">
        <f t="shared" si="29"/>
        <v>52538.549042016901</v>
      </c>
      <c r="AW25" t="s">
        <v>577</v>
      </c>
      <c r="AX25">
        <v>5096.58</v>
      </c>
      <c r="AY25">
        <v>563.61176470588236</v>
      </c>
      <c r="AZ25">
        <v>2395.3200000000002</v>
      </c>
      <c r="BA25">
        <f t="shared" si="30"/>
        <v>0.76470293542997081</v>
      </c>
      <c r="BB25">
        <v>-3.4864551676958428</v>
      </c>
      <c r="BC25" t="s">
        <v>610</v>
      </c>
      <c r="BD25">
        <v>5091.6499999999996</v>
      </c>
      <c r="BE25">
        <v>780.8957058823529</v>
      </c>
      <c r="BF25">
        <v>1841.61</v>
      </c>
      <c r="BG25">
        <f t="shared" si="31"/>
        <v>0.57597118505962008</v>
      </c>
      <c r="BH25">
        <v>0.5</v>
      </c>
      <c r="BI25">
        <f t="shared" si="32"/>
        <v>252.30063384591068</v>
      </c>
      <c r="BJ25">
        <f t="shared" si="33"/>
        <v>17.884757220269687</v>
      </c>
      <c r="BK25">
        <f t="shared" si="34"/>
        <v>72.658947533761236</v>
      </c>
      <c r="BL25">
        <f t="shared" si="35"/>
        <v>8.4705345611686897E-2</v>
      </c>
      <c r="BM25">
        <f t="shared" si="36"/>
        <v>0.30066626484434833</v>
      </c>
      <c r="BN25">
        <f t="shared" si="37"/>
        <v>526.3730360446591</v>
      </c>
      <c r="BO25" t="s">
        <v>407</v>
      </c>
      <c r="BP25">
        <v>0</v>
      </c>
      <c r="BQ25">
        <f t="shared" si="38"/>
        <v>526.3730360446591</v>
      </c>
      <c r="BR25">
        <f t="shared" si="39"/>
        <v>0.71417779223361122</v>
      </c>
      <c r="BS25">
        <f t="shared" si="40"/>
        <v>0.80648151107899058</v>
      </c>
      <c r="BT25">
        <f t="shared" si="41"/>
        <v>0.29626843922213691</v>
      </c>
      <c r="BU25">
        <f t="shared" si="42"/>
        <v>0.82998103191710215</v>
      </c>
      <c r="BV25">
        <f t="shared" si="43"/>
        <v>0.30229159280440254</v>
      </c>
      <c r="BW25">
        <f t="shared" si="44"/>
        <v>0.54361948503848978</v>
      </c>
      <c r="BX25">
        <f t="shared" si="45"/>
        <v>0.45638051496151022</v>
      </c>
      <c r="DG25">
        <f t="shared" si="46"/>
        <v>300.01029999999997</v>
      </c>
      <c r="DH25">
        <f t="shared" si="47"/>
        <v>252.30063384591068</v>
      </c>
      <c r="DI25">
        <f t="shared" si="48"/>
        <v>0.84097323940514945</v>
      </c>
      <c r="DJ25">
        <f t="shared" si="49"/>
        <v>0.16147835205193861</v>
      </c>
      <c r="DK25">
        <v>6</v>
      </c>
      <c r="DL25">
        <v>0.5</v>
      </c>
      <c r="DM25" t="s">
        <v>408</v>
      </c>
      <c r="DN25">
        <v>2</v>
      </c>
      <c r="DO25" t="b">
        <v>0</v>
      </c>
      <c r="DP25">
        <v>1783873698.349999</v>
      </c>
      <c r="DQ25">
        <v>420.22770000000003</v>
      </c>
      <c r="DR25">
        <v>442.459</v>
      </c>
      <c r="DS25">
        <v>20.35195666666667</v>
      </c>
      <c r="DT25">
        <v>18.55602</v>
      </c>
      <c r="DU25">
        <v>426.05326666666667</v>
      </c>
      <c r="DV25">
        <v>20.978956666666669</v>
      </c>
      <c r="DW25">
        <v>500.01839999999999</v>
      </c>
      <c r="DX25">
        <v>98.517323333333351</v>
      </c>
      <c r="DY25">
        <v>6.0133666666666669E-2</v>
      </c>
      <c r="DZ25">
        <v>24.45686666666667</v>
      </c>
      <c r="EA25">
        <v>25.03091666666667</v>
      </c>
      <c r="EB25">
        <v>999.9000000000002</v>
      </c>
      <c r="EC25">
        <v>0</v>
      </c>
      <c r="ED25">
        <v>0</v>
      </c>
      <c r="EE25">
        <v>10000</v>
      </c>
      <c r="EF25">
        <v>0</v>
      </c>
      <c r="EG25">
        <v>379.7921</v>
      </c>
      <c r="EH25">
        <v>-22.23124</v>
      </c>
      <c r="EI25">
        <v>428.97216666666662</v>
      </c>
      <c r="EJ25">
        <v>450.8245</v>
      </c>
      <c r="EK25">
        <v>1.8288249999999999</v>
      </c>
      <c r="EL25">
        <v>442.459</v>
      </c>
      <c r="EM25">
        <v>18.55602</v>
      </c>
      <c r="EN25">
        <v>2.008261333333333</v>
      </c>
      <c r="EO25">
        <v>1.8280893333333339</v>
      </c>
      <c r="EP25">
        <v>17.50959666666667</v>
      </c>
      <c r="EQ25">
        <v>16.02906333333333</v>
      </c>
      <c r="ER25">
        <v>300.01029999999997</v>
      </c>
      <c r="ES25">
        <v>0.96700136666666658</v>
      </c>
      <c r="ET25">
        <v>3.2998283333333329E-2</v>
      </c>
      <c r="EU25">
        <v>0</v>
      </c>
      <c r="EV25">
        <v>781.31860000000006</v>
      </c>
      <c r="EW25">
        <v>5.0010700000000003</v>
      </c>
      <c r="EX25">
        <v>9567.0313333333306</v>
      </c>
      <c r="EY25">
        <v>2668.1203333333328</v>
      </c>
      <c r="EZ25">
        <v>39.561999999999983</v>
      </c>
      <c r="FA25">
        <v>43.074599999999982</v>
      </c>
      <c r="FB25">
        <v>41.686999999999983</v>
      </c>
      <c r="FC25">
        <v>42.629133333333328</v>
      </c>
      <c r="FD25">
        <v>41.237399999999987</v>
      </c>
      <c r="FE25">
        <v>285.27466666666669</v>
      </c>
      <c r="FF25">
        <v>9.7326666666666668</v>
      </c>
      <c r="FG25">
        <v>0</v>
      </c>
      <c r="FH25">
        <v>182</v>
      </c>
      <c r="FI25">
        <v>0</v>
      </c>
      <c r="FJ25">
        <v>780.8957058823529</v>
      </c>
      <c r="FK25">
        <v>-8.2397058646165426</v>
      </c>
      <c r="FL25">
        <v>-516.18873222463776</v>
      </c>
      <c r="FM25">
        <v>9511.3741176470594</v>
      </c>
      <c r="FN25">
        <v>10</v>
      </c>
      <c r="FO25">
        <v>1783873727.0999999</v>
      </c>
      <c r="FP25" t="s">
        <v>611</v>
      </c>
      <c r="FQ25">
        <v>1783873429.5999999</v>
      </c>
      <c r="FR25">
        <v>1783873727.0999999</v>
      </c>
      <c r="FS25">
        <v>24</v>
      </c>
      <c r="FT25">
        <v>5.8999999999999997E-2</v>
      </c>
      <c r="FU25">
        <v>1.2E-2</v>
      </c>
      <c r="FV25">
        <v>-5.9260000000000002</v>
      </c>
      <c r="FW25">
        <v>-0.627</v>
      </c>
      <c r="FX25">
        <v>447</v>
      </c>
      <c r="FY25">
        <v>19</v>
      </c>
      <c r="FZ25">
        <v>0.38</v>
      </c>
      <c r="GA25">
        <v>0.12</v>
      </c>
      <c r="GB25">
        <v>420.22548387096771</v>
      </c>
      <c r="GC25">
        <v>0.219387096773839</v>
      </c>
      <c r="GD25">
        <v>5.7908643829542021E-2</v>
      </c>
      <c r="GE25">
        <v>-1</v>
      </c>
      <c r="GF25">
        <v>781.85788235294115</v>
      </c>
      <c r="GG25">
        <v>-8.7048128340746889</v>
      </c>
      <c r="GH25">
        <v>0.86894086188490371</v>
      </c>
      <c r="GI25">
        <v>1</v>
      </c>
      <c r="GJ25">
        <v>1.8407282926829269</v>
      </c>
      <c r="GK25">
        <v>-0.20815254355400259</v>
      </c>
      <c r="GL25">
        <v>3.11043635792542E-2</v>
      </c>
      <c r="GM25">
        <v>1</v>
      </c>
      <c r="GN25">
        <v>2</v>
      </c>
      <c r="GO25">
        <v>2</v>
      </c>
      <c r="GP25" t="s">
        <v>423</v>
      </c>
      <c r="GQ25">
        <v>3.1302099999999999</v>
      </c>
      <c r="GR25">
        <v>2.7365499999999998</v>
      </c>
      <c r="GS25">
        <v>9.1743500000000006E-2</v>
      </c>
      <c r="GT25">
        <v>9.5137100000000002E-2</v>
      </c>
      <c r="GU25">
        <v>0.10181</v>
      </c>
      <c r="GV25">
        <v>9.3803200000000003E-2</v>
      </c>
      <c r="GW25">
        <v>22738.7</v>
      </c>
      <c r="GX25">
        <v>30356.799999999999</v>
      </c>
      <c r="GY25">
        <v>27165.3</v>
      </c>
      <c r="GZ25">
        <v>34509.699999999997</v>
      </c>
      <c r="HA25">
        <v>35747.9</v>
      </c>
      <c r="HB25">
        <v>39621</v>
      </c>
      <c r="HC25">
        <v>40121.300000000003</v>
      </c>
      <c r="HD25">
        <v>43800.1</v>
      </c>
      <c r="HE25">
        <v>1.9534</v>
      </c>
      <c r="HF25">
        <v>1.6704000000000001</v>
      </c>
      <c r="HG25">
        <v>-0.12484199999999999</v>
      </c>
      <c r="HH25">
        <v>0</v>
      </c>
      <c r="HI25">
        <v>27.0822</v>
      </c>
      <c r="HJ25">
        <v>999.9</v>
      </c>
      <c r="HK25">
        <v>46.2</v>
      </c>
      <c r="HL25">
        <v>46.8</v>
      </c>
      <c r="HM25">
        <v>49.572200000000002</v>
      </c>
      <c r="HN25">
        <v>61.195500000000003</v>
      </c>
      <c r="HO25">
        <v>7.0993599999999999</v>
      </c>
      <c r="HP25">
        <v>1</v>
      </c>
      <c r="HQ25">
        <v>0.70646299999999995</v>
      </c>
      <c r="HR25">
        <v>8.3459699999999994</v>
      </c>
      <c r="HS25">
        <v>20.081299999999999</v>
      </c>
      <c r="HT25">
        <v>5.2100999999999997</v>
      </c>
      <c r="HU25">
        <v>11.914099999999999</v>
      </c>
      <c r="HV25">
        <v>4.984</v>
      </c>
      <c r="HW25">
        <v>3.2709999999999999</v>
      </c>
      <c r="HX25">
        <v>9999</v>
      </c>
      <c r="HY25">
        <v>9999</v>
      </c>
      <c r="HZ25">
        <v>9999</v>
      </c>
      <c r="IA25">
        <v>999.9</v>
      </c>
      <c r="IB25">
        <v>1.86737</v>
      </c>
      <c r="IC25">
        <v>1.8631899999999999</v>
      </c>
      <c r="ID25">
        <v>1.8626400000000001</v>
      </c>
      <c r="IE25">
        <v>1.8621799999999999</v>
      </c>
      <c r="IF25">
        <v>1.8621799999999999</v>
      </c>
      <c r="IG25">
        <v>1.8626400000000001</v>
      </c>
      <c r="IH25">
        <v>1.8636200000000001</v>
      </c>
      <c r="II25">
        <v>1.8615699999999999</v>
      </c>
      <c r="IJ25">
        <v>0</v>
      </c>
      <c r="IK25">
        <v>0</v>
      </c>
      <c r="IL25">
        <v>0</v>
      </c>
      <c r="IM25">
        <v>4.5</v>
      </c>
      <c r="IN25" t="s">
        <v>411</v>
      </c>
      <c r="IO25" t="s">
        <v>412</v>
      </c>
      <c r="IP25" t="s">
        <v>413</v>
      </c>
      <c r="IQ25" t="s">
        <v>414</v>
      </c>
      <c r="IR25" t="s">
        <v>414</v>
      </c>
      <c r="IS25" t="s">
        <v>413</v>
      </c>
      <c r="IT25">
        <v>0</v>
      </c>
      <c r="IU25">
        <v>100</v>
      </c>
      <c r="IV25">
        <v>100</v>
      </c>
      <c r="IW25">
        <v>-5.8250000000000002</v>
      </c>
      <c r="IX25">
        <v>-0.627</v>
      </c>
      <c r="IY25">
        <v>-3.8376754808847711</v>
      </c>
      <c r="IZ25">
        <v>-5.6215304933332991E-3</v>
      </c>
      <c r="JA25">
        <v>2.3979931213773931E-6</v>
      </c>
      <c r="JB25">
        <v>-3.6297174575716598E-10</v>
      </c>
      <c r="JC25">
        <v>-0.90545856005958592</v>
      </c>
      <c r="JD25">
        <v>2.7492919904454862E-4</v>
      </c>
      <c r="JE25">
        <v>8.6739513355948885E-4</v>
      </c>
      <c r="JF25">
        <v>-8.2500691715147318E-6</v>
      </c>
      <c r="JG25">
        <v>17</v>
      </c>
      <c r="JH25">
        <v>1914</v>
      </c>
      <c r="JI25">
        <v>2</v>
      </c>
      <c r="JJ25">
        <v>37</v>
      </c>
      <c r="JK25">
        <v>4.5999999999999996</v>
      </c>
      <c r="JL25">
        <v>4.5</v>
      </c>
      <c r="JM25">
        <v>1.1340300000000001</v>
      </c>
      <c r="JN25">
        <v>2.6000999999999999</v>
      </c>
      <c r="JO25">
        <v>1.50024</v>
      </c>
      <c r="JP25">
        <v>2.2644000000000002</v>
      </c>
      <c r="JQ25">
        <v>1.4477500000000001</v>
      </c>
      <c r="JR25">
        <v>2.34619</v>
      </c>
      <c r="JS25">
        <v>50.51</v>
      </c>
      <c r="JT25">
        <v>14.2896</v>
      </c>
      <c r="JU25">
        <v>18</v>
      </c>
      <c r="JV25">
        <v>547.45899999999995</v>
      </c>
      <c r="JW25">
        <v>380.15300000000002</v>
      </c>
      <c r="JX25">
        <v>19.651800000000001</v>
      </c>
      <c r="JY25">
        <v>35.494199999999999</v>
      </c>
      <c r="JZ25">
        <v>30.001799999999999</v>
      </c>
      <c r="KA25">
        <v>35.639699999999998</v>
      </c>
      <c r="KB25">
        <v>35.689</v>
      </c>
      <c r="KC25">
        <v>22.685199999999998</v>
      </c>
      <c r="KD25">
        <v>58.431600000000003</v>
      </c>
      <c r="KE25">
        <v>0</v>
      </c>
      <c r="KF25">
        <v>19.633299999999998</v>
      </c>
      <c r="KG25">
        <v>442.32299999999998</v>
      </c>
      <c r="KH25">
        <v>18.5672</v>
      </c>
      <c r="KI25">
        <v>100.267</v>
      </c>
      <c r="KJ25">
        <v>98.530500000000004</v>
      </c>
    </row>
    <row r="26" spans="1:296" x14ac:dyDescent="0.3">
      <c r="A26">
        <v>10</v>
      </c>
      <c r="B26">
        <v>1783873908.5</v>
      </c>
      <c r="C26">
        <v>1689.400000095367</v>
      </c>
      <c r="D26" t="s">
        <v>612</v>
      </c>
      <c r="E26" t="s">
        <v>613</v>
      </c>
      <c r="F26">
        <v>15</v>
      </c>
      <c r="H26">
        <v>1783873900.5</v>
      </c>
      <c r="I26">
        <f t="shared" si="0"/>
        <v>6.3225304210575632E-4</v>
      </c>
      <c r="J26">
        <f t="shared" si="1"/>
        <v>0.63225304210575628</v>
      </c>
      <c r="K26">
        <f t="shared" si="2"/>
        <v>10.887001218353404</v>
      </c>
      <c r="L26">
        <f t="shared" si="3"/>
        <v>420.11441935483867</v>
      </c>
      <c r="M26">
        <f t="shared" si="4"/>
        <v>71.348815757119979</v>
      </c>
      <c r="N26">
        <f t="shared" si="5"/>
        <v>7.0332902962285617</v>
      </c>
      <c r="O26">
        <f t="shared" si="6"/>
        <v>41.413254552290475</v>
      </c>
      <c r="P26">
        <f t="shared" si="7"/>
        <v>5.1081749706283479E-2</v>
      </c>
      <c r="Q26">
        <f t="shared" si="8"/>
        <v>2.9033192909881915</v>
      </c>
      <c r="R26">
        <f t="shared" si="9"/>
        <v>5.0587659836524003E-2</v>
      </c>
      <c r="S26">
        <f t="shared" si="10"/>
        <v>3.1661281007032686E-2</v>
      </c>
      <c r="T26">
        <f t="shared" si="11"/>
        <v>32.483579612287613</v>
      </c>
      <c r="U26">
        <f t="shared" si="12"/>
        <v>24.379305718677116</v>
      </c>
      <c r="V26">
        <f t="shared" si="13"/>
        <v>25.007606451612901</v>
      </c>
      <c r="W26">
        <f t="shared" si="14"/>
        <v>3.1811198268630676</v>
      </c>
      <c r="X26">
        <f t="shared" si="15"/>
        <v>64.774211538705813</v>
      </c>
      <c r="Y26">
        <f t="shared" si="16"/>
        <v>1.9813595885496949</v>
      </c>
      <c r="Z26">
        <f t="shared" si="17"/>
        <v>3.0588710251852835</v>
      </c>
      <c r="AA26">
        <f t="shared" si="18"/>
        <v>1.1997602383133728</v>
      </c>
      <c r="AB26">
        <f t="shared" si="19"/>
        <v>-27.882359156863853</v>
      </c>
      <c r="AC26">
        <f t="shared" si="20"/>
        <v>-102.63464228433534</v>
      </c>
      <c r="AD26">
        <f t="shared" si="21"/>
        <v>-7.4534747524126352</v>
      </c>
      <c r="AE26">
        <f t="shared" si="22"/>
        <v>-105.48689658132422</v>
      </c>
      <c r="AF26">
        <f t="shared" si="23"/>
        <v>10.887001218353404</v>
      </c>
      <c r="AG26">
        <f t="shared" si="24"/>
        <v>0.63225304210575628</v>
      </c>
      <c r="AH26">
        <f t="shared" si="25"/>
        <v>10.817745212217659</v>
      </c>
      <c r="AI26">
        <v>441.92112858292529</v>
      </c>
      <c r="AJ26">
        <v>428.71777575757562</v>
      </c>
      <c r="AK26">
        <v>-6.3451645495945508E-3</v>
      </c>
      <c r="AL26">
        <v>67.073866506020721</v>
      </c>
      <c r="AM26">
        <f t="shared" si="26"/>
        <v>0.635265770400681</v>
      </c>
      <c r="AN26">
        <v>19.365685255281399</v>
      </c>
      <c r="AO26">
        <v>20.11149575757576</v>
      </c>
      <c r="AP26">
        <v>1.8568073593111279E-4</v>
      </c>
      <c r="AQ26">
        <v>78.55</v>
      </c>
      <c r="AR26">
        <v>0</v>
      </c>
      <c r="AS26">
        <v>0</v>
      </c>
      <c r="AT26">
        <f t="shared" si="27"/>
        <v>1</v>
      </c>
      <c r="AU26">
        <f t="shared" si="28"/>
        <v>0</v>
      </c>
      <c r="AV26">
        <f t="shared" si="29"/>
        <v>52554.470226183133</v>
      </c>
      <c r="AW26" t="s">
        <v>577</v>
      </c>
      <c r="AX26">
        <v>5096.58</v>
      </c>
      <c r="AY26">
        <v>563.61176470588236</v>
      </c>
      <c r="AZ26">
        <v>2395.3200000000002</v>
      </c>
      <c r="BA26">
        <f t="shared" si="30"/>
        <v>0.76470293542997081</v>
      </c>
      <c r="BB26">
        <v>-3.4864551676958428</v>
      </c>
      <c r="BC26" t="s">
        <v>614</v>
      </c>
      <c r="BD26">
        <v>5091.62</v>
      </c>
      <c r="BE26">
        <v>760.55535294117647</v>
      </c>
      <c r="BF26">
        <v>1922.43</v>
      </c>
      <c r="BG26">
        <f t="shared" si="31"/>
        <v>0.60437812927327572</v>
      </c>
      <c r="BH26">
        <v>0.5</v>
      </c>
      <c r="BI26">
        <f t="shared" si="32"/>
        <v>168.29022682903081</v>
      </c>
      <c r="BJ26">
        <f t="shared" si="33"/>
        <v>10.887001218353404</v>
      </c>
      <c r="BK26">
        <f t="shared" si="34"/>
        <v>50.855466232952438</v>
      </c>
      <c r="BL26">
        <f t="shared" si="35"/>
        <v>8.540874094044397E-2</v>
      </c>
      <c r="BM26">
        <f t="shared" si="36"/>
        <v>0.24598554953886492</v>
      </c>
      <c r="BN26">
        <f t="shared" si="37"/>
        <v>532.77492381138109</v>
      </c>
      <c r="BO26" t="s">
        <v>407</v>
      </c>
      <c r="BP26">
        <v>0</v>
      </c>
      <c r="BQ26">
        <f t="shared" si="38"/>
        <v>532.77492381138109</v>
      </c>
      <c r="BR26">
        <f t="shared" si="39"/>
        <v>0.72286381100410368</v>
      </c>
      <c r="BS26">
        <f t="shared" si="40"/>
        <v>0.83608851359394543</v>
      </c>
      <c r="BT26">
        <f t="shared" si="41"/>
        <v>0.25389452639057136</v>
      </c>
      <c r="BU26">
        <f t="shared" si="42"/>
        <v>0.85506259548197372</v>
      </c>
      <c r="BV26">
        <f t="shared" si="43"/>
        <v>0.25816884528232087</v>
      </c>
      <c r="BW26">
        <f t="shared" si="44"/>
        <v>0.58568648870457329</v>
      </c>
      <c r="BX26">
        <f t="shared" si="45"/>
        <v>0.41431351129542671</v>
      </c>
      <c r="DG26">
        <f t="shared" si="46"/>
        <v>199.99764516129031</v>
      </c>
      <c r="DH26">
        <f t="shared" si="47"/>
        <v>168.29022682903081</v>
      </c>
      <c r="DI26">
        <f t="shared" si="48"/>
        <v>0.84146104167032221</v>
      </c>
      <c r="DJ26">
        <f t="shared" si="49"/>
        <v>0.16241981042372211</v>
      </c>
      <c r="DK26">
        <v>6</v>
      </c>
      <c r="DL26">
        <v>0.5</v>
      </c>
      <c r="DM26" t="s">
        <v>408</v>
      </c>
      <c r="DN26">
        <v>2</v>
      </c>
      <c r="DO26" t="b">
        <v>0</v>
      </c>
      <c r="DP26">
        <v>1783873900.5</v>
      </c>
      <c r="DQ26">
        <v>420.11441935483867</v>
      </c>
      <c r="DR26">
        <v>433.49729032258068</v>
      </c>
      <c r="DS26">
        <v>20.099790322580649</v>
      </c>
      <c r="DT26">
        <v>19.356351612903229</v>
      </c>
      <c r="DU26">
        <v>425.94041935483881</v>
      </c>
      <c r="DV26">
        <v>20.692719354838701</v>
      </c>
      <c r="DW26">
        <v>500.01019354838712</v>
      </c>
      <c r="DX26">
        <v>98.515448387096768</v>
      </c>
      <c r="DY26">
        <v>6.0683838709677418E-2</v>
      </c>
      <c r="DZ26">
        <v>24.3518935483871</v>
      </c>
      <c r="EA26">
        <v>25.007606451612901</v>
      </c>
      <c r="EB26">
        <v>999.90000000000032</v>
      </c>
      <c r="EC26">
        <v>0</v>
      </c>
      <c r="ED26">
        <v>0</v>
      </c>
      <c r="EE26">
        <v>9999.677419354839</v>
      </c>
      <c r="EF26">
        <v>0</v>
      </c>
      <c r="EG26">
        <v>855.34203225806448</v>
      </c>
      <c r="EH26">
        <v>-13.38279032258065</v>
      </c>
      <c r="EI26">
        <v>428.731870967742</v>
      </c>
      <c r="EJ26">
        <v>442.05377419354829</v>
      </c>
      <c r="EK26">
        <v>0.74344274193548376</v>
      </c>
      <c r="EL26">
        <v>433.49729032258068</v>
      </c>
      <c r="EM26">
        <v>19.356351612903229</v>
      </c>
      <c r="EN26">
        <v>1.9801403225806451</v>
      </c>
      <c r="EO26">
        <v>1.9069003225806449</v>
      </c>
      <c r="EP26">
        <v>17.286425806451611</v>
      </c>
      <c r="EQ26">
        <v>16.69176774193549</v>
      </c>
      <c r="ER26">
        <v>199.99764516129031</v>
      </c>
      <c r="ES26">
        <v>0.95003835483870991</v>
      </c>
      <c r="ET26">
        <v>4.9961177419354817E-2</v>
      </c>
      <c r="EU26">
        <v>0</v>
      </c>
      <c r="EV26">
        <v>760.75129032258053</v>
      </c>
      <c r="EW26">
        <v>5.0010700000000003</v>
      </c>
      <c r="EX26">
        <v>8549.0412903225788</v>
      </c>
      <c r="EY26">
        <v>1751.8345161290331</v>
      </c>
      <c r="EZ26">
        <v>39.389000000000003</v>
      </c>
      <c r="FA26">
        <v>43.346548387096767</v>
      </c>
      <c r="FB26">
        <v>41.625</v>
      </c>
      <c r="FC26">
        <v>42.878999999999991</v>
      </c>
      <c r="FD26">
        <v>41.186999999999983</v>
      </c>
      <c r="FE26">
        <v>185.25322580645161</v>
      </c>
      <c r="FF26">
        <v>9.740000000000002</v>
      </c>
      <c r="FG26">
        <v>0</v>
      </c>
      <c r="FH26">
        <v>202</v>
      </c>
      <c r="FI26">
        <v>0</v>
      </c>
      <c r="FJ26">
        <v>760.55535294117647</v>
      </c>
      <c r="FK26">
        <v>-2.409803924189533</v>
      </c>
      <c r="FL26">
        <v>-118.6200983826687</v>
      </c>
      <c r="FM26">
        <v>8522.6064705882345</v>
      </c>
      <c r="FN26">
        <v>10</v>
      </c>
      <c r="FO26">
        <v>1783873830</v>
      </c>
      <c r="FP26" t="s">
        <v>615</v>
      </c>
      <c r="FQ26">
        <v>1783873827</v>
      </c>
      <c r="FR26">
        <v>1783873830</v>
      </c>
      <c r="FS26">
        <v>25</v>
      </c>
      <c r="FT26">
        <v>-1E-3</v>
      </c>
      <c r="FU26">
        <v>-3.0000000000000001E-3</v>
      </c>
      <c r="FV26">
        <v>-5.8819999999999997</v>
      </c>
      <c r="FW26">
        <v>-0.63100000000000001</v>
      </c>
      <c r="FX26">
        <v>435</v>
      </c>
      <c r="FY26">
        <v>19</v>
      </c>
      <c r="FZ26">
        <v>0.68</v>
      </c>
      <c r="GA26">
        <v>0.21</v>
      </c>
      <c r="GB26">
        <v>420.10954838709671</v>
      </c>
      <c r="GC26">
        <v>0.4192741935476772</v>
      </c>
      <c r="GD26">
        <v>6.0469581107649432E-2</v>
      </c>
      <c r="GE26">
        <v>-1</v>
      </c>
      <c r="GF26">
        <v>760.8572058823529</v>
      </c>
      <c r="GG26">
        <v>-2.3994652336022382</v>
      </c>
      <c r="GH26">
        <v>0.34733961846243211</v>
      </c>
      <c r="GI26">
        <v>1</v>
      </c>
      <c r="GJ26">
        <v>0.74558012195121948</v>
      </c>
      <c r="GK26">
        <v>-3.5992285714285137E-2</v>
      </c>
      <c r="GL26">
        <v>4.9585772310068504E-3</v>
      </c>
      <c r="GM26">
        <v>1</v>
      </c>
      <c r="GN26">
        <v>2</v>
      </c>
      <c r="GO26">
        <v>2</v>
      </c>
      <c r="GP26" t="s">
        <v>423</v>
      </c>
      <c r="GQ26">
        <v>3.1294</v>
      </c>
      <c r="GR26">
        <v>2.7372299999999998</v>
      </c>
      <c r="GS26">
        <v>9.1655299999999995E-2</v>
      </c>
      <c r="GT26">
        <v>9.3594499999999997E-2</v>
      </c>
      <c r="GU26">
        <v>0.10095700000000001</v>
      </c>
      <c r="GV26">
        <v>9.6675499999999998E-2</v>
      </c>
      <c r="GW26">
        <v>22726.6</v>
      </c>
      <c r="GX26">
        <v>30386.9</v>
      </c>
      <c r="GY26">
        <v>27150.1</v>
      </c>
      <c r="GZ26">
        <v>34487.800000000003</v>
      </c>
      <c r="HA26">
        <v>35764.1</v>
      </c>
      <c r="HB26">
        <v>39473.800000000003</v>
      </c>
      <c r="HC26">
        <v>40099.9</v>
      </c>
      <c r="HD26">
        <v>43775.6</v>
      </c>
      <c r="HE26">
        <v>1.9486000000000001</v>
      </c>
      <c r="HF26">
        <v>1.665</v>
      </c>
      <c r="HG26">
        <v>-0.135601</v>
      </c>
      <c r="HH26">
        <v>0</v>
      </c>
      <c r="HI26">
        <v>27.257400000000001</v>
      </c>
      <c r="HJ26">
        <v>999.9</v>
      </c>
      <c r="HK26">
        <v>46.1</v>
      </c>
      <c r="HL26">
        <v>47</v>
      </c>
      <c r="HM26">
        <v>49.966500000000003</v>
      </c>
      <c r="HN26">
        <v>61.185499999999998</v>
      </c>
      <c r="HO26">
        <v>7.3677900000000003</v>
      </c>
      <c r="HP26">
        <v>1</v>
      </c>
      <c r="HQ26">
        <v>0.73811000000000004</v>
      </c>
      <c r="HR26">
        <v>7.8121799999999997</v>
      </c>
      <c r="HS26">
        <v>20.104700000000001</v>
      </c>
      <c r="HT26">
        <v>5.2112999999999996</v>
      </c>
      <c r="HU26">
        <v>11.914099999999999</v>
      </c>
      <c r="HV26">
        <v>4.9836</v>
      </c>
      <c r="HW26">
        <v>3.2709999999999999</v>
      </c>
      <c r="HX26">
        <v>9999</v>
      </c>
      <c r="HY26">
        <v>9999</v>
      </c>
      <c r="HZ26">
        <v>9999</v>
      </c>
      <c r="IA26">
        <v>999.9</v>
      </c>
      <c r="IB26">
        <v>1.8673999999999999</v>
      </c>
      <c r="IC26">
        <v>1.8631899999999999</v>
      </c>
      <c r="ID26">
        <v>1.8626400000000001</v>
      </c>
      <c r="IE26">
        <v>1.8622099999999999</v>
      </c>
      <c r="IF26">
        <v>1.8622099999999999</v>
      </c>
      <c r="IG26">
        <v>1.8626400000000001</v>
      </c>
      <c r="IH26">
        <v>1.8636200000000001</v>
      </c>
      <c r="II26">
        <v>1.86154</v>
      </c>
      <c r="IJ26">
        <v>0</v>
      </c>
      <c r="IK26">
        <v>0</v>
      </c>
      <c r="IL26">
        <v>0</v>
      </c>
      <c r="IM26">
        <v>4.5</v>
      </c>
      <c r="IN26" t="s">
        <v>411</v>
      </c>
      <c r="IO26" t="s">
        <v>412</v>
      </c>
      <c r="IP26" t="s">
        <v>413</v>
      </c>
      <c r="IQ26" t="s">
        <v>414</v>
      </c>
      <c r="IR26" t="s">
        <v>414</v>
      </c>
      <c r="IS26" t="s">
        <v>413</v>
      </c>
      <c r="IT26">
        <v>0</v>
      </c>
      <c r="IU26">
        <v>100</v>
      </c>
      <c r="IV26">
        <v>100</v>
      </c>
      <c r="IW26">
        <v>-5.8250000000000002</v>
      </c>
      <c r="IX26">
        <v>-0.59260000000000002</v>
      </c>
      <c r="IY26">
        <v>-3.83855566526046</v>
      </c>
      <c r="IZ26">
        <v>-5.6215304933332991E-3</v>
      </c>
      <c r="JA26">
        <v>2.3979931213773931E-6</v>
      </c>
      <c r="JB26">
        <v>-3.6297174575716598E-10</v>
      </c>
      <c r="JC26">
        <v>-0.89692436100285922</v>
      </c>
      <c r="JD26">
        <v>2.7492919904454862E-4</v>
      </c>
      <c r="JE26">
        <v>8.6739513355948885E-4</v>
      </c>
      <c r="JF26">
        <v>-8.2500691715147318E-6</v>
      </c>
      <c r="JG26">
        <v>17</v>
      </c>
      <c r="JH26">
        <v>1914</v>
      </c>
      <c r="JI26">
        <v>2</v>
      </c>
      <c r="JJ26">
        <v>37</v>
      </c>
      <c r="JK26">
        <v>1.4</v>
      </c>
      <c r="JL26">
        <v>1.3</v>
      </c>
      <c r="JM26">
        <v>1.11694</v>
      </c>
      <c r="JN26">
        <v>2.5927699999999998</v>
      </c>
      <c r="JO26">
        <v>1.50024</v>
      </c>
      <c r="JP26">
        <v>2.2644000000000002</v>
      </c>
      <c r="JQ26">
        <v>1.4477500000000001</v>
      </c>
      <c r="JR26">
        <v>2.4426299999999999</v>
      </c>
      <c r="JS26">
        <v>51.000700000000002</v>
      </c>
      <c r="JT26">
        <v>14.2546</v>
      </c>
      <c r="JU26">
        <v>18</v>
      </c>
      <c r="JV26">
        <v>546.46400000000006</v>
      </c>
      <c r="JW26">
        <v>378.56799999999998</v>
      </c>
      <c r="JX26">
        <v>19.710699999999999</v>
      </c>
      <c r="JY26">
        <v>35.902700000000003</v>
      </c>
      <c r="JZ26">
        <v>30.000800000000002</v>
      </c>
      <c r="KA26">
        <v>35.9191</v>
      </c>
      <c r="KB26">
        <v>35.950600000000001</v>
      </c>
      <c r="KC26">
        <v>22.335899999999999</v>
      </c>
      <c r="KD26">
        <v>57.592399999999998</v>
      </c>
      <c r="KE26">
        <v>0</v>
      </c>
      <c r="KF26">
        <v>19.780899999999999</v>
      </c>
      <c r="KG26">
        <v>433.44200000000001</v>
      </c>
      <c r="KH26">
        <v>19.4026</v>
      </c>
      <c r="KI26">
        <v>100.21299999999999</v>
      </c>
      <c r="KJ26">
        <v>98.471999999999994</v>
      </c>
    </row>
    <row r="27" spans="1:296" x14ac:dyDescent="0.3">
      <c r="A27">
        <v>11</v>
      </c>
      <c r="B27">
        <v>1783874091</v>
      </c>
      <c r="C27">
        <v>1871.900000095367</v>
      </c>
      <c r="D27" t="s">
        <v>616</v>
      </c>
      <c r="E27" t="s">
        <v>617</v>
      </c>
      <c r="F27">
        <v>15</v>
      </c>
      <c r="H27">
        <v>1783874083</v>
      </c>
      <c r="I27">
        <f t="shared" si="0"/>
        <v>3.8324444097919975E-4</v>
      </c>
      <c r="J27">
        <f t="shared" si="1"/>
        <v>0.38324444097919974</v>
      </c>
      <c r="K27">
        <f t="shared" si="2"/>
        <v>2.8483514827946084</v>
      </c>
      <c r="L27">
        <f t="shared" si="3"/>
        <v>420.32116129032261</v>
      </c>
      <c r="M27">
        <f t="shared" si="4"/>
        <v>265.46971066198972</v>
      </c>
      <c r="N27">
        <f t="shared" si="5"/>
        <v>26.170453441919953</v>
      </c>
      <c r="O27">
        <f t="shared" si="6"/>
        <v>41.435971564409087</v>
      </c>
      <c r="P27">
        <f t="shared" si="7"/>
        <v>3.0944388292318822E-2</v>
      </c>
      <c r="Q27">
        <f t="shared" si="8"/>
        <v>2.9035444377997939</v>
      </c>
      <c r="R27">
        <f t="shared" si="9"/>
        <v>3.0762336295458801E-2</v>
      </c>
      <c r="S27">
        <f t="shared" si="10"/>
        <v>1.9242727403448741E-2</v>
      </c>
      <c r="T27">
        <f t="shared" si="11"/>
        <v>16.50825211036619</v>
      </c>
      <c r="U27">
        <f t="shared" si="12"/>
        <v>24.261462949353056</v>
      </c>
      <c r="V27">
        <f t="shared" si="13"/>
        <v>24.957016129032262</v>
      </c>
      <c r="W27">
        <f t="shared" si="14"/>
        <v>3.1715382777651815</v>
      </c>
      <c r="X27">
        <f t="shared" si="15"/>
        <v>64.922712053215207</v>
      </c>
      <c r="Y27">
        <f t="shared" si="16"/>
        <v>1.9754454677706306</v>
      </c>
      <c r="Z27">
        <f t="shared" si="17"/>
        <v>3.0427648588546594</v>
      </c>
      <c r="AA27">
        <f t="shared" si="18"/>
        <v>1.1960928099945509</v>
      </c>
      <c r="AB27">
        <f t="shared" si="19"/>
        <v>-16.901079847182707</v>
      </c>
      <c r="AC27">
        <f t="shared" si="20"/>
        <v>-108.51269719280251</v>
      </c>
      <c r="AD27">
        <f t="shared" si="21"/>
        <v>-7.8742324511313857</v>
      </c>
      <c r="AE27">
        <f t="shared" si="22"/>
        <v>-116.77975738075041</v>
      </c>
      <c r="AF27">
        <f t="shared" si="23"/>
        <v>2.8483514827946084</v>
      </c>
      <c r="AG27">
        <f t="shared" si="24"/>
        <v>0.38324444097919974</v>
      </c>
      <c r="AH27">
        <f t="shared" si="25"/>
        <v>2.8220114486802035</v>
      </c>
      <c r="AI27">
        <v>432.2937001832729</v>
      </c>
      <c r="AJ27">
        <v>428.84793333333329</v>
      </c>
      <c r="AK27">
        <v>-1.553577116059244E-3</v>
      </c>
      <c r="AL27">
        <v>67.070083377182257</v>
      </c>
      <c r="AM27">
        <f t="shared" si="26"/>
        <v>0.38309039809558915</v>
      </c>
      <c r="AN27">
        <v>19.594463386580092</v>
      </c>
      <c r="AO27">
        <v>20.04469818181818</v>
      </c>
      <c r="AP27">
        <v>4.1330599225113803E-5</v>
      </c>
      <c r="AQ27">
        <v>78.550000000000011</v>
      </c>
      <c r="AR27">
        <v>0</v>
      </c>
      <c r="AS27">
        <v>0</v>
      </c>
      <c r="AT27">
        <f t="shared" si="27"/>
        <v>1</v>
      </c>
      <c r="AU27">
        <f t="shared" si="28"/>
        <v>0</v>
      </c>
      <c r="AV27">
        <f t="shared" si="29"/>
        <v>52576.651353282585</v>
      </c>
      <c r="AW27" t="s">
        <v>577</v>
      </c>
      <c r="AX27">
        <v>5096.58</v>
      </c>
      <c r="AY27">
        <v>563.61176470588236</v>
      </c>
      <c r="AZ27">
        <v>2395.3200000000002</v>
      </c>
      <c r="BA27">
        <f t="shared" si="30"/>
        <v>0.76470293542997081</v>
      </c>
      <c r="BB27">
        <v>-3.4864551676958428</v>
      </c>
      <c r="BC27" t="s">
        <v>618</v>
      </c>
      <c r="BD27">
        <v>5091.4799999999996</v>
      </c>
      <c r="BE27">
        <v>748.5298235294116</v>
      </c>
      <c r="BF27">
        <v>2006.78</v>
      </c>
      <c r="BG27">
        <f t="shared" si="31"/>
        <v>0.62699955972781685</v>
      </c>
      <c r="BH27">
        <v>0.5</v>
      </c>
      <c r="BI27">
        <f t="shared" si="32"/>
        <v>84.275449823522507</v>
      </c>
      <c r="BJ27">
        <f t="shared" si="33"/>
        <v>2.8483514827946084</v>
      </c>
      <c r="BK27">
        <f t="shared" si="34"/>
        <v>26.420334967606166</v>
      </c>
      <c r="BL27">
        <f t="shared" si="35"/>
        <v>7.5167877047893419E-2</v>
      </c>
      <c r="BM27">
        <f t="shared" si="36"/>
        <v>0.19361364972742412</v>
      </c>
      <c r="BN27">
        <f t="shared" si="37"/>
        <v>539.05422065547896</v>
      </c>
      <c r="BO27" t="s">
        <v>407</v>
      </c>
      <c r="BP27">
        <v>0</v>
      </c>
      <c r="BQ27">
        <f t="shared" si="38"/>
        <v>539.05422065547896</v>
      </c>
      <c r="BR27">
        <f t="shared" si="39"/>
        <v>0.7313834996085874</v>
      </c>
      <c r="BS27">
        <f t="shared" si="40"/>
        <v>0.85727878748066733</v>
      </c>
      <c r="BT27">
        <f t="shared" si="41"/>
        <v>0.20931269881902376</v>
      </c>
      <c r="BU27">
        <f t="shared" si="42"/>
        <v>0.87186659579862302</v>
      </c>
      <c r="BV27">
        <f t="shared" si="43"/>
        <v>0.21211893494468687</v>
      </c>
      <c r="BW27">
        <f t="shared" si="44"/>
        <v>0.61736985507259112</v>
      </c>
      <c r="BX27">
        <f t="shared" si="45"/>
        <v>0.38263014492740888</v>
      </c>
      <c r="DG27">
        <f t="shared" si="46"/>
        <v>99.988619354838704</v>
      </c>
      <c r="DH27">
        <f t="shared" si="47"/>
        <v>84.275449823522507</v>
      </c>
      <c r="DI27">
        <f t="shared" si="48"/>
        <v>0.84285042005077149</v>
      </c>
      <c r="DJ27">
        <f t="shared" si="49"/>
        <v>0.16510131069798908</v>
      </c>
      <c r="DK27">
        <v>6</v>
      </c>
      <c r="DL27">
        <v>0.5</v>
      </c>
      <c r="DM27" t="s">
        <v>408</v>
      </c>
      <c r="DN27">
        <v>2</v>
      </c>
      <c r="DO27" t="b">
        <v>0</v>
      </c>
      <c r="DP27">
        <v>1783874083</v>
      </c>
      <c r="DQ27">
        <v>420.32116129032261</v>
      </c>
      <c r="DR27">
        <v>423.9324838709677</v>
      </c>
      <c r="DS27">
        <v>20.038664516129032</v>
      </c>
      <c r="DT27">
        <v>19.587987096774199</v>
      </c>
      <c r="DU27">
        <v>426.171870967742</v>
      </c>
      <c r="DV27">
        <v>20.658812903225812</v>
      </c>
      <c r="DW27">
        <v>500.00029032258072</v>
      </c>
      <c r="DX27">
        <v>98.520209677419345</v>
      </c>
      <c r="DY27">
        <v>6.1483038709677418E-2</v>
      </c>
      <c r="DZ27">
        <v>24.263803225806448</v>
      </c>
      <c r="EA27">
        <v>24.957016129032262</v>
      </c>
      <c r="EB27">
        <v>999.90000000000032</v>
      </c>
      <c r="EC27">
        <v>0</v>
      </c>
      <c r="ED27">
        <v>0</v>
      </c>
      <c r="EE27">
        <v>10000.483870967741</v>
      </c>
      <c r="EF27">
        <v>0</v>
      </c>
      <c r="EG27">
        <v>829.76870967741934</v>
      </c>
      <c r="EH27">
        <v>-3.6113574193548388</v>
      </c>
      <c r="EI27">
        <v>428.91603225806449</v>
      </c>
      <c r="EJ27">
        <v>432.40232258064509</v>
      </c>
      <c r="EK27">
        <v>0.45068964516129029</v>
      </c>
      <c r="EL27">
        <v>423.9324838709677</v>
      </c>
      <c r="EM27">
        <v>19.587987096774199</v>
      </c>
      <c r="EN27">
        <v>1.974214193548387</v>
      </c>
      <c r="EO27">
        <v>1.929811935483871</v>
      </c>
      <c r="EP27">
        <v>17.23902903225807</v>
      </c>
      <c r="EQ27">
        <v>16.879922580645161</v>
      </c>
      <c r="ER27">
        <v>99.988619354838704</v>
      </c>
      <c r="ES27">
        <v>0.89995209677419341</v>
      </c>
      <c r="ET27">
        <v>0.10004795483870969</v>
      </c>
      <c r="EU27">
        <v>0</v>
      </c>
      <c r="EV27">
        <v>748.00190322580659</v>
      </c>
      <c r="EW27">
        <v>5.0010700000000003</v>
      </c>
      <c r="EX27">
        <v>7613.0980645161289</v>
      </c>
      <c r="EY27">
        <v>836.45506451612891</v>
      </c>
      <c r="EZ27">
        <v>39.436999999999983</v>
      </c>
      <c r="FA27">
        <v>43.561999999999969</v>
      </c>
      <c r="FB27">
        <v>41.807999999999979</v>
      </c>
      <c r="FC27">
        <v>43.125</v>
      </c>
      <c r="FD27">
        <v>41.25</v>
      </c>
      <c r="FE27">
        <v>85.484193548387097</v>
      </c>
      <c r="FF27">
        <v>9.5</v>
      </c>
      <c r="FG27">
        <v>0</v>
      </c>
      <c r="FH27">
        <v>181.60000014305109</v>
      </c>
      <c r="FI27">
        <v>0</v>
      </c>
      <c r="FJ27">
        <v>748.5298235294116</v>
      </c>
      <c r="FK27">
        <v>10.99632347321065</v>
      </c>
      <c r="FL27">
        <v>169.00490207990231</v>
      </c>
      <c r="FM27">
        <v>7621.1547058823526</v>
      </c>
      <c r="FN27">
        <v>10</v>
      </c>
      <c r="FO27">
        <v>1783874044.5</v>
      </c>
      <c r="FP27" t="s">
        <v>619</v>
      </c>
      <c r="FQ27">
        <v>1783874044.5</v>
      </c>
      <c r="FR27">
        <v>1783874044.5</v>
      </c>
      <c r="FS27">
        <v>26</v>
      </c>
      <c r="FT27">
        <v>-2.4E-2</v>
      </c>
      <c r="FU27">
        <v>-2.5999999999999999E-2</v>
      </c>
      <c r="FV27">
        <v>-5.87</v>
      </c>
      <c r="FW27">
        <v>-0.63</v>
      </c>
      <c r="FX27">
        <v>425</v>
      </c>
      <c r="FY27">
        <v>20</v>
      </c>
      <c r="FZ27">
        <v>1.07</v>
      </c>
      <c r="GA27">
        <v>0.43</v>
      </c>
      <c r="GB27">
        <v>420.3261</v>
      </c>
      <c r="GC27">
        <v>-0.91357508342485727</v>
      </c>
      <c r="GD27">
        <v>7.8434409965697879E-2</v>
      </c>
      <c r="GE27">
        <v>-1</v>
      </c>
      <c r="GF27">
        <v>747.42444117647062</v>
      </c>
      <c r="GG27">
        <v>11.10993123432122</v>
      </c>
      <c r="GH27">
        <v>1.118675955582582</v>
      </c>
      <c r="GI27">
        <v>0</v>
      </c>
      <c r="GJ27">
        <v>0.45929182499999999</v>
      </c>
      <c r="GK27">
        <v>-0.1487292045028151</v>
      </c>
      <c r="GL27">
        <v>1.5030568891242111E-2</v>
      </c>
      <c r="GM27">
        <v>1</v>
      </c>
      <c r="GN27">
        <v>1</v>
      </c>
      <c r="GO27">
        <v>2</v>
      </c>
      <c r="GP27" t="s">
        <v>410</v>
      </c>
      <c r="GQ27">
        <v>3.1294</v>
      </c>
      <c r="GR27">
        <v>2.7386900000000001</v>
      </c>
      <c r="GS27">
        <v>9.1618400000000003E-2</v>
      </c>
      <c r="GT27">
        <v>9.1974100000000003E-2</v>
      </c>
      <c r="GU27">
        <v>0.10072</v>
      </c>
      <c r="GV27">
        <v>9.7433099999999995E-2</v>
      </c>
      <c r="GW27">
        <v>22713</v>
      </c>
      <c r="GX27">
        <v>30417.599999999999</v>
      </c>
      <c r="GY27">
        <v>27134.7</v>
      </c>
      <c r="GZ27">
        <v>34463.800000000003</v>
      </c>
      <c r="HA27">
        <v>35755.1</v>
      </c>
      <c r="HB27">
        <v>39419.300000000003</v>
      </c>
      <c r="HC27">
        <v>40077.699999999997</v>
      </c>
      <c r="HD27">
        <v>43751.3</v>
      </c>
      <c r="HE27">
        <v>1.9434</v>
      </c>
      <c r="HF27">
        <v>1.6568000000000001</v>
      </c>
      <c r="HG27">
        <v>-0.13777600000000001</v>
      </c>
      <c r="HH27">
        <v>0</v>
      </c>
      <c r="HI27">
        <v>27.2273</v>
      </c>
      <c r="HJ27">
        <v>999.9</v>
      </c>
      <c r="HK27">
        <v>46.1</v>
      </c>
      <c r="HL27">
        <v>47.3</v>
      </c>
      <c r="HM27">
        <v>50.733199999999997</v>
      </c>
      <c r="HN27">
        <v>61.305599999999998</v>
      </c>
      <c r="HO27">
        <v>7.3597799999999998</v>
      </c>
      <c r="HP27">
        <v>1</v>
      </c>
      <c r="HQ27">
        <v>0.77272399999999997</v>
      </c>
      <c r="HR27">
        <v>8.1174700000000009</v>
      </c>
      <c r="HS27">
        <v>20.092700000000001</v>
      </c>
      <c r="HT27">
        <v>5.2112999999999996</v>
      </c>
      <c r="HU27">
        <v>11.914099999999999</v>
      </c>
      <c r="HV27">
        <v>4.9859999999999998</v>
      </c>
      <c r="HW27">
        <v>3.2709999999999999</v>
      </c>
      <c r="HX27">
        <v>9999</v>
      </c>
      <c r="HY27">
        <v>9999</v>
      </c>
      <c r="HZ27">
        <v>9999</v>
      </c>
      <c r="IA27">
        <v>999.9</v>
      </c>
      <c r="IB27">
        <v>1.8674599999999999</v>
      </c>
      <c r="IC27">
        <v>1.8631899999999999</v>
      </c>
      <c r="ID27">
        <v>1.8626400000000001</v>
      </c>
      <c r="IE27">
        <v>1.8622399999999999</v>
      </c>
      <c r="IF27">
        <v>1.8623099999999999</v>
      </c>
      <c r="IG27">
        <v>1.8626400000000001</v>
      </c>
      <c r="IH27">
        <v>1.86371</v>
      </c>
      <c r="II27">
        <v>1.8615999999999999</v>
      </c>
      <c r="IJ27">
        <v>0</v>
      </c>
      <c r="IK27">
        <v>0</v>
      </c>
      <c r="IL27">
        <v>0</v>
      </c>
      <c r="IM27">
        <v>4.5</v>
      </c>
      <c r="IN27" t="s">
        <v>411</v>
      </c>
      <c r="IO27" t="s">
        <v>412</v>
      </c>
      <c r="IP27" t="s">
        <v>413</v>
      </c>
      <c r="IQ27" t="s">
        <v>414</v>
      </c>
      <c r="IR27" t="s">
        <v>414</v>
      </c>
      <c r="IS27" t="s">
        <v>413</v>
      </c>
      <c r="IT27">
        <v>0</v>
      </c>
      <c r="IU27">
        <v>100</v>
      </c>
      <c r="IV27">
        <v>100</v>
      </c>
      <c r="IW27">
        <v>-5.851</v>
      </c>
      <c r="IX27">
        <v>-0.62009999999999998</v>
      </c>
      <c r="IY27">
        <v>-3.8624237909334198</v>
      </c>
      <c r="IZ27">
        <v>-5.6215304933332991E-3</v>
      </c>
      <c r="JA27">
        <v>2.3979931213773931E-6</v>
      </c>
      <c r="JB27">
        <v>-3.6297174575716598E-10</v>
      </c>
      <c r="JC27">
        <v>-0.92327254502069955</v>
      </c>
      <c r="JD27">
        <v>2.7492919904454862E-4</v>
      </c>
      <c r="JE27">
        <v>8.6739513355948885E-4</v>
      </c>
      <c r="JF27">
        <v>-8.2500691715147318E-6</v>
      </c>
      <c r="JG27">
        <v>17</v>
      </c>
      <c r="JH27">
        <v>1914</v>
      </c>
      <c r="JI27">
        <v>2</v>
      </c>
      <c r="JJ27">
        <v>37</v>
      </c>
      <c r="JK27">
        <v>0.8</v>
      </c>
      <c r="JL27">
        <v>0.8</v>
      </c>
      <c r="JM27">
        <v>1.09619</v>
      </c>
      <c r="JN27">
        <v>2.5878899999999998</v>
      </c>
      <c r="JO27">
        <v>1.50024</v>
      </c>
      <c r="JP27">
        <v>2.2644000000000002</v>
      </c>
      <c r="JQ27">
        <v>1.4477500000000001</v>
      </c>
      <c r="JR27">
        <v>2.50244</v>
      </c>
      <c r="JS27">
        <v>51.431399999999996</v>
      </c>
      <c r="JT27">
        <v>14.2196</v>
      </c>
      <c r="JU27">
        <v>18</v>
      </c>
      <c r="JV27">
        <v>545.79899999999998</v>
      </c>
      <c r="JW27">
        <v>375.83300000000003</v>
      </c>
      <c r="JX27">
        <v>19.683299999999999</v>
      </c>
      <c r="JY27">
        <v>36.336500000000001</v>
      </c>
      <c r="JZ27">
        <v>30.0001</v>
      </c>
      <c r="KA27">
        <v>36.2759</v>
      </c>
      <c r="KB27">
        <v>36.290799999999997</v>
      </c>
      <c r="KC27">
        <v>21.920500000000001</v>
      </c>
      <c r="KD27">
        <v>57.8675</v>
      </c>
      <c r="KE27">
        <v>0</v>
      </c>
      <c r="KF27">
        <v>19.687799999999999</v>
      </c>
      <c r="KG27">
        <v>423.73500000000001</v>
      </c>
      <c r="KH27">
        <v>19.5166</v>
      </c>
      <c r="KI27">
        <v>100.157</v>
      </c>
      <c r="KJ27">
        <v>98.411299999999997</v>
      </c>
    </row>
    <row r="28" spans="1:296" x14ac:dyDescent="0.3">
      <c r="A28">
        <v>12</v>
      </c>
      <c r="B28">
        <v>1783874273.5</v>
      </c>
      <c r="C28">
        <v>2054.400000095367</v>
      </c>
      <c r="D28" t="s">
        <v>620</v>
      </c>
      <c r="E28" t="s">
        <v>621</v>
      </c>
      <c r="F28">
        <v>15</v>
      </c>
      <c r="H28">
        <v>1783874265.75</v>
      </c>
      <c r="I28">
        <f t="shared" si="0"/>
        <v>1.5890410753155416E-4</v>
      </c>
      <c r="J28">
        <f t="shared" si="1"/>
        <v>0.15890410753155415</v>
      </c>
      <c r="K28">
        <f t="shared" si="2"/>
        <v>1.3643950744448528</v>
      </c>
      <c r="L28">
        <f t="shared" si="3"/>
        <v>420.09486666666658</v>
      </c>
      <c r="M28">
        <f t="shared" si="4"/>
        <v>239.27906894826404</v>
      </c>
      <c r="N28">
        <f t="shared" si="5"/>
        <v>23.588514074389412</v>
      </c>
      <c r="O28">
        <f t="shared" si="6"/>
        <v>41.413625180428888</v>
      </c>
      <c r="P28">
        <f t="shared" si="7"/>
        <v>1.2562615371268094E-2</v>
      </c>
      <c r="Q28">
        <f t="shared" si="8"/>
        <v>2.9031507620743011</v>
      </c>
      <c r="R28">
        <f t="shared" si="9"/>
        <v>1.2532492798622246E-2</v>
      </c>
      <c r="S28">
        <f t="shared" si="10"/>
        <v>7.8355083223178405E-3</v>
      </c>
      <c r="T28">
        <f t="shared" si="11"/>
        <v>8.2420665308728722</v>
      </c>
      <c r="U28">
        <f t="shared" si="12"/>
        <v>24.350924457459207</v>
      </c>
      <c r="V28">
        <f t="shared" si="13"/>
        <v>25.084443333333329</v>
      </c>
      <c r="W28">
        <f t="shared" si="14"/>
        <v>3.1957207260447769</v>
      </c>
      <c r="X28">
        <f t="shared" si="15"/>
        <v>64.715329711196972</v>
      </c>
      <c r="Y28">
        <f t="shared" si="16"/>
        <v>1.9785715386757377</v>
      </c>
      <c r="Z28">
        <f t="shared" si="17"/>
        <v>3.0573459912905423</v>
      </c>
      <c r="AA28">
        <f t="shared" si="18"/>
        <v>1.2171491873690392</v>
      </c>
      <c r="AB28">
        <f t="shared" si="19"/>
        <v>-7.0076711421415387</v>
      </c>
      <c r="AC28">
        <f t="shared" si="20"/>
        <v>-115.95754074798839</v>
      </c>
      <c r="AD28">
        <f t="shared" si="21"/>
        <v>-8.4244021337738975</v>
      </c>
      <c r="AE28">
        <f t="shared" si="22"/>
        <v>-123.14754749303096</v>
      </c>
      <c r="AF28">
        <f t="shared" si="23"/>
        <v>1.3643950744448528</v>
      </c>
      <c r="AG28">
        <f t="shared" si="24"/>
        <v>0.15890410753155415</v>
      </c>
      <c r="AH28">
        <f t="shared" si="25"/>
        <v>1.2632518174855996</v>
      </c>
      <c r="AI28">
        <v>430.31793351760018</v>
      </c>
      <c r="AJ28">
        <v>428.73444848484837</v>
      </c>
      <c r="AK28">
        <v>6.8896656237157627E-3</v>
      </c>
      <c r="AL28">
        <v>67.068696331083942</v>
      </c>
      <c r="AM28">
        <f t="shared" si="26"/>
        <v>0.16971415276197954</v>
      </c>
      <c r="AN28">
        <v>19.890103373809531</v>
      </c>
      <c r="AO28">
        <v>20.089453939393941</v>
      </c>
      <c r="AP28">
        <v>3.4741499023900868E-5</v>
      </c>
      <c r="AQ28">
        <v>78.55</v>
      </c>
      <c r="AR28">
        <v>0</v>
      </c>
      <c r="AS28">
        <v>0</v>
      </c>
      <c r="AT28">
        <f t="shared" si="27"/>
        <v>1</v>
      </c>
      <c r="AU28">
        <f t="shared" si="28"/>
        <v>0</v>
      </c>
      <c r="AV28">
        <f t="shared" si="29"/>
        <v>52551.156213085764</v>
      </c>
      <c r="AW28" t="s">
        <v>577</v>
      </c>
      <c r="AX28">
        <v>5096.58</v>
      </c>
      <c r="AY28">
        <v>563.61176470588236</v>
      </c>
      <c r="AZ28">
        <v>2395.3200000000002</v>
      </c>
      <c r="BA28">
        <f t="shared" si="30"/>
        <v>0.76470293542997081</v>
      </c>
      <c r="BB28">
        <v>-3.4864551676958428</v>
      </c>
      <c r="BC28" t="s">
        <v>622</v>
      </c>
      <c r="BD28">
        <v>5092.3</v>
      </c>
      <c r="BE28">
        <v>716.31599999999992</v>
      </c>
      <c r="BF28">
        <v>2111.62</v>
      </c>
      <c r="BG28">
        <f t="shared" si="31"/>
        <v>0.66077419232627088</v>
      </c>
      <c r="BH28">
        <v>0.5</v>
      </c>
      <c r="BI28">
        <f t="shared" si="32"/>
        <v>42.14103642014139</v>
      </c>
      <c r="BJ28">
        <f t="shared" si="33"/>
        <v>1.3643950744448528</v>
      </c>
      <c r="BK28">
        <f t="shared" si="34"/>
        <v>13.922854652155447</v>
      </c>
      <c r="BL28">
        <f t="shared" si="35"/>
        <v>0.11510989416060546</v>
      </c>
      <c r="BM28">
        <f t="shared" si="36"/>
        <v>0.13435182466542289</v>
      </c>
      <c r="BN28">
        <f t="shared" si="37"/>
        <v>546.34052568695165</v>
      </c>
      <c r="BO28" t="s">
        <v>407</v>
      </c>
      <c r="BP28">
        <v>0</v>
      </c>
      <c r="BQ28">
        <f t="shared" si="38"/>
        <v>546.34052568695165</v>
      </c>
      <c r="BR28">
        <f t="shared" si="39"/>
        <v>0.74126948708245255</v>
      </c>
      <c r="BS28">
        <f t="shared" si="40"/>
        <v>0.89140886525222918</v>
      </c>
      <c r="BT28">
        <f t="shared" si="41"/>
        <v>0.1534359920925587</v>
      </c>
      <c r="BU28">
        <f t="shared" si="42"/>
        <v>0.90135437795968565</v>
      </c>
      <c r="BV28">
        <f t="shared" si="43"/>
        <v>0.15488274526125417</v>
      </c>
      <c r="BW28">
        <f t="shared" si="44"/>
        <v>0.6798853970090184</v>
      </c>
      <c r="BX28">
        <f t="shared" si="45"/>
        <v>0.3201146029909816</v>
      </c>
      <c r="DG28">
        <f t="shared" si="46"/>
        <v>50.006933333333343</v>
      </c>
      <c r="DH28">
        <f t="shared" si="47"/>
        <v>42.14103642014139</v>
      </c>
      <c r="DI28">
        <f t="shared" si="48"/>
        <v>0.84270387346570708</v>
      </c>
      <c r="DJ28">
        <f t="shared" si="49"/>
        <v>0.1648184757888147</v>
      </c>
      <c r="DK28">
        <v>6</v>
      </c>
      <c r="DL28">
        <v>0.5</v>
      </c>
      <c r="DM28" t="s">
        <v>408</v>
      </c>
      <c r="DN28">
        <v>2</v>
      </c>
      <c r="DO28" t="b">
        <v>0</v>
      </c>
      <c r="DP28">
        <v>1783874265.75</v>
      </c>
      <c r="DQ28">
        <v>420.09486666666658</v>
      </c>
      <c r="DR28">
        <v>421.81226666666657</v>
      </c>
      <c r="DS28">
        <v>20.070393333333332</v>
      </c>
      <c r="DT28">
        <v>19.883533333333329</v>
      </c>
      <c r="DU28">
        <v>425.95349999999991</v>
      </c>
      <c r="DV28">
        <v>20.691980000000001</v>
      </c>
      <c r="DW28">
        <v>499.99413333333342</v>
      </c>
      <c r="DX28">
        <v>98.519180000000006</v>
      </c>
      <c r="DY28">
        <v>6.2422553333333339E-2</v>
      </c>
      <c r="DZ28">
        <v>24.34357</v>
      </c>
      <c r="EA28">
        <v>25.084443333333329</v>
      </c>
      <c r="EB28">
        <v>999.9000000000002</v>
      </c>
      <c r="EC28">
        <v>0</v>
      </c>
      <c r="ED28">
        <v>0</v>
      </c>
      <c r="EE28">
        <v>9998.3333333333339</v>
      </c>
      <c r="EF28">
        <v>0</v>
      </c>
      <c r="EG28">
        <v>538.55320000000006</v>
      </c>
      <c r="EH28">
        <v>-1.717425666666667</v>
      </c>
      <c r="EI28">
        <v>428.69903333333338</v>
      </c>
      <c r="EJ28">
        <v>430.3694666666666</v>
      </c>
      <c r="EK28">
        <v>0.18685266666666669</v>
      </c>
      <c r="EL28">
        <v>421.81226666666657</v>
      </c>
      <c r="EM28">
        <v>19.883533333333329</v>
      </c>
      <c r="EN28">
        <v>1.9773186666666669</v>
      </c>
      <c r="EO28">
        <v>1.958910666666666</v>
      </c>
      <c r="EP28">
        <v>17.263860000000001</v>
      </c>
      <c r="EQ28">
        <v>17.116060000000001</v>
      </c>
      <c r="ER28">
        <v>50.006933333333343</v>
      </c>
      <c r="ES28">
        <v>0.89991433333333326</v>
      </c>
      <c r="ET28">
        <v>0.1000860033333333</v>
      </c>
      <c r="EU28">
        <v>0</v>
      </c>
      <c r="EV28">
        <v>716.08369999999991</v>
      </c>
      <c r="EW28">
        <v>5.0010700000000003</v>
      </c>
      <c r="EX28">
        <v>7364.9826666666668</v>
      </c>
      <c r="EY28">
        <v>396.31296666666663</v>
      </c>
      <c r="EZ28">
        <v>39.495800000000003</v>
      </c>
      <c r="FA28">
        <v>43.686999999999983</v>
      </c>
      <c r="FB28">
        <v>41.875</v>
      </c>
      <c r="FC28">
        <v>43.311999999999983</v>
      </c>
      <c r="FD28">
        <v>41.254133333333328</v>
      </c>
      <c r="FE28">
        <v>40.501333333333328</v>
      </c>
      <c r="FF28">
        <v>4.5073333333333334</v>
      </c>
      <c r="FG28">
        <v>0</v>
      </c>
      <c r="FH28">
        <v>182</v>
      </c>
      <c r="FI28">
        <v>0</v>
      </c>
      <c r="FJ28">
        <v>716.31599999999992</v>
      </c>
      <c r="FK28">
        <v>4.7789215782631764</v>
      </c>
      <c r="FL28">
        <v>-245.85784143634231</v>
      </c>
      <c r="FM28">
        <v>7342.2041176470593</v>
      </c>
      <c r="FN28">
        <v>10</v>
      </c>
      <c r="FO28">
        <v>1783874141.5</v>
      </c>
      <c r="FP28" t="s">
        <v>623</v>
      </c>
      <c r="FQ28">
        <v>1783874141.5</v>
      </c>
      <c r="FR28">
        <v>1783874138.5</v>
      </c>
      <c r="FS28">
        <v>27</v>
      </c>
      <c r="FT28">
        <v>-8.9999999999999993E-3</v>
      </c>
      <c r="FU28">
        <v>-2E-3</v>
      </c>
      <c r="FV28">
        <v>-5.8719999999999999</v>
      </c>
      <c r="FW28">
        <v>-0.63100000000000001</v>
      </c>
      <c r="FX28">
        <v>424</v>
      </c>
      <c r="FY28">
        <v>20</v>
      </c>
      <c r="FZ28">
        <v>1.62</v>
      </c>
      <c r="GA28">
        <v>0.57999999999999996</v>
      </c>
      <c r="GB28">
        <v>420.09643333333332</v>
      </c>
      <c r="GC28">
        <v>0.3932102335931007</v>
      </c>
      <c r="GD28">
        <v>6.0126357688522487E-2</v>
      </c>
      <c r="GE28">
        <v>-1</v>
      </c>
      <c r="GF28">
        <v>715.8145882352942</v>
      </c>
      <c r="GG28">
        <v>4.7210695129661779</v>
      </c>
      <c r="GH28">
        <v>0.52110132906730111</v>
      </c>
      <c r="GI28">
        <v>1</v>
      </c>
      <c r="GJ28">
        <v>0.183942775</v>
      </c>
      <c r="GK28">
        <v>6.3966427767354173E-2</v>
      </c>
      <c r="GL28">
        <v>6.9822176329855969E-3</v>
      </c>
      <c r="GM28">
        <v>1</v>
      </c>
      <c r="GN28">
        <v>2</v>
      </c>
      <c r="GO28">
        <v>2</v>
      </c>
      <c r="GP28" t="s">
        <v>423</v>
      </c>
      <c r="GQ28">
        <v>3.1309</v>
      </c>
      <c r="GR28">
        <v>2.7392799999999999</v>
      </c>
      <c r="GS28">
        <v>9.1503799999999996E-2</v>
      </c>
      <c r="GT28">
        <v>9.1530700000000006E-2</v>
      </c>
      <c r="GU28">
        <v>0.100814</v>
      </c>
      <c r="GV28">
        <v>9.8396999999999998E-2</v>
      </c>
      <c r="GW28">
        <v>22702.2</v>
      </c>
      <c r="GX28">
        <v>30410.1</v>
      </c>
      <c r="GY28">
        <v>27120.2</v>
      </c>
      <c r="GZ28">
        <v>34441.1</v>
      </c>
      <c r="HA28">
        <v>35734.6</v>
      </c>
      <c r="HB28">
        <v>39354.800000000003</v>
      </c>
      <c r="HC28">
        <v>40057.599999999999</v>
      </c>
      <c r="HD28">
        <v>43725.7</v>
      </c>
      <c r="HE28">
        <v>1.9392</v>
      </c>
      <c r="HF28">
        <v>1.649</v>
      </c>
      <c r="HG28">
        <v>-0.14215700000000001</v>
      </c>
      <c r="HH28">
        <v>0</v>
      </c>
      <c r="HI28">
        <v>27.433900000000001</v>
      </c>
      <c r="HJ28">
        <v>999.9</v>
      </c>
      <c r="HK28">
        <v>45.9</v>
      </c>
      <c r="HL28">
        <v>47.7</v>
      </c>
      <c r="HM28">
        <v>51.547800000000002</v>
      </c>
      <c r="HN28">
        <v>61.165599999999998</v>
      </c>
      <c r="HO28">
        <v>7.0072099999999997</v>
      </c>
      <c r="HP28">
        <v>1</v>
      </c>
      <c r="HQ28">
        <v>0.81361799999999995</v>
      </c>
      <c r="HR28">
        <v>9.2810500000000005</v>
      </c>
      <c r="HS28">
        <v>20.036200000000001</v>
      </c>
      <c r="HT28">
        <v>5.2112999999999996</v>
      </c>
      <c r="HU28">
        <v>11.914099999999999</v>
      </c>
      <c r="HV28">
        <v>4.9855999999999998</v>
      </c>
      <c r="HW28">
        <v>3.2709999999999999</v>
      </c>
      <c r="HX28">
        <v>9999</v>
      </c>
      <c r="HY28">
        <v>9999</v>
      </c>
      <c r="HZ28">
        <v>9999</v>
      </c>
      <c r="IA28">
        <v>999.9</v>
      </c>
      <c r="IB28">
        <v>1.86737</v>
      </c>
      <c r="IC28">
        <v>1.8632500000000001</v>
      </c>
      <c r="ID28">
        <v>1.8626400000000001</v>
      </c>
      <c r="IE28">
        <v>1.8622099999999999</v>
      </c>
      <c r="IF28">
        <v>1.8621799999999999</v>
      </c>
      <c r="IG28">
        <v>1.8626400000000001</v>
      </c>
      <c r="IH28">
        <v>1.86365</v>
      </c>
      <c r="II28">
        <v>1.8615699999999999</v>
      </c>
      <c r="IJ28">
        <v>0</v>
      </c>
      <c r="IK28">
        <v>0</v>
      </c>
      <c r="IL28">
        <v>0</v>
      </c>
      <c r="IM28">
        <v>4.5</v>
      </c>
      <c r="IN28" t="s">
        <v>411</v>
      </c>
      <c r="IO28" t="s">
        <v>412</v>
      </c>
      <c r="IP28" t="s">
        <v>413</v>
      </c>
      <c r="IQ28" t="s">
        <v>414</v>
      </c>
      <c r="IR28" t="s">
        <v>414</v>
      </c>
      <c r="IS28" t="s">
        <v>413</v>
      </c>
      <c r="IT28">
        <v>0</v>
      </c>
      <c r="IU28">
        <v>100</v>
      </c>
      <c r="IV28">
        <v>100</v>
      </c>
      <c r="IW28">
        <v>-5.859</v>
      </c>
      <c r="IX28">
        <v>-0.62109999999999999</v>
      </c>
      <c r="IY28">
        <v>-3.8711285098762449</v>
      </c>
      <c r="IZ28">
        <v>-5.6215304933332991E-3</v>
      </c>
      <c r="JA28">
        <v>2.3979931213773931E-6</v>
      </c>
      <c r="JB28">
        <v>-3.6297174575716598E-10</v>
      </c>
      <c r="JC28">
        <v>-0.92556513628089965</v>
      </c>
      <c r="JD28">
        <v>2.7492919904454862E-4</v>
      </c>
      <c r="JE28">
        <v>8.6739513355948885E-4</v>
      </c>
      <c r="JF28">
        <v>-8.2500691715147318E-6</v>
      </c>
      <c r="JG28">
        <v>17</v>
      </c>
      <c r="JH28">
        <v>1914</v>
      </c>
      <c r="JI28">
        <v>2</v>
      </c>
      <c r="JJ28">
        <v>37</v>
      </c>
      <c r="JK28">
        <v>2.2000000000000002</v>
      </c>
      <c r="JL28">
        <v>2.2000000000000002</v>
      </c>
      <c r="JM28">
        <v>1.09131</v>
      </c>
      <c r="JN28">
        <v>2.5964399999999999</v>
      </c>
      <c r="JO28">
        <v>1.50024</v>
      </c>
      <c r="JP28">
        <v>2.2644000000000002</v>
      </c>
      <c r="JQ28">
        <v>1.4477500000000001</v>
      </c>
      <c r="JR28">
        <v>2.4328599999999998</v>
      </c>
      <c r="JS28">
        <v>51.9009</v>
      </c>
      <c r="JT28">
        <v>14.1233</v>
      </c>
      <c r="JU28">
        <v>18</v>
      </c>
      <c r="JV28">
        <v>545.82000000000005</v>
      </c>
      <c r="JW28">
        <v>373.40800000000002</v>
      </c>
      <c r="JX28">
        <v>19.362100000000002</v>
      </c>
      <c r="JY28">
        <v>36.717199999999998</v>
      </c>
      <c r="JZ28">
        <v>30.001200000000001</v>
      </c>
      <c r="KA28">
        <v>36.6355</v>
      </c>
      <c r="KB28">
        <v>36.649299999999997</v>
      </c>
      <c r="KC28">
        <v>21.825399999999998</v>
      </c>
      <c r="KD28">
        <v>57.8675</v>
      </c>
      <c r="KE28">
        <v>0</v>
      </c>
      <c r="KF28">
        <v>18.650300000000001</v>
      </c>
      <c r="KG28">
        <v>421.791</v>
      </c>
      <c r="KH28">
        <v>19.821000000000002</v>
      </c>
      <c r="KI28">
        <v>100.105</v>
      </c>
      <c r="KJ28">
        <v>98.350499999999997</v>
      </c>
    </row>
    <row r="29" spans="1:296" x14ac:dyDescent="0.3">
      <c r="A29">
        <v>13</v>
      </c>
      <c r="B29">
        <v>1783874456</v>
      </c>
      <c r="C29">
        <v>2236.900000095367</v>
      </c>
      <c r="D29" t="s">
        <v>624</v>
      </c>
      <c r="E29" t="s">
        <v>625</v>
      </c>
      <c r="F29">
        <v>15</v>
      </c>
      <c r="H29">
        <v>1783874448.25</v>
      </c>
      <c r="I29">
        <f t="shared" si="0"/>
        <v>5.137855950958891E-5</v>
      </c>
      <c r="J29">
        <f t="shared" si="1"/>
        <v>5.137855950958891E-2</v>
      </c>
      <c r="K29">
        <f t="shared" si="2"/>
        <v>-2.1447099742292766</v>
      </c>
      <c r="L29">
        <f t="shared" si="3"/>
        <v>420.07546666666661</v>
      </c>
      <c r="M29">
        <f t="shared" si="4"/>
        <v>1211.8530819199959</v>
      </c>
      <c r="N29">
        <f t="shared" si="5"/>
        <v>119.47014760945888</v>
      </c>
      <c r="O29">
        <f t="shared" si="6"/>
        <v>41.413005221941738</v>
      </c>
      <c r="P29">
        <f t="shared" si="7"/>
        <v>4.2522079960970564E-3</v>
      </c>
      <c r="Q29">
        <f t="shared" si="8"/>
        <v>2.903121462866193</v>
      </c>
      <c r="R29">
        <f t="shared" si="9"/>
        <v>4.2487509131095523E-3</v>
      </c>
      <c r="S29">
        <f t="shared" si="10"/>
        <v>2.6557796844660876E-3</v>
      </c>
      <c r="T29">
        <f t="shared" si="11"/>
        <v>1.5966703903835998E-4</v>
      </c>
      <c r="U29">
        <f t="shared" si="12"/>
        <v>24.097482546403612</v>
      </c>
      <c r="V29">
        <f t="shared" si="13"/>
        <v>24.75677666666666</v>
      </c>
      <c r="W29">
        <f t="shared" si="14"/>
        <v>3.1338609604278593</v>
      </c>
      <c r="X29">
        <f t="shared" si="15"/>
        <v>65.425827554729494</v>
      </c>
      <c r="Y29">
        <f t="shared" si="16"/>
        <v>1.9725884090737176</v>
      </c>
      <c r="Z29">
        <f t="shared" si="17"/>
        <v>3.0149995541495045</v>
      </c>
      <c r="AA29">
        <f t="shared" si="18"/>
        <v>1.1612725513541418</v>
      </c>
      <c r="AB29">
        <f t="shared" si="19"/>
        <v>-2.2657944743728708</v>
      </c>
      <c r="AC29">
        <f t="shared" si="20"/>
        <v>-101.07510642427951</v>
      </c>
      <c r="AD29">
        <f t="shared" si="21"/>
        <v>-7.3225446719940503</v>
      </c>
      <c r="AE29">
        <f t="shared" si="22"/>
        <v>-110.66328590360739</v>
      </c>
      <c r="AF29">
        <f t="shared" si="23"/>
        <v>-2.1447099742292766</v>
      </c>
      <c r="AG29">
        <f t="shared" si="24"/>
        <v>5.137855950958891E-2</v>
      </c>
      <c r="AH29">
        <f t="shared" si="25"/>
        <v>-2.0363958923245828</v>
      </c>
      <c r="AI29">
        <v>425.88816628177977</v>
      </c>
      <c r="AJ29">
        <v>428.56324242424228</v>
      </c>
      <c r="AK29">
        <v>-3.3951600449330287E-2</v>
      </c>
      <c r="AL29">
        <v>67.065176030792728</v>
      </c>
      <c r="AM29">
        <f t="shared" si="26"/>
        <v>3.4182911823895996E-2</v>
      </c>
      <c r="AN29">
        <v>19.94598742632035</v>
      </c>
      <c r="AO29">
        <v>19.986688484848479</v>
      </c>
      <c r="AP29">
        <v>-7.9771127423209576E-5</v>
      </c>
      <c r="AQ29">
        <v>78.55</v>
      </c>
      <c r="AR29">
        <v>0</v>
      </c>
      <c r="AS29">
        <v>0</v>
      </c>
      <c r="AT29">
        <f t="shared" si="27"/>
        <v>1</v>
      </c>
      <c r="AU29">
        <f t="shared" si="28"/>
        <v>0</v>
      </c>
      <c r="AV29">
        <f t="shared" si="29"/>
        <v>52591.519340050407</v>
      </c>
      <c r="AW29" t="s">
        <v>525</v>
      </c>
      <c r="AX29">
        <v>5085.43</v>
      </c>
      <c r="AY29">
        <v>578.66176470588232</v>
      </c>
      <c r="AZ29">
        <v>2362.06</v>
      </c>
      <c r="BA29">
        <f t="shared" si="30"/>
        <v>0.7550181770548241</v>
      </c>
      <c r="BB29">
        <v>-2.144709974229277</v>
      </c>
      <c r="BC29" t="s">
        <v>407</v>
      </c>
      <c r="BD29" t="s">
        <v>407</v>
      </c>
      <c r="BE29">
        <v>0</v>
      </c>
      <c r="BF29">
        <v>0</v>
      </c>
      <c r="BG29" t="e">
        <f t="shared" si="31"/>
        <v>#DIV/0!</v>
      </c>
      <c r="BH29">
        <v>0.5</v>
      </c>
      <c r="BI29">
        <f t="shared" si="32"/>
        <v>8.4035283704399992E-4</v>
      </c>
      <c r="BJ29">
        <f t="shared" si="33"/>
        <v>-2.1447099742292766</v>
      </c>
      <c r="BK29" t="e">
        <f t="shared" si="34"/>
        <v>#DIV/0!</v>
      </c>
      <c r="BL29">
        <f t="shared" si="35"/>
        <v>5.2845565609343049E-13</v>
      </c>
      <c r="BM29" t="e">
        <f t="shared" si="36"/>
        <v>#DIV/0!</v>
      </c>
      <c r="BN29" t="e">
        <f t="shared" si="37"/>
        <v>#DIV/0!</v>
      </c>
      <c r="BO29" t="s">
        <v>407</v>
      </c>
      <c r="BP29">
        <v>0</v>
      </c>
      <c r="BQ29" t="e">
        <f t="shared" si="38"/>
        <v>#DIV/0!</v>
      </c>
      <c r="BR29" t="e">
        <f t="shared" si="39"/>
        <v>#DIV/0!</v>
      </c>
      <c r="BS29" t="e">
        <f t="shared" si="40"/>
        <v>#DIV/0!</v>
      </c>
      <c r="BT29" t="e">
        <f t="shared" si="41"/>
        <v>#DIV/0!</v>
      </c>
      <c r="BU29">
        <f t="shared" si="42"/>
        <v>0</v>
      </c>
      <c r="BV29">
        <f t="shared" si="43"/>
        <v>1.3244714238547228</v>
      </c>
      <c r="BW29" t="e">
        <f t="shared" si="44"/>
        <v>#DIV/0!</v>
      </c>
      <c r="BX29" t="e">
        <f t="shared" si="45"/>
        <v>#DIV/0!</v>
      </c>
      <c r="DG29">
        <f t="shared" si="46"/>
        <v>1.00021E-2</v>
      </c>
      <c r="DH29">
        <f t="shared" si="47"/>
        <v>8.4035283704399992E-4</v>
      </c>
      <c r="DI29">
        <f t="shared" si="48"/>
        <v>8.4017639999999991E-2</v>
      </c>
      <c r="DJ29">
        <f t="shared" si="49"/>
        <v>1.5963351599999998E-2</v>
      </c>
      <c r="DK29">
        <v>6</v>
      </c>
      <c r="DL29">
        <v>0.5</v>
      </c>
      <c r="DM29" t="s">
        <v>408</v>
      </c>
      <c r="DN29">
        <v>2</v>
      </c>
      <c r="DO29" t="b">
        <v>0</v>
      </c>
      <c r="DP29">
        <v>1783874448.25</v>
      </c>
      <c r="DQ29">
        <v>420.07546666666661</v>
      </c>
      <c r="DR29">
        <v>417.52760000000001</v>
      </c>
      <c r="DS29">
        <v>20.009076666666669</v>
      </c>
      <c r="DT29">
        <v>19.948653333333329</v>
      </c>
      <c r="DU29">
        <v>426.03179999999998</v>
      </c>
      <c r="DV29">
        <v>20.645006666666671</v>
      </c>
      <c r="DW29">
        <v>499.9776</v>
      </c>
      <c r="DX29">
        <v>98.522453333333345</v>
      </c>
      <c r="DY29">
        <v>6.2226106666666663E-2</v>
      </c>
      <c r="DZ29">
        <v>24.11098333333333</v>
      </c>
      <c r="EA29">
        <v>24.75677666666666</v>
      </c>
      <c r="EB29">
        <v>999.9000000000002</v>
      </c>
      <c r="EC29">
        <v>0</v>
      </c>
      <c r="ED29">
        <v>0</v>
      </c>
      <c r="EE29">
        <v>9997.8333333333339</v>
      </c>
      <c r="EF29">
        <v>0</v>
      </c>
      <c r="EG29">
        <v>197.76853333333341</v>
      </c>
      <c r="EH29">
        <v>2.547941666666667</v>
      </c>
      <c r="EI29">
        <v>428.65243333333342</v>
      </c>
      <c r="EJ29">
        <v>426.02623333333332</v>
      </c>
      <c r="EK29">
        <v>6.0424989999999991E-2</v>
      </c>
      <c r="EL29">
        <v>417.52760000000001</v>
      </c>
      <c r="EM29">
        <v>19.948653333333329</v>
      </c>
      <c r="EN29">
        <v>1.971343333333333</v>
      </c>
      <c r="EO29">
        <v>1.96539</v>
      </c>
      <c r="EP29">
        <v>17.21603</v>
      </c>
      <c r="EQ29">
        <v>17.168236666666669</v>
      </c>
      <c r="ER29">
        <v>1.00021E-2</v>
      </c>
      <c r="ES29">
        <v>0</v>
      </c>
      <c r="ET29">
        <v>0</v>
      </c>
      <c r="EU29">
        <v>0</v>
      </c>
      <c r="EV29">
        <v>579.69500000000005</v>
      </c>
      <c r="EW29">
        <v>1.00021E-2</v>
      </c>
      <c r="EX29">
        <v>1355.425</v>
      </c>
      <c r="EY29">
        <v>0.38333333333333341</v>
      </c>
      <c r="EZ29">
        <v>39.260333333333328</v>
      </c>
      <c r="FA29">
        <v>43.418399999999991</v>
      </c>
      <c r="FB29">
        <v>41.682899999999989</v>
      </c>
      <c r="FC29">
        <v>42.936999999999983</v>
      </c>
      <c r="FD29">
        <v>40.878999999999998</v>
      </c>
      <c r="FE29">
        <v>0</v>
      </c>
      <c r="FF29">
        <v>0</v>
      </c>
      <c r="FG29">
        <v>0</v>
      </c>
      <c r="FH29">
        <v>181.70000004768369</v>
      </c>
      <c r="FI29">
        <v>0</v>
      </c>
      <c r="FJ29">
        <v>578.66176470588232</v>
      </c>
      <c r="FK29">
        <v>-7.7328430179355818</v>
      </c>
      <c r="FL29">
        <v>-1746.9485345136759</v>
      </c>
      <c r="FM29">
        <v>1342.9794117647059</v>
      </c>
      <c r="FN29">
        <v>10</v>
      </c>
      <c r="FO29">
        <v>1783874406</v>
      </c>
      <c r="FP29" t="s">
        <v>626</v>
      </c>
      <c r="FQ29">
        <v>1783874406</v>
      </c>
      <c r="FR29">
        <v>1783874401</v>
      </c>
      <c r="FS29">
        <v>28</v>
      </c>
      <c r="FT29">
        <v>-9.7000000000000003E-2</v>
      </c>
      <c r="FU29">
        <v>-1.2999999999999999E-2</v>
      </c>
      <c r="FV29">
        <v>-5.9470000000000001</v>
      </c>
      <c r="FW29">
        <v>-0.63800000000000001</v>
      </c>
      <c r="FX29">
        <v>418</v>
      </c>
      <c r="FY29">
        <v>20</v>
      </c>
      <c r="FZ29">
        <v>1.73</v>
      </c>
      <c r="GA29">
        <v>0.56999999999999995</v>
      </c>
      <c r="GB29">
        <v>420.07979999999998</v>
      </c>
      <c r="GC29">
        <v>-8.4307007786940419E-2</v>
      </c>
      <c r="GD29">
        <v>4.7734264422953553E-2</v>
      </c>
      <c r="GE29">
        <v>-1</v>
      </c>
      <c r="GF29">
        <v>580.17352941176478</v>
      </c>
      <c r="GG29">
        <v>-6.0198624735346122</v>
      </c>
      <c r="GH29">
        <v>4.3961921239080812</v>
      </c>
      <c r="GI29">
        <v>1</v>
      </c>
      <c r="GJ29">
        <v>6.9458812499999995E-2</v>
      </c>
      <c r="GK29">
        <v>-0.15533151106941839</v>
      </c>
      <c r="GL29">
        <v>1.544658301114178E-2</v>
      </c>
      <c r="GM29">
        <v>1</v>
      </c>
      <c r="GN29">
        <v>2</v>
      </c>
      <c r="GO29">
        <v>2</v>
      </c>
      <c r="GP29" t="s">
        <v>423</v>
      </c>
      <c r="GQ29">
        <v>3.1312700000000002</v>
      </c>
      <c r="GR29">
        <v>2.7384599999999999</v>
      </c>
      <c r="GS29">
        <v>9.1493199999999997E-2</v>
      </c>
      <c r="GT29">
        <v>9.0795200000000006E-2</v>
      </c>
      <c r="GU29">
        <v>0.10044400000000001</v>
      </c>
      <c r="GV29">
        <v>9.8526799999999998E-2</v>
      </c>
      <c r="GW29">
        <v>22692.400000000001</v>
      </c>
      <c r="GX29">
        <v>30420</v>
      </c>
      <c r="GY29">
        <v>27109.4</v>
      </c>
      <c r="GZ29">
        <v>34426.300000000003</v>
      </c>
      <c r="HA29">
        <v>35736.300000000003</v>
      </c>
      <c r="HB29">
        <v>39336.699999999997</v>
      </c>
      <c r="HC29">
        <v>40042</v>
      </c>
      <c r="HD29">
        <v>43711.5</v>
      </c>
      <c r="HE29">
        <v>1.9366000000000001</v>
      </c>
      <c r="HF29">
        <v>1.6434</v>
      </c>
      <c r="HG29">
        <v>-0.151694</v>
      </c>
      <c r="HH29">
        <v>0</v>
      </c>
      <c r="HI29">
        <v>27.183499999999999</v>
      </c>
      <c r="HJ29">
        <v>999.9</v>
      </c>
      <c r="HK29">
        <v>45.5</v>
      </c>
      <c r="HL29">
        <v>47.9</v>
      </c>
      <c r="HM29">
        <v>51.618699999999997</v>
      </c>
      <c r="HN29">
        <v>61.255699999999997</v>
      </c>
      <c r="HO29">
        <v>7.1915100000000001</v>
      </c>
      <c r="HP29">
        <v>1</v>
      </c>
      <c r="HQ29">
        <v>0.83715399999999995</v>
      </c>
      <c r="HR29">
        <v>9.2810500000000005</v>
      </c>
      <c r="HS29">
        <v>20.0379</v>
      </c>
      <c r="HT29">
        <v>5.2100999999999997</v>
      </c>
      <c r="HU29">
        <v>11.914099999999999</v>
      </c>
      <c r="HV29">
        <v>4.9855999999999998</v>
      </c>
      <c r="HW29">
        <v>3.2709999999999999</v>
      </c>
      <c r="HX29">
        <v>9999</v>
      </c>
      <c r="HY29">
        <v>9999</v>
      </c>
      <c r="HZ29">
        <v>9999</v>
      </c>
      <c r="IA29">
        <v>999.9</v>
      </c>
      <c r="IB29">
        <v>1.8673999999999999</v>
      </c>
      <c r="IC29">
        <v>1.8632200000000001</v>
      </c>
      <c r="ID29">
        <v>1.8626400000000001</v>
      </c>
      <c r="IE29">
        <v>1.8622099999999999</v>
      </c>
      <c r="IF29">
        <v>1.8622799999999999</v>
      </c>
      <c r="IG29">
        <v>1.8626400000000001</v>
      </c>
      <c r="IH29">
        <v>1.8636200000000001</v>
      </c>
      <c r="II29">
        <v>1.8615699999999999</v>
      </c>
      <c r="IJ29">
        <v>0</v>
      </c>
      <c r="IK29">
        <v>0</v>
      </c>
      <c r="IL29">
        <v>0</v>
      </c>
      <c r="IM29">
        <v>4.5</v>
      </c>
      <c r="IN29" t="s">
        <v>411</v>
      </c>
      <c r="IO29" t="s">
        <v>412</v>
      </c>
      <c r="IP29" t="s">
        <v>413</v>
      </c>
      <c r="IQ29" t="s">
        <v>414</v>
      </c>
      <c r="IR29" t="s">
        <v>414</v>
      </c>
      <c r="IS29" t="s">
        <v>413</v>
      </c>
      <c r="IT29">
        <v>0</v>
      </c>
      <c r="IU29">
        <v>100</v>
      </c>
      <c r="IV29">
        <v>100</v>
      </c>
      <c r="IW29">
        <v>-5.9569999999999999</v>
      </c>
      <c r="IX29">
        <v>-0.63649999999999995</v>
      </c>
      <c r="IY29">
        <v>-3.968460374135343</v>
      </c>
      <c r="IZ29">
        <v>-5.6215304933332991E-3</v>
      </c>
      <c r="JA29">
        <v>2.3979931213773931E-6</v>
      </c>
      <c r="JB29">
        <v>-3.6297174575716598E-10</v>
      </c>
      <c r="JC29">
        <v>-0.93870359021820082</v>
      </c>
      <c r="JD29">
        <v>2.7492919904454862E-4</v>
      </c>
      <c r="JE29">
        <v>8.6739513355948885E-4</v>
      </c>
      <c r="JF29">
        <v>-8.2500691715147318E-6</v>
      </c>
      <c r="JG29">
        <v>17</v>
      </c>
      <c r="JH29">
        <v>1914</v>
      </c>
      <c r="JI29">
        <v>2</v>
      </c>
      <c r="JJ29">
        <v>37</v>
      </c>
      <c r="JK29">
        <v>0.8</v>
      </c>
      <c r="JL29">
        <v>0.9</v>
      </c>
      <c r="JM29">
        <v>1.0815399999999999</v>
      </c>
      <c r="JN29">
        <v>2.5866699999999998</v>
      </c>
      <c r="JO29">
        <v>1.50024</v>
      </c>
      <c r="JP29">
        <v>2.2644000000000002</v>
      </c>
      <c r="JQ29">
        <v>1.4477500000000001</v>
      </c>
      <c r="JR29">
        <v>2.4621599999999999</v>
      </c>
      <c r="JS29">
        <v>52.036099999999998</v>
      </c>
      <c r="JT29">
        <v>14.0883</v>
      </c>
      <c r="JU29">
        <v>18</v>
      </c>
      <c r="JV29">
        <v>546.23500000000001</v>
      </c>
      <c r="JW29">
        <v>371.65300000000002</v>
      </c>
      <c r="JX29">
        <v>19.2742</v>
      </c>
      <c r="JY29">
        <v>37.000799999999998</v>
      </c>
      <c r="JZ29">
        <v>30.000299999999999</v>
      </c>
      <c r="KA29">
        <v>36.911299999999997</v>
      </c>
      <c r="KB29">
        <v>36.904899999999998</v>
      </c>
      <c r="KC29">
        <v>21.6494</v>
      </c>
      <c r="KD29">
        <v>57.8675</v>
      </c>
      <c r="KE29">
        <v>0</v>
      </c>
      <c r="KF29">
        <v>19.986999999999998</v>
      </c>
      <c r="KG29">
        <v>417.42</v>
      </c>
      <c r="KH29">
        <v>19.901</v>
      </c>
      <c r="KI29">
        <v>100.066</v>
      </c>
      <c r="KJ29">
        <v>98.313900000000004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14916-BB5C-4B94-8304-6B3CFAADA1A8}">
  <dimension ref="A2:KJ29"/>
  <sheetViews>
    <sheetView workbookViewId="0">
      <selection activeCell="J32" sqref="J32"/>
    </sheetView>
  </sheetViews>
  <sheetFormatPr defaultRowHeight="14.4" x14ac:dyDescent="0.3"/>
  <sheetData>
    <row r="2" spans="1:296" x14ac:dyDescent="0.3">
      <c r="A2" t="s">
        <v>0</v>
      </c>
      <c r="B2" t="s">
        <v>1</v>
      </c>
      <c r="C2" t="s">
        <v>2</v>
      </c>
    </row>
    <row r="3" spans="1:296" x14ac:dyDescent="0.3">
      <c r="B3" t="s">
        <v>3</v>
      </c>
      <c r="C3">
        <v>21</v>
      </c>
    </row>
    <row r="4" spans="1:296" x14ac:dyDescent="0.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</row>
    <row r="5" spans="1:296" x14ac:dyDescent="0.3">
      <c r="B5" t="s">
        <v>15</v>
      </c>
      <c r="C5" t="s">
        <v>16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96" x14ac:dyDescent="0.3">
      <c r="A6" t="s">
        <v>17</v>
      </c>
      <c r="B6" t="s">
        <v>18</v>
      </c>
      <c r="C6" t="s">
        <v>19</v>
      </c>
      <c r="D6" t="s">
        <v>20</v>
      </c>
      <c r="E6" t="s">
        <v>21</v>
      </c>
    </row>
    <row r="7" spans="1:296" x14ac:dyDescent="0.3">
      <c r="B7">
        <v>0</v>
      </c>
      <c r="C7">
        <v>1</v>
      </c>
      <c r="D7">
        <v>0</v>
      </c>
      <c r="E7">
        <v>0</v>
      </c>
    </row>
    <row r="8" spans="1:296" x14ac:dyDescent="0.3">
      <c r="A8" t="s">
        <v>22</v>
      </c>
      <c r="B8" t="s">
        <v>23</v>
      </c>
      <c r="C8" t="s">
        <v>24</v>
      </c>
      <c r="D8" t="s">
        <v>25</v>
      </c>
      <c r="E8" t="s">
        <v>26</v>
      </c>
      <c r="F8" t="s">
        <v>27</v>
      </c>
      <c r="G8" t="s">
        <v>28</v>
      </c>
      <c r="H8" t="s">
        <v>29</v>
      </c>
      <c r="I8" t="s">
        <v>30</v>
      </c>
      <c r="J8" t="s">
        <v>31</v>
      </c>
      <c r="K8" t="s">
        <v>32</v>
      </c>
      <c r="L8" t="s">
        <v>33</v>
      </c>
      <c r="M8" t="s">
        <v>34</v>
      </c>
      <c r="N8" t="s">
        <v>35</v>
      </c>
      <c r="O8" t="s">
        <v>36</v>
      </c>
      <c r="P8" t="s">
        <v>37</v>
      </c>
      <c r="Q8" t="s">
        <v>38</v>
      </c>
    </row>
    <row r="9" spans="1:296" x14ac:dyDescent="0.3">
      <c r="B9" t="s">
        <v>39</v>
      </c>
      <c r="C9" t="s">
        <v>40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96" x14ac:dyDescent="0.3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</row>
    <row r="11" spans="1:296" x14ac:dyDescent="0.3">
      <c r="B11">
        <v>0</v>
      </c>
      <c r="C11">
        <v>0</v>
      </c>
      <c r="D11">
        <v>0</v>
      </c>
      <c r="E11">
        <v>0</v>
      </c>
      <c r="F11">
        <v>1</v>
      </c>
    </row>
    <row r="12" spans="1:296" x14ac:dyDescent="0.3">
      <c r="A12" t="s">
        <v>47</v>
      </c>
      <c r="B12" t="s">
        <v>48</v>
      </c>
      <c r="C12" t="s">
        <v>49</v>
      </c>
      <c r="D12" t="s">
        <v>50</v>
      </c>
      <c r="E12" t="s">
        <v>51</v>
      </c>
      <c r="F12" t="s">
        <v>52</v>
      </c>
      <c r="G12" t="s">
        <v>53</v>
      </c>
      <c r="H12" t="s">
        <v>54</v>
      </c>
    </row>
    <row r="13" spans="1:296" x14ac:dyDescent="0.3">
      <c r="B13">
        <v>-6276</v>
      </c>
      <c r="C13">
        <v>6.6</v>
      </c>
      <c r="D13">
        <v>1.7090000000000001E-5</v>
      </c>
      <c r="E13">
        <v>3.11</v>
      </c>
      <c r="F13" t="s">
        <v>521</v>
      </c>
      <c r="G13" t="s">
        <v>522</v>
      </c>
      <c r="H13">
        <v>0</v>
      </c>
    </row>
    <row r="14" spans="1:296" x14ac:dyDescent="0.3">
      <c r="A14" t="s">
        <v>57</v>
      </c>
      <c r="B14" t="s">
        <v>57</v>
      </c>
      <c r="C14" t="s">
        <v>57</v>
      </c>
      <c r="D14" t="s">
        <v>57</v>
      </c>
      <c r="E14" t="s">
        <v>57</v>
      </c>
      <c r="F14" t="s">
        <v>57</v>
      </c>
      <c r="G14" t="s">
        <v>58</v>
      </c>
      <c r="H14" t="s">
        <v>59</v>
      </c>
      <c r="I14" t="s">
        <v>59</v>
      </c>
      <c r="J14" t="s">
        <v>59</v>
      </c>
      <c r="K14" t="s">
        <v>59</v>
      </c>
      <c r="L14" t="s">
        <v>59</v>
      </c>
      <c r="M14" t="s">
        <v>59</v>
      </c>
      <c r="N14" t="s">
        <v>59</v>
      </c>
      <c r="O14" t="s">
        <v>59</v>
      </c>
      <c r="P14" t="s">
        <v>59</v>
      </c>
      <c r="Q14" t="s">
        <v>59</v>
      </c>
      <c r="R14" t="s">
        <v>59</v>
      </c>
      <c r="S14" t="s">
        <v>59</v>
      </c>
      <c r="T14" t="s">
        <v>59</v>
      </c>
      <c r="U14" t="s">
        <v>59</v>
      </c>
      <c r="V14" t="s">
        <v>59</v>
      </c>
      <c r="W14" t="s">
        <v>59</v>
      </c>
      <c r="X14" t="s">
        <v>59</v>
      </c>
      <c r="Y14" t="s">
        <v>59</v>
      </c>
      <c r="Z14" t="s">
        <v>59</v>
      </c>
      <c r="AA14" t="s">
        <v>59</v>
      </c>
      <c r="AB14" t="s">
        <v>59</v>
      </c>
      <c r="AC14" t="s">
        <v>59</v>
      </c>
      <c r="AD14" t="s">
        <v>59</v>
      </c>
      <c r="AE14" t="s">
        <v>59</v>
      </c>
      <c r="AF14" t="s">
        <v>59</v>
      </c>
      <c r="AG14" t="s">
        <v>59</v>
      </c>
      <c r="AH14" t="s">
        <v>60</v>
      </c>
      <c r="AI14" t="s">
        <v>60</v>
      </c>
      <c r="AJ14" t="s">
        <v>60</v>
      </c>
      <c r="AK14" t="s">
        <v>60</v>
      </c>
      <c r="AL14" t="s">
        <v>60</v>
      </c>
      <c r="AM14" t="s">
        <v>60</v>
      </c>
      <c r="AN14" t="s">
        <v>60</v>
      </c>
      <c r="AO14" t="s">
        <v>60</v>
      </c>
      <c r="AP14" t="s">
        <v>60</v>
      </c>
      <c r="AQ14" t="s">
        <v>60</v>
      </c>
      <c r="AR14" t="s">
        <v>61</v>
      </c>
      <c r="AS14" t="s">
        <v>61</v>
      </c>
      <c r="AT14" t="s">
        <v>61</v>
      </c>
      <c r="AU14" t="s">
        <v>61</v>
      </c>
      <c r="AV14" t="s">
        <v>61</v>
      </c>
      <c r="AW14" t="s">
        <v>62</v>
      </c>
      <c r="AX14" t="s">
        <v>62</v>
      </c>
      <c r="AY14" t="s">
        <v>62</v>
      </c>
      <c r="AZ14" t="s">
        <v>62</v>
      </c>
      <c r="BA14" t="s">
        <v>62</v>
      </c>
      <c r="BB14" t="s">
        <v>62</v>
      </c>
      <c r="BC14" t="s">
        <v>62</v>
      </c>
      <c r="BD14" t="s">
        <v>62</v>
      </c>
      <c r="BE14" t="s">
        <v>62</v>
      </c>
      <c r="BF14" t="s">
        <v>62</v>
      </c>
      <c r="BG14" t="s">
        <v>62</v>
      </c>
      <c r="BH14" t="s">
        <v>62</v>
      </c>
      <c r="BI14" t="s">
        <v>62</v>
      </c>
      <c r="BJ14" t="s">
        <v>62</v>
      </c>
      <c r="BK14" t="s">
        <v>62</v>
      </c>
      <c r="BL14" t="s">
        <v>62</v>
      </c>
      <c r="BM14" t="s">
        <v>62</v>
      </c>
      <c r="BN14" t="s">
        <v>62</v>
      </c>
      <c r="BO14" t="s">
        <v>62</v>
      </c>
      <c r="BP14" t="s">
        <v>62</v>
      </c>
      <c r="BQ14" t="s">
        <v>62</v>
      </c>
      <c r="BR14" t="s">
        <v>62</v>
      </c>
      <c r="BS14" t="s">
        <v>62</v>
      </c>
      <c r="BT14" t="s">
        <v>62</v>
      </c>
      <c r="BU14" t="s">
        <v>62</v>
      </c>
      <c r="BV14" t="s">
        <v>62</v>
      </c>
      <c r="BW14" t="s">
        <v>62</v>
      </c>
      <c r="BX14" t="s">
        <v>62</v>
      </c>
      <c r="BY14" t="s">
        <v>63</v>
      </c>
      <c r="BZ14" t="s">
        <v>63</v>
      </c>
      <c r="CA14" t="s">
        <v>63</v>
      </c>
      <c r="CB14" t="s">
        <v>63</v>
      </c>
      <c r="CC14" t="s">
        <v>63</v>
      </c>
      <c r="CD14" t="s">
        <v>63</v>
      </c>
      <c r="CE14" t="s">
        <v>63</v>
      </c>
      <c r="CF14" t="s">
        <v>63</v>
      </c>
      <c r="CG14" t="s">
        <v>63</v>
      </c>
      <c r="CH14" t="s">
        <v>63</v>
      </c>
      <c r="CI14" t="s">
        <v>63</v>
      </c>
      <c r="CJ14" t="s">
        <v>63</v>
      </c>
      <c r="CK14" t="s">
        <v>63</v>
      </c>
      <c r="CL14" t="s">
        <v>63</v>
      </c>
      <c r="CM14" t="s">
        <v>63</v>
      </c>
      <c r="CN14" t="s">
        <v>63</v>
      </c>
      <c r="CO14" t="s">
        <v>63</v>
      </c>
      <c r="CP14" t="s">
        <v>63</v>
      </c>
      <c r="CQ14" t="s">
        <v>63</v>
      </c>
      <c r="CR14" t="s">
        <v>63</v>
      </c>
      <c r="CS14" t="s">
        <v>63</v>
      </c>
      <c r="CT14" t="s">
        <v>64</v>
      </c>
      <c r="CU14" t="s">
        <v>64</v>
      </c>
      <c r="CV14" t="s">
        <v>64</v>
      </c>
      <c r="CW14" t="s">
        <v>64</v>
      </c>
      <c r="CX14" t="s">
        <v>64</v>
      </c>
      <c r="CY14" t="s">
        <v>64</v>
      </c>
      <c r="CZ14" t="s">
        <v>64</v>
      </c>
      <c r="DA14" t="s">
        <v>64</v>
      </c>
      <c r="DB14" t="s">
        <v>64</v>
      </c>
      <c r="DC14" t="s">
        <v>64</v>
      </c>
      <c r="DD14" t="s">
        <v>64</v>
      </c>
      <c r="DE14" t="s">
        <v>64</v>
      </c>
      <c r="DF14" t="s">
        <v>64</v>
      </c>
      <c r="DG14" t="s">
        <v>65</v>
      </c>
      <c r="DH14" t="s">
        <v>65</v>
      </c>
      <c r="DI14" t="s">
        <v>65</v>
      </c>
      <c r="DJ14" t="s">
        <v>65</v>
      </c>
      <c r="DK14" t="s">
        <v>66</v>
      </c>
      <c r="DL14" t="s">
        <v>66</v>
      </c>
      <c r="DM14" t="s">
        <v>66</v>
      </c>
      <c r="DN14" t="s">
        <v>66</v>
      </c>
      <c r="DO14" t="s">
        <v>66</v>
      </c>
      <c r="DP14" t="s">
        <v>67</v>
      </c>
      <c r="DQ14" t="s">
        <v>67</v>
      </c>
      <c r="DR14" t="s">
        <v>67</v>
      </c>
      <c r="DS14" t="s">
        <v>67</v>
      </c>
      <c r="DT14" t="s">
        <v>67</v>
      </c>
      <c r="DU14" t="s">
        <v>67</v>
      </c>
      <c r="DV14" t="s">
        <v>67</v>
      </c>
      <c r="DW14" t="s">
        <v>67</v>
      </c>
      <c r="DX14" t="s">
        <v>67</v>
      </c>
      <c r="DY14" t="s">
        <v>67</v>
      </c>
      <c r="DZ14" t="s">
        <v>67</v>
      </c>
      <c r="EA14" t="s">
        <v>67</v>
      </c>
      <c r="EB14" t="s">
        <v>67</v>
      </c>
      <c r="EC14" t="s">
        <v>67</v>
      </c>
      <c r="ED14" t="s">
        <v>67</v>
      </c>
      <c r="EE14" t="s">
        <v>67</v>
      </c>
      <c r="EF14" t="s">
        <v>67</v>
      </c>
      <c r="EG14" t="s">
        <v>67</v>
      </c>
      <c r="EH14" t="s">
        <v>68</v>
      </c>
      <c r="EI14" t="s">
        <v>68</v>
      </c>
      <c r="EJ14" t="s">
        <v>68</v>
      </c>
      <c r="EK14" t="s">
        <v>68</v>
      </c>
      <c r="EL14" t="s">
        <v>68</v>
      </c>
      <c r="EM14" t="s">
        <v>68</v>
      </c>
      <c r="EN14" t="s">
        <v>68</v>
      </c>
      <c r="EO14" t="s">
        <v>68</v>
      </c>
      <c r="EP14" t="s">
        <v>68</v>
      </c>
      <c r="EQ14" t="s">
        <v>68</v>
      </c>
      <c r="ER14" t="s">
        <v>69</v>
      </c>
      <c r="ES14" t="s">
        <v>69</v>
      </c>
      <c r="ET14" t="s">
        <v>69</v>
      </c>
      <c r="EU14" t="s">
        <v>69</v>
      </c>
      <c r="EV14" t="s">
        <v>69</v>
      </c>
      <c r="EW14" t="s">
        <v>69</v>
      </c>
      <c r="EX14" t="s">
        <v>69</v>
      </c>
      <c r="EY14" t="s">
        <v>69</v>
      </c>
      <c r="EZ14" t="s">
        <v>69</v>
      </c>
      <c r="FA14" t="s">
        <v>69</v>
      </c>
      <c r="FB14" t="s">
        <v>69</v>
      </c>
      <c r="FC14" t="s">
        <v>69</v>
      </c>
      <c r="FD14" t="s">
        <v>69</v>
      </c>
      <c r="FE14" t="s">
        <v>69</v>
      </c>
      <c r="FF14" t="s">
        <v>69</v>
      </c>
      <c r="FG14" t="s">
        <v>69</v>
      </c>
      <c r="FH14" t="s">
        <v>69</v>
      </c>
      <c r="FI14" t="s">
        <v>69</v>
      </c>
      <c r="FJ14" t="s">
        <v>70</v>
      </c>
      <c r="FK14" t="s">
        <v>70</v>
      </c>
      <c r="FL14" t="s">
        <v>70</v>
      </c>
      <c r="FM14" t="s">
        <v>70</v>
      </c>
      <c r="FN14" t="s">
        <v>70</v>
      </c>
      <c r="FO14" t="s">
        <v>71</v>
      </c>
      <c r="FP14" t="s">
        <v>71</v>
      </c>
      <c r="FQ14" t="s">
        <v>71</v>
      </c>
      <c r="FR14" t="s">
        <v>71</v>
      </c>
      <c r="FS14" t="s">
        <v>71</v>
      </c>
      <c r="FT14" t="s">
        <v>71</v>
      </c>
      <c r="FU14" t="s">
        <v>71</v>
      </c>
      <c r="FV14" t="s">
        <v>71</v>
      </c>
      <c r="FW14" t="s">
        <v>71</v>
      </c>
      <c r="FX14" t="s">
        <v>71</v>
      </c>
      <c r="FY14" t="s">
        <v>71</v>
      </c>
      <c r="FZ14" t="s">
        <v>71</v>
      </c>
      <c r="GA14" t="s">
        <v>71</v>
      </c>
      <c r="GB14" t="s">
        <v>72</v>
      </c>
      <c r="GC14" t="s">
        <v>72</v>
      </c>
      <c r="GD14" t="s">
        <v>72</v>
      </c>
      <c r="GE14" t="s">
        <v>72</v>
      </c>
      <c r="GF14" t="s">
        <v>72</v>
      </c>
      <c r="GG14" t="s">
        <v>72</v>
      </c>
      <c r="GH14" t="s">
        <v>72</v>
      </c>
      <c r="GI14" t="s">
        <v>72</v>
      </c>
      <c r="GJ14" t="s">
        <v>72</v>
      </c>
      <c r="GK14" t="s">
        <v>72</v>
      </c>
      <c r="GL14" t="s">
        <v>72</v>
      </c>
      <c r="GM14" t="s">
        <v>72</v>
      </c>
      <c r="GN14" t="s">
        <v>72</v>
      </c>
      <c r="GO14" t="s">
        <v>72</v>
      </c>
      <c r="GP14" t="s">
        <v>72</v>
      </c>
      <c r="GQ14" t="s">
        <v>73</v>
      </c>
      <c r="GR14" t="s">
        <v>73</v>
      </c>
      <c r="GS14" t="s">
        <v>73</v>
      </c>
      <c r="GT14" t="s">
        <v>73</v>
      </c>
      <c r="GU14" t="s">
        <v>73</v>
      </c>
      <c r="GV14" t="s">
        <v>73</v>
      </c>
      <c r="GW14" t="s">
        <v>73</v>
      </c>
      <c r="GX14" t="s">
        <v>73</v>
      </c>
      <c r="GY14" t="s">
        <v>73</v>
      </c>
      <c r="GZ14" t="s">
        <v>73</v>
      </c>
      <c r="HA14" t="s">
        <v>73</v>
      </c>
      <c r="HB14" t="s">
        <v>73</v>
      </c>
      <c r="HC14" t="s">
        <v>73</v>
      </c>
      <c r="HD14" t="s">
        <v>73</v>
      </c>
      <c r="HE14" t="s">
        <v>73</v>
      </c>
      <c r="HF14" t="s">
        <v>73</v>
      </c>
      <c r="HG14" t="s">
        <v>73</v>
      </c>
      <c r="HH14" t="s">
        <v>73</v>
      </c>
      <c r="HI14" t="s">
        <v>74</v>
      </c>
      <c r="HJ14" t="s">
        <v>74</v>
      </c>
      <c r="HK14" t="s">
        <v>74</v>
      </c>
      <c r="HL14" t="s">
        <v>74</v>
      </c>
      <c r="HM14" t="s">
        <v>74</v>
      </c>
      <c r="HN14" t="s">
        <v>74</v>
      </c>
      <c r="HO14" t="s">
        <v>74</v>
      </c>
      <c r="HP14" t="s">
        <v>74</v>
      </c>
      <c r="HQ14" t="s">
        <v>74</v>
      </c>
      <c r="HR14" t="s">
        <v>74</v>
      </c>
      <c r="HS14" t="s">
        <v>74</v>
      </c>
      <c r="HT14" t="s">
        <v>74</v>
      </c>
      <c r="HU14" t="s">
        <v>74</v>
      </c>
      <c r="HV14" t="s">
        <v>74</v>
      </c>
      <c r="HW14" t="s">
        <v>74</v>
      </c>
      <c r="HX14" t="s">
        <v>74</v>
      </c>
      <c r="HY14" t="s">
        <v>74</v>
      </c>
      <c r="HZ14" t="s">
        <v>74</v>
      </c>
      <c r="IA14" t="s">
        <v>74</v>
      </c>
      <c r="IB14" t="s">
        <v>75</v>
      </c>
      <c r="IC14" t="s">
        <v>75</v>
      </c>
      <c r="ID14" t="s">
        <v>75</v>
      </c>
      <c r="IE14" t="s">
        <v>75</v>
      </c>
      <c r="IF14" t="s">
        <v>75</v>
      </c>
      <c r="IG14" t="s">
        <v>75</v>
      </c>
      <c r="IH14" t="s">
        <v>75</v>
      </c>
      <c r="II14" t="s">
        <v>75</v>
      </c>
      <c r="IJ14" t="s">
        <v>75</v>
      </c>
      <c r="IK14" t="s">
        <v>75</v>
      </c>
      <c r="IL14" t="s">
        <v>75</v>
      </c>
      <c r="IM14" t="s">
        <v>75</v>
      </c>
      <c r="IN14" t="s">
        <v>75</v>
      </c>
      <c r="IO14" t="s">
        <v>75</v>
      </c>
      <c r="IP14" t="s">
        <v>75</v>
      </c>
      <c r="IQ14" t="s">
        <v>75</v>
      </c>
      <c r="IR14" t="s">
        <v>75</v>
      </c>
      <c r="IS14" t="s">
        <v>75</v>
      </c>
      <c r="IT14" t="s">
        <v>75</v>
      </c>
      <c r="IU14" t="s">
        <v>76</v>
      </c>
      <c r="IV14" t="s">
        <v>76</v>
      </c>
      <c r="IW14" t="s">
        <v>76</v>
      </c>
      <c r="IX14" t="s">
        <v>76</v>
      </c>
      <c r="IY14" t="s">
        <v>76</v>
      </c>
      <c r="IZ14" t="s">
        <v>76</v>
      </c>
      <c r="JA14" t="s">
        <v>76</v>
      </c>
      <c r="JB14" t="s">
        <v>76</v>
      </c>
      <c r="JC14" t="s">
        <v>76</v>
      </c>
      <c r="JD14" t="s">
        <v>76</v>
      </c>
      <c r="JE14" t="s">
        <v>76</v>
      </c>
      <c r="JF14" t="s">
        <v>76</v>
      </c>
      <c r="JG14" t="s">
        <v>76</v>
      </c>
      <c r="JH14" t="s">
        <v>76</v>
      </c>
      <c r="JI14" t="s">
        <v>76</v>
      </c>
      <c r="JJ14" t="s">
        <v>76</v>
      </c>
      <c r="JK14" t="s">
        <v>76</v>
      </c>
      <c r="JL14" t="s">
        <v>76</v>
      </c>
      <c r="JM14" t="s">
        <v>77</v>
      </c>
      <c r="JN14" t="s">
        <v>77</v>
      </c>
      <c r="JO14" t="s">
        <v>77</v>
      </c>
      <c r="JP14" t="s">
        <v>77</v>
      </c>
      <c r="JQ14" t="s">
        <v>77</v>
      </c>
      <c r="JR14" t="s">
        <v>77</v>
      </c>
      <c r="JS14" t="s">
        <v>77</v>
      </c>
      <c r="JT14" t="s">
        <v>77</v>
      </c>
      <c r="JU14" t="s">
        <v>78</v>
      </c>
      <c r="JV14" t="s">
        <v>78</v>
      </c>
      <c r="JW14" t="s">
        <v>78</v>
      </c>
      <c r="JX14" t="s">
        <v>78</v>
      </c>
      <c r="JY14" t="s">
        <v>78</v>
      </c>
      <c r="JZ14" t="s">
        <v>78</v>
      </c>
      <c r="KA14" t="s">
        <v>78</v>
      </c>
      <c r="KB14" t="s">
        <v>78</v>
      </c>
      <c r="KC14" t="s">
        <v>78</v>
      </c>
      <c r="KD14" t="s">
        <v>78</v>
      </c>
      <c r="KE14" t="s">
        <v>78</v>
      </c>
      <c r="KF14" t="s">
        <v>78</v>
      </c>
      <c r="KG14" t="s">
        <v>78</v>
      </c>
      <c r="KH14" t="s">
        <v>78</v>
      </c>
      <c r="KI14" t="s">
        <v>78</v>
      </c>
      <c r="KJ14" t="s">
        <v>78</v>
      </c>
    </row>
    <row r="15" spans="1:296" x14ac:dyDescent="0.3">
      <c r="A15" t="s">
        <v>79</v>
      </c>
      <c r="B15" t="s">
        <v>80</v>
      </c>
      <c r="C15" t="s">
        <v>81</v>
      </c>
      <c r="D15" t="s">
        <v>82</v>
      </c>
      <c r="E15" t="s">
        <v>83</v>
      </c>
      <c r="F15" t="s">
        <v>84</v>
      </c>
      <c r="G15" t="s">
        <v>85</v>
      </c>
      <c r="H15" t="s">
        <v>86</v>
      </c>
      <c r="I15" t="s">
        <v>87</v>
      </c>
      <c r="J15" t="s">
        <v>88</v>
      </c>
      <c r="K15" t="s">
        <v>89</v>
      </c>
      <c r="L15" t="s">
        <v>90</v>
      </c>
      <c r="M15" t="s">
        <v>91</v>
      </c>
      <c r="N15" t="s">
        <v>92</v>
      </c>
      <c r="O15" t="s">
        <v>93</v>
      </c>
      <c r="P15" t="s">
        <v>94</v>
      </c>
      <c r="Q15" t="s">
        <v>95</v>
      </c>
      <c r="R15" t="s">
        <v>96</v>
      </c>
      <c r="S15" t="s">
        <v>97</v>
      </c>
      <c r="T15" t="s">
        <v>98</v>
      </c>
      <c r="U15" t="s">
        <v>99</v>
      </c>
      <c r="V15" t="s">
        <v>100</v>
      </c>
      <c r="W15" t="s">
        <v>101</v>
      </c>
      <c r="X15" t="s">
        <v>102</v>
      </c>
      <c r="Y15" t="s">
        <v>103</v>
      </c>
      <c r="Z15" t="s">
        <v>104</v>
      </c>
      <c r="AA15" t="s">
        <v>105</v>
      </c>
      <c r="AB15" t="s">
        <v>106</v>
      </c>
      <c r="AC15" t="s">
        <v>107</v>
      </c>
      <c r="AD15" t="s">
        <v>108</v>
      </c>
      <c r="AE15" t="s">
        <v>109</v>
      </c>
      <c r="AF15" t="s">
        <v>110</v>
      </c>
      <c r="AG15" t="s">
        <v>111</v>
      </c>
      <c r="AH15" t="s">
        <v>112</v>
      </c>
      <c r="AI15" t="s">
        <v>113</v>
      </c>
      <c r="AJ15" t="s">
        <v>114</v>
      </c>
      <c r="AK15" t="s">
        <v>115</v>
      </c>
      <c r="AL15" t="s">
        <v>116</v>
      </c>
      <c r="AM15" t="s">
        <v>117</v>
      </c>
      <c r="AN15" t="s">
        <v>118</v>
      </c>
      <c r="AO15" t="s">
        <v>119</v>
      </c>
      <c r="AP15" t="s">
        <v>120</v>
      </c>
      <c r="AQ15" t="s">
        <v>121</v>
      </c>
      <c r="AR15" t="s">
        <v>61</v>
      </c>
      <c r="AS15" t="s">
        <v>122</v>
      </c>
      <c r="AT15" t="s">
        <v>123</v>
      </c>
      <c r="AU15" t="s">
        <v>124</v>
      </c>
      <c r="AV15" t="s">
        <v>125</v>
      </c>
      <c r="AW15" t="s">
        <v>126</v>
      </c>
      <c r="AX15" t="s">
        <v>127</v>
      </c>
      <c r="AY15" t="s">
        <v>128</v>
      </c>
      <c r="AZ15" t="s">
        <v>129</v>
      </c>
      <c r="BA15" t="s">
        <v>130</v>
      </c>
      <c r="BB15" t="s">
        <v>131</v>
      </c>
      <c r="BC15" t="s">
        <v>132</v>
      </c>
      <c r="BD15" t="s">
        <v>133</v>
      </c>
      <c r="BE15" t="s">
        <v>134</v>
      </c>
      <c r="BF15" t="s">
        <v>135</v>
      </c>
      <c r="BG15" t="s">
        <v>136</v>
      </c>
      <c r="BH15" t="s">
        <v>137</v>
      </c>
      <c r="BI15" t="s">
        <v>138</v>
      </c>
      <c r="BJ15" t="s">
        <v>139</v>
      </c>
      <c r="BK15" t="s">
        <v>140</v>
      </c>
      <c r="BL15" t="s">
        <v>141</v>
      </c>
      <c r="BM15" t="s">
        <v>142</v>
      </c>
      <c r="BN15" t="s">
        <v>143</v>
      </c>
      <c r="BO15" t="s">
        <v>144</v>
      </c>
      <c r="BP15" t="s">
        <v>145</v>
      </c>
      <c r="BQ15" t="s">
        <v>146</v>
      </c>
      <c r="BR15" t="s">
        <v>147</v>
      </c>
      <c r="BS15" t="s">
        <v>148</v>
      </c>
      <c r="BT15" t="s">
        <v>149</v>
      </c>
      <c r="BU15" t="s">
        <v>150</v>
      </c>
      <c r="BV15" t="s">
        <v>151</v>
      </c>
      <c r="BW15" t="s">
        <v>152</v>
      </c>
      <c r="BX15" t="s">
        <v>153</v>
      </c>
      <c r="BY15" t="s">
        <v>154</v>
      </c>
      <c r="BZ15" t="s">
        <v>155</v>
      </c>
      <c r="CA15" t="s">
        <v>156</v>
      </c>
      <c r="CB15" t="s">
        <v>157</v>
      </c>
      <c r="CC15" t="s">
        <v>158</v>
      </c>
      <c r="CD15" t="s">
        <v>159</v>
      </c>
      <c r="CE15" t="s">
        <v>160</v>
      </c>
      <c r="CF15" t="s">
        <v>161</v>
      </c>
      <c r="CG15" t="s">
        <v>162</v>
      </c>
      <c r="CH15" t="s">
        <v>163</v>
      </c>
      <c r="CI15" t="s">
        <v>164</v>
      </c>
      <c r="CJ15" t="s">
        <v>165</v>
      </c>
      <c r="CK15" t="s">
        <v>166</v>
      </c>
      <c r="CL15" t="s">
        <v>167</v>
      </c>
      <c r="CM15" t="s">
        <v>168</v>
      </c>
      <c r="CN15" t="s">
        <v>169</v>
      </c>
      <c r="CO15" t="s">
        <v>170</v>
      </c>
      <c r="CP15" t="s">
        <v>171</v>
      </c>
      <c r="CQ15" t="s">
        <v>172</v>
      </c>
      <c r="CR15" t="s">
        <v>173</v>
      </c>
      <c r="CS15" t="s">
        <v>174</v>
      </c>
      <c r="CT15" t="s">
        <v>154</v>
      </c>
      <c r="CU15" t="s">
        <v>175</v>
      </c>
      <c r="CV15" t="s">
        <v>176</v>
      </c>
      <c r="CW15" t="s">
        <v>177</v>
      </c>
      <c r="CX15" t="s">
        <v>128</v>
      </c>
      <c r="CY15" t="s">
        <v>178</v>
      </c>
      <c r="CZ15" t="s">
        <v>179</v>
      </c>
      <c r="DA15" t="s">
        <v>180</v>
      </c>
      <c r="DB15" t="s">
        <v>181</v>
      </c>
      <c r="DC15" t="s">
        <v>182</v>
      </c>
      <c r="DD15" t="s">
        <v>183</v>
      </c>
      <c r="DE15" t="s">
        <v>184</v>
      </c>
      <c r="DF15" t="s">
        <v>185</v>
      </c>
      <c r="DG15" t="s">
        <v>186</v>
      </c>
      <c r="DH15" t="s">
        <v>187</v>
      </c>
      <c r="DI15" t="s">
        <v>188</v>
      </c>
      <c r="DJ15" t="s">
        <v>189</v>
      </c>
      <c r="DK15" t="s">
        <v>190</v>
      </c>
      <c r="DL15" t="s">
        <v>191</v>
      </c>
      <c r="DM15" t="s">
        <v>192</v>
      </c>
      <c r="DN15" t="s">
        <v>193</v>
      </c>
      <c r="DO15" t="s">
        <v>194</v>
      </c>
      <c r="DP15" t="s">
        <v>86</v>
      </c>
      <c r="DQ15" t="s">
        <v>195</v>
      </c>
      <c r="DR15" t="s">
        <v>196</v>
      </c>
      <c r="DS15" t="s">
        <v>197</v>
      </c>
      <c r="DT15" t="s">
        <v>198</v>
      </c>
      <c r="DU15" t="s">
        <v>199</v>
      </c>
      <c r="DV15" t="s">
        <v>200</v>
      </c>
      <c r="DW15" t="s">
        <v>201</v>
      </c>
      <c r="DX15" t="s">
        <v>202</v>
      </c>
      <c r="DY15" t="s">
        <v>203</v>
      </c>
      <c r="DZ15" t="s">
        <v>204</v>
      </c>
      <c r="EA15" t="s">
        <v>205</v>
      </c>
      <c r="EB15" t="s">
        <v>206</v>
      </c>
      <c r="EC15" t="s">
        <v>207</v>
      </c>
      <c r="ED15" t="s">
        <v>208</v>
      </c>
      <c r="EE15" t="s">
        <v>209</v>
      </c>
      <c r="EF15" t="s">
        <v>210</v>
      </c>
      <c r="EG15" t="s">
        <v>211</v>
      </c>
      <c r="EH15" t="s">
        <v>212</v>
      </c>
      <c r="EI15" t="s">
        <v>213</v>
      </c>
      <c r="EJ15" t="s">
        <v>214</v>
      </c>
      <c r="EK15" t="s">
        <v>215</v>
      </c>
      <c r="EL15" t="s">
        <v>216</v>
      </c>
      <c r="EM15" t="s">
        <v>217</v>
      </c>
      <c r="EN15" t="s">
        <v>218</v>
      </c>
      <c r="EO15" t="s">
        <v>219</v>
      </c>
      <c r="EP15" t="s">
        <v>220</v>
      </c>
      <c r="EQ15" t="s">
        <v>221</v>
      </c>
      <c r="ER15" t="s">
        <v>222</v>
      </c>
      <c r="ES15" t="s">
        <v>223</v>
      </c>
      <c r="ET15" t="s">
        <v>224</v>
      </c>
      <c r="EU15" t="s">
        <v>225</v>
      </c>
      <c r="EV15" t="s">
        <v>226</v>
      </c>
      <c r="EW15" t="s">
        <v>227</v>
      </c>
      <c r="EX15" t="s">
        <v>228</v>
      </c>
      <c r="EY15" t="s">
        <v>229</v>
      </c>
      <c r="EZ15" t="s">
        <v>230</v>
      </c>
      <c r="FA15" t="s">
        <v>231</v>
      </c>
      <c r="FB15" t="s">
        <v>232</v>
      </c>
      <c r="FC15" t="s">
        <v>233</v>
      </c>
      <c r="FD15" t="s">
        <v>234</v>
      </c>
      <c r="FE15" t="s">
        <v>235</v>
      </c>
      <c r="FF15" t="s">
        <v>236</v>
      </c>
      <c r="FG15" t="s">
        <v>237</v>
      </c>
      <c r="FH15" t="s">
        <v>238</v>
      </c>
      <c r="FI15" t="s">
        <v>239</v>
      </c>
      <c r="FJ15" t="s">
        <v>240</v>
      </c>
      <c r="FK15" t="s">
        <v>241</v>
      </c>
      <c r="FL15" t="s">
        <v>242</v>
      </c>
      <c r="FM15" t="s">
        <v>243</v>
      </c>
      <c r="FN15" t="s">
        <v>244</v>
      </c>
      <c r="FO15" t="s">
        <v>80</v>
      </c>
      <c r="FP15" t="s">
        <v>83</v>
      </c>
      <c r="FQ15" t="s">
        <v>245</v>
      </c>
      <c r="FR15" t="s">
        <v>246</v>
      </c>
      <c r="FS15" t="s">
        <v>247</v>
      </c>
      <c r="FT15" t="s">
        <v>248</v>
      </c>
      <c r="FU15" t="s">
        <v>249</v>
      </c>
      <c r="FV15" t="s">
        <v>250</v>
      </c>
      <c r="FW15" t="s">
        <v>251</v>
      </c>
      <c r="FX15" t="s">
        <v>252</v>
      </c>
      <c r="FY15" t="s">
        <v>253</v>
      </c>
      <c r="FZ15" t="s">
        <v>254</v>
      </c>
      <c r="GA15" t="s">
        <v>255</v>
      </c>
      <c r="GB15" t="s">
        <v>256</v>
      </c>
      <c r="GC15" t="s">
        <v>257</v>
      </c>
      <c r="GD15" t="s">
        <v>258</v>
      </c>
      <c r="GE15" t="s">
        <v>259</v>
      </c>
      <c r="GF15" t="s">
        <v>260</v>
      </c>
      <c r="GG15" t="s">
        <v>261</v>
      </c>
      <c r="GH15" t="s">
        <v>262</v>
      </c>
      <c r="GI15" t="s">
        <v>263</v>
      </c>
      <c r="GJ15" t="s">
        <v>264</v>
      </c>
      <c r="GK15" t="s">
        <v>265</v>
      </c>
      <c r="GL15" t="s">
        <v>266</v>
      </c>
      <c r="GM15" t="s">
        <v>267</v>
      </c>
      <c r="GN15" t="s">
        <v>268</v>
      </c>
      <c r="GO15" t="s">
        <v>269</v>
      </c>
      <c r="GP15" t="s">
        <v>270</v>
      </c>
      <c r="GQ15" t="s">
        <v>271</v>
      </c>
      <c r="GR15" t="s">
        <v>272</v>
      </c>
      <c r="GS15" t="s">
        <v>273</v>
      </c>
      <c r="GT15" t="s">
        <v>274</v>
      </c>
      <c r="GU15" t="s">
        <v>275</v>
      </c>
      <c r="GV15" t="s">
        <v>276</v>
      </c>
      <c r="GW15" t="s">
        <v>277</v>
      </c>
      <c r="GX15" t="s">
        <v>278</v>
      </c>
      <c r="GY15" t="s">
        <v>279</v>
      </c>
      <c r="GZ15" t="s">
        <v>280</v>
      </c>
      <c r="HA15" t="s">
        <v>281</v>
      </c>
      <c r="HB15" t="s">
        <v>282</v>
      </c>
      <c r="HC15" t="s">
        <v>283</v>
      </c>
      <c r="HD15" t="s">
        <v>284</v>
      </c>
      <c r="HE15" t="s">
        <v>285</v>
      </c>
      <c r="HF15" t="s">
        <v>286</v>
      </c>
      <c r="HG15" t="s">
        <v>287</v>
      </c>
      <c r="HH15" t="s">
        <v>288</v>
      </c>
      <c r="HI15" t="s">
        <v>289</v>
      </c>
      <c r="HJ15" t="s">
        <v>290</v>
      </c>
      <c r="HK15" t="s">
        <v>291</v>
      </c>
      <c r="HL15" t="s">
        <v>292</v>
      </c>
      <c r="HM15" t="s">
        <v>293</v>
      </c>
      <c r="HN15" t="s">
        <v>294</v>
      </c>
      <c r="HO15" t="s">
        <v>295</v>
      </c>
      <c r="HP15" t="s">
        <v>296</v>
      </c>
      <c r="HQ15" t="s">
        <v>297</v>
      </c>
      <c r="HR15" t="s">
        <v>298</v>
      </c>
      <c r="HS15" t="s">
        <v>299</v>
      </c>
      <c r="HT15" t="s">
        <v>300</v>
      </c>
      <c r="HU15" t="s">
        <v>301</v>
      </c>
      <c r="HV15" t="s">
        <v>302</v>
      </c>
      <c r="HW15" t="s">
        <v>303</v>
      </c>
      <c r="HX15" t="s">
        <v>304</v>
      </c>
      <c r="HY15" t="s">
        <v>305</v>
      </c>
      <c r="HZ15" t="s">
        <v>306</v>
      </c>
      <c r="IA15" t="s">
        <v>307</v>
      </c>
      <c r="IB15" t="s">
        <v>308</v>
      </c>
      <c r="IC15" t="s">
        <v>309</v>
      </c>
      <c r="ID15" t="s">
        <v>310</v>
      </c>
      <c r="IE15" t="s">
        <v>311</v>
      </c>
      <c r="IF15" t="s">
        <v>312</v>
      </c>
      <c r="IG15" t="s">
        <v>313</v>
      </c>
      <c r="IH15" t="s">
        <v>314</v>
      </c>
      <c r="II15" t="s">
        <v>315</v>
      </c>
      <c r="IJ15" t="s">
        <v>316</v>
      </c>
      <c r="IK15" t="s">
        <v>317</v>
      </c>
      <c r="IL15" t="s">
        <v>318</v>
      </c>
      <c r="IM15" t="s">
        <v>319</v>
      </c>
      <c r="IN15" t="s">
        <v>320</v>
      </c>
      <c r="IO15" t="s">
        <v>321</v>
      </c>
      <c r="IP15" t="s">
        <v>322</v>
      </c>
      <c r="IQ15" t="s">
        <v>323</v>
      </c>
      <c r="IR15" t="s">
        <v>324</v>
      </c>
      <c r="IS15" t="s">
        <v>325</v>
      </c>
      <c r="IT15" t="s">
        <v>326</v>
      </c>
      <c r="IU15" t="s">
        <v>327</v>
      </c>
      <c r="IV15" t="s">
        <v>328</v>
      </c>
      <c r="IW15" t="s">
        <v>329</v>
      </c>
      <c r="IX15" t="s">
        <v>330</v>
      </c>
      <c r="IY15" t="s">
        <v>331</v>
      </c>
      <c r="IZ15" t="s">
        <v>332</v>
      </c>
      <c r="JA15" t="s">
        <v>333</v>
      </c>
      <c r="JB15" t="s">
        <v>334</v>
      </c>
      <c r="JC15" t="s">
        <v>335</v>
      </c>
      <c r="JD15" t="s">
        <v>336</v>
      </c>
      <c r="JE15" t="s">
        <v>337</v>
      </c>
      <c r="JF15" t="s">
        <v>338</v>
      </c>
      <c r="JG15" t="s">
        <v>339</v>
      </c>
      <c r="JH15" t="s">
        <v>340</v>
      </c>
      <c r="JI15" t="s">
        <v>341</v>
      </c>
      <c r="JJ15" t="s">
        <v>342</v>
      </c>
      <c r="JK15" t="s">
        <v>343</v>
      </c>
      <c r="JL15" t="s">
        <v>344</v>
      </c>
      <c r="JM15" t="s">
        <v>345</v>
      </c>
      <c r="JN15" t="s">
        <v>346</v>
      </c>
      <c r="JO15" t="s">
        <v>347</v>
      </c>
      <c r="JP15" t="s">
        <v>348</v>
      </c>
      <c r="JQ15" t="s">
        <v>349</v>
      </c>
      <c r="JR15" t="s">
        <v>350</v>
      </c>
      <c r="JS15" t="s">
        <v>351</v>
      </c>
      <c r="JT15" t="s">
        <v>352</v>
      </c>
      <c r="JU15" t="s">
        <v>353</v>
      </c>
      <c r="JV15" t="s">
        <v>354</v>
      </c>
      <c r="JW15" t="s">
        <v>355</v>
      </c>
      <c r="JX15" t="s">
        <v>356</v>
      </c>
      <c r="JY15" t="s">
        <v>357</v>
      </c>
      <c r="JZ15" t="s">
        <v>358</v>
      </c>
      <c r="KA15" t="s">
        <v>359</v>
      </c>
      <c r="KB15" t="s">
        <v>360</v>
      </c>
      <c r="KC15" t="s">
        <v>361</v>
      </c>
      <c r="KD15" t="s">
        <v>362</v>
      </c>
      <c r="KE15" t="s">
        <v>363</v>
      </c>
      <c r="KF15" t="s">
        <v>364</v>
      </c>
      <c r="KG15" t="s">
        <v>365</v>
      </c>
      <c r="KH15" t="s">
        <v>366</v>
      </c>
      <c r="KI15" t="s">
        <v>367</v>
      </c>
      <c r="KJ15" t="s">
        <v>368</v>
      </c>
    </row>
    <row r="16" spans="1:296" x14ac:dyDescent="0.3">
      <c r="B16" t="s">
        <v>369</v>
      </c>
      <c r="C16" t="s">
        <v>369</v>
      </c>
      <c r="F16" t="s">
        <v>369</v>
      </c>
      <c r="H16" t="s">
        <v>369</v>
      </c>
      <c r="I16" t="s">
        <v>370</v>
      </c>
      <c r="J16" t="s">
        <v>371</v>
      </c>
      <c r="K16" t="s">
        <v>372</v>
      </c>
      <c r="L16" t="s">
        <v>373</v>
      </c>
      <c r="M16" t="s">
        <v>373</v>
      </c>
      <c r="N16" t="s">
        <v>202</v>
      </c>
      <c r="O16" t="s">
        <v>202</v>
      </c>
      <c r="P16" t="s">
        <v>370</v>
      </c>
      <c r="Q16" t="s">
        <v>370</v>
      </c>
      <c r="R16" t="s">
        <v>370</v>
      </c>
      <c r="S16" t="s">
        <v>370</v>
      </c>
      <c r="T16" t="s">
        <v>374</v>
      </c>
      <c r="U16" t="s">
        <v>375</v>
      </c>
      <c r="V16" t="s">
        <v>375</v>
      </c>
      <c r="W16" t="s">
        <v>376</v>
      </c>
      <c r="X16" t="s">
        <v>377</v>
      </c>
      <c r="Y16" t="s">
        <v>376</v>
      </c>
      <c r="Z16" t="s">
        <v>376</v>
      </c>
      <c r="AA16" t="s">
        <v>376</v>
      </c>
      <c r="AB16" t="s">
        <v>374</v>
      </c>
      <c r="AC16" t="s">
        <v>374</v>
      </c>
      <c r="AD16" t="s">
        <v>374</v>
      </c>
      <c r="AE16" t="s">
        <v>374</v>
      </c>
      <c r="AF16" t="s">
        <v>372</v>
      </c>
      <c r="AG16" t="s">
        <v>371</v>
      </c>
      <c r="AH16" t="s">
        <v>372</v>
      </c>
      <c r="AI16" t="s">
        <v>373</v>
      </c>
      <c r="AJ16" t="s">
        <v>373</v>
      </c>
      <c r="AK16" t="s">
        <v>378</v>
      </c>
      <c r="AL16" t="s">
        <v>379</v>
      </c>
      <c r="AM16" t="s">
        <v>371</v>
      </c>
      <c r="AN16" t="s">
        <v>380</v>
      </c>
      <c r="AO16" t="s">
        <v>380</v>
      </c>
      <c r="AP16" t="s">
        <v>381</v>
      </c>
      <c r="AQ16" t="s">
        <v>379</v>
      </c>
      <c r="AR16" t="s">
        <v>382</v>
      </c>
      <c r="AS16" t="s">
        <v>377</v>
      </c>
      <c r="AU16" t="s">
        <v>377</v>
      </c>
      <c r="AV16" t="s">
        <v>382</v>
      </c>
      <c r="BB16" t="s">
        <v>372</v>
      </c>
      <c r="BI16" t="s">
        <v>372</v>
      </c>
      <c r="BJ16" t="s">
        <v>372</v>
      </c>
      <c r="BK16" t="s">
        <v>372</v>
      </c>
      <c r="BL16" t="s">
        <v>383</v>
      </c>
      <c r="BZ16" t="s">
        <v>384</v>
      </c>
      <c r="CB16" t="s">
        <v>384</v>
      </c>
      <c r="CC16" t="s">
        <v>372</v>
      </c>
      <c r="CF16" t="s">
        <v>384</v>
      </c>
      <c r="CG16" t="s">
        <v>377</v>
      </c>
      <c r="CJ16" t="s">
        <v>385</v>
      </c>
      <c r="CK16" t="s">
        <v>385</v>
      </c>
      <c r="CM16" t="s">
        <v>386</v>
      </c>
      <c r="CN16" t="s">
        <v>384</v>
      </c>
      <c r="CP16" t="s">
        <v>384</v>
      </c>
      <c r="CQ16" t="s">
        <v>372</v>
      </c>
      <c r="CU16" t="s">
        <v>384</v>
      </c>
      <c r="CW16" t="s">
        <v>387</v>
      </c>
      <c r="CZ16" t="s">
        <v>384</v>
      </c>
      <c r="DA16" t="s">
        <v>384</v>
      </c>
      <c r="DC16" t="s">
        <v>384</v>
      </c>
      <c r="DE16" t="s">
        <v>384</v>
      </c>
      <c r="DG16" t="s">
        <v>372</v>
      </c>
      <c r="DH16" t="s">
        <v>372</v>
      </c>
      <c r="DJ16" t="s">
        <v>388</v>
      </c>
      <c r="DK16" t="s">
        <v>389</v>
      </c>
      <c r="DN16" t="s">
        <v>370</v>
      </c>
      <c r="DP16" t="s">
        <v>369</v>
      </c>
      <c r="DQ16" t="s">
        <v>373</v>
      </c>
      <c r="DR16" t="s">
        <v>373</v>
      </c>
      <c r="DS16" t="s">
        <v>380</v>
      </c>
      <c r="DT16" t="s">
        <v>380</v>
      </c>
      <c r="DU16" t="s">
        <v>373</v>
      </c>
      <c r="DV16" t="s">
        <v>380</v>
      </c>
      <c r="DW16" t="s">
        <v>382</v>
      </c>
      <c r="DX16" t="s">
        <v>376</v>
      </c>
      <c r="DY16" t="s">
        <v>376</v>
      </c>
      <c r="DZ16" t="s">
        <v>375</v>
      </c>
      <c r="EA16" t="s">
        <v>375</v>
      </c>
      <c r="EB16" t="s">
        <v>375</v>
      </c>
      <c r="EC16" t="s">
        <v>375</v>
      </c>
      <c r="ED16" t="s">
        <v>375</v>
      </c>
      <c r="EE16" t="s">
        <v>390</v>
      </c>
      <c r="EF16" t="s">
        <v>372</v>
      </c>
      <c r="EG16" t="s">
        <v>372</v>
      </c>
      <c r="EH16" t="s">
        <v>373</v>
      </c>
      <c r="EI16" t="s">
        <v>373</v>
      </c>
      <c r="EJ16" t="s">
        <v>373</v>
      </c>
      <c r="EK16" t="s">
        <v>380</v>
      </c>
      <c r="EL16" t="s">
        <v>373</v>
      </c>
      <c r="EM16" t="s">
        <v>380</v>
      </c>
      <c r="EN16" t="s">
        <v>376</v>
      </c>
      <c r="EO16" t="s">
        <v>376</v>
      </c>
      <c r="EP16" t="s">
        <v>375</v>
      </c>
      <c r="EQ16" t="s">
        <v>375</v>
      </c>
      <c r="ER16" t="s">
        <v>372</v>
      </c>
      <c r="EW16" t="s">
        <v>372</v>
      </c>
      <c r="EZ16" t="s">
        <v>375</v>
      </c>
      <c r="FA16" t="s">
        <v>375</v>
      </c>
      <c r="FB16" t="s">
        <v>375</v>
      </c>
      <c r="FC16" t="s">
        <v>375</v>
      </c>
      <c r="FD16" t="s">
        <v>375</v>
      </c>
      <c r="FE16" t="s">
        <v>372</v>
      </c>
      <c r="FF16" t="s">
        <v>372</v>
      </c>
      <c r="FG16" t="s">
        <v>372</v>
      </c>
      <c r="FH16" t="s">
        <v>369</v>
      </c>
      <c r="FK16" t="s">
        <v>391</v>
      </c>
      <c r="FL16" t="s">
        <v>391</v>
      </c>
      <c r="FN16" t="s">
        <v>369</v>
      </c>
      <c r="FO16" t="s">
        <v>392</v>
      </c>
      <c r="FQ16" t="s">
        <v>369</v>
      </c>
      <c r="FR16" t="s">
        <v>369</v>
      </c>
      <c r="FT16" t="s">
        <v>393</v>
      </c>
      <c r="FU16" t="s">
        <v>394</v>
      </c>
      <c r="FV16" t="s">
        <v>393</v>
      </c>
      <c r="FW16" t="s">
        <v>394</v>
      </c>
      <c r="FX16" t="s">
        <v>393</v>
      </c>
      <c r="FY16" t="s">
        <v>394</v>
      </c>
      <c r="FZ16" t="s">
        <v>377</v>
      </c>
      <c r="GA16" t="s">
        <v>377</v>
      </c>
      <c r="GB16" t="s">
        <v>373</v>
      </c>
      <c r="GC16" t="s">
        <v>395</v>
      </c>
      <c r="GD16" t="s">
        <v>373</v>
      </c>
      <c r="GG16" t="s">
        <v>396</v>
      </c>
      <c r="GJ16" t="s">
        <v>380</v>
      </c>
      <c r="GK16" t="s">
        <v>397</v>
      </c>
      <c r="GL16" t="s">
        <v>380</v>
      </c>
      <c r="GQ16" t="s">
        <v>398</v>
      </c>
      <c r="GR16" t="s">
        <v>398</v>
      </c>
      <c r="HE16" t="s">
        <v>398</v>
      </c>
      <c r="HF16" t="s">
        <v>398</v>
      </c>
      <c r="HG16" t="s">
        <v>399</v>
      </c>
      <c r="HH16" t="s">
        <v>399</v>
      </c>
      <c r="HI16" t="s">
        <v>375</v>
      </c>
      <c r="HJ16" t="s">
        <v>375</v>
      </c>
      <c r="HK16" t="s">
        <v>377</v>
      </c>
      <c r="HL16" t="s">
        <v>375</v>
      </c>
      <c r="HM16" t="s">
        <v>380</v>
      </c>
      <c r="HN16" t="s">
        <v>377</v>
      </c>
      <c r="HO16" t="s">
        <v>377</v>
      </c>
      <c r="HQ16" t="s">
        <v>398</v>
      </c>
      <c r="HR16" t="s">
        <v>398</v>
      </c>
      <c r="HS16" t="s">
        <v>398</v>
      </c>
      <c r="HT16" t="s">
        <v>398</v>
      </c>
      <c r="HU16" t="s">
        <v>398</v>
      </c>
      <c r="HV16" t="s">
        <v>398</v>
      </c>
      <c r="HW16" t="s">
        <v>398</v>
      </c>
      <c r="HX16" t="s">
        <v>400</v>
      </c>
      <c r="HY16" t="s">
        <v>400</v>
      </c>
      <c r="HZ16" t="s">
        <v>400</v>
      </c>
      <c r="IA16" t="s">
        <v>401</v>
      </c>
      <c r="IB16" t="s">
        <v>398</v>
      </c>
      <c r="IC16" t="s">
        <v>398</v>
      </c>
      <c r="ID16" t="s">
        <v>398</v>
      </c>
      <c r="IE16" t="s">
        <v>398</v>
      </c>
      <c r="IF16" t="s">
        <v>398</v>
      </c>
      <c r="IG16" t="s">
        <v>398</v>
      </c>
      <c r="IH16" t="s">
        <v>398</v>
      </c>
      <c r="II16" t="s">
        <v>398</v>
      </c>
      <c r="IJ16" t="s">
        <v>398</v>
      </c>
      <c r="IK16" t="s">
        <v>398</v>
      </c>
      <c r="IL16" t="s">
        <v>398</v>
      </c>
      <c r="IM16" t="s">
        <v>398</v>
      </c>
      <c r="IT16" t="s">
        <v>398</v>
      </c>
      <c r="IU16" t="s">
        <v>377</v>
      </c>
      <c r="IV16" t="s">
        <v>377</v>
      </c>
      <c r="IW16" t="s">
        <v>393</v>
      </c>
      <c r="IX16" t="s">
        <v>394</v>
      </c>
      <c r="IY16" t="s">
        <v>393</v>
      </c>
      <c r="JC16" t="s">
        <v>394</v>
      </c>
      <c r="JG16" t="s">
        <v>373</v>
      </c>
      <c r="JH16" t="s">
        <v>373</v>
      </c>
      <c r="JI16" t="s">
        <v>380</v>
      </c>
      <c r="JJ16" t="s">
        <v>380</v>
      </c>
      <c r="JK16" t="s">
        <v>402</v>
      </c>
      <c r="JL16" t="s">
        <v>402</v>
      </c>
      <c r="JM16" t="s">
        <v>398</v>
      </c>
      <c r="JN16" t="s">
        <v>398</v>
      </c>
      <c r="JO16" t="s">
        <v>398</v>
      </c>
      <c r="JP16" t="s">
        <v>398</v>
      </c>
      <c r="JQ16" t="s">
        <v>398</v>
      </c>
      <c r="JR16" t="s">
        <v>398</v>
      </c>
      <c r="JS16" t="s">
        <v>375</v>
      </c>
      <c r="JT16" t="s">
        <v>398</v>
      </c>
      <c r="JV16" t="s">
        <v>382</v>
      </c>
      <c r="JW16" t="s">
        <v>382</v>
      </c>
      <c r="JX16" t="s">
        <v>375</v>
      </c>
      <c r="JY16" t="s">
        <v>375</v>
      </c>
      <c r="JZ16" t="s">
        <v>375</v>
      </c>
      <c r="KA16" t="s">
        <v>375</v>
      </c>
      <c r="KB16" t="s">
        <v>375</v>
      </c>
      <c r="KC16" t="s">
        <v>377</v>
      </c>
      <c r="KD16" t="s">
        <v>377</v>
      </c>
      <c r="KE16" t="s">
        <v>377</v>
      </c>
      <c r="KF16" t="s">
        <v>375</v>
      </c>
      <c r="KG16" t="s">
        <v>373</v>
      </c>
      <c r="KH16" t="s">
        <v>380</v>
      </c>
      <c r="KI16" t="s">
        <v>377</v>
      </c>
      <c r="KJ16" t="s">
        <v>377</v>
      </c>
    </row>
    <row r="17" spans="1:296" x14ac:dyDescent="0.3">
      <c r="A17">
        <v>1</v>
      </c>
      <c r="B17">
        <v>1783868561.5999999</v>
      </c>
      <c r="C17">
        <v>0</v>
      </c>
      <c r="D17" t="s">
        <v>627</v>
      </c>
      <c r="E17" t="s">
        <v>628</v>
      </c>
      <c r="F17">
        <v>15</v>
      </c>
      <c r="H17">
        <v>1783868553.849999</v>
      </c>
      <c r="I17">
        <f t="shared" ref="I17:I29" si="0">(J17)/1000</f>
        <v>3.5732763824807522E-3</v>
      </c>
      <c r="J17">
        <f t="shared" ref="J17:J29" si="1">IF(DO17, AM17, AG17)</f>
        <v>3.5732763824807523</v>
      </c>
      <c r="K17">
        <f t="shared" ref="K17:K29" si="2">IF(DO17, AH17, AF17)</f>
        <v>46.631260876371741</v>
      </c>
      <c r="L17">
        <f t="shared" ref="L17:L29" si="3">DQ17 - IF(AT17&gt;1, K17*DK17*100/(AV17), 0)</f>
        <v>419.49883333333332</v>
      </c>
      <c r="M17">
        <f t="shared" ref="M17:M29" si="4">((S17-I17/2)*L17-K17)/(S17+I17/2)</f>
        <v>146.62414688808522</v>
      </c>
      <c r="N17">
        <f t="shared" ref="N17:N29" si="5">M17*(DX17+DY17)/1000</f>
        <v>14.455500712712055</v>
      </c>
      <c r="O17">
        <f t="shared" ref="O17:O29" si="6">(DQ17 - IF(AT17&gt;1, K17*DK17*100/(AV17), 0))*(DX17+DY17)/1000</f>
        <v>41.357892359028931</v>
      </c>
      <c r="P17">
        <f t="shared" ref="P17:P29" si="7">2/((1/R17-1/Q17)+SIGN(R17)*SQRT((1/R17-1/Q17)*(1/R17-1/Q17) + 4*DL17/((DL17+1)*(DL17+1))*(2*1/R17*1/Q17-1/Q17*1/Q17)))</f>
        <v>0.29270068840974028</v>
      </c>
      <c r="Q17">
        <f t="shared" ref="Q17:Q29" si="8">IF(LEFT(DM17,1)&lt;&gt;"0",IF(LEFT(DM17,1)="1",3,DN17),$D$5+$E$5*(EE17*DX17/($K$5*1000))+$F$5*(EE17*DX17/($K$5*1000))*MAX(MIN(DK17,$J$5),$I$5)*MAX(MIN(DK17,$J$5),$I$5)+$G$5*MAX(MIN(DK17,$J$5),$I$5)*(EE17*DX17/($K$5*1000))+$H$5*(EE17*DX17/($K$5*1000))*(EE17*DX17/($K$5*1000)))</f>
        <v>2.9032854630906839</v>
      </c>
      <c r="R17">
        <f t="shared" ref="R17:R29" si="9">I17*(1000-(1000*0.61365*EXP(17.502*V17/(240.97+V17))/(DX17+DY17)+DS17)/2)/(1000*0.61365*EXP(17.502*V17/(240.97+V17))/(DX17+DY17)-DS17)</f>
        <v>0.27723925671904337</v>
      </c>
      <c r="S17">
        <f t="shared" ref="S17:S29" si="10">1/((DL17+1)/(P17/1.6)+1/(Q17/1.37)) + DL17/((DL17+1)/(P17/1.6) + DL17/(Q17/1.37))</f>
        <v>0.17459559343674622</v>
      </c>
      <c r="T17">
        <f t="shared" ref="T17:T29" si="11">(DG17*DJ17)</f>
        <v>319.77570749054223</v>
      </c>
      <c r="U17">
        <f t="shared" ref="U17:U29" si="12">(DZ17+(T17+2*0.95*0.0000000567*(((DZ17+$B$7)+273)^4-(DZ17+273)^4)-44100*I17)/(1.84*29.3*Q17+8*0.95*0.0000000567*(DZ17+273)^3))</f>
        <v>25.38968288763315</v>
      </c>
      <c r="V17">
        <f t="shared" ref="V17:V29" si="13">($C$7*EA17+$D$7*EB17+$E$7*U17)</f>
        <v>24.951013333333329</v>
      </c>
      <c r="W17">
        <f t="shared" ref="W17:W29" si="14">0.61365*EXP(17.502*V17/(240.97+V17))</f>
        <v>3.1704030543976058</v>
      </c>
      <c r="X17">
        <f t="shared" ref="X17:X29" si="15">(Y17/Z17*100)</f>
        <v>62.910003953625584</v>
      </c>
      <c r="Y17">
        <f t="shared" ref="Y17:Y29" si="16">DS17*(DX17+DY17)/1000</f>
        <v>1.9325990527147618</v>
      </c>
      <c r="Z17">
        <f t="shared" ref="Z17:Z29" si="17">0.61365*EXP(17.502*DZ17/(240.97+DZ17))</f>
        <v>3.0720059311065802</v>
      </c>
      <c r="AA17">
        <f t="shared" ref="AA17:AA29" si="18">(W17-DS17*(DX17+DY17)/1000)</f>
        <v>1.237804001682844</v>
      </c>
      <c r="AB17">
        <f t="shared" ref="AB17:AB29" si="19">(-I17*44100)</f>
        <v>-157.58148846740116</v>
      </c>
      <c r="AC17">
        <f t="shared" ref="AC17:AC29" si="20">2*29.3*Q17*0.92*(DZ17-V17)</f>
        <v>-82.577837659010754</v>
      </c>
      <c r="AD17">
        <f t="shared" ref="AD17:AD29" si="21">2*0.95*0.0000000567*(((DZ17+$B$7)+273)^4-(V17+273)^4)</f>
        <v>-5.9974398557913338</v>
      </c>
      <c r="AE17">
        <f t="shared" ref="AE17:AE29" si="22">T17+AD17+AB17+AC17</f>
        <v>73.618941508338963</v>
      </c>
      <c r="AF17">
        <f t="shared" ref="AF17:AF29" si="23">DW17*AT17*(DR17-DQ17*(1000-AT17*DT17)/(1000-AT17*DS17))/(100*DK17)</f>
        <v>46.631260876371741</v>
      </c>
      <c r="AG17">
        <f t="shared" ref="AG17:AG29" si="24">1000*DW17*AT17*(DS17-DT17)/(100*DK17*(1000-AT17*DS17))</f>
        <v>3.5732763824807523</v>
      </c>
      <c r="AH17">
        <f t="shared" ref="AH17:AH29" si="25">(AI17 - AJ17 - DX17*1000/(8.314*(DZ17+273.15)) * AL17/DW17 * AK17) * DW17/(100*DK17) * (1000 - DT17)/1000</f>
        <v>46.611035700525925</v>
      </c>
      <c r="AI17">
        <v>484.9150099611723</v>
      </c>
      <c r="AJ17">
        <v>427.96272121212121</v>
      </c>
      <c r="AK17">
        <v>2.7110639036280349E-2</v>
      </c>
      <c r="AL17">
        <v>67.020807364733088</v>
      </c>
      <c r="AM17">
        <f t="shared" ref="AM17:AM29" si="26">(AO17 - AN17 + DX17*1000/(8.314*(DZ17+273.15)) * AQ17/DW17 * AP17) * DW17/(100*DK17) * 1000/(1000 - AO17)</f>
        <v>3.6138762327845404</v>
      </c>
      <c r="AN17">
        <v>15.41474542762527</v>
      </c>
      <c r="AO17">
        <v>19.66879999999999</v>
      </c>
      <c r="AP17">
        <v>-4.3991535760649209E-4</v>
      </c>
      <c r="AQ17">
        <v>78.01977361403155</v>
      </c>
      <c r="AR17">
        <v>0</v>
      </c>
      <c r="AS17">
        <v>0</v>
      </c>
      <c r="AT17">
        <f t="shared" ref="AT17:AT29" si="27">IF(AR17*$H$13&gt;=AV17,1,(AV17/(AV17-AR17*$H$13)))</f>
        <v>1</v>
      </c>
      <c r="AU17">
        <f t="shared" ref="AU17:AU29" si="28">(AT17-1)*100</f>
        <v>0</v>
      </c>
      <c r="AV17">
        <f t="shared" ref="AV17:AV29" si="29">MAX(0,($B$13+$C$13*EE17)/(1+$D$13*EE17)*DX17/(DZ17+273)*$E$13)</f>
        <v>52541.206806975511</v>
      </c>
      <c r="AW17" t="s">
        <v>629</v>
      </c>
      <c r="AX17">
        <v>5089.68</v>
      </c>
      <c r="AY17">
        <v>566.38529411764705</v>
      </c>
      <c r="AZ17">
        <v>2484</v>
      </c>
      <c r="BA17">
        <f t="shared" ref="BA17:BA29" si="30">1-AY17/AZ17</f>
        <v>0.77198659657099555</v>
      </c>
      <c r="BB17">
        <v>-2.0500122635890872</v>
      </c>
      <c r="BC17" t="s">
        <v>630</v>
      </c>
      <c r="BD17">
        <v>5085.3</v>
      </c>
      <c r="BE17">
        <v>808.36182352941182</v>
      </c>
      <c r="BF17">
        <v>963.33</v>
      </c>
      <c r="BG17">
        <f t="shared" ref="BG17:BG29" si="31">1-BE17/BF17</f>
        <v>0.16086717580744736</v>
      </c>
      <c r="BH17">
        <v>0.5</v>
      </c>
      <c r="BI17">
        <f t="shared" ref="BI17:BI29" si="32">DH17</f>
        <v>1680.285419839659</v>
      </c>
      <c r="BJ17">
        <f t="shared" ref="BJ17:BJ29" si="33">K17</f>
        <v>46.631260876371741</v>
      </c>
      <c r="BK17">
        <f t="shared" ref="BK17:BK29" si="34">BG17*BH17*BI17</f>
        <v>135.15138502001847</v>
      </c>
      <c r="BL17">
        <f t="shared" ref="BL17:BL29" si="35">(BJ17-BB17)/BI17</f>
        <v>2.8972026160059304E-2</v>
      </c>
      <c r="BM17">
        <f t="shared" ref="BM17:BM29" si="36">(AZ17-BF17)/BF17</f>
        <v>1.578555635140606</v>
      </c>
      <c r="BN17">
        <f t="shared" ref="BN17:BN29" si="37">AY17/(BA17+AY17/BF17)</f>
        <v>416.48064723755789</v>
      </c>
      <c r="BO17" t="s">
        <v>407</v>
      </c>
      <c r="BP17">
        <v>0</v>
      </c>
      <c r="BQ17">
        <f t="shared" ref="BQ17:BQ29" si="38">IF(BP17&lt;&gt;0, BP17, BN17)</f>
        <v>416.48064723755789</v>
      </c>
      <c r="BR17">
        <f t="shared" ref="BR17:BR29" si="39">1-BQ17/BF17</f>
        <v>0.56766565222970544</v>
      </c>
      <c r="BS17">
        <f t="shared" ref="BS17:BS29" si="40">(BF17-BE17)/(BF17-BQ17)</f>
        <v>0.28338366990425651</v>
      </c>
      <c r="BT17">
        <f t="shared" ref="BT17:BT29" si="41">(AZ17-BF17)/(AZ17-BQ17)</f>
        <v>0.73550460263804129</v>
      </c>
      <c r="BU17">
        <f t="shared" ref="BU17:BU29" si="42">(BF17-BE17)/(BF17-AY17)</f>
        <v>0.39040242677154607</v>
      </c>
      <c r="BV17">
        <f t="shared" ref="BV17:BV29" si="43">(AZ17-BF17)/(AZ17-AY17)</f>
        <v>0.79300080216077262</v>
      </c>
      <c r="BW17">
        <f t="shared" ref="BW17:BW29" si="44">(BS17*BQ17/BE17)</f>
        <v>0.1460036963929989</v>
      </c>
      <c r="BX17">
        <f t="shared" ref="BX17:BX29" si="45">(1-BW17)</f>
        <v>0.85399630360700107</v>
      </c>
      <c r="DG17">
        <f t="shared" ref="DG17:DG29" si="46">$B$11*EF17+$C$11*EG17+$F$11*ER17*(1-EU17)</f>
        <v>1999.9829999999999</v>
      </c>
      <c r="DH17">
        <f t="shared" ref="DH17:DH29" si="47">DG17*DI17</f>
        <v>1680.285419839659</v>
      </c>
      <c r="DI17">
        <f t="shared" ref="DI17:DI29" si="48">($B$11*$D$9+$C$11*$D$9+$F$11*((FE17+EW17)/MAX(FE17+EW17+FF17, 0.1)*$I$9+FF17/MAX(FE17+EW17+FF17, 0.1)*$J$9))/($B$11+$C$11+$F$11)</f>
        <v>0.84014985119356467</v>
      </c>
      <c r="DJ17">
        <f t="shared" ref="DJ17:DJ29" si="49">($B$11*$K$9+$C$11*$K$9+$F$11*((FE17+EW17)/MAX(FE17+EW17+FF17, 0.1)*$P$9+FF17/MAX(FE17+EW17+FF17, 0.1)*$Q$9))/($B$11+$C$11+$F$11)</f>
        <v>0.15988921280357996</v>
      </c>
      <c r="DK17">
        <v>6</v>
      </c>
      <c r="DL17">
        <v>0.5</v>
      </c>
      <c r="DM17" t="s">
        <v>408</v>
      </c>
      <c r="DN17">
        <v>2</v>
      </c>
      <c r="DO17" t="b">
        <v>0</v>
      </c>
      <c r="DP17">
        <v>1783868553.849999</v>
      </c>
      <c r="DQ17">
        <v>419.49883333333332</v>
      </c>
      <c r="DR17">
        <v>477.25466666666659</v>
      </c>
      <c r="DS17">
        <v>19.602620000000002</v>
      </c>
      <c r="DT17">
        <v>15.398776666666659</v>
      </c>
      <c r="DU17">
        <v>425.25283333333329</v>
      </c>
      <c r="DV17">
        <v>20.189620000000001</v>
      </c>
      <c r="DW17">
        <v>500.00400000000002</v>
      </c>
      <c r="DX17">
        <v>98.531710000000018</v>
      </c>
      <c r="DY17">
        <v>5.7103776666666668E-2</v>
      </c>
      <c r="DZ17">
        <v>24.423433333333339</v>
      </c>
      <c r="EA17">
        <v>24.951013333333329</v>
      </c>
      <c r="EB17">
        <v>999.9000000000002</v>
      </c>
      <c r="EC17">
        <v>0</v>
      </c>
      <c r="ED17">
        <v>0</v>
      </c>
      <c r="EE17">
        <v>9997.8333333333339</v>
      </c>
      <c r="EF17">
        <v>0</v>
      </c>
      <c r="EG17">
        <v>436.28896666666668</v>
      </c>
      <c r="EH17">
        <v>-57.723409999999987</v>
      </c>
      <c r="EI17">
        <v>427.9396666666666</v>
      </c>
      <c r="EJ17">
        <v>484.71863333333329</v>
      </c>
      <c r="EK17">
        <v>4.2500363333333331</v>
      </c>
      <c r="EL17">
        <v>477.25466666666659</v>
      </c>
      <c r="EM17">
        <v>15.398776666666659</v>
      </c>
      <c r="EN17">
        <v>1.936029666666667</v>
      </c>
      <c r="EO17">
        <v>1.5172680000000001</v>
      </c>
      <c r="EP17">
        <v>16.93064</v>
      </c>
      <c r="EQ17">
        <v>13.143280000000001</v>
      </c>
      <c r="ER17">
        <v>1999.9829999999999</v>
      </c>
      <c r="ES17">
        <v>0.99499323333333334</v>
      </c>
      <c r="ET17">
        <v>5.0069856666666657E-3</v>
      </c>
      <c r="EU17">
        <v>0</v>
      </c>
      <c r="EV17">
        <v>808.52629999999999</v>
      </c>
      <c r="EW17">
        <v>5.0010700000000003</v>
      </c>
      <c r="EX17">
        <v>19654.043333333331</v>
      </c>
      <c r="EY17">
        <v>18241.423333333329</v>
      </c>
      <c r="EZ17">
        <v>39.29133333333332</v>
      </c>
      <c r="FA17">
        <v>40.391533333333321</v>
      </c>
      <c r="FB17">
        <v>39.832999999999998</v>
      </c>
      <c r="FC17">
        <v>40.299599999999977</v>
      </c>
      <c r="FD17">
        <v>40.328800000000001</v>
      </c>
      <c r="FE17">
        <v>1984.9929999999999</v>
      </c>
      <c r="FF17">
        <v>9.990000000000002</v>
      </c>
      <c r="FG17">
        <v>0</v>
      </c>
      <c r="FH17">
        <v>1783868561.3</v>
      </c>
      <c r="FI17">
        <v>0</v>
      </c>
      <c r="FJ17">
        <v>808.36182352941182</v>
      </c>
      <c r="FK17">
        <v>-4.5294117692689921</v>
      </c>
      <c r="FL17">
        <v>-4.7794120476594619</v>
      </c>
      <c r="FM17">
        <v>19652</v>
      </c>
      <c r="FN17">
        <v>10</v>
      </c>
      <c r="FO17">
        <v>1783868585.5999999</v>
      </c>
      <c r="FP17" t="s">
        <v>631</v>
      </c>
      <c r="FQ17">
        <v>1783868582.0999999</v>
      </c>
      <c r="FR17">
        <v>1783868585.5999999</v>
      </c>
      <c r="FS17">
        <v>3</v>
      </c>
      <c r="FT17">
        <v>0.18099999999999999</v>
      </c>
      <c r="FU17">
        <v>0.05</v>
      </c>
      <c r="FV17">
        <v>-5.7539999999999996</v>
      </c>
      <c r="FW17">
        <v>-0.58699999999999997</v>
      </c>
      <c r="FX17">
        <v>478</v>
      </c>
      <c r="FY17">
        <v>16</v>
      </c>
      <c r="FZ17">
        <v>0.16</v>
      </c>
      <c r="GA17">
        <v>0.04</v>
      </c>
      <c r="GB17">
        <v>419.53006451612902</v>
      </c>
      <c r="GC17">
        <v>-0.12096774193659959</v>
      </c>
      <c r="GD17">
        <v>6.8622828649525985E-2</v>
      </c>
      <c r="GE17">
        <v>-1</v>
      </c>
      <c r="GF17">
        <v>808.64438235294131</v>
      </c>
      <c r="GG17">
        <v>-2.9182123744204991</v>
      </c>
      <c r="GH17">
        <v>0.38089268325760378</v>
      </c>
      <c r="GI17">
        <v>1</v>
      </c>
      <c r="GJ17">
        <v>4.2162051219512193</v>
      </c>
      <c r="GK17">
        <v>0.4654360018439791</v>
      </c>
      <c r="GL17">
        <v>7.3832698689109494E-2</v>
      </c>
      <c r="GM17">
        <v>1</v>
      </c>
      <c r="GN17">
        <v>2</v>
      </c>
      <c r="GO17">
        <v>2</v>
      </c>
      <c r="GP17" t="s">
        <v>423</v>
      </c>
      <c r="GQ17">
        <v>3.12941</v>
      </c>
      <c r="GR17">
        <v>2.7328600000000001</v>
      </c>
      <c r="GS17">
        <v>9.2156500000000002E-2</v>
      </c>
      <c r="GT17">
        <v>0.101248</v>
      </c>
      <c r="GU17">
        <v>9.9852200000000002E-2</v>
      </c>
      <c r="GV17">
        <v>8.2444100000000006E-2</v>
      </c>
      <c r="GW17">
        <v>22819.7</v>
      </c>
      <c r="GX17">
        <v>30280.1</v>
      </c>
      <c r="GY17">
        <v>27263.7</v>
      </c>
      <c r="GZ17">
        <v>34640.9</v>
      </c>
      <c r="HA17">
        <v>35930.199999999997</v>
      </c>
      <c r="HB17">
        <v>40248.6</v>
      </c>
      <c r="HC17">
        <v>40246.800000000003</v>
      </c>
      <c r="HD17">
        <v>43945.1</v>
      </c>
      <c r="HE17">
        <v>1.9756</v>
      </c>
      <c r="HF17">
        <v>1.7824</v>
      </c>
      <c r="HG17">
        <v>-9.4771400000000006E-2</v>
      </c>
      <c r="HH17">
        <v>0</v>
      </c>
      <c r="HI17">
        <v>26.525500000000001</v>
      </c>
      <c r="HJ17">
        <v>999.9</v>
      </c>
      <c r="HK17">
        <v>64.400000000000006</v>
      </c>
      <c r="HL17">
        <v>36.4</v>
      </c>
      <c r="HM17">
        <v>39.8782</v>
      </c>
      <c r="HN17">
        <v>61.889699999999998</v>
      </c>
      <c r="HO17">
        <v>6.3060900000000002</v>
      </c>
      <c r="HP17">
        <v>1</v>
      </c>
      <c r="HQ17">
        <v>0.48532500000000001</v>
      </c>
      <c r="HR17">
        <v>6.1071499999999999</v>
      </c>
      <c r="HS17">
        <v>20.1632</v>
      </c>
      <c r="HT17">
        <v>5.2088999999999999</v>
      </c>
      <c r="HU17">
        <v>11.908099999999999</v>
      </c>
      <c r="HV17">
        <v>4.9836</v>
      </c>
      <c r="HW17">
        <v>3.2706</v>
      </c>
      <c r="HX17">
        <v>9999</v>
      </c>
      <c r="HY17">
        <v>9999</v>
      </c>
      <c r="HZ17">
        <v>9999</v>
      </c>
      <c r="IA17">
        <v>999.9</v>
      </c>
      <c r="IB17">
        <v>1.8672800000000001</v>
      </c>
      <c r="IC17">
        <v>1.8629500000000001</v>
      </c>
      <c r="ID17">
        <v>1.8623700000000001</v>
      </c>
      <c r="IE17">
        <v>1.86188</v>
      </c>
      <c r="IF17">
        <v>1.86188</v>
      </c>
      <c r="IG17">
        <v>1.86252</v>
      </c>
      <c r="IH17">
        <v>1.8633999999999999</v>
      </c>
      <c r="II17">
        <v>1.8614200000000001</v>
      </c>
      <c r="IJ17">
        <v>0</v>
      </c>
      <c r="IK17">
        <v>0</v>
      </c>
      <c r="IL17">
        <v>0</v>
      </c>
      <c r="IM17">
        <v>4.5</v>
      </c>
      <c r="IN17" t="s">
        <v>411</v>
      </c>
      <c r="IO17" t="s">
        <v>412</v>
      </c>
      <c r="IP17" t="s">
        <v>413</v>
      </c>
      <c r="IQ17" t="s">
        <v>414</v>
      </c>
      <c r="IR17" t="s">
        <v>414</v>
      </c>
      <c r="IS17" t="s">
        <v>413</v>
      </c>
      <c r="IT17">
        <v>0</v>
      </c>
      <c r="IU17">
        <v>100</v>
      </c>
      <c r="IV17">
        <v>100</v>
      </c>
      <c r="IW17">
        <v>-5.7539999999999996</v>
      </c>
      <c r="IX17">
        <v>-0.58699999999999997</v>
      </c>
      <c r="IY17">
        <v>-3.7367744911364009</v>
      </c>
      <c r="IZ17">
        <v>-5.6215304933332991E-3</v>
      </c>
      <c r="JA17">
        <v>2.3979931213773931E-6</v>
      </c>
      <c r="JB17">
        <v>-3.6297174575716598E-10</v>
      </c>
      <c r="JC17">
        <v>-0.83203587974358117</v>
      </c>
      <c r="JD17">
        <v>2.7492919904454862E-4</v>
      </c>
      <c r="JE17">
        <v>8.6739513355948885E-4</v>
      </c>
      <c r="JF17">
        <v>-8.2500691715147318E-6</v>
      </c>
      <c r="JG17">
        <v>17</v>
      </c>
      <c r="JH17">
        <v>1914</v>
      </c>
      <c r="JI17">
        <v>2</v>
      </c>
      <c r="JJ17">
        <v>37</v>
      </c>
      <c r="JK17">
        <v>22.2</v>
      </c>
      <c r="JL17">
        <v>22.2</v>
      </c>
      <c r="JM17">
        <v>1.1962900000000001</v>
      </c>
      <c r="JN17">
        <v>2.51953</v>
      </c>
      <c r="JO17">
        <v>1.50024</v>
      </c>
      <c r="JP17">
        <v>2.2753899999999998</v>
      </c>
      <c r="JQ17">
        <v>1.4477500000000001</v>
      </c>
      <c r="JR17">
        <v>2.4682599999999999</v>
      </c>
      <c r="JS17">
        <v>42.324100000000001</v>
      </c>
      <c r="JT17">
        <v>15.5768</v>
      </c>
      <c r="JU17">
        <v>18</v>
      </c>
      <c r="JV17">
        <v>542.49199999999996</v>
      </c>
      <c r="JW17">
        <v>431.29599999999999</v>
      </c>
      <c r="JX17">
        <v>19.705300000000001</v>
      </c>
      <c r="JY17">
        <v>33.148099999999999</v>
      </c>
      <c r="JZ17">
        <v>30.000699999999998</v>
      </c>
      <c r="KA17">
        <v>33.230800000000002</v>
      </c>
      <c r="KB17">
        <v>33.260199999999998</v>
      </c>
      <c r="KC17">
        <v>23.916399999999999</v>
      </c>
      <c r="KD17">
        <v>58.9998</v>
      </c>
      <c r="KE17">
        <v>0</v>
      </c>
      <c r="KF17">
        <v>19.712399999999999</v>
      </c>
      <c r="KG17">
        <v>477.726</v>
      </c>
      <c r="KH17">
        <v>15.4162</v>
      </c>
      <c r="KI17">
        <v>100.601</v>
      </c>
      <c r="KJ17">
        <v>98.878</v>
      </c>
    </row>
    <row r="18" spans="1:296" x14ac:dyDescent="0.3">
      <c r="A18">
        <v>2</v>
      </c>
      <c r="B18">
        <v>1783868766.5999999</v>
      </c>
      <c r="C18">
        <v>205</v>
      </c>
      <c r="D18" t="s">
        <v>632</v>
      </c>
      <c r="E18" t="s">
        <v>633</v>
      </c>
      <c r="F18">
        <v>15</v>
      </c>
      <c r="H18">
        <v>1783868758.849999</v>
      </c>
      <c r="I18">
        <f t="shared" si="0"/>
        <v>3.7149611774086391E-3</v>
      </c>
      <c r="J18">
        <f t="shared" si="1"/>
        <v>3.7149611774086391</v>
      </c>
      <c r="K18">
        <f t="shared" si="2"/>
        <v>48.462846257401672</v>
      </c>
      <c r="L18">
        <f t="shared" si="3"/>
        <v>419.85323333333332</v>
      </c>
      <c r="M18">
        <f t="shared" si="4"/>
        <v>157.40115338378774</v>
      </c>
      <c r="N18">
        <f t="shared" si="5"/>
        <v>15.517888469605506</v>
      </c>
      <c r="O18">
        <f t="shared" si="6"/>
        <v>41.392553411498639</v>
      </c>
      <c r="P18">
        <f t="shared" si="7"/>
        <v>0.31762333735096171</v>
      </c>
      <c r="Q18">
        <f t="shared" si="8"/>
        <v>2.9056725415077556</v>
      </c>
      <c r="R18">
        <f t="shared" si="9"/>
        <v>0.29951828738324626</v>
      </c>
      <c r="S18">
        <f t="shared" si="10"/>
        <v>0.18873954089064904</v>
      </c>
      <c r="T18">
        <f t="shared" si="11"/>
        <v>271.90703382937306</v>
      </c>
      <c r="U18">
        <f t="shared" si="12"/>
        <v>25.243481165333396</v>
      </c>
      <c r="V18">
        <f t="shared" si="13"/>
        <v>24.933250000000001</v>
      </c>
      <c r="W18">
        <f t="shared" si="14"/>
        <v>3.1670458077272134</v>
      </c>
      <c r="X18">
        <f t="shared" si="15"/>
        <v>63.650559262796513</v>
      </c>
      <c r="Y18">
        <f t="shared" si="16"/>
        <v>1.976140964700124</v>
      </c>
      <c r="Z18">
        <f t="shared" si="17"/>
        <v>3.104671801140277</v>
      </c>
      <c r="AA18">
        <f t="shared" si="18"/>
        <v>1.1909048430270894</v>
      </c>
      <c r="AB18">
        <f t="shared" si="19"/>
        <v>-163.82978792372097</v>
      </c>
      <c r="AC18">
        <f t="shared" si="20"/>
        <v>-52.17301051286735</v>
      </c>
      <c r="AD18">
        <f t="shared" si="21"/>
        <v>-3.7891260893180516</v>
      </c>
      <c r="AE18">
        <f t="shared" si="22"/>
        <v>52.115109303466667</v>
      </c>
      <c r="AF18">
        <f t="shared" si="23"/>
        <v>48.462846257401672</v>
      </c>
      <c r="AG18">
        <f t="shared" si="24"/>
        <v>3.7149611774086391</v>
      </c>
      <c r="AH18">
        <f t="shared" si="25"/>
        <v>48.247649992181742</v>
      </c>
      <c r="AI18">
        <v>487.45479480643559</v>
      </c>
      <c r="AJ18">
        <v>428.49015151515118</v>
      </c>
      <c r="AK18">
        <v>2.684977343492094E-2</v>
      </c>
      <c r="AL18">
        <v>67.093305147006205</v>
      </c>
      <c r="AM18">
        <f t="shared" si="26"/>
        <v>3.7170115149196135</v>
      </c>
      <c r="AN18">
        <v>15.67030258718221</v>
      </c>
      <c r="AO18">
        <v>20.040415151515148</v>
      </c>
      <c r="AP18">
        <v>1.7063788162496071E-4</v>
      </c>
      <c r="AQ18">
        <v>78.258235701255543</v>
      </c>
      <c r="AR18">
        <v>0</v>
      </c>
      <c r="AS18">
        <v>0</v>
      </c>
      <c r="AT18">
        <f t="shared" si="27"/>
        <v>1</v>
      </c>
      <c r="AU18">
        <f t="shared" si="28"/>
        <v>0</v>
      </c>
      <c r="AV18">
        <f t="shared" si="29"/>
        <v>52578.893423124333</v>
      </c>
      <c r="AW18" t="s">
        <v>629</v>
      </c>
      <c r="AX18">
        <v>5089.68</v>
      </c>
      <c r="AY18">
        <v>566.38529411764705</v>
      </c>
      <c r="AZ18">
        <v>2484</v>
      </c>
      <c r="BA18">
        <f t="shared" si="30"/>
        <v>0.77198659657099555</v>
      </c>
      <c r="BB18">
        <v>-2.0500122635890872</v>
      </c>
      <c r="BC18" t="s">
        <v>634</v>
      </c>
      <c r="BD18">
        <v>5087.7299999999996</v>
      </c>
      <c r="BE18">
        <v>796.99564705882358</v>
      </c>
      <c r="BF18">
        <v>1009.72</v>
      </c>
      <c r="BG18">
        <f t="shared" si="31"/>
        <v>0.21067657661646444</v>
      </c>
      <c r="BH18">
        <v>0.5</v>
      </c>
      <c r="BI18">
        <f t="shared" si="32"/>
        <v>1428.2955798079656</v>
      </c>
      <c r="BJ18">
        <f t="shared" si="33"/>
        <v>48.462846257401672</v>
      </c>
      <c r="BK18">
        <f t="shared" si="34"/>
        <v>150.45421157518518</v>
      </c>
      <c r="BL18">
        <f t="shared" si="35"/>
        <v>3.5365829899006072E-2</v>
      </c>
      <c r="BM18">
        <f t="shared" si="36"/>
        <v>1.4600879451729192</v>
      </c>
      <c r="BN18">
        <f t="shared" si="37"/>
        <v>424.92081660696942</v>
      </c>
      <c r="BO18" t="s">
        <v>407</v>
      </c>
      <c r="BP18">
        <v>0</v>
      </c>
      <c r="BQ18">
        <f t="shared" si="38"/>
        <v>424.92081660696942</v>
      </c>
      <c r="BR18">
        <f t="shared" si="39"/>
        <v>0.57916965435272205</v>
      </c>
      <c r="BS18">
        <f t="shared" si="40"/>
        <v>0.36375624142793839</v>
      </c>
      <c r="BT18">
        <f t="shared" si="41"/>
        <v>0.7159899492406232</v>
      </c>
      <c r="BU18">
        <f t="shared" si="42"/>
        <v>0.47982788200124982</v>
      </c>
      <c r="BV18">
        <f t="shared" si="43"/>
        <v>0.76880928972728058</v>
      </c>
      <c r="BW18">
        <f t="shared" si="44"/>
        <v>0.19393782102053739</v>
      </c>
      <c r="BX18">
        <f t="shared" si="45"/>
        <v>0.80606217897946264</v>
      </c>
      <c r="DG18">
        <f t="shared" si="46"/>
        <v>1699.9886666666671</v>
      </c>
      <c r="DH18">
        <f t="shared" si="47"/>
        <v>1428.2955798079656</v>
      </c>
      <c r="DI18">
        <f t="shared" si="48"/>
        <v>0.84017947167175144</v>
      </c>
      <c r="DJ18">
        <f t="shared" si="49"/>
        <v>0.15994638032648043</v>
      </c>
      <c r="DK18">
        <v>6</v>
      </c>
      <c r="DL18">
        <v>0.5</v>
      </c>
      <c r="DM18" t="s">
        <v>408</v>
      </c>
      <c r="DN18">
        <v>2</v>
      </c>
      <c r="DO18" t="b">
        <v>0</v>
      </c>
      <c r="DP18">
        <v>1783868758.849999</v>
      </c>
      <c r="DQ18">
        <v>419.85323333333332</v>
      </c>
      <c r="DR18">
        <v>479.88240000000002</v>
      </c>
      <c r="DS18">
        <v>20.044406666666671</v>
      </c>
      <c r="DT18">
        <v>15.675660000000001</v>
      </c>
      <c r="DU18">
        <v>425.38403333333332</v>
      </c>
      <c r="DV18">
        <v>20.528733333333332</v>
      </c>
      <c r="DW18">
        <v>499.98280000000011</v>
      </c>
      <c r="DX18">
        <v>98.53182000000001</v>
      </c>
      <c r="DY18">
        <v>5.6329680000000007E-2</v>
      </c>
      <c r="DZ18">
        <v>24.600196666666658</v>
      </c>
      <c r="EA18">
        <v>24.933250000000001</v>
      </c>
      <c r="EB18">
        <v>999.9000000000002</v>
      </c>
      <c r="EC18">
        <v>0</v>
      </c>
      <c r="ED18">
        <v>0</v>
      </c>
      <c r="EE18">
        <v>10011.5</v>
      </c>
      <c r="EF18">
        <v>0</v>
      </c>
      <c r="EG18">
        <v>463.65503333333328</v>
      </c>
      <c r="EH18">
        <v>-60.029056666666683</v>
      </c>
      <c r="EI18">
        <v>428.44120000000009</v>
      </c>
      <c r="EJ18">
        <v>487.52456666666671</v>
      </c>
      <c r="EK18">
        <v>4.3687433333333328</v>
      </c>
      <c r="EL18">
        <v>479.88240000000002</v>
      </c>
      <c r="EM18">
        <v>15.675660000000001</v>
      </c>
      <c r="EN18">
        <v>1.9750123333333329</v>
      </c>
      <c r="EO18">
        <v>1.5445506666666671</v>
      </c>
      <c r="EP18">
        <v>17.245403333333329</v>
      </c>
      <c r="EQ18">
        <v>13.416443333333341</v>
      </c>
      <c r="ER18">
        <v>1699.9886666666671</v>
      </c>
      <c r="ES18">
        <v>0.99399970000000004</v>
      </c>
      <c r="ET18">
        <v>6.000311000000003E-3</v>
      </c>
      <c r="EU18">
        <v>0</v>
      </c>
      <c r="EV18">
        <v>796.81276666666656</v>
      </c>
      <c r="EW18">
        <v>5.0010700000000003</v>
      </c>
      <c r="EX18">
        <v>17648.793333333331</v>
      </c>
      <c r="EY18">
        <v>15492.396666666669</v>
      </c>
      <c r="EZ18">
        <v>39.186999999999991</v>
      </c>
      <c r="FA18">
        <v>40.495800000000003</v>
      </c>
      <c r="FB18">
        <v>39.870800000000003</v>
      </c>
      <c r="FC18">
        <v>40.462199999999982</v>
      </c>
      <c r="FD18">
        <v>40.516533333333342</v>
      </c>
      <c r="FE18">
        <v>1684.818666666667</v>
      </c>
      <c r="FF18">
        <v>10.17</v>
      </c>
      <c r="FG18">
        <v>0</v>
      </c>
      <c r="FH18">
        <v>204.20000004768369</v>
      </c>
      <c r="FI18">
        <v>0</v>
      </c>
      <c r="FJ18">
        <v>796.99564705882358</v>
      </c>
      <c r="FK18">
        <v>4.0446078872648439</v>
      </c>
      <c r="FL18">
        <v>-1803.872555313842</v>
      </c>
      <c r="FM18">
        <v>17585.2</v>
      </c>
      <c r="FN18">
        <v>10</v>
      </c>
      <c r="FO18">
        <v>1783868682.5999999</v>
      </c>
      <c r="FP18" t="s">
        <v>635</v>
      </c>
      <c r="FQ18">
        <v>1783868678.0999999</v>
      </c>
      <c r="FR18">
        <v>1783868682.5999999</v>
      </c>
      <c r="FS18">
        <v>4</v>
      </c>
      <c r="FT18">
        <v>1.0999999999999999E-2</v>
      </c>
      <c r="FU18">
        <v>-2E-3</v>
      </c>
      <c r="FV18">
        <v>-5.7480000000000002</v>
      </c>
      <c r="FW18">
        <v>-0.58699999999999997</v>
      </c>
      <c r="FX18">
        <v>479</v>
      </c>
      <c r="FY18">
        <v>16</v>
      </c>
      <c r="FZ18">
        <v>0.2</v>
      </c>
      <c r="GA18">
        <v>7.0000000000000007E-2</v>
      </c>
      <c r="GB18">
        <v>419.85367741935482</v>
      </c>
      <c r="GC18">
        <v>-0.1166612903237631</v>
      </c>
      <c r="GD18">
        <v>4.3722281244364287E-2</v>
      </c>
      <c r="GE18">
        <v>-1</v>
      </c>
      <c r="GF18">
        <v>796.69805882352944</v>
      </c>
      <c r="GG18">
        <v>3.2399388832703599</v>
      </c>
      <c r="GH18">
        <v>0.39523894047677771</v>
      </c>
      <c r="GI18">
        <v>1</v>
      </c>
      <c r="GJ18">
        <v>4.341849268292683</v>
      </c>
      <c r="GK18">
        <v>0.39151630662020309</v>
      </c>
      <c r="GL18">
        <v>4.7307326168583103E-2</v>
      </c>
      <c r="GM18">
        <v>1</v>
      </c>
      <c r="GN18">
        <v>2</v>
      </c>
      <c r="GO18">
        <v>2</v>
      </c>
      <c r="GP18" t="s">
        <v>423</v>
      </c>
      <c r="GQ18">
        <v>3.1293000000000002</v>
      </c>
      <c r="GR18">
        <v>2.7329300000000001</v>
      </c>
      <c r="GS18">
        <v>9.22095E-2</v>
      </c>
      <c r="GT18">
        <v>0.101664</v>
      </c>
      <c r="GU18">
        <v>0.10097299999999999</v>
      </c>
      <c r="GV18">
        <v>8.3403500000000005E-2</v>
      </c>
      <c r="GW18">
        <v>22820.1</v>
      </c>
      <c r="GX18">
        <v>30270</v>
      </c>
      <c r="GY18">
        <v>27265.599999999999</v>
      </c>
      <c r="GZ18">
        <v>34645.199999999997</v>
      </c>
      <c r="HA18">
        <v>35887.9</v>
      </c>
      <c r="HB18">
        <v>40212.199999999997</v>
      </c>
      <c r="HC18">
        <v>40249.9</v>
      </c>
      <c r="HD18">
        <v>43951.3</v>
      </c>
      <c r="HE18">
        <v>1.9772000000000001</v>
      </c>
      <c r="HF18">
        <v>1.7749999999999999</v>
      </c>
      <c r="HG18">
        <v>-7.8827099999999997E-2</v>
      </c>
      <c r="HH18">
        <v>0</v>
      </c>
      <c r="HI18">
        <v>26.209800000000001</v>
      </c>
      <c r="HJ18">
        <v>999.9</v>
      </c>
      <c r="HK18">
        <v>64.8</v>
      </c>
      <c r="HL18">
        <v>37.1</v>
      </c>
      <c r="HM18">
        <v>41.687899999999999</v>
      </c>
      <c r="HN18">
        <v>61.309800000000003</v>
      </c>
      <c r="HO18">
        <v>6.3261200000000004</v>
      </c>
      <c r="HP18">
        <v>1</v>
      </c>
      <c r="HQ18">
        <v>0.47871999999999998</v>
      </c>
      <c r="HR18">
        <v>5.7955100000000002</v>
      </c>
      <c r="HS18">
        <v>20.176500000000001</v>
      </c>
      <c r="HT18">
        <v>5.2100999999999997</v>
      </c>
      <c r="HU18">
        <v>11.908099999999999</v>
      </c>
      <c r="HV18">
        <v>4.9855999999999998</v>
      </c>
      <c r="HW18">
        <v>3.2709999999999999</v>
      </c>
      <c r="HX18">
        <v>9999</v>
      </c>
      <c r="HY18">
        <v>9999</v>
      </c>
      <c r="HZ18">
        <v>9999</v>
      </c>
      <c r="IA18">
        <v>999.9</v>
      </c>
      <c r="IB18">
        <v>1.8672500000000001</v>
      </c>
      <c r="IC18">
        <v>1.8629500000000001</v>
      </c>
      <c r="ID18">
        <v>1.8623700000000001</v>
      </c>
      <c r="IE18">
        <v>1.86188</v>
      </c>
      <c r="IF18">
        <v>1.86191</v>
      </c>
      <c r="IG18">
        <v>1.86249</v>
      </c>
      <c r="IH18">
        <v>1.8633999999999999</v>
      </c>
      <c r="II18">
        <v>1.8614200000000001</v>
      </c>
      <c r="IJ18">
        <v>0</v>
      </c>
      <c r="IK18">
        <v>0</v>
      </c>
      <c r="IL18">
        <v>0</v>
      </c>
      <c r="IM18">
        <v>4.5</v>
      </c>
      <c r="IN18" t="s">
        <v>411</v>
      </c>
      <c r="IO18" t="s">
        <v>412</v>
      </c>
      <c r="IP18" t="s">
        <v>413</v>
      </c>
      <c r="IQ18" t="s">
        <v>414</v>
      </c>
      <c r="IR18" t="s">
        <v>414</v>
      </c>
      <c r="IS18" t="s">
        <v>413</v>
      </c>
      <c r="IT18">
        <v>0</v>
      </c>
      <c r="IU18">
        <v>100</v>
      </c>
      <c r="IV18">
        <v>100</v>
      </c>
      <c r="IW18">
        <v>-5.53</v>
      </c>
      <c r="IX18">
        <v>-0.4844</v>
      </c>
      <c r="IY18">
        <v>-3.545465143000345</v>
      </c>
      <c r="IZ18">
        <v>-5.6215304933332991E-3</v>
      </c>
      <c r="JA18">
        <v>2.3979931213773931E-6</v>
      </c>
      <c r="JB18">
        <v>-3.6297174575716598E-10</v>
      </c>
      <c r="JC18">
        <v>-0.78415660593200465</v>
      </c>
      <c r="JD18">
        <v>2.7492919904454862E-4</v>
      </c>
      <c r="JE18">
        <v>8.6739513355948885E-4</v>
      </c>
      <c r="JF18">
        <v>-8.2500691715147318E-6</v>
      </c>
      <c r="JG18">
        <v>17</v>
      </c>
      <c r="JH18">
        <v>1914</v>
      </c>
      <c r="JI18">
        <v>2</v>
      </c>
      <c r="JJ18">
        <v>37</v>
      </c>
      <c r="JK18">
        <v>1.5</v>
      </c>
      <c r="JL18">
        <v>1.4</v>
      </c>
      <c r="JM18">
        <v>1.1999500000000001</v>
      </c>
      <c r="JN18">
        <v>2.5305200000000001</v>
      </c>
      <c r="JO18">
        <v>1.50024</v>
      </c>
      <c r="JP18">
        <v>2.2741699999999998</v>
      </c>
      <c r="JQ18">
        <v>1.4477500000000001</v>
      </c>
      <c r="JR18">
        <v>2.4438499999999999</v>
      </c>
      <c r="JS18">
        <v>42.750999999999998</v>
      </c>
      <c r="JT18">
        <v>15.532999999999999</v>
      </c>
      <c r="JU18">
        <v>18</v>
      </c>
      <c r="JV18">
        <v>543.50800000000004</v>
      </c>
      <c r="JW18">
        <v>426.65</v>
      </c>
      <c r="JX18">
        <v>19.950600000000001</v>
      </c>
      <c r="JY18">
        <v>33.109699999999997</v>
      </c>
      <c r="JZ18">
        <v>29.9985</v>
      </c>
      <c r="KA18">
        <v>33.224899999999998</v>
      </c>
      <c r="KB18">
        <v>33.245699999999999</v>
      </c>
      <c r="KC18">
        <v>24.0059</v>
      </c>
      <c r="KD18">
        <v>59.882599999999996</v>
      </c>
      <c r="KE18">
        <v>0</v>
      </c>
      <c r="KF18">
        <v>19.973600000000001</v>
      </c>
      <c r="KG18">
        <v>479.911</v>
      </c>
      <c r="KH18">
        <v>15.553800000000001</v>
      </c>
      <c r="KI18">
        <v>100.608</v>
      </c>
      <c r="KJ18">
        <v>98.891199999999998</v>
      </c>
    </row>
    <row r="19" spans="1:296" x14ac:dyDescent="0.3">
      <c r="A19">
        <v>3</v>
      </c>
      <c r="B19">
        <v>1783868949.0999999</v>
      </c>
      <c r="C19">
        <v>387.5</v>
      </c>
      <c r="D19" t="s">
        <v>636</v>
      </c>
      <c r="E19" t="s">
        <v>637</v>
      </c>
      <c r="F19">
        <v>15</v>
      </c>
      <c r="H19">
        <v>1783868941.349999</v>
      </c>
      <c r="I19">
        <f t="shared" si="0"/>
        <v>3.8872586077704861E-3</v>
      </c>
      <c r="J19">
        <f t="shared" si="1"/>
        <v>3.887258607770486</v>
      </c>
      <c r="K19">
        <f t="shared" si="2"/>
        <v>49.44878034783806</v>
      </c>
      <c r="L19">
        <f t="shared" si="3"/>
        <v>419.83393333333339</v>
      </c>
      <c r="M19">
        <f t="shared" si="4"/>
        <v>161.89130438327769</v>
      </c>
      <c r="N19">
        <f t="shared" si="5"/>
        <v>15.959844586910604</v>
      </c>
      <c r="O19">
        <f t="shared" si="6"/>
        <v>41.388784615929652</v>
      </c>
      <c r="P19">
        <f t="shared" si="7"/>
        <v>0.33067400878250958</v>
      </c>
      <c r="Q19">
        <f t="shared" si="8"/>
        <v>2.9023429351695653</v>
      </c>
      <c r="R19">
        <f t="shared" si="9"/>
        <v>0.31107875169685406</v>
      </c>
      <c r="S19">
        <f t="shared" si="10"/>
        <v>0.19608793929314861</v>
      </c>
      <c r="T19">
        <f t="shared" si="11"/>
        <v>255.91894382945082</v>
      </c>
      <c r="U19">
        <f t="shared" si="12"/>
        <v>25.148162218278511</v>
      </c>
      <c r="V19">
        <f t="shared" si="13"/>
        <v>25.016176666666659</v>
      </c>
      <c r="W19">
        <f t="shared" si="14"/>
        <v>3.1827454849583265</v>
      </c>
      <c r="X19">
        <f t="shared" si="15"/>
        <v>63.705262065448146</v>
      </c>
      <c r="Y19">
        <f t="shared" si="16"/>
        <v>1.983114080935908</v>
      </c>
      <c r="Z19">
        <f t="shared" si="17"/>
        <v>3.1129517666822228</v>
      </c>
      <c r="AA19">
        <f t="shared" si="18"/>
        <v>1.1996314040224185</v>
      </c>
      <c r="AB19">
        <f t="shared" si="19"/>
        <v>-171.42810460267845</v>
      </c>
      <c r="AC19">
        <f t="shared" si="20"/>
        <v>-58.118586819711304</v>
      </c>
      <c r="AD19">
        <f t="shared" si="21"/>
        <v>-4.2284873203054758</v>
      </c>
      <c r="AE19">
        <f t="shared" si="22"/>
        <v>22.1437650867556</v>
      </c>
      <c r="AF19">
        <f t="shared" si="23"/>
        <v>49.44878034783806</v>
      </c>
      <c r="AG19">
        <f t="shared" si="24"/>
        <v>3.887258607770486</v>
      </c>
      <c r="AH19">
        <f t="shared" si="25"/>
        <v>49.425598965827199</v>
      </c>
      <c r="AI19">
        <v>488.64893271642723</v>
      </c>
      <c r="AJ19">
        <v>428.40220606060598</v>
      </c>
      <c r="AK19">
        <v>-5.1626620918471028E-4</v>
      </c>
      <c r="AL19">
        <v>67.094151386686335</v>
      </c>
      <c r="AM19">
        <f t="shared" si="26"/>
        <v>3.8784507532790458</v>
      </c>
      <c r="AN19">
        <v>15.440785004595551</v>
      </c>
      <c r="AO19">
        <v>20.071064848484841</v>
      </c>
      <c r="AP19">
        <v>-1.1140124109987021E-2</v>
      </c>
      <c r="AQ19">
        <v>78.251709585339015</v>
      </c>
      <c r="AR19">
        <v>0</v>
      </c>
      <c r="AS19">
        <v>0</v>
      </c>
      <c r="AT19">
        <f t="shared" si="27"/>
        <v>1</v>
      </c>
      <c r="AU19">
        <f t="shared" si="28"/>
        <v>0</v>
      </c>
      <c r="AV19">
        <f t="shared" si="29"/>
        <v>52474.867696735208</v>
      </c>
      <c r="AW19" t="s">
        <v>629</v>
      </c>
      <c r="AX19">
        <v>5089.68</v>
      </c>
      <c r="AY19">
        <v>566.38529411764705</v>
      </c>
      <c r="AZ19">
        <v>2484</v>
      </c>
      <c r="BA19">
        <f t="shared" si="30"/>
        <v>0.77198659657099555</v>
      </c>
      <c r="BB19">
        <v>-2.0500122635890872</v>
      </c>
      <c r="BC19" t="s">
        <v>638</v>
      </c>
      <c r="BD19">
        <v>5086.62</v>
      </c>
      <c r="BE19">
        <v>796.36241176470594</v>
      </c>
      <c r="BF19">
        <v>1039.42</v>
      </c>
      <c r="BG19">
        <f t="shared" si="31"/>
        <v>0.23383963001990926</v>
      </c>
      <c r="BH19">
        <v>0.5</v>
      </c>
      <c r="BI19">
        <f t="shared" si="32"/>
        <v>1344.312579808005</v>
      </c>
      <c r="BJ19">
        <f t="shared" si="33"/>
        <v>49.44878034783806</v>
      </c>
      <c r="BK19">
        <f t="shared" si="34"/>
        <v>157.17677814670682</v>
      </c>
      <c r="BL19">
        <f t="shared" si="35"/>
        <v>3.8308644421658405E-2</v>
      </c>
      <c r="BM19">
        <f t="shared" si="36"/>
        <v>1.3897943083642799</v>
      </c>
      <c r="BN19">
        <f t="shared" si="37"/>
        <v>430.0925285494551</v>
      </c>
      <c r="BO19" t="s">
        <v>407</v>
      </c>
      <c r="BP19">
        <v>0</v>
      </c>
      <c r="BQ19">
        <f t="shared" si="38"/>
        <v>430.0925285494551</v>
      </c>
      <c r="BR19">
        <f t="shared" si="39"/>
        <v>0.58621872914754858</v>
      </c>
      <c r="BS19">
        <f t="shared" si="40"/>
        <v>0.39889484657023461</v>
      </c>
      <c r="BT19">
        <f t="shared" si="41"/>
        <v>0.70333256004944777</v>
      </c>
      <c r="BU19">
        <f t="shared" si="42"/>
        <v>0.51382612145110595</v>
      </c>
      <c r="BV19">
        <f t="shared" si="43"/>
        <v>0.75332129836546313</v>
      </c>
      <c r="BW19">
        <f t="shared" si="44"/>
        <v>0.21543168116958908</v>
      </c>
      <c r="BX19">
        <f t="shared" si="45"/>
        <v>0.78456831883041089</v>
      </c>
      <c r="DG19">
        <f t="shared" si="46"/>
        <v>1600.0303333333329</v>
      </c>
      <c r="DH19">
        <f t="shared" si="47"/>
        <v>1344.312579808005</v>
      </c>
      <c r="DI19">
        <f t="shared" si="48"/>
        <v>0.84017943397823425</v>
      </c>
      <c r="DJ19">
        <f t="shared" si="49"/>
        <v>0.1599463075779923</v>
      </c>
      <c r="DK19">
        <v>6</v>
      </c>
      <c r="DL19">
        <v>0.5</v>
      </c>
      <c r="DM19" t="s">
        <v>408</v>
      </c>
      <c r="DN19">
        <v>2</v>
      </c>
      <c r="DO19" t="b">
        <v>0</v>
      </c>
      <c r="DP19">
        <v>1783868941.349999</v>
      </c>
      <c r="DQ19">
        <v>419.83393333333339</v>
      </c>
      <c r="DR19">
        <v>481.13313333333338</v>
      </c>
      <c r="DS19">
        <v>20.11604333333333</v>
      </c>
      <c r="DT19">
        <v>15.545</v>
      </c>
      <c r="DU19">
        <v>425.29936666666669</v>
      </c>
      <c r="DV19">
        <v>20.594760000000001</v>
      </c>
      <c r="DW19">
        <v>499.98156666666671</v>
      </c>
      <c r="DX19">
        <v>98.527793333333335</v>
      </c>
      <c r="DY19">
        <v>5.5911626666666672E-2</v>
      </c>
      <c r="DZ19">
        <v>24.644743333333331</v>
      </c>
      <c r="EA19">
        <v>25.016176666666659</v>
      </c>
      <c r="EB19">
        <v>999.9000000000002</v>
      </c>
      <c r="EC19">
        <v>0</v>
      </c>
      <c r="ED19">
        <v>0</v>
      </c>
      <c r="EE19">
        <v>9992.8333333333339</v>
      </c>
      <c r="EF19">
        <v>0</v>
      </c>
      <c r="EG19">
        <v>486.55936666666662</v>
      </c>
      <c r="EH19">
        <v>-61.299199999999999</v>
      </c>
      <c r="EI19">
        <v>428.45263333333338</v>
      </c>
      <c r="EJ19">
        <v>488.73039999999997</v>
      </c>
      <c r="EK19">
        <v>4.571063333333333</v>
      </c>
      <c r="EL19">
        <v>481.13313333333338</v>
      </c>
      <c r="EM19">
        <v>15.545</v>
      </c>
      <c r="EN19">
        <v>1.981989666666667</v>
      </c>
      <c r="EO19">
        <v>1.531613333333333</v>
      </c>
      <c r="EP19">
        <v>17.30117666666667</v>
      </c>
      <c r="EQ19">
        <v>13.28722</v>
      </c>
      <c r="ER19">
        <v>1600.0303333333329</v>
      </c>
      <c r="ES19">
        <v>0.99400016666666657</v>
      </c>
      <c r="ET19">
        <v>5.9995146666666664E-3</v>
      </c>
      <c r="EU19">
        <v>0</v>
      </c>
      <c r="EV19">
        <v>796.57136666666679</v>
      </c>
      <c r="EW19">
        <v>5.0010700000000003</v>
      </c>
      <c r="EX19">
        <v>16848.97</v>
      </c>
      <c r="EY19">
        <v>14578.76666666667</v>
      </c>
      <c r="EZ19">
        <v>39.309933333333319</v>
      </c>
      <c r="FA19">
        <v>40.75826666666665</v>
      </c>
      <c r="FB19">
        <v>40.125</v>
      </c>
      <c r="FC19">
        <v>40.568299999999986</v>
      </c>
      <c r="FD19">
        <v>40.551666666666648</v>
      </c>
      <c r="FE19">
        <v>1585.460333333333</v>
      </c>
      <c r="FF19">
        <v>9.5699999999999985</v>
      </c>
      <c r="FG19">
        <v>0</v>
      </c>
      <c r="FH19">
        <v>182</v>
      </c>
      <c r="FI19">
        <v>0</v>
      </c>
      <c r="FJ19">
        <v>796.36241176470594</v>
      </c>
      <c r="FK19">
        <v>2.56519606266379</v>
      </c>
      <c r="FL19">
        <v>980.12258610940557</v>
      </c>
      <c r="FM19">
        <v>17161.388235294111</v>
      </c>
      <c r="FN19">
        <v>10</v>
      </c>
      <c r="FO19">
        <v>1783868836.0999999</v>
      </c>
      <c r="FP19" t="s">
        <v>639</v>
      </c>
      <c r="FQ19">
        <v>1783868827.0999999</v>
      </c>
      <c r="FR19">
        <v>1783868836.0999999</v>
      </c>
      <c r="FS19">
        <v>5</v>
      </c>
      <c r="FT19">
        <v>6.5000000000000002E-2</v>
      </c>
      <c r="FU19">
        <v>4.0000000000000001E-3</v>
      </c>
      <c r="FV19">
        <v>-5.6859999999999999</v>
      </c>
      <c r="FW19">
        <v>-0.58699999999999997</v>
      </c>
      <c r="FX19">
        <v>480</v>
      </c>
      <c r="FY19">
        <v>15</v>
      </c>
      <c r="FZ19">
        <v>0.15</v>
      </c>
      <c r="GA19">
        <v>0.06</v>
      </c>
      <c r="GB19">
        <v>419.83600000000001</v>
      </c>
      <c r="GC19">
        <v>-0.22414238042287701</v>
      </c>
      <c r="GD19">
        <v>5.9104991328990421E-2</v>
      </c>
      <c r="GE19">
        <v>-1</v>
      </c>
      <c r="GF19">
        <v>796.72314705882354</v>
      </c>
      <c r="GG19">
        <v>-1.9527731160339481</v>
      </c>
      <c r="GH19">
        <v>0.41896020675510792</v>
      </c>
      <c r="GI19">
        <v>1</v>
      </c>
      <c r="GJ19">
        <v>4.5464177500000007</v>
      </c>
      <c r="GK19">
        <v>0.68477729831143652</v>
      </c>
      <c r="GL19">
        <v>7.8627549958252593E-2</v>
      </c>
      <c r="GM19">
        <v>0</v>
      </c>
      <c r="GN19">
        <v>1</v>
      </c>
      <c r="GO19">
        <v>2</v>
      </c>
      <c r="GP19" t="s">
        <v>410</v>
      </c>
      <c r="GQ19">
        <v>3.1297199999999998</v>
      </c>
      <c r="GR19">
        <v>2.73203</v>
      </c>
      <c r="GS19">
        <v>9.2211899999999999E-2</v>
      </c>
      <c r="GT19">
        <v>0.10184600000000001</v>
      </c>
      <c r="GU19">
        <v>0.10109600000000001</v>
      </c>
      <c r="GV19">
        <v>8.2531300000000002E-2</v>
      </c>
      <c r="GW19">
        <v>22824</v>
      </c>
      <c r="GX19">
        <v>30273.200000000001</v>
      </c>
      <c r="GY19">
        <v>27269.599999999999</v>
      </c>
      <c r="GZ19">
        <v>34654.9</v>
      </c>
      <c r="HA19">
        <v>35888.699999999997</v>
      </c>
      <c r="HB19">
        <v>40259.699999999997</v>
      </c>
      <c r="HC19">
        <v>40256.800000000003</v>
      </c>
      <c r="HD19">
        <v>43961.5</v>
      </c>
      <c r="HE19">
        <v>1.9778</v>
      </c>
      <c r="HF19">
        <v>1.7706</v>
      </c>
      <c r="HG19">
        <v>-8.4430000000000005E-2</v>
      </c>
      <c r="HH19">
        <v>0</v>
      </c>
      <c r="HI19">
        <v>26.414000000000001</v>
      </c>
      <c r="HJ19">
        <v>999.9</v>
      </c>
      <c r="HK19">
        <v>65.099999999999994</v>
      </c>
      <c r="HL19">
        <v>37.700000000000003</v>
      </c>
      <c r="HM19">
        <v>43.2774</v>
      </c>
      <c r="HN19">
        <v>61.4298</v>
      </c>
      <c r="HO19">
        <v>6.4343000000000004</v>
      </c>
      <c r="HP19">
        <v>1</v>
      </c>
      <c r="HQ19">
        <v>0.46737800000000002</v>
      </c>
      <c r="HR19">
        <v>5.9528100000000004</v>
      </c>
      <c r="HS19">
        <v>20.170000000000002</v>
      </c>
      <c r="HT19">
        <v>5.2088999999999999</v>
      </c>
      <c r="HU19">
        <v>11.908099999999999</v>
      </c>
      <c r="HV19">
        <v>4.9843999999999999</v>
      </c>
      <c r="HW19">
        <v>3.2709999999999999</v>
      </c>
      <c r="HX19">
        <v>9999</v>
      </c>
      <c r="HY19">
        <v>9999</v>
      </c>
      <c r="HZ19">
        <v>9999</v>
      </c>
      <c r="IA19">
        <v>999.9</v>
      </c>
      <c r="IB19">
        <v>1.8672800000000001</v>
      </c>
      <c r="IC19">
        <v>1.8629500000000001</v>
      </c>
      <c r="ID19">
        <v>1.86249</v>
      </c>
      <c r="IE19">
        <v>1.86188</v>
      </c>
      <c r="IF19">
        <v>1.8620000000000001</v>
      </c>
      <c r="IG19">
        <v>1.8626100000000001</v>
      </c>
      <c r="IH19">
        <v>1.8633999999999999</v>
      </c>
      <c r="II19">
        <v>1.8614200000000001</v>
      </c>
      <c r="IJ19">
        <v>0</v>
      </c>
      <c r="IK19">
        <v>0</v>
      </c>
      <c r="IL19">
        <v>0</v>
      </c>
      <c r="IM19">
        <v>4.5</v>
      </c>
      <c r="IN19" t="s">
        <v>411</v>
      </c>
      <c r="IO19" t="s">
        <v>412</v>
      </c>
      <c r="IP19" t="s">
        <v>413</v>
      </c>
      <c r="IQ19" t="s">
        <v>414</v>
      </c>
      <c r="IR19" t="s">
        <v>414</v>
      </c>
      <c r="IS19" t="s">
        <v>413</v>
      </c>
      <c r="IT19">
        <v>0</v>
      </c>
      <c r="IU19">
        <v>100</v>
      </c>
      <c r="IV19">
        <v>100</v>
      </c>
      <c r="IW19">
        <v>-5.4649999999999999</v>
      </c>
      <c r="IX19">
        <v>-0.4798</v>
      </c>
      <c r="IY19">
        <v>-3.4805118362361318</v>
      </c>
      <c r="IZ19">
        <v>-5.6215304933332991E-3</v>
      </c>
      <c r="JA19">
        <v>2.3979931213773931E-6</v>
      </c>
      <c r="JB19">
        <v>-3.6297174575716598E-10</v>
      </c>
      <c r="JC19">
        <v>-0.78020156199042434</v>
      </c>
      <c r="JD19">
        <v>2.7492919904454862E-4</v>
      </c>
      <c r="JE19">
        <v>8.6739513355948885E-4</v>
      </c>
      <c r="JF19">
        <v>-8.2500691715147318E-6</v>
      </c>
      <c r="JG19">
        <v>17</v>
      </c>
      <c r="JH19">
        <v>1914</v>
      </c>
      <c r="JI19">
        <v>2</v>
      </c>
      <c r="JJ19">
        <v>37</v>
      </c>
      <c r="JK19">
        <v>2</v>
      </c>
      <c r="JL19">
        <v>1.9</v>
      </c>
      <c r="JM19">
        <v>1.2023900000000001</v>
      </c>
      <c r="JN19">
        <v>2.5415000000000001</v>
      </c>
      <c r="JO19">
        <v>1.50024</v>
      </c>
      <c r="JP19">
        <v>2.2741699999999998</v>
      </c>
      <c r="JQ19">
        <v>1.4477500000000001</v>
      </c>
      <c r="JR19">
        <v>2.3095699999999999</v>
      </c>
      <c r="JS19">
        <v>43.155000000000001</v>
      </c>
      <c r="JT19">
        <v>15.480399999999999</v>
      </c>
      <c r="JU19">
        <v>18</v>
      </c>
      <c r="JV19">
        <v>543.024</v>
      </c>
      <c r="JW19">
        <v>423.41500000000002</v>
      </c>
      <c r="JX19">
        <v>20.194099999999999</v>
      </c>
      <c r="JY19">
        <v>32.962400000000002</v>
      </c>
      <c r="JZ19">
        <v>30.000599999999999</v>
      </c>
      <c r="KA19">
        <v>33.120100000000001</v>
      </c>
      <c r="KB19">
        <v>33.1646</v>
      </c>
      <c r="KC19">
        <v>24.045999999999999</v>
      </c>
      <c r="KD19">
        <v>60.93</v>
      </c>
      <c r="KE19">
        <v>0</v>
      </c>
      <c r="KF19">
        <v>20.166599999999999</v>
      </c>
      <c r="KG19">
        <v>481.22300000000001</v>
      </c>
      <c r="KH19">
        <v>15.5441</v>
      </c>
      <c r="KI19">
        <v>100.625</v>
      </c>
      <c r="KJ19">
        <v>98.9161</v>
      </c>
    </row>
    <row r="20" spans="1:296" x14ac:dyDescent="0.3">
      <c r="A20">
        <v>4</v>
      </c>
      <c r="B20">
        <v>1783869131.5999999</v>
      </c>
      <c r="C20">
        <v>570</v>
      </c>
      <c r="D20" t="s">
        <v>640</v>
      </c>
      <c r="E20" t="s">
        <v>641</v>
      </c>
      <c r="F20">
        <v>15</v>
      </c>
      <c r="H20">
        <v>1783869123.599999</v>
      </c>
      <c r="I20">
        <f t="shared" si="0"/>
        <v>3.9654376873472516E-3</v>
      </c>
      <c r="J20">
        <f t="shared" si="1"/>
        <v>3.9654376873472517</v>
      </c>
      <c r="K20">
        <f t="shared" si="2"/>
        <v>48.633610183931843</v>
      </c>
      <c r="L20">
        <f t="shared" si="3"/>
        <v>419.97977419354851</v>
      </c>
      <c r="M20">
        <f t="shared" si="4"/>
        <v>172.33646697128989</v>
      </c>
      <c r="N20">
        <f t="shared" si="5"/>
        <v>16.989484552371781</v>
      </c>
      <c r="O20">
        <f t="shared" si="6"/>
        <v>41.402960217111591</v>
      </c>
      <c r="P20">
        <f t="shared" si="7"/>
        <v>0.33963125470916955</v>
      </c>
      <c r="Q20">
        <f t="shared" si="8"/>
        <v>2.9040856327020892</v>
      </c>
      <c r="R20">
        <f t="shared" si="9"/>
        <v>0.31900715453408279</v>
      </c>
      <c r="S20">
        <f t="shared" si="10"/>
        <v>0.20112801478620562</v>
      </c>
      <c r="T20">
        <f t="shared" si="11"/>
        <v>224.00344340724962</v>
      </c>
      <c r="U20">
        <f t="shared" si="12"/>
        <v>24.957570315575051</v>
      </c>
      <c r="V20">
        <f t="shared" si="13"/>
        <v>24.98172580645161</v>
      </c>
      <c r="W20">
        <f t="shared" si="14"/>
        <v>3.1762150091292636</v>
      </c>
      <c r="X20">
        <f t="shared" si="15"/>
        <v>63.619140209000349</v>
      </c>
      <c r="Y20">
        <f t="shared" si="16"/>
        <v>1.9828352343053564</v>
      </c>
      <c r="Z20">
        <f t="shared" si="17"/>
        <v>3.1167274939450378</v>
      </c>
      <c r="AA20">
        <f t="shared" si="18"/>
        <v>1.1933797748239072</v>
      </c>
      <c r="AB20">
        <f t="shared" si="19"/>
        <v>-174.87580201201379</v>
      </c>
      <c r="AC20">
        <f t="shared" si="20"/>
        <v>-49.584661016990687</v>
      </c>
      <c r="AD20">
        <f t="shared" si="21"/>
        <v>-3.6051687664544509</v>
      </c>
      <c r="AE20">
        <f t="shared" si="22"/>
        <v>-4.0621883882093144</v>
      </c>
      <c r="AF20">
        <f t="shared" si="23"/>
        <v>48.633610183931843</v>
      </c>
      <c r="AG20">
        <f t="shared" si="24"/>
        <v>3.9654376873472517</v>
      </c>
      <c r="AH20">
        <f t="shared" si="25"/>
        <v>48.664195141001578</v>
      </c>
      <c r="AI20">
        <v>487.80516416655621</v>
      </c>
      <c r="AJ20">
        <v>428.5300909090908</v>
      </c>
      <c r="AK20">
        <v>-7.8240910079634979E-3</v>
      </c>
      <c r="AL20">
        <v>67.094815390497956</v>
      </c>
      <c r="AM20">
        <f t="shared" si="26"/>
        <v>3.9559508821267069</v>
      </c>
      <c r="AN20">
        <v>15.454848991167131</v>
      </c>
      <c r="AO20">
        <v>20.107239393939391</v>
      </c>
      <c r="AP20">
        <v>-6.9608682995141619E-5</v>
      </c>
      <c r="AQ20">
        <v>78.253861822847469</v>
      </c>
      <c r="AR20">
        <v>0</v>
      </c>
      <c r="AS20">
        <v>0</v>
      </c>
      <c r="AT20">
        <f t="shared" si="27"/>
        <v>1</v>
      </c>
      <c r="AU20">
        <f t="shared" si="28"/>
        <v>0</v>
      </c>
      <c r="AV20">
        <f t="shared" si="29"/>
        <v>52521.543224847905</v>
      </c>
      <c r="AW20" t="s">
        <v>629</v>
      </c>
      <c r="AX20">
        <v>5089.68</v>
      </c>
      <c r="AY20">
        <v>566.38529411764705</v>
      </c>
      <c r="AZ20">
        <v>2484</v>
      </c>
      <c r="BA20">
        <f t="shared" si="30"/>
        <v>0.77198659657099555</v>
      </c>
      <c r="BB20">
        <v>-2.0500122635890872</v>
      </c>
      <c r="BC20" t="s">
        <v>642</v>
      </c>
      <c r="BD20">
        <v>5088.6899999999996</v>
      </c>
      <c r="BE20">
        <v>793.59141176470575</v>
      </c>
      <c r="BF20">
        <v>1098.18</v>
      </c>
      <c r="BG20">
        <f t="shared" si="31"/>
        <v>0.2773576173626312</v>
      </c>
      <c r="BH20">
        <v>0.5</v>
      </c>
      <c r="BI20">
        <f t="shared" si="32"/>
        <v>1176.2868094538653</v>
      </c>
      <c r="BJ20">
        <f t="shared" si="33"/>
        <v>48.633610183931843</v>
      </c>
      <c r="BK20">
        <f t="shared" si="34"/>
        <v>163.12605340260774</v>
      </c>
      <c r="BL20">
        <f t="shared" si="35"/>
        <v>4.3087809911812817E-2</v>
      </c>
      <c r="BM20">
        <f t="shared" si="36"/>
        <v>1.261924274709064</v>
      </c>
      <c r="BN20">
        <f t="shared" si="37"/>
        <v>439.83040670587485</v>
      </c>
      <c r="BO20" t="s">
        <v>407</v>
      </c>
      <c r="BP20">
        <v>0</v>
      </c>
      <c r="BQ20">
        <f t="shared" si="38"/>
        <v>439.83040670587485</v>
      </c>
      <c r="BR20">
        <f t="shared" si="39"/>
        <v>0.59949151623060448</v>
      </c>
      <c r="BS20">
        <f t="shared" si="40"/>
        <v>0.46265478301771479</v>
      </c>
      <c r="BT20">
        <f t="shared" si="41"/>
        <v>0.67793787978559439</v>
      </c>
      <c r="BU20">
        <f t="shared" si="42"/>
        <v>0.57275596177649302</v>
      </c>
      <c r="BV20">
        <f t="shared" si="43"/>
        <v>0.72267906360383372</v>
      </c>
      <c r="BW20">
        <f t="shared" si="44"/>
        <v>0.25641613349443981</v>
      </c>
      <c r="BX20">
        <f t="shared" si="45"/>
        <v>0.74358386650556019</v>
      </c>
      <c r="DG20">
        <f t="shared" si="46"/>
        <v>1399.9932258064521</v>
      </c>
      <c r="DH20">
        <f t="shared" si="47"/>
        <v>1176.2868094538653</v>
      </c>
      <c r="DI20">
        <f t="shared" si="48"/>
        <v>0.84020892942269565</v>
      </c>
      <c r="DJ20">
        <f t="shared" si="49"/>
        <v>0.16000323378580256</v>
      </c>
      <c r="DK20">
        <v>6</v>
      </c>
      <c r="DL20">
        <v>0.5</v>
      </c>
      <c r="DM20" t="s">
        <v>408</v>
      </c>
      <c r="DN20">
        <v>2</v>
      </c>
      <c r="DO20" t="b">
        <v>0</v>
      </c>
      <c r="DP20">
        <v>1783869123.599999</v>
      </c>
      <c r="DQ20">
        <v>419.97977419354851</v>
      </c>
      <c r="DR20">
        <v>480.34206451612908</v>
      </c>
      <c r="DS20">
        <v>20.113312903225811</v>
      </c>
      <c r="DT20">
        <v>15.45022903225807</v>
      </c>
      <c r="DU20">
        <v>425.58383870967742</v>
      </c>
      <c r="DV20">
        <v>20.595580645161291</v>
      </c>
      <c r="DW20">
        <v>499.97122580645163</v>
      </c>
      <c r="DX20">
        <v>98.526919354838697</v>
      </c>
      <c r="DY20">
        <v>5.6304793548387098E-2</v>
      </c>
      <c r="DZ20">
        <v>24.665022580645161</v>
      </c>
      <c r="EA20">
        <v>24.98172580645161</v>
      </c>
      <c r="EB20">
        <v>999.90000000000032</v>
      </c>
      <c r="EC20">
        <v>0</v>
      </c>
      <c r="ED20">
        <v>0</v>
      </c>
      <c r="EE20">
        <v>10002.903225806451</v>
      </c>
      <c r="EF20">
        <v>0</v>
      </c>
      <c r="EG20">
        <v>507.4098387096775</v>
      </c>
      <c r="EH20">
        <v>-60.362283870967737</v>
      </c>
      <c r="EI20">
        <v>428.60045161290321</v>
      </c>
      <c r="EJ20">
        <v>487.8799677419355</v>
      </c>
      <c r="EK20">
        <v>4.6630900000000004</v>
      </c>
      <c r="EL20">
        <v>480.34206451612908</v>
      </c>
      <c r="EM20">
        <v>15.45022903225807</v>
      </c>
      <c r="EN20">
        <v>1.9817022580645161</v>
      </c>
      <c r="EO20">
        <v>1.522263548387097</v>
      </c>
      <c r="EP20">
        <v>17.298896774193551</v>
      </c>
      <c r="EQ20">
        <v>13.19363225806452</v>
      </c>
      <c r="ER20">
        <v>1399.9932258064521</v>
      </c>
      <c r="ES20">
        <v>0.99301048387096769</v>
      </c>
      <c r="ET20">
        <v>6.9895774193548402E-3</v>
      </c>
      <c r="EU20">
        <v>0</v>
      </c>
      <c r="EV20">
        <v>793.52406451612899</v>
      </c>
      <c r="EW20">
        <v>5.0010700000000003</v>
      </c>
      <c r="EX20">
        <v>15687.983870967741</v>
      </c>
      <c r="EY20">
        <v>12745.519354838711</v>
      </c>
      <c r="EZ20">
        <v>38.936999999999983</v>
      </c>
      <c r="FA20">
        <v>40.668999999999997</v>
      </c>
      <c r="FB20">
        <v>39.875</v>
      </c>
      <c r="FC20">
        <v>40.594516129032243</v>
      </c>
      <c r="FD20">
        <v>40.378935483870968</v>
      </c>
      <c r="FE20">
        <v>1385.2432258064521</v>
      </c>
      <c r="FF20">
        <v>9.75</v>
      </c>
      <c r="FG20">
        <v>0</v>
      </c>
      <c r="FH20">
        <v>181.5999999046326</v>
      </c>
      <c r="FI20">
        <v>0</v>
      </c>
      <c r="FJ20">
        <v>793.59141176470575</v>
      </c>
      <c r="FK20">
        <v>-3.4936273997152112</v>
      </c>
      <c r="FL20">
        <v>2014.1666502978351</v>
      </c>
      <c r="FM20">
        <v>15611.63529411765</v>
      </c>
      <c r="FN20">
        <v>10</v>
      </c>
      <c r="FO20">
        <v>1783869037.0999999</v>
      </c>
      <c r="FP20" t="s">
        <v>643</v>
      </c>
      <c r="FQ20">
        <v>1783869037.0999999</v>
      </c>
      <c r="FR20">
        <v>1783869035.5999999</v>
      </c>
      <c r="FS20">
        <v>6</v>
      </c>
      <c r="FT20">
        <v>-0.13700000000000001</v>
      </c>
      <c r="FU20">
        <v>-4.0000000000000001E-3</v>
      </c>
      <c r="FV20">
        <v>-5.8250000000000002</v>
      </c>
      <c r="FW20">
        <v>-0.58799999999999997</v>
      </c>
      <c r="FX20">
        <v>480</v>
      </c>
      <c r="FY20">
        <v>16</v>
      </c>
      <c r="FZ20">
        <v>0.17</v>
      </c>
      <c r="GA20">
        <v>7.0000000000000007E-2</v>
      </c>
      <c r="GB20">
        <v>419.98166666666668</v>
      </c>
      <c r="GC20">
        <v>-9.9844271413450578E-2</v>
      </c>
      <c r="GD20">
        <v>6.4955027176924293E-2</v>
      </c>
      <c r="GE20">
        <v>-1</v>
      </c>
      <c r="GF20">
        <v>793.6099999999999</v>
      </c>
      <c r="GG20">
        <v>-1.012345295058511</v>
      </c>
      <c r="GH20">
        <v>0.36678163081850368</v>
      </c>
      <c r="GI20">
        <v>1</v>
      </c>
      <c r="GJ20">
        <v>4.6679057500000001</v>
      </c>
      <c r="GK20">
        <v>-0.12612596622890579</v>
      </c>
      <c r="GL20">
        <v>1.249858389728614E-2</v>
      </c>
      <c r="GM20">
        <v>1</v>
      </c>
      <c r="GN20">
        <v>2</v>
      </c>
      <c r="GO20">
        <v>2</v>
      </c>
      <c r="GP20" t="s">
        <v>423</v>
      </c>
      <c r="GQ20">
        <v>3.13015</v>
      </c>
      <c r="GR20">
        <v>2.7328600000000001</v>
      </c>
      <c r="GS20">
        <v>9.2255599999999993E-2</v>
      </c>
      <c r="GT20">
        <v>0.10173500000000001</v>
      </c>
      <c r="GU20">
        <v>0.10123699999999999</v>
      </c>
      <c r="GV20">
        <v>8.2567100000000004E-2</v>
      </c>
      <c r="GW20">
        <v>22823.200000000001</v>
      </c>
      <c r="GX20">
        <v>30278.7</v>
      </c>
      <c r="GY20">
        <v>27269.9</v>
      </c>
      <c r="GZ20">
        <v>34656.9</v>
      </c>
      <c r="HA20">
        <v>35883.5</v>
      </c>
      <c r="HB20">
        <v>40261.5</v>
      </c>
      <c r="HC20">
        <v>40257.300000000003</v>
      </c>
      <c r="HD20">
        <v>43965.3</v>
      </c>
      <c r="HE20">
        <v>1.9792000000000001</v>
      </c>
      <c r="HF20">
        <v>1.7638</v>
      </c>
      <c r="HG20">
        <v>-7.7188000000000007E-2</v>
      </c>
      <c r="HH20">
        <v>0</v>
      </c>
      <c r="HI20">
        <v>26.269200000000001</v>
      </c>
      <c r="HJ20">
        <v>999.9</v>
      </c>
      <c r="HK20">
        <v>65.099999999999994</v>
      </c>
      <c r="HL20">
        <v>38.299999999999997</v>
      </c>
      <c r="HM20">
        <v>44.704599999999999</v>
      </c>
      <c r="HN20">
        <v>61.439900000000002</v>
      </c>
      <c r="HO20">
        <v>6.5424699999999998</v>
      </c>
      <c r="HP20">
        <v>1</v>
      </c>
      <c r="HQ20">
        <v>0.46646300000000002</v>
      </c>
      <c r="HR20">
        <v>6.0360800000000001</v>
      </c>
      <c r="HS20">
        <v>20.170100000000001</v>
      </c>
      <c r="HT20">
        <v>5.2112999999999996</v>
      </c>
      <c r="HU20">
        <v>11.908099999999999</v>
      </c>
      <c r="HV20">
        <v>4.9859999999999998</v>
      </c>
      <c r="HW20">
        <v>3.2709999999999999</v>
      </c>
      <c r="HX20">
        <v>9999</v>
      </c>
      <c r="HY20">
        <v>9999</v>
      </c>
      <c r="HZ20">
        <v>9999</v>
      </c>
      <c r="IA20">
        <v>999.9</v>
      </c>
      <c r="IB20">
        <v>1.86734</v>
      </c>
      <c r="IC20">
        <v>1.8629500000000001</v>
      </c>
      <c r="ID20">
        <v>1.86246</v>
      </c>
      <c r="IE20">
        <v>1.86191</v>
      </c>
      <c r="IF20">
        <v>1.8620300000000001</v>
      </c>
      <c r="IG20">
        <v>1.86252</v>
      </c>
      <c r="IH20">
        <v>1.8633999999999999</v>
      </c>
      <c r="II20">
        <v>1.8614200000000001</v>
      </c>
      <c r="IJ20">
        <v>0</v>
      </c>
      <c r="IK20">
        <v>0</v>
      </c>
      <c r="IL20">
        <v>0</v>
      </c>
      <c r="IM20">
        <v>4.5</v>
      </c>
      <c r="IN20" t="s">
        <v>411</v>
      </c>
      <c r="IO20" t="s">
        <v>412</v>
      </c>
      <c r="IP20" t="s">
        <v>413</v>
      </c>
      <c r="IQ20" t="s">
        <v>414</v>
      </c>
      <c r="IR20" t="s">
        <v>414</v>
      </c>
      <c r="IS20" t="s">
        <v>413</v>
      </c>
      <c r="IT20">
        <v>0</v>
      </c>
      <c r="IU20">
        <v>100</v>
      </c>
      <c r="IV20">
        <v>100</v>
      </c>
      <c r="IW20">
        <v>-5.6040000000000001</v>
      </c>
      <c r="IX20">
        <v>-0.4824</v>
      </c>
      <c r="IY20">
        <v>-3.6180311452054732</v>
      </c>
      <c r="IZ20">
        <v>-5.6215304933332991E-3</v>
      </c>
      <c r="JA20">
        <v>2.3979931213773931E-6</v>
      </c>
      <c r="JB20">
        <v>-3.6297174575716598E-10</v>
      </c>
      <c r="JC20">
        <v>-0.78379025781318923</v>
      </c>
      <c r="JD20">
        <v>2.7492919904454862E-4</v>
      </c>
      <c r="JE20">
        <v>8.6739513355948885E-4</v>
      </c>
      <c r="JF20">
        <v>-8.2500691715147318E-6</v>
      </c>
      <c r="JG20">
        <v>17</v>
      </c>
      <c r="JH20">
        <v>1914</v>
      </c>
      <c r="JI20">
        <v>2</v>
      </c>
      <c r="JJ20">
        <v>37</v>
      </c>
      <c r="JK20">
        <v>1.6</v>
      </c>
      <c r="JL20">
        <v>1.6</v>
      </c>
      <c r="JM20">
        <v>1.1999500000000001</v>
      </c>
      <c r="JN20">
        <v>2.5476100000000002</v>
      </c>
      <c r="JO20">
        <v>1.50024</v>
      </c>
      <c r="JP20">
        <v>2.2729499999999998</v>
      </c>
      <c r="JQ20">
        <v>1.4477500000000001</v>
      </c>
      <c r="JR20">
        <v>2.3779300000000001</v>
      </c>
      <c r="JS20">
        <v>43.535400000000003</v>
      </c>
      <c r="JT20">
        <v>15.445399999999999</v>
      </c>
      <c r="JU20">
        <v>18</v>
      </c>
      <c r="JV20">
        <v>543.75900000000001</v>
      </c>
      <c r="JW20">
        <v>419.08100000000002</v>
      </c>
      <c r="JX20">
        <v>20.145900000000001</v>
      </c>
      <c r="JY20">
        <v>32.953600000000002</v>
      </c>
      <c r="JZ20">
        <v>29.9999</v>
      </c>
      <c r="KA20">
        <v>33.096899999999998</v>
      </c>
      <c r="KB20">
        <v>33.132899999999999</v>
      </c>
      <c r="KC20">
        <v>24.002300000000002</v>
      </c>
      <c r="KD20">
        <v>61.4251</v>
      </c>
      <c r="KE20">
        <v>0</v>
      </c>
      <c r="KF20">
        <v>20.142499999999998</v>
      </c>
      <c r="KG20">
        <v>480.358</v>
      </c>
      <c r="KH20">
        <v>15.5136</v>
      </c>
      <c r="KI20">
        <v>100.626</v>
      </c>
      <c r="KJ20">
        <v>98.923400000000001</v>
      </c>
    </row>
    <row r="21" spans="1:296" x14ac:dyDescent="0.3">
      <c r="A21">
        <v>5</v>
      </c>
      <c r="B21">
        <v>1783869314.0999999</v>
      </c>
      <c r="C21">
        <v>752.5</v>
      </c>
      <c r="D21" t="s">
        <v>644</v>
      </c>
      <c r="E21" t="s">
        <v>645</v>
      </c>
      <c r="F21">
        <v>15</v>
      </c>
      <c r="H21">
        <v>1783869306.349999</v>
      </c>
      <c r="I21">
        <f t="shared" si="0"/>
        <v>3.5552747271867914E-3</v>
      </c>
      <c r="J21">
        <f t="shared" si="1"/>
        <v>3.5552747271867915</v>
      </c>
      <c r="K21">
        <f t="shared" si="2"/>
        <v>43.536356516663702</v>
      </c>
      <c r="L21">
        <f t="shared" si="3"/>
        <v>419.97106666666662</v>
      </c>
      <c r="M21">
        <f t="shared" si="4"/>
        <v>170.17279116678904</v>
      </c>
      <c r="N21">
        <f t="shared" si="5"/>
        <v>16.775922715697348</v>
      </c>
      <c r="O21">
        <f t="shared" si="6"/>
        <v>41.40146088526965</v>
      </c>
      <c r="P21">
        <f t="shared" si="7"/>
        <v>0.2995417547352795</v>
      </c>
      <c r="Q21">
        <f t="shared" si="8"/>
        <v>2.9029184934948855</v>
      </c>
      <c r="R21">
        <f t="shared" si="9"/>
        <v>0.28336865455909799</v>
      </c>
      <c r="S21">
        <f t="shared" si="10"/>
        <v>0.17848569290169281</v>
      </c>
      <c r="T21">
        <f t="shared" si="11"/>
        <v>160.18046208642073</v>
      </c>
      <c r="U21">
        <f t="shared" si="12"/>
        <v>24.709241134688803</v>
      </c>
      <c r="V21">
        <f t="shared" si="13"/>
        <v>25.020463333333328</v>
      </c>
      <c r="W21">
        <f t="shared" si="14"/>
        <v>3.1835588820929046</v>
      </c>
      <c r="X21">
        <f t="shared" si="15"/>
        <v>63.40804925098589</v>
      </c>
      <c r="Y21">
        <f t="shared" si="16"/>
        <v>1.9790936381583621</v>
      </c>
      <c r="Z21">
        <f t="shared" si="17"/>
        <v>3.1212025311243754</v>
      </c>
      <c r="AA21">
        <f t="shared" si="18"/>
        <v>1.2044652439345425</v>
      </c>
      <c r="AB21">
        <f t="shared" si="19"/>
        <v>-156.7876154689375</v>
      </c>
      <c r="AC21">
        <f t="shared" si="20"/>
        <v>-51.870026537637692</v>
      </c>
      <c r="AD21">
        <f t="shared" si="21"/>
        <v>-3.7740404165739361</v>
      </c>
      <c r="AE21">
        <f t="shared" si="22"/>
        <v>-52.251220336728402</v>
      </c>
      <c r="AF21">
        <f t="shared" si="23"/>
        <v>43.536356516663702</v>
      </c>
      <c r="AG21">
        <f t="shared" si="24"/>
        <v>3.5552747271867915</v>
      </c>
      <c r="AH21">
        <f t="shared" si="25"/>
        <v>43.519572223687625</v>
      </c>
      <c r="AI21">
        <v>481.7983233631125</v>
      </c>
      <c r="AJ21">
        <v>428.61687272727278</v>
      </c>
      <c r="AK21">
        <v>2.1029816990293972E-2</v>
      </c>
      <c r="AL21">
        <v>67.088678159711719</v>
      </c>
      <c r="AM21">
        <f t="shared" si="26"/>
        <v>3.5608684595601714</v>
      </c>
      <c r="AN21">
        <v>15.89236346251082</v>
      </c>
      <c r="AO21">
        <v>20.0795496969697</v>
      </c>
      <c r="AP21">
        <v>3.6556104662509698E-5</v>
      </c>
      <c r="AQ21">
        <v>78.55</v>
      </c>
      <c r="AR21">
        <v>0</v>
      </c>
      <c r="AS21">
        <v>0</v>
      </c>
      <c r="AT21">
        <f t="shared" si="27"/>
        <v>1</v>
      </c>
      <c r="AU21">
        <f t="shared" si="28"/>
        <v>0</v>
      </c>
      <c r="AV21">
        <f t="shared" si="29"/>
        <v>52483.616433121788</v>
      </c>
      <c r="AW21" t="s">
        <v>629</v>
      </c>
      <c r="AX21">
        <v>5089.68</v>
      </c>
      <c r="AY21">
        <v>566.38529411764705</v>
      </c>
      <c r="AZ21">
        <v>2484</v>
      </c>
      <c r="BA21">
        <f t="shared" si="30"/>
        <v>0.77198659657099555</v>
      </c>
      <c r="BB21">
        <v>-2.0500122635890872</v>
      </c>
      <c r="BC21" t="s">
        <v>646</v>
      </c>
      <c r="BD21">
        <v>5090.72</v>
      </c>
      <c r="BE21">
        <v>782.62770588235287</v>
      </c>
      <c r="BF21">
        <v>1259.58</v>
      </c>
      <c r="BG21">
        <f t="shared" si="31"/>
        <v>0.37865978668893363</v>
      </c>
      <c r="BH21">
        <v>0.5</v>
      </c>
      <c r="BI21">
        <f t="shared" si="32"/>
        <v>840.31703963026985</v>
      </c>
      <c r="BJ21">
        <f t="shared" si="33"/>
        <v>43.536356516663702</v>
      </c>
      <c r="BK21">
        <f t="shared" si="34"/>
        <v>159.09713548873708</v>
      </c>
      <c r="BL21">
        <f t="shared" si="35"/>
        <v>5.4249011540109061E-2</v>
      </c>
      <c r="BM21">
        <f t="shared" si="36"/>
        <v>0.97208593340637361</v>
      </c>
      <c r="BN21">
        <f t="shared" si="37"/>
        <v>463.62373261090903</v>
      </c>
      <c r="BO21" t="s">
        <v>407</v>
      </c>
      <c r="BP21">
        <v>0</v>
      </c>
      <c r="BQ21">
        <f t="shared" si="38"/>
        <v>463.62373261090903</v>
      </c>
      <c r="BR21">
        <f t="shared" si="39"/>
        <v>0.6319219639793352</v>
      </c>
      <c r="BS21">
        <f t="shared" si="40"/>
        <v>0.59921922052596421</v>
      </c>
      <c r="BT21">
        <f t="shared" si="41"/>
        <v>0.60603562799829558</v>
      </c>
      <c r="BU21">
        <f t="shared" si="42"/>
        <v>0.68804953365958643</v>
      </c>
      <c r="BV21">
        <f t="shared" si="43"/>
        <v>0.63851199943557335</v>
      </c>
      <c r="BW21">
        <f t="shared" si="44"/>
        <v>0.35497369896870046</v>
      </c>
      <c r="BX21">
        <f t="shared" si="45"/>
        <v>0.64502630103129954</v>
      </c>
      <c r="DG21">
        <f t="shared" si="46"/>
        <v>1000.0214999999999</v>
      </c>
      <c r="DH21">
        <f t="shared" si="47"/>
        <v>840.31703963026985</v>
      </c>
      <c r="DI21">
        <f t="shared" si="48"/>
        <v>0.84029897320234603</v>
      </c>
      <c r="DJ21">
        <f t="shared" si="49"/>
        <v>0.16017701828052772</v>
      </c>
      <c r="DK21">
        <v>6</v>
      </c>
      <c r="DL21">
        <v>0.5</v>
      </c>
      <c r="DM21" t="s">
        <v>408</v>
      </c>
      <c r="DN21">
        <v>2</v>
      </c>
      <c r="DO21" t="b">
        <v>0</v>
      </c>
      <c r="DP21">
        <v>1783869306.349999</v>
      </c>
      <c r="DQ21">
        <v>419.97106666666662</v>
      </c>
      <c r="DR21">
        <v>474.00866666666661</v>
      </c>
      <c r="DS21">
        <v>20.075669999999999</v>
      </c>
      <c r="DT21">
        <v>15.89481666666666</v>
      </c>
      <c r="DU21">
        <v>425.51026666666678</v>
      </c>
      <c r="DV21">
        <v>20.562316666666661</v>
      </c>
      <c r="DW21">
        <v>499.97930000000002</v>
      </c>
      <c r="DX21">
        <v>98.525779999999997</v>
      </c>
      <c r="DY21">
        <v>5.5918053333333322E-2</v>
      </c>
      <c r="DZ21">
        <v>24.689029999999999</v>
      </c>
      <c r="EA21">
        <v>25.020463333333328</v>
      </c>
      <c r="EB21">
        <v>999.9000000000002</v>
      </c>
      <c r="EC21">
        <v>0</v>
      </c>
      <c r="ED21">
        <v>0</v>
      </c>
      <c r="EE21">
        <v>9996.3333333333339</v>
      </c>
      <c r="EF21">
        <v>0</v>
      </c>
      <c r="EG21">
        <v>526.5211333333333</v>
      </c>
      <c r="EH21">
        <v>-54.037476666666663</v>
      </c>
      <c r="EI21">
        <v>428.57510000000002</v>
      </c>
      <c r="EJ21">
        <v>481.66460000000012</v>
      </c>
      <c r="EK21">
        <v>4.1808713333333341</v>
      </c>
      <c r="EL21">
        <v>474.00866666666661</v>
      </c>
      <c r="EM21">
        <v>15.89481666666666</v>
      </c>
      <c r="EN21">
        <v>1.977970666666667</v>
      </c>
      <c r="EO21">
        <v>1.5660480000000001</v>
      </c>
      <c r="EP21">
        <v>17.26909666666667</v>
      </c>
      <c r="EQ21">
        <v>13.62870666666667</v>
      </c>
      <c r="ER21">
        <v>1000.0214999999999</v>
      </c>
      <c r="ES21">
        <v>0.98998600000000025</v>
      </c>
      <c r="ET21">
        <v>1.0013697E-2</v>
      </c>
      <c r="EU21">
        <v>0</v>
      </c>
      <c r="EV21">
        <v>782.56829999999979</v>
      </c>
      <c r="EW21">
        <v>5.0010700000000003</v>
      </c>
      <c r="EX21">
        <v>11243.053333333341</v>
      </c>
      <c r="EY21">
        <v>9080.4260000000013</v>
      </c>
      <c r="EZ21">
        <v>38.391533333333342</v>
      </c>
      <c r="FA21">
        <v>40.561999999999983</v>
      </c>
      <c r="FB21">
        <v>39.686999999999983</v>
      </c>
      <c r="FC21">
        <v>40.436999999999983</v>
      </c>
      <c r="FD21">
        <v>39.941199999999988</v>
      </c>
      <c r="FE21">
        <v>985.05566666666675</v>
      </c>
      <c r="FF21">
        <v>9.9660000000000046</v>
      </c>
      <c r="FG21">
        <v>0</v>
      </c>
      <c r="FH21">
        <v>182</v>
      </c>
      <c r="FI21">
        <v>0</v>
      </c>
      <c r="FJ21">
        <v>782.62770588235287</v>
      </c>
      <c r="FK21">
        <v>0.12769609384069691</v>
      </c>
      <c r="FL21">
        <v>-279.68137376377848</v>
      </c>
      <c r="FM21">
        <v>11288.63529411765</v>
      </c>
      <c r="FN21">
        <v>10</v>
      </c>
      <c r="FO21">
        <v>1783869241.0999999</v>
      </c>
      <c r="FP21" t="s">
        <v>647</v>
      </c>
      <c r="FQ21">
        <v>1783869241.0999999</v>
      </c>
      <c r="FR21">
        <v>1783869236.5999999</v>
      </c>
      <c r="FS21">
        <v>7</v>
      </c>
      <c r="FT21">
        <v>6.5000000000000002E-2</v>
      </c>
      <c r="FU21">
        <v>-4.0000000000000001E-3</v>
      </c>
      <c r="FV21">
        <v>-5.74</v>
      </c>
      <c r="FW21">
        <v>-0.59199999999999997</v>
      </c>
      <c r="FX21">
        <v>474</v>
      </c>
      <c r="FY21">
        <v>16</v>
      </c>
      <c r="FZ21">
        <v>0.14000000000000001</v>
      </c>
      <c r="GA21">
        <v>7.0000000000000007E-2</v>
      </c>
      <c r="GB21">
        <v>419.96861290322568</v>
      </c>
      <c r="GC21">
        <v>3.4983870966680007E-2</v>
      </c>
      <c r="GD21">
        <v>5.1099319747602047E-2</v>
      </c>
      <c r="GE21">
        <v>-1</v>
      </c>
      <c r="GF21">
        <v>782.43567647058808</v>
      </c>
      <c r="GG21">
        <v>1.921695954095032</v>
      </c>
      <c r="GH21">
        <v>0.28622982544762632</v>
      </c>
      <c r="GI21">
        <v>1</v>
      </c>
      <c r="GJ21">
        <v>4.1829543902439026</v>
      </c>
      <c r="GK21">
        <v>2.3901951219516871E-2</v>
      </c>
      <c r="GL21">
        <v>1.988751232757428E-2</v>
      </c>
      <c r="GM21">
        <v>1</v>
      </c>
      <c r="GN21">
        <v>2</v>
      </c>
      <c r="GO21">
        <v>2</v>
      </c>
      <c r="GP21" t="s">
        <v>423</v>
      </c>
      <c r="GQ21">
        <v>3.1288499999999999</v>
      </c>
      <c r="GR21">
        <v>2.7328700000000001</v>
      </c>
      <c r="GS21">
        <v>9.2264700000000005E-2</v>
      </c>
      <c r="GT21">
        <v>0.10076499999999999</v>
      </c>
      <c r="GU21">
        <v>0.101133</v>
      </c>
      <c r="GV21">
        <v>8.4040199999999995E-2</v>
      </c>
      <c r="GW21">
        <v>22821.200000000001</v>
      </c>
      <c r="GX21">
        <v>30311.3</v>
      </c>
      <c r="GY21">
        <v>27267.7</v>
      </c>
      <c r="GZ21">
        <v>34656.300000000003</v>
      </c>
      <c r="HA21">
        <v>35884.9</v>
      </c>
      <c r="HB21">
        <v>40194.9</v>
      </c>
      <c r="HC21">
        <v>40254.400000000001</v>
      </c>
      <c r="HD21">
        <v>43963.4</v>
      </c>
      <c r="HE21">
        <v>1.9778</v>
      </c>
      <c r="HF21">
        <v>1.7612000000000001</v>
      </c>
      <c r="HG21">
        <v>-8.29101E-2</v>
      </c>
      <c r="HH21">
        <v>0</v>
      </c>
      <c r="HI21">
        <v>26.373799999999999</v>
      </c>
      <c r="HJ21">
        <v>999.9</v>
      </c>
      <c r="HK21">
        <v>65</v>
      </c>
      <c r="HL21">
        <v>38.799999999999997</v>
      </c>
      <c r="HM21">
        <v>45.866</v>
      </c>
      <c r="HN21">
        <v>61.319899999999997</v>
      </c>
      <c r="HO21">
        <v>6.6626599999999998</v>
      </c>
      <c r="HP21">
        <v>1</v>
      </c>
      <c r="HQ21">
        <v>0.464756</v>
      </c>
      <c r="HR21">
        <v>5.8100899999999998</v>
      </c>
      <c r="HS21">
        <v>20.179600000000001</v>
      </c>
      <c r="HT21">
        <v>5.2112999999999996</v>
      </c>
      <c r="HU21">
        <v>11.908099999999999</v>
      </c>
      <c r="HV21">
        <v>4.9859999999999998</v>
      </c>
      <c r="HW21">
        <v>3.2707999999999999</v>
      </c>
      <c r="HX21">
        <v>9999</v>
      </c>
      <c r="HY21">
        <v>9999</v>
      </c>
      <c r="HZ21">
        <v>9999</v>
      </c>
      <c r="IA21">
        <v>999.9</v>
      </c>
      <c r="IB21">
        <v>1.86737</v>
      </c>
      <c r="IC21">
        <v>1.8629500000000001</v>
      </c>
      <c r="ID21">
        <v>1.86249</v>
      </c>
      <c r="IE21">
        <v>1.8620000000000001</v>
      </c>
      <c r="IF21">
        <v>1.8620300000000001</v>
      </c>
      <c r="IG21">
        <v>1.8625499999999999</v>
      </c>
      <c r="IH21">
        <v>1.8634999999999999</v>
      </c>
      <c r="II21">
        <v>1.8614200000000001</v>
      </c>
      <c r="IJ21">
        <v>0</v>
      </c>
      <c r="IK21">
        <v>0</v>
      </c>
      <c r="IL21">
        <v>0</v>
      </c>
      <c r="IM21">
        <v>4.5</v>
      </c>
      <c r="IN21" t="s">
        <v>411</v>
      </c>
      <c r="IO21" t="s">
        <v>412</v>
      </c>
      <c r="IP21" t="s">
        <v>413</v>
      </c>
      <c r="IQ21" t="s">
        <v>414</v>
      </c>
      <c r="IR21" t="s">
        <v>414</v>
      </c>
      <c r="IS21" t="s">
        <v>413</v>
      </c>
      <c r="IT21">
        <v>0</v>
      </c>
      <c r="IU21">
        <v>100</v>
      </c>
      <c r="IV21">
        <v>100</v>
      </c>
      <c r="IW21">
        <v>-5.5389999999999997</v>
      </c>
      <c r="IX21">
        <v>-0.48670000000000002</v>
      </c>
      <c r="IY21">
        <v>-3.5533503885075302</v>
      </c>
      <c r="IZ21">
        <v>-5.6215304933332991E-3</v>
      </c>
      <c r="JA21">
        <v>2.3979931213773931E-6</v>
      </c>
      <c r="JB21">
        <v>-3.6297174575716598E-10</v>
      </c>
      <c r="JC21">
        <v>-0.78730882919676093</v>
      </c>
      <c r="JD21">
        <v>2.7492919904454862E-4</v>
      </c>
      <c r="JE21">
        <v>8.6739513355948885E-4</v>
      </c>
      <c r="JF21">
        <v>-8.2500691715147318E-6</v>
      </c>
      <c r="JG21">
        <v>17</v>
      </c>
      <c r="JH21">
        <v>1914</v>
      </c>
      <c r="JI21">
        <v>2</v>
      </c>
      <c r="JJ21">
        <v>37</v>
      </c>
      <c r="JK21">
        <v>1.2</v>
      </c>
      <c r="JL21">
        <v>1.3</v>
      </c>
      <c r="JM21">
        <v>1.18774</v>
      </c>
      <c r="JN21">
        <v>2.5427200000000001</v>
      </c>
      <c r="JO21">
        <v>1.50024</v>
      </c>
      <c r="JP21">
        <v>2.2729499999999998</v>
      </c>
      <c r="JQ21">
        <v>1.4477500000000001</v>
      </c>
      <c r="JR21">
        <v>2.4133300000000002</v>
      </c>
      <c r="JS21">
        <v>43.8367</v>
      </c>
      <c r="JT21">
        <v>15.427899999999999</v>
      </c>
      <c r="JU21">
        <v>18</v>
      </c>
      <c r="JV21">
        <v>542.63599999999997</v>
      </c>
      <c r="JW21">
        <v>417.399</v>
      </c>
      <c r="JX21">
        <v>20.4848</v>
      </c>
      <c r="JY21">
        <v>32.909599999999998</v>
      </c>
      <c r="JZ21">
        <v>30.0001</v>
      </c>
      <c r="KA21">
        <v>33.073700000000002</v>
      </c>
      <c r="KB21">
        <v>33.115600000000001</v>
      </c>
      <c r="KC21">
        <v>23.7546</v>
      </c>
      <c r="KD21">
        <v>61.645200000000003</v>
      </c>
      <c r="KE21">
        <v>0</v>
      </c>
      <c r="KF21">
        <v>20.4709</v>
      </c>
      <c r="KG21">
        <v>474.02600000000001</v>
      </c>
      <c r="KH21">
        <v>15.7803</v>
      </c>
      <c r="KI21">
        <v>100.61799999999999</v>
      </c>
      <c r="KJ21">
        <v>98.920299999999997</v>
      </c>
    </row>
    <row r="22" spans="1:296" x14ac:dyDescent="0.3">
      <c r="A22">
        <v>6</v>
      </c>
      <c r="B22">
        <v>1783869496.5999999</v>
      </c>
      <c r="C22">
        <v>935</v>
      </c>
      <c r="D22" t="s">
        <v>648</v>
      </c>
      <c r="E22" t="s">
        <v>649</v>
      </c>
      <c r="F22">
        <v>15</v>
      </c>
      <c r="H22">
        <v>1783869488.599999</v>
      </c>
      <c r="I22">
        <f t="shared" si="0"/>
        <v>3.459018138409499E-3</v>
      </c>
      <c r="J22">
        <f t="shared" si="1"/>
        <v>3.4590181384094989</v>
      </c>
      <c r="K22">
        <f t="shared" si="2"/>
        <v>39.433689681933885</v>
      </c>
      <c r="L22">
        <f t="shared" si="3"/>
        <v>420.01203225806449</v>
      </c>
      <c r="M22">
        <f t="shared" si="4"/>
        <v>186.98047827804558</v>
      </c>
      <c r="N22">
        <f t="shared" si="5"/>
        <v>18.431963929423258</v>
      </c>
      <c r="O22">
        <f t="shared" si="6"/>
        <v>41.403502118506417</v>
      </c>
      <c r="P22">
        <f t="shared" si="7"/>
        <v>0.29117447005328129</v>
      </c>
      <c r="Q22">
        <f t="shared" si="8"/>
        <v>2.9029099294976795</v>
      </c>
      <c r="R22">
        <f t="shared" si="9"/>
        <v>0.27586746253147509</v>
      </c>
      <c r="S22">
        <f t="shared" si="10"/>
        <v>0.17372535196378025</v>
      </c>
      <c r="T22">
        <f t="shared" si="11"/>
        <v>128.28369409210674</v>
      </c>
      <c r="U22">
        <f t="shared" si="12"/>
        <v>24.524577437301669</v>
      </c>
      <c r="V22">
        <f t="shared" si="13"/>
        <v>24.99981935483871</v>
      </c>
      <c r="W22">
        <f t="shared" si="14"/>
        <v>3.1796433453287625</v>
      </c>
      <c r="X22">
        <f t="shared" si="15"/>
        <v>63.382469933954496</v>
      </c>
      <c r="Y22">
        <f t="shared" si="16"/>
        <v>1.9759392054056801</v>
      </c>
      <c r="Z22">
        <f t="shared" si="17"/>
        <v>3.1174853354005276</v>
      </c>
      <c r="AA22">
        <f t="shared" si="18"/>
        <v>1.2037041399230823</v>
      </c>
      <c r="AB22">
        <f t="shared" si="19"/>
        <v>-152.5426999038589</v>
      </c>
      <c r="AC22">
        <f t="shared" si="20"/>
        <v>-51.759649212543295</v>
      </c>
      <c r="AD22">
        <f t="shared" si="21"/>
        <v>-3.7652508702463305</v>
      </c>
      <c r="AE22">
        <f t="shared" si="22"/>
        <v>-79.783905894541789</v>
      </c>
      <c r="AF22">
        <f t="shared" si="23"/>
        <v>39.433689681933885</v>
      </c>
      <c r="AG22">
        <f t="shared" si="24"/>
        <v>3.4590181384094989</v>
      </c>
      <c r="AH22">
        <f t="shared" si="25"/>
        <v>39.286843243029367</v>
      </c>
      <c r="AI22">
        <v>476.56422144595672</v>
      </c>
      <c r="AJ22">
        <v>428.61493333333328</v>
      </c>
      <c r="AK22">
        <v>7.0183153111460332E-3</v>
      </c>
      <c r="AL22">
        <v>67.093571365706225</v>
      </c>
      <c r="AM22">
        <f t="shared" si="26"/>
        <v>3.4231317046993652</v>
      </c>
      <c r="AN22">
        <v>15.98254455355505</v>
      </c>
      <c r="AO22">
        <v>20.0119896969697</v>
      </c>
      <c r="AP22">
        <v>-5.9577827248161695E-4</v>
      </c>
      <c r="AQ22">
        <v>78.252745150875043</v>
      </c>
      <c r="AR22">
        <v>0</v>
      </c>
      <c r="AS22">
        <v>0</v>
      </c>
      <c r="AT22">
        <f t="shared" si="27"/>
        <v>1</v>
      </c>
      <c r="AU22">
        <f t="shared" si="28"/>
        <v>0</v>
      </c>
      <c r="AV22">
        <f t="shared" si="29"/>
        <v>52486.780168430239</v>
      </c>
      <c r="AW22" t="s">
        <v>629</v>
      </c>
      <c r="AX22">
        <v>5089.68</v>
      </c>
      <c r="AY22">
        <v>566.38529411764705</v>
      </c>
      <c r="AZ22">
        <v>2484</v>
      </c>
      <c r="BA22">
        <f t="shared" si="30"/>
        <v>0.77198659657099555</v>
      </c>
      <c r="BB22">
        <v>-2.0500122635890872</v>
      </c>
      <c r="BC22" t="s">
        <v>650</v>
      </c>
      <c r="BD22">
        <v>5094.26</v>
      </c>
      <c r="BE22">
        <v>775.07547058823525</v>
      </c>
      <c r="BF22">
        <v>1404.15</v>
      </c>
      <c r="BG22">
        <f t="shared" si="31"/>
        <v>0.4480109172180784</v>
      </c>
      <c r="BH22">
        <v>0.5</v>
      </c>
      <c r="BI22">
        <f t="shared" si="32"/>
        <v>672.33939828272275</v>
      </c>
      <c r="BJ22">
        <f t="shared" si="33"/>
        <v>39.433689681933885</v>
      </c>
      <c r="BK22">
        <f t="shared" si="34"/>
        <v>150.60769525324676</v>
      </c>
      <c r="BL22">
        <f t="shared" si="35"/>
        <v>6.1700537037513943E-2</v>
      </c>
      <c r="BM22">
        <f t="shared" si="36"/>
        <v>0.76904176904176891</v>
      </c>
      <c r="BN22">
        <f t="shared" si="37"/>
        <v>481.88574613367308</v>
      </c>
      <c r="BO22" t="s">
        <v>407</v>
      </c>
      <c r="BP22">
        <v>0</v>
      </c>
      <c r="BQ22">
        <f t="shared" si="38"/>
        <v>481.88574613367308</v>
      </c>
      <c r="BR22">
        <f t="shared" si="39"/>
        <v>0.65681319934930527</v>
      </c>
      <c r="BS22">
        <f t="shared" si="40"/>
        <v>0.68209792017260917</v>
      </c>
      <c r="BT22">
        <f t="shared" si="41"/>
        <v>0.53935483347899738</v>
      </c>
      <c r="BU22">
        <f t="shared" si="42"/>
        <v>0.7508964330852409</v>
      </c>
      <c r="BV22">
        <f t="shared" si="43"/>
        <v>0.56312146370567595</v>
      </c>
      <c r="BW22">
        <f t="shared" si="44"/>
        <v>0.42407904477888603</v>
      </c>
      <c r="BX22">
        <f t="shared" si="45"/>
        <v>0.57592095522111397</v>
      </c>
      <c r="DG22">
        <f t="shared" si="46"/>
        <v>800.03512903225794</v>
      </c>
      <c r="DH22">
        <f t="shared" si="47"/>
        <v>672.33939828272275</v>
      </c>
      <c r="DI22">
        <f t="shared" si="48"/>
        <v>0.84038734536069803</v>
      </c>
      <c r="DJ22">
        <f t="shared" si="49"/>
        <v>0.1603475765461472</v>
      </c>
      <c r="DK22">
        <v>6</v>
      </c>
      <c r="DL22">
        <v>0.5</v>
      </c>
      <c r="DM22" t="s">
        <v>408</v>
      </c>
      <c r="DN22">
        <v>2</v>
      </c>
      <c r="DO22" t="b">
        <v>0</v>
      </c>
      <c r="DP22">
        <v>1783869488.599999</v>
      </c>
      <c r="DQ22">
        <v>420.01203225806449</v>
      </c>
      <c r="DR22">
        <v>469.07806451612902</v>
      </c>
      <c r="DS22">
        <v>20.044638709677422</v>
      </c>
      <c r="DT22">
        <v>15.976835483870969</v>
      </c>
      <c r="DU22">
        <v>425.50145161290322</v>
      </c>
      <c r="DV22">
        <v>20.53788387096774</v>
      </c>
      <c r="DW22">
        <v>499.97748387096772</v>
      </c>
      <c r="DX22">
        <v>98.520951612903204</v>
      </c>
      <c r="DY22">
        <v>5.5991280645161283E-2</v>
      </c>
      <c r="DZ22">
        <v>24.669090322580651</v>
      </c>
      <c r="EA22">
        <v>24.99981935483871</v>
      </c>
      <c r="EB22">
        <v>999.90000000000032</v>
      </c>
      <c r="EC22">
        <v>0</v>
      </c>
      <c r="ED22">
        <v>0</v>
      </c>
      <c r="EE22">
        <v>9996.7741935483864</v>
      </c>
      <c r="EF22">
        <v>0</v>
      </c>
      <c r="EG22">
        <v>550.5827419354838</v>
      </c>
      <c r="EH22">
        <v>-49.065974193548378</v>
      </c>
      <c r="EI22">
        <v>428.6031935483872</v>
      </c>
      <c r="EJ22">
        <v>476.69422580645158</v>
      </c>
      <c r="EK22">
        <v>4.0678032258064514</v>
      </c>
      <c r="EL22">
        <v>469.07806451612902</v>
      </c>
      <c r="EM22">
        <v>15.976835483870969</v>
      </c>
      <c r="EN22">
        <v>1.974816774193549</v>
      </c>
      <c r="EO22">
        <v>1.574053548387097</v>
      </c>
      <c r="EP22">
        <v>17.243851612903232</v>
      </c>
      <c r="EQ22">
        <v>13.7071129032258</v>
      </c>
      <c r="ER22">
        <v>800.03512903225794</v>
      </c>
      <c r="ES22">
        <v>0.98700812903225787</v>
      </c>
      <c r="ET22">
        <v>1.2992093548387099E-2</v>
      </c>
      <c r="EU22">
        <v>0</v>
      </c>
      <c r="EV22">
        <v>775.33196774193561</v>
      </c>
      <c r="EW22">
        <v>5.0010700000000003</v>
      </c>
      <c r="EX22">
        <v>11104.11</v>
      </c>
      <c r="EY22">
        <v>7246.9622580645173</v>
      </c>
      <c r="EZ22">
        <v>37.797999999999988</v>
      </c>
      <c r="FA22">
        <v>40.293999999999997</v>
      </c>
      <c r="FB22">
        <v>39.243838709677412</v>
      </c>
      <c r="FC22">
        <v>40.241870967741939</v>
      </c>
      <c r="FD22">
        <v>39.495935483870973</v>
      </c>
      <c r="FE22">
        <v>784.70548387096756</v>
      </c>
      <c r="FF22">
        <v>10.329677419354841</v>
      </c>
      <c r="FG22">
        <v>0</v>
      </c>
      <c r="FH22">
        <v>181.5999999046326</v>
      </c>
      <c r="FI22">
        <v>0</v>
      </c>
      <c r="FJ22">
        <v>775.07547058823525</v>
      </c>
      <c r="FK22">
        <v>17.842647079252028</v>
      </c>
      <c r="FL22">
        <v>-3627.7450895919469</v>
      </c>
      <c r="FM22">
        <v>11359.11176470588</v>
      </c>
      <c r="FN22">
        <v>10</v>
      </c>
      <c r="FO22">
        <v>1783869409.0999999</v>
      </c>
      <c r="FP22" t="s">
        <v>651</v>
      </c>
      <c r="FQ22">
        <v>1783869409.0999999</v>
      </c>
      <c r="FR22">
        <v>1783869408.5999999</v>
      </c>
      <c r="FS22">
        <v>8</v>
      </c>
      <c r="FT22">
        <v>0.05</v>
      </c>
      <c r="FU22">
        <v>-6.0000000000000001E-3</v>
      </c>
      <c r="FV22">
        <v>-5.6719999999999997</v>
      </c>
      <c r="FW22">
        <v>-0.59199999999999997</v>
      </c>
      <c r="FX22">
        <v>469</v>
      </c>
      <c r="FY22">
        <v>16</v>
      </c>
      <c r="FZ22">
        <v>0.18</v>
      </c>
      <c r="GA22">
        <v>0.05</v>
      </c>
      <c r="GB22">
        <v>420.01058064516133</v>
      </c>
      <c r="GC22">
        <v>-9.1935483948049667E-4</v>
      </c>
      <c r="GD22">
        <v>5.2729237891477557E-2</v>
      </c>
      <c r="GE22">
        <v>-1</v>
      </c>
      <c r="GF22">
        <v>775.64438235294119</v>
      </c>
      <c r="GG22">
        <v>-5.0179526271515957</v>
      </c>
      <c r="GH22">
        <v>1.0468988100633749</v>
      </c>
      <c r="GI22">
        <v>1</v>
      </c>
      <c r="GJ22">
        <v>4.0811380487804882</v>
      </c>
      <c r="GK22">
        <v>-0.25053073170731149</v>
      </c>
      <c r="GL22">
        <v>2.5082878060591451E-2</v>
      </c>
      <c r="GM22">
        <v>1</v>
      </c>
      <c r="GN22">
        <v>2</v>
      </c>
      <c r="GO22">
        <v>2</v>
      </c>
      <c r="GP22" t="s">
        <v>423</v>
      </c>
      <c r="GQ22">
        <v>3.12927</v>
      </c>
      <c r="GR22">
        <v>2.7322899999999999</v>
      </c>
      <c r="GS22">
        <v>9.2271900000000004E-2</v>
      </c>
      <c r="GT22">
        <v>9.9965499999999999E-2</v>
      </c>
      <c r="GU22">
        <v>0.10093199999999999</v>
      </c>
      <c r="GV22">
        <v>8.4675700000000007E-2</v>
      </c>
      <c r="GW22">
        <v>22821.7</v>
      </c>
      <c r="GX22">
        <v>30339.7</v>
      </c>
      <c r="GY22">
        <v>27268.400000000001</v>
      </c>
      <c r="GZ22">
        <v>34657.699999999997</v>
      </c>
      <c r="HA22">
        <v>35893.9</v>
      </c>
      <c r="HB22">
        <v>40167.300000000003</v>
      </c>
      <c r="HC22">
        <v>40255.599999999999</v>
      </c>
      <c r="HD22">
        <v>43963.8</v>
      </c>
      <c r="HE22">
        <v>1.9762</v>
      </c>
      <c r="HF22">
        <v>1.7576000000000001</v>
      </c>
      <c r="HG22">
        <v>-8.2403400000000002E-2</v>
      </c>
      <c r="HH22">
        <v>0</v>
      </c>
      <c r="HI22">
        <v>26.3565</v>
      </c>
      <c r="HJ22">
        <v>999.9</v>
      </c>
      <c r="HK22">
        <v>64.599999999999994</v>
      </c>
      <c r="HL22">
        <v>39.299999999999997</v>
      </c>
      <c r="HM22">
        <v>46.821300000000001</v>
      </c>
      <c r="HN22">
        <v>61.2699</v>
      </c>
      <c r="HO22">
        <v>6.8950300000000002</v>
      </c>
      <c r="HP22">
        <v>1</v>
      </c>
      <c r="HQ22">
        <v>0.462561</v>
      </c>
      <c r="HR22">
        <v>5.8091100000000004</v>
      </c>
      <c r="HS22">
        <v>20.180700000000002</v>
      </c>
      <c r="HT22">
        <v>5.2100999999999997</v>
      </c>
      <c r="HU22">
        <v>11.908099999999999</v>
      </c>
      <c r="HV22">
        <v>4.9843999999999999</v>
      </c>
      <c r="HW22">
        <v>3.2707999999999999</v>
      </c>
      <c r="HX22">
        <v>9999</v>
      </c>
      <c r="HY22">
        <v>9999</v>
      </c>
      <c r="HZ22">
        <v>9999</v>
      </c>
      <c r="IA22">
        <v>999.9</v>
      </c>
      <c r="IB22">
        <v>1.86737</v>
      </c>
      <c r="IC22">
        <v>1.8629800000000001</v>
      </c>
      <c r="ID22">
        <v>1.86249</v>
      </c>
      <c r="IE22">
        <v>1.8620000000000001</v>
      </c>
      <c r="IF22">
        <v>1.8620300000000001</v>
      </c>
      <c r="IG22">
        <v>1.8626100000000001</v>
      </c>
      <c r="IH22">
        <v>1.8635299999999999</v>
      </c>
      <c r="II22">
        <v>1.8614200000000001</v>
      </c>
      <c r="IJ22">
        <v>0</v>
      </c>
      <c r="IK22">
        <v>0</v>
      </c>
      <c r="IL22">
        <v>0</v>
      </c>
      <c r="IM22">
        <v>4.5</v>
      </c>
      <c r="IN22" t="s">
        <v>411</v>
      </c>
      <c r="IO22" t="s">
        <v>412</v>
      </c>
      <c r="IP22" t="s">
        <v>413</v>
      </c>
      <c r="IQ22" t="s">
        <v>414</v>
      </c>
      <c r="IR22" t="s">
        <v>414</v>
      </c>
      <c r="IS22" t="s">
        <v>413</v>
      </c>
      <c r="IT22">
        <v>0</v>
      </c>
      <c r="IU22">
        <v>100</v>
      </c>
      <c r="IV22">
        <v>100</v>
      </c>
      <c r="IW22">
        <v>-5.49</v>
      </c>
      <c r="IX22">
        <v>-0.49409999999999998</v>
      </c>
      <c r="IY22">
        <v>-3.503599485295775</v>
      </c>
      <c r="IZ22">
        <v>-5.6215304933332991E-3</v>
      </c>
      <c r="JA22">
        <v>2.3979931213773931E-6</v>
      </c>
      <c r="JB22">
        <v>-3.6297174575716598E-10</v>
      </c>
      <c r="JC22">
        <v>-0.7932930133143663</v>
      </c>
      <c r="JD22">
        <v>2.7492919904454862E-4</v>
      </c>
      <c r="JE22">
        <v>8.6739513355948885E-4</v>
      </c>
      <c r="JF22">
        <v>-8.2500691715147318E-6</v>
      </c>
      <c r="JG22">
        <v>17</v>
      </c>
      <c r="JH22">
        <v>1914</v>
      </c>
      <c r="JI22">
        <v>2</v>
      </c>
      <c r="JJ22">
        <v>37</v>
      </c>
      <c r="JK22">
        <v>1.5</v>
      </c>
      <c r="JL22">
        <v>1.5</v>
      </c>
      <c r="JM22">
        <v>1.17798</v>
      </c>
      <c r="JN22">
        <v>2.5537100000000001</v>
      </c>
      <c r="JO22">
        <v>1.50024</v>
      </c>
      <c r="JP22">
        <v>2.2717299999999998</v>
      </c>
      <c r="JQ22">
        <v>1.4477500000000001</v>
      </c>
      <c r="JR22">
        <v>2.3120099999999999</v>
      </c>
      <c r="JS22">
        <v>44.167700000000004</v>
      </c>
      <c r="JT22">
        <v>15.3841</v>
      </c>
      <c r="JU22">
        <v>18</v>
      </c>
      <c r="JV22">
        <v>541.40599999999995</v>
      </c>
      <c r="JW22">
        <v>415.12299999999999</v>
      </c>
      <c r="JX22">
        <v>20.767800000000001</v>
      </c>
      <c r="JY22">
        <v>32.886200000000002</v>
      </c>
      <c r="JZ22">
        <v>30.002099999999999</v>
      </c>
      <c r="KA22">
        <v>33.053400000000003</v>
      </c>
      <c r="KB22">
        <v>33.098300000000002</v>
      </c>
      <c r="KC22">
        <v>23.560300000000002</v>
      </c>
      <c r="KD22">
        <v>61.821399999999997</v>
      </c>
      <c r="KE22">
        <v>0</v>
      </c>
      <c r="KF22">
        <v>20.741199999999999</v>
      </c>
      <c r="KG22">
        <v>468.91699999999997</v>
      </c>
      <c r="KH22">
        <v>16.040400000000002</v>
      </c>
      <c r="KI22">
        <v>100.621</v>
      </c>
      <c r="KJ22">
        <v>98.922600000000003</v>
      </c>
    </row>
    <row r="23" spans="1:296" x14ac:dyDescent="0.3">
      <c r="A23">
        <v>7</v>
      </c>
      <c r="B23">
        <v>1783869679.0999999</v>
      </c>
      <c r="C23">
        <v>1117.5</v>
      </c>
      <c r="D23" t="s">
        <v>652</v>
      </c>
      <c r="E23" t="s">
        <v>653</v>
      </c>
      <c r="F23">
        <v>15</v>
      </c>
      <c r="H23">
        <v>1783869671.349999</v>
      </c>
      <c r="I23">
        <f t="shared" si="0"/>
        <v>3.1341256008270381E-3</v>
      </c>
      <c r="J23">
        <f t="shared" si="1"/>
        <v>3.1341256008270379</v>
      </c>
      <c r="K23">
        <f t="shared" si="2"/>
        <v>33.615826308592446</v>
      </c>
      <c r="L23">
        <f t="shared" si="3"/>
        <v>420.03866666666659</v>
      </c>
      <c r="M23">
        <f t="shared" si="4"/>
        <v>202.30528157077919</v>
      </c>
      <c r="N23">
        <f t="shared" si="5"/>
        <v>19.941669432847728</v>
      </c>
      <c r="O23">
        <f t="shared" si="6"/>
        <v>41.404120419615595</v>
      </c>
      <c r="P23">
        <f t="shared" si="7"/>
        <v>0.26519998163431235</v>
      </c>
      <c r="Q23">
        <f t="shared" si="8"/>
        <v>2.9028607994176516</v>
      </c>
      <c r="R23">
        <f t="shared" si="9"/>
        <v>0.25243762271220249</v>
      </c>
      <c r="S23">
        <f t="shared" si="10"/>
        <v>0.15886896877896928</v>
      </c>
      <c r="T23">
        <f t="shared" si="11"/>
        <v>96.346200622340803</v>
      </c>
      <c r="U23">
        <f t="shared" si="12"/>
        <v>24.369408674237111</v>
      </c>
      <c r="V23">
        <f t="shared" si="13"/>
        <v>24.98226</v>
      </c>
      <c r="W23">
        <f t="shared" si="14"/>
        <v>3.176316180959835</v>
      </c>
      <c r="X23">
        <f t="shared" si="15"/>
        <v>63.849753595601278</v>
      </c>
      <c r="Y23">
        <f t="shared" si="16"/>
        <v>1.9845359673558147</v>
      </c>
      <c r="Z23">
        <f t="shared" si="17"/>
        <v>3.1081341048315854</v>
      </c>
      <c r="AA23">
        <f t="shared" si="18"/>
        <v>1.1917802136040203</v>
      </c>
      <c r="AB23">
        <f t="shared" si="19"/>
        <v>-138.21493899647237</v>
      </c>
      <c r="AC23">
        <f t="shared" si="20"/>
        <v>-56.875399661441371</v>
      </c>
      <c r="AD23">
        <f t="shared" si="21"/>
        <v>-4.1360530408131826</v>
      </c>
      <c r="AE23">
        <f t="shared" si="22"/>
        <v>-102.88019107638613</v>
      </c>
      <c r="AF23">
        <f t="shared" si="23"/>
        <v>33.615826308592446</v>
      </c>
      <c r="AG23">
        <f t="shared" si="24"/>
        <v>3.1341256008270379</v>
      </c>
      <c r="AH23">
        <f t="shared" si="25"/>
        <v>33.729823529148973</v>
      </c>
      <c r="AI23">
        <v>469.57769938547352</v>
      </c>
      <c r="AJ23">
        <v>428.61440606060631</v>
      </c>
      <c r="AK23">
        <v>-3.5554952180779337E-2</v>
      </c>
      <c r="AL23">
        <v>67.064632601573976</v>
      </c>
      <c r="AM23">
        <f t="shared" si="26"/>
        <v>3.1052715169381417</v>
      </c>
      <c r="AN23">
        <v>16.47209154350649</v>
      </c>
      <c r="AO23">
        <v>20.124038181818179</v>
      </c>
      <c r="AP23">
        <v>-9.1503730312195384E-5</v>
      </c>
      <c r="AQ23">
        <v>78.55</v>
      </c>
      <c r="AR23">
        <v>0</v>
      </c>
      <c r="AS23">
        <v>0</v>
      </c>
      <c r="AT23">
        <f t="shared" si="27"/>
        <v>1</v>
      </c>
      <c r="AU23">
        <f t="shared" si="28"/>
        <v>0</v>
      </c>
      <c r="AV23">
        <f t="shared" si="29"/>
        <v>52494.116750470268</v>
      </c>
      <c r="AW23" t="s">
        <v>629</v>
      </c>
      <c r="AX23">
        <v>5089.68</v>
      </c>
      <c r="AY23">
        <v>566.38529411764705</v>
      </c>
      <c r="AZ23">
        <v>2484</v>
      </c>
      <c r="BA23">
        <f t="shared" si="30"/>
        <v>0.77198659657099555</v>
      </c>
      <c r="BB23">
        <v>-2.0500122635890872</v>
      </c>
      <c r="BC23" t="s">
        <v>654</v>
      </c>
      <c r="BD23">
        <v>5096.29</v>
      </c>
      <c r="BE23">
        <v>764.22388235294113</v>
      </c>
      <c r="BF23">
        <v>1597.99</v>
      </c>
      <c r="BG23">
        <f t="shared" si="31"/>
        <v>0.52175928362947133</v>
      </c>
      <c r="BH23">
        <v>0.5</v>
      </c>
      <c r="BI23">
        <f t="shared" si="32"/>
        <v>504.30494258152368</v>
      </c>
      <c r="BJ23">
        <f t="shared" si="33"/>
        <v>33.615826308592446</v>
      </c>
      <c r="BK23">
        <f t="shared" si="34"/>
        <v>131.56289278606874</v>
      </c>
      <c r="BL23">
        <f t="shared" si="35"/>
        <v>7.072276228269557E-2</v>
      </c>
      <c r="BM23">
        <f t="shared" si="36"/>
        <v>0.55445278130651632</v>
      </c>
      <c r="BN23">
        <f t="shared" si="37"/>
        <v>502.81773561655785</v>
      </c>
      <c r="BO23" t="s">
        <v>407</v>
      </c>
      <c r="BP23">
        <v>0</v>
      </c>
      <c r="BQ23">
        <f t="shared" si="38"/>
        <v>502.81773561655785</v>
      </c>
      <c r="BR23">
        <f t="shared" si="39"/>
        <v>0.68534362817254313</v>
      </c>
      <c r="BS23">
        <f t="shared" si="40"/>
        <v>0.76131047576926258</v>
      </c>
      <c r="BT23">
        <f t="shared" si="41"/>
        <v>0.44721276579554509</v>
      </c>
      <c r="BU23">
        <f t="shared" si="42"/>
        <v>0.80822248376030958</v>
      </c>
      <c r="BV23">
        <f t="shared" si="43"/>
        <v>0.462037549713262</v>
      </c>
      <c r="BW23">
        <f t="shared" si="44"/>
        <v>0.50090087259361049</v>
      </c>
      <c r="BX23">
        <f t="shared" si="45"/>
        <v>0.49909912740638951</v>
      </c>
      <c r="DG23">
        <f t="shared" si="46"/>
        <v>600.00159999999994</v>
      </c>
      <c r="DH23">
        <f t="shared" si="47"/>
        <v>504.30494258152368</v>
      </c>
      <c r="DI23">
        <f t="shared" si="48"/>
        <v>0.84050599628654943</v>
      </c>
      <c r="DJ23">
        <f t="shared" si="49"/>
        <v>0.16057657283304047</v>
      </c>
      <c r="DK23">
        <v>6</v>
      </c>
      <c r="DL23">
        <v>0.5</v>
      </c>
      <c r="DM23" t="s">
        <v>408</v>
      </c>
      <c r="DN23">
        <v>2</v>
      </c>
      <c r="DO23" t="b">
        <v>0</v>
      </c>
      <c r="DP23">
        <v>1783869671.349999</v>
      </c>
      <c r="DQ23">
        <v>420.03866666666659</v>
      </c>
      <c r="DR23">
        <v>461.95783333333333</v>
      </c>
      <c r="DS23">
        <v>20.132823333333331</v>
      </c>
      <c r="DT23">
        <v>16.447553333333332</v>
      </c>
      <c r="DU23">
        <v>425.53846666666669</v>
      </c>
      <c r="DV23">
        <v>20.630780000000001</v>
      </c>
      <c r="DW23">
        <v>499.99486666666661</v>
      </c>
      <c r="DX23">
        <v>98.515953333333329</v>
      </c>
      <c r="DY23">
        <v>5.6210863333333333E-2</v>
      </c>
      <c r="DZ23">
        <v>24.61883666666667</v>
      </c>
      <c r="EA23">
        <v>24.98226</v>
      </c>
      <c r="EB23">
        <v>999.9000000000002</v>
      </c>
      <c r="EC23">
        <v>0</v>
      </c>
      <c r="ED23">
        <v>0</v>
      </c>
      <c r="EE23">
        <v>9997</v>
      </c>
      <c r="EF23">
        <v>0</v>
      </c>
      <c r="EG23">
        <v>567.55340000000012</v>
      </c>
      <c r="EH23">
        <v>-41.919016666666671</v>
      </c>
      <c r="EI23">
        <v>428.66899999999993</v>
      </c>
      <c r="EJ23">
        <v>469.68286666666671</v>
      </c>
      <c r="EK23">
        <v>3.6852643333333339</v>
      </c>
      <c r="EL23">
        <v>461.95783333333333</v>
      </c>
      <c r="EM23">
        <v>16.447553333333332</v>
      </c>
      <c r="EN23">
        <v>1.9834026666666671</v>
      </c>
      <c r="EO23">
        <v>1.620346666666667</v>
      </c>
      <c r="EP23">
        <v>17.31246333333333</v>
      </c>
      <c r="EQ23">
        <v>14.15365666666667</v>
      </c>
      <c r="ER23">
        <v>600.00159999999994</v>
      </c>
      <c r="ES23">
        <v>0.98299613333333347</v>
      </c>
      <c r="ET23">
        <v>1.700372666666666E-2</v>
      </c>
      <c r="EU23">
        <v>0</v>
      </c>
      <c r="EV23">
        <v>764.14653333333331</v>
      </c>
      <c r="EW23">
        <v>5.0010700000000003</v>
      </c>
      <c r="EX23">
        <v>7460.5726666666678</v>
      </c>
      <c r="EY23">
        <v>5415.1180000000004</v>
      </c>
      <c r="EZ23">
        <v>37.182866666666662</v>
      </c>
      <c r="FA23">
        <v>39.877066666666657</v>
      </c>
      <c r="FB23">
        <v>38.772733333333328</v>
      </c>
      <c r="FC23">
        <v>39.875</v>
      </c>
      <c r="FD23">
        <v>38.953799999999987</v>
      </c>
      <c r="FE23">
        <v>584.88333333333333</v>
      </c>
      <c r="FF23">
        <v>10.119999999999999</v>
      </c>
      <c r="FG23">
        <v>0</v>
      </c>
      <c r="FH23">
        <v>181.79999995231631</v>
      </c>
      <c r="FI23">
        <v>0</v>
      </c>
      <c r="FJ23">
        <v>764.22388235294113</v>
      </c>
      <c r="FK23">
        <v>-0.90955883636353996</v>
      </c>
      <c r="FL23">
        <v>3290.112749909596</v>
      </c>
      <c r="FM23">
        <v>7517.9417647058817</v>
      </c>
      <c r="FN23">
        <v>10</v>
      </c>
      <c r="FO23">
        <v>1783869597.0999999</v>
      </c>
      <c r="FP23" t="s">
        <v>655</v>
      </c>
      <c r="FQ23">
        <v>1783869595.5999999</v>
      </c>
      <c r="FR23">
        <v>1783869597.0999999</v>
      </c>
      <c r="FS23">
        <v>9</v>
      </c>
      <c r="FT23">
        <v>-0.01</v>
      </c>
      <c r="FU23">
        <v>-7.0000000000000001E-3</v>
      </c>
      <c r="FV23">
        <v>-5.6559999999999997</v>
      </c>
      <c r="FW23">
        <v>-0.59</v>
      </c>
      <c r="FX23">
        <v>462</v>
      </c>
      <c r="FY23">
        <v>16</v>
      </c>
      <c r="FZ23">
        <v>0.18</v>
      </c>
      <c r="GA23">
        <v>0.08</v>
      </c>
      <c r="GB23">
        <v>420.03829999999999</v>
      </c>
      <c r="GC23">
        <v>0.41467408231310038</v>
      </c>
      <c r="GD23">
        <v>6.3761613321284452E-2</v>
      </c>
      <c r="GE23">
        <v>-1</v>
      </c>
      <c r="GF23">
        <v>764.09497058823536</v>
      </c>
      <c r="GG23">
        <v>0.62143621233509572</v>
      </c>
      <c r="GH23">
        <v>0.22398969058393661</v>
      </c>
      <c r="GI23">
        <v>1</v>
      </c>
      <c r="GJ23">
        <v>3.6917450000000001</v>
      </c>
      <c r="GK23">
        <v>-0.179752795497191</v>
      </c>
      <c r="GL23">
        <v>2.631275422680034E-2</v>
      </c>
      <c r="GM23">
        <v>1</v>
      </c>
      <c r="GN23">
        <v>2</v>
      </c>
      <c r="GO23">
        <v>2</v>
      </c>
      <c r="GP23" t="s">
        <v>423</v>
      </c>
      <c r="GQ23">
        <v>3.12948</v>
      </c>
      <c r="GR23">
        <v>2.7325499999999998</v>
      </c>
      <c r="GS23">
        <v>9.2266200000000007E-2</v>
      </c>
      <c r="GT23">
        <v>9.8861099999999993E-2</v>
      </c>
      <c r="GU23">
        <v>0.10134</v>
      </c>
      <c r="GV23">
        <v>8.5858199999999996E-2</v>
      </c>
      <c r="GW23">
        <v>22822.2</v>
      </c>
      <c r="GX23">
        <v>30378.400000000001</v>
      </c>
      <c r="GY23">
        <v>27268.6</v>
      </c>
      <c r="GZ23">
        <v>34659.199999999997</v>
      </c>
      <c r="HA23">
        <v>35878.699999999997</v>
      </c>
      <c r="HB23">
        <v>40116.6</v>
      </c>
      <c r="HC23">
        <v>40257</v>
      </c>
      <c r="HD23">
        <v>43965.4</v>
      </c>
      <c r="HE23">
        <v>1.9776</v>
      </c>
      <c r="HF23">
        <v>1.7536</v>
      </c>
      <c r="HG23">
        <v>-8.5979700000000006E-2</v>
      </c>
      <c r="HH23">
        <v>0</v>
      </c>
      <c r="HI23">
        <v>26.389500000000002</v>
      </c>
      <c r="HJ23">
        <v>999.9</v>
      </c>
      <c r="HK23">
        <v>64</v>
      </c>
      <c r="HL23">
        <v>39.799999999999997</v>
      </c>
      <c r="HM23">
        <v>47.651600000000002</v>
      </c>
      <c r="HN23">
        <v>61.419899999999998</v>
      </c>
      <c r="HO23">
        <v>7.2395899999999997</v>
      </c>
      <c r="HP23">
        <v>1</v>
      </c>
      <c r="HQ23">
        <v>0.45689000000000002</v>
      </c>
      <c r="HR23">
        <v>5.4030100000000001</v>
      </c>
      <c r="HS23">
        <v>20.195599999999999</v>
      </c>
      <c r="HT23">
        <v>5.2112999999999996</v>
      </c>
      <c r="HU23">
        <v>11.908099999999999</v>
      </c>
      <c r="HV23">
        <v>4.9851999999999999</v>
      </c>
      <c r="HW23">
        <v>3.2709999999999999</v>
      </c>
      <c r="HX23">
        <v>9999</v>
      </c>
      <c r="HY23">
        <v>9999</v>
      </c>
      <c r="HZ23">
        <v>9999</v>
      </c>
      <c r="IA23">
        <v>999.9</v>
      </c>
      <c r="IB23">
        <v>1.86737</v>
      </c>
      <c r="IC23">
        <v>1.8629500000000001</v>
      </c>
      <c r="ID23">
        <v>1.86249</v>
      </c>
      <c r="IE23">
        <v>1.8620300000000001</v>
      </c>
      <c r="IF23">
        <v>1.8620300000000001</v>
      </c>
      <c r="IG23">
        <v>1.8626400000000001</v>
      </c>
      <c r="IH23">
        <v>1.8635600000000001</v>
      </c>
      <c r="II23">
        <v>1.86148</v>
      </c>
      <c r="IJ23">
        <v>0</v>
      </c>
      <c r="IK23">
        <v>0</v>
      </c>
      <c r="IL23">
        <v>0</v>
      </c>
      <c r="IM23">
        <v>4.5</v>
      </c>
      <c r="IN23" t="s">
        <v>411</v>
      </c>
      <c r="IO23" t="s">
        <v>412</v>
      </c>
      <c r="IP23" t="s">
        <v>413</v>
      </c>
      <c r="IQ23" t="s">
        <v>414</v>
      </c>
      <c r="IR23" t="s">
        <v>414</v>
      </c>
      <c r="IS23" t="s">
        <v>413</v>
      </c>
      <c r="IT23">
        <v>0</v>
      </c>
      <c r="IU23">
        <v>100</v>
      </c>
      <c r="IV23">
        <v>100</v>
      </c>
      <c r="IW23">
        <v>-5.5</v>
      </c>
      <c r="IX23">
        <v>-0.49819999999999998</v>
      </c>
      <c r="IY23">
        <v>-3.5138769932193452</v>
      </c>
      <c r="IZ23">
        <v>-5.6215304933332991E-3</v>
      </c>
      <c r="JA23">
        <v>2.3979931213773931E-6</v>
      </c>
      <c r="JB23">
        <v>-3.6297174575716598E-10</v>
      </c>
      <c r="JC23">
        <v>-0.80038129980055484</v>
      </c>
      <c r="JD23">
        <v>2.7492919904454862E-4</v>
      </c>
      <c r="JE23">
        <v>8.6739513355948885E-4</v>
      </c>
      <c r="JF23">
        <v>-8.2500691715147318E-6</v>
      </c>
      <c r="JG23">
        <v>17</v>
      </c>
      <c r="JH23">
        <v>1914</v>
      </c>
      <c r="JI23">
        <v>2</v>
      </c>
      <c r="JJ23">
        <v>37</v>
      </c>
      <c r="JK23">
        <v>1.4</v>
      </c>
      <c r="JL23">
        <v>1.4</v>
      </c>
      <c r="JM23">
        <v>1.16333</v>
      </c>
      <c r="JN23">
        <v>2.5439500000000002</v>
      </c>
      <c r="JO23">
        <v>1.50024</v>
      </c>
      <c r="JP23">
        <v>2.2717299999999998</v>
      </c>
      <c r="JQ23">
        <v>1.4477500000000001</v>
      </c>
      <c r="JR23">
        <v>2.4169900000000002</v>
      </c>
      <c r="JS23">
        <v>44.445599999999999</v>
      </c>
      <c r="JT23">
        <v>15.375400000000001</v>
      </c>
      <c r="JU23">
        <v>18</v>
      </c>
      <c r="JV23">
        <v>542.13699999999994</v>
      </c>
      <c r="JW23">
        <v>412.6</v>
      </c>
      <c r="JX23">
        <v>20.8201</v>
      </c>
      <c r="JY23">
        <v>32.853999999999999</v>
      </c>
      <c r="JZ23">
        <v>30.0001</v>
      </c>
      <c r="KA23">
        <v>33.030200000000001</v>
      </c>
      <c r="KB23">
        <v>33.078200000000002</v>
      </c>
      <c r="KC23">
        <v>23.278500000000001</v>
      </c>
      <c r="KD23">
        <v>61.881300000000003</v>
      </c>
      <c r="KE23">
        <v>0</v>
      </c>
      <c r="KF23">
        <v>20.8291</v>
      </c>
      <c r="KG23">
        <v>461.93299999999999</v>
      </c>
      <c r="KH23">
        <v>16.2714</v>
      </c>
      <c r="KI23">
        <v>100.623</v>
      </c>
      <c r="KJ23">
        <v>98.926500000000004</v>
      </c>
    </row>
    <row r="24" spans="1:296" x14ac:dyDescent="0.3">
      <c r="A24">
        <v>8</v>
      </c>
      <c r="B24">
        <v>1783869861.5999999</v>
      </c>
      <c r="C24">
        <v>1300</v>
      </c>
      <c r="D24" t="s">
        <v>656</v>
      </c>
      <c r="E24" t="s">
        <v>657</v>
      </c>
      <c r="F24">
        <v>15</v>
      </c>
      <c r="H24">
        <v>1783869853.849999</v>
      </c>
      <c r="I24">
        <f t="shared" si="0"/>
        <v>2.6539624849846459E-3</v>
      </c>
      <c r="J24">
        <f t="shared" si="1"/>
        <v>2.6539624849846457</v>
      </c>
      <c r="K24">
        <f t="shared" si="2"/>
        <v>24.262492360939966</v>
      </c>
      <c r="L24">
        <f t="shared" si="3"/>
        <v>419.93696666666671</v>
      </c>
      <c r="M24">
        <f t="shared" si="4"/>
        <v>230.74214452520803</v>
      </c>
      <c r="N24">
        <f t="shared" si="5"/>
        <v>22.745493799447999</v>
      </c>
      <c r="O24">
        <f t="shared" si="6"/>
        <v>41.395444647226853</v>
      </c>
      <c r="P24">
        <f t="shared" si="7"/>
        <v>0.22012716184248091</v>
      </c>
      <c r="Q24">
        <f t="shared" si="8"/>
        <v>2.9042084167154183</v>
      </c>
      <c r="R24">
        <f t="shared" si="9"/>
        <v>0.21126022836587707</v>
      </c>
      <c r="S24">
        <f t="shared" si="10"/>
        <v>0.13280454006075715</v>
      </c>
      <c r="T24">
        <f t="shared" si="11"/>
        <v>64.4143659856515</v>
      </c>
      <c r="U24">
        <f t="shared" si="12"/>
        <v>24.26285713955982</v>
      </c>
      <c r="V24">
        <f t="shared" si="13"/>
        <v>25.002996666666661</v>
      </c>
      <c r="W24">
        <f t="shared" si="14"/>
        <v>3.1802457108906861</v>
      </c>
      <c r="X24">
        <f t="shared" si="15"/>
        <v>63.68136015298743</v>
      </c>
      <c r="Y24">
        <f t="shared" si="16"/>
        <v>1.974266657258354</v>
      </c>
      <c r="Z24">
        <f t="shared" si="17"/>
        <v>3.1002268992298476</v>
      </c>
      <c r="AA24">
        <f t="shared" si="18"/>
        <v>1.205979053632332</v>
      </c>
      <c r="AB24">
        <f t="shared" si="19"/>
        <v>-117.03974558782288</v>
      </c>
      <c r="AC24">
        <f t="shared" si="20"/>
        <v>-66.818010027342538</v>
      </c>
      <c r="AD24">
        <f t="shared" si="21"/>
        <v>-4.8563038037057291</v>
      </c>
      <c r="AE24">
        <f t="shared" si="22"/>
        <v>-124.29969343321964</v>
      </c>
      <c r="AF24">
        <f t="shared" si="23"/>
        <v>24.262492360939966</v>
      </c>
      <c r="AG24">
        <f t="shared" si="24"/>
        <v>2.6539624849846457</v>
      </c>
      <c r="AH24">
        <f t="shared" si="25"/>
        <v>24.323165764146655</v>
      </c>
      <c r="AI24">
        <v>458.25812511985032</v>
      </c>
      <c r="AJ24">
        <v>428.57180606060592</v>
      </c>
      <c r="AK24">
        <v>-2.531665375988923E-4</v>
      </c>
      <c r="AL24">
        <v>67.094310578689928</v>
      </c>
      <c r="AM24">
        <f t="shared" si="26"/>
        <v>2.6467259309889264</v>
      </c>
      <c r="AN24">
        <v>16.909828366589341</v>
      </c>
      <c r="AO24">
        <v>20.022233939393939</v>
      </c>
      <c r="AP24">
        <v>-2.3540457460054651E-5</v>
      </c>
      <c r="AQ24">
        <v>78.257720029620444</v>
      </c>
      <c r="AR24">
        <v>0</v>
      </c>
      <c r="AS24">
        <v>0</v>
      </c>
      <c r="AT24">
        <f t="shared" si="27"/>
        <v>1</v>
      </c>
      <c r="AU24">
        <f t="shared" si="28"/>
        <v>0</v>
      </c>
      <c r="AV24">
        <f t="shared" si="29"/>
        <v>52540.600372450717</v>
      </c>
      <c r="AW24" t="s">
        <v>629</v>
      </c>
      <c r="AX24">
        <v>5089.68</v>
      </c>
      <c r="AY24">
        <v>566.38529411764705</v>
      </c>
      <c r="AZ24">
        <v>2484</v>
      </c>
      <c r="BA24">
        <f t="shared" si="30"/>
        <v>0.77198659657099555</v>
      </c>
      <c r="BB24">
        <v>-2.0500122635890872</v>
      </c>
      <c r="BC24" t="s">
        <v>658</v>
      </c>
      <c r="BD24">
        <v>5098.8</v>
      </c>
      <c r="BE24">
        <v>728.29482352941181</v>
      </c>
      <c r="BF24">
        <v>1790.87</v>
      </c>
      <c r="BG24">
        <f t="shared" si="31"/>
        <v>0.59332903922148905</v>
      </c>
      <c r="BH24">
        <v>0.5</v>
      </c>
      <c r="BI24">
        <f t="shared" si="32"/>
        <v>336.30860513246176</v>
      </c>
      <c r="BJ24">
        <f t="shared" si="33"/>
        <v>24.262492360939966</v>
      </c>
      <c r="BK24">
        <f t="shared" si="34"/>
        <v>99.770830782581342</v>
      </c>
      <c r="BL24">
        <f t="shared" si="35"/>
        <v>7.8239165525263193E-2</v>
      </c>
      <c r="BM24">
        <f t="shared" si="36"/>
        <v>0.38703535153305385</v>
      </c>
      <c r="BN24">
        <f t="shared" si="37"/>
        <v>520.45548874806707</v>
      </c>
      <c r="BO24" t="s">
        <v>407</v>
      </c>
      <c r="BP24">
        <v>0</v>
      </c>
      <c r="BQ24">
        <f t="shared" si="38"/>
        <v>520.45548874806707</v>
      </c>
      <c r="BR24">
        <f t="shared" si="39"/>
        <v>0.70938399283696352</v>
      </c>
      <c r="BS24">
        <f t="shared" si="40"/>
        <v>0.83640037724653438</v>
      </c>
      <c r="BT24">
        <f t="shared" si="41"/>
        <v>0.35299938250855772</v>
      </c>
      <c r="BU24">
        <f t="shared" si="42"/>
        <v>0.86777333466562634</v>
      </c>
      <c r="BV24">
        <f t="shared" si="43"/>
        <v>0.3614542576638563</v>
      </c>
      <c r="BW24">
        <f t="shared" si="44"/>
        <v>0.5977100935845564</v>
      </c>
      <c r="BX24">
        <f t="shared" si="45"/>
        <v>0.4022899064154436</v>
      </c>
      <c r="DG24">
        <f t="shared" si="46"/>
        <v>400.01453333333319</v>
      </c>
      <c r="DH24">
        <f t="shared" si="47"/>
        <v>336.30860513246176</v>
      </c>
      <c r="DI24">
        <f t="shared" si="48"/>
        <v>0.8407409659093934</v>
      </c>
      <c r="DJ24">
        <f t="shared" si="49"/>
        <v>0.16103006420512936</v>
      </c>
      <c r="DK24">
        <v>6</v>
      </c>
      <c r="DL24">
        <v>0.5</v>
      </c>
      <c r="DM24" t="s">
        <v>408</v>
      </c>
      <c r="DN24">
        <v>2</v>
      </c>
      <c r="DO24" t="b">
        <v>0</v>
      </c>
      <c r="DP24">
        <v>1783869853.849999</v>
      </c>
      <c r="DQ24">
        <v>419.93696666666671</v>
      </c>
      <c r="DR24">
        <v>450.38720000000012</v>
      </c>
      <c r="DS24">
        <v>20.027989999999999</v>
      </c>
      <c r="DT24">
        <v>16.907240000000002</v>
      </c>
      <c r="DU24">
        <v>425.46006666666671</v>
      </c>
      <c r="DV24">
        <v>20.538863333333332</v>
      </c>
      <c r="DW24">
        <v>500.03536666666662</v>
      </c>
      <c r="DX24">
        <v>98.519763333333358</v>
      </c>
      <c r="DY24">
        <v>5.561329000000001E-2</v>
      </c>
      <c r="DZ24">
        <v>24.576240000000009</v>
      </c>
      <c r="EA24">
        <v>25.002996666666661</v>
      </c>
      <c r="EB24">
        <v>999.9000000000002</v>
      </c>
      <c r="EC24">
        <v>0</v>
      </c>
      <c r="ED24">
        <v>0</v>
      </c>
      <c r="EE24">
        <v>10004.33333333333</v>
      </c>
      <c r="EF24">
        <v>0</v>
      </c>
      <c r="EG24">
        <v>592.32753333333346</v>
      </c>
      <c r="EH24">
        <v>-30.450206666666659</v>
      </c>
      <c r="EI24">
        <v>428.5193666666666</v>
      </c>
      <c r="EJ24">
        <v>458.13299999999992</v>
      </c>
      <c r="EK24">
        <v>3.120755666666668</v>
      </c>
      <c r="EL24">
        <v>450.38720000000012</v>
      </c>
      <c r="EM24">
        <v>16.907240000000002</v>
      </c>
      <c r="EN24">
        <v>1.973152666666667</v>
      </c>
      <c r="EO24">
        <v>1.6656963333333339</v>
      </c>
      <c r="EP24">
        <v>17.23052666666667</v>
      </c>
      <c r="EQ24">
        <v>14.580396666666671</v>
      </c>
      <c r="ER24">
        <v>400.01453333333319</v>
      </c>
      <c r="ES24">
        <v>0.97499699999999967</v>
      </c>
      <c r="ET24">
        <v>2.5003399999999999E-2</v>
      </c>
      <c r="EU24">
        <v>0</v>
      </c>
      <c r="EV24">
        <v>728.48336666666683</v>
      </c>
      <c r="EW24">
        <v>5.0010700000000003</v>
      </c>
      <c r="EX24">
        <v>6221.0759999999991</v>
      </c>
      <c r="EY24">
        <v>3583.8009999999999</v>
      </c>
      <c r="EZ24">
        <v>36.625</v>
      </c>
      <c r="FA24">
        <v>39.625</v>
      </c>
      <c r="FB24">
        <v>38.383266666666671</v>
      </c>
      <c r="FC24">
        <v>39.686999999999983</v>
      </c>
      <c r="FD24">
        <v>38.625</v>
      </c>
      <c r="FE24">
        <v>385.13733333333329</v>
      </c>
      <c r="FF24">
        <v>9.879999999999999</v>
      </c>
      <c r="FG24">
        <v>0</v>
      </c>
      <c r="FH24">
        <v>182</v>
      </c>
      <c r="FI24">
        <v>0</v>
      </c>
      <c r="FJ24">
        <v>728.29482352941181</v>
      </c>
      <c r="FK24">
        <v>-2.8063725178352001</v>
      </c>
      <c r="FL24">
        <v>-49.323542013144433</v>
      </c>
      <c r="FM24">
        <v>6335.7382352941177</v>
      </c>
      <c r="FN24">
        <v>10</v>
      </c>
      <c r="FO24">
        <v>1783869812.5999999</v>
      </c>
      <c r="FP24" t="s">
        <v>659</v>
      </c>
      <c r="FQ24">
        <v>1783869812.5999999</v>
      </c>
      <c r="FR24">
        <v>1783869811.0999999</v>
      </c>
      <c r="FS24">
        <v>10</v>
      </c>
      <c r="FT24">
        <v>-2.4E-2</v>
      </c>
      <c r="FU24">
        <v>-1.0999999999999999E-2</v>
      </c>
      <c r="FV24">
        <v>-5.6390000000000002</v>
      </c>
      <c r="FW24">
        <v>-0.59299999999999997</v>
      </c>
      <c r="FX24">
        <v>451</v>
      </c>
      <c r="FY24">
        <v>17</v>
      </c>
      <c r="FZ24">
        <v>0.19</v>
      </c>
      <c r="GA24">
        <v>0.06</v>
      </c>
      <c r="GB24">
        <v>419.93779999999998</v>
      </c>
      <c r="GC24">
        <v>0.2104738598443312</v>
      </c>
      <c r="GD24">
        <v>5.8776072228985787E-2</v>
      </c>
      <c r="GE24">
        <v>-1</v>
      </c>
      <c r="GF24">
        <v>728.72188235294129</v>
      </c>
      <c r="GG24">
        <v>-3.6870588213025748</v>
      </c>
      <c r="GH24">
        <v>0.40375930254851722</v>
      </c>
      <c r="GI24">
        <v>1</v>
      </c>
      <c r="GJ24">
        <v>3.1255587500000002</v>
      </c>
      <c r="GK24">
        <v>-8.2103527204510543E-2</v>
      </c>
      <c r="GL24">
        <v>1.184092567908015E-2</v>
      </c>
      <c r="GM24">
        <v>1</v>
      </c>
      <c r="GN24">
        <v>2</v>
      </c>
      <c r="GO24">
        <v>2</v>
      </c>
      <c r="GP24" t="s">
        <v>423</v>
      </c>
      <c r="GQ24">
        <v>3.1301199999999998</v>
      </c>
      <c r="GR24">
        <v>2.7321</v>
      </c>
      <c r="GS24">
        <v>9.2244199999999998E-2</v>
      </c>
      <c r="GT24">
        <v>9.6989900000000004E-2</v>
      </c>
      <c r="GU24">
        <v>0.101037</v>
      </c>
      <c r="GV24">
        <v>8.8208499999999995E-2</v>
      </c>
      <c r="GW24">
        <v>22818.1</v>
      </c>
      <c r="GX24">
        <v>30436</v>
      </c>
      <c r="GY24">
        <v>27263.5</v>
      </c>
      <c r="GZ24">
        <v>34653.4</v>
      </c>
      <c r="HA24">
        <v>35885.5</v>
      </c>
      <c r="HB24">
        <v>40007.699999999997</v>
      </c>
      <c r="HC24">
        <v>40250.6</v>
      </c>
      <c r="HD24">
        <v>43959.3</v>
      </c>
      <c r="HE24">
        <v>1.9758</v>
      </c>
      <c r="HF24">
        <v>1.7492000000000001</v>
      </c>
      <c r="HG24">
        <v>-8.7022799999999997E-2</v>
      </c>
      <c r="HH24">
        <v>0</v>
      </c>
      <c r="HI24">
        <v>26.440799999999999</v>
      </c>
      <c r="HJ24">
        <v>999.9</v>
      </c>
      <c r="HK24">
        <v>63.5</v>
      </c>
      <c r="HL24">
        <v>40.200000000000003</v>
      </c>
      <c r="HM24">
        <v>48.294899999999998</v>
      </c>
      <c r="HN24">
        <v>61.13</v>
      </c>
      <c r="HO24">
        <v>6.91106</v>
      </c>
      <c r="HP24">
        <v>1</v>
      </c>
      <c r="HQ24">
        <v>0.466057</v>
      </c>
      <c r="HR24">
        <v>5.6915699999999996</v>
      </c>
      <c r="HS24">
        <v>20.189</v>
      </c>
      <c r="HT24">
        <v>5.2100999999999997</v>
      </c>
      <c r="HU24">
        <v>11.908099999999999</v>
      </c>
      <c r="HV24">
        <v>4.9843999999999999</v>
      </c>
      <c r="HW24">
        <v>3.2709999999999999</v>
      </c>
      <c r="HX24">
        <v>9999</v>
      </c>
      <c r="HY24">
        <v>9999</v>
      </c>
      <c r="HZ24">
        <v>9999</v>
      </c>
      <c r="IA24">
        <v>999.9</v>
      </c>
      <c r="IB24">
        <v>1.86737</v>
      </c>
      <c r="IC24">
        <v>1.8629800000000001</v>
      </c>
      <c r="ID24">
        <v>1.86249</v>
      </c>
      <c r="IE24">
        <v>1.8620300000000001</v>
      </c>
      <c r="IF24">
        <v>1.8620300000000001</v>
      </c>
      <c r="IG24">
        <v>1.8626100000000001</v>
      </c>
      <c r="IH24">
        <v>1.8634999999999999</v>
      </c>
      <c r="II24">
        <v>1.86154</v>
      </c>
      <c r="IJ24">
        <v>0</v>
      </c>
      <c r="IK24">
        <v>0</v>
      </c>
      <c r="IL24">
        <v>0</v>
      </c>
      <c r="IM24">
        <v>4.5</v>
      </c>
      <c r="IN24" t="s">
        <v>411</v>
      </c>
      <c r="IO24" t="s">
        <v>412</v>
      </c>
      <c r="IP24" t="s">
        <v>413</v>
      </c>
      <c r="IQ24" t="s">
        <v>414</v>
      </c>
      <c r="IR24" t="s">
        <v>414</v>
      </c>
      <c r="IS24" t="s">
        <v>413</v>
      </c>
      <c r="IT24">
        <v>0</v>
      </c>
      <c r="IU24">
        <v>100</v>
      </c>
      <c r="IV24">
        <v>100</v>
      </c>
      <c r="IW24">
        <v>-5.5229999999999997</v>
      </c>
      <c r="IX24">
        <v>-0.51090000000000002</v>
      </c>
      <c r="IY24">
        <v>-3.537492906825018</v>
      </c>
      <c r="IZ24">
        <v>-5.6215304933332991E-3</v>
      </c>
      <c r="JA24">
        <v>2.3979931213773931E-6</v>
      </c>
      <c r="JB24">
        <v>-3.6297174575716598E-10</v>
      </c>
      <c r="JC24">
        <v>-0.81095056275239807</v>
      </c>
      <c r="JD24">
        <v>2.7492919904454862E-4</v>
      </c>
      <c r="JE24">
        <v>8.6739513355948885E-4</v>
      </c>
      <c r="JF24">
        <v>-8.2500691715147318E-6</v>
      </c>
      <c r="JG24">
        <v>17</v>
      </c>
      <c r="JH24">
        <v>1914</v>
      </c>
      <c r="JI24">
        <v>2</v>
      </c>
      <c r="JJ24">
        <v>37</v>
      </c>
      <c r="JK24">
        <v>0.8</v>
      </c>
      <c r="JL24">
        <v>0.8</v>
      </c>
      <c r="JM24">
        <v>1.1413599999999999</v>
      </c>
      <c r="JN24">
        <v>2.5549300000000001</v>
      </c>
      <c r="JO24">
        <v>1.50024</v>
      </c>
      <c r="JP24">
        <v>2.2705099999999998</v>
      </c>
      <c r="JQ24">
        <v>1.4477500000000001</v>
      </c>
      <c r="JR24">
        <v>2.36206</v>
      </c>
      <c r="JS24">
        <v>44.641199999999998</v>
      </c>
      <c r="JT24">
        <v>15.3316</v>
      </c>
      <c r="JU24">
        <v>18</v>
      </c>
      <c r="JV24">
        <v>541.45299999999997</v>
      </c>
      <c r="JW24">
        <v>410.34100000000001</v>
      </c>
      <c r="JX24">
        <v>20.769100000000002</v>
      </c>
      <c r="JY24">
        <v>32.936100000000003</v>
      </c>
      <c r="JZ24">
        <v>30.0001</v>
      </c>
      <c r="KA24">
        <v>33.091099999999997</v>
      </c>
      <c r="KB24">
        <v>33.132899999999999</v>
      </c>
      <c r="KC24">
        <v>22.832699999999999</v>
      </c>
      <c r="KD24">
        <v>61.0321</v>
      </c>
      <c r="KE24">
        <v>0</v>
      </c>
      <c r="KF24">
        <v>20.752099999999999</v>
      </c>
      <c r="KG24">
        <v>450.37599999999998</v>
      </c>
      <c r="KH24">
        <v>16.849499999999999</v>
      </c>
      <c r="KI24">
        <v>100.60599999999999</v>
      </c>
      <c r="KJ24">
        <v>98.911600000000007</v>
      </c>
    </row>
    <row r="25" spans="1:296" x14ac:dyDescent="0.3">
      <c r="A25">
        <v>9</v>
      </c>
      <c r="B25">
        <v>1783870044.0999999</v>
      </c>
      <c r="C25">
        <v>1482.5</v>
      </c>
      <c r="D25" t="s">
        <v>660</v>
      </c>
      <c r="E25" t="s">
        <v>661</v>
      </c>
      <c r="F25">
        <v>15</v>
      </c>
      <c r="H25">
        <v>1783870036.099999</v>
      </c>
      <c r="I25">
        <f t="shared" si="0"/>
        <v>2.232114424902132E-3</v>
      </c>
      <c r="J25">
        <f t="shared" si="1"/>
        <v>2.2321144249021319</v>
      </c>
      <c r="K25">
        <f t="shared" si="2"/>
        <v>18.01394228821875</v>
      </c>
      <c r="L25">
        <f t="shared" si="3"/>
        <v>420.091935483871</v>
      </c>
      <c r="M25">
        <f t="shared" si="4"/>
        <v>249.38914877312018</v>
      </c>
      <c r="N25">
        <f t="shared" si="5"/>
        <v>24.584377752720446</v>
      </c>
      <c r="O25">
        <f t="shared" si="6"/>
        <v>41.411981570226594</v>
      </c>
      <c r="P25">
        <f t="shared" si="7"/>
        <v>0.18105193256638094</v>
      </c>
      <c r="Q25">
        <f t="shared" si="8"/>
        <v>2.9037201930791632</v>
      </c>
      <c r="R25">
        <f t="shared" si="9"/>
        <v>0.17500609562339839</v>
      </c>
      <c r="S25">
        <f t="shared" si="10"/>
        <v>0.10990518574657662</v>
      </c>
      <c r="T25">
        <f t="shared" si="11"/>
        <v>48.444825994247097</v>
      </c>
      <c r="U25">
        <f t="shared" si="12"/>
        <v>24.203543651733995</v>
      </c>
      <c r="V25">
        <f t="shared" si="13"/>
        <v>24.987622580645169</v>
      </c>
      <c r="W25">
        <f t="shared" si="14"/>
        <v>3.1773319653335181</v>
      </c>
      <c r="X25">
        <f t="shared" si="15"/>
        <v>63.269701769865407</v>
      </c>
      <c r="Y25">
        <f t="shared" si="16"/>
        <v>1.9527301840315117</v>
      </c>
      <c r="Z25">
        <f t="shared" si="17"/>
        <v>3.0863590777372267</v>
      </c>
      <c r="AA25">
        <f t="shared" si="18"/>
        <v>1.2246017813020065</v>
      </c>
      <c r="AB25">
        <f t="shared" si="19"/>
        <v>-98.436246138184018</v>
      </c>
      <c r="AC25">
        <f t="shared" si="20"/>
        <v>-76.131039961120933</v>
      </c>
      <c r="AD25">
        <f t="shared" si="21"/>
        <v>-5.531584821656983</v>
      </c>
      <c r="AE25">
        <f t="shared" si="22"/>
        <v>-131.65404492671485</v>
      </c>
      <c r="AF25">
        <f t="shared" si="23"/>
        <v>18.01394228821875</v>
      </c>
      <c r="AG25">
        <f t="shared" si="24"/>
        <v>2.2321144249021319</v>
      </c>
      <c r="AH25">
        <f t="shared" si="25"/>
        <v>17.983813099882077</v>
      </c>
      <c r="AI25">
        <v>450.53373224717842</v>
      </c>
      <c r="AJ25">
        <v>428.5934909090908</v>
      </c>
      <c r="AK25">
        <v>-3.059988639738383E-3</v>
      </c>
      <c r="AL25">
        <v>67.09406990491523</v>
      </c>
      <c r="AM25">
        <f t="shared" si="26"/>
        <v>2.2220026140097455</v>
      </c>
      <c r="AN25">
        <v>17.181100422048772</v>
      </c>
      <c r="AO25">
        <v>19.796518787878789</v>
      </c>
      <c r="AP25">
        <v>-3.1389498919224559E-4</v>
      </c>
      <c r="AQ25">
        <v>78.258374477524995</v>
      </c>
      <c r="AR25">
        <v>0</v>
      </c>
      <c r="AS25">
        <v>0</v>
      </c>
      <c r="AT25">
        <f t="shared" si="27"/>
        <v>1</v>
      </c>
      <c r="AU25">
        <f t="shared" si="28"/>
        <v>0</v>
      </c>
      <c r="AV25">
        <f t="shared" si="29"/>
        <v>52539.794585513999</v>
      </c>
      <c r="AW25" t="s">
        <v>629</v>
      </c>
      <c r="AX25">
        <v>5089.68</v>
      </c>
      <c r="AY25">
        <v>566.38529411764705</v>
      </c>
      <c r="AZ25">
        <v>2484</v>
      </c>
      <c r="BA25">
        <f t="shared" si="30"/>
        <v>0.77198659657099555</v>
      </c>
      <c r="BB25">
        <v>-2.0500122635890872</v>
      </c>
      <c r="BC25" t="s">
        <v>662</v>
      </c>
      <c r="BD25">
        <v>5100.3100000000004</v>
      </c>
      <c r="BE25">
        <v>705.49170588235302</v>
      </c>
      <c r="BF25">
        <v>1868.51</v>
      </c>
      <c r="BG25">
        <f t="shared" si="31"/>
        <v>0.62243086422745764</v>
      </c>
      <c r="BH25">
        <v>0.5</v>
      </c>
      <c r="BI25">
        <f t="shared" si="32"/>
        <v>252.29685778073971</v>
      </c>
      <c r="BJ25">
        <f t="shared" si="33"/>
        <v>18.01394228821875</v>
      </c>
      <c r="BK25">
        <f t="shared" si="34"/>
        <v>78.518675615168888</v>
      </c>
      <c r="BL25">
        <f t="shared" si="35"/>
        <v>7.9525186037967044E-2</v>
      </c>
      <c r="BM25">
        <f t="shared" si="36"/>
        <v>0.32940150173132604</v>
      </c>
      <c r="BN25">
        <f t="shared" si="37"/>
        <v>526.81713512043939</v>
      </c>
      <c r="BO25" t="s">
        <v>407</v>
      </c>
      <c r="BP25">
        <v>0</v>
      </c>
      <c r="BQ25">
        <f t="shared" si="38"/>
        <v>526.81713512043939</v>
      </c>
      <c r="BR25">
        <f t="shared" si="39"/>
        <v>0.71805495548836273</v>
      </c>
      <c r="BS25">
        <f t="shared" si="40"/>
        <v>0.86682900726467482</v>
      </c>
      <c r="BT25">
        <f t="shared" si="41"/>
        <v>0.31447751308505117</v>
      </c>
      <c r="BU25">
        <f t="shared" si="42"/>
        <v>0.89316967020417315</v>
      </c>
      <c r="BV25">
        <f t="shared" si="43"/>
        <v>0.32096645802306478</v>
      </c>
      <c r="BW25">
        <f t="shared" si="44"/>
        <v>0.647293753333824</v>
      </c>
      <c r="BX25">
        <f t="shared" si="45"/>
        <v>0.352706246666176</v>
      </c>
      <c r="DG25">
        <f t="shared" si="46"/>
        <v>300.00554838709672</v>
      </c>
      <c r="DH25">
        <f t="shared" si="47"/>
        <v>252.29685778073971</v>
      </c>
      <c r="DI25">
        <f t="shared" si="48"/>
        <v>0.84097397243867456</v>
      </c>
      <c r="DJ25">
        <f t="shared" si="49"/>
        <v>0.16147976680664189</v>
      </c>
      <c r="DK25">
        <v>6</v>
      </c>
      <c r="DL25">
        <v>0.5</v>
      </c>
      <c r="DM25" t="s">
        <v>408</v>
      </c>
      <c r="DN25">
        <v>2</v>
      </c>
      <c r="DO25" t="b">
        <v>0</v>
      </c>
      <c r="DP25">
        <v>1783870036.099999</v>
      </c>
      <c r="DQ25">
        <v>420.091935483871</v>
      </c>
      <c r="DR25">
        <v>442.83254838709678</v>
      </c>
      <c r="DS25">
        <v>19.808909677419351</v>
      </c>
      <c r="DT25">
        <v>17.18358709677419</v>
      </c>
      <c r="DU25">
        <v>425.61199999999991</v>
      </c>
      <c r="DV25">
        <v>20.33164838709677</v>
      </c>
      <c r="DW25">
        <v>500.02967741935493</v>
      </c>
      <c r="DX25">
        <v>98.522183870967751</v>
      </c>
      <c r="DY25">
        <v>5.6194032258064519E-2</v>
      </c>
      <c r="DZ25">
        <v>24.501303225806449</v>
      </c>
      <c r="EA25">
        <v>24.987622580645169</v>
      </c>
      <c r="EB25">
        <v>999.90000000000032</v>
      </c>
      <c r="EC25">
        <v>0</v>
      </c>
      <c r="ED25">
        <v>0</v>
      </c>
      <c r="EE25">
        <v>10001.290322580649</v>
      </c>
      <c r="EF25">
        <v>0</v>
      </c>
      <c r="EG25">
        <v>614.98748387096771</v>
      </c>
      <c r="EH25">
        <v>-22.740500000000001</v>
      </c>
      <c r="EI25">
        <v>428.58167741935478</v>
      </c>
      <c r="EJ25">
        <v>450.5750322580646</v>
      </c>
      <c r="EK25">
        <v>2.6253287096774192</v>
      </c>
      <c r="EL25">
        <v>442.83254838709678</v>
      </c>
      <c r="EM25">
        <v>17.18358709677419</v>
      </c>
      <c r="EN25">
        <v>1.951616774193548</v>
      </c>
      <c r="EO25">
        <v>1.6929645161290321</v>
      </c>
      <c r="EP25">
        <v>17.057164516129031</v>
      </c>
      <c r="EQ25">
        <v>14.83207419354839</v>
      </c>
      <c r="ER25">
        <v>300.00554838709672</v>
      </c>
      <c r="ES25">
        <v>0.96699690322580634</v>
      </c>
      <c r="ET25">
        <v>3.3002735483870962E-2</v>
      </c>
      <c r="EU25">
        <v>0</v>
      </c>
      <c r="EV25">
        <v>705.49680645161277</v>
      </c>
      <c r="EW25">
        <v>5.0010700000000003</v>
      </c>
      <c r="EX25">
        <v>4935.1103225806464</v>
      </c>
      <c r="EY25">
        <v>2668.0729032258059</v>
      </c>
      <c r="EZ25">
        <v>36.128999999999998</v>
      </c>
      <c r="FA25">
        <v>39.311999999999983</v>
      </c>
      <c r="FB25">
        <v>37.985774193548373</v>
      </c>
      <c r="FC25">
        <v>39.418999999999997</v>
      </c>
      <c r="FD25">
        <v>38.186999999999983</v>
      </c>
      <c r="FE25">
        <v>285.26741935483869</v>
      </c>
      <c r="FF25">
        <v>9.740000000000002</v>
      </c>
      <c r="FG25">
        <v>0</v>
      </c>
      <c r="FH25">
        <v>181.5999999046326</v>
      </c>
      <c r="FI25">
        <v>0</v>
      </c>
      <c r="FJ25">
        <v>705.49170588235302</v>
      </c>
      <c r="FK25">
        <v>-1.9786764533324159</v>
      </c>
      <c r="FL25">
        <v>-644.83823567229695</v>
      </c>
      <c r="FM25">
        <v>4926.8064705882352</v>
      </c>
      <c r="FN25">
        <v>10</v>
      </c>
      <c r="FO25">
        <v>1783869958.5999999</v>
      </c>
      <c r="FP25" t="s">
        <v>663</v>
      </c>
      <c r="FQ25">
        <v>1783869952.5999999</v>
      </c>
      <c r="FR25">
        <v>1783869958.5999999</v>
      </c>
      <c r="FS25">
        <v>11</v>
      </c>
      <c r="FT25">
        <v>4.0000000000000001E-3</v>
      </c>
      <c r="FU25">
        <v>-7.0000000000000001E-3</v>
      </c>
      <c r="FV25">
        <v>-5.6070000000000002</v>
      </c>
      <c r="FW25">
        <v>-0.59</v>
      </c>
      <c r="FX25">
        <v>443</v>
      </c>
      <c r="FY25">
        <v>17</v>
      </c>
      <c r="FZ25">
        <v>0.36</v>
      </c>
      <c r="GA25">
        <v>0.06</v>
      </c>
      <c r="GB25">
        <v>420.091935483871</v>
      </c>
      <c r="GC25">
        <v>0.3759677419339974</v>
      </c>
      <c r="GD25">
        <v>5.9223979169224471E-2</v>
      </c>
      <c r="GE25">
        <v>-1</v>
      </c>
      <c r="GF25">
        <v>705.46829411764702</v>
      </c>
      <c r="GG25">
        <v>3.0221543715238781E-2</v>
      </c>
      <c r="GH25">
        <v>0.1735880060596145</v>
      </c>
      <c r="GI25">
        <v>1</v>
      </c>
      <c r="GJ25">
        <v>2.5989241463414632</v>
      </c>
      <c r="GK25">
        <v>0.33892494773518611</v>
      </c>
      <c r="GL25">
        <v>4.8324783419731447E-2</v>
      </c>
      <c r="GM25">
        <v>1</v>
      </c>
      <c r="GN25">
        <v>2</v>
      </c>
      <c r="GO25">
        <v>2</v>
      </c>
      <c r="GP25" t="s">
        <v>423</v>
      </c>
      <c r="GQ25">
        <v>3.1295899999999999</v>
      </c>
      <c r="GR25">
        <v>2.7319900000000001</v>
      </c>
      <c r="GS25">
        <v>9.2247399999999993E-2</v>
      </c>
      <c r="GT25">
        <v>9.5729300000000003E-2</v>
      </c>
      <c r="GU25">
        <v>0.100246</v>
      </c>
      <c r="GV25">
        <v>8.9243400000000001E-2</v>
      </c>
      <c r="GW25">
        <v>22815.3</v>
      </c>
      <c r="GX25">
        <v>30474.6</v>
      </c>
      <c r="GY25">
        <v>27260.6</v>
      </c>
      <c r="GZ25">
        <v>34649.4</v>
      </c>
      <c r="HA25">
        <v>35914.199999999997</v>
      </c>
      <c r="HB25">
        <v>39957.599999999999</v>
      </c>
      <c r="HC25">
        <v>40247.1</v>
      </c>
      <c r="HD25">
        <v>43954.3</v>
      </c>
      <c r="HE25">
        <v>1.9752000000000001</v>
      </c>
      <c r="HF25">
        <v>1.7452000000000001</v>
      </c>
      <c r="HG25">
        <v>-8.9108900000000005E-2</v>
      </c>
      <c r="HH25">
        <v>0</v>
      </c>
      <c r="HI25">
        <v>26.418500000000002</v>
      </c>
      <c r="HJ25">
        <v>999.9</v>
      </c>
      <c r="HK25">
        <v>62.7</v>
      </c>
      <c r="HL25">
        <v>40.6</v>
      </c>
      <c r="HM25">
        <v>48.714799999999997</v>
      </c>
      <c r="HN25">
        <v>60.92</v>
      </c>
      <c r="HO25">
        <v>7.4158600000000003</v>
      </c>
      <c r="HP25">
        <v>1</v>
      </c>
      <c r="HQ25">
        <v>0.470244</v>
      </c>
      <c r="HR25">
        <v>5.5217900000000002</v>
      </c>
      <c r="HS25">
        <v>20.194800000000001</v>
      </c>
      <c r="HT25">
        <v>5.2100999999999997</v>
      </c>
      <c r="HU25">
        <v>11.908099999999999</v>
      </c>
      <c r="HV25">
        <v>4.9847999999999999</v>
      </c>
      <c r="HW25">
        <v>3.2709999999999999</v>
      </c>
      <c r="HX25">
        <v>9999</v>
      </c>
      <c r="HY25">
        <v>9999</v>
      </c>
      <c r="HZ25">
        <v>9999</v>
      </c>
      <c r="IA25">
        <v>999.9</v>
      </c>
      <c r="IB25">
        <v>1.86737</v>
      </c>
      <c r="IC25">
        <v>1.8629800000000001</v>
      </c>
      <c r="ID25">
        <v>1.86249</v>
      </c>
      <c r="IE25">
        <v>1.8620300000000001</v>
      </c>
      <c r="IF25">
        <v>1.8620300000000001</v>
      </c>
      <c r="IG25">
        <v>1.8626400000000001</v>
      </c>
      <c r="IH25">
        <v>1.8635299999999999</v>
      </c>
      <c r="II25">
        <v>1.86145</v>
      </c>
      <c r="IJ25">
        <v>0</v>
      </c>
      <c r="IK25">
        <v>0</v>
      </c>
      <c r="IL25">
        <v>0</v>
      </c>
      <c r="IM25">
        <v>4.5</v>
      </c>
      <c r="IN25" t="s">
        <v>411</v>
      </c>
      <c r="IO25" t="s">
        <v>412</v>
      </c>
      <c r="IP25" t="s">
        <v>413</v>
      </c>
      <c r="IQ25" t="s">
        <v>414</v>
      </c>
      <c r="IR25" t="s">
        <v>414</v>
      </c>
      <c r="IS25" t="s">
        <v>413</v>
      </c>
      <c r="IT25">
        <v>0</v>
      </c>
      <c r="IU25">
        <v>100</v>
      </c>
      <c r="IV25">
        <v>100</v>
      </c>
      <c r="IW25">
        <v>-5.52</v>
      </c>
      <c r="IX25">
        <v>-0.52310000000000001</v>
      </c>
      <c r="IY25">
        <v>-3.5339393919102169</v>
      </c>
      <c r="IZ25">
        <v>-5.6215304933332991E-3</v>
      </c>
      <c r="JA25">
        <v>2.3979931213773931E-6</v>
      </c>
      <c r="JB25">
        <v>-3.6297174575716598E-10</v>
      </c>
      <c r="JC25">
        <v>-0.81754016485960523</v>
      </c>
      <c r="JD25">
        <v>2.7492919904454862E-4</v>
      </c>
      <c r="JE25">
        <v>8.6739513355948885E-4</v>
      </c>
      <c r="JF25">
        <v>-8.2500691715147318E-6</v>
      </c>
      <c r="JG25">
        <v>17</v>
      </c>
      <c r="JH25">
        <v>1914</v>
      </c>
      <c r="JI25">
        <v>2</v>
      </c>
      <c r="JJ25">
        <v>37</v>
      </c>
      <c r="JK25">
        <v>1.5</v>
      </c>
      <c r="JL25">
        <v>1.4</v>
      </c>
      <c r="JM25">
        <v>1.1267100000000001</v>
      </c>
      <c r="JN25">
        <v>2.5451700000000002</v>
      </c>
      <c r="JO25">
        <v>1.50024</v>
      </c>
      <c r="JP25">
        <v>2.2705099999999998</v>
      </c>
      <c r="JQ25">
        <v>1.4477500000000001</v>
      </c>
      <c r="JR25">
        <v>2.3828100000000001</v>
      </c>
      <c r="JS25">
        <v>44.893999999999998</v>
      </c>
      <c r="JT25">
        <v>15.3141</v>
      </c>
      <c r="JU25">
        <v>18</v>
      </c>
      <c r="JV25">
        <v>541.54399999999998</v>
      </c>
      <c r="JW25">
        <v>408.32600000000002</v>
      </c>
      <c r="JX25">
        <v>20.807200000000002</v>
      </c>
      <c r="JY25">
        <v>33.006500000000003</v>
      </c>
      <c r="JZ25">
        <v>30</v>
      </c>
      <c r="KA25">
        <v>33.1492</v>
      </c>
      <c r="KB25">
        <v>33.187800000000003</v>
      </c>
      <c r="KC25">
        <v>22.534600000000001</v>
      </c>
      <c r="KD25">
        <v>60.964399999999998</v>
      </c>
      <c r="KE25">
        <v>0</v>
      </c>
      <c r="KF25">
        <v>20.830100000000002</v>
      </c>
      <c r="KG25">
        <v>442.70600000000002</v>
      </c>
      <c r="KH25">
        <v>17.134499999999999</v>
      </c>
      <c r="KI25">
        <v>100.59699999999999</v>
      </c>
      <c r="KJ25">
        <v>98.900199999999998</v>
      </c>
    </row>
    <row r="26" spans="1:296" x14ac:dyDescent="0.3">
      <c r="A26">
        <v>10</v>
      </c>
      <c r="B26">
        <v>1783870226.5999999</v>
      </c>
      <c r="C26">
        <v>1665</v>
      </c>
      <c r="D26" t="s">
        <v>664</v>
      </c>
      <c r="E26" t="s">
        <v>665</v>
      </c>
      <c r="F26">
        <v>15</v>
      </c>
      <c r="H26">
        <v>1783870218.849999</v>
      </c>
      <c r="I26">
        <f t="shared" si="0"/>
        <v>1.7786655228274526E-3</v>
      </c>
      <c r="J26">
        <f t="shared" si="1"/>
        <v>1.7786655228274526</v>
      </c>
      <c r="K26">
        <f t="shared" si="2"/>
        <v>11.435691772848184</v>
      </c>
      <c r="L26">
        <f t="shared" si="3"/>
        <v>419.99243333333339</v>
      </c>
      <c r="M26">
        <f t="shared" si="4"/>
        <v>280.10455092534465</v>
      </c>
      <c r="N26">
        <f t="shared" si="5"/>
        <v>27.61225787471944</v>
      </c>
      <c r="O26">
        <f t="shared" si="6"/>
        <v>41.402181208122563</v>
      </c>
      <c r="P26">
        <f t="shared" si="7"/>
        <v>0.14110404629840187</v>
      </c>
      <c r="Q26">
        <f t="shared" si="8"/>
        <v>2.9019275334119561</v>
      </c>
      <c r="R26">
        <f t="shared" si="9"/>
        <v>0.13740024032025294</v>
      </c>
      <c r="S26">
        <f t="shared" si="10"/>
        <v>8.6199824813616238E-2</v>
      </c>
      <c r="T26">
        <f t="shared" si="11"/>
        <v>32.482334724547819</v>
      </c>
      <c r="U26">
        <f t="shared" si="12"/>
        <v>24.184125653246866</v>
      </c>
      <c r="V26">
        <f t="shared" si="13"/>
        <v>25.03537</v>
      </c>
      <c r="W26">
        <f t="shared" si="14"/>
        <v>3.1863888438808368</v>
      </c>
      <c r="X26">
        <f t="shared" si="15"/>
        <v>63.133366065598487</v>
      </c>
      <c r="Y26">
        <f t="shared" si="16"/>
        <v>1.943481000870332</v>
      </c>
      <c r="Z26">
        <f t="shared" si="17"/>
        <v>3.0783738013445463</v>
      </c>
      <c r="AA26">
        <f t="shared" si="18"/>
        <v>1.2429078430105047</v>
      </c>
      <c r="AB26">
        <f t="shared" si="19"/>
        <v>-78.439149556690666</v>
      </c>
      <c r="AC26">
        <f t="shared" si="20"/>
        <v>-90.325666864626527</v>
      </c>
      <c r="AD26">
        <f t="shared" si="21"/>
        <v>-6.5671521463600779</v>
      </c>
      <c r="AE26">
        <f t="shared" si="22"/>
        <v>-142.84963384312945</v>
      </c>
      <c r="AF26">
        <f t="shared" si="23"/>
        <v>11.435691772848184</v>
      </c>
      <c r="AG26">
        <f t="shared" si="24"/>
        <v>1.7786655228274526</v>
      </c>
      <c r="AH26">
        <f t="shared" si="25"/>
        <v>11.417250786363912</v>
      </c>
      <c r="AI26">
        <v>442.44297687212492</v>
      </c>
      <c r="AJ26">
        <v>428.47966060606041</v>
      </c>
      <c r="AK26">
        <v>3.1626964752875012E-3</v>
      </c>
      <c r="AL26">
        <v>67.093151378537641</v>
      </c>
      <c r="AM26">
        <f t="shared" si="26"/>
        <v>1.7389646515592831</v>
      </c>
      <c r="AN26">
        <v>17.67581222115162</v>
      </c>
      <c r="AO26">
        <v>19.72027818181818</v>
      </c>
      <c r="AP26">
        <v>1.8157480277612579E-4</v>
      </c>
      <c r="AQ26">
        <v>78.257290281454161</v>
      </c>
      <c r="AR26">
        <v>0</v>
      </c>
      <c r="AS26">
        <v>0</v>
      </c>
      <c r="AT26">
        <f t="shared" si="27"/>
        <v>1</v>
      </c>
      <c r="AU26">
        <f t="shared" si="28"/>
        <v>0</v>
      </c>
      <c r="AV26">
        <f t="shared" si="29"/>
        <v>52495.703168901025</v>
      </c>
      <c r="AW26" t="s">
        <v>629</v>
      </c>
      <c r="AX26">
        <v>5089.68</v>
      </c>
      <c r="AY26">
        <v>566.38529411764705</v>
      </c>
      <c r="AZ26">
        <v>2484</v>
      </c>
      <c r="BA26">
        <f t="shared" si="30"/>
        <v>0.77198659657099555</v>
      </c>
      <c r="BB26">
        <v>-2.0500122635890872</v>
      </c>
      <c r="BC26" t="s">
        <v>666</v>
      </c>
      <c r="BD26">
        <v>5101.22</v>
      </c>
      <c r="BE26">
        <v>680.30329411764706</v>
      </c>
      <c r="BF26">
        <v>1927.48</v>
      </c>
      <c r="BG26">
        <f t="shared" si="31"/>
        <v>0.64705040046192597</v>
      </c>
      <c r="BH26">
        <v>0.5</v>
      </c>
      <c r="BI26">
        <f t="shared" si="32"/>
        <v>168.28293380546515</v>
      </c>
      <c r="BJ26">
        <f t="shared" si="33"/>
        <v>11.435691772848184</v>
      </c>
      <c r="BK26">
        <f t="shared" si="34"/>
        <v>54.443769854867</v>
      </c>
      <c r="BL26">
        <f t="shared" si="35"/>
        <v>8.0137086580786179E-2</v>
      </c>
      <c r="BM26">
        <f t="shared" si="36"/>
        <v>0.28872932533670909</v>
      </c>
      <c r="BN26">
        <f t="shared" si="37"/>
        <v>531.40096032291729</v>
      </c>
      <c r="BO26" t="s">
        <v>407</v>
      </c>
      <c r="BP26">
        <v>0</v>
      </c>
      <c r="BQ26">
        <f t="shared" si="38"/>
        <v>531.40096032291729</v>
      </c>
      <c r="BR26">
        <f t="shared" si="39"/>
        <v>0.72430273708525261</v>
      </c>
      <c r="BS26">
        <f t="shared" si="40"/>
        <v>0.89334247591800298</v>
      </c>
      <c r="BT26">
        <f t="shared" si="41"/>
        <v>0.28501499216758619</v>
      </c>
      <c r="BU26">
        <f t="shared" si="42"/>
        <v>0.91630413408584177</v>
      </c>
      <c r="BV26">
        <f t="shared" si="43"/>
        <v>0.29021471221140233</v>
      </c>
      <c r="BW26">
        <f t="shared" si="44"/>
        <v>0.69781089361884518</v>
      </c>
      <c r="BX26">
        <f t="shared" si="45"/>
        <v>0.30218910638115482</v>
      </c>
      <c r="DG26">
        <f t="shared" si="46"/>
        <v>199.98886666666661</v>
      </c>
      <c r="DH26">
        <f t="shared" si="47"/>
        <v>168.28293380546515</v>
      </c>
      <c r="DI26">
        <f t="shared" si="48"/>
        <v>0.84146151038473738</v>
      </c>
      <c r="DJ26">
        <f t="shared" si="49"/>
        <v>0.16242071504254318</v>
      </c>
      <c r="DK26">
        <v>6</v>
      </c>
      <c r="DL26">
        <v>0.5</v>
      </c>
      <c r="DM26" t="s">
        <v>408</v>
      </c>
      <c r="DN26">
        <v>2</v>
      </c>
      <c r="DO26" t="b">
        <v>0</v>
      </c>
      <c r="DP26">
        <v>1783870218.849999</v>
      </c>
      <c r="DQ26">
        <v>419.99243333333339</v>
      </c>
      <c r="DR26">
        <v>434.61163333333332</v>
      </c>
      <c r="DS26">
        <v>19.71508</v>
      </c>
      <c r="DT26">
        <v>17.622769999999999</v>
      </c>
      <c r="DU26">
        <v>425.53736666666668</v>
      </c>
      <c r="DV26">
        <v>20.248059999999999</v>
      </c>
      <c r="DW26">
        <v>500.00209999999998</v>
      </c>
      <c r="DX26">
        <v>98.522419999999997</v>
      </c>
      <c r="DY26">
        <v>5.5977899999999997E-2</v>
      </c>
      <c r="DZ26">
        <v>24.458020000000001</v>
      </c>
      <c r="EA26">
        <v>25.03537</v>
      </c>
      <c r="EB26">
        <v>999.9000000000002</v>
      </c>
      <c r="EC26">
        <v>0</v>
      </c>
      <c r="ED26">
        <v>0</v>
      </c>
      <c r="EE26">
        <v>9991</v>
      </c>
      <c r="EF26">
        <v>0</v>
      </c>
      <c r="EG26">
        <v>635.12083333333328</v>
      </c>
      <c r="EH26">
        <v>-14.619113333333329</v>
      </c>
      <c r="EI26">
        <v>428.43923333333339</v>
      </c>
      <c r="EJ26">
        <v>442.40809999999999</v>
      </c>
      <c r="EK26">
        <v>2.092309666666667</v>
      </c>
      <c r="EL26">
        <v>434.61163333333332</v>
      </c>
      <c r="EM26">
        <v>17.622769999999999</v>
      </c>
      <c r="EN26">
        <v>1.9423779999999999</v>
      </c>
      <c r="EO26">
        <v>1.736238666666666</v>
      </c>
      <c r="EP26">
        <v>16.982273333333328</v>
      </c>
      <c r="EQ26">
        <v>15.22418666666667</v>
      </c>
      <c r="ER26">
        <v>199.98886666666661</v>
      </c>
      <c r="ES26">
        <v>0.95004409999999995</v>
      </c>
      <c r="ET26">
        <v>4.9955720000000002E-2</v>
      </c>
      <c r="EU26">
        <v>0</v>
      </c>
      <c r="EV26">
        <v>680.30250000000012</v>
      </c>
      <c r="EW26">
        <v>5.0010700000000003</v>
      </c>
      <c r="EX26">
        <v>4163.4740000000002</v>
      </c>
      <c r="EY26">
        <v>1751.7603333333329</v>
      </c>
      <c r="EZ26">
        <v>35.875</v>
      </c>
      <c r="FA26">
        <v>39.291333333333327</v>
      </c>
      <c r="FB26">
        <v>37.856099999999991</v>
      </c>
      <c r="FC26">
        <v>39.330900000000007</v>
      </c>
      <c r="FD26">
        <v>37.936999999999991</v>
      </c>
      <c r="FE26">
        <v>185.2476666666667</v>
      </c>
      <c r="FF26">
        <v>9.7430000000000021</v>
      </c>
      <c r="FG26">
        <v>0</v>
      </c>
      <c r="FH26">
        <v>182</v>
      </c>
      <c r="FI26">
        <v>0</v>
      </c>
      <c r="FJ26">
        <v>680.30329411764706</v>
      </c>
      <c r="FK26">
        <v>0.91029413215277599</v>
      </c>
      <c r="FL26">
        <v>430.58088132838941</v>
      </c>
      <c r="FM26">
        <v>4239.0152941176466</v>
      </c>
      <c r="FN26">
        <v>10</v>
      </c>
      <c r="FO26">
        <v>1783870149.5999999</v>
      </c>
      <c r="FP26" t="s">
        <v>667</v>
      </c>
      <c r="FQ26">
        <v>1783870146.0999999</v>
      </c>
      <c r="FR26">
        <v>1783870149.5999999</v>
      </c>
      <c r="FS26">
        <v>12</v>
      </c>
      <c r="FT26">
        <v>-2.5000000000000001E-2</v>
      </c>
      <c r="FU26">
        <v>-8.0000000000000002E-3</v>
      </c>
      <c r="FV26">
        <v>-5.601</v>
      </c>
      <c r="FW26">
        <v>-0.58899999999999997</v>
      </c>
      <c r="FX26">
        <v>435</v>
      </c>
      <c r="FY26">
        <v>17</v>
      </c>
      <c r="FZ26">
        <v>0.56999999999999995</v>
      </c>
      <c r="GA26">
        <v>0.12</v>
      </c>
      <c r="GB26">
        <v>419.98638709677419</v>
      </c>
      <c r="GC26">
        <v>0.1962580645148872</v>
      </c>
      <c r="GD26">
        <v>4.3520612409230018E-2</v>
      </c>
      <c r="GE26">
        <v>-1</v>
      </c>
      <c r="GF26">
        <v>680.28588235294126</v>
      </c>
      <c r="GG26">
        <v>0.18093200972404849</v>
      </c>
      <c r="GH26">
        <v>0.22915224385778141</v>
      </c>
      <c r="GI26">
        <v>1</v>
      </c>
      <c r="GJ26">
        <v>2.1275834146341461</v>
      </c>
      <c r="GK26">
        <v>-0.71703449477351711</v>
      </c>
      <c r="GL26">
        <v>7.533711512375256E-2</v>
      </c>
      <c r="GM26">
        <v>0</v>
      </c>
      <c r="GN26">
        <v>1</v>
      </c>
      <c r="GO26">
        <v>2</v>
      </c>
      <c r="GP26" t="s">
        <v>410</v>
      </c>
      <c r="GQ26">
        <v>3.12947</v>
      </c>
      <c r="GR26">
        <v>2.7330999999999999</v>
      </c>
      <c r="GS26">
        <v>9.2230199999999998E-2</v>
      </c>
      <c r="GT26">
        <v>9.4399700000000003E-2</v>
      </c>
      <c r="GU26">
        <v>9.9987099999999995E-2</v>
      </c>
      <c r="GV26">
        <v>9.1104400000000002E-2</v>
      </c>
      <c r="GW26">
        <v>22812.9</v>
      </c>
      <c r="GX26">
        <v>30517.1</v>
      </c>
      <c r="GY26">
        <v>27257.599999999999</v>
      </c>
      <c r="GZ26">
        <v>34647.300000000003</v>
      </c>
      <c r="HA26">
        <v>35921</v>
      </c>
      <c r="HB26">
        <v>39874.300000000003</v>
      </c>
      <c r="HC26">
        <v>40242.699999999997</v>
      </c>
      <c r="HD26">
        <v>43952.6</v>
      </c>
      <c r="HE26">
        <v>1.9743999999999999</v>
      </c>
      <c r="HF26">
        <v>1.7412000000000001</v>
      </c>
      <c r="HG26">
        <v>-9.3430299999999994E-2</v>
      </c>
      <c r="HH26">
        <v>0</v>
      </c>
      <c r="HI26">
        <v>26.550599999999999</v>
      </c>
      <c r="HJ26">
        <v>999.9</v>
      </c>
      <c r="HK26">
        <v>62.2</v>
      </c>
      <c r="HL26">
        <v>41</v>
      </c>
      <c r="HM26">
        <v>49.3628</v>
      </c>
      <c r="HN26">
        <v>61.32</v>
      </c>
      <c r="HO26">
        <v>7.0272399999999999</v>
      </c>
      <c r="HP26">
        <v>1</v>
      </c>
      <c r="HQ26">
        <v>0.48211399999999999</v>
      </c>
      <c r="HR26">
        <v>6.0137499999999999</v>
      </c>
      <c r="HS26">
        <v>20.179200000000002</v>
      </c>
      <c r="HT26">
        <v>5.2125000000000004</v>
      </c>
      <c r="HU26">
        <v>11.908099999999999</v>
      </c>
      <c r="HV26">
        <v>4.9847999999999999</v>
      </c>
      <c r="HW26">
        <v>3.2709999999999999</v>
      </c>
      <c r="HX26">
        <v>9999</v>
      </c>
      <c r="HY26">
        <v>9999</v>
      </c>
      <c r="HZ26">
        <v>9999</v>
      </c>
      <c r="IA26">
        <v>999.9</v>
      </c>
      <c r="IB26">
        <v>1.86737</v>
      </c>
      <c r="IC26">
        <v>1.86304</v>
      </c>
      <c r="ID26">
        <v>1.86252</v>
      </c>
      <c r="IE26">
        <v>1.8620300000000001</v>
      </c>
      <c r="IF26">
        <v>1.8620300000000001</v>
      </c>
      <c r="IG26">
        <v>1.8626400000000001</v>
      </c>
      <c r="IH26">
        <v>1.8635600000000001</v>
      </c>
      <c r="II26">
        <v>1.86148</v>
      </c>
      <c r="IJ26">
        <v>0</v>
      </c>
      <c r="IK26">
        <v>0</v>
      </c>
      <c r="IL26">
        <v>0</v>
      </c>
      <c r="IM26">
        <v>4.5</v>
      </c>
      <c r="IN26" t="s">
        <v>411</v>
      </c>
      <c r="IO26" t="s">
        <v>412</v>
      </c>
      <c r="IP26" t="s">
        <v>413</v>
      </c>
      <c r="IQ26" t="s">
        <v>414</v>
      </c>
      <c r="IR26" t="s">
        <v>414</v>
      </c>
      <c r="IS26" t="s">
        <v>413</v>
      </c>
      <c r="IT26">
        <v>0</v>
      </c>
      <c r="IU26">
        <v>100</v>
      </c>
      <c r="IV26">
        <v>100</v>
      </c>
      <c r="IW26">
        <v>-5.5449999999999999</v>
      </c>
      <c r="IX26">
        <v>-0.53300000000000003</v>
      </c>
      <c r="IY26">
        <v>-3.55893705000795</v>
      </c>
      <c r="IZ26">
        <v>-5.6215304933332991E-3</v>
      </c>
      <c r="JA26">
        <v>2.3979931213773931E-6</v>
      </c>
      <c r="JB26">
        <v>-3.6297174575716598E-10</v>
      </c>
      <c r="JC26">
        <v>-0.82568025705362191</v>
      </c>
      <c r="JD26">
        <v>2.7492919904454862E-4</v>
      </c>
      <c r="JE26">
        <v>8.6739513355948885E-4</v>
      </c>
      <c r="JF26">
        <v>-8.2500691715147318E-6</v>
      </c>
      <c r="JG26">
        <v>17</v>
      </c>
      <c r="JH26">
        <v>1914</v>
      </c>
      <c r="JI26">
        <v>2</v>
      </c>
      <c r="JJ26">
        <v>37</v>
      </c>
      <c r="JK26">
        <v>1.3</v>
      </c>
      <c r="JL26">
        <v>1.3</v>
      </c>
      <c r="JM26">
        <v>1.11084</v>
      </c>
      <c r="JN26">
        <v>2.5549300000000001</v>
      </c>
      <c r="JO26">
        <v>1.50024</v>
      </c>
      <c r="JP26">
        <v>2.2692899999999998</v>
      </c>
      <c r="JQ26">
        <v>1.4477500000000001</v>
      </c>
      <c r="JR26">
        <v>2.4304199999999998</v>
      </c>
      <c r="JS26">
        <v>45.261899999999997</v>
      </c>
      <c r="JT26">
        <v>15.270300000000001</v>
      </c>
      <c r="JU26">
        <v>18</v>
      </c>
      <c r="JV26">
        <v>541.66899999999998</v>
      </c>
      <c r="JW26">
        <v>406.51299999999998</v>
      </c>
      <c r="JX26">
        <v>20.702300000000001</v>
      </c>
      <c r="JY26">
        <v>33.094900000000003</v>
      </c>
      <c r="JZ26">
        <v>30.001100000000001</v>
      </c>
      <c r="KA26">
        <v>33.227800000000002</v>
      </c>
      <c r="KB26">
        <v>33.273499999999999</v>
      </c>
      <c r="KC26">
        <v>22.215900000000001</v>
      </c>
      <c r="KD26">
        <v>60.529000000000003</v>
      </c>
      <c r="KE26">
        <v>0</v>
      </c>
      <c r="KF26">
        <v>20.680199999999999</v>
      </c>
      <c r="KG26">
        <v>434.51299999999998</v>
      </c>
      <c r="KH26">
        <v>17.7361</v>
      </c>
      <c r="KI26">
        <v>100.586</v>
      </c>
      <c r="KJ26">
        <v>98.895399999999995</v>
      </c>
    </row>
    <row r="27" spans="1:296" x14ac:dyDescent="0.3">
      <c r="A27">
        <v>11</v>
      </c>
      <c r="B27">
        <v>1783870409.0999999</v>
      </c>
      <c r="C27">
        <v>1847.5</v>
      </c>
      <c r="D27" t="s">
        <v>668</v>
      </c>
      <c r="E27" t="s">
        <v>669</v>
      </c>
      <c r="F27">
        <v>15</v>
      </c>
      <c r="H27">
        <v>1783870401.099999</v>
      </c>
      <c r="I27">
        <f t="shared" si="0"/>
        <v>1.3903131334287036E-3</v>
      </c>
      <c r="J27">
        <f t="shared" si="1"/>
        <v>1.3903131334287036</v>
      </c>
      <c r="K27">
        <f t="shared" si="2"/>
        <v>4.1982047561969731</v>
      </c>
      <c r="L27">
        <f t="shared" si="3"/>
        <v>419.97022580645159</v>
      </c>
      <c r="M27">
        <f t="shared" si="4"/>
        <v>348.97952932695591</v>
      </c>
      <c r="N27">
        <f t="shared" si="5"/>
        <v>34.401923762881545</v>
      </c>
      <c r="O27">
        <f t="shared" si="6"/>
        <v>41.400089336866785</v>
      </c>
      <c r="P27">
        <f t="shared" si="7"/>
        <v>0.10856260776541873</v>
      </c>
      <c r="Q27">
        <f t="shared" si="8"/>
        <v>2.9024928317254011</v>
      </c>
      <c r="R27">
        <f t="shared" si="9"/>
        <v>0.10635618552414315</v>
      </c>
      <c r="S27">
        <f t="shared" si="10"/>
        <v>6.6667119251581405E-2</v>
      </c>
      <c r="T27">
        <f t="shared" si="11"/>
        <v>16.512729609869972</v>
      </c>
      <c r="U27">
        <f t="shared" si="12"/>
        <v>24.124293993913835</v>
      </c>
      <c r="V27">
        <f t="shared" si="13"/>
        <v>25.019525806451611</v>
      </c>
      <c r="W27">
        <f t="shared" si="14"/>
        <v>3.1833809703818634</v>
      </c>
      <c r="X27">
        <f t="shared" si="15"/>
        <v>62.886149509959822</v>
      </c>
      <c r="Y27">
        <f t="shared" si="16"/>
        <v>1.9281474338681679</v>
      </c>
      <c r="Z27">
        <f t="shared" si="17"/>
        <v>3.0660923731111738</v>
      </c>
      <c r="AA27">
        <f t="shared" si="18"/>
        <v>1.2552335365136955</v>
      </c>
      <c r="AB27">
        <f t="shared" si="19"/>
        <v>-61.312809184205832</v>
      </c>
      <c r="AC27">
        <f t="shared" si="20"/>
        <v>-98.310829587761347</v>
      </c>
      <c r="AD27">
        <f t="shared" si="21"/>
        <v>-7.1433511235980234</v>
      </c>
      <c r="AE27">
        <f t="shared" si="22"/>
        <v>-150.25426028569524</v>
      </c>
      <c r="AF27">
        <f t="shared" si="23"/>
        <v>4.1982047561969731</v>
      </c>
      <c r="AG27">
        <f t="shared" si="24"/>
        <v>1.3903131334287036</v>
      </c>
      <c r="AH27">
        <f t="shared" si="25"/>
        <v>4.268416346017716</v>
      </c>
      <c r="AI27">
        <v>433.61624230416089</v>
      </c>
      <c r="AJ27">
        <v>428.37581212121199</v>
      </c>
      <c r="AK27">
        <v>4.5171072912398233E-3</v>
      </c>
      <c r="AL27">
        <v>67.092528361821863</v>
      </c>
      <c r="AM27">
        <f t="shared" si="26"/>
        <v>1.3814778057329304</v>
      </c>
      <c r="AN27">
        <v>17.932499105943151</v>
      </c>
      <c r="AO27">
        <v>19.55877818181818</v>
      </c>
      <c r="AP27">
        <v>-1.138535168541676E-4</v>
      </c>
      <c r="AQ27">
        <v>78.258624056843828</v>
      </c>
      <c r="AR27">
        <v>0</v>
      </c>
      <c r="AS27">
        <v>0</v>
      </c>
      <c r="AT27">
        <f t="shared" si="27"/>
        <v>1</v>
      </c>
      <c r="AU27">
        <f t="shared" si="28"/>
        <v>0</v>
      </c>
      <c r="AV27">
        <f t="shared" si="29"/>
        <v>52523.780497469495</v>
      </c>
      <c r="AW27" t="s">
        <v>629</v>
      </c>
      <c r="AX27">
        <v>5089.68</v>
      </c>
      <c r="AY27">
        <v>566.38529411764705</v>
      </c>
      <c r="AZ27">
        <v>2484</v>
      </c>
      <c r="BA27">
        <f t="shared" si="30"/>
        <v>0.77198659657099555</v>
      </c>
      <c r="BB27">
        <v>-2.0500122635890872</v>
      </c>
      <c r="BC27" t="s">
        <v>670</v>
      </c>
      <c r="BD27">
        <v>5101.04</v>
      </c>
      <c r="BE27">
        <v>656.48511764705893</v>
      </c>
      <c r="BF27">
        <v>1978.98</v>
      </c>
      <c r="BG27">
        <f t="shared" si="31"/>
        <v>0.6682709690613049</v>
      </c>
      <c r="BH27">
        <v>0.5</v>
      </c>
      <c r="BI27">
        <f t="shared" si="32"/>
        <v>84.296976021159452</v>
      </c>
      <c r="BJ27">
        <f t="shared" si="33"/>
        <v>4.1982047561969731</v>
      </c>
      <c r="BK27">
        <f t="shared" si="34"/>
        <v>28.166610927298905</v>
      </c>
      <c r="BL27">
        <f t="shared" si="35"/>
        <v>7.4121484716340127E-2</v>
      </c>
      <c r="BM27">
        <f t="shared" si="36"/>
        <v>0.2551920686414213</v>
      </c>
      <c r="BN27">
        <f t="shared" si="37"/>
        <v>535.24110633898704</v>
      </c>
      <c r="BO27" t="s">
        <v>407</v>
      </c>
      <c r="BP27">
        <v>0</v>
      </c>
      <c r="BQ27">
        <f t="shared" si="38"/>
        <v>535.24110633898704</v>
      </c>
      <c r="BR27">
        <f t="shared" si="39"/>
        <v>0.72953687943335099</v>
      </c>
      <c r="BS27">
        <f t="shared" si="40"/>
        <v>0.91602081800219226</v>
      </c>
      <c r="BT27">
        <f t="shared" si="41"/>
        <v>0.25914955495148512</v>
      </c>
      <c r="BU27">
        <f t="shared" si="42"/>
        <v>0.93621679087836274</v>
      </c>
      <c r="BV27">
        <f t="shared" si="43"/>
        <v>0.2633584308937727</v>
      </c>
      <c r="BW27">
        <f t="shared" si="44"/>
        <v>0.74684403785773135</v>
      </c>
      <c r="BX27">
        <f t="shared" si="45"/>
        <v>0.25315596214226865</v>
      </c>
      <c r="DG27">
        <f t="shared" si="46"/>
        <v>100.0139806451613</v>
      </c>
      <c r="DH27">
        <f t="shared" si="47"/>
        <v>84.296976021159452</v>
      </c>
      <c r="DI27">
        <f t="shared" si="48"/>
        <v>0.84285192407485443</v>
      </c>
      <c r="DJ27">
        <f t="shared" si="49"/>
        <v>0.16510421346446891</v>
      </c>
      <c r="DK27">
        <v>6</v>
      </c>
      <c r="DL27">
        <v>0.5</v>
      </c>
      <c r="DM27" t="s">
        <v>408</v>
      </c>
      <c r="DN27">
        <v>2</v>
      </c>
      <c r="DO27" t="b">
        <v>0</v>
      </c>
      <c r="DP27">
        <v>1783870401.099999</v>
      </c>
      <c r="DQ27">
        <v>419.97022580645159</v>
      </c>
      <c r="DR27">
        <v>425.70951612903241</v>
      </c>
      <c r="DS27">
        <v>19.559487096774191</v>
      </c>
      <c r="DT27">
        <v>17.923522580645159</v>
      </c>
      <c r="DU27">
        <v>425.49587096774201</v>
      </c>
      <c r="DV27">
        <v>20.10736774193548</v>
      </c>
      <c r="DW27">
        <v>499.93235483870973</v>
      </c>
      <c r="DX27">
        <v>98.52125483870968</v>
      </c>
      <c r="DY27">
        <v>5.7374770967741927E-2</v>
      </c>
      <c r="DZ27">
        <v>24.39125806451613</v>
      </c>
      <c r="EA27">
        <v>25.019525806451611</v>
      </c>
      <c r="EB27">
        <v>999.90000000000032</v>
      </c>
      <c r="EC27">
        <v>0</v>
      </c>
      <c r="ED27">
        <v>0</v>
      </c>
      <c r="EE27">
        <v>9994.354838709678</v>
      </c>
      <c r="EF27">
        <v>0</v>
      </c>
      <c r="EG27">
        <v>661.36719354838726</v>
      </c>
      <c r="EH27">
        <v>-5.7393648387096787</v>
      </c>
      <c r="EI27">
        <v>428.34848387096781</v>
      </c>
      <c r="EJ27">
        <v>433.47906451612897</v>
      </c>
      <c r="EK27">
        <v>1.635954838709677</v>
      </c>
      <c r="EL27">
        <v>425.70951612903241</v>
      </c>
      <c r="EM27">
        <v>17.923522580645159</v>
      </c>
      <c r="EN27">
        <v>1.927024516129032</v>
      </c>
      <c r="EO27">
        <v>1.7658487096774189</v>
      </c>
      <c r="EP27">
        <v>16.85714193548387</v>
      </c>
      <c r="EQ27">
        <v>15.487716129032259</v>
      </c>
      <c r="ER27">
        <v>100.0139806451613</v>
      </c>
      <c r="ES27">
        <v>0.89992561290322592</v>
      </c>
      <c r="ET27">
        <v>0.1000744064516129</v>
      </c>
      <c r="EU27">
        <v>0</v>
      </c>
      <c r="EV27">
        <v>656.59964516129025</v>
      </c>
      <c r="EW27">
        <v>5.0010700000000003</v>
      </c>
      <c r="EX27">
        <v>3410.0738709677421</v>
      </c>
      <c r="EY27">
        <v>836.66919354838706</v>
      </c>
      <c r="EZ27">
        <v>35.75</v>
      </c>
      <c r="FA27">
        <v>39.316064516129018</v>
      </c>
      <c r="FB27">
        <v>37.832322580645148</v>
      </c>
      <c r="FC27">
        <v>39.375</v>
      </c>
      <c r="FD27">
        <v>37.811999999999983</v>
      </c>
      <c r="FE27">
        <v>85.505161290322576</v>
      </c>
      <c r="FF27">
        <v>9.507741935483871</v>
      </c>
      <c r="FG27">
        <v>0</v>
      </c>
      <c r="FH27">
        <v>181.5999999046326</v>
      </c>
      <c r="FI27">
        <v>0</v>
      </c>
      <c r="FJ27">
        <v>656.48511764705893</v>
      </c>
      <c r="FK27">
        <v>-0.6794118149864925</v>
      </c>
      <c r="FL27">
        <v>1040.046566489222</v>
      </c>
      <c r="FM27">
        <v>3473.3929411764711</v>
      </c>
      <c r="FN27">
        <v>10</v>
      </c>
      <c r="FO27">
        <v>1783870363.5999999</v>
      </c>
      <c r="FP27" t="s">
        <v>671</v>
      </c>
      <c r="FQ27">
        <v>1783870358.5999999</v>
      </c>
      <c r="FR27">
        <v>1783870363.5999999</v>
      </c>
      <c r="FS27">
        <v>13</v>
      </c>
      <c r="FT27">
        <v>1.9E-2</v>
      </c>
      <c r="FU27">
        <v>-1.0999999999999999E-2</v>
      </c>
      <c r="FV27">
        <v>-5.548</v>
      </c>
      <c r="FW27">
        <v>-0.58899999999999997</v>
      </c>
      <c r="FX27">
        <v>426</v>
      </c>
      <c r="FY27">
        <v>18</v>
      </c>
      <c r="FZ27">
        <v>1.67</v>
      </c>
      <c r="GA27">
        <v>0.17</v>
      </c>
      <c r="GB27">
        <v>419.96845161290321</v>
      </c>
      <c r="GC27">
        <v>5.3516129031596513E-2</v>
      </c>
      <c r="GD27">
        <v>5.4610550032185561E-2</v>
      </c>
      <c r="GE27">
        <v>-1</v>
      </c>
      <c r="GF27">
        <v>656.63682352941169</v>
      </c>
      <c r="GG27">
        <v>-1.690909095575454</v>
      </c>
      <c r="GH27">
        <v>0.29919376670412767</v>
      </c>
      <c r="GI27">
        <v>1</v>
      </c>
      <c r="GJ27">
        <v>1.645326829268293</v>
      </c>
      <c r="GK27">
        <v>-0.1541236933797874</v>
      </c>
      <c r="GL27">
        <v>1.5722484976901711E-2</v>
      </c>
      <c r="GM27">
        <v>1</v>
      </c>
      <c r="GN27">
        <v>2</v>
      </c>
      <c r="GO27">
        <v>2</v>
      </c>
      <c r="GP27" t="s">
        <v>423</v>
      </c>
      <c r="GQ27">
        <v>3.1314700000000002</v>
      </c>
      <c r="GR27">
        <v>2.7336499999999999</v>
      </c>
      <c r="GS27">
        <v>9.2163499999999995E-2</v>
      </c>
      <c r="GT27">
        <v>9.2879000000000003E-2</v>
      </c>
      <c r="GU27">
        <v>9.9414100000000005E-2</v>
      </c>
      <c r="GV27">
        <v>9.2014399999999996E-2</v>
      </c>
      <c r="GW27">
        <v>22805.9</v>
      </c>
      <c r="GX27">
        <v>30554.1</v>
      </c>
      <c r="GY27">
        <v>27248.2</v>
      </c>
      <c r="GZ27">
        <v>34632.699999999997</v>
      </c>
      <c r="HA27">
        <v>35933</v>
      </c>
      <c r="HB27">
        <v>39820.6</v>
      </c>
      <c r="HC27">
        <v>40229.699999999997</v>
      </c>
      <c r="HD27">
        <v>43937.4</v>
      </c>
      <c r="HE27">
        <v>1.974</v>
      </c>
      <c r="HF27">
        <v>1.732</v>
      </c>
      <c r="HG27">
        <v>-9.5963499999999993E-2</v>
      </c>
      <c r="HH27">
        <v>0</v>
      </c>
      <c r="HI27">
        <v>26.593299999999999</v>
      </c>
      <c r="HJ27">
        <v>999.9</v>
      </c>
      <c r="HK27">
        <v>62</v>
      </c>
      <c r="HL27">
        <v>41.4</v>
      </c>
      <c r="HM27">
        <v>50.258800000000001</v>
      </c>
      <c r="HN27">
        <v>61.290100000000002</v>
      </c>
      <c r="HO27">
        <v>7.2556099999999999</v>
      </c>
      <c r="HP27">
        <v>1</v>
      </c>
      <c r="HQ27">
        <v>0.50333300000000003</v>
      </c>
      <c r="HR27">
        <v>5.9420500000000001</v>
      </c>
      <c r="HS27">
        <v>20.182300000000001</v>
      </c>
      <c r="HT27">
        <v>5.2112999999999996</v>
      </c>
      <c r="HU27">
        <v>11.908099999999999</v>
      </c>
      <c r="HV27">
        <v>4.984</v>
      </c>
      <c r="HW27">
        <v>3.2709999999999999</v>
      </c>
      <c r="HX27">
        <v>9999</v>
      </c>
      <c r="HY27">
        <v>9999</v>
      </c>
      <c r="HZ27">
        <v>9999</v>
      </c>
      <c r="IA27">
        <v>999.9</v>
      </c>
      <c r="IB27">
        <v>1.86737</v>
      </c>
      <c r="IC27">
        <v>1.86307</v>
      </c>
      <c r="ID27">
        <v>1.86249</v>
      </c>
      <c r="IE27">
        <v>1.8620300000000001</v>
      </c>
      <c r="IF27">
        <v>1.8620300000000001</v>
      </c>
      <c r="IG27">
        <v>1.8626100000000001</v>
      </c>
      <c r="IH27">
        <v>1.8635600000000001</v>
      </c>
      <c r="II27">
        <v>1.86148</v>
      </c>
      <c r="IJ27">
        <v>0</v>
      </c>
      <c r="IK27">
        <v>0</v>
      </c>
      <c r="IL27">
        <v>0</v>
      </c>
      <c r="IM27">
        <v>4.5</v>
      </c>
      <c r="IN27" t="s">
        <v>411</v>
      </c>
      <c r="IO27" t="s">
        <v>412</v>
      </c>
      <c r="IP27" t="s">
        <v>413</v>
      </c>
      <c r="IQ27" t="s">
        <v>414</v>
      </c>
      <c r="IR27" t="s">
        <v>414</v>
      </c>
      <c r="IS27" t="s">
        <v>413</v>
      </c>
      <c r="IT27">
        <v>0</v>
      </c>
      <c r="IU27">
        <v>100</v>
      </c>
      <c r="IV27">
        <v>100</v>
      </c>
      <c r="IW27">
        <v>-5.5259999999999998</v>
      </c>
      <c r="IX27">
        <v>-0.54800000000000004</v>
      </c>
      <c r="IY27">
        <v>-3.5399324456321248</v>
      </c>
      <c r="IZ27">
        <v>-5.6215304933332991E-3</v>
      </c>
      <c r="JA27">
        <v>2.3979931213773931E-6</v>
      </c>
      <c r="JB27">
        <v>-3.6297174575716598E-10</v>
      </c>
      <c r="JC27">
        <v>-0.83702493454852145</v>
      </c>
      <c r="JD27">
        <v>2.7492919904454862E-4</v>
      </c>
      <c r="JE27">
        <v>8.6739513355948885E-4</v>
      </c>
      <c r="JF27">
        <v>-8.2500691715147318E-6</v>
      </c>
      <c r="JG27">
        <v>17</v>
      </c>
      <c r="JH27">
        <v>1914</v>
      </c>
      <c r="JI27">
        <v>2</v>
      </c>
      <c r="JJ27">
        <v>37</v>
      </c>
      <c r="JK27">
        <v>0.8</v>
      </c>
      <c r="JL27">
        <v>0.8</v>
      </c>
      <c r="JM27">
        <v>1.09253</v>
      </c>
      <c r="JN27">
        <v>2.5598100000000001</v>
      </c>
      <c r="JO27">
        <v>1.50024</v>
      </c>
      <c r="JP27">
        <v>2.2692899999999998</v>
      </c>
      <c r="JQ27">
        <v>1.4477500000000001</v>
      </c>
      <c r="JR27">
        <v>2.3059099999999999</v>
      </c>
      <c r="JS27">
        <v>45.604500000000002</v>
      </c>
      <c r="JT27">
        <v>15.235300000000001</v>
      </c>
      <c r="JU27">
        <v>18</v>
      </c>
      <c r="JV27">
        <v>542.97299999999996</v>
      </c>
      <c r="JW27">
        <v>402.26900000000001</v>
      </c>
      <c r="JX27">
        <v>20.631599999999999</v>
      </c>
      <c r="JY27">
        <v>33.320399999999999</v>
      </c>
      <c r="JZ27">
        <v>30.001000000000001</v>
      </c>
      <c r="KA27">
        <v>33.415300000000002</v>
      </c>
      <c r="KB27">
        <v>33.455300000000001</v>
      </c>
      <c r="KC27">
        <v>21.8459</v>
      </c>
      <c r="KD27">
        <v>60.7121</v>
      </c>
      <c r="KE27">
        <v>0</v>
      </c>
      <c r="KF27">
        <v>20.609300000000001</v>
      </c>
      <c r="KG27">
        <v>425.678</v>
      </c>
      <c r="KH27">
        <v>18.077400000000001</v>
      </c>
      <c r="KI27">
        <v>100.55200000000001</v>
      </c>
      <c r="KJ27">
        <v>98.857900000000001</v>
      </c>
    </row>
    <row r="28" spans="1:296" x14ac:dyDescent="0.3">
      <c r="A28">
        <v>12</v>
      </c>
      <c r="B28">
        <v>1783870592</v>
      </c>
      <c r="C28">
        <v>2030.400000095367</v>
      </c>
      <c r="D28" t="s">
        <v>672</v>
      </c>
      <c r="E28" t="s">
        <v>673</v>
      </c>
      <c r="F28">
        <v>15</v>
      </c>
      <c r="H28">
        <v>1783870584</v>
      </c>
      <c r="I28">
        <f t="shared" si="0"/>
        <v>9.263879217899331E-4</v>
      </c>
      <c r="J28">
        <f t="shared" si="1"/>
        <v>0.92638792178993312</v>
      </c>
      <c r="K28">
        <f t="shared" si="2"/>
        <v>0.73379441209320262</v>
      </c>
      <c r="L28">
        <f t="shared" si="3"/>
        <v>420.00780645161291</v>
      </c>
      <c r="M28">
        <f t="shared" si="4"/>
        <v>395.13837180360747</v>
      </c>
      <c r="N28">
        <f t="shared" si="5"/>
        <v>38.950770510808937</v>
      </c>
      <c r="O28">
        <f t="shared" si="6"/>
        <v>41.402275378044344</v>
      </c>
      <c r="P28">
        <f t="shared" si="7"/>
        <v>7.2347352423614911E-2</v>
      </c>
      <c r="Q28">
        <f t="shared" si="8"/>
        <v>2.9039990834225513</v>
      </c>
      <c r="R28">
        <f t="shared" si="9"/>
        <v>7.1360761146465918E-2</v>
      </c>
      <c r="S28">
        <f t="shared" si="10"/>
        <v>4.4687996122049739E-2</v>
      </c>
      <c r="T28">
        <f t="shared" si="11"/>
        <v>8.2362947573385679</v>
      </c>
      <c r="U28">
        <f t="shared" si="12"/>
        <v>24.210483183320925</v>
      </c>
      <c r="V28">
        <f t="shared" si="13"/>
        <v>24.988216129032249</v>
      </c>
      <c r="W28">
        <f t="shared" si="14"/>
        <v>3.1774444131973931</v>
      </c>
      <c r="X28">
        <f t="shared" si="15"/>
        <v>62.92587178328565</v>
      </c>
      <c r="Y28">
        <f t="shared" si="16"/>
        <v>1.9309255312277342</v>
      </c>
      <c r="Z28">
        <f t="shared" si="17"/>
        <v>3.0685717599237554</v>
      </c>
      <c r="AA28">
        <f t="shared" si="18"/>
        <v>1.2465188819696589</v>
      </c>
      <c r="AB28">
        <f t="shared" si="19"/>
        <v>-40.853707350936048</v>
      </c>
      <c r="AC28">
        <f t="shared" si="20"/>
        <v>-91.346932172099329</v>
      </c>
      <c r="AD28">
        <f t="shared" si="21"/>
        <v>-6.6333091585693538</v>
      </c>
      <c r="AE28">
        <f t="shared" si="22"/>
        <v>-130.59765392426615</v>
      </c>
      <c r="AF28">
        <f t="shared" si="23"/>
        <v>0.73379441209320262</v>
      </c>
      <c r="AG28">
        <f t="shared" si="24"/>
        <v>0.92638792178993312</v>
      </c>
      <c r="AH28">
        <f t="shared" si="25"/>
        <v>0.71369315409943412</v>
      </c>
      <c r="AI28">
        <v>429.36935351155711</v>
      </c>
      <c r="AJ28">
        <v>428.48087272727253</v>
      </c>
      <c r="AK28">
        <v>2.994000603009586E-3</v>
      </c>
      <c r="AL28">
        <v>67.092528361821863</v>
      </c>
      <c r="AM28">
        <f t="shared" si="26"/>
        <v>1.0033542697105853</v>
      </c>
      <c r="AN28">
        <v>18.493465536543159</v>
      </c>
      <c r="AO28">
        <v>19.66583515151514</v>
      </c>
      <c r="AP28">
        <v>1.2604436572463799E-3</v>
      </c>
      <c r="AQ28">
        <v>78.258624056843828</v>
      </c>
      <c r="AR28">
        <v>0</v>
      </c>
      <c r="AS28">
        <v>0</v>
      </c>
      <c r="AT28">
        <f t="shared" si="27"/>
        <v>1</v>
      </c>
      <c r="AU28">
        <f t="shared" si="28"/>
        <v>0</v>
      </c>
      <c r="AV28">
        <f t="shared" si="29"/>
        <v>52564.831098357732</v>
      </c>
      <c r="AW28" t="s">
        <v>629</v>
      </c>
      <c r="AX28">
        <v>5089.68</v>
      </c>
      <c r="AY28">
        <v>566.38529411764705</v>
      </c>
      <c r="AZ28">
        <v>2484</v>
      </c>
      <c r="BA28">
        <f t="shared" si="30"/>
        <v>0.77198659657099555</v>
      </c>
      <c r="BB28">
        <v>-2.0500122635890872</v>
      </c>
      <c r="BC28" t="s">
        <v>674</v>
      </c>
      <c r="BD28">
        <v>5096.59</v>
      </c>
      <c r="BE28">
        <v>640.96011764705884</v>
      </c>
      <c r="BF28">
        <v>2027.08</v>
      </c>
      <c r="BG28">
        <f t="shared" si="31"/>
        <v>0.68380127195421059</v>
      </c>
      <c r="BH28">
        <v>0.5</v>
      </c>
      <c r="BI28">
        <f t="shared" si="32"/>
        <v>42.112697294960654</v>
      </c>
      <c r="BJ28">
        <f t="shared" si="33"/>
        <v>0.73379441209320262</v>
      </c>
      <c r="BK28">
        <f t="shared" si="34"/>
        <v>14.39835798785837</v>
      </c>
      <c r="BL28">
        <f t="shared" si="35"/>
        <v>6.610373722168135E-2</v>
      </c>
      <c r="BM28">
        <f t="shared" si="36"/>
        <v>0.22540797600489379</v>
      </c>
      <c r="BN28">
        <f t="shared" si="37"/>
        <v>538.69833316295342</v>
      </c>
      <c r="BO28" t="s">
        <v>407</v>
      </c>
      <c r="BP28">
        <v>0</v>
      </c>
      <c r="BQ28">
        <f t="shared" si="38"/>
        <v>538.69833316295342</v>
      </c>
      <c r="BR28">
        <f t="shared" si="39"/>
        <v>0.73424910059644732</v>
      </c>
      <c r="BS28">
        <f t="shared" si="40"/>
        <v>0.93129330549910538</v>
      </c>
      <c r="BT28">
        <f t="shared" si="41"/>
        <v>0.23488387831534985</v>
      </c>
      <c r="BU28">
        <f t="shared" si="42"/>
        <v>0.94894564673296067</v>
      </c>
      <c r="BV28">
        <f t="shared" si="43"/>
        <v>0.23827518562429736</v>
      </c>
      <c r="BW28">
        <f t="shared" si="44"/>
        <v>0.78271040201355546</v>
      </c>
      <c r="BX28">
        <f t="shared" si="45"/>
        <v>0.21728959798644454</v>
      </c>
      <c r="DG28">
        <f t="shared" si="46"/>
        <v>49.973461290322582</v>
      </c>
      <c r="DH28">
        <f t="shared" si="47"/>
        <v>42.112697294960654</v>
      </c>
      <c r="DI28">
        <f t="shared" si="48"/>
        <v>0.84270122996494989</v>
      </c>
      <c r="DJ28">
        <f t="shared" si="49"/>
        <v>0.1648133738323532</v>
      </c>
      <c r="DK28">
        <v>6</v>
      </c>
      <c r="DL28">
        <v>0.5</v>
      </c>
      <c r="DM28" t="s">
        <v>408</v>
      </c>
      <c r="DN28">
        <v>2</v>
      </c>
      <c r="DO28" t="b">
        <v>0</v>
      </c>
      <c r="DP28">
        <v>1783870584</v>
      </c>
      <c r="DQ28">
        <v>420.00780645161291</v>
      </c>
      <c r="DR28">
        <v>421.35512903225799</v>
      </c>
      <c r="DS28">
        <v>19.588387096774198</v>
      </c>
      <c r="DT28">
        <v>18.49860967741936</v>
      </c>
      <c r="DU28">
        <v>425.52780645161289</v>
      </c>
      <c r="DV28">
        <v>20.174387096774201</v>
      </c>
      <c r="DW28">
        <v>500.05154838709672</v>
      </c>
      <c r="DX28">
        <v>98.518858064516124</v>
      </c>
      <c r="DY28">
        <v>5.6155880645161277E-2</v>
      </c>
      <c r="DZ28">
        <v>24.404754838709671</v>
      </c>
      <c r="EA28">
        <v>24.988216129032249</v>
      </c>
      <c r="EB28">
        <v>999.90000000000032</v>
      </c>
      <c r="EC28">
        <v>0</v>
      </c>
      <c r="ED28">
        <v>0</v>
      </c>
      <c r="EE28">
        <v>10003.22580645161</v>
      </c>
      <c r="EF28">
        <v>0</v>
      </c>
      <c r="EG28">
        <v>685.21506451612902</v>
      </c>
      <c r="EH28">
        <v>-1.3530545161290319</v>
      </c>
      <c r="EI28">
        <v>428.41096774193551</v>
      </c>
      <c r="EJ28">
        <v>429.29648387096768</v>
      </c>
      <c r="EK28">
        <v>1.129574516129032</v>
      </c>
      <c r="EL28">
        <v>421.35512903225799</v>
      </c>
      <c r="EM28">
        <v>18.49860967741936</v>
      </c>
      <c r="EN28">
        <v>1.933746774193549</v>
      </c>
      <c r="EO28">
        <v>1.822462258064516</v>
      </c>
      <c r="EP28">
        <v>16.912025806451609</v>
      </c>
      <c r="EQ28">
        <v>15.98079032258064</v>
      </c>
      <c r="ER28">
        <v>49.973461290322582</v>
      </c>
      <c r="ES28">
        <v>0.89993654838709669</v>
      </c>
      <c r="ET28">
        <v>0.1000636806451613</v>
      </c>
      <c r="EU28">
        <v>0</v>
      </c>
      <c r="EV28">
        <v>641.02267741935486</v>
      </c>
      <c r="EW28">
        <v>5.0010700000000003</v>
      </c>
      <c r="EX28">
        <v>2963.461935483871</v>
      </c>
      <c r="EY28">
        <v>396.02177419354842</v>
      </c>
      <c r="EZ28">
        <v>35.625</v>
      </c>
      <c r="FA28">
        <v>39.237806451612897</v>
      </c>
      <c r="FB28">
        <v>37.75</v>
      </c>
      <c r="FC28">
        <v>39.311999999999983</v>
      </c>
      <c r="FD28">
        <v>37.75</v>
      </c>
      <c r="FE28">
        <v>40.472903225806448</v>
      </c>
      <c r="FF28">
        <v>4.4996774193548381</v>
      </c>
      <c r="FG28">
        <v>0</v>
      </c>
      <c r="FH28">
        <v>182.5999999046326</v>
      </c>
      <c r="FI28">
        <v>0</v>
      </c>
      <c r="FJ28">
        <v>640.96011764705884</v>
      </c>
      <c r="FK28">
        <v>-1.662009795799239</v>
      </c>
      <c r="FL28">
        <v>-551.66911962624101</v>
      </c>
      <c r="FM28">
        <v>2964.0529411764701</v>
      </c>
      <c r="FN28">
        <v>10</v>
      </c>
      <c r="FO28">
        <v>1783870612.5</v>
      </c>
      <c r="FP28" t="s">
        <v>675</v>
      </c>
      <c r="FQ28">
        <v>1783870606</v>
      </c>
      <c r="FR28">
        <v>1783870612.5</v>
      </c>
      <c r="FS28">
        <v>14</v>
      </c>
      <c r="FT28">
        <v>0.01</v>
      </c>
      <c r="FU28">
        <v>-1.2E-2</v>
      </c>
      <c r="FV28">
        <v>-5.52</v>
      </c>
      <c r="FW28">
        <v>-0.58599999999999997</v>
      </c>
      <c r="FX28">
        <v>421</v>
      </c>
      <c r="FY28">
        <v>18</v>
      </c>
      <c r="FZ28">
        <v>1.38</v>
      </c>
      <c r="GA28">
        <v>0.19</v>
      </c>
      <c r="GB28">
        <v>419.99735483870973</v>
      </c>
      <c r="GC28">
        <v>0.38999999999945328</v>
      </c>
      <c r="GD28">
        <v>5.0226293324341961E-2</v>
      </c>
      <c r="GE28">
        <v>-1</v>
      </c>
      <c r="GF28">
        <v>641.06835294117639</v>
      </c>
      <c r="GG28">
        <v>-0.71752482891045721</v>
      </c>
      <c r="GH28">
        <v>0.1875860402357982</v>
      </c>
      <c r="GI28">
        <v>1</v>
      </c>
      <c r="GJ28">
        <v>1.128676585365854</v>
      </c>
      <c r="GK28">
        <v>8.2008919860626292E-2</v>
      </c>
      <c r="GL28">
        <v>3.3210495667583967E-2</v>
      </c>
      <c r="GM28">
        <v>1</v>
      </c>
      <c r="GN28">
        <v>2</v>
      </c>
      <c r="GO28">
        <v>2</v>
      </c>
      <c r="GP28" t="s">
        <v>423</v>
      </c>
      <c r="GQ28">
        <v>3.13029</v>
      </c>
      <c r="GR28">
        <v>2.7320700000000002</v>
      </c>
      <c r="GS28">
        <v>9.2139700000000005E-2</v>
      </c>
      <c r="GT28">
        <v>9.2094400000000007E-2</v>
      </c>
      <c r="GU28">
        <v>9.9765199999999998E-2</v>
      </c>
      <c r="GV28">
        <v>9.4011800000000006E-2</v>
      </c>
      <c r="GW28">
        <v>22798.6</v>
      </c>
      <c r="GX28">
        <v>30571.8</v>
      </c>
      <c r="GY28">
        <v>27239.4</v>
      </c>
      <c r="GZ28">
        <v>34623.599999999999</v>
      </c>
      <c r="HA28">
        <v>35909.5</v>
      </c>
      <c r="HB28">
        <v>39724.199999999997</v>
      </c>
      <c r="HC28">
        <v>40218.6</v>
      </c>
      <c r="HD28">
        <v>43927.7</v>
      </c>
      <c r="HE28">
        <v>1.9698</v>
      </c>
      <c r="HF28">
        <v>1.7290000000000001</v>
      </c>
      <c r="HG28">
        <v>-8.8065900000000003E-2</v>
      </c>
      <c r="HH28">
        <v>0</v>
      </c>
      <c r="HI28">
        <v>26.418500000000002</v>
      </c>
      <c r="HJ28">
        <v>999.9</v>
      </c>
      <c r="HK28">
        <v>61.5</v>
      </c>
      <c r="HL28">
        <v>41.8</v>
      </c>
      <c r="HM28">
        <v>50.9146</v>
      </c>
      <c r="HN28">
        <v>60.900100000000002</v>
      </c>
      <c r="HO28">
        <v>7.0632999999999999</v>
      </c>
      <c r="HP28">
        <v>1</v>
      </c>
      <c r="HQ28">
        <v>0.51524400000000004</v>
      </c>
      <c r="HR28">
        <v>5.4973200000000002</v>
      </c>
      <c r="HS28">
        <v>20.197700000000001</v>
      </c>
      <c r="HT28">
        <v>5.2100999999999997</v>
      </c>
      <c r="HU28">
        <v>11.908099999999999</v>
      </c>
      <c r="HV28">
        <v>4.9855999999999998</v>
      </c>
      <c r="HW28">
        <v>3.2709999999999999</v>
      </c>
      <c r="HX28">
        <v>9999</v>
      </c>
      <c r="HY28">
        <v>9999</v>
      </c>
      <c r="HZ28">
        <v>9999</v>
      </c>
      <c r="IA28">
        <v>999.9</v>
      </c>
      <c r="IB28">
        <v>1.86737</v>
      </c>
      <c r="IC28">
        <v>1.8630100000000001</v>
      </c>
      <c r="ID28">
        <v>1.8625799999999999</v>
      </c>
      <c r="IE28">
        <v>1.8620300000000001</v>
      </c>
      <c r="IF28">
        <v>1.8620300000000001</v>
      </c>
      <c r="IG28">
        <v>1.8626400000000001</v>
      </c>
      <c r="IH28">
        <v>1.8635600000000001</v>
      </c>
      <c r="II28">
        <v>1.8615699999999999</v>
      </c>
      <c r="IJ28">
        <v>0</v>
      </c>
      <c r="IK28">
        <v>0</v>
      </c>
      <c r="IL28">
        <v>0</v>
      </c>
      <c r="IM28">
        <v>4.5</v>
      </c>
      <c r="IN28" t="s">
        <v>411</v>
      </c>
      <c r="IO28" t="s">
        <v>412</v>
      </c>
      <c r="IP28" t="s">
        <v>413</v>
      </c>
      <c r="IQ28" t="s">
        <v>414</v>
      </c>
      <c r="IR28" t="s">
        <v>414</v>
      </c>
      <c r="IS28" t="s">
        <v>413</v>
      </c>
      <c r="IT28">
        <v>0</v>
      </c>
      <c r="IU28">
        <v>100</v>
      </c>
      <c r="IV28">
        <v>100</v>
      </c>
      <c r="IW28">
        <v>-5.52</v>
      </c>
      <c r="IX28">
        <v>-0.58599999999999997</v>
      </c>
      <c r="IY28">
        <v>-3.5399324456321248</v>
      </c>
      <c r="IZ28">
        <v>-5.6215304933332991E-3</v>
      </c>
      <c r="JA28">
        <v>2.3979931213773931E-6</v>
      </c>
      <c r="JB28">
        <v>-3.6297174575716598E-10</v>
      </c>
      <c r="JC28">
        <v>-0.83702493454852145</v>
      </c>
      <c r="JD28">
        <v>2.7492919904454862E-4</v>
      </c>
      <c r="JE28">
        <v>8.6739513355948885E-4</v>
      </c>
      <c r="JF28">
        <v>-8.2500691715147318E-6</v>
      </c>
      <c r="JG28">
        <v>17</v>
      </c>
      <c r="JH28">
        <v>1914</v>
      </c>
      <c r="JI28">
        <v>2</v>
      </c>
      <c r="JJ28">
        <v>37</v>
      </c>
      <c r="JK28">
        <v>3.9</v>
      </c>
      <c r="JL28">
        <v>3.8</v>
      </c>
      <c r="JM28">
        <v>1.0827599999999999</v>
      </c>
      <c r="JN28">
        <v>2.5610400000000002</v>
      </c>
      <c r="JO28">
        <v>1.50024</v>
      </c>
      <c r="JP28">
        <v>2.2680699999999998</v>
      </c>
      <c r="JQ28">
        <v>1.4477500000000001</v>
      </c>
      <c r="JR28">
        <v>2.3828100000000001</v>
      </c>
      <c r="JS28">
        <v>45.863199999999999</v>
      </c>
      <c r="JT28">
        <v>15.2178</v>
      </c>
      <c r="JU28">
        <v>18</v>
      </c>
      <c r="JV28">
        <v>541.48599999999999</v>
      </c>
      <c r="JW28">
        <v>401.47</v>
      </c>
      <c r="JX28">
        <v>20.852399999999999</v>
      </c>
      <c r="JY28">
        <v>33.454900000000002</v>
      </c>
      <c r="JZ28">
        <v>29.9999</v>
      </c>
      <c r="KA28">
        <v>33.5717</v>
      </c>
      <c r="KB28">
        <v>33.607300000000002</v>
      </c>
      <c r="KC28">
        <v>21.669799999999999</v>
      </c>
      <c r="KD28">
        <v>60.0672</v>
      </c>
      <c r="KE28">
        <v>0</v>
      </c>
      <c r="KF28">
        <v>20.854700000000001</v>
      </c>
      <c r="KG28">
        <v>421.31700000000001</v>
      </c>
      <c r="KH28">
        <v>18.588000000000001</v>
      </c>
      <c r="KI28">
        <v>100.523</v>
      </c>
      <c r="KJ28">
        <v>98.834199999999996</v>
      </c>
    </row>
    <row r="29" spans="1:296" x14ac:dyDescent="0.3">
      <c r="A29">
        <v>13</v>
      </c>
      <c r="B29">
        <v>1783870793.5</v>
      </c>
      <c r="C29">
        <v>2231.900000095367</v>
      </c>
      <c r="D29" t="s">
        <v>676</v>
      </c>
      <c r="E29" t="s">
        <v>677</v>
      </c>
      <c r="F29">
        <v>15</v>
      </c>
      <c r="H29">
        <v>1783870785.5</v>
      </c>
      <c r="I29">
        <f t="shared" si="0"/>
        <v>9.6911605216418357E-4</v>
      </c>
      <c r="J29">
        <f t="shared" si="1"/>
        <v>0.96911605216418362</v>
      </c>
      <c r="K29">
        <f t="shared" si="2"/>
        <v>-3.4864551676958437</v>
      </c>
      <c r="L29">
        <f t="shared" si="3"/>
        <v>419.91035483870968</v>
      </c>
      <c r="M29">
        <f t="shared" si="4"/>
        <v>484.45542744281266</v>
      </c>
      <c r="N29">
        <f t="shared" si="5"/>
        <v>47.756698320894174</v>
      </c>
      <c r="O29">
        <f t="shared" si="6"/>
        <v>41.39396733297842</v>
      </c>
      <c r="P29">
        <f t="shared" si="7"/>
        <v>7.6508533478655952E-2</v>
      </c>
      <c r="Q29">
        <f t="shared" si="8"/>
        <v>2.9037237678931289</v>
      </c>
      <c r="R29">
        <f t="shared" si="9"/>
        <v>7.5406016989505137E-2</v>
      </c>
      <c r="S29">
        <f t="shared" si="10"/>
        <v>4.7226493772408507E-2</v>
      </c>
      <c r="T29">
        <f t="shared" si="11"/>
        <v>1.5966703903835998E-4</v>
      </c>
      <c r="U29">
        <f t="shared" si="12"/>
        <v>23.993800638110624</v>
      </c>
      <c r="V29">
        <f t="shared" si="13"/>
        <v>24.94067096774193</v>
      </c>
      <c r="W29">
        <f t="shared" si="14"/>
        <v>3.1684479828458953</v>
      </c>
      <c r="X29">
        <f t="shared" si="15"/>
        <v>63.629705121574453</v>
      </c>
      <c r="Y29">
        <f t="shared" si="16"/>
        <v>1.9343151712395996</v>
      </c>
      <c r="Z29">
        <f t="shared" si="17"/>
        <v>3.0399562084152199</v>
      </c>
      <c r="AA29">
        <f t="shared" si="18"/>
        <v>1.2341328116062957</v>
      </c>
      <c r="AB29">
        <f t="shared" si="19"/>
        <v>-42.738017900440497</v>
      </c>
      <c r="AC29">
        <f t="shared" si="20"/>
        <v>-108.37194339181825</v>
      </c>
      <c r="AD29">
        <f t="shared" si="21"/>
        <v>-7.8622747133149629</v>
      </c>
      <c r="AE29">
        <f t="shared" si="22"/>
        <v>-158.97207633853466</v>
      </c>
      <c r="AF29">
        <f t="shared" si="23"/>
        <v>-3.4864551676958437</v>
      </c>
      <c r="AG29">
        <f t="shared" si="24"/>
        <v>0.96911605216418362</v>
      </c>
      <c r="AH29">
        <f t="shared" si="25"/>
        <v>-3.4916180773714927</v>
      </c>
      <c r="AI29">
        <v>424.12896961243382</v>
      </c>
      <c r="AJ29">
        <v>428.35986666666651</v>
      </c>
      <c r="AK29">
        <v>7.1387321447669017E-3</v>
      </c>
      <c r="AL29">
        <v>67.089413965732902</v>
      </c>
      <c r="AM29">
        <f t="shared" si="26"/>
        <v>0.95941350414605442</v>
      </c>
      <c r="AN29">
        <v>18.487650943058529</v>
      </c>
      <c r="AO29">
        <v>19.616173939393949</v>
      </c>
      <c r="AP29">
        <v>3.9979558375121373E-5</v>
      </c>
      <c r="AQ29">
        <v>78.255031291155433</v>
      </c>
      <c r="AR29">
        <v>0</v>
      </c>
      <c r="AS29">
        <v>0</v>
      </c>
      <c r="AT29">
        <f t="shared" si="27"/>
        <v>1</v>
      </c>
      <c r="AU29">
        <f t="shared" si="28"/>
        <v>0</v>
      </c>
      <c r="AV29">
        <f t="shared" si="29"/>
        <v>52584.56918851941</v>
      </c>
      <c r="AW29" t="s">
        <v>577</v>
      </c>
      <c r="AX29">
        <v>5096.58</v>
      </c>
      <c r="AY29">
        <v>563.61176470588236</v>
      </c>
      <c r="AZ29">
        <v>2395.3200000000002</v>
      </c>
      <c r="BA29">
        <f t="shared" si="30"/>
        <v>0.76470293542997081</v>
      </c>
      <c r="BB29">
        <v>-3.4864551676958428</v>
      </c>
      <c r="BC29" t="s">
        <v>407</v>
      </c>
      <c r="BD29" t="s">
        <v>407</v>
      </c>
      <c r="BE29">
        <v>0</v>
      </c>
      <c r="BF29">
        <v>0</v>
      </c>
      <c r="BG29" t="e">
        <f t="shared" si="31"/>
        <v>#DIV/0!</v>
      </c>
      <c r="BH29">
        <v>0.5</v>
      </c>
      <c r="BI29">
        <f t="shared" si="32"/>
        <v>8.4035283704399992E-4</v>
      </c>
      <c r="BJ29">
        <f t="shared" si="33"/>
        <v>-3.4864551676958437</v>
      </c>
      <c r="BK29" t="e">
        <f t="shared" si="34"/>
        <v>#DIV/0!</v>
      </c>
      <c r="BL29">
        <f t="shared" si="35"/>
        <v>-1.056911312186861E-12</v>
      </c>
      <c r="BM29" t="e">
        <f t="shared" si="36"/>
        <v>#DIV/0!</v>
      </c>
      <c r="BN29" t="e">
        <f t="shared" si="37"/>
        <v>#DIV/0!</v>
      </c>
      <c r="BO29" t="s">
        <v>407</v>
      </c>
      <c r="BP29">
        <v>0</v>
      </c>
      <c r="BQ29" t="e">
        <f t="shared" si="38"/>
        <v>#DIV/0!</v>
      </c>
      <c r="BR29" t="e">
        <f t="shared" si="39"/>
        <v>#DIV/0!</v>
      </c>
      <c r="BS29" t="e">
        <f t="shared" si="40"/>
        <v>#DIV/0!</v>
      </c>
      <c r="BT29" t="e">
        <f t="shared" si="41"/>
        <v>#DIV/0!</v>
      </c>
      <c r="BU29">
        <f t="shared" si="42"/>
        <v>0</v>
      </c>
      <c r="BV29">
        <f t="shared" si="43"/>
        <v>1.3076973471243813</v>
      </c>
      <c r="BW29" t="e">
        <f t="shared" si="44"/>
        <v>#DIV/0!</v>
      </c>
      <c r="BX29" t="e">
        <f t="shared" si="45"/>
        <v>#DIV/0!</v>
      </c>
      <c r="DG29">
        <f t="shared" si="46"/>
        <v>1.00021E-2</v>
      </c>
      <c r="DH29">
        <f t="shared" si="47"/>
        <v>8.4035283704399992E-4</v>
      </c>
      <c r="DI29">
        <f t="shared" si="48"/>
        <v>8.4017639999999991E-2</v>
      </c>
      <c r="DJ29">
        <f t="shared" si="49"/>
        <v>1.5963351599999998E-2</v>
      </c>
      <c r="DK29">
        <v>6</v>
      </c>
      <c r="DL29">
        <v>0.5</v>
      </c>
      <c r="DM29" t="s">
        <v>408</v>
      </c>
      <c r="DN29">
        <v>2</v>
      </c>
      <c r="DO29" t="b">
        <v>0</v>
      </c>
      <c r="DP29">
        <v>1783870785.5</v>
      </c>
      <c r="DQ29">
        <v>419.91035483870968</v>
      </c>
      <c r="DR29">
        <v>416.21474193548391</v>
      </c>
      <c r="DS29">
        <v>19.622158064516132</v>
      </c>
      <c r="DT29">
        <v>18.481977419354841</v>
      </c>
      <c r="DU29">
        <v>425.44887096774193</v>
      </c>
      <c r="DV29">
        <v>20.185654838709681</v>
      </c>
      <c r="DW29">
        <v>499.97335483870972</v>
      </c>
      <c r="DX29">
        <v>98.520796774193514</v>
      </c>
      <c r="DY29">
        <v>5.7308900000000003E-2</v>
      </c>
      <c r="DZ29">
        <v>24.2484</v>
      </c>
      <c r="EA29">
        <v>24.94067096774193</v>
      </c>
      <c r="EB29">
        <v>999.90000000000032</v>
      </c>
      <c r="EC29">
        <v>0</v>
      </c>
      <c r="ED29">
        <v>0</v>
      </c>
      <c r="EE29">
        <v>10001.451612903231</v>
      </c>
      <c r="EF29">
        <v>0</v>
      </c>
      <c r="EG29">
        <v>709.6629032258063</v>
      </c>
      <c r="EH29">
        <v>3.695614193548387</v>
      </c>
      <c r="EI29">
        <v>428.31487096774202</v>
      </c>
      <c r="EJ29">
        <v>424.05212903225811</v>
      </c>
      <c r="EK29">
        <v>1.1401796774193551</v>
      </c>
      <c r="EL29">
        <v>416.21474193548391</v>
      </c>
      <c r="EM29">
        <v>18.481977419354841</v>
      </c>
      <c r="EN29">
        <v>1.9331903225806439</v>
      </c>
      <c r="EO29">
        <v>1.82085935483871</v>
      </c>
      <c r="EP29">
        <v>16.907490322580649</v>
      </c>
      <c r="EQ29">
        <v>15.9670064516129</v>
      </c>
      <c r="ER29">
        <v>1.00021E-2</v>
      </c>
      <c r="ES29">
        <v>0</v>
      </c>
      <c r="ET29">
        <v>0</v>
      </c>
      <c r="EU29">
        <v>0</v>
      </c>
      <c r="EV29">
        <v>564.33387096774186</v>
      </c>
      <c r="EW29">
        <v>1.00021E-2</v>
      </c>
      <c r="EX29">
        <v>2926.7967741935481</v>
      </c>
      <c r="EY29">
        <v>3.0145161290322569</v>
      </c>
      <c r="EZ29">
        <v>35.436999999999991</v>
      </c>
      <c r="FA29">
        <v>39.25</v>
      </c>
      <c r="FB29">
        <v>37.661000000000001</v>
      </c>
      <c r="FC29">
        <v>39.133000000000003</v>
      </c>
      <c r="FD29">
        <v>37.378999999999998</v>
      </c>
      <c r="FE29">
        <v>0</v>
      </c>
      <c r="FF29">
        <v>0</v>
      </c>
      <c r="FG29">
        <v>0</v>
      </c>
      <c r="FH29">
        <v>201.0999999046326</v>
      </c>
      <c r="FI29">
        <v>0</v>
      </c>
      <c r="FJ29">
        <v>563.61176470588236</v>
      </c>
      <c r="FK29">
        <v>-94.460786076846787</v>
      </c>
      <c r="FL29">
        <v>-3504.27695790594</v>
      </c>
      <c r="FM29">
        <v>2783.3529411764712</v>
      </c>
      <c r="FN29">
        <v>10</v>
      </c>
      <c r="FO29">
        <v>1783870731</v>
      </c>
      <c r="FP29" t="s">
        <v>678</v>
      </c>
      <c r="FQ29">
        <v>1783870731</v>
      </c>
      <c r="FR29">
        <v>1783870730</v>
      </c>
      <c r="FS29">
        <v>15</v>
      </c>
      <c r="FT29">
        <v>-2.3E-2</v>
      </c>
      <c r="FU29">
        <v>-6.0000000000000001E-3</v>
      </c>
      <c r="FV29">
        <v>-5.5229999999999997</v>
      </c>
      <c r="FW29">
        <v>-0.58499999999999996</v>
      </c>
      <c r="FX29">
        <v>416</v>
      </c>
      <c r="FY29">
        <v>19</v>
      </c>
      <c r="FZ29">
        <v>1.47</v>
      </c>
      <c r="GA29">
        <v>0.28999999999999998</v>
      </c>
      <c r="GB29">
        <v>419.90710000000001</v>
      </c>
      <c r="GC29">
        <v>0.1332413793104833</v>
      </c>
      <c r="GD29">
        <v>4.978443531868329E-2</v>
      </c>
      <c r="GE29">
        <v>-1</v>
      </c>
      <c r="GF29">
        <v>565.20294117647063</v>
      </c>
      <c r="GG29">
        <v>-4.9320095564560349</v>
      </c>
      <c r="GH29">
        <v>12.08835086534134</v>
      </c>
      <c r="GI29">
        <v>1</v>
      </c>
      <c r="GJ29">
        <v>1.1489045</v>
      </c>
      <c r="GK29">
        <v>-0.17053238273921401</v>
      </c>
      <c r="GL29">
        <v>1.6653511634186949E-2</v>
      </c>
      <c r="GM29">
        <v>1</v>
      </c>
      <c r="GN29">
        <v>2</v>
      </c>
      <c r="GO29">
        <v>2</v>
      </c>
      <c r="GP29" t="s">
        <v>423</v>
      </c>
      <c r="GQ29">
        <v>3.1309800000000001</v>
      </c>
      <c r="GR29">
        <v>2.73305</v>
      </c>
      <c r="GS29">
        <v>9.2085500000000001E-2</v>
      </c>
      <c r="GT29">
        <v>9.1261599999999998E-2</v>
      </c>
      <c r="GU29">
        <v>9.9610400000000002E-2</v>
      </c>
      <c r="GV29">
        <v>9.3992999999999993E-2</v>
      </c>
      <c r="GW29">
        <v>22792.799999999999</v>
      </c>
      <c r="GX29">
        <v>30590.7</v>
      </c>
      <c r="GY29">
        <v>27231.8</v>
      </c>
      <c r="GZ29">
        <v>34614.6</v>
      </c>
      <c r="HA29">
        <v>35906.5</v>
      </c>
      <c r="HB29">
        <v>39716.400000000001</v>
      </c>
      <c r="HC29">
        <v>40207.599999999999</v>
      </c>
      <c r="HD29">
        <v>43917.9</v>
      </c>
      <c r="HE29">
        <v>1.9696</v>
      </c>
      <c r="HF29">
        <v>1.7234</v>
      </c>
      <c r="HG29">
        <v>-0.101447</v>
      </c>
      <c r="HH29">
        <v>0</v>
      </c>
      <c r="HI29">
        <v>26.586600000000001</v>
      </c>
      <c r="HJ29">
        <v>999.9</v>
      </c>
      <c r="HK29">
        <v>60.8</v>
      </c>
      <c r="HL29">
        <v>42.2</v>
      </c>
      <c r="HM29">
        <v>51.411799999999999</v>
      </c>
      <c r="HN29">
        <v>61.080199999999998</v>
      </c>
      <c r="HO29">
        <v>7.2435900000000002</v>
      </c>
      <c r="HP29">
        <v>1</v>
      </c>
      <c r="HQ29">
        <v>0.53176800000000002</v>
      </c>
      <c r="HR29">
        <v>5.5112899999999998</v>
      </c>
      <c r="HS29">
        <v>20.1983</v>
      </c>
      <c r="HT29">
        <v>5.2112999999999996</v>
      </c>
      <c r="HU29">
        <v>11.908099999999999</v>
      </c>
      <c r="HV29">
        <v>4.9859999999999998</v>
      </c>
      <c r="HW29">
        <v>3.2709999999999999</v>
      </c>
      <c r="HX29">
        <v>9999</v>
      </c>
      <c r="HY29">
        <v>9999</v>
      </c>
      <c r="HZ29">
        <v>9999</v>
      </c>
      <c r="IA29">
        <v>999.9</v>
      </c>
      <c r="IB29">
        <v>1.8673999999999999</v>
      </c>
      <c r="IC29">
        <v>1.8631</v>
      </c>
      <c r="ID29">
        <v>1.8626400000000001</v>
      </c>
      <c r="IE29">
        <v>1.8620300000000001</v>
      </c>
      <c r="IF29">
        <v>1.86215</v>
      </c>
      <c r="IG29">
        <v>1.8626400000000001</v>
      </c>
      <c r="IH29">
        <v>1.8635600000000001</v>
      </c>
      <c r="II29">
        <v>1.8615699999999999</v>
      </c>
      <c r="IJ29">
        <v>0</v>
      </c>
      <c r="IK29">
        <v>0</v>
      </c>
      <c r="IL29">
        <v>0</v>
      </c>
      <c r="IM29">
        <v>4.5</v>
      </c>
      <c r="IN29" t="s">
        <v>411</v>
      </c>
      <c r="IO29" t="s">
        <v>412</v>
      </c>
      <c r="IP29" t="s">
        <v>413</v>
      </c>
      <c r="IQ29" t="s">
        <v>414</v>
      </c>
      <c r="IR29" t="s">
        <v>414</v>
      </c>
      <c r="IS29" t="s">
        <v>413</v>
      </c>
      <c r="IT29">
        <v>0</v>
      </c>
      <c r="IU29">
        <v>100</v>
      </c>
      <c r="IV29">
        <v>100</v>
      </c>
      <c r="IW29">
        <v>-5.5389999999999997</v>
      </c>
      <c r="IX29">
        <v>-0.56369999999999998</v>
      </c>
      <c r="IY29">
        <v>-3.5528859380871181</v>
      </c>
      <c r="IZ29">
        <v>-5.6215304933332991E-3</v>
      </c>
      <c r="JA29">
        <v>2.3979931213773931E-6</v>
      </c>
      <c r="JB29">
        <v>-3.6297174575716598E-10</v>
      </c>
      <c r="JC29">
        <v>-0.85462242650490494</v>
      </c>
      <c r="JD29">
        <v>2.7492919904454862E-4</v>
      </c>
      <c r="JE29">
        <v>8.6739513355948885E-4</v>
      </c>
      <c r="JF29">
        <v>-8.2500691715147318E-6</v>
      </c>
      <c r="JG29">
        <v>17</v>
      </c>
      <c r="JH29">
        <v>1914</v>
      </c>
      <c r="JI29">
        <v>2</v>
      </c>
      <c r="JJ29">
        <v>37</v>
      </c>
      <c r="JK29">
        <v>1</v>
      </c>
      <c r="JL29">
        <v>1.1000000000000001</v>
      </c>
      <c r="JM29">
        <v>1.07422</v>
      </c>
      <c r="JN29">
        <v>2.5659200000000002</v>
      </c>
      <c r="JO29">
        <v>1.50024</v>
      </c>
      <c r="JP29">
        <v>2.2680699999999998</v>
      </c>
      <c r="JQ29">
        <v>1.4477500000000001</v>
      </c>
      <c r="JR29">
        <v>2.3840300000000001</v>
      </c>
      <c r="JS29">
        <v>46.094700000000003</v>
      </c>
      <c r="JT29">
        <v>15.182700000000001</v>
      </c>
      <c r="JU29">
        <v>18</v>
      </c>
      <c r="JV29">
        <v>542.80499999999995</v>
      </c>
      <c r="JW29">
        <v>399.298</v>
      </c>
      <c r="JX29">
        <v>20.776599999999998</v>
      </c>
      <c r="JY29">
        <v>33.657200000000003</v>
      </c>
      <c r="JZ29">
        <v>30</v>
      </c>
      <c r="KA29">
        <v>33.747700000000002</v>
      </c>
      <c r="KB29">
        <v>33.782200000000003</v>
      </c>
      <c r="KC29">
        <v>21.476500000000001</v>
      </c>
      <c r="KD29">
        <v>60.399299999999997</v>
      </c>
      <c r="KE29">
        <v>0</v>
      </c>
      <c r="KF29">
        <v>20.784800000000001</v>
      </c>
      <c r="KG29">
        <v>416.29199999999997</v>
      </c>
      <c r="KH29">
        <v>18.400700000000001</v>
      </c>
      <c r="KI29">
        <v>100.495</v>
      </c>
      <c r="KJ29">
        <v>98.810599999999994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E1BD1-5FCC-4D89-83B9-7D5FAB2E9827}">
  <dimension ref="A2:KJ29"/>
  <sheetViews>
    <sheetView workbookViewId="0">
      <selection activeCell="M32" sqref="M32"/>
    </sheetView>
  </sheetViews>
  <sheetFormatPr defaultRowHeight="14.4" x14ac:dyDescent="0.3"/>
  <sheetData>
    <row r="2" spans="1:296" x14ac:dyDescent="0.3">
      <c r="A2" t="s">
        <v>0</v>
      </c>
      <c r="B2" t="s">
        <v>1</v>
      </c>
      <c r="C2" t="s">
        <v>2</v>
      </c>
    </row>
    <row r="3" spans="1:296" x14ac:dyDescent="0.3">
      <c r="B3" t="s">
        <v>3</v>
      </c>
      <c r="C3">
        <v>21</v>
      </c>
    </row>
    <row r="4" spans="1:296" x14ac:dyDescent="0.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</row>
    <row r="5" spans="1:296" x14ac:dyDescent="0.3">
      <c r="B5" t="s">
        <v>15</v>
      </c>
      <c r="C5" t="s">
        <v>16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96" x14ac:dyDescent="0.3">
      <c r="A6" t="s">
        <v>17</v>
      </c>
      <c r="B6" t="s">
        <v>18</v>
      </c>
      <c r="C6" t="s">
        <v>19</v>
      </c>
      <c r="D6" t="s">
        <v>20</v>
      </c>
      <c r="E6" t="s">
        <v>21</v>
      </c>
    </row>
    <row r="7" spans="1:296" x14ac:dyDescent="0.3">
      <c r="B7">
        <v>0</v>
      </c>
      <c r="C7">
        <v>1</v>
      </c>
      <c r="D7">
        <v>0</v>
      </c>
      <c r="E7">
        <v>0</v>
      </c>
    </row>
    <row r="8" spans="1:296" x14ac:dyDescent="0.3">
      <c r="A8" t="s">
        <v>22</v>
      </c>
      <c r="B8" t="s">
        <v>23</v>
      </c>
      <c r="C8" t="s">
        <v>24</v>
      </c>
      <c r="D8" t="s">
        <v>25</v>
      </c>
      <c r="E8" t="s">
        <v>26</v>
      </c>
      <c r="F8" t="s">
        <v>27</v>
      </c>
      <c r="G8" t="s">
        <v>28</v>
      </c>
      <c r="H8" t="s">
        <v>29</v>
      </c>
      <c r="I8" t="s">
        <v>30</v>
      </c>
      <c r="J8" t="s">
        <v>31</v>
      </c>
      <c r="K8" t="s">
        <v>32</v>
      </c>
      <c r="L8" t="s">
        <v>33</v>
      </c>
      <c r="M8" t="s">
        <v>34</v>
      </c>
      <c r="N8" t="s">
        <v>35</v>
      </c>
      <c r="O8" t="s">
        <v>36</v>
      </c>
      <c r="P8" t="s">
        <v>37</v>
      </c>
      <c r="Q8" t="s">
        <v>38</v>
      </c>
    </row>
    <row r="9" spans="1:296" x14ac:dyDescent="0.3">
      <c r="B9" t="s">
        <v>39</v>
      </c>
      <c r="C9" t="s">
        <v>40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96" x14ac:dyDescent="0.3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</row>
    <row r="11" spans="1:296" x14ac:dyDescent="0.3">
      <c r="B11">
        <v>0</v>
      </c>
      <c r="C11">
        <v>0</v>
      </c>
      <c r="D11">
        <v>0</v>
      </c>
      <c r="E11">
        <v>0</v>
      </c>
      <c r="F11">
        <v>1</v>
      </c>
    </row>
    <row r="12" spans="1:296" x14ac:dyDescent="0.3">
      <c r="A12" t="s">
        <v>47</v>
      </c>
      <c r="B12" t="s">
        <v>48</v>
      </c>
      <c r="C12" t="s">
        <v>49</v>
      </c>
      <c r="D12" t="s">
        <v>50</v>
      </c>
      <c r="E12" t="s">
        <v>51</v>
      </c>
      <c r="F12" t="s">
        <v>52</v>
      </c>
      <c r="G12" t="s">
        <v>53</v>
      </c>
      <c r="H12" t="s">
        <v>54</v>
      </c>
    </row>
    <row r="13" spans="1:296" x14ac:dyDescent="0.3">
      <c r="B13">
        <v>-6276</v>
      </c>
      <c r="C13">
        <v>6.6</v>
      </c>
      <c r="D13">
        <v>1.7090000000000001E-5</v>
      </c>
      <c r="E13">
        <v>3.11</v>
      </c>
      <c r="F13" t="s">
        <v>679</v>
      </c>
      <c r="G13" t="s">
        <v>680</v>
      </c>
      <c r="H13">
        <v>0</v>
      </c>
    </row>
    <row r="14" spans="1:296" x14ac:dyDescent="0.3">
      <c r="A14" t="s">
        <v>57</v>
      </c>
      <c r="B14" t="s">
        <v>57</v>
      </c>
      <c r="C14" t="s">
        <v>57</v>
      </c>
      <c r="D14" t="s">
        <v>57</v>
      </c>
      <c r="E14" t="s">
        <v>57</v>
      </c>
      <c r="F14" t="s">
        <v>57</v>
      </c>
      <c r="G14" t="s">
        <v>58</v>
      </c>
      <c r="H14" t="s">
        <v>59</v>
      </c>
      <c r="I14" t="s">
        <v>59</v>
      </c>
      <c r="J14" t="s">
        <v>59</v>
      </c>
      <c r="K14" t="s">
        <v>59</v>
      </c>
      <c r="L14" t="s">
        <v>59</v>
      </c>
      <c r="M14" t="s">
        <v>59</v>
      </c>
      <c r="N14" t="s">
        <v>59</v>
      </c>
      <c r="O14" t="s">
        <v>59</v>
      </c>
      <c r="P14" t="s">
        <v>59</v>
      </c>
      <c r="Q14" t="s">
        <v>59</v>
      </c>
      <c r="R14" t="s">
        <v>59</v>
      </c>
      <c r="S14" t="s">
        <v>59</v>
      </c>
      <c r="T14" t="s">
        <v>59</v>
      </c>
      <c r="U14" t="s">
        <v>59</v>
      </c>
      <c r="V14" t="s">
        <v>59</v>
      </c>
      <c r="W14" t="s">
        <v>59</v>
      </c>
      <c r="X14" t="s">
        <v>59</v>
      </c>
      <c r="Y14" t="s">
        <v>59</v>
      </c>
      <c r="Z14" t="s">
        <v>59</v>
      </c>
      <c r="AA14" t="s">
        <v>59</v>
      </c>
      <c r="AB14" t="s">
        <v>59</v>
      </c>
      <c r="AC14" t="s">
        <v>59</v>
      </c>
      <c r="AD14" t="s">
        <v>59</v>
      </c>
      <c r="AE14" t="s">
        <v>59</v>
      </c>
      <c r="AF14" t="s">
        <v>59</v>
      </c>
      <c r="AG14" t="s">
        <v>59</v>
      </c>
      <c r="AH14" t="s">
        <v>60</v>
      </c>
      <c r="AI14" t="s">
        <v>60</v>
      </c>
      <c r="AJ14" t="s">
        <v>60</v>
      </c>
      <c r="AK14" t="s">
        <v>60</v>
      </c>
      <c r="AL14" t="s">
        <v>60</v>
      </c>
      <c r="AM14" t="s">
        <v>60</v>
      </c>
      <c r="AN14" t="s">
        <v>60</v>
      </c>
      <c r="AO14" t="s">
        <v>60</v>
      </c>
      <c r="AP14" t="s">
        <v>60</v>
      </c>
      <c r="AQ14" t="s">
        <v>60</v>
      </c>
      <c r="AR14" t="s">
        <v>61</v>
      </c>
      <c r="AS14" t="s">
        <v>61</v>
      </c>
      <c r="AT14" t="s">
        <v>61</v>
      </c>
      <c r="AU14" t="s">
        <v>61</v>
      </c>
      <c r="AV14" t="s">
        <v>61</v>
      </c>
      <c r="AW14" t="s">
        <v>62</v>
      </c>
      <c r="AX14" t="s">
        <v>62</v>
      </c>
      <c r="AY14" t="s">
        <v>62</v>
      </c>
      <c r="AZ14" t="s">
        <v>62</v>
      </c>
      <c r="BA14" t="s">
        <v>62</v>
      </c>
      <c r="BB14" t="s">
        <v>62</v>
      </c>
      <c r="BC14" t="s">
        <v>62</v>
      </c>
      <c r="BD14" t="s">
        <v>62</v>
      </c>
      <c r="BE14" t="s">
        <v>62</v>
      </c>
      <c r="BF14" t="s">
        <v>62</v>
      </c>
      <c r="BG14" t="s">
        <v>62</v>
      </c>
      <c r="BH14" t="s">
        <v>62</v>
      </c>
      <c r="BI14" t="s">
        <v>62</v>
      </c>
      <c r="BJ14" t="s">
        <v>62</v>
      </c>
      <c r="BK14" t="s">
        <v>62</v>
      </c>
      <c r="BL14" t="s">
        <v>62</v>
      </c>
      <c r="BM14" t="s">
        <v>62</v>
      </c>
      <c r="BN14" t="s">
        <v>62</v>
      </c>
      <c r="BO14" t="s">
        <v>62</v>
      </c>
      <c r="BP14" t="s">
        <v>62</v>
      </c>
      <c r="BQ14" t="s">
        <v>62</v>
      </c>
      <c r="BR14" t="s">
        <v>62</v>
      </c>
      <c r="BS14" t="s">
        <v>62</v>
      </c>
      <c r="BT14" t="s">
        <v>62</v>
      </c>
      <c r="BU14" t="s">
        <v>62</v>
      </c>
      <c r="BV14" t="s">
        <v>62</v>
      </c>
      <c r="BW14" t="s">
        <v>62</v>
      </c>
      <c r="BX14" t="s">
        <v>62</v>
      </c>
      <c r="BY14" t="s">
        <v>63</v>
      </c>
      <c r="BZ14" t="s">
        <v>63</v>
      </c>
      <c r="CA14" t="s">
        <v>63</v>
      </c>
      <c r="CB14" t="s">
        <v>63</v>
      </c>
      <c r="CC14" t="s">
        <v>63</v>
      </c>
      <c r="CD14" t="s">
        <v>63</v>
      </c>
      <c r="CE14" t="s">
        <v>63</v>
      </c>
      <c r="CF14" t="s">
        <v>63</v>
      </c>
      <c r="CG14" t="s">
        <v>63</v>
      </c>
      <c r="CH14" t="s">
        <v>63</v>
      </c>
      <c r="CI14" t="s">
        <v>63</v>
      </c>
      <c r="CJ14" t="s">
        <v>63</v>
      </c>
      <c r="CK14" t="s">
        <v>63</v>
      </c>
      <c r="CL14" t="s">
        <v>63</v>
      </c>
      <c r="CM14" t="s">
        <v>63</v>
      </c>
      <c r="CN14" t="s">
        <v>63</v>
      </c>
      <c r="CO14" t="s">
        <v>63</v>
      </c>
      <c r="CP14" t="s">
        <v>63</v>
      </c>
      <c r="CQ14" t="s">
        <v>63</v>
      </c>
      <c r="CR14" t="s">
        <v>63</v>
      </c>
      <c r="CS14" t="s">
        <v>63</v>
      </c>
      <c r="CT14" t="s">
        <v>64</v>
      </c>
      <c r="CU14" t="s">
        <v>64</v>
      </c>
      <c r="CV14" t="s">
        <v>64</v>
      </c>
      <c r="CW14" t="s">
        <v>64</v>
      </c>
      <c r="CX14" t="s">
        <v>64</v>
      </c>
      <c r="CY14" t="s">
        <v>64</v>
      </c>
      <c r="CZ14" t="s">
        <v>64</v>
      </c>
      <c r="DA14" t="s">
        <v>64</v>
      </c>
      <c r="DB14" t="s">
        <v>64</v>
      </c>
      <c r="DC14" t="s">
        <v>64</v>
      </c>
      <c r="DD14" t="s">
        <v>64</v>
      </c>
      <c r="DE14" t="s">
        <v>64</v>
      </c>
      <c r="DF14" t="s">
        <v>64</v>
      </c>
      <c r="DG14" t="s">
        <v>65</v>
      </c>
      <c r="DH14" t="s">
        <v>65</v>
      </c>
      <c r="DI14" t="s">
        <v>65</v>
      </c>
      <c r="DJ14" t="s">
        <v>65</v>
      </c>
      <c r="DK14" t="s">
        <v>66</v>
      </c>
      <c r="DL14" t="s">
        <v>66</v>
      </c>
      <c r="DM14" t="s">
        <v>66</v>
      </c>
      <c r="DN14" t="s">
        <v>66</v>
      </c>
      <c r="DO14" t="s">
        <v>66</v>
      </c>
      <c r="DP14" t="s">
        <v>67</v>
      </c>
      <c r="DQ14" t="s">
        <v>67</v>
      </c>
      <c r="DR14" t="s">
        <v>67</v>
      </c>
      <c r="DS14" t="s">
        <v>67</v>
      </c>
      <c r="DT14" t="s">
        <v>67</v>
      </c>
      <c r="DU14" t="s">
        <v>67</v>
      </c>
      <c r="DV14" t="s">
        <v>67</v>
      </c>
      <c r="DW14" t="s">
        <v>67</v>
      </c>
      <c r="DX14" t="s">
        <v>67</v>
      </c>
      <c r="DY14" t="s">
        <v>67</v>
      </c>
      <c r="DZ14" t="s">
        <v>67</v>
      </c>
      <c r="EA14" t="s">
        <v>67</v>
      </c>
      <c r="EB14" t="s">
        <v>67</v>
      </c>
      <c r="EC14" t="s">
        <v>67</v>
      </c>
      <c r="ED14" t="s">
        <v>67</v>
      </c>
      <c r="EE14" t="s">
        <v>67</v>
      </c>
      <c r="EF14" t="s">
        <v>67</v>
      </c>
      <c r="EG14" t="s">
        <v>67</v>
      </c>
      <c r="EH14" t="s">
        <v>68</v>
      </c>
      <c r="EI14" t="s">
        <v>68</v>
      </c>
      <c r="EJ14" t="s">
        <v>68</v>
      </c>
      <c r="EK14" t="s">
        <v>68</v>
      </c>
      <c r="EL14" t="s">
        <v>68</v>
      </c>
      <c r="EM14" t="s">
        <v>68</v>
      </c>
      <c r="EN14" t="s">
        <v>68</v>
      </c>
      <c r="EO14" t="s">
        <v>68</v>
      </c>
      <c r="EP14" t="s">
        <v>68</v>
      </c>
      <c r="EQ14" t="s">
        <v>68</v>
      </c>
      <c r="ER14" t="s">
        <v>69</v>
      </c>
      <c r="ES14" t="s">
        <v>69</v>
      </c>
      <c r="ET14" t="s">
        <v>69</v>
      </c>
      <c r="EU14" t="s">
        <v>69</v>
      </c>
      <c r="EV14" t="s">
        <v>69</v>
      </c>
      <c r="EW14" t="s">
        <v>69</v>
      </c>
      <c r="EX14" t="s">
        <v>69</v>
      </c>
      <c r="EY14" t="s">
        <v>69</v>
      </c>
      <c r="EZ14" t="s">
        <v>69</v>
      </c>
      <c r="FA14" t="s">
        <v>69</v>
      </c>
      <c r="FB14" t="s">
        <v>69</v>
      </c>
      <c r="FC14" t="s">
        <v>69</v>
      </c>
      <c r="FD14" t="s">
        <v>69</v>
      </c>
      <c r="FE14" t="s">
        <v>69</v>
      </c>
      <c r="FF14" t="s">
        <v>69</v>
      </c>
      <c r="FG14" t="s">
        <v>69</v>
      </c>
      <c r="FH14" t="s">
        <v>69</v>
      </c>
      <c r="FI14" t="s">
        <v>69</v>
      </c>
      <c r="FJ14" t="s">
        <v>70</v>
      </c>
      <c r="FK14" t="s">
        <v>70</v>
      </c>
      <c r="FL14" t="s">
        <v>70</v>
      </c>
      <c r="FM14" t="s">
        <v>70</v>
      </c>
      <c r="FN14" t="s">
        <v>70</v>
      </c>
      <c r="FO14" t="s">
        <v>71</v>
      </c>
      <c r="FP14" t="s">
        <v>71</v>
      </c>
      <c r="FQ14" t="s">
        <v>71</v>
      </c>
      <c r="FR14" t="s">
        <v>71</v>
      </c>
      <c r="FS14" t="s">
        <v>71</v>
      </c>
      <c r="FT14" t="s">
        <v>71</v>
      </c>
      <c r="FU14" t="s">
        <v>71</v>
      </c>
      <c r="FV14" t="s">
        <v>71</v>
      </c>
      <c r="FW14" t="s">
        <v>71</v>
      </c>
      <c r="FX14" t="s">
        <v>71</v>
      </c>
      <c r="FY14" t="s">
        <v>71</v>
      </c>
      <c r="FZ14" t="s">
        <v>71</v>
      </c>
      <c r="GA14" t="s">
        <v>71</v>
      </c>
      <c r="GB14" t="s">
        <v>72</v>
      </c>
      <c r="GC14" t="s">
        <v>72</v>
      </c>
      <c r="GD14" t="s">
        <v>72</v>
      </c>
      <c r="GE14" t="s">
        <v>72</v>
      </c>
      <c r="GF14" t="s">
        <v>72</v>
      </c>
      <c r="GG14" t="s">
        <v>72</v>
      </c>
      <c r="GH14" t="s">
        <v>72</v>
      </c>
      <c r="GI14" t="s">
        <v>72</v>
      </c>
      <c r="GJ14" t="s">
        <v>72</v>
      </c>
      <c r="GK14" t="s">
        <v>72</v>
      </c>
      <c r="GL14" t="s">
        <v>72</v>
      </c>
      <c r="GM14" t="s">
        <v>72</v>
      </c>
      <c r="GN14" t="s">
        <v>72</v>
      </c>
      <c r="GO14" t="s">
        <v>72</v>
      </c>
      <c r="GP14" t="s">
        <v>72</v>
      </c>
      <c r="GQ14" t="s">
        <v>73</v>
      </c>
      <c r="GR14" t="s">
        <v>73</v>
      </c>
      <c r="GS14" t="s">
        <v>73</v>
      </c>
      <c r="GT14" t="s">
        <v>73</v>
      </c>
      <c r="GU14" t="s">
        <v>73</v>
      </c>
      <c r="GV14" t="s">
        <v>73</v>
      </c>
      <c r="GW14" t="s">
        <v>73</v>
      </c>
      <c r="GX14" t="s">
        <v>73</v>
      </c>
      <c r="GY14" t="s">
        <v>73</v>
      </c>
      <c r="GZ14" t="s">
        <v>73</v>
      </c>
      <c r="HA14" t="s">
        <v>73</v>
      </c>
      <c r="HB14" t="s">
        <v>73</v>
      </c>
      <c r="HC14" t="s">
        <v>73</v>
      </c>
      <c r="HD14" t="s">
        <v>73</v>
      </c>
      <c r="HE14" t="s">
        <v>73</v>
      </c>
      <c r="HF14" t="s">
        <v>73</v>
      </c>
      <c r="HG14" t="s">
        <v>73</v>
      </c>
      <c r="HH14" t="s">
        <v>73</v>
      </c>
      <c r="HI14" t="s">
        <v>74</v>
      </c>
      <c r="HJ14" t="s">
        <v>74</v>
      </c>
      <c r="HK14" t="s">
        <v>74</v>
      </c>
      <c r="HL14" t="s">
        <v>74</v>
      </c>
      <c r="HM14" t="s">
        <v>74</v>
      </c>
      <c r="HN14" t="s">
        <v>74</v>
      </c>
      <c r="HO14" t="s">
        <v>74</v>
      </c>
      <c r="HP14" t="s">
        <v>74</v>
      </c>
      <c r="HQ14" t="s">
        <v>74</v>
      </c>
      <c r="HR14" t="s">
        <v>74</v>
      </c>
      <c r="HS14" t="s">
        <v>74</v>
      </c>
      <c r="HT14" t="s">
        <v>74</v>
      </c>
      <c r="HU14" t="s">
        <v>74</v>
      </c>
      <c r="HV14" t="s">
        <v>74</v>
      </c>
      <c r="HW14" t="s">
        <v>74</v>
      </c>
      <c r="HX14" t="s">
        <v>74</v>
      </c>
      <c r="HY14" t="s">
        <v>74</v>
      </c>
      <c r="HZ14" t="s">
        <v>74</v>
      </c>
      <c r="IA14" t="s">
        <v>74</v>
      </c>
      <c r="IB14" t="s">
        <v>75</v>
      </c>
      <c r="IC14" t="s">
        <v>75</v>
      </c>
      <c r="ID14" t="s">
        <v>75</v>
      </c>
      <c r="IE14" t="s">
        <v>75</v>
      </c>
      <c r="IF14" t="s">
        <v>75</v>
      </c>
      <c r="IG14" t="s">
        <v>75</v>
      </c>
      <c r="IH14" t="s">
        <v>75</v>
      </c>
      <c r="II14" t="s">
        <v>75</v>
      </c>
      <c r="IJ14" t="s">
        <v>75</v>
      </c>
      <c r="IK14" t="s">
        <v>75</v>
      </c>
      <c r="IL14" t="s">
        <v>75</v>
      </c>
      <c r="IM14" t="s">
        <v>75</v>
      </c>
      <c r="IN14" t="s">
        <v>75</v>
      </c>
      <c r="IO14" t="s">
        <v>75</v>
      </c>
      <c r="IP14" t="s">
        <v>75</v>
      </c>
      <c r="IQ14" t="s">
        <v>75</v>
      </c>
      <c r="IR14" t="s">
        <v>75</v>
      </c>
      <c r="IS14" t="s">
        <v>75</v>
      </c>
      <c r="IT14" t="s">
        <v>75</v>
      </c>
      <c r="IU14" t="s">
        <v>76</v>
      </c>
      <c r="IV14" t="s">
        <v>76</v>
      </c>
      <c r="IW14" t="s">
        <v>76</v>
      </c>
      <c r="IX14" t="s">
        <v>76</v>
      </c>
      <c r="IY14" t="s">
        <v>76</v>
      </c>
      <c r="IZ14" t="s">
        <v>76</v>
      </c>
      <c r="JA14" t="s">
        <v>76</v>
      </c>
      <c r="JB14" t="s">
        <v>76</v>
      </c>
      <c r="JC14" t="s">
        <v>76</v>
      </c>
      <c r="JD14" t="s">
        <v>76</v>
      </c>
      <c r="JE14" t="s">
        <v>76</v>
      </c>
      <c r="JF14" t="s">
        <v>76</v>
      </c>
      <c r="JG14" t="s">
        <v>76</v>
      </c>
      <c r="JH14" t="s">
        <v>76</v>
      </c>
      <c r="JI14" t="s">
        <v>76</v>
      </c>
      <c r="JJ14" t="s">
        <v>76</v>
      </c>
      <c r="JK14" t="s">
        <v>76</v>
      </c>
      <c r="JL14" t="s">
        <v>76</v>
      </c>
      <c r="JM14" t="s">
        <v>77</v>
      </c>
      <c r="JN14" t="s">
        <v>77</v>
      </c>
      <c r="JO14" t="s">
        <v>77</v>
      </c>
      <c r="JP14" t="s">
        <v>77</v>
      </c>
      <c r="JQ14" t="s">
        <v>77</v>
      </c>
      <c r="JR14" t="s">
        <v>77</v>
      </c>
      <c r="JS14" t="s">
        <v>77</v>
      </c>
      <c r="JT14" t="s">
        <v>77</v>
      </c>
      <c r="JU14" t="s">
        <v>78</v>
      </c>
      <c r="JV14" t="s">
        <v>78</v>
      </c>
      <c r="JW14" t="s">
        <v>78</v>
      </c>
      <c r="JX14" t="s">
        <v>78</v>
      </c>
      <c r="JY14" t="s">
        <v>78</v>
      </c>
      <c r="JZ14" t="s">
        <v>78</v>
      </c>
      <c r="KA14" t="s">
        <v>78</v>
      </c>
      <c r="KB14" t="s">
        <v>78</v>
      </c>
      <c r="KC14" t="s">
        <v>78</v>
      </c>
      <c r="KD14" t="s">
        <v>78</v>
      </c>
      <c r="KE14" t="s">
        <v>78</v>
      </c>
      <c r="KF14" t="s">
        <v>78</v>
      </c>
      <c r="KG14" t="s">
        <v>78</v>
      </c>
      <c r="KH14" t="s">
        <v>78</v>
      </c>
      <c r="KI14" t="s">
        <v>78</v>
      </c>
      <c r="KJ14" t="s">
        <v>78</v>
      </c>
    </row>
    <row r="15" spans="1:296" x14ac:dyDescent="0.3">
      <c r="A15" t="s">
        <v>79</v>
      </c>
      <c r="B15" t="s">
        <v>80</v>
      </c>
      <c r="C15" t="s">
        <v>81</v>
      </c>
      <c r="D15" t="s">
        <v>82</v>
      </c>
      <c r="E15" t="s">
        <v>83</v>
      </c>
      <c r="F15" t="s">
        <v>84</v>
      </c>
      <c r="G15" t="s">
        <v>85</v>
      </c>
      <c r="H15" t="s">
        <v>86</v>
      </c>
      <c r="I15" t="s">
        <v>87</v>
      </c>
      <c r="J15" t="s">
        <v>88</v>
      </c>
      <c r="K15" t="s">
        <v>89</v>
      </c>
      <c r="L15" t="s">
        <v>90</v>
      </c>
      <c r="M15" t="s">
        <v>91</v>
      </c>
      <c r="N15" t="s">
        <v>92</v>
      </c>
      <c r="O15" t="s">
        <v>93</v>
      </c>
      <c r="P15" t="s">
        <v>94</v>
      </c>
      <c r="Q15" t="s">
        <v>95</v>
      </c>
      <c r="R15" t="s">
        <v>96</v>
      </c>
      <c r="S15" t="s">
        <v>97</v>
      </c>
      <c r="T15" t="s">
        <v>98</v>
      </c>
      <c r="U15" t="s">
        <v>99</v>
      </c>
      <c r="V15" t="s">
        <v>100</v>
      </c>
      <c r="W15" t="s">
        <v>101</v>
      </c>
      <c r="X15" t="s">
        <v>102</v>
      </c>
      <c r="Y15" t="s">
        <v>103</v>
      </c>
      <c r="Z15" t="s">
        <v>104</v>
      </c>
      <c r="AA15" t="s">
        <v>105</v>
      </c>
      <c r="AB15" t="s">
        <v>106</v>
      </c>
      <c r="AC15" t="s">
        <v>107</v>
      </c>
      <c r="AD15" t="s">
        <v>108</v>
      </c>
      <c r="AE15" t="s">
        <v>109</v>
      </c>
      <c r="AF15" t="s">
        <v>110</v>
      </c>
      <c r="AG15" t="s">
        <v>111</v>
      </c>
      <c r="AH15" t="s">
        <v>112</v>
      </c>
      <c r="AI15" t="s">
        <v>113</v>
      </c>
      <c r="AJ15" t="s">
        <v>114</v>
      </c>
      <c r="AK15" t="s">
        <v>115</v>
      </c>
      <c r="AL15" t="s">
        <v>116</v>
      </c>
      <c r="AM15" t="s">
        <v>117</v>
      </c>
      <c r="AN15" t="s">
        <v>118</v>
      </c>
      <c r="AO15" t="s">
        <v>119</v>
      </c>
      <c r="AP15" t="s">
        <v>120</v>
      </c>
      <c r="AQ15" t="s">
        <v>121</v>
      </c>
      <c r="AR15" t="s">
        <v>61</v>
      </c>
      <c r="AS15" t="s">
        <v>122</v>
      </c>
      <c r="AT15" t="s">
        <v>123</v>
      </c>
      <c r="AU15" t="s">
        <v>124</v>
      </c>
      <c r="AV15" t="s">
        <v>125</v>
      </c>
      <c r="AW15" t="s">
        <v>126</v>
      </c>
      <c r="AX15" t="s">
        <v>127</v>
      </c>
      <c r="AY15" t="s">
        <v>128</v>
      </c>
      <c r="AZ15" t="s">
        <v>129</v>
      </c>
      <c r="BA15" t="s">
        <v>130</v>
      </c>
      <c r="BB15" t="s">
        <v>131</v>
      </c>
      <c r="BC15" t="s">
        <v>132</v>
      </c>
      <c r="BD15" t="s">
        <v>133</v>
      </c>
      <c r="BE15" t="s">
        <v>134</v>
      </c>
      <c r="BF15" t="s">
        <v>135</v>
      </c>
      <c r="BG15" t="s">
        <v>136</v>
      </c>
      <c r="BH15" t="s">
        <v>137</v>
      </c>
      <c r="BI15" t="s">
        <v>138</v>
      </c>
      <c r="BJ15" t="s">
        <v>139</v>
      </c>
      <c r="BK15" t="s">
        <v>140</v>
      </c>
      <c r="BL15" t="s">
        <v>141</v>
      </c>
      <c r="BM15" t="s">
        <v>142</v>
      </c>
      <c r="BN15" t="s">
        <v>143</v>
      </c>
      <c r="BO15" t="s">
        <v>144</v>
      </c>
      <c r="BP15" t="s">
        <v>145</v>
      </c>
      <c r="BQ15" t="s">
        <v>146</v>
      </c>
      <c r="BR15" t="s">
        <v>147</v>
      </c>
      <c r="BS15" t="s">
        <v>148</v>
      </c>
      <c r="BT15" t="s">
        <v>149</v>
      </c>
      <c r="BU15" t="s">
        <v>150</v>
      </c>
      <c r="BV15" t="s">
        <v>151</v>
      </c>
      <c r="BW15" t="s">
        <v>152</v>
      </c>
      <c r="BX15" t="s">
        <v>153</v>
      </c>
      <c r="BY15" t="s">
        <v>154</v>
      </c>
      <c r="BZ15" t="s">
        <v>155</v>
      </c>
      <c r="CA15" t="s">
        <v>156</v>
      </c>
      <c r="CB15" t="s">
        <v>157</v>
      </c>
      <c r="CC15" t="s">
        <v>158</v>
      </c>
      <c r="CD15" t="s">
        <v>159</v>
      </c>
      <c r="CE15" t="s">
        <v>160</v>
      </c>
      <c r="CF15" t="s">
        <v>161</v>
      </c>
      <c r="CG15" t="s">
        <v>162</v>
      </c>
      <c r="CH15" t="s">
        <v>163</v>
      </c>
      <c r="CI15" t="s">
        <v>164</v>
      </c>
      <c r="CJ15" t="s">
        <v>165</v>
      </c>
      <c r="CK15" t="s">
        <v>166</v>
      </c>
      <c r="CL15" t="s">
        <v>167</v>
      </c>
      <c r="CM15" t="s">
        <v>168</v>
      </c>
      <c r="CN15" t="s">
        <v>169</v>
      </c>
      <c r="CO15" t="s">
        <v>170</v>
      </c>
      <c r="CP15" t="s">
        <v>171</v>
      </c>
      <c r="CQ15" t="s">
        <v>172</v>
      </c>
      <c r="CR15" t="s">
        <v>173</v>
      </c>
      <c r="CS15" t="s">
        <v>174</v>
      </c>
      <c r="CT15" t="s">
        <v>154</v>
      </c>
      <c r="CU15" t="s">
        <v>175</v>
      </c>
      <c r="CV15" t="s">
        <v>176</v>
      </c>
      <c r="CW15" t="s">
        <v>177</v>
      </c>
      <c r="CX15" t="s">
        <v>128</v>
      </c>
      <c r="CY15" t="s">
        <v>178</v>
      </c>
      <c r="CZ15" t="s">
        <v>179</v>
      </c>
      <c r="DA15" t="s">
        <v>180</v>
      </c>
      <c r="DB15" t="s">
        <v>181</v>
      </c>
      <c r="DC15" t="s">
        <v>182</v>
      </c>
      <c r="DD15" t="s">
        <v>183</v>
      </c>
      <c r="DE15" t="s">
        <v>184</v>
      </c>
      <c r="DF15" t="s">
        <v>185</v>
      </c>
      <c r="DG15" t="s">
        <v>186</v>
      </c>
      <c r="DH15" t="s">
        <v>187</v>
      </c>
      <c r="DI15" t="s">
        <v>188</v>
      </c>
      <c r="DJ15" t="s">
        <v>189</v>
      </c>
      <c r="DK15" t="s">
        <v>190</v>
      </c>
      <c r="DL15" t="s">
        <v>191</v>
      </c>
      <c r="DM15" t="s">
        <v>192</v>
      </c>
      <c r="DN15" t="s">
        <v>193</v>
      </c>
      <c r="DO15" t="s">
        <v>194</v>
      </c>
      <c r="DP15" t="s">
        <v>86</v>
      </c>
      <c r="DQ15" t="s">
        <v>195</v>
      </c>
      <c r="DR15" t="s">
        <v>196</v>
      </c>
      <c r="DS15" t="s">
        <v>197</v>
      </c>
      <c r="DT15" t="s">
        <v>198</v>
      </c>
      <c r="DU15" t="s">
        <v>199</v>
      </c>
      <c r="DV15" t="s">
        <v>200</v>
      </c>
      <c r="DW15" t="s">
        <v>201</v>
      </c>
      <c r="DX15" t="s">
        <v>202</v>
      </c>
      <c r="DY15" t="s">
        <v>203</v>
      </c>
      <c r="DZ15" t="s">
        <v>204</v>
      </c>
      <c r="EA15" t="s">
        <v>205</v>
      </c>
      <c r="EB15" t="s">
        <v>206</v>
      </c>
      <c r="EC15" t="s">
        <v>207</v>
      </c>
      <c r="ED15" t="s">
        <v>208</v>
      </c>
      <c r="EE15" t="s">
        <v>209</v>
      </c>
      <c r="EF15" t="s">
        <v>210</v>
      </c>
      <c r="EG15" t="s">
        <v>211</v>
      </c>
      <c r="EH15" t="s">
        <v>212</v>
      </c>
      <c r="EI15" t="s">
        <v>213</v>
      </c>
      <c r="EJ15" t="s">
        <v>214</v>
      </c>
      <c r="EK15" t="s">
        <v>215</v>
      </c>
      <c r="EL15" t="s">
        <v>216</v>
      </c>
      <c r="EM15" t="s">
        <v>217</v>
      </c>
      <c r="EN15" t="s">
        <v>218</v>
      </c>
      <c r="EO15" t="s">
        <v>219</v>
      </c>
      <c r="EP15" t="s">
        <v>220</v>
      </c>
      <c r="EQ15" t="s">
        <v>221</v>
      </c>
      <c r="ER15" t="s">
        <v>222</v>
      </c>
      <c r="ES15" t="s">
        <v>223</v>
      </c>
      <c r="ET15" t="s">
        <v>224</v>
      </c>
      <c r="EU15" t="s">
        <v>225</v>
      </c>
      <c r="EV15" t="s">
        <v>226</v>
      </c>
      <c r="EW15" t="s">
        <v>227</v>
      </c>
      <c r="EX15" t="s">
        <v>228</v>
      </c>
      <c r="EY15" t="s">
        <v>229</v>
      </c>
      <c r="EZ15" t="s">
        <v>230</v>
      </c>
      <c r="FA15" t="s">
        <v>231</v>
      </c>
      <c r="FB15" t="s">
        <v>232</v>
      </c>
      <c r="FC15" t="s">
        <v>233</v>
      </c>
      <c r="FD15" t="s">
        <v>234</v>
      </c>
      <c r="FE15" t="s">
        <v>235</v>
      </c>
      <c r="FF15" t="s">
        <v>236</v>
      </c>
      <c r="FG15" t="s">
        <v>237</v>
      </c>
      <c r="FH15" t="s">
        <v>238</v>
      </c>
      <c r="FI15" t="s">
        <v>239</v>
      </c>
      <c r="FJ15" t="s">
        <v>240</v>
      </c>
      <c r="FK15" t="s">
        <v>241</v>
      </c>
      <c r="FL15" t="s">
        <v>242</v>
      </c>
      <c r="FM15" t="s">
        <v>243</v>
      </c>
      <c r="FN15" t="s">
        <v>244</v>
      </c>
      <c r="FO15" t="s">
        <v>80</v>
      </c>
      <c r="FP15" t="s">
        <v>83</v>
      </c>
      <c r="FQ15" t="s">
        <v>245</v>
      </c>
      <c r="FR15" t="s">
        <v>246</v>
      </c>
      <c r="FS15" t="s">
        <v>247</v>
      </c>
      <c r="FT15" t="s">
        <v>248</v>
      </c>
      <c r="FU15" t="s">
        <v>249</v>
      </c>
      <c r="FV15" t="s">
        <v>250</v>
      </c>
      <c r="FW15" t="s">
        <v>251</v>
      </c>
      <c r="FX15" t="s">
        <v>252</v>
      </c>
      <c r="FY15" t="s">
        <v>253</v>
      </c>
      <c r="FZ15" t="s">
        <v>254</v>
      </c>
      <c r="GA15" t="s">
        <v>255</v>
      </c>
      <c r="GB15" t="s">
        <v>256</v>
      </c>
      <c r="GC15" t="s">
        <v>257</v>
      </c>
      <c r="GD15" t="s">
        <v>258</v>
      </c>
      <c r="GE15" t="s">
        <v>259</v>
      </c>
      <c r="GF15" t="s">
        <v>260</v>
      </c>
      <c r="GG15" t="s">
        <v>261</v>
      </c>
      <c r="GH15" t="s">
        <v>262</v>
      </c>
      <c r="GI15" t="s">
        <v>263</v>
      </c>
      <c r="GJ15" t="s">
        <v>264</v>
      </c>
      <c r="GK15" t="s">
        <v>265</v>
      </c>
      <c r="GL15" t="s">
        <v>266</v>
      </c>
      <c r="GM15" t="s">
        <v>267</v>
      </c>
      <c r="GN15" t="s">
        <v>268</v>
      </c>
      <c r="GO15" t="s">
        <v>269</v>
      </c>
      <c r="GP15" t="s">
        <v>270</v>
      </c>
      <c r="GQ15" t="s">
        <v>271</v>
      </c>
      <c r="GR15" t="s">
        <v>272</v>
      </c>
      <c r="GS15" t="s">
        <v>273</v>
      </c>
      <c r="GT15" t="s">
        <v>274</v>
      </c>
      <c r="GU15" t="s">
        <v>275</v>
      </c>
      <c r="GV15" t="s">
        <v>276</v>
      </c>
      <c r="GW15" t="s">
        <v>277</v>
      </c>
      <c r="GX15" t="s">
        <v>278</v>
      </c>
      <c r="GY15" t="s">
        <v>279</v>
      </c>
      <c r="GZ15" t="s">
        <v>280</v>
      </c>
      <c r="HA15" t="s">
        <v>281</v>
      </c>
      <c r="HB15" t="s">
        <v>282</v>
      </c>
      <c r="HC15" t="s">
        <v>283</v>
      </c>
      <c r="HD15" t="s">
        <v>284</v>
      </c>
      <c r="HE15" t="s">
        <v>285</v>
      </c>
      <c r="HF15" t="s">
        <v>286</v>
      </c>
      <c r="HG15" t="s">
        <v>287</v>
      </c>
      <c r="HH15" t="s">
        <v>288</v>
      </c>
      <c r="HI15" t="s">
        <v>289</v>
      </c>
      <c r="HJ15" t="s">
        <v>290</v>
      </c>
      <c r="HK15" t="s">
        <v>291</v>
      </c>
      <c r="HL15" t="s">
        <v>292</v>
      </c>
      <c r="HM15" t="s">
        <v>293</v>
      </c>
      <c r="HN15" t="s">
        <v>294</v>
      </c>
      <c r="HO15" t="s">
        <v>295</v>
      </c>
      <c r="HP15" t="s">
        <v>296</v>
      </c>
      <c r="HQ15" t="s">
        <v>297</v>
      </c>
      <c r="HR15" t="s">
        <v>298</v>
      </c>
      <c r="HS15" t="s">
        <v>299</v>
      </c>
      <c r="HT15" t="s">
        <v>300</v>
      </c>
      <c r="HU15" t="s">
        <v>301</v>
      </c>
      <c r="HV15" t="s">
        <v>302</v>
      </c>
      <c r="HW15" t="s">
        <v>303</v>
      </c>
      <c r="HX15" t="s">
        <v>304</v>
      </c>
      <c r="HY15" t="s">
        <v>305</v>
      </c>
      <c r="HZ15" t="s">
        <v>306</v>
      </c>
      <c r="IA15" t="s">
        <v>307</v>
      </c>
      <c r="IB15" t="s">
        <v>308</v>
      </c>
      <c r="IC15" t="s">
        <v>309</v>
      </c>
      <c r="ID15" t="s">
        <v>310</v>
      </c>
      <c r="IE15" t="s">
        <v>311</v>
      </c>
      <c r="IF15" t="s">
        <v>312</v>
      </c>
      <c r="IG15" t="s">
        <v>313</v>
      </c>
      <c r="IH15" t="s">
        <v>314</v>
      </c>
      <c r="II15" t="s">
        <v>315</v>
      </c>
      <c r="IJ15" t="s">
        <v>316</v>
      </c>
      <c r="IK15" t="s">
        <v>317</v>
      </c>
      <c r="IL15" t="s">
        <v>318</v>
      </c>
      <c r="IM15" t="s">
        <v>319</v>
      </c>
      <c r="IN15" t="s">
        <v>320</v>
      </c>
      <c r="IO15" t="s">
        <v>321</v>
      </c>
      <c r="IP15" t="s">
        <v>322</v>
      </c>
      <c r="IQ15" t="s">
        <v>323</v>
      </c>
      <c r="IR15" t="s">
        <v>324</v>
      </c>
      <c r="IS15" t="s">
        <v>325</v>
      </c>
      <c r="IT15" t="s">
        <v>326</v>
      </c>
      <c r="IU15" t="s">
        <v>327</v>
      </c>
      <c r="IV15" t="s">
        <v>328</v>
      </c>
      <c r="IW15" t="s">
        <v>329</v>
      </c>
      <c r="IX15" t="s">
        <v>330</v>
      </c>
      <c r="IY15" t="s">
        <v>331</v>
      </c>
      <c r="IZ15" t="s">
        <v>332</v>
      </c>
      <c r="JA15" t="s">
        <v>333</v>
      </c>
      <c r="JB15" t="s">
        <v>334</v>
      </c>
      <c r="JC15" t="s">
        <v>335</v>
      </c>
      <c r="JD15" t="s">
        <v>336</v>
      </c>
      <c r="JE15" t="s">
        <v>337</v>
      </c>
      <c r="JF15" t="s">
        <v>338</v>
      </c>
      <c r="JG15" t="s">
        <v>339</v>
      </c>
      <c r="JH15" t="s">
        <v>340</v>
      </c>
      <c r="JI15" t="s">
        <v>341</v>
      </c>
      <c r="JJ15" t="s">
        <v>342</v>
      </c>
      <c r="JK15" t="s">
        <v>343</v>
      </c>
      <c r="JL15" t="s">
        <v>344</v>
      </c>
      <c r="JM15" t="s">
        <v>345</v>
      </c>
      <c r="JN15" t="s">
        <v>346</v>
      </c>
      <c r="JO15" t="s">
        <v>347</v>
      </c>
      <c r="JP15" t="s">
        <v>348</v>
      </c>
      <c r="JQ15" t="s">
        <v>349</v>
      </c>
      <c r="JR15" t="s">
        <v>350</v>
      </c>
      <c r="JS15" t="s">
        <v>351</v>
      </c>
      <c r="JT15" t="s">
        <v>352</v>
      </c>
      <c r="JU15" t="s">
        <v>353</v>
      </c>
      <c r="JV15" t="s">
        <v>354</v>
      </c>
      <c r="JW15" t="s">
        <v>355</v>
      </c>
      <c r="JX15" t="s">
        <v>356</v>
      </c>
      <c r="JY15" t="s">
        <v>357</v>
      </c>
      <c r="JZ15" t="s">
        <v>358</v>
      </c>
      <c r="KA15" t="s">
        <v>359</v>
      </c>
      <c r="KB15" t="s">
        <v>360</v>
      </c>
      <c r="KC15" t="s">
        <v>361</v>
      </c>
      <c r="KD15" t="s">
        <v>362</v>
      </c>
      <c r="KE15" t="s">
        <v>363</v>
      </c>
      <c r="KF15" t="s">
        <v>364</v>
      </c>
      <c r="KG15" t="s">
        <v>365</v>
      </c>
      <c r="KH15" t="s">
        <v>366</v>
      </c>
      <c r="KI15" t="s">
        <v>367</v>
      </c>
      <c r="KJ15" t="s">
        <v>368</v>
      </c>
    </row>
    <row r="16" spans="1:296" x14ac:dyDescent="0.3">
      <c r="B16" t="s">
        <v>369</v>
      </c>
      <c r="C16" t="s">
        <v>369</v>
      </c>
      <c r="F16" t="s">
        <v>369</v>
      </c>
      <c r="H16" t="s">
        <v>369</v>
      </c>
      <c r="I16" t="s">
        <v>370</v>
      </c>
      <c r="J16" t="s">
        <v>371</v>
      </c>
      <c r="K16" t="s">
        <v>372</v>
      </c>
      <c r="L16" t="s">
        <v>373</v>
      </c>
      <c r="M16" t="s">
        <v>373</v>
      </c>
      <c r="N16" t="s">
        <v>202</v>
      </c>
      <c r="O16" t="s">
        <v>202</v>
      </c>
      <c r="P16" t="s">
        <v>370</v>
      </c>
      <c r="Q16" t="s">
        <v>370</v>
      </c>
      <c r="R16" t="s">
        <v>370</v>
      </c>
      <c r="S16" t="s">
        <v>370</v>
      </c>
      <c r="T16" t="s">
        <v>374</v>
      </c>
      <c r="U16" t="s">
        <v>375</v>
      </c>
      <c r="V16" t="s">
        <v>375</v>
      </c>
      <c r="W16" t="s">
        <v>376</v>
      </c>
      <c r="X16" t="s">
        <v>377</v>
      </c>
      <c r="Y16" t="s">
        <v>376</v>
      </c>
      <c r="Z16" t="s">
        <v>376</v>
      </c>
      <c r="AA16" t="s">
        <v>376</v>
      </c>
      <c r="AB16" t="s">
        <v>374</v>
      </c>
      <c r="AC16" t="s">
        <v>374</v>
      </c>
      <c r="AD16" t="s">
        <v>374</v>
      </c>
      <c r="AE16" t="s">
        <v>374</v>
      </c>
      <c r="AF16" t="s">
        <v>372</v>
      </c>
      <c r="AG16" t="s">
        <v>371</v>
      </c>
      <c r="AH16" t="s">
        <v>372</v>
      </c>
      <c r="AI16" t="s">
        <v>373</v>
      </c>
      <c r="AJ16" t="s">
        <v>373</v>
      </c>
      <c r="AK16" t="s">
        <v>378</v>
      </c>
      <c r="AL16" t="s">
        <v>379</v>
      </c>
      <c r="AM16" t="s">
        <v>371</v>
      </c>
      <c r="AN16" t="s">
        <v>380</v>
      </c>
      <c r="AO16" t="s">
        <v>380</v>
      </c>
      <c r="AP16" t="s">
        <v>381</v>
      </c>
      <c r="AQ16" t="s">
        <v>379</v>
      </c>
      <c r="AR16" t="s">
        <v>382</v>
      </c>
      <c r="AS16" t="s">
        <v>377</v>
      </c>
      <c r="AU16" t="s">
        <v>377</v>
      </c>
      <c r="AV16" t="s">
        <v>382</v>
      </c>
      <c r="BB16" t="s">
        <v>372</v>
      </c>
      <c r="BI16" t="s">
        <v>372</v>
      </c>
      <c r="BJ16" t="s">
        <v>372</v>
      </c>
      <c r="BK16" t="s">
        <v>372</v>
      </c>
      <c r="BL16" t="s">
        <v>383</v>
      </c>
      <c r="BZ16" t="s">
        <v>384</v>
      </c>
      <c r="CB16" t="s">
        <v>384</v>
      </c>
      <c r="CC16" t="s">
        <v>372</v>
      </c>
      <c r="CF16" t="s">
        <v>384</v>
      </c>
      <c r="CG16" t="s">
        <v>377</v>
      </c>
      <c r="CJ16" t="s">
        <v>385</v>
      </c>
      <c r="CK16" t="s">
        <v>385</v>
      </c>
      <c r="CM16" t="s">
        <v>386</v>
      </c>
      <c r="CN16" t="s">
        <v>384</v>
      </c>
      <c r="CP16" t="s">
        <v>384</v>
      </c>
      <c r="CQ16" t="s">
        <v>372</v>
      </c>
      <c r="CU16" t="s">
        <v>384</v>
      </c>
      <c r="CW16" t="s">
        <v>387</v>
      </c>
      <c r="CZ16" t="s">
        <v>384</v>
      </c>
      <c r="DA16" t="s">
        <v>384</v>
      </c>
      <c r="DC16" t="s">
        <v>384</v>
      </c>
      <c r="DE16" t="s">
        <v>384</v>
      </c>
      <c r="DG16" t="s">
        <v>372</v>
      </c>
      <c r="DH16" t="s">
        <v>372</v>
      </c>
      <c r="DJ16" t="s">
        <v>388</v>
      </c>
      <c r="DK16" t="s">
        <v>389</v>
      </c>
      <c r="DN16" t="s">
        <v>370</v>
      </c>
      <c r="DP16" t="s">
        <v>369</v>
      </c>
      <c r="DQ16" t="s">
        <v>373</v>
      </c>
      <c r="DR16" t="s">
        <v>373</v>
      </c>
      <c r="DS16" t="s">
        <v>380</v>
      </c>
      <c r="DT16" t="s">
        <v>380</v>
      </c>
      <c r="DU16" t="s">
        <v>373</v>
      </c>
      <c r="DV16" t="s">
        <v>380</v>
      </c>
      <c r="DW16" t="s">
        <v>382</v>
      </c>
      <c r="DX16" t="s">
        <v>376</v>
      </c>
      <c r="DY16" t="s">
        <v>376</v>
      </c>
      <c r="DZ16" t="s">
        <v>375</v>
      </c>
      <c r="EA16" t="s">
        <v>375</v>
      </c>
      <c r="EB16" t="s">
        <v>375</v>
      </c>
      <c r="EC16" t="s">
        <v>375</v>
      </c>
      <c r="ED16" t="s">
        <v>375</v>
      </c>
      <c r="EE16" t="s">
        <v>390</v>
      </c>
      <c r="EF16" t="s">
        <v>372</v>
      </c>
      <c r="EG16" t="s">
        <v>372</v>
      </c>
      <c r="EH16" t="s">
        <v>373</v>
      </c>
      <c r="EI16" t="s">
        <v>373</v>
      </c>
      <c r="EJ16" t="s">
        <v>373</v>
      </c>
      <c r="EK16" t="s">
        <v>380</v>
      </c>
      <c r="EL16" t="s">
        <v>373</v>
      </c>
      <c r="EM16" t="s">
        <v>380</v>
      </c>
      <c r="EN16" t="s">
        <v>376</v>
      </c>
      <c r="EO16" t="s">
        <v>376</v>
      </c>
      <c r="EP16" t="s">
        <v>375</v>
      </c>
      <c r="EQ16" t="s">
        <v>375</v>
      </c>
      <c r="ER16" t="s">
        <v>372</v>
      </c>
      <c r="EW16" t="s">
        <v>372</v>
      </c>
      <c r="EZ16" t="s">
        <v>375</v>
      </c>
      <c r="FA16" t="s">
        <v>375</v>
      </c>
      <c r="FB16" t="s">
        <v>375</v>
      </c>
      <c r="FC16" t="s">
        <v>375</v>
      </c>
      <c r="FD16" t="s">
        <v>375</v>
      </c>
      <c r="FE16" t="s">
        <v>372</v>
      </c>
      <c r="FF16" t="s">
        <v>372</v>
      </c>
      <c r="FG16" t="s">
        <v>372</v>
      </c>
      <c r="FH16" t="s">
        <v>369</v>
      </c>
      <c r="FK16" t="s">
        <v>391</v>
      </c>
      <c r="FL16" t="s">
        <v>391</v>
      </c>
      <c r="FN16" t="s">
        <v>369</v>
      </c>
      <c r="FO16" t="s">
        <v>392</v>
      </c>
      <c r="FQ16" t="s">
        <v>369</v>
      </c>
      <c r="FR16" t="s">
        <v>369</v>
      </c>
      <c r="FT16" t="s">
        <v>393</v>
      </c>
      <c r="FU16" t="s">
        <v>394</v>
      </c>
      <c r="FV16" t="s">
        <v>393</v>
      </c>
      <c r="FW16" t="s">
        <v>394</v>
      </c>
      <c r="FX16" t="s">
        <v>393</v>
      </c>
      <c r="FY16" t="s">
        <v>394</v>
      </c>
      <c r="FZ16" t="s">
        <v>377</v>
      </c>
      <c r="GA16" t="s">
        <v>377</v>
      </c>
      <c r="GB16" t="s">
        <v>373</v>
      </c>
      <c r="GC16" t="s">
        <v>395</v>
      </c>
      <c r="GD16" t="s">
        <v>373</v>
      </c>
      <c r="GG16" t="s">
        <v>396</v>
      </c>
      <c r="GJ16" t="s">
        <v>380</v>
      </c>
      <c r="GK16" t="s">
        <v>397</v>
      </c>
      <c r="GL16" t="s">
        <v>380</v>
      </c>
      <c r="GQ16" t="s">
        <v>398</v>
      </c>
      <c r="GR16" t="s">
        <v>398</v>
      </c>
      <c r="HE16" t="s">
        <v>398</v>
      </c>
      <c r="HF16" t="s">
        <v>398</v>
      </c>
      <c r="HG16" t="s">
        <v>399</v>
      </c>
      <c r="HH16" t="s">
        <v>399</v>
      </c>
      <c r="HI16" t="s">
        <v>375</v>
      </c>
      <c r="HJ16" t="s">
        <v>375</v>
      </c>
      <c r="HK16" t="s">
        <v>377</v>
      </c>
      <c r="HL16" t="s">
        <v>375</v>
      </c>
      <c r="HM16" t="s">
        <v>380</v>
      </c>
      <c r="HN16" t="s">
        <v>377</v>
      </c>
      <c r="HO16" t="s">
        <v>377</v>
      </c>
      <c r="HQ16" t="s">
        <v>398</v>
      </c>
      <c r="HR16" t="s">
        <v>398</v>
      </c>
      <c r="HS16" t="s">
        <v>398</v>
      </c>
      <c r="HT16" t="s">
        <v>398</v>
      </c>
      <c r="HU16" t="s">
        <v>398</v>
      </c>
      <c r="HV16" t="s">
        <v>398</v>
      </c>
      <c r="HW16" t="s">
        <v>398</v>
      </c>
      <c r="HX16" t="s">
        <v>400</v>
      </c>
      <c r="HY16" t="s">
        <v>400</v>
      </c>
      <c r="HZ16" t="s">
        <v>400</v>
      </c>
      <c r="IA16" t="s">
        <v>401</v>
      </c>
      <c r="IB16" t="s">
        <v>398</v>
      </c>
      <c r="IC16" t="s">
        <v>398</v>
      </c>
      <c r="ID16" t="s">
        <v>398</v>
      </c>
      <c r="IE16" t="s">
        <v>398</v>
      </c>
      <c r="IF16" t="s">
        <v>398</v>
      </c>
      <c r="IG16" t="s">
        <v>398</v>
      </c>
      <c r="IH16" t="s">
        <v>398</v>
      </c>
      <c r="II16" t="s">
        <v>398</v>
      </c>
      <c r="IJ16" t="s">
        <v>398</v>
      </c>
      <c r="IK16" t="s">
        <v>398</v>
      </c>
      <c r="IL16" t="s">
        <v>398</v>
      </c>
      <c r="IM16" t="s">
        <v>398</v>
      </c>
      <c r="IT16" t="s">
        <v>398</v>
      </c>
      <c r="IU16" t="s">
        <v>377</v>
      </c>
      <c r="IV16" t="s">
        <v>377</v>
      </c>
      <c r="IW16" t="s">
        <v>393</v>
      </c>
      <c r="IX16" t="s">
        <v>394</v>
      </c>
      <c r="IY16" t="s">
        <v>393</v>
      </c>
      <c r="JC16" t="s">
        <v>394</v>
      </c>
      <c r="JG16" t="s">
        <v>373</v>
      </c>
      <c r="JH16" t="s">
        <v>373</v>
      </c>
      <c r="JI16" t="s">
        <v>380</v>
      </c>
      <c r="JJ16" t="s">
        <v>380</v>
      </c>
      <c r="JK16" t="s">
        <v>402</v>
      </c>
      <c r="JL16" t="s">
        <v>402</v>
      </c>
      <c r="JM16" t="s">
        <v>398</v>
      </c>
      <c r="JN16" t="s">
        <v>398</v>
      </c>
      <c r="JO16" t="s">
        <v>398</v>
      </c>
      <c r="JP16" t="s">
        <v>398</v>
      </c>
      <c r="JQ16" t="s">
        <v>398</v>
      </c>
      <c r="JR16" t="s">
        <v>398</v>
      </c>
      <c r="JS16" t="s">
        <v>375</v>
      </c>
      <c r="JT16" t="s">
        <v>398</v>
      </c>
      <c r="JV16" t="s">
        <v>382</v>
      </c>
      <c r="JW16" t="s">
        <v>382</v>
      </c>
      <c r="JX16" t="s">
        <v>375</v>
      </c>
      <c r="JY16" t="s">
        <v>375</v>
      </c>
      <c r="JZ16" t="s">
        <v>375</v>
      </c>
      <c r="KA16" t="s">
        <v>375</v>
      </c>
      <c r="KB16" t="s">
        <v>375</v>
      </c>
      <c r="KC16" t="s">
        <v>377</v>
      </c>
      <c r="KD16" t="s">
        <v>377</v>
      </c>
      <c r="KE16" t="s">
        <v>377</v>
      </c>
      <c r="KF16" t="s">
        <v>375</v>
      </c>
      <c r="KG16" t="s">
        <v>373</v>
      </c>
      <c r="KH16" t="s">
        <v>380</v>
      </c>
      <c r="KI16" t="s">
        <v>377</v>
      </c>
      <c r="KJ16" t="s">
        <v>377</v>
      </c>
    </row>
    <row r="17" spans="1:296" x14ac:dyDescent="0.3">
      <c r="A17">
        <v>1</v>
      </c>
      <c r="B17">
        <v>1783700380</v>
      </c>
      <c r="C17">
        <v>0</v>
      </c>
      <c r="D17" t="s">
        <v>681</v>
      </c>
      <c r="E17" t="s">
        <v>682</v>
      </c>
      <c r="F17">
        <v>15</v>
      </c>
      <c r="H17">
        <v>1783700372.25</v>
      </c>
      <c r="I17">
        <f t="shared" ref="I17:I29" si="0">(J17)/1000</f>
        <v>3.2521043367004605E-3</v>
      </c>
      <c r="J17">
        <f t="shared" ref="J17:J29" si="1">IF(DO17, AM17, AG17)</f>
        <v>3.2521043367004605</v>
      </c>
      <c r="K17">
        <f t="shared" ref="K17:K29" si="2">IF(DO17, AH17, AF17)</f>
        <v>40.27932187747767</v>
      </c>
      <c r="L17">
        <f t="shared" ref="L17:L29" si="3">DQ17 - IF(AT17&gt;1, K17*DK17*100/(AV17), 0)</f>
        <v>419.58929999999998</v>
      </c>
      <c r="M17">
        <f t="shared" ref="M17:M29" si="4">((S17-I17/2)*L17-K17)/(S17+I17/2)</f>
        <v>118.83989489983759</v>
      </c>
      <c r="N17">
        <f t="shared" ref="N17:N29" si="5">M17*(DX17+DY17)/1000</f>
        <v>11.590903818163655</v>
      </c>
      <c r="O17">
        <f t="shared" ref="O17:O29" si="6">(DQ17 - IF(AT17&gt;1, K17*DK17*100/(AV17), 0))*(DX17+DY17)/1000</f>
        <v>40.924129254150508</v>
      </c>
      <c r="P17">
        <f t="shared" ref="P17:P29" si="7">2/((1/R17-1/Q17)+SIGN(R17)*SQRT((1/R17-1/Q17)*(1/R17-1/Q17) + 4*DL17/((DL17+1)*(DL17+1))*(2*1/R17*1/Q17-1/Q17*1/Q17)))</f>
        <v>0.22711963749547776</v>
      </c>
      <c r="Q17">
        <f t="shared" ref="Q17:Q29" si="8">IF(LEFT(DM17,1)&lt;&gt;"0",IF(LEFT(DM17,1)="1",3,DN17),$D$5+$E$5*(EE17*DX17/($K$5*1000))+$F$5*(EE17*DX17/($K$5*1000))*MAX(MIN(DK17,$J$5),$I$5)*MAX(MIN(DK17,$J$5),$I$5)+$G$5*MAX(MIN(DK17,$J$5),$I$5)*(EE17*DX17/($K$5*1000))+$H$5*(EE17*DX17/($K$5*1000))*(EE17*DX17/($K$5*1000)))</f>
        <v>2.8854496271478256</v>
      </c>
      <c r="R17">
        <f t="shared" ref="R17:R29" si="9">I17*(1000-(1000*0.61365*EXP(17.502*V17/(240.97+V17))/(DX17+DY17)+DS17)/2)/(1000*0.61365*EXP(17.502*V17/(240.97+V17))/(DX17+DY17)-DS17)</f>
        <v>0.21763486907798754</v>
      </c>
      <c r="S17">
        <f t="shared" ref="S17:S29" si="10">1/((DL17+1)/(P17/1.6)+1/(Q17/1.37)) + DL17/((DL17+1)/(P17/1.6) + DL17/(Q17/1.37))</f>
        <v>0.13684095509230121</v>
      </c>
      <c r="T17">
        <f t="shared" ref="T17:T29" si="11">(DG17*DJ17)</f>
        <v>319.77577376463972</v>
      </c>
      <c r="U17">
        <f t="shared" ref="U17:U29" si="12">(DZ17+(T17+2*0.95*0.0000000567*(((DZ17+$B$7)+273)^4-(DZ17+273)^4)-44100*I17)/(1.84*29.3*Q17+8*0.95*0.0000000567*(DZ17+273)^3))</f>
        <v>29.421551927524529</v>
      </c>
      <c r="V17">
        <f t="shared" ref="V17:V29" si="13">($C$7*EA17+$D$7*EB17+$E$7*U17)</f>
        <v>28.526276666666661</v>
      </c>
      <c r="W17">
        <f t="shared" ref="W17:W29" si="14">0.61365*EXP(17.502*V17/(240.97+V17))</f>
        <v>3.9128357795621125</v>
      </c>
      <c r="X17">
        <f t="shared" ref="X17:X29" si="15">(Y17/Z17*100)</f>
        <v>64.569444975983842</v>
      </c>
      <c r="Y17">
        <f t="shared" ref="Y17:Y29" si="16">DS17*(DX17+DY17)/1000</f>
        <v>2.5033328084024649</v>
      </c>
      <c r="Z17">
        <f t="shared" ref="Z17:Z29" si="17">0.61365*EXP(17.502*DZ17/(240.97+DZ17))</f>
        <v>3.8769619428098876</v>
      </c>
      <c r="AA17">
        <f t="shared" ref="AA17:AA29" si="18">(W17-DS17*(DX17+DY17)/1000)</f>
        <v>1.4095029711596476</v>
      </c>
      <c r="AB17">
        <f t="shared" ref="AB17:AB29" si="19">(-I17*44100)</f>
        <v>-143.41780124849032</v>
      </c>
      <c r="AC17">
        <f t="shared" ref="AC17:AC29" si="20">2*29.3*Q17*0.92*(DZ17-V17)</f>
        <v>-24.659428314564657</v>
      </c>
      <c r="AD17">
        <f t="shared" ref="AD17:AD29" si="21">2*0.95*0.0000000567*(((DZ17+$B$7)+273)^4-(V17+273)^4)</f>
        <v>-1.8711720221986246</v>
      </c>
      <c r="AE17">
        <f t="shared" ref="AE17:AE29" si="22">T17+AD17+AB17+AC17</f>
        <v>149.82737217938615</v>
      </c>
      <c r="AF17">
        <f t="shared" ref="AF17:AF29" si="23">DW17*AT17*(DR17-DQ17*(1000-AT17*DT17)/(1000-AT17*DS17))/(100*DK17)</f>
        <v>40.27932187747767</v>
      </c>
      <c r="AG17">
        <f t="shared" ref="AG17:AG29" si="24">1000*DW17*AT17*(DS17-DT17)/(100*DK17*(1000-AT17*DS17))</f>
        <v>3.2521043367004605</v>
      </c>
      <c r="AH17">
        <f t="shared" ref="AH17:AH29" si="25">(AI17 - AJ17 - DX17*1000/(8.314*(DZ17+273.15)) * AL17/DW17 * AK17) * DW17/(100*DK17) * (1000 - DT17)/1000</f>
        <v>40.493410671515051</v>
      </c>
      <c r="AI17">
        <v>480.10385689609302</v>
      </c>
      <c r="AJ17">
        <v>430.63072121212139</v>
      </c>
      <c r="AK17">
        <v>-3.958148333547265E-2</v>
      </c>
      <c r="AL17">
        <v>67.081853366658407</v>
      </c>
      <c r="AM17">
        <f t="shared" ref="AM17:AM29" si="26">(AO17 - AN17 + DX17*1000/(8.314*(DZ17+273.15)) * AQ17/DW17 * AP17) * DW17/(100*DK17) * 1000/(1000 - AO17)</f>
        <v>3.3433607512571877</v>
      </c>
      <c r="AN17">
        <v>21.883805531255419</v>
      </c>
      <c r="AO17">
        <v>25.792323636363641</v>
      </c>
      <c r="AP17">
        <v>2.3963300381347052E-5</v>
      </c>
      <c r="AQ17">
        <v>78.55</v>
      </c>
      <c r="AR17">
        <v>0</v>
      </c>
      <c r="AS17">
        <v>0</v>
      </c>
      <c r="AT17">
        <f t="shared" ref="AT17:AT29" si="27">IF(AR17*$H$13&gt;=AV17,1,(AV17/(AV17-AR17*$H$13)))</f>
        <v>1</v>
      </c>
      <c r="AU17">
        <f t="shared" ref="AU17:AU29" si="28">(AT17-1)*100</f>
        <v>0</v>
      </c>
      <c r="AV17">
        <f t="shared" ref="AV17:AV29" si="29">MAX(0,($B$13+$C$13*EE17)/(1+$D$13*EE17)*DX17/(DZ17+273)*$E$13)</f>
        <v>51324.715667028489</v>
      </c>
      <c r="AW17" t="s">
        <v>683</v>
      </c>
      <c r="AX17">
        <v>5093.91</v>
      </c>
      <c r="AY17">
        <v>567.68235294117642</v>
      </c>
      <c r="AZ17">
        <v>2637.74</v>
      </c>
      <c r="BA17">
        <f t="shared" ref="BA17:BA29" si="30">1-AY17/AZ17</f>
        <v>0.78478456825116338</v>
      </c>
      <c r="BB17">
        <v>-3.2245669412414402</v>
      </c>
      <c r="BC17" t="s">
        <v>684</v>
      </c>
      <c r="BD17">
        <v>5096.57</v>
      </c>
      <c r="BE17">
        <v>744.58394117647072</v>
      </c>
      <c r="BF17">
        <v>860.91</v>
      </c>
      <c r="BG17">
        <f t="shared" ref="BG17:BG29" si="31">1-BE17/BF17</f>
        <v>0.13511988340654568</v>
      </c>
      <c r="BH17">
        <v>0.5</v>
      </c>
      <c r="BI17">
        <f t="shared" ref="BI17:BI29" si="32">DH17</f>
        <v>1680.2912601889327</v>
      </c>
      <c r="BJ17">
        <f t="shared" ref="BJ17:BJ29" si="33">K17</f>
        <v>40.27932187747767</v>
      </c>
      <c r="BK17">
        <f t="shared" ref="BK17:BK29" si="34">BG17*BH17*BI17</f>
        <v>113.52037958288315</v>
      </c>
      <c r="BL17">
        <f t="shared" ref="BL17:BL29" si="35">(BJ17-BB17)/BI17</f>
        <v>2.589068326989186E-2</v>
      </c>
      <c r="BM17">
        <f t="shared" ref="BM17:BM29" si="36">(AZ17-BF17)/BF17</f>
        <v>2.0638975038041143</v>
      </c>
      <c r="BN17">
        <f t="shared" ref="BN17:BN29" si="37">AY17/(BA17+AY17/BF17)</f>
        <v>393.08211852278902</v>
      </c>
      <c r="BO17" t="s">
        <v>407</v>
      </c>
      <c r="BP17">
        <v>0</v>
      </c>
      <c r="BQ17">
        <f t="shared" ref="BQ17:BQ29" si="38">IF(BP17&lt;&gt;0, BP17, BN17)</f>
        <v>393.08211852278902</v>
      </c>
      <c r="BR17">
        <f t="shared" ref="BR17:BR29" si="39">1-BQ17/BF17</f>
        <v>0.54341090413308124</v>
      </c>
      <c r="BS17">
        <f t="shared" ref="BS17:BS29" si="40">(BF17-BE17)/(BF17-BQ17)</f>
        <v>0.24865140242650496</v>
      </c>
      <c r="BT17">
        <f t="shared" ref="BT17:BT29" si="41">(AZ17-BF17)/(AZ17-BQ17)</f>
        <v>0.79158165467544084</v>
      </c>
      <c r="BU17">
        <f t="shared" ref="BU17:BU29" si="42">(BF17-BE17)/(BF17-AY17)</f>
        <v>0.39670904155975928</v>
      </c>
      <c r="BV17">
        <f t="shared" ref="BV17:BV29" si="43">(AZ17-BF17)/(AZ17-AY17)</f>
        <v>0.85834807669465296</v>
      </c>
      <c r="BW17">
        <f t="shared" ref="BW17:BW29" si="44">(BS17*BQ17/BE17)</f>
        <v>0.1312685039715463</v>
      </c>
      <c r="BX17">
        <f t="shared" ref="BX17:BX29" si="45">(1-BW17)</f>
        <v>0.86873149602845368</v>
      </c>
      <c r="DG17">
        <f t="shared" ref="DG17:DG29" si="46">$B$11*EF17+$C$11*EG17+$F$11*ER17*(1-EU17)</f>
        <v>1999.990666666667</v>
      </c>
      <c r="DH17">
        <f t="shared" ref="DH17:DH29" si="47">DG17*DI17</f>
        <v>1680.2912601889327</v>
      </c>
      <c r="DI17">
        <f t="shared" ref="DI17:DI29" si="48">($B$11*$D$9+$C$11*$D$9+$F$11*((FE17+EW17)/MAX(FE17+EW17+FF17, 0.1)*$I$9+FF17/MAX(FE17+EW17+FF17, 0.1)*$J$9))/($B$11+$C$11+$F$11)</f>
        <v>0.84014955079236986</v>
      </c>
      <c r="DJ17">
        <f t="shared" ref="DJ17:DJ29" si="49">($B$11*$K$9+$C$11*$K$9+$F$11*((FE17+EW17)/MAX(FE17+EW17+FF17, 0.1)*$P$9+FF17/MAX(FE17+EW17+FF17, 0.1)*$Q$9))/($B$11+$C$11+$F$11)</f>
        <v>0.15988863302927397</v>
      </c>
      <c r="DK17">
        <v>6</v>
      </c>
      <c r="DL17">
        <v>0.5</v>
      </c>
      <c r="DM17" t="s">
        <v>408</v>
      </c>
      <c r="DN17">
        <v>2</v>
      </c>
      <c r="DO17" t="b">
        <v>0</v>
      </c>
      <c r="DP17">
        <v>1783700372.25</v>
      </c>
      <c r="DQ17">
        <v>419.58929999999998</v>
      </c>
      <c r="DR17">
        <v>469.5633666666667</v>
      </c>
      <c r="DS17">
        <v>25.66631666666667</v>
      </c>
      <c r="DT17">
        <v>21.863846666666671</v>
      </c>
      <c r="DU17">
        <v>425.50723333333337</v>
      </c>
      <c r="DV17">
        <v>26.159316666666669</v>
      </c>
      <c r="DW17">
        <v>499.98576666666668</v>
      </c>
      <c r="DX17">
        <v>97.490983333333347</v>
      </c>
      <c r="DY17">
        <v>4.279375333333333E-2</v>
      </c>
      <c r="DZ17">
        <v>28.367756666666661</v>
      </c>
      <c r="EA17">
        <v>28.526276666666661</v>
      </c>
      <c r="EB17">
        <v>999.9000000000002</v>
      </c>
      <c r="EC17">
        <v>0</v>
      </c>
      <c r="ED17">
        <v>0</v>
      </c>
      <c r="EE17">
        <v>10001.66666666667</v>
      </c>
      <c r="EF17">
        <v>0</v>
      </c>
      <c r="EG17">
        <v>39.421429999999987</v>
      </c>
      <c r="EH17">
        <v>-49.974179999999997</v>
      </c>
      <c r="EI17">
        <v>430.68953333333332</v>
      </c>
      <c r="EJ17">
        <v>480.05930000000001</v>
      </c>
      <c r="EK17">
        <v>3.9096776666666671</v>
      </c>
      <c r="EL17">
        <v>469.5633666666667</v>
      </c>
      <c r="EM17">
        <v>21.863846666666671</v>
      </c>
      <c r="EN17">
        <v>2.512685666666667</v>
      </c>
      <c r="EO17">
        <v>2.1315286666666671</v>
      </c>
      <c r="EP17">
        <v>21.10890333333333</v>
      </c>
      <c r="EQ17">
        <v>18.456753333333332</v>
      </c>
      <c r="ER17">
        <v>1999.990666666667</v>
      </c>
      <c r="ES17">
        <v>0.99500069999999974</v>
      </c>
      <c r="ET17">
        <v>4.9995240000000017E-3</v>
      </c>
      <c r="EU17">
        <v>0</v>
      </c>
      <c r="EV17">
        <v>744.78833333333341</v>
      </c>
      <c r="EW17">
        <v>5.0010700000000003</v>
      </c>
      <c r="EX17">
        <v>18522.46</v>
      </c>
      <c r="EY17">
        <v>18241.55666666666</v>
      </c>
      <c r="EZ17">
        <v>39.5456</v>
      </c>
      <c r="FA17">
        <v>41.582999999999998</v>
      </c>
      <c r="FB17">
        <v>40.103999999999999</v>
      </c>
      <c r="FC17">
        <v>41.129066666666652</v>
      </c>
      <c r="FD17">
        <v>41.02059999999998</v>
      </c>
      <c r="FE17">
        <v>1985.018333333333</v>
      </c>
      <c r="FF17">
        <v>9.9700000000000042</v>
      </c>
      <c r="FG17">
        <v>0</v>
      </c>
      <c r="FH17">
        <v>1261.6000001430509</v>
      </c>
      <c r="FI17">
        <v>0</v>
      </c>
      <c r="FJ17">
        <v>744.58394117647072</v>
      </c>
      <c r="FK17">
        <v>-2.703186284100108</v>
      </c>
      <c r="FL17">
        <v>-68.480400433389434</v>
      </c>
      <c r="FM17">
        <v>18516.370588235292</v>
      </c>
      <c r="FN17">
        <v>10</v>
      </c>
      <c r="FO17">
        <v>1783700401.5</v>
      </c>
      <c r="FP17" t="s">
        <v>685</v>
      </c>
      <c r="FQ17">
        <v>1783698980.5999999</v>
      </c>
      <c r="FR17">
        <v>1783700401.5</v>
      </c>
      <c r="FS17">
        <v>14</v>
      </c>
      <c r="FT17">
        <v>-1E-3</v>
      </c>
      <c r="FU17">
        <v>-5.0000000000000001E-3</v>
      </c>
      <c r="FV17">
        <v>-5.92</v>
      </c>
      <c r="FW17">
        <v>-0.49299999999999999</v>
      </c>
      <c r="FX17">
        <v>420</v>
      </c>
      <c r="FY17">
        <v>22</v>
      </c>
      <c r="FZ17">
        <v>1.46</v>
      </c>
      <c r="GA17">
        <v>0.08</v>
      </c>
      <c r="GB17">
        <v>419.58929999999998</v>
      </c>
      <c r="GC17">
        <v>0.35353948832139093</v>
      </c>
      <c r="GD17">
        <v>7.6433042592849165E-2</v>
      </c>
      <c r="GE17">
        <v>-1</v>
      </c>
      <c r="GF17">
        <v>745.01967647058825</v>
      </c>
      <c r="GG17">
        <v>-4.8549885504926111</v>
      </c>
      <c r="GH17">
        <v>0.54690625718878738</v>
      </c>
      <c r="GI17">
        <v>1</v>
      </c>
      <c r="GJ17">
        <v>3.9112882500000001</v>
      </c>
      <c r="GK17">
        <v>-0.1055465290806868</v>
      </c>
      <c r="GL17">
        <v>2.2328002137170719E-2</v>
      </c>
      <c r="GM17">
        <v>1</v>
      </c>
      <c r="GN17">
        <v>2</v>
      </c>
      <c r="GO17">
        <v>2</v>
      </c>
      <c r="GP17" t="s">
        <v>423</v>
      </c>
      <c r="GQ17">
        <v>3.1316000000000002</v>
      </c>
      <c r="GR17">
        <v>2.7187199999999998</v>
      </c>
      <c r="GS17">
        <v>9.13746E-2</v>
      </c>
      <c r="GT17">
        <v>9.9164699999999995E-2</v>
      </c>
      <c r="GU17">
        <v>0.118906</v>
      </c>
      <c r="GV17">
        <v>0.105397</v>
      </c>
      <c r="GW17">
        <v>22817.7</v>
      </c>
      <c r="GX17">
        <v>30368</v>
      </c>
      <c r="GY17">
        <v>27236.799999999999</v>
      </c>
      <c r="GZ17">
        <v>34659.599999999999</v>
      </c>
      <c r="HA17">
        <v>35141.5</v>
      </c>
      <c r="HB17">
        <v>39293.9</v>
      </c>
      <c r="HC17">
        <v>40218.5</v>
      </c>
      <c r="HD17">
        <v>44005.4</v>
      </c>
      <c r="HE17">
        <v>1.9732000000000001</v>
      </c>
      <c r="HF17">
        <v>1.7036</v>
      </c>
      <c r="HG17">
        <v>-3.4570700000000003E-2</v>
      </c>
      <c r="HH17">
        <v>0</v>
      </c>
      <c r="HI17">
        <v>29.0868</v>
      </c>
      <c r="HJ17">
        <v>999.9</v>
      </c>
      <c r="HK17">
        <v>56</v>
      </c>
      <c r="HL17">
        <v>38.799999999999997</v>
      </c>
      <c r="HM17">
        <v>39.929499999999997</v>
      </c>
      <c r="HN17">
        <v>60.221299999999999</v>
      </c>
      <c r="HO17">
        <v>9.7716399999999997</v>
      </c>
      <c r="HP17">
        <v>1</v>
      </c>
      <c r="HQ17">
        <v>0.46357700000000002</v>
      </c>
      <c r="HR17">
        <v>3.1597</v>
      </c>
      <c r="HS17">
        <v>20.238600000000002</v>
      </c>
      <c r="HT17">
        <v>5.2112999999999996</v>
      </c>
      <c r="HU17">
        <v>11.908099999999999</v>
      </c>
      <c r="HV17">
        <v>4.9859999999999998</v>
      </c>
      <c r="HW17">
        <v>3.2709999999999999</v>
      </c>
      <c r="HX17">
        <v>9999</v>
      </c>
      <c r="HY17">
        <v>9999</v>
      </c>
      <c r="HZ17">
        <v>9999</v>
      </c>
      <c r="IA17">
        <v>999.9</v>
      </c>
      <c r="IB17">
        <v>1.86737</v>
      </c>
      <c r="IC17">
        <v>1.8629500000000001</v>
      </c>
      <c r="ID17">
        <v>1.8624000000000001</v>
      </c>
      <c r="IE17">
        <v>1.86191</v>
      </c>
      <c r="IF17">
        <v>1.8620300000000001</v>
      </c>
      <c r="IG17">
        <v>1.8626400000000001</v>
      </c>
      <c r="IH17">
        <v>1.8634299999999999</v>
      </c>
      <c r="II17">
        <v>1.8614200000000001</v>
      </c>
      <c r="IJ17">
        <v>0</v>
      </c>
      <c r="IK17">
        <v>0</v>
      </c>
      <c r="IL17">
        <v>0</v>
      </c>
      <c r="IM17">
        <v>4.5</v>
      </c>
      <c r="IN17" t="s">
        <v>411</v>
      </c>
      <c r="IO17" t="s">
        <v>412</v>
      </c>
      <c r="IP17" t="s">
        <v>413</v>
      </c>
      <c r="IQ17" t="s">
        <v>414</v>
      </c>
      <c r="IR17" t="s">
        <v>414</v>
      </c>
      <c r="IS17" t="s">
        <v>413</v>
      </c>
      <c r="IT17">
        <v>0</v>
      </c>
      <c r="IU17">
        <v>100</v>
      </c>
      <c r="IV17">
        <v>100</v>
      </c>
      <c r="IW17">
        <v>-5.9180000000000001</v>
      </c>
      <c r="IX17">
        <v>-0.49299999999999999</v>
      </c>
      <c r="IY17">
        <v>-3.9321688573215479</v>
      </c>
      <c r="IZ17">
        <v>-5.6215304933332991E-3</v>
      </c>
      <c r="JA17">
        <v>2.3979931213773931E-6</v>
      </c>
      <c r="JB17">
        <v>-3.6297174575716598E-10</v>
      </c>
      <c r="JC17">
        <v>-0.83886921612613752</v>
      </c>
      <c r="JD17">
        <v>2.7492919904454862E-4</v>
      </c>
      <c r="JE17">
        <v>8.6739513355948885E-4</v>
      </c>
      <c r="JF17">
        <v>-8.2500691715147318E-6</v>
      </c>
      <c r="JG17">
        <v>17</v>
      </c>
      <c r="JH17">
        <v>1914</v>
      </c>
      <c r="JI17">
        <v>2</v>
      </c>
      <c r="JJ17">
        <v>37</v>
      </c>
      <c r="JK17">
        <v>23.3</v>
      </c>
      <c r="JL17">
        <v>23.3</v>
      </c>
      <c r="JM17">
        <v>1.15967</v>
      </c>
      <c r="JN17">
        <v>2.5305200000000001</v>
      </c>
      <c r="JO17">
        <v>1.50024</v>
      </c>
      <c r="JP17">
        <v>2.2705099999999998</v>
      </c>
      <c r="JQ17">
        <v>1.4477500000000001</v>
      </c>
      <c r="JR17">
        <v>2.4401899999999999</v>
      </c>
      <c r="JS17">
        <v>42.992899999999999</v>
      </c>
      <c r="JT17">
        <v>15.0602</v>
      </c>
      <c r="JU17">
        <v>18</v>
      </c>
      <c r="JV17">
        <v>540.65599999999995</v>
      </c>
      <c r="JW17">
        <v>384.64800000000002</v>
      </c>
      <c r="JX17">
        <v>25.049800000000001</v>
      </c>
      <c r="JY17">
        <v>33.018300000000004</v>
      </c>
      <c r="JZ17">
        <v>30.0001</v>
      </c>
      <c r="KA17">
        <v>33.023400000000002</v>
      </c>
      <c r="KB17">
        <v>33.005899999999997</v>
      </c>
      <c r="KC17">
        <v>23.1812</v>
      </c>
      <c r="KD17">
        <v>48.746499999999997</v>
      </c>
      <c r="KE17">
        <v>0</v>
      </c>
      <c r="KF17">
        <v>25.05</v>
      </c>
      <c r="KG17">
        <v>469.88400000000001</v>
      </c>
      <c r="KH17">
        <v>21.927900000000001</v>
      </c>
      <c r="KI17">
        <v>100.51900000000001</v>
      </c>
      <c r="KJ17">
        <v>98.9773</v>
      </c>
    </row>
    <row r="18" spans="1:296" x14ac:dyDescent="0.3">
      <c r="A18">
        <v>2</v>
      </c>
      <c r="B18">
        <v>1783700582.5</v>
      </c>
      <c r="C18">
        <v>202.5</v>
      </c>
      <c r="D18" t="s">
        <v>686</v>
      </c>
      <c r="E18" t="s">
        <v>687</v>
      </c>
      <c r="F18">
        <v>15</v>
      </c>
      <c r="H18">
        <v>1783700574.5</v>
      </c>
      <c r="I18">
        <f t="shared" si="0"/>
        <v>3.4962455872883614E-3</v>
      </c>
      <c r="J18">
        <f t="shared" si="1"/>
        <v>3.4962455872883615</v>
      </c>
      <c r="K18">
        <f t="shared" si="2"/>
        <v>43.317015213923497</v>
      </c>
      <c r="L18">
        <f t="shared" si="3"/>
        <v>419.52877419354832</v>
      </c>
      <c r="M18">
        <f t="shared" si="4"/>
        <v>124.84277434928441</v>
      </c>
      <c r="N18">
        <f t="shared" si="5"/>
        <v>12.17678348829639</v>
      </c>
      <c r="O18">
        <f t="shared" si="6"/>
        <v>40.919557235828975</v>
      </c>
      <c r="P18">
        <f t="shared" si="7"/>
        <v>0.25024580242705058</v>
      </c>
      <c r="Q18">
        <f t="shared" si="8"/>
        <v>2.8841344525993953</v>
      </c>
      <c r="R18">
        <f t="shared" si="9"/>
        <v>0.23877857131318911</v>
      </c>
      <c r="S18">
        <f t="shared" si="10"/>
        <v>0.15022309695587086</v>
      </c>
      <c r="T18">
        <f t="shared" si="11"/>
        <v>271.90705661448396</v>
      </c>
      <c r="U18">
        <f t="shared" si="12"/>
        <v>29.084634878170238</v>
      </c>
      <c r="V18">
        <f t="shared" si="13"/>
        <v>28.47082903225807</v>
      </c>
      <c r="W18">
        <f t="shared" si="14"/>
        <v>3.9002549291247206</v>
      </c>
      <c r="X18">
        <f t="shared" si="15"/>
        <v>64.926336634189909</v>
      </c>
      <c r="Y18">
        <f t="shared" si="16"/>
        <v>2.519095312884605</v>
      </c>
      <c r="Z18">
        <f t="shared" si="17"/>
        <v>3.8799283056393188</v>
      </c>
      <c r="AA18">
        <f t="shared" si="18"/>
        <v>1.3811596162401156</v>
      </c>
      <c r="AB18">
        <f t="shared" si="19"/>
        <v>-154.18443039941673</v>
      </c>
      <c r="AC18">
        <f t="shared" si="20"/>
        <v>-13.981010043569503</v>
      </c>
      <c r="AD18">
        <f t="shared" si="21"/>
        <v>-1.0611476976719949</v>
      </c>
      <c r="AE18">
        <f t="shared" si="22"/>
        <v>102.68046847382577</v>
      </c>
      <c r="AF18">
        <f t="shared" si="23"/>
        <v>43.317015213923497</v>
      </c>
      <c r="AG18">
        <f t="shared" si="24"/>
        <v>3.4962455872883615</v>
      </c>
      <c r="AH18">
        <f t="shared" si="25"/>
        <v>43.323923589329006</v>
      </c>
      <c r="AI18">
        <v>483.93749318749508</v>
      </c>
      <c r="AJ18">
        <v>430.73759999999987</v>
      </c>
      <c r="AK18">
        <v>1.102845558329941E-2</v>
      </c>
      <c r="AL18">
        <v>67.021616431000425</v>
      </c>
      <c r="AM18">
        <f t="shared" si="26"/>
        <v>3.5046569388245854</v>
      </c>
      <c r="AN18">
        <v>21.74526901480521</v>
      </c>
      <c r="AO18">
        <v>25.840392727272739</v>
      </c>
      <c r="AP18">
        <v>2.721456321452236E-4</v>
      </c>
      <c r="AQ18">
        <v>78.55</v>
      </c>
      <c r="AR18">
        <v>0</v>
      </c>
      <c r="AS18">
        <v>0</v>
      </c>
      <c r="AT18">
        <f t="shared" si="27"/>
        <v>1</v>
      </c>
      <c r="AU18">
        <f t="shared" si="28"/>
        <v>0</v>
      </c>
      <c r="AV18">
        <f t="shared" si="29"/>
        <v>51285.314826096379</v>
      </c>
      <c r="AW18" t="s">
        <v>683</v>
      </c>
      <c r="AX18">
        <v>5093.91</v>
      </c>
      <c r="AY18">
        <v>567.68235294117642</v>
      </c>
      <c r="AZ18">
        <v>2637.74</v>
      </c>
      <c r="BA18">
        <f t="shared" si="30"/>
        <v>0.78478456825116338</v>
      </c>
      <c r="BB18">
        <v>-3.2245669412414402</v>
      </c>
      <c r="BC18" t="s">
        <v>688</v>
      </c>
      <c r="BD18">
        <v>5095.05</v>
      </c>
      <c r="BE18">
        <v>741.22058823529414</v>
      </c>
      <c r="BF18">
        <v>910.58</v>
      </c>
      <c r="BG18">
        <f t="shared" si="31"/>
        <v>0.18599070017429098</v>
      </c>
      <c r="BH18">
        <v>0.5</v>
      </c>
      <c r="BI18">
        <f t="shared" si="32"/>
        <v>1428.2929369722376</v>
      </c>
      <c r="BJ18">
        <f t="shared" si="33"/>
        <v>43.317015213923497</v>
      </c>
      <c r="BK18">
        <f t="shared" si="34"/>
        <v>132.82460170073045</v>
      </c>
      <c r="BL18">
        <f t="shared" si="35"/>
        <v>3.2585459852392723E-2</v>
      </c>
      <c r="BM18">
        <f t="shared" si="36"/>
        <v>1.896769092226932</v>
      </c>
      <c r="BN18">
        <f t="shared" si="37"/>
        <v>403.12222528806547</v>
      </c>
      <c r="BO18" t="s">
        <v>407</v>
      </c>
      <c r="BP18">
        <v>0</v>
      </c>
      <c r="BQ18">
        <f t="shared" si="38"/>
        <v>403.12222528806547</v>
      </c>
      <c r="BR18">
        <f t="shared" si="39"/>
        <v>0.55729071000014785</v>
      </c>
      <c r="BS18">
        <f t="shared" si="40"/>
        <v>0.33374089471945739</v>
      </c>
      <c r="BT18">
        <f t="shared" si="41"/>
        <v>0.77291070515298699</v>
      </c>
      <c r="BU18">
        <f t="shared" si="42"/>
        <v>0.49390660221022897</v>
      </c>
      <c r="BV18">
        <f t="shared" si="43"/>
        <v>0.83435357583107939</v>
      </c>
      <c r="BW18">
        <f t="shared" si="44"/>
        <v>0.18150922179488838</v>
      </c>
      <c r="BX18">
        <f t="shared" si="45"/>
        <v>0.81849077820511162</v>
      </c>
      <c r="DG18">
        <f t="shared" si="46"/>
        <v>1699.9851612903219</v>
      </c>
      <c r="DH18">
        <f t="shared" si="47"/>
        <v>1428.2929369722376</v>
      </c>
      <c r="DI18">
        <f t="shared" si="48"/>
        <v>0.84017964950243174</v>
      </c>
      <c r="DJ18">
        <f t="shared" si="49"/>
        <v>0.15994672353969325</v>
      </c>
      <c r="DK18">
        <v>6</v>
      </c>
      <c r="DL18">
        <v>0.5</v>
      </c>
      <c r="DM18" t="s">
        <v>408</v>
      </c>
      <c r="DN18">
        <v>2</v>
      </c>
      <c r="DO18" t="b">
        <v>0</v>
      </c>
      <c r="DP18">
        <v>1783700574.5</v>
      </c>
      <c r="DQ18">
        <v>419.52877419354832</v>
      </c>
      <c r="DR18">
        <v>473.26764516129037</v>
      </c>
      <c r="DS18">
        <v>25.827087096774189</v>
      </c>
      <c r="DT18">
        <v>21.74007741935484</v>
      </c>
      <c r="DU18">
        <v>425.53822580645158</v>
      </c>
      <c r="DV18">
        <v>26.217235483870969</v>
      </c>
      <c r="DW18">
        <v>500.01561290322587</v>
      </c>
      <c r="DX18">
        <v>97.493283870967744</v>
      </c>
      <c r="DY18">
        <v>4.3666519354838687E-2</v>
      </c>
      <c r="DZ18">
        <v>28.380912903225809</v>
      </c>
      <c r="EA18">
        <v>28.47082903225807</v>
      </c>
      <c r="EB18">
        <v>999.90000000000032</v>
      </c>
      <c r="EC18">
        <v>0</v>
      </c>
      <c r="ED18">
        <v>0</v>
      </c>
      <c r="EE18">
        <v>9993.8709677419356</v>
      </c>
      <c r="EF18">
        <v>0</v>
      </c>
      <c r="EG18">
        <v>43.961890322580643</v>
      </c>
      <c r="EH18">
        <v>-53.73896774193549</v>
      </c>
      <c r="EI18">
        <v>430.65125806451613</v>
      </c>
      <c r="EJ18">
        <v>483.78532258064507</v>
      </c>
      <c r="EK18">
        <v>4.0870132258064524</v>
      </c>
      <c r="EL18">
        <v>473.26764516129037</v>
      </c>
      <c r="EM18">
        <v>21.74007741935484</v>
      </c>
      <c r="EN18">
        <v>2.5179667741935492</v>
      </c>
      <c r="EO18">
        <v>2.1195112903225808</v>
      </c>
      <c r="EP18">
        <v>21.143096774193548</v>
      </c>
      <c r="EQ18">
        <v>18.36657741935484</v>
      </c>
      <c r="ER18">
        <v>1699.9851612903219</v>
      </c>
      <c r="ES18">
        <v>0.99399112903225828</v>
      </c>
      <c r="ET18">
        <v>6.0084022580645137E-3</v>
      </c>
      <c r="EU18">
        <v>0</v>
      </c>
      <c r="EV18">
        <v>741.09200000000021</v>
      </c>
      <c r="EW18">
        <v>5.0010700000000003</v>
      </c>
      <c r="EX18">
        <v>16224.93548387097</v>
      </c>
      <c r="EY18">
        <v>15492.309677419349</v>
      </c>
      <c r="EZ18">
        <v>40.330290322580638</v>
      </c>
      <c r="FA18">
        <v>42.533999999999978</v>
      </c>
      <c r="FB18">
        <v>41.15499999999998</v>
      </c>
      <c r="FC18">
        <v>41.84248387096774</v>
      </c>
      <c r="FD18">
        <v>41.811999999999983</v>
      </c>
      <c r="FE18">
        <v>1684.7958064516131</v>
      </c>
      <c r="FF18">
        <v>10.18</v>
      </c>
      <c r="FG18">
        <v>0</v>
      </c>
      <c r="FH18">
        <v>202</v>
      </c>
      <c r="FI18">
        <v>0</v>
      </c>
      <c r="FJ18">
        <v>741.22058823529414</v>
      </c>
      <c r="FK18">
        <v>1.974019631562111</v>
      </c>
      <c r="FL18">
        <v>-176.49509851834691</v>
      </c>
      <c r="FM18">
        <v>16230.917647058821</v>
      </c>
      <c r="FN18">
        <v>10</v>
      </c>
      <c r="FO18">
        <v>1783700476</v>
      </c>
      <c r="FP18" t="s">
        <v>689</v>
      </c>
      <c r="FQ18">
        <v>1783700476</v>
      </c>
      <c r="FR18">
        <v>1783700465.5</v>
      </c>
      <c r="FS18">
        <v>15</v>
      </c>
      <c r="FT18">
        <v>-9.0999999999999998E-2</v>
      </c>
      <c r="FU18">
        <v>-1E-3</v>
      </c>
      <c r="FV18">
        <v>-6.1970000000000001</v>
      </c>
      <c r="FW18">
        <v>-0.49</v>
      </c>
      <c r="FX18">
        <v>470</v>
      </c>
      <c r="FY18">
        <v>22</v>
      </c>
      <c r="FZ18">
        <v>0.15</v>
      </c>
      <c r="GA18">
        <v>0.08</v>
      </c>
      <c r="GB18">
        <v>419.53167741935488</v>
      </c>
      <c r="GC18">
        <v>-3.038709677517017E-2</v>
      </c>
      <c r="GD18">
        <v>6.9564259963771927E-2</v>
      </c>
      <c r="GE18">
        <v>-1</v>
      </c>
      <c r="GF18">
        <v>740.89738235294112</v>
      </c>
      <c r="GG18">
        <v>2.8891520279840002</v>
      </c>
      <c r="GH18">
        <v>0.38668546381248758</v>
      </c>
      <c r="GI18">
        <v>1</v>
      </c>
      <c r="GJ18">
        <v>4.0960482926829256</v>
      </c>
      <c r="GK18">
        <v>-0.1244057142857123</v>
      </c>
      <c r="GL18">
        <v>2.783917304126788E-2</v>
      </c>
      <c r="GM18">
        <v>1</v>
      </c>
      <c r="GN18">
        <v>2</v>
      </c>
      <c r="GO18">
        <v>2</v>
      </c>
      <c r="GP18" t="s">
        <v>423</v>
      </c>
      <c r="GQ18">
        <v>3.1313200000000001</v>
      </c>
      <c r="GR18">
        <v>2.71916</v>
      </c>
      <c r="GS18">
        <v>9.1357999999999995E-2</v>
      </c>
      <c r="GT18">
        <v>9.9736500000000006E-2</v>
      </c>
      <c r="GU18">
        <v>0.119074</v>
      </c>
      <c r="GV18">
        <v>0.10463799999999999</v>
      </c>
      <c r="GW18">
        <v>22815.9</v>
      </c>
      <c r="GX18">
        <v>30346.3</v>
      </c>
      <c r="GY18">
        <v>27234.5</v>
      </c>
      <c r="GZ18">
        <v>34657.4</v>
      </c>
      <c r="HA18">
        <v>35133.300000000003</v>
      </c>
      <c r="HB18">
        <v>39325.300000000003</v>
      </c>
      <c r="HC18">
        <v>40216.400000000001</v>
      </c>
      <c r="HD18">
        <v>44003.1</v>
      </c>
      <c r="HE18">
        <v>1.9722</v>
      </c>
      <c r="HF18">
        <v>1.7</v>
      </c>
      <c r="HG18">
        <v>-4.1127200000000003E-2</v>
      </c>
      <c r="HH18">
        <v>0</v>
      </c>
      <c r="HI18">
        <v>29.154299999999999</v>
      </c>
      <c r="HJ18">
        <v>999.9</v>
      </c>
      <c r="HK18">
        <v>55.9</v>
      </c>
      <c r="HL18">
        <v>39</v>
      </c>
      <c r="HM18">
        <v>40.288400000000003</v>
      </c>
      <c r="HN18">
        <v>60.061300000000003</v>
      </c>
      <c r="HO18">
        <v>9.7476000000000003</v>
      </c>
      <c r="HP18">
        <v>1</v>
      </c>
      <c r="HQ18">
        <v>0.46979700000000002</v>
      </c>
      <c r="HR18">
        <v>3.2096100000000001</v>
      </c>
      <c r="HS18">
        <v>20.240300000000001</v>
      </c>
      <c r="HT18">
        <v>5.2100999999999997</v>
      </c>
      <c r="HU18">
        <v>11.908099999999999</v>
      </c>
      <c r="HV18">
        <v>4.984</v>
      </c>
      <c r="HW18">
        <v>3.2709999999999999</v>
      </c>
      <c r="HX18">
        <v>9999</v>
      </c>
      <c r="HY18">
        <v>9999</v>
      </c>
      <c r="HZ18">
        <v>9999</v>
      </c>
      <c r="IA18">
        <v>999.9</v>
      </c>
      <c r="IB18">
        <v>1.86734</v>
      </c>
      <c r="IC18">
        <v>1.8629500000000001</v>
      </c>
      <c r="ID18">
        <v>1.86243</v>
      </c>
      <c r="IE18">
        <v>1.86188</v>
      </c>
      <c r="IF18">
        <v>1.86191</v>
      </c>
      <c r="IG18">
        <v>1.8625499999999999</v>
      </c>
      <c r="IH18">
        <v>1.8633999999999999</v>
      </c>
      <c r="II18">
        <v>1.8614200000000001</v>
      </c>
      <c r="IJ18">
        <v>0</v>
      </c>
      <c r="IK18">
        <v>0</v>
      </c>
      <c r="IL18">
        <v>0</v>
      </c>
      <c r="IM18">
        <v>4.5</v>
      </c>
      <c r="IN18" t="s">
        <v>411</v>
      </c>
      <c r="IO18" t="s">
        <v>412</v>
      </c>
      <c r="IP18" t="s">
        <v>413</v>
      </c>
      <c r="IQ18" t="s">
        <v>414</v>
      </c>
      <c r="IR18" t="s">
        <v>414</v>
      </c>
      <c r="IS18" t="s">
        <v>413</v>
      </c>
      <c r="IT18">
        <v>0</v>
      </c>
      <c r="IU18">
        <v>100</v>
      </c>
      <c r="IV18">
        <v>100</v>
      </c>
      <c r="IW18">
        <v>-6.0090000000000003</v>
      </c>
      <c r="IX18">
        <v>-0.3896</v>
      </c>
      <c r="IY18">
        <v>-4.0235182465361241</v>
      </c>
      <c r="IZ18">
        <v>-5.6215304933332991E-3</v>
      </c>
      <c r="JA18">
        <v>2.3979931213773931E-6</v>
      </c>
      <c r="JB18">
        <v>-3.6297174575716598E-10</v>
      </c>
      <c r="JC18">
        <v>-0.84489075758289633</v>
      </c>
      <c r="JD18">
        <v>2.7492919904454862E-4</v>
      </c>
      <c r="JE18">
        <v>8.6739513355948885E-4</v>
      </c>
      <c r="JF18">
        <v>-8.2500691715147318E-6</v>
      </c>
      <c r="JG18">
        <v>17</v>
      </c>
      <c r="JH18">
        <v>1914</v>
      </c>
      <c r="JI18">
        <v>2</v>
      </c>
      <c r="JJ18">
        <v>37</v>
      </c>
      <c r="JK18">
        <v>1.8</v>
      </c>
      <c r="JL18">
        <v>1.9</v>
      </c>
      <c r="JM18">
        <v>1.16699</v>
      </c>
      <c r="JN18">
        <v>2.5341800000000001</v>
      </c>
      <c r="JO18">
        <v>1.50024</v>
      </c>
      <c r="JP18">
        <v>2.2705099999999998</v>
      </c>
      <c r="JQ18">
        <v>1.4477500000000001</v>
      </c>
      <c r="JR18">
        <v>2.4291999999999998</v>
      </c>
      <c r="JS18">
        <v>43.100900000000003</v>
      </c>
      <c r="JT18">
        <v>15.0251</v>
      </c>
      <c r="JU18">
        <v>18</v>
      </c>
      <c r="JV18">
        <v>540.69899999999996</v>
      </c>
      <c r="JW18">
        <v>383.17</v>
      </c>
      <c r="JX18">
        <v>25.051100000000002</v>
      </c>
      <c r="JY18">
        <v>33.091999999999999</v>
      </c>
      <c r="JZ18">
        <v>30.0002</v>
      </c>
      <c r="KA18">
        <v>33.1081</v>
      </c>
      <c r="KB18">
        <v>33.0989</v>
      </c>
      <c r="KC18">
        <v>23.339300000000001</v>
      </c>
      <c r="KD18">
        <v>49.359099999999998</v>
      </c>
      <c r="KE18">
        <v>0</v>
      </c>
      <c r="KF18">
        <v>25.05</v>
      </c>
      <c r="KG18">
        <v>473.779</v>
      </c>
      <c r="KH18">
        <v>21.762799999999999</v>
      </c>
      <c r="KI18">
        <v>100.512</v>
      </c>
      <c r="KJ18">
        <v>98.971599999999995</v>
      </c>
    </row>
    <row r="19" spans="1:296" x14ac:dyDescent="0.3">
      <c r="A19">
        <v>3</v>
      </c>
      <c r="B19">
        <v>1783700765</v>
      </c>
      <c r="C19">
        <v>385</v>
      </c>
      <c r="D19" t="s">
        <v>690</v>
      </c>
      <c r="E19" t="s">
        <v>691</v>
      </c>
      <c r="F19">
        <v>15</v>
      </c>
      <c r="H19">
        <v>1783700757.25</v>
      </c>
      <c r="I19">
        <f t="shared" si="0"/>
        <v>3.6380125092882157E-3</v>
      </c>
      <c r="J19">
        <f t="shared" si="1"/>
        <v>3.6380125092882158</v>
      </c>
      <c r="K19">
        <f t="shared" si="2"/>
        <v>46.525467572278487</v>
      </c>
      <c r="L19">
        <f t="shared" si="3"/>
        <v>419.80799999999999</v>
      </c>
      <c r="M19">
        <f t="shared" si="4"/>
        <v>124.59592965851988</v>
      </c>
      <c r="N19">
        <f t="shared" si="5"/>
        <v>12.1520417116585</v>
      </c>
      <c r="O19">
        <f t="shared" si="6"/>
        <v>40.944550442937278</v>
      </c>
      <c r="P19">
        <f t="shared" si="7"/>
        <v>0.26890933765076669</v>
      </c>
      <c r="Q19">
        <f t="shared" si="8"/>
        <v>2.8843584197628038</v>
      </c>
      <c r="R19">
        <f t="shared" si="9"/>
        <v>0.2557172710071503</v>
      </c>
      <c r="S19">
        <f t="shared" si="10"/>
        <v>0.16095460348358168</v>
      </c>
      <c r="T19">
        <f t="shared" si="11"/>
        <v>255.91505634023548</v>
      </c>
      <c r="U19">
        <f t="shared" si="12"/>
        <v>28.872549479164604</v>
      </c>
      <c r="V19">
        <f t="shared" si="13"/>
        <v>28.30242333333333</v>
      </c>
      <c r="W19">
        <f t="shared" si="14"/>
        <v>3.8622603915754512</v>
      </c>
      <c r="X19">
        <f t="shared" si="15"/>
        <v>65.251892049367754</v>
      </c>
      <c r="Y19">
        <f t="shared" si="16"/>
        <v>2.5201075862037006</v>
      </c>
      <c r="Z19">
        <f t="shared" si="17"/>
        <v>3.8621218589294819</v>
      </c>
      <c r="AA19">
        <f t="shared" si="18"/>
        <v>1.3421528053717506</v>
      </c>
      <c r="AB19">
        <f t="shared" si="19"/>
        <v>-160.43635165961032</v>
      </c>
      <c r="AC19">
        <f t="shared" si="20"/>
        <v>-9.5892610859952584E-2</v>
      </c>
      <c r="AD19">
        <f t="shared" si="21"/>
        <v>-7.2686484654542246E-3</v>
      </c>
      <c r="AE19">
        <f t="shared" si="22"/>
        <v>95.375543421299767</v>
      </c>
      <c r="AF19">
        <f t="shared" si="23"/>
        <v>46.525467572278487</v>
      </c>
      <c r="AG19">
        <f t="shared" si="24"/>
        <v>3.6380125092882158</v>
      </c>
      <c r="AH19">
        <f t="shared" si="25"/>
        <v>46.623310107806894</v>
      </c>
      <c r="AI19">
        <v>488.09652997361422</v>
      </c>
      <c r="AJ19">
        <v>430.91846666666618</v>
      </c>
      <c r="AK19">
        <v>-5.0942996080798422E-4</v>
      </c>
      <c r="AL19">
        <v>67.019578117028459</v>
      </c>
      <c r="AM19">
        <f t="shared" si="26"/>
        <v>3.6248514510047269</v>
      </c>
      <c r="AN19">
        <v>21.63650005233767</v>
      </c>
      <c r="AO19">
        <v>25.858493939393931</v>
      </c>
      <c r="AP19">
        <v>2.49225974025783E-3</v>
      </c>
      <c r="AQ19">
        <v>78.55</v>
      </c>
      <c r="AR19">
        <v>0</v>
      </c>
      <c r="AS19">
        <v>0</v>
      </c>
      <c r="AT19">
        <f t="shared" si="27"/>
        <v>1</v>
      </c>
      <c r="AU19">
        <f t="shared" si="28"/>
        <v>0</v>
      </c>
      <c r="AV19">
        <f t="shared" si="29"/>
        <v>51305.010873781415</v>
      </c>
      <c r="AW19" t="s">
        <v>683</v>
      </c>
      <c r="AX19">
        <v>5093.91</v>
      </c>
      <c r="AY19">
        <v>567.68235294117642</v>
      </c>
      <c r="AZ19">
        <v>2637.74</v>
      </c>
      <c r="BA19">
        <f t="shared" si="30"/>
        <v>0.78478456825116338</v>
      </c>
      <c r="BB19">
        <v>-3.2245669412414402</v>
      </c>
      <c r="BC19" t="s">
        <v>692</v>
      </c>
      <c r="BD19">
        <v>5094.6899999999996</v>
      </c>
      <c r="BE19">
        <v>752.59482352941177</v>
      </c>
      <c r="BF19">
        <v>965.55</v>
      </c>
      <c r="BG19">
        <f t="shared" si="31"/>
        <v>0.22055323543119276</v>
      </c>
      <c r="BH19">
        <v>0.5</v>
      </c>
      <c r="BI19">
        <f t="shared" si="32"/>
        <v>1344.2893610053038</v>
      </c>
      <c r="BJ19">
        <f t="shared" si="33"/>
        <v>46.525467572278487</v>
      </c>
      <c r="BK19">
        <f t="shared" si="34"/>
        <v>148.24368396272521</v>
      </c>
      <c r="BL19">
        <f t="shared" si="35"/>
        <v>3.7008426873448748E-2</v>
      </c>
      <c r="BM19">
        <f t="shared" si="36"/>
        <v>1.7318523121536946</v>
      </c>
      <c r="BN19">
        <f t="shared" si="37"/>
        <v>413.54522227011699</v>
      </c>
      <c r="BO19" t="s">
        <v>407</v>
      </c>
      <c r="BP19">
        <v>0</v>
      </c>
      <c r="BQ19">
        <f t="shared" si="38"/>
        <v>413.54522227011699</v>
      </c>
      <c r="BR19">
        <f t="shared" si="39"/>
        <v>0.57169983711861949</v>
      </c>
      <c r="BS19">
        <f t="shared" si="40"/>
        <v>0.38578502408324311</v>
      </c>
      <c r="BT19">
        <f t="shared" si="41"/>
        <v>0.75181814863656637</v>
      </c>
      <c r="BU19">
        <f t="shared" si="42"/>
        <v>0.53524124930696715</v>
      </c>
      <c r="BV19">
        <f t="shared" si="43"/>
        <v>0.80779875979583393</v>
      </c>
      <c r="BW19">
        <f t="shared" si="44"/>
        <v>0.21198598308821923</v>
      </c>
      <c r="BX19">
        <f t="shared" si="45"/>
        <v>0.78801401691178075</v>
      </c>
      <c r="DG19">
        <f t="shared" si="46"/>
        <v>1600.002333333334</v>
      </c>
      <c r="DH19">
        <f t="shared" si="47"/>
        <v>1344.2893610053038</v>
      </c>
      <c r="DI19">
        <f t="shared" si="48"/>
        <v>0.84017962536636093</v>
      </c>
      <c r="DJ19">
        <f t="shared" si="49"/>
        <v>0.15994667695707654</v>
      </c>
      <c r="DK19">
        <v>6</v>
      </c>
      <c r="DL19">
        <v>0.5</v>
      </c>
      <c r="DM19" t="s">
        <v>408</v>
      </c>
      <c r="DN19">
        <v>2</v>
      </c>
      <c r="DO19" t="b">
        <v>0</v>
      </c>
      <c r="DP19">
        <v>1783700757.25</v>
      </c>
      <c r="DQ19">
        <v>419.80799999999999</v>
      </c>
      <c r="DR19">
        <v>477.46966666666663</v>
      </c>
      <c r="DS19">
        <v>25.83888</v>
      </c>
      <c r="DT19">
        <v>21.58618666666667</v>
      </c>
      <c r="DU19">
        <v>425.7688333333333</v>
      </c>
      <c r="DV19">
        <v>26.227143333333341</v>
      </c>
      <c r="DW19">
        <v>500.01400000000001</v>
      </c>
      <c r="DX19">
        <v>97.488323333333312</v>
      </c>
      <c r="DY19">
        <v>4.3287409999999998E-2</v>
      </c>
      <c r="DZ19">
        <v>28.301806666666671</v>
      </c>
      <c r="EA19">
        <v>28.30242333333333</v>
      </c>
      <c r="EB19">
        <v>999.9000000000002</v>
      </c>
      <c r="EC19">
        <v>0</v>
      </c>
      <c r="ED19">
        <v>0</v>
      </c>
      <c r="EE19">
        <v>9995.6666666666661</v>
      </c>
      <c r="EF19">
        <v>0</v>
      </c>
      <c r="EG19">
        <v>49.053576666666672</v>
      </c>
      <c r="EH19">
        <v>-57.661740000000002</v>
      </c>
      <c r="EI19">
        <v>430.94299999999998</v>
      </c>
      <c r="EJ19">
        <v>488.00370000000021</v>
      </c>
      <c r="EK19">
        <v>4.2526853333333339</v>
      </c>
      <c r="EL19">
        <v>477.46966666666663</v>
      </c>
      <c r="EM19">
        <v>21.58618666666667</v>
      </c>
      <c r="EN19">
        <v>2.518988999999999</v>
      </c>
      <c r="EO19">
        <v>2.1044013333333331</v>
      </c>
      <c r="EP19">
        <v>21.14971000000001</v>
      </c>
      <c r="EQ19">
        <v>18.252500000000001</v>
      </c>
      <c r="ER19">
        <v>1600.002333333334</v>
      </c>
      <c r="ES19">
        <v>0.99399133333333356</v>
      </c>
      <c r="ET19">
        <v>6.0083826666666651E-3</v>
      </c>
      <c r="EU19">
        <v>0</v>
      </c>
      <c r="EV19">
        <v>752.49956666666662</v>
      </c>
      <c r="EW19">
        <v>5.0010700000000003</v>
      </c>
      <c r="EX19">
        <v>15702.83</v>
      </c>
      <c r="EY19">
        <v>14578.47333333333</v>
      </c>
      <c r="EZ19">
        <v>40.561999999999983</v>
      </c>
      <c r="FA19">
        <v>42.835099999999983</v>
      </c>
      <c r="FB19">
        <v>41.457999999999977</v>
      </c>
      <c r="FC19">
        <v>42.191199999999981</v>
      </c>
      <c r="FD19">
        <v>42.125</v>
      </c>
      <c r="FE19">
        <v>1585.415666666667</v>
      </c>
      <c r="FF19">
        <v>9.58</v>
      </c>
      <c r="FG19">
        <v>0</v>
      </c>
      <c r="FH19">
        <v>181.60000014305109</v>
      </c>
      <c r="FI19">
        <v>0</v>
      </c>
      <c r="FJ19">
        <v>752.59482352941177</v>
      </c>
      <c r="FK19">
        <v>3.729411731315297</v>
      </c>
      <c r="FL19">
        <v>-418.16176133835131</v>
      </c>
      <c r="FM19">
        <v>15712.71176470588</v>
      </c>
      <c r="FN19">
        <v>10</v>
      </c>
      <c r="FO19">
        <v>1783700640</v>
      </c>
      <c r="FP19" t="s">
        <v>693</v>
      </c>
      <c r="FQ19">
        <v>1783700635.5</v>
      </c>
      <c r="FR19">
        <v>1783700640</v>
      </c>
      <c r="FS19">
        <v>16</v>
      </c>
      <c r="FT19">
        <v>4.9000000000000002E-2</v>
      </c>
      <c r="FU19">
        <v>2E-3</v>
      </c>
      <c r="FV19">
        <v>-6.1630000000000003</v>
      </c>
      <c r="FW19">
        <v>-0.498</v>
      </c>
      <c r="FX19">
        <v>475</v>
      </c>
      <c r="FY19">
        <v>22</v>
      </c>
      <c r="FZ19">
        <v>0.2</v>
      </c>
      <c r="GA19">
        <v>0.06</v>
      </c>
      <c r="GB19">
        <v>419.81006666666678</v>
      </c>
      <c r="GC19">
        <v>-0.19712569521744669</v>
      </c>
      <c r="GD19">
        <v>5.6771432565644583E-2</v>
      </c>
      <c r="GE19">
        <v>-1</v>
      </c>
      <c r="GF19">
        <v>752.37199999999996</v>
      </c>
      <c r="GG19">
        <v>1.938915197583029</v>
      </c>
      <c r="GH19">
        <v>0.32318534110613162</v>
      </c>
      <c r="GI19">
        <v>1</v>
      </c>
      <c r="GJ19">
        <v>4.2687860000000004</v>
      </c>
      <c r="GK19">
        <v>-0.36910874296435731</v>
      </c>
      <c r="GL19">
        <v>4.1414506262902613E-2</v>
      </c>
      <c r="GM19">
        <v>1</v>
      </c>
      <c r="GN19">
        <v>2</v>
      </c>
      <c r="GO19">
        <v>2</v>
      </c>
      <c r="GP19" t="s">
        <v>423</v>
      </c>
      <c r="GQ19">
        <v>3.1311399999999998</v>
      </c>
      <c r="GR19">
        <v>2.7194400000000001</v>
      </c>
      <c r="GS19">
        <v>9.1370499999999993E-2</v>
      </c>
      <c r="GT19">
        <v>0.100314</v>
      </c>
      <c r="GU19">
        <v>0.119092</v>
      </c>
      <c r="GV19">
        <v>0.10424600000000001</v>
      </c>
      <c r="GW19">
        <v>22814.6</v>
      </c>
      <c r="GX19">
        <v>30323.599999999999</v>
      </c>
      <c r="GY19">
        <v>27233.5</v>
      </c>
      <c r="GZ19">
        <v>34654.1</v>
      </c>
      <c r="HA19">
        <v>35131.300000000003</v>
      </c>
      <c r="HB19">
        <v>39339.5</v>
      </c>
      <c r="HC19">
        <v>40214.6</v>
      </c>
      <c r="HD19">
        <v>43999.5</v>
      </c>
      <c r="HE19">
        <v>1.9705999999999999</v>
      </c>
      <c r="HF19">
        <v>1.6983999999999999</v>
      </c>
      <c r="HG19">
        <v>-4.48227E-2</v>
      </c>
      <c r="HH19">
        <v>0</v>
      </c>
      <c r="HI19">
        <v>29.019400000000001</v>
      </c>
      <c r="HJ19">
        <v>999.9</v>
      </c>
      <c r="HK19">
        <v>55.7</v>
      </c>
      <c r="HL19">
        <v>39.200000000000003</v>
      </c>
      <c r="HM19">
        <v>40.579300000000003</v>
      </c>
      <c r="HN19">
        <v>60.121299999999998</v>
      </c>
      <c r="HO19">
        <v>9.375</v>
      </c>
      <c r="HP19">
        <v>1</v>
      </c>
      <c r="HQ19">
        <v>0.47371999999999997</v>
      </c>
      <c r="HR19">
        <v>3.1154899999999999</v>
      </c>
      <c r="HS19">
        <v>20.242899999999999</v>
      </c>
      <c r="HT19">
        <v>5.2100999999999997</v>
      </c>
      <c r="HU19">
        <v>11.908099999999999</v>
      </c>
      <c r="HV19">
        <v>4.9847999999999999</v>
      </c>
      <c r="HW19">
        <v>3.2706</v>
      </c>
      <c r="HX19">
        <v>9999</v>
      </c>
      <c r="HY19">
        <v>9999</v>
      </c>
      <c r="HZ19">
        <v>9999</v>
      </c>
      <c r="IA19">
        <v>999.9</v>
      </c>
      <c r="IB19">
        <v>1.86737</v>
      </c>
      <c r="IC19">
        <v>1.8629500000000001</v>
      </c>
      <c r="ID19">
        <v>1.86246</v>
      </c>
      <c r="IE19">
        <v>1.86191</v>
      </c>
      <c r="IF19">
        <v>1.8619699999999999</v>
      </c>
      <c r="IG19">
        <v>1.8625499999999999</v>
      </c>
      <c r="IH19">
        <v>1.8633999999999999</v>
      </c>
      <c r="II19">
        <v>1.8614200000000001</v>
      </c>
      <c r="IJ19">
        <v>0</v>
      </c>
      <c r="IK19">
        <v>0</v>
      </c>
      <c r="IL19">
        <v>0</v>
      </c>
      <c r="IM19">
        <v>4.5</v>
      </c>
      <c r="IN19" t="s">
        <v>411</v>
      </c>
      <c r="IO19" t="s">
        <v>412</v>
      </c>
      <c r="IP19" t="s">
        <v>413</v>
      </c>
      <c r="IQ19" t="s">
        <v>414</v>
      </c>
      <c r="IR19" t="s">
        <v>414</v>
      </c>
      <c r="IS19" t="s">
        <v>413</v>
      </c>
      <c r="IT19">
        <v>0</v>
      </c>
      <c r="IU19">
        <v>100</v>
      </c>
      <c r="IV19">
        <v>100</v>
      </c>
      <c r="IW19">
        <v>-5.96</v>
      </c>
      <c r="IX19">
        <v>-0.38769999999999999</v>
      </c>
      <c r="IY19">
        <v>-3.9740975037712918</v>
      </c>
      <c r="IZ19">
        <v>-5.6215304933332991E-3</v>
      </c>
      <c r="JA19">
        <v>2.3979931213773931E-6</v>
      </c>
      <c r="JB19">
        <v>-3.6297174575716598E-10</v>
      </c>
      <c r="JC19">
        <v>-0.84328387872820421</v>
      </c>
      <c r="JD19">
        <v>2.7492919904454862E-4</v>
      </c>
      <c r="JE19">
        <v>8.6739513355948885E-4</v>
      </c>
      <c r="JF19">
        <v>-8.2500691715147318E-6</v>
      </c>
      <c r="JG19">
        <v>17</v>
      </c>
      <c r="JH19">
        <v>1914</v>
      </c>
      <c r="JI19">
        <v>2</v>
      </c>
      <c r="JJ19">
        <v>37</v>
      </c>
      <c r="JK19">
        <v>2.2000000000000002</v>
      </c>
      <c r="JL19">
        <v>2.1</v>
      </c>
      <c r="JM19">
        <v>1.17554</v>
      </c>
      <c r="JN19">
        <v>2.5488300000000002</v>
      </c>
      <c r="JO19">
        <v>1.50024</v>
      </c>
      <c r="JP19">
        <v>2.2705099999999998</v>
      </c>
      <c r="JQ19">
        <v>1.4477500000000001</v>
      </c>
      <c r="JR19">
        <v>2.323</v>
      </c>
      <c r="JS19">
        <v>43.209099999999999</v>
      </c>
      <c r="JT19">
        <v>14.9726</v>
      </c>
      <c r="JU19">
        <v>18</v>
      </c>
      <c r="JV19">
        <v>540.20100000000002</v>
      </c>
      <c r="JW19">
        <v>382.62099999999998</v>
      </c>
      <c r="JX19">
        <v>25.0488</v>
      </c>
      <c r="JY19">
        <v>33.149900000000002</v>
      </c>
      <c r="JZ19">
        <v>29.9999</v>
      </c>
      <c r="KA19">
        <v>33.175400000000003</v>
      </c>
      <c r="KB19">
        <v>33.1571</v>
      </c>
      <c r="KC19">
        <v>23.505299999999998</v>
      </c>
      <c r="KD19">
        <v>49.623100000000001</v>
      </c>
      <c r="KE19">
        <v>0</v>
      </c>
      <c r="KF19">
        <v>25.05</v>
      </c>
      <c r="KG19">
        <v>477.755</v>
      </c>
      <c r="KH19">
        <v>21.6082</v>
      </c>
      <c r="KI19">
        <v>100.508</v>
      </c>
      <c r="KJ19">
        <v>98.962900000000005</v>
      </c>
    </row>
    <row r="20" spans="1:296" x14ac:dyDescent="0.3">
      <c r="A20">
        <v>4</v>
      </c>
      <c r="B20">
        <v>1783700947.5</v>
      </c>
      <c r="C20">
        <v>567.5</v>
      </c>
      <c r="D20" t="s">
        <v>694</v>
      </c>
      <c r="E20" t="s">
        <v>695</v>
      </c>
      <c r="F20">
        <v>15</v>
      </c>
      <c r="H20">
        <v>1783700939.5</v>
      </c>
      <c r="I20">
        <f t="shared" si="0"/>
        <v>3.6524493924445264E-3</v>
      </c>
      <c r="J20">
        <f t="shared" si="1"/>
        <v>3.6524493924445265</v>
      </c>
      <c r="K20">
        <f t="shared" si="2"/>
        <v>46.733445952271786</v>
      </c>
      <c r="L20">
        <f t="shared" si="3"/>
        <v>419.74993548387101</v>
      </c>
      <c r="M20">
        <f t="shared" si="4"/>
        <v>124.96379937431583</v>
      </c>
      <c r="N20">
        <f t="shared" si="5"/>
        <v>12.186597638812261</v>
      </c>
      <c r="O20">
        <f t="shared" si="6"/>
        <v>40.934443400979923</v>
      </c>
      <c r="P20">
        <f t="shared" si="7"/>
        <v>0.27057104301940232</v>
      </c>
      <c r="Q20">
        <f t="shared" si="8"/>
        <v>2.8847505374101852</v>
      </c>
      <c r="R20">
        <f t="shared" si="9"/>
        <v>0.25722150071924926</v>
      </c>
      <c r="S20">
        <f t="shared" si="10"/>
        <v>0.16190793860639163</v>
      </c>
      <c r="T20">
        <f t="shared" si="11"/>
        <v>224.00623621326295</v>
      </c>
      <c r="U20">
        <f t="shared" si="12"/>
        <v>28.56462326883409</v>
      </c>
      <c r="V20">
        <f t="shared" si="13"/>
        <v>28.174890322580641</v>
      </c>
      <c r="W20">
        <f t="shared" si="14"/>
        <v>3.83370249429337</v>
      </c>
      <c r="X20">
        <f t="shared" si="15"/>
        <v>64.999766100107649</v>
      </c>
      <c r="Y20">
        <f t="shared" si="16"/>
        <v>2.4938648720048606</v>
      </c>
      <c r="Z20">
        <f t="shared" si="17"/>
        <v>3.8367289940151501</v>
      </c>
      <c r="AA20">
        <f t="shared" si="18"/>
        <v>1.3398376222885093</v>
      </c>
      <c r="AB20">
        <f t="shared" si="19"/>
        <v>-161.07301820680362</v>
      </c>
      <c r="AC20">
        <f t="shared" si="20"/>
        <v>2.108084720736894</v>
      </c>
      <c r="AD20">
        <f t="shared" si="21"/>
        <v>0.15957931885612622</v>
      </c>
      <c r="AE20">
        <f t="shared" si="22"/>
        <v>65.200882046052342</v>
      </c>
      <c r="AF20">
        <f t="shared" si="23"/>
        <v>46.733445952271786</v>
      </c>
      <c r="AG20">
        <f t="shared" si="24"/>
        <v>3.6524493924445265</v>
      </c>
      <c r="AH20">
        <f t="shared" si="25"/>
        <v>46.696286360862302</v>
      </c>
      <c r="AI20">
        <v>488.1433067510556</v>
      </c>
      <c r="AJ20">
        <v>430.7458424242422</v>
      </c>
      <c r="AK20">
        <v>2.7089011721827819E-2</v>
      </c>
      <c r="AL20">
        <v>67.077918483413455</v>
      </c>
      <c r="AM20">
        <f t="shared" si="26"/>
        <v>3.6538985699077537</v>
      </c>
      <c r="AN20">
        <v>21.296823874545471</v>
      </c>
      <c r="AO20">
        <v>25.56979212121211</v>
      </c>
      <c r="AP20">
        <v>-5.5433872249797878E-5</v>
      </c>
      <c r="AQ20">
        <v>78.55</v>
      </c>
      <c r="AR20">
        <v>0</v>
      </c>
      <c r="AS20">
        <v>0</v>
      </c>
      <c r="AT20">
        <f t="shared" si="27"/>
        <v>1</v>
      </c>
      <c r="AU20">
        <f t="shared" si="28"/>
        <v>0</v>
      </c>
      <c r="AV20">
        <f t="shared" si="29"/>
        <v>51335.188451633963</v>
      </c>
      <c r="AW20" t="s">
        <v>683</v>
      </c>
      <c r="AX20">
        <v>5093.91</v>
      </c>
      <c r="AY20">
        <v>567.68235294117642</v>
      </c>
      <c r="AZ20">
        <v>2637.74</v>
      </c>
      <c r="BA20">
        <f t="shared" si="30"/>
        <v>0.78478456825116338</v>
      </c>
      <c r="BB20">
        <v>-3.2245669412414402</v>
      </c>
      <c r="BC20" t="s">
        <v>696</v>
      </c>
      <c r="BD20">
        <v>5095.78</v>
      </c>
      <c r="BE20">
        <v>763.61682352941182</v>
      </c>
      <c r="BF20">
        <v>1044.3800000000001</v>
      </c>
      <c r="BG20">
        <f t="shared" si="31"/>
        <v>0.26883239478981624</v>
      </c>
      <c r="BH20">
        <v>0.5</v>
      </c>
      <c r="BI20">
        <f t="shared" si="32"/>
        <v>1176.2987610665411</v>
      </c>
      <c r="BJ20">
        <f t="shared" si="33"/>
        <v>46.733445952271786</v>
      </c>
      <c r="BK20">
        <f t="shared" si="34"/>
        <v>158.11360646290606</v>
      </c>
      <c r="BL20">
        <f t="shared" si="35"/>
        <v>4.2470513909422705E-2</v>
      </c>
      <c r="BM20">
        <f t="shared" si="36"/>
        <v>1.5256515827572334</v>
      </c>
      <c r="BN20">
        <f t="shared" si="37"/>
        <v>427.3610252792904</v>
      </c>
      <c r="BO20" t="s">
        <v>407</v>
      </c>
      <c r="BP20">
        <v>0</v>
      </c>
      <c r="BQ20">
        <f t="shared" si="38"/>
        <v>427.3610252792904</v>
      </c>
      <c r="BR20">
        <f t="shared" si="39"/>
        <v>0.59079930171078499</v>
      </c>
      <c r="BS20">
        <f t="shared" si="40"/>
        <v>0.45503167321179094</v>
      </c>
      <c r="BT20">
        <f t="shared" si="41"/>
        <v>0.72085376228360454</v>
      </c>
      <c r="BU20">
        <f t="shared" si="42"/>
        <v>0.58897537716594306</v>
      </c>
      <c r="BV20">
        <f t="shared" si="43"/>
        <v>0.76971769470472251</v>
      </c>
      <c r="BW20">
        <f t="shared" si="44"/>
        <v>0.25466018611211488</v>
      </c>
      <c r="BX20">
        <f t="shared" si="45"/>
        <v>0.74533981388788506</v>
      </c>
      <c r="DG20">
        <f t="shared" si="46"/>
        <v>1400.007096774194</v>
      </c>
      <c r="DH20">
        <f t="shared" si="47"/>
        <v>1176.2987610665411</v>
      </c>
      <c r="DI20">
        <f t="shared" si="48"/>
        <v>0.84020914163713378</v>
      </c>
      <c r="DJ20">
        <f t="shared" si="49"/>
        <v>0.16000364335966843</v>
      </c>
      <c r="DK20">
        <v>6</v>
      </c>
      <c r="DL20">
        <v>0.5</v>
      </c>
      <c r="DM20" t="s">
        <v>408</v>
      </c>
      <c r="DN20">
        <v>2</v>
      </c>
      <c r="DO20" t="b">
        <v>0</v>
      </c>
      <c r="DP20">
        <v>1783700939.5</v>
      </c>
      <c r="DQ20">
        <v>419.74993548387101</v>
      </c>
      <c r="DR20">
        <v>477.67070967741932</v>
      </c>
      <c r="DS20">
        <v>25.572587096774189</v>
      </c>
      <c r="DT20">
        <v>21.30166451612903</v>
      </c>
      <c r="DU20">
        <v>425.69593548387098</v>
      </c>
      <c r="DV20">
        <v>25.96538709677419</v>
      </c>
      <c r="DW20">
        <v>499.99222580645159</v>
      </c>
      <c r="DX20">
        <v>97.477483870967731</v>
      </c>
      <c r="DY20">
        <v>4.3539816129032273E-2</v>
      </c>
      <c r="DZ20">
        <v>28.188445161290328</v>
      </c>
      <c r="EA20">
        <v>28.174890322580641</v>
      </c>
      <c r="EB20">
        <v>999.90000000000032</v>
      </c>
      <c r="EC20">
        <v>0</v>
      </c>
      <c r="ED20">
        <v>0</v>
      </c>
      <c r="EE20">
        <v>9999.032258064517</v>
      </c>
      <c r="EF20">
        <v>0</v>
      </c>
      <c r="EG20">
        <v>46.845896774193548</v>
      </c>
      <c r="EH20">
        <v>-57.920854838709673</v>
      </c>
      <c r="EI20">
        <v>430.76570967741941</v>
      </c>
      <c r="EJ20">
        <v>488.06745161290308</v>
      </c>
      <c r="EK20">
        <v>4.270926129032258</v>
      </c>
      <c r="EL20">
        <v>477.67070967741932</v>
      </c>
      <c r="EM20">
        <v>21.30166451612903</v>
      </c>
      <c r="EN20">
        <v>2.492751935483871</v>
      </c>
      <c r="EO20">
        <v>2.076433225806452</v>
      </c>
      <c r="EP20">
        <v>20.97925161290323</v>
      </c>
      <c r="EQ20">
        <v>18.039522580645169</v>
      </c>
      <c r="ER20">
        <v>1400.007096774194</v>
      </c>
      <c r="ES20">
        <v>0.99300206451612927</v>
      </c>
      <c r="ET20">
        <v>6.9981025806451639E-3</v>
      </c>
      <c r="EU20">
        <v>0</v>
      </c>
      <c r="EV20">
        <v>763.28483870967727</v>
      </c>
      <c r="EW20">
        <v>5.0010700000000003</v>
      </c>
      <c r="EX20">
        <v>14357.787096774189</v>
      </c>
      <c r="EY20">
        <v>12745.6</v>
      </c>
      <c r="EZ20">
        <v>40.328258064516113</v>
      </c>
      <c r="FA20">
        <v>42.75</v>
      </c>
      <c r="FB20">
        <v>41.375</v>
      </c>
      <c r="FC20">
        <v>42.125</v>
      </c>
      <c r="FD20">
        <v>41.936999999999983</v>
      </c>
      <c r="FE20">
        <v>1385.2470967741931</v>
      </c>
      <c r="FF20">
        <v>9.759999999999998</v>
      </c>
      <c r="FG20">
        <v>0</v>
      </c>
      <c r="FH20">
        <v>182</v>
      </c>
      <c r="FI20">
        <v>0</v>
      </c>
      <c r="FJ20">
        <v>763.61682352941182</v>
      </c>
      <c r="FK20">
        <v>6.6318627751784023</v>
      </c>
      <c r="FL20">
        <v>240.19607550231879</v>
      </c>
      <c r="FM20">
        <v>14362.411764705879</v>
      </c>
      <c r="FN20">
        <v>10</v>
      </c>
      <c r="FO20">
        <v>1783700848</v>
      </c>
      <c r="FP20" t="s">
        <v>422</v>
      </c>
      <c r="FQ20">
        <v>1783700841</v>
      </c>
      <c r="FR20">
        <v>1783700848</v>
      </c>
      <c r="FS20">
        <v>17</v>
      </c>
      <c r="FT20">
        <v>1.4999999999999999E-2</v>
      </c>
      <c r="FU20">
        <v>3.0000000000000001E-3</v>
      </c>
      <c r="FV20">
        <v>-6.157</v>
      </c>
      <c r="FW20">
        <v>-0.503</v>
      </c>
      <c r="FX20">
        <v>477</v>
      </c>
      <c r="FY20">
        <v>21</v>
      </c>
      <c r="FZ20">
        <v>0.17</v>
      </c>
      <c r="GA20">
        <v>0.06</v>
      </c>
      <c r="GB20">
        <v>419.75474193548382</v>
      </c>
      <c r="GC20">
        <v>-0.60479032258066012</v>
      </c>
      <c r="GD20">
        <v>7.0559500282565121E-2</v>
      </c>
      <c r="GE20">
        <v>-1</v>
      </c>
      <c r="GF20">
        <v>763.10105882352934</v>
      </c>
      <c r="GG20">
        <v>3.4349885392899919</v>
      </c>
      <c r="GH20">
        <v>0.46606866075697828</v>
      </c>
      <c r="GI20">
        <v>1</v>
      </c>
      <c r="GJ20">
        <v>4.2697299999999991</v>
      </c>
      <c r="GK20">
        <v>3.4400696864108113E-2</v>
      </c>
      <c r="GL20">
        <v>5.0985622076587132E-3</v>
      </c>
      <c r="GM20">
        <v>1</v>
      </c>
      <c r="GN20">
        <v>2</v>
      </c>
      <c r="GO20">
        <v>2</v>
      </c>
      <c r="GP20" t="s">
        <v>423</v>
      </c>
      <c r="GQ20">
        <v>3.1305000000000001</v>
      </c>
      <c r="GR20">
        <v>2.7202500000000001</v>
      </c>
      <c r="GS20">
        <v>9.1354699999999997E-2</v>
      </c>
      <c r="GT20">
        <v>0.100353</v>
      </c>
      <c r="GU20">
        <v>0.118201</v>
      </c>
      <c r="GV20">
        <v>0.103086</v>
      </c>
      <c r="GW20">
        <v>22817.599999999999</v>
      </c>
      <c r="GX20">
        <v>30325.5</v>
      </c>
      <c r="GY20">
        <v>27236.2</v>
      </c>
      <c r="GZ20">
        <v>34657.1</v>
      </c>
      <c r="HA20">
        <v>35170.699999999997</v>
      </c>
      <c r="HB20">
        <v>39392.699999999997</v>
      </c>
      <c r="HC20">
        <v>40219.4</v>
      </c>
      <c r="HD20">
        <v>44002.1</v>
      </c>
      <c r="HE20">
        <v>1.9725999999999999</v>
      </c>
      <c r="HF20">
        <v>1.698</v>
      </c>
      <c r="HG20">
        <v>-4.5597600000000002E-2</v>
      </c>
      <c r="HH20">
        <v>0</v>
      </c>
      <c r="HI20">
        <v>28.9224</v>
      </c>
      <c r="HJ20">
        <v>999.9</v>
      </c>
      <c r="HK20">
        <v>55.1</v>
      </c>
      <c r="HL20">
        <v>39.299999999999997</v>
      </c>
      <c r="HM20">
        <v>40.360500000000002</v>
      </c>
      <c r="HN20">
        <v>60.191299999999998</v>
      </c>
      <c r="HO20">
        <v>9.8277199999999993</v>
      </c>
      <c r="HP20">
        <v>1</v>
      </c>
      <c r="HQ20">
        <v>0.46556900000000001</v>
      </c>
      <c r="HR20">
        <v>3.0551200000000001</v>
      </c>
      <c r="HS20">
        <v>20.245200000000001</v>
      </c>
      <c r="HT20">
        <v>5.2088999999999999</v>
      </c>
      <c r="HU20">
        <v>11.908099999999999</v>
      </c>
      <c r="HV20">
        <v>4.984</v>
      </c>
      <c r="HW20">
        <v>3.2709999999999999</v>
      </c>
      <c r="HX20">
        <v>9999</v>
      </c>
      <c r="HY20">
        <v>9999</v>
      </c>
      <c r="HZ20">
        <v>9999</v>
      </c>
      <c r="IA20">
        <v>999.9</v>
      </c>
      <c r="IB20">
        <v>1.86737</v>
      </c>
      <c r="IC20">
        <v>1.8629500000000001</v>
      </c>
      <c r="ID20">
        <v>1.86249</v>
      </c>
      <c r="IE20">
        <v>1.8619399999999999</v>
      </c>
      <c r="IF20">
        <v>1.8619699999999999</v>
      </c>
      <c r="IG20">
        <v>1.8625799999999999</v>
      </c>
      <c r="IH20">
        <v>1.8634299999999999</v>
      </c>
      <c r="II20">
        <v>1.8614200000000001</v>
      </c>
      <c r="IJ20">
        <v>0</v>
      </c>
      <c r="IK20">
        <v>0</v>
      </c>
      <c r="IL20">
        <v>0</v>
      </c>
      <c r="IM20">
        <v>4.5</v>
      </c>
      <c r="IN20" t="s">
        <v>411</v>
      </c>
      <c r="IO20" t="s">
        <v>412</v>
      </c>
      <c r="IP20" t="s">
        <v>413</v>
      </c>
      <c r="IQ20" t="s">
        <v>414</v>
      </c>
      <c r="IR20" t="s">
        <v>414</v>
      </c>
      <c r="IS20" t="s">
        <v>413</v>
      </c>
      <c r="IT20">
        <v>0</v>
      </c>
      <c r="IU20">
        <v>100</v>
      </c>
      <c r="IV20">
        <v>100</v>
      </c>
      <c r="IW20">
        <v>-5.9450000000000003</v>
      </c>
      <c r="IX20">
        <v>-0.39269999999999999</v>
      </c>
      <c r="IY20">
        <v>-3.9593706033099512</v>
      </c>
      <c r="IZ20">
        <v>-5.6215304933332991E-3</v>
      </c>
      <c r="JA20">
        <v>2.3979931213773931E-6</v>
      </c>
      <c r="JB20">
        <v>-3.6297174575716598E-10</v>
      </c>
      <c r="JC20">
        <v>-0.8403079477312585</v>
      </c>
      <c r="JD20">
        <v>2.7492919904454862E-4</v>
      </c>
      <c r="JE20">
        <v>8.6739513355948885E-4</v>
      </c>
      <c r="JF20">
        <v>-8.2500691715147318E-6</v>
      </c>
      <c r="JG20">
        <v>17</v>
      </c>
      <c r="JH20">
        <v>1914</v>
      </c>
      <c r="JI20">
        <v>2</v>
      </c>
      <c r="JJ20">
        <v>37</v>
      </c>
      <c r="JK20">
        <v>1.8</v>
      </c>
      <c r="JL20">
        <v>1.7</v>
      </c>
      <c r="JM20">
        <v>1.17554</v>
      </c>
      <c r="JN20">
        <v>2.5366200000000001</v>
      </c>
      <c r="JO20">
        <v>1.50024</v>
      </c>
      <c r="JP20">
        <v>2.2705099999999998</v>
      </c>
      <c r="JQ20">
        <v>1.4477500000000001</v>
      </c>
      <c r="JR20">
        <v>2.4499499999999999</v>
      </c>
      <c r="JS20">
        <v>43.290399999999998</v>
      </c>
      <c r="JT20">
        <v>14.9551</v>
      </c>
      <c r="JU20">
        <v>18</v>
      </c>
      <c r="JV20">
        <v>541.06200000000001</v>
      </c>
      <c r="JW20">
        <v>382.15100000000001</v>
      </c>
      <c r="JX20">
        <v>25.049800000000001</v>
      </c>
      <c r="JY20">
        <v>33.047800000000002</v>
      </c>
      <c r="JZ20">
        <v>30.000299999999999</v>
      </c>
      <c r="KA20">
        <v>33.119799999999998</v>
      </c>
      <c r="KB20">
        <v>33.116399999999999</v>
      </c>
      <c r="KC20">
        <v>23.514099999999999</v>
      </c>
      <c r="KD20">
        <v>49.902099999999997</v>
      </c>
      <c r="KE20">
        <v>0</v>
      </c>
      <c r="KF20">
        <v>25.05</v>
      </c>
      <c r="KG20">
        <v>478.005</v>
      </c>
      <c r="KH20">
        <v>21.364899999999999</v>
      </c>
      <c r="KI20">
        <v>100.51900000000001</v>
      </c>
      <c r="KJ20">
        <v>98.97</v>
      </c>
    </row>
    <row r="21" spans="1:296" x14ac:dyDescent="0.3">
      <c r="A21">
        <v>5</v>
      </c>
      <c r="B21">
        <v>1783701130</v>
      </c>
      <c r="C21">
        <v>750</v>
      </c>
      <c r="D21" t="s">
        <v>697</v>
      </c>
      <c r="E21" t="s">
        <v>698</v>
      </c>
      <c r="F21">
        <v>15</v>
      </c>
      <c r="H21">
        <v>1783701122.25</v>
      </c>
      <c r="I21">
        <f t="shared" si="0"/>
        <v>3.413520850532432E-3</v>
      </c>
      <c r="J21">
        <f t="shared" si="1"/>
        <v>3.4135208505324321</v>
      </c>
      <c r="K21">
        <f t="shared" si="2"/>
        <v>42.731736520663873</v>
      </c>
      <c r="L21">
        <f t="shared" si="3"/>
        <v>420.03186666666659</v>
      </c>
      <c r="M21">
        <f t="shared" si="4"/>
        <v>131.30458966695784</v>
      </c>
      <c r="N21">
        <f t="shared" si="5"/>
        <v>12.805051114604566</v>
      </c>
      <c r="O21">
        <f t="shared" si="6"/>
        <v>40.962235486753258</v>
      </c>
      <c r="P21">
        <f t="shared" si="7"/>
        <v>0.25204297743045811</v>
      </c>
      <c r="Q21">
        <f t="shared" si="8"/>
        <v>2.8842883923336231</v>
      </c>
      <c r="R21">
        <f t="shared" si="9"/>
        <v>0.24041515039852601</v>
      </c>
      <c r="S21">
        <f t="shared" si="10"/>
        <v>0.1512594730195328</v>
      </c>
      <c r="T21">
        <f t="shared" si="11"/>
        <v>160.17762788359499</v>
      </c>
      <c r="U21">
        <f t="shared" si="12"/>
        <v>28.184734818821106</v>
      </c>
      <c r="V21">
        <f t="shared" si="13"/>
        <v>28.126893333333339</v>
      </c>
      <c r="W21">
        <f t="shared" si="14"/>
        <v>3.823002551178599</v>
      </c>
      <c r="X21">
        <f t="shared" si="15"/>
        <v>64.951182559943078</v>
      </c>
      <c r="Y21">
        <f t="shared" si="16"/>
        <v>2.4831142902066499</v>
      </c>
      <c r="Z21">
        <f t="shared" si="17"/>
        <v>3.8230470829611112</v>
      </c>
      <c r="AA21">
        <f t="shared" si="18"/>
        <v>1.3398882609719491</v>
      </c>
      <c r="AB21">
        <f t="shared" si="19"/>
        <v>-150.53626950848025</v>
      </c>
      <c r="AC21">
        <f t="shared" si="20"/>
        <v>3.1099551160320704E-2</v>
      </c>
      <c r="AD21">
        <f t="shared" si="21"/>
        <v>2.3532914149947165E-3</v>
      </c>
      <c r="AE21">
        <f t="shared" si="22"/>
        <v>9.674811217690074</v>
      </c>
      <c r="AF21">
        <f t="shared" si="23"/>
        <v>42.731736520663873</v>
      </c>
      <c r="AG21">
        <f t="shared" si="24"/>
        <v>3.4135208505324321</v>
      </c>
      <c r="AH21">
        <f t="shared" si="25"/>
        <v>42.983877524076263</v>
      </c>
      <c r="AI21">
        <v>483.3600370931353</v>
      </c>
      <c r="AJ21">
        <v>430.91493939393939</v>
      </c>
      <c r="AK21">
        <v>-5.0306328716819872E-2</v>
      </c>
      <c r="AL21">
        <v>67.01118354722675</v>
      </c>
      <c r="AM21">
        <f t="shared" si="26"/>
        <v>3.4160732043805981</v>
      </c>
      <c r="AN21">
        <v>21.46977171021646</v>
      </c>
      <c r="AO21">
        <v>25.46460848484849</v>
      </c>
      <c r="AP21">
        <v>-5.107674144027167E-5</v>
      </c>
      <c r="AQ21">
        <v>78.55</v>
      </c>
      <c r="AR21">
        <v>0</v>
      </c>
      <c r="AS21">
        <v>0</v>
      </c>
      <c r="AT21">
        <f t="shared" si="27"/>
        <v>1</v>
      </c>
      <c r="AU21">
        <f t="shared" si="28"/>
        <v>0</v>
      </c>
      <c r="AV21">
        <f t="shared" si="29"/>
        <v>51332.571366529097</v>
      </c>
      <c r="AW21" t="s">
        <v>683</v>
      </c>
      <c r="AX21">
        <v>5093.91</v>
      </c>
      <c r="AY21">
        <v>567.68235294117642</v>
      </c>
      <c r="AZ21">
        <v>2637.74</v>
      </c>
      <c r="BA21">
        <f t="shared" si="30"/>
        <v>0.78478456825116338</v>
      </c>
      <c r="BB21">
        <v>-3.2245669412414402</v>
      </c>
      <c r="BC21" t="s">
        <v>699</v>
      </c>
      <c r="BD21">
        <v>5098.66</v>
      </c>
      <c r="BE21">
        <v>780.30200000000002</v>
      </c>
      <c r="BF21">
        <v>1254.76</v>
      </c>
      <c r="BG21">
        <f t="shared" si="31"/>
        <v>0.37812649430966871</v>
      </c>
      <c r="BH21">
        <v>0.5</v>
      </c>
      <c r="BI21">
        <f t="shared" si="32"/>
        <v>840.30660968061954</v>
      </c>
      <c r="BJ21">
        <f t="shared" si="33"/>
        <v>42.731736520663873</v>
      </c>
      <c r="BK21">
        <f t="shared" si="34"/>
        <v>158.87109623188789</v>
      </c>
      <c r="BL21">
        <f t="shared" si="35"/>
        <v>5.4689922621663306E-2</v>
      </c>
      <c r="BM21">
        <f t="shared" si="36"/>
        <v>1.1021868723899388</v>
      </c>
      <c r="BN21">
        <f t="shared" si="37"/>
        <v>458.84162214025076</v>
      </c>
      <c r="BO21" t="s">
        <v>407</v>
      </c>
      <c r="BP21">
        <v>0</v>
      </c>
      <c r="BQ21">
        <f t="shared" si="38"/>
        <v>458.84162214025076</v>
      </c>
      <c r="BR21">
        <f t="shared" si="39"/>
        <v>0.63431921471815267</v>
      </c>
      <c r="BS21">
        <f t="shared" si="40"/>
        <v>0.59611388956218503</v>
      </c>
      <c r="BT21">
        <f t="shared" si="41"/>
        <v>0.63471523686132147</v>
      </c>
      <c r="BU21">
        <f t="shared" si="42"/>
        <v>0.69054495082326506</v>
      </c>
      <c r="BV21">
        <f t="shared" si="43"/>
        <v>0.66808767473937913</v>
      </c>
      <c r="BW21">
        <f t="shared" si="44"/>
        <v>0.35053333717848634</v>
      </c>
      <c r="BX21">
        <f t="shared" si="45"/>
        <v>0.64946666282151366</v>
      </c>
      <c r="DG21">
        <f t="shared" si="46"/>
        <v>1000.009666666667</v>
      </c>
      <c r="DH21">
        <f t="shared" si="47"/>
        <v>840.30660968061954</v>
      </c>
      <c r="DI21">
        <f t="shared" si="48"/>
        <v>0.84029848679524688</v>
      </c>
      <c r="DJ21">
        <f t="shared" si="49"/>
        <v>0.16017607951482629</v>
      </c>
      <c r="DK21">
        <v>6</v>
      </c>
      <c r="DL21">
        <v>0.5</v>
      </c>
      <c r="DM21" t="s">
        <v>408</v>
      </c>
      <c r="DN21">
        <v>2</v>
      </c>
      <c r="DO21" t="b">
        <v>0</v>
      </c>
      <c r="DP21">
        <v>1783701122.25</v>
      </c>
      <c r="DQ21">
        <v>420.03186666666659</v>
      </c>
      <c r="DR21">
        <v>473.02550000000002</v>
      </c>
      <c r="DS21">
        <v>25.462163333333329</v>
      </c>
      <c r="DT21">
        <v>21.47061333333334</v>
      </c>
      <c r="DU21">
        <v>425.94993333333338</v>
      </c>
      <c r="DV21">
        <v>25.85831000000001</v>
      </c>
      <c r="DW21">
        <v>500.04713333333342</v>
      </c>
      <c r="DX21">
        <v>97.477896666666638</v>
      </c>
      <c r="DY21">
        <v>4.3836176666666657E-2</v>
      </c>
      <c r="DZ21">
        <v>28.127093333333331</v>
      </c>
      <c r="EA21">
        <v>28.126893333333339</v>
      </c>
      <c r="EB21">
        <v>999.9000000000002</v>
      </c>
      <c r="EC21">
        <v>0</v>
      </c>
      <c r="ED21">
        <v>0</v>
      </c>
      <c r="EE21">
        <v>9996.3333333333339</v>
      </c>
      <c r="EF21">
        <v>0</v>
      </c>
      <c r="EG21">
        <v>56.599986666666673</v>
      </c>
      <c r="EH21">
        <v>-52.993563333333327</v>
      </c>
      <c r="EI21">
        <v>431.00619999999992</v>
      </c>
      <c r="EJ21">
        <v>483.40440000000012</v>
      </c>
      <c r="EK21">
        <v>3.9915456666666671</v>
      </c>
      <c r="EL21">
        <v>473.02550000000002</v>
      </c>
      <c r="EM21">
        <v>21.47061333333334</v>
      </c>
      <c r="EN21">
        <v>2.4819973333333332</v>
      </c>
      <c r="EO21">
        <v>2.092911</v>
      </c>
      <c r="EP21">
        <v>20.908936666666669</v>
      </c>
      <c r="EQ21">
        <v>18.165326666666669</v>
      </c>
      <c r="ER21">
        <v>1000.009666666667</v>
      </c>
      <c r="ES21">
        <v>0.99000440000000012</v>
      </c>
      <c r="ET21">
        <v>9.9952046666666669E-3</v>
      </c>
      <c r="EU21">
        <v>0</v>
      </c>
      <c r="EV21">
        <v>780.1650666666668</v>
      </c>
      <c r="EW21">
        <v>5.0010700000000003</v>
      </c>
      <c r="EX21">
        <v>11598.46333333333</v>
      </c>
      <c r="EY21">
        <v>9080.3926666666648</v>
      </c>
      <c r="EZ21">
        <v>39.987399999999987</v>
      </c>
      <c r="FA21">
        <v>43.057866666666641</v>
      </c>
      <c r="FB21">
        <v>41.389466666666657</v>
      </c>
      <c r="FC21">
        <v>42.375</v>
      </c>
      <c r="FD21">
        <v>41.799599999999977</v>
      </c>
      <c r="FE21">
        <v>985.06</v>
      </c>
      <c r="FF21">
        <v>9.9496666666666655</v>
      </c>
      <c r="FG21">
        <v>0</v>
      </c>
      <c r="FH21">
        <v>181.60000014305109</v>
      </c>
      <c r="FI21">
        <v>0</v>
      </c>
      <c r="FJ21">
        <v>780.30200000000002</v>
      </c>
      <c r="FK21">
        <v>1.742647086706588</v>
      </c>
      <c r="FL21">
        <v>-9.2892162843351986</v>
      </c>
      <c r="FM21">
        <v>11608.32352941176</v>
      </c>
      <c r="FN21">
        <v>10</v>
      </c>
      <c r="FO21">
        <v>1783701037</v>
      </c>
      <c r="FP21" t="s">
        <v>700</v>
      </c>
      <c r="FQ21">
        <v>1783701030.5</v>
      </c>
      <c r="FR21">
        <v>1783701037</v>
      </c>
      <c r="FS21">
        <v>18</v>
      </c>
      <c r="FT21">
        <v>2.9000000000000001E-2</v>
      </c>
      <c r="FU21">
        <v>0</v>
      </c>
      <c r="FV21">
        <v>-6.1159999999999997</v>
      </c>
      <c r="FW21">
        <v>-0.50600000000000001</v>
      </c>
      <c r="FX21">
        <v>474</v>
      </c>
      <c r="FY21">
        <v>21</v>
      </c>
      <c r="FZ21">
        <v>0.19</v>
      </c>
      <c r="GA21">
        <v>0.08</v>
      </c>
      <c r="GB21">
        <v>420.03354838709691</v>
      </c>
      <c r="GC21">
        <v>-0.1675645161304638</v>
      </c>
      <c r="GD21">
        <v>5.8875395326214178E-2</v>
      </c>
      <c r="GE21">
        <v>-1</v>
      </c>
      <c r="GF21">
        <v>780.09094117647055</v>
      </c>
      <c r="GG21">
        <v>1.7743009970129711</v>
      </c>
      <c r="GH21">
        <v>0.31009713290179541</v>
      </c>
      <c r="GI21">
        <v>1</v>
      </c>
      <c r="GJ21">
        <v>3.991176585365853</v>
      </c>
      <c r="GK21">
        <v>5.8415331010328291E-3</v>
      </c>
      <c r="GL21">
        <v>3.735207317690321E-3</v>
      </c>
      <c r="GM21">
        <v>1</v>
      </c>
      <c r="GN21">
        <v>2</v>
      </c>
      <c r="GO21">
        <v>2</v>
      </c>
      <c r="GP21" t="s">
        <v>423</v>
      </c>
      <c r="GQ21">
        <v>3.1308699999999998</v>
      </c>
      <c r="GR21">
        <v>2.7202500000000001</v>
      </c>
      <c r="GS21">
        <v>9.1369699999999998E-2</v>
      </c>
      <c r="GT21">
        <v>9.9590600000000001E-2</v>
      </c>
      <c r="GU21">
        <v>0.117807</v>
      </c>
      <c r="GV21">
        <v>0.10363799999999999</v>
      </c>
      <c r="GW21">
        <v>22809.7</v>
      </c>
      <c r="GX21">
        <v>30343.8</v>
      </c>
      <c r="GY21">
        <v>27228</v>
      </c>
      <c r="GZ21">
        <v>34649.5</v>
      </c>
      <c r="HA21">
        <v>35177</v>
      </c>
      <c r="HB21">
        <v>39360.6</v>
      </c>
      <c r="HC21">
        <v>40207.800000000003</v>
      </c>
      <c r="HD21">
        <v>43993.2</v>
      </c>
      <c r="HE21">
        <v>1.9702</v>
      </c>
      <c r="HF21">
        <v>1.6956</v>
      </c>
      <c r="HG21">
        <v>-5.5879400000000003E-2</v>
      </c>
      <c r="HH21">
        <v>0</v>
      </c>
      <c r="HI21">
        <v>29.041799999999999</v>
      </c>
      <c r="HJ21">
        <v>999.9</v>
      </c>
      <c r="HK21">
        <v>54.7</v>
      </c>
      <c r="HL21">
        <v>39.4</v>
      </c>
      <c r="HM21">
        <v>40.286299999999997</v>
      </c>
      <c r="HN21">
        <v>60.161299999999997</v>
      </c>
      <c r="HO21">
        <v>9.3589699999999993</v>
      </c>
      <c r="HP21">
        <v>1</v>
      </c>
      <c r="HQ21">
        <v>0.48006100000000002</v>
      </c>
      <c r="HR21">
        <v>3.1880000000000002</v>
      </c>
      <c r="HS21">
        <v>20.246400000000001</v>
      </c>
      <c r="HT21">
        <v>5.2088999999999999</v>
      </c>
      <c r="HU21">
        <v>11.908099999999999</v>
      </c>
      <c r="HV21">
        <v>4.9851999999999999</v>
      </c>
      <c r="HW21">
        <v>3.2709999999999999</v>
      </c>
      <c r="HX21">
        <v>9999</v>
      </c>
      <c r="HY21">
        <v>9999</v>
      </c>
      <c r="HZ21">
        <v>9999</v>
      </c>
      <c r="IA21">
        <v>999.9</v>
      </c>
      <c r="IB21">
        <v>1.86737</v>
      </c>
      <c r="IC21">
        <v>1.8629500000000001</v>
      </c>
      <c r="ID21">
        <v>1.8623700000000001</v>
      </c>
      <c r="IE21">
        <v>1.86191</v>
      </c>
      <c r="IF21">
        <v>1.8620000000000001</v>
      </c>
      <c r="IG21">
        <v>1.8626400000000001</v>
      </c>
      <c r="IH21">
        <v>1.8633999999999999</v>
      </c>
      <c r="II21">
        <v>1.8614200000000001</v>
      </c>
      <c r="IJ21">
        <v>0</v>
      </c>
      <c r="IK21">
        <v>0</v>
      </c>
      <c r="IL21">
        <v>0</v>
      </c>
      <c r="IM21">
        <v>4.5</v>
      </c>
      <c r="IN21" t="s">
        <v>411</v>
      </c>
      <c r="IO21" t="s">
        <v>412</v>
      </c>
      <c r="IP21" t="s">
        <v>413</v>
      </c>
      <c r="IQ21" t="s">
        <v>414</v>
      </c>
      <c r="IR21" t="s">
        <v>414</v>
      </c>
      <c r="IS21" t="s">
        <v>413</v>
      </c>
      <c r="IT21">
        <v>0</v>
      </c>
      <c r="IU21">
        <v>100</v>
      </c>
      <c r="IV21">
        <v>100</v>
      </c>
      <c r="IW21">
        <v>-5.9180000000000001</v>
      </c>
      <c r="IX21">
        <v>-0.39629999999999999</v>
      </c>
      <c r="IY21">
        <v>-3.9307071054039731</v>
      </c>
      <c r="IZ21">
        <v>-5.6215304933332991E-3</v>
      </c>
      <c r="JA21">
        <v>2.3979931213773931E-6</v>
      </c>
      <c r="JB21">
        <v>-3.6297174575716598E-10</v>
      </c>
      <c r="JC21">
        <v>-0.84059965387929014</v>
      </c>
      <c r="JD21">
        <v>2.7492919904454862E-4</v>
      </c>
      <c r="JE21">
        <v>8.6739513355948885E-4</v>
      </c>
      <c r="JF21">
        <v>-8.2500691715147318E-6</v>
      </c>
      <c r="JG21">
        <v>17</v>
      </c>
      <c r="JH21">
        <v>1914</v>
      </c>
      <c r="JI21">
        <v>2</v>
      </c>
      <c r="JJ21">
        <v>37</v>
      </c>
      <c r="JK21">
        <v>1.7</v>
      </c>
      <c r="JL21">
        <v>1.6</v>
      </c>
      <c r="JM21">
        <v>1.16699</v>
      </c>
      <c r="JN21">
        <v>2.5463900000000002</v>
      </c>
      <c r="JO21">
        <v>1.50024</v>
      </c>
      <c r="JP21">
        <v>2.2692899999999998</v>
      </c>
      <c r="JQ21">
        <v>1.4477500000000001</v>
      </c>
      <c r="JR21">
        <v>2.3022499999999999</v>
      </c>
      <c r="JS21">
        <v>43.399099999999997</v>
      </c>
      <c r="JT21">
        <v>14.911300000000001</v>
      </c>
      <c r="JU21">
        <v>18</v>
      </c>
      <c r="JV21">
        <v>540.4</v>
      </c>
      <c r="JW21">
        <v>381.48</v>
      </c>
      <c r="JX21">
        <v>25.052</v>
      </c>
      <c r="JY21">
        <v>33.190199999999997</v>
      </c>
      <c r="JZ21">
        <v>30.000499999999999</v>
      </c>
      <c r="KA21">
        <v>33.2318</v>
      </c>
      <c r="KB21">
        <v>33.230200000000004</v>
      </c>
      <c r="KC21">
        <v>23.3308</v>
      </c>
      <c r="KD21">
        <v>49.536700000000003</v>
      </c>
      <c r="KE21">
        <v>0</v>
      </c>
      <c r="KF21">
        <v>25.05</v>
      </c>
      <c r="KG21">
        <v>473.08100000000002</v>
      </c>
      <c r="KH21">
        <v>21.516100000000002</v>
      </c>
      <c r="KI21">
        <v>100.49</v>
      </c>
      <c r="KJ21">
        <v>98.949299999999994</v>
      </c>
    </row>
    <row r="22" spans="1:296" x14ac:dyDescent="0.3">
      <c r="A22">
        <v>6</v>
      </c>
      <c r="B22">
        <v>1783701312.5</v>
      </c>
      <c r="C22">
        <v>932.5</v>
      </c>
      <c r="D22" t="s">
        <v>701</v>
      </c>
      <c r="E22" t="s">
        <v>702</v>
      </c>
      <c r="F22">
        <v>15</v>
      </c>
      <c r="H22">
        <v>1783701304.75</v>
      </c>
      <c r="I22">
        <f t="shared" si="0"/>
        <v>3.1577244198583276E-3</v>
      </c>
      <c r="J22">
        <f t="shared" si="1"/>
        <v>3.1577244198583276</v>
      </c>
      <c r="K22">
        <f t="shared" si="2"/>
        <v>38.118404870393924</v>
      </c>
      <c r="L22">
        <f t="shared" si="3"/>
        <v>420.09393333333333</v>
      </c>
      <c r="M22">
        <f t="shared" si="4"/>
        <v>141.40548489840077</v>
      </c>
      <c r="N22">
        <f t="shared" si="5"/>
        <v>13.790844395489218</v>
      </c>
      <c r="O22">
        <f t="shared" si="6"/>
        <v>40.970476288466386</v>
      </c>
      <c r="P22">
        <f t="shared" si="7"/>
        <v>0.23249563951945781</v>
      </c>
      <c r="Q22">
        <f t="shared" si="8"/>
        <v>2.8842043249482479</v>
      </c>
      <c r="R22">
        <f t="shared" si="9"/>
        <v>0.22256300315355187</v>
      </c>
      <c r="S22">
        <f t="shared" si="10"/>
        <v>0.13995892295422496</v>
      </c>
      <c r="T22">
        <f t="shared" si="11"/>
        <v>128.27708460266874</v>
      </c>
      <c r="U22">
        <f t="shared" si="12"/>
        <v>28.004919575336878</v>
      </c>
      <c r="V22">
        <f t="shared" si="13"/>
        <v>28.101220000000001</v>
      </c>
      <c r="W22">
        <f t="shared" si="14"/>
        <v>3.8172899107180442</v>
      </c>
      <c r="X22">
        <f t="shared" si="15"/>
        <v>65.037464823173792</v>
      </c>
      <c r="Y22">
        <f t="shared" si="16"/>
        <v>2.4782379197395756</v>
      </c>
      <c r="Z22">
        <f t="shared" si="17"/>
        <v>3.8104774324729571</v>
      </c>
      <c r="AA22">
        <f t="shared" si="18"/>
        <v>1.3390519909784686</v>
      </c>
      <c r="AB22">
        <f t="shared" si="19"/>
        <v>-139.25564691575224</v>
      </c>
      <c r="AC22">
        <f t="shared" si="20"/>
        <v>-4.7674222345507626</v>
      </c>
      <c r="AD22">
        <f t="shared" si="21"/>
        <v>-0.36061186573523635</v>
      </c>
      <c r="AE22">
        <f t="shared" si="22"/>
        <v>-16.106596413369502</v>
      </c>
      <c r="AF22">
        <f t="shared" si="23"/>
        <v>38.118404870393924</v>
      </c>
      <c r="AG22">
        <f t="shared" si="24"/>
        <v>3.1577244198583276</v>
      </c>
      <c r="AH22">
        <f t="shared" si="25"/>
        <v>38.237325933229194</v>
      </c>
      <c r="AI22">
        <v>477.69827224492082</v>
      </c>
      <c r="AJ22">
        <v>430.92053939393918</v>
      </c>
      <c r="AK22">
        <v>-2.4022120522533129E-2</v>
      </c>
      <c r="AL22">
        <v>67.072117938700899</v>
      </c>
      <c r="AM22">
        <f t="shared" si="26"/>
        <v>3.1399317705634613</v>
      </c>
      <c r="AN22">
        <v>21.7187504930736</v>
      </c>
      <c r="AO22">
        <v>25.39626121212121</v>
      </c>
      <c r="AP22">
        <v>-8.6742424242394148E-4</v>
      </c>
      <c r="AQ22">
        <v>78.55</v>
      </c>
      <c r="AR22">
        <v>0</v>
      </c>
      <c r="AS22">
        <v>0</v>
      </c>
      <c r="AT22">
        <f t="shared" si="27"/>
        <v>1</v>
      </c>
      <c r="AU22">
        <f t="shared" si="28"/>
        <v>0</v>
      </c>
      <c r="AV22">
        <f t="shared" si="29"/>
        <v>51339.937948760416</v>
      </c>
      <c r="AW22" t="s">
        <v>683</v>
      </c>
      <c r="AX22">
        <v>5093.91</v>
      </c>
      <c r="AY22">
        <v>567.68235294117642</v>
      </c>
      <c r="AZ22">
        <v>2637.74</v>
      </c>
      <c r="BA22">
        <f t="shared" si="30"/>
        <v>0.78478456825116338</v>
      </c>
      <c r="BB22">
        <v>-3.2245669412414402</v>
      </c>
      <c r="BC22" t="s">
        <v>703</v>
      </c>
      <c r="BD22">
        <v>5101.32</v>
      </c>
      <c r="BE22">
        <v>781.8356470588235</v>
      </c>
      <c r="BF22">
        <v>1404.6</v>
      </c>
      <c r="BG22">
        <f t="shared" si="31"/>
        <v>0.44337487750332938</v>
      </c>
      <c r="BH22">
        <v>0.5</v>
      </c>
      <c r="BI22">
        <f t="shared" si="32"/>
        <v>672.30177195993178</v>
      </c>
      <c r="BJ22">
        <f t="shared" si="33"/>
        <v>38.118404870393924</v>
      </c>
      <c r="BK22">
        <f t="shared" si="34"/>
        <v>149.04085789400301</v>
      </c>
      <c r="BL22">
        <f t="shared" si="35"/>
        <v>6.1494664354535343E-2</v>
      </c>
      <c r="BM22">
        <f t="shared" si="36"/>
        <v>0.87792965968959136</v>
      </c>
      <c r="BN22">
        <f t="shared" si="37"/>
        <v>477.46769217550502</v>
      </c>
      <c r="BO22" t="s">
        <v>407</v>
      </c>
      <c r="BP22">
        <v>0</v>
      </c>
      <c r="BQ22">
        <f t="shared" si="38"/>
        <v>477.46769217550502</v>
      </c>
      <c r="BR22">
        <f t="shared" si="39"/>
        <v>0.66006856601487607</v>
      </c>
      <c r="BS22">
        <f t="shared" si="40"/>
        <v>0.67171033485229925</v>
      </c>
      <c r="BT22">
        <f t="shared" si="41"/>
        <v>0.57082618498305671</v>
      </c>
      <c r="BU22">
        <f t="shared" si="42"/>
        <v>0.74411664651803533</v>
      </c>
      <c r="BV22">
        <f t="shared" si="43"/>
        <v>0.595703217131208</v>
      </c>
      <c r="BW22">
        <f t="shared" si="44"/>
        <v>0.4102140706923188</v>
      </c>
      <c r="BX22">
        <f t="shared" si="45"/>
        <v>0.58978592930768126</v>
      </c>
      <c r="DG22">
        <f t="shared" si="46"/>
        <v>799.98996666666653</v>
      </c>
      <c r="DH22">
        <f t="shared" si="47"/>
        <v>672.30177195993178</v>
      </c>
      <c r="DI22">
        <f t="shared" si="48"/>
        <v>0.84038775481300643</v>
      </c>
      <c r="DJ22">
        <f t="shared" si="49"/>
        <v>0.16034836678910275</v>
      </c>
      <c r="DK22">
        <v>6</v>
      </c>
      <c r="DL22">
        <v>0.5</v>
      </c>
      <c r="DM22" t="s">
        <v>408</v>
      </c>
      <c r="DN22">
        <v>2</v>
      </c>
      <c r="DO22" t="b">
        <v>0</v>
      </c>
      <c r="DP22">
        <v>1783701304.75</v>
      </c>
      <c r="DQ22">
        <v>420.09393333333333</v>
      </c>
      <c r="DR22">
        <v>467.4276000000001</v>
      </c>
      <c r="DS22">
        <v>25.41080333333333</v>
      </c>
      <c r="DT22">
        <v>21.717843333333331</v>
      </c>
      <c r="DU22">
        <v>426.0707000000001</v>
      </c>
      <c r="DV22">
        <v>25.81637666666666</v>
      </c>
      <c r="DW22">
        <v>500.00283333333329</v>
      </c>
      <c r="DX22">
        <v>97.482936666666674</v>
      </c>
      <c r="DY22">
        <v>4.4004423333333341E-2</v>
      </c>
      <c r="DZ22">
        <v>28.070560000000011</v>
      </c>
      <c r="EA22">
        <v>28.101220000000001</v>
      </c>
      <c r="EB22">
        <v>999.9000000000002</v>
      </c>
      <c r="EC22">
        <v>0</v>
      </c>
      <c r="ED22">
        <v>0</v>
      </c>
      <c r="EE22">
        <v>9995.3333333333339</v>
      </c>
      <c r="EF22">
        <v>0</v>
      </c>
      <c r="EG22">
        <v>69.004290000000012</v>
      </c>
      <c r="EH22">
        <v>-47.333603333333329</v>
      </c>
      <c r="EI22">
        <v>431.04719999999998</v>
      </c>
      <c r="EJ22">
        <v>477.80450000000008</v>
      </c>
      <c r="EK22">
        <v>3.6929546666666662</v>
      </c>
      <c r="EL22">
        <v>467.4276000000001</v>
      </c>
      <c r="EM22">
        <v>21.717843333333331</v>
      </c>
      <c r="EN22">
        <v>2.4771183333333329</v>
      </c>
      <c r="EO22">
        <v>2.1171190000000002</v>
      </c>
      <c r="EP22">
        <v>20.876946666666669</v>
      </c>
      <c r="EQ22">
        <v>18.348570000000009</v>
      </c>
      <c r="ER22">
        <v>799.98996666666653</v>
      </c>
      <c r="ES22">
        <v>0.98699299999999968</v>
      </c>
      <c r="ET22">
        <v>1.30072E-2</v>
      </c>
      <c r="EU22">
        <v>0</v>
      </c>
      <c r="EV22">
        <v>781.79983333333325</v>
      </c>
      <c r="EW22">
        <v>5.0010700000000003</v>
      </c>
      <c r="EX22">
        <v>10382.943333333331</v>
      </c>
      <c r="EY22">
        <v>7246.5090000000009</v>
      </c>
      <c r="EZ22">
        <v>39.5</v>
      </c>
      <c r="FA22">
        <v>42.816199999999967</v>
      </c>
      <c r="FB22">
        <v>41.101899999999993</v>
      </c>
      <c r="FC22">
        <v>42.25</v>
      </c>
      <c r="FD22">
        <v>41.436999999999983</v>
      </c>
      <c r="FE22">
        <v>784.649</v>
      </c>
      <c r="FF22">
        <v>10.34</v>
      </c>
      <c r="FG22">
        <v>0</v>
      </c>
      <c r="FH22">
        <v>182</v>
      </c>
      <c r="FI22">
        <v>0</v>
      </c>
      <c r="FJ22">
        <v>781.8356470588235</v>
      </c>
      <c r="FK22">
        <v>1.85735297100792</v>
      </c>
      <c r="FL22">
        <v>-301.22549074313878</v>
      </c>
      <c r="FM22">
        <v>10379.770588235289</v>
      </c>
      <c r="FN22">
        <v>10</v>
      </c>
      <c r="FO22">
        <v>1783701235.5</v>
      </c>
      <c r="FP22" t="s">
        <v>704</v>
      </c>
      <c r="FQ22">
        <v>1783701231.5</v>
      </c>
      <c r="FR22">
        <v>1783701235.5</v>
      </c>
      <c r="FS22">
        <v>19</v>
      </c>
      <c r="FT22">
        <v>-5.8000000000000003E-2</v>
      </c>
      <c r="FU22">
        <v>-8.0000000000000002E-3</v>
      </c>
      <c r="FV22">
        <v>-6.1539999999999999</v>
      </c>
      <c r="FW22">
        <v>-0.50800000000000001</v>
      </c>
      <c r="FX22">
        <v>468</v>
      </c>
      <c r="FY22">
        <v>22</v>
      </c>
      <c r="FZ22">
        <v>0.2</v>
      </c>
      <c r="GA22">
        <v>7.0000000000000007E-2</v>
      </c>
      <c r="GB22">
        <v>420.10090000000002</v>
      </c>
      <c r="GC22">
        <v>-0.50432035595132552</v>
      </c>
      <c r="GD22">
        <v>7.693345609465041E-2</v>
      </c>
      <c r="GE22">
        <v>-1</v>
      </c>
      <c r="GF22">
        <v>781.86205882352942</v>
      </c>
      <c r="GG22">
        <v>-0.75556913312332696</v>
      </c>
      <c r="GH22">
        <v>0.2695196098045663</v>
      </c>
      <c r="GI22">
        <v>1</v>
      </c>
      <c r="GJ22">
        <v>3.7030745</v>
      </c>
      <c r="GK22">
        <v>-0.19883414634146901</v>
      </c>
      <c r="GL22">
        <v>1.9539329946290339E-2</v>
      </c>
      <c r="GM22">
        <v>1</v>
      </c>
      <c r="GN22">
        <v>2</v>
      </c>
      <c r="GO22">
        <v>2</v>
      </c>
      <c r="GP22" t="s">
        <v>423</v>
      </c>
      <c r="GQ22">
        <v>3.1313300000000002</v>
      </c>
      <c r="GR22">
        <v>2.72004</v>
      </c>
      <c r="GS22">
        <v>9.1345599999999999E-2</v>
      </c>
      <c r="GT22">
        <v>9.8723000000000005E-2</v>
      </c>
      <c r="GU22">
        <v>0.117605</v>
      </c>
      <c r="GV22">
        <v>0.104478</v>
      </c>
      <c r="GW22">
        <v>22805.599999999999</v>
      </c>
      <c r="GX22">
        <v>30366.9</v>
      </c>
      <c r="GY22">
        <v>27223</v>
      </c>
      <c r="GZ22">
        <v>34643.4</v>
      </c>
      <c r="HA22">
        <v>35180.1</v>
      </c>
      <c r="HB22">
        <v>39318.5</v>
      </c>
      <c r="HC22">
        <v>40201.300000000003</v>
      </c>
      <c r="HD22">
        <v>43987.3</v>
      </c>
      <c r="HE22">
        <v>1.9678</v>
      </c>
      <c r="HF22">
        <v>1.6941999999999999</v>
      </c>
      <c r="HG22">
        <v>-6.1094799999999998E-2</v>
      </c>
      <c r="HH22">
        <v>0</v>
      </c>
      <c r="HI22">
        <v>29.113299999999999</v>
      </c>
      <c r="HJ22">
        <v>999.9</v>
      </c>
      <c r="HK22">
        <v>54.3</v>
      </c>
      <c r="HL22">
        <v>39.6</v>
      </c>
      <c r="HM22">
        <v>40.420900000000003</v>
      </c>
      <c r="HN22">
        <v>60.351300000000002</v>
      </c>
      <c r="HO22">
        <v>9.6634600000000006</v>
      </c>
      <c r="HP22">
        <v>1</v>
      </c>
      <c r="HQ22">
        <v>0.49178899999999998</v>
      </c>
      <c r="HR22">
        <v>3.22871</v>
      </c>
      <c r="HS22">
        <v>20.2468</v>
      </c>
      <c r="HT22">
        <v>5.2088999999999999</v>
      </c>
      <c r="HU22">
        <v>11.908099999999999</v>
      </c>
      <c r="HV22">
        <v>4.9843999999999999</v>
      </c>
      <c r="HW22">
        <v>3.2707999999999999</v>
      </c>
      <c r="HX22">
        <v>9999</v>
      </c>
      <c r="HY22">
        <v>9999</v>
      </c>
      <c r="HZ22">
        <v>9999</v>
      </c>
      <c r="IA22">
        <v>999.9</v>
      </c>
      <c r="IB22">
        <v>1.86734</v>
      </c>
      <c r="IC22">
        <v>1.8629800000000001</v>
      </c>
      <c r="ID22">
        <v>1.86249</v>
      </c>
      <c r="IE22">
        <v>1.8620300000000001</v>
      </c>
      <c r="IF22">
        <v>1.8620300000000001</v>
      </c>
      <c r="IG22">
        <v>1.8626400000000001</v>
      </c>
      <c r="IH22">
        <v>1.8634999999999999</v>
      </c>
      <c r="II22">
        <v>1.8614200000000001</v>
      </c>
      <c r="IJ22">
        <v>0</v>
      </c>
      <c r="IK22">
        <v>0</v>
      </c>
      <c r="IL22">
        <v>0</v>
      </c>
      <c r="IM22">
        <v>4.5</v>
      </c>
      <c r="IN22" t="s">
        <v>411</v>
      </c>
      <c r="IO22" t="s">
        <v>412</v>
      </c>
      <c r="IP22" t="s">
        <v>413</v>
      </c>
      <c r="IQ22" t="s">
        <v>414</v>
      </c>
      <c r="IR22" t="s">
        <v>414</v>
      </c>
      <c r="IS22" t="s">
        <v>413</v>
      </c>
      <c r="IT22">
        <v>0</v>
      </c>
      <c r="IU22">
        <v>100</v>
      </c>
      <c r="IV22">
        <v>100</v>
      </c>
      <c r="IW22">
        <v>-5.976</v>
      </c>
      <c r="IX22">
        <v>-0.40600000000000003</v>
      </c>
      <c r="IY22">
        <v>-3.9888238523454809</v>
      </c>
      <c r="IZ22">
        <v>-5.6215304933332991E-3</v>
      </c>
      <c r="JA22">
        <v>2.3979931213773931E-6</v>
      </c>
      <c r="JB22">
        <v>-3.6297174575716598E-10</v>
      </c>
      <c r="JC22">
        <v>-0.84882455829506176</v>
      </c>
      <c r="JD22">
        <v>2.7492919904454862E-4</v>
      </c>
      <c r="JE22">
        <v>8.6739513355948885E-4</v>
      </c>
      <c r="JF22">
        <v>-8.2500691715147318E-6</v>
      </c>
      <c r="JG22">
        <v>17</v>
      </c>
      <c r="JH22">
        <v>1914</v>
      </c>
      <c r="JI22">
        <v>2</v>
      </c>
      <c r="JJ22">
        <v>37</v>
      </c>
      <c r="JK22">
        <v>1.4</v>
      </c>
      <c r="JL22">
        <v>1.3</v>
      </c>
      <c r="JM22">
        <v>1.15601</v>
      </c>
      <c r="JN22">
        <v>2.5439500000000002</v>
      </c>
      <c r="JO22">
        <v>1.50024</v>
      </c>
      <c r="JP22">
        <v>2.2705099999999998</v>
      </c>
      <c r="JQ22">
        <v>1.4477500000000001</v>
      </c>
      <c r="JR22">
        <v>2.4475099999999999</v>
      </c>
      <c r="JS22">
        <v>43.535400000000003</v>
      </c>
      <c r="JT22">
        <v>14.893800000000001</v>
      </c>
      <c r="JU22">
        <v>18</v>
      </c>
      <c r="JV22">
        <v>539.80999999999995</v>
      </c>
      <c r="JW22">
        <v>381.36399999999998</v>
      </c>
      <c r="JX22">
        <v>25.0505</v>
      </c>
      <c r="JY22">
        <v>33.3264</v>
      </c>
      <c r="JZ22">
        <v>30.000299999999999</v>
      </c>
      <c r="KA22">
        <v>33.3521</v>
      </c>
      <c r="KB22">
        <v>33.343499999999999</v>
      </c>
      <c r="KC22">
        <v>23.121300000000002</v>
      </c>
      <c r="KD22">
        <v>49.366599999999998</v>
      </c>
      <c r="KE22">
        <v>0</v>
      </c>
      <c r="KF22">
        <v>25.05</v>
      </c>
      <c r="KG22">
        <v>467.58100000000002</v>
      </c>
      <c r="KH22">
        <v>21.709499999999998</v>
      </c>
      <c r="KI22">
        <v>100.47199999999999</v>
      </c>
      <c r="KJ22">
        <v>98.934200000000004</v>
      </c>
    </row>
    <row r="23" spans="1:296" x14ac:dyDescent="0.3">
      <c r="A23">
        <v>7</v>
      </c>
      <c r="B23">
        <v>1783701495</v>
      </c>
      <c r="C23">
        <v>1115</v>
      </c>
      <c r="D23" t="s">
        <v>705</v>
      </c>
      <c r="E23" t="s">
        <v>706</v>
      </c>
      <c r="F23">
        <v>15</v>
      </c>
      <c r="H23">
        <v>1783701487.25</v>
      </c>
      <c r="I23">
        <f t="shared" si="0"/>
        <v>2.786988608651599E-3</v>
      </c>
      <c r="J23">
        <f t="shared" si="1"/>
        <v>2.7869886086515989</v>
      </c>
      <c r="K23">
        <f t="shared" si="2"/>
        <v>30.937031457831303</v>
      </c>
      <c r="L23">
        <f t="shared" si="3"/>
        <v>419.94653333333338</v>
      </c>
      <c r="M23">
        <f t="shared" si="4"/>
        <v>157.36967242548312</v>
      </c>
      <c r="N23">
        <f t="shared" si="5"/>
        <v>15.349069717568332</v>
      </c>
      <c r="O23">
        <f t="shared" si="6"/>
        <v>40.95953507710734</v>
      </c>
      <c r="P23">
        <f t="shared" si="7"/>
        <v>0.19976590120502843</v>
      </c>
      <c r="Q23">
        <f t="shared" si="8"/>
        <v>2.886837213020732</v>
      </c>
      <c r="R23">
        <f t="shared" si="9"/>
        <v>0.192391697569753</v>
      </c>
      <c r="S23">
        <f t="shared" si="10"/>
        <v>0.12088467427253874</v>
      </c>
      <c r="T23">
        <f t="shared" si="11"/>
        <v>96.346705065771175</v>
      </c>
      <c r="U23">
        <f t="shared" si="12"/>
        <v>27.966425804685038</v>
      </c>
      <c r="V23">
        <f t="shared" si="13"/>
        <v>28.255870000000002</v>
      </c>
      <c r="W23">
        <f t="shared" si="14"/>
        <v>3.851814479623326</v>
      </c>
      <c r="X23">
        <f t="shared" si="15"/>
        <v>65.003296988399811</v>
      </c>
      <c r="Y23">
        <f t="shared" si="16"/>
        <v>2.4848157440955863</v>
      </c>
      <c r="Z23">
        <f t="shared" si="17"/>
        <v>3.8225995591254631</v>
      </c>
      <c r="AA23">
        <f t="shared" si="18"/>
        <v>1.3669987355277398</v>
      </c>
      <c r="AB23">
        <f t="shared" si="19"/>
        <v>-122.90619764153551</v>
      </c>
      <c r="AC23">
        <f t="shared" si="20"/>
        <v>-20.355004816379502</v>
      </c>
      <c r="AD23">
        <f t="shared" si="21"/>
        <v>-1.5398692629364976</v>
      </c>
      <c r="AE23">
        <f t="shared" si="22"/>
        <v>-48.454366655080335</v>
      </c>
      <c r="AF23">
        <f t="shared" si="23"/>
        <v>30.937031457831303</v>
      </c>
      <c r="AG23">
        <f t="shared" si="24"/>
        <v>2.7869886086515989</v>
      </c>
      <c r="AH23">
        <f t="shared" si="25"/>
        <v>30.543872101427429</v>
      </c>
      <c r="AI23">
        <v>468.81654241796281</v>
      </c>
      <c r="AJ23">
        <v>431.16308484848457</v>
      </c>
      <c r="AK23">
        <v>3.2922106323487042E-2</v>
      </c>
      <c r="AL23">
        <v>67.011586031162949</v>
      </c>
      <c r="AM23">
        <f t="shared" si="26"/>
        <v>2.8479280366798472</v>
      </c>
      <c r="AN23">
        <v>22.144299433722939</v>
      </c>
      <c r="AO23">
        <v>25.483351515151519</v>
      </c>
      <c r="AP23">
        <v>-1.4654298082877621E-3</v>
      </c>
      <c r="AQ23">
        <v>78.55</v>
      </c>
      <c r="AR23">
        <v>0</v>
      </c>
      <c r="AS23">
        <v>0</v>
      </c>
      <c r="AT23">
        <f t="shared" si="27"/>
        <v>1</v>
      </c>
      <c r="AU23">
        <f t="shared" si="28"/>
        <v>0</v>
      </c>
      <c r="AV23">
        <f t="shared" si="29"/>
        <v>51405.376207390342</v>
      </c>
      <c r="AW23" t="s">
        <v>683</v>
      </c>
      <c r="AX23">
        <v>5093.91</v>
      </c>
      <c r="AY23">
        <v>567.68235294117642</v>
      </c>
      <c r="AZ23">
        <v>2637.74</v>
      </c>
      <c r="BA23">
        <f t="shared" si="30"/>
        <v>0.78478456825116338</v>
      </c>
      <c r="BB23">
        <v>-3.2245669412414402</v>
      </c>
      <c r="BC23" t="s">
        <v>707</v>
      </c>
      <c r="BD23">
        <v>5102.57</v>
      </c>
      <c r="BE23">
        <v>758.94888235294127</v>
      </c>
      <c r="BF23">
        <v>1527.33</v>
      </c>
      <c r="BG23">
        <f t="shared" si="31"/>
        <v>0.50308781838048011</v>
      </c>
      <c r="BH23">
        <v>0.5</v>
      </c>
      <c r="BI23">
        <f t="shared" si="32"/>
        <v>504.30785452112491</v>
      </c>
      <c r="BJ23">
        <f t="shared" si="33"/>
        <v>30.937031457831303</v>
      </c>
      <c r="BK23">
        <f t="shared" si="34"/>
        <v>126.85556916158664</v>
      </c>
      <c r="BL23">
        <f t="shared" si="35"/>
        <v>6.7739572352113253E-2</v>
      </c>
      <c r="BM23">
        <f t="shared" si="36"/>
        <v>0.72702690315779817</v>
      </c>
      <c r="BN23">
        <f t="shared" si="37"/>
        <v>490.87622235950192</v>
      </c>
      <c r="BO23" t="s">
        <v>407</v>
      </c>
      <c r="BP23">
        <v>0</v>
      </c>
      <c r="BQ23">
        <f t="shared" si="38"/>
        <v>490.87622235950192</v>
      </c>
      <c r="BR23">
        <f t="shared" si="39"/>
        <v>0.67860500195799078</v>
      </c>
      <c r="BS23">
        <f t="shared" si="40"/>
        <v>0.74135589470886909</v>
      </c>
      <c r="BT23">
        <f t="shared" si="41"/>
        <v>0.51722424662657984</v>
      </c>
      <c r="BU23">
        <f t="shared" si="42"/>
        <v>0.80069087857614396</v>
      </c>
      <c r="BV23">
        <f t="shared" si="43"/>
        <v>0.53641501316530538</v>
      </c>
      <c r="BW23">
        <f t="shared" si="44"/>
        <v>0.47949735414381162</v>
      </c>
      <c r="BX23">
        <f t="shared" si="45"/>
        <v>0.52050264585618833</v>
      </c>
      <c r="DG23">
        <f t="shared" si="46"/>
        <v>600.00510000000008</v>
      </c>
      <c r="DH23">
        <f t="shared" si="47"/>
        <v>504.30785452112491</v>
      </c>
      <c r="DI23">
        <f t="shared" si="48"/>
        <v>0.8405059465679956</v>
      </c>
      <c r="DJ23">
        <f t="shared" si="49"/>
        <v>0.16057647687623183</v>
      </c>
      <c r="DK23">
        <v>6</v>
      </c>
      <c r="DL23">
        <v>0.5</v>
      </c>
      <c r="DM23" t="s">
        <v>408</v>
      </c>
      <c r="DN23">
        <v>2</v>
      </c>
      <c r="DO23" t="b">
        <v>0</v>
      </c>
      <c r="DP23">
        <v>1783701487.25</v>
      </c>
      <c r="DQ23">
        <v>419.94653333333338</v>
      </c>
      <c r="DR23">
        <v>458.47160000000002</v>
      </c>
      <c r="DS23">
        <v>25.476113333333331</v>
      </c>
      <c r="DT23">
        <v>22.217253333333339</v>
      </c>
      <c r="DU23">
        <v>425.87706666666662</v>
      </c>
      <c r="DV23">
        <v>25.891876666666668</v>
      </c>
      <c r="DW23">
        <v>500.04976666666659</v>
      </c>
      <c r="DX23">
        <v>97.49078999999999</v>
      </c>
      <c r="DY23">
        <v>4.4328939999999997E-2</v>
      </c>
      <c r="DZ23">
        <v>28.12508333333334</v>
      </c>
      <c r="EA23">
        <v>28.255870000000002</v>
      </c>
      <c r="EB23">
        <v>999.9000000000002</v>
      </c>
      <c r="EC23">
        <v>0</v>
      </c>
      <c r="ED23">
        <v>0</v>
      </c>
      <c r="EE23">
        <v>10009.66666666667</v>
      </c>
      <c r="EF23">
        <v>0</v>
      </c>
      <c r="EG23">
        <v>68.298993333333343</v>
      </c>
      <c r="EH23">
        <v>-38.525100000000002</v>
      </c>
      <c r="EI23">
        <v>430.9248</v>
      </c>
      <c r="EJ23">
        <v>468.88896666666659</v>
      </c>
      <c r="EK23">
        <v>3.2588820000000012</v>
      </c>
      <c r="EL23">
        <v>458.47160000000002</v>
      </c>
      <c r="EM23">
        <v>22.217253333333339</v>
      </c>
      <c r="EN23">
        <v>2.4836870000000002</v>
      </c>
      <c r="EO23">
        <v>2.1659769999999998</v>
      </c>
      <c r="EP23">
        <v>20.919986666666659</v>
      </c>
      <c r="EQ23">
        <v>18.71275</v>
      </c>
      <c r="ER23">
        <v>600.00510000000008</v>
      </c>
      <c r="ES23">
        <v>0.98299259999999999</v>
      </c>
      <c r="ET23">
        <v>1.7007376666666671E-2</v>
      </c>
      <c r="EU23">
        <v>0</v>
      </c>
      <c r="EV23">
        <v>759.07530000000008</v>
      </c>
      <c r="EW23">
        <v>5.0010700000000003</v>
      </c>
      <c r="EX23">
        <v>8937.6436666666687</v>
      </c>
      <c r="EY23">
        <v>5415.1396666666669</v>
      </c>
      <c r="EZ23">
        <v>39.311999999999991</v>
      </c>
      <c r="FA23">
        <v>43.066199999999967</v>
      </c>
      <c r="FB23">
        <v>41.120800000000003</v>
      </c>
      <c r="FC23">
        <v>42.403933333333313</v>
      </c>
      <c r="FD23">
        <v>41.358199999999997</v>
      </c>
      <c r="FE23">
        <v>584.8839999999999</v>
      </c>
      <c r="FF23">
        <v>10.119</v>
      </c>
      <c r="FG23">
        <v>0</v>
      </c>
      <c r="FH23">
        <v>181.60000014305109</v>
      </c>
      <c r="FI23">
        <v>0</v>
      </c>
      <c r="FJ23">
        <v>758.94888235294127</v>
      </c>
      <c r="FK23">
        <v>-1.989460746074305</v>
      </c>
      <c r="FL23">
        <v>281.35049014798051</v>
      </c>
      <c r="FM23">
        <v>8942.0411764705877</v>
      </c>
      <c r="FN23">
        <v>10</v>
      </c>
      <c r="FO23">
        <v>1783701446</v>
      </c>
      <c r="FP23" t="s">
        <v>708</v>
      </c>
      <c r="FQ23">
        <v>1783701446</v>
      </c>
      <c r="FR23">
        <v>1783701443</v>
      </c>
      <c r="FS23">
        <v>20</v>
      </c>
      <c r="FT23">
        <v>4.4999999999999998E-2</v>
      </c>
      <c r="FU23">
        <v>-1.2E-2</v>
      </c>
      <c r="FV23">
        <v>-6.0759999999999996</v>
      </c>
      <c r="FW23">
        <v>-0.50900000000000001</v>
      </c>
      <c r="FX23">
        <v>459</v>
      </c>
      <c r="FY23">
        <v>22</v>
      </c>
      <c r="FZ23">
        <v>0.23</v>
      </c>
      <c r="GA23">
        <v>0.11</v>
      </c>
      <c r="GB23">
        <v>419.92977419354833</v>
      </c>
      <c r="GC23">
        <v>1.401048387095829</v>
      </c>
      <c r="GD23">
        <v>0.1213971646789592</v>
      </c>
      <c r="GE23">
        <v>-1</v>
      </c>
      <c r="GF23">
        <v>759.22632352941173</v>
      </c>
      <c r="GG23">
        <v>-2.9764858625096671</v>
      </c>
      <c r="GH23">
        <v>0.36419005385748388</v>
      </c>
      <c r="GI23">
        <v>1</v>
      </c>
      <c r="GJ23">
        <v>3.288121463414635</v>
      </c>
      <c r="GK23">
        <v>-0.33992885017421498</v>
      </c>
      <c r="GL23">
        <v>8.8660490019745256E-2</v>
      </c>
      <c r="GM23">
        <v>1</v>
      </c>
      <c r="GN23">
        <v>2</v>
      </c>
      <c r="GO23">
        <v>2</v>
      </c>
      <c r="GP23" t="s">
        <v>423</v>
      </c>
      <c r="GQ23">
        <v>3.1313200000000001</v>
      </c>
      <c r="GR23">
        <v>2.7204600000000001</v>
      </c>
      <c r="GS23">
        <v>9.1325699999999996E-2</v>
      </c>
      <c r="GT23">
        <v>9.72774E-2</v>
      </c>
      <c r="GU23">
        <v>0.117865</v>
      </c>
      <c r="GV23">
        <v>0.10581599999999999</v>
      </c>
      <c r="GW23">
        <v>22796.3</v>
      </c>
      <c r="GX23">
        <v>30397.8</v>
      </c>
      <c r="GY23">
        <v>27212.5</v>
      </c>
      <c r="GZ23">
        <v>34624.9</v>
      </c>
      <c r="HA23">
        <v>35158.699999999997</v>
      </c>
      <c r="HB23">
        <v>39241.599999999999</v>
      </c>
      <c r="HC23">
        <v>40187.199999999997</v>
      </c>
      <c r="HD23">
        <v>43966.6</v>
      </c>
      <c r="HE23">
        <v>1.9650000000000001</v>
      </c>
      <c r="HF23">
        <v>1.6896</v>
      </c>
      <c r="HG23">
        <v>-7.6293899999999998E-2</v>
      </c>
      <c r="HH23">
        <v>0</v>
      </c>
      <c r="HI23">
        <v>29.49</v>
      </c>
      <c r="HJ23">
        <v>999.9</v>
      </c>
      <c r="HK23">
        <v>54.2</v>
      </c>
      <c r="HL23">
        <v>39.700000000000003</v>
      </c>
      <c r="HM23">
        <v>40.561599999999999</v>
      </c>
      <c r="HN23">
        <v>60.411299999999997</v>
      </c>
      <c r="HO23">
        <v>9.2548100000000009</v>
      </c>
      <c r="HP23">
        <v>1</v>
      </c>
      <c r="HQ23">
        <v>0.51890199999999997</v>
      </c>
      <c r="HR23">
        <v>3.44007</v>
      </c>
      <c r="HS23">
        <v>20.244</v>
      </c>
      <c r="HT23">
        <v>5.2077099999999996</v>
      </c>
      <c r="HU23">
        <v>11.908099999999999</v>
      </c>
      <c r="HV23">
        <v>4.984</v>
      </c>
      <c r="HW23">
        <v>3.2709999999999999</v>
      </c>
      <c r="HX23">
        <v>9999</v>
      </c>
      <c r="HY23">
        <v>9999</v>
      </c>
      <c r="HZ23">
        <v>9999</v>
      </c>
      <c r="IA23">
        <v>999.9</v>
      </c>
      <c r="IB23">
        <v>1.86737</v>
      </c>
      <c r="IC23">
        <v>1.8629500000000001</v>
      </c>
      <c r="ID23">
        <v>1.86246</v>
      </c>
      <c r="IE23">
        <v>1.8620300000000001</v>
      </c>
      <c r="IF23">
        <v>1.8620300000000001</v>
      </c>
      <c r="IG23">
        <v>1.8626400000000001</v>
      </c>
      <c r="IH23">
        <v>1.8634599999999999</v>
      </c>
      <c r="II23">
        <v>1.8614200000000001</v>
      </c>
      <c r="IJ23">
        <v>0</v>
      </c>
      <c r="IK23">
        <v>0</v>
      </c>
      <c r="IL23">
        <v>0</v>
      </c>
      <c r="IM23">
        <v>4.5</v>
      </c>
      <c r="IN23" t="s">
        <v>411</v>
      </c>
      <c r="IO23" t="s">
        <v>412</v>
      </c>
      <c r="IP23" t="s">
        <v>413</v>
      </c>
      <c r="IQ23" t="s">
        <v>414</v>
      </c>
      <c r="IR23" t="s">
        <v>414</v>
      </c>
      <c r="IS23" t="s">
        <v>413</v>
      </c>
      <c r="IT23">
        <v>0</v>
      </c>
      <c r="IU23">
        <v>100</v>
      </c>
      <c r="IV23">
        <v>100</v>
      </c>
      <c r="IW23">
        <v>-5.9320000000000004</v>
      </c>
      <c r="IX23">
        <v>-0.41549999999999998</v>
      </c>
      <c r="IY23">
        <v>-3.9433365600836869</v>
      </c>
      <c r="IZ23">
        <v>-5.6215304933332991E-3</v>
      </c>
      <c r="JA23">
        <v>2.3979931213773931E-6</v>
      </c>
      <c r="JB23">
        <v>-3.6297174575716598E-10</v>
      </c>
      <c r="JC23">
        <v>-0.86116145932249499</v>
      </c>
      <c r="JD23">
        <v>2.7492919904454862E-4</v>
      </c>
      <c r="JE23">
        <v>8.6739513355948885E-4</v>
      </c>
      <c r="JF23">
        <v>-8.2500691715147318E-6</v>
      </c>
      <c r="JG23">
        <v>17</v>
      </c>
      <c r="JH23">
        <v>1914</v>
      </c>
      <c r="JI23">
        <v>2</v>
      </c>
      <c r="JJ23">
        <v>37</v>
      </c>
      <c r="JK23">
        <v>0.8</v>
      </c>
      <c r="JL23">
        <v>0.9</v>
      </c>
      <c r="JM23">
        <v>1.1389199999999999</v>
      </c>
      <c r="JN23">
        <v>2.5488300000000002</v>
      </c>
      <c r="JO23">
        <v>1.50024</v>
      </c>
      <c r="JP23">
        <v>2.2705099999999998</v>
      </c>
      <c r="JQ23">
        <v>1.4477500000000001</v>
      </c>
      <c r="JR23">
        <v>2.3290999999999999</v>
      </c>
      <c r="JS23">
        <v>43.754300000000001</v>
      </c>
      <c r="JT23">
        <v>14.85</v>
      </c>
      <c r="JU23">
        <v>18</v>
      </c>
      <c r="JV23">
        <v>539.86699999999996</v>
      </c>
      <c r="JW23">
        <v>380.15199999999999</v>
      </c>
      <c r="JX23">
        <v>25.049399999999999</v>
      </c>
      <c r="JY23">
        <v>33.602200000000003</v>
      </c>
      <c r="JZ23">
        <v>30.000800000000002</v>
      </c>
      <c r="KA23">
        <v>33.5837</v>
      </c>
      <c r="KB23">
        <v>33.575099999999999</v>
      </c>
      <c r="KC23">
        <v>22.7715</v>
      </c>
      <c r="KD23">
        <v>48.819299999999998</v>
      </c>
      <c r="KE23">
        <v>0</v>
      </c>
      <c r="KF23">
        <v>25.05</v>
      </c>
      <c r="KG23">
        <v>458.33699999999999</v>
      </c>
      <c r="KH23">
        <v>22.146999999999998</v>
      </c>
      <c r="KI23">
        <v>100.43600000000001</v>
      </c>
      <c r="KJ23">
        <v>98.884799999999998</v>
      </c>
    </row>
    <row r="24" spans="1:296" x14ac:dyDescent="0.3">
      <c r="A24">
        <v>8</v>
      </c>
      <c r="B24">
        <v>1783701677.5999999</v>
      </c>
      <c r="C24">
        <v>1297.599999904633</v>
      </c>
      <c r="D24" t="s">
        <v>709</v>
      </c>
      <c r="E24" t="s">
        <v>710</v>
      </c>
      <c r="F24">
        <v>15</v>
      </c>
      <c r="H24">
        <v>1783701669.849999</v>
      </c>
      <c r="I24">
        <f t="shared" si="0"/>
        <v>2.2035534009933111E-3</v>
      </c>
      <c r="J24">
        <f t="shared" si="1"/>
        <v>2.2035534009933109</v>
      </c>
      <c r="K24">
        <f t="shared" si="2"/>
        <v>20.505478434382134</v>
      </c>
      <c r="L24">
        <f t="shared" si="3"/>
        <v>420.10969999999998</v>
      </c>
      <c r="M24">
        <f t="shared" si="4"/>
        <v>195.76339775411805</v>
      </c>
      <c r="N24">
        <f t="shared" si="5"/>
        <v>19.094838056991929</v>
      </c>
      <c r="O24">
        <f t="shared" si="6"/>
        <v>40.977663749722659</v>
      </c>
      <c r="P24">
        <f t="shared" si="7"/>
        <v>0.15493241802798105</v>
      </c>
      <c r="Q24">
        <f t="shared" si="8"/>
        <v>2.8852498372431405</v>
      </c>
      <c r="R24">
        <f t="shared" si="9"/>
        <v>0.15045448087563437</v>
      </c>
      <c r="S24">
        <f t="shared" si="10"/>
        <v>9.4425594947995961E-2</v>
      </c>
      <c r="T24">
        <f t="shared" si="11"/>
        <v>64.412503506105537</v>
      </c>
      <c r="U24">
        <f t="shared" si="12"/>
        <v>27.878600558454753</v>
      </c>
      <c r="V24">
        <f t="shared" si="13"/>
        <v>28.25107666666667</v>
      </c>
      <c r="W24">
        <f t="shared" si="14"/>
        <v>3.850740323913834</v>
      </c>
      <c r="X24">
        <f t="shared" si="15"/>
        <v>64.765754092561082</v>
      </c>
      <c r="Y24">
        <f t="shared" si="16"/>
        <v>2.4684409801566267</v>
      </c>
      <c r="Z24">
        <f t="shared" si="17"/>
        <v>3.8113367392106827</v>
      </c>
      <c r="AA24">
        <f t="shared" si="18"/>
        <v>1.3822993437572073</v>
      </c>
      <c r="AB24">
        <f t="shared" si="19"/>
        <v>-97.176704983805024</v>
      </c>
      <c r="AC24">
        <f t="shared" si="20"/>
        <v>-27.477316438044266</v>
      </c>
      <c r="AD24">
        <f t="shared" si="21"/>
        <v>-2.0792461791001999</v>
      </c>
      <c r="AE24">
        <f t="shared" si="22"/>
        <v>-62.320764094843952</v>
      </c>
      <c r="AF24">
        <f t="shared" si="23"/>
        <v>20.505478434382134</v>
      </c>
      <c r="AG24">
        <f t="shared" si="24"/>
        <v>2.2035534009933109</v>
      </c>
      <c r="AH24">
        <f t="shared" si="25"/>
        <v>20.385193717048221</v>
      </c>
      <c r="AI24">
        <v>456.20875265282228</v>
      </c>
      <c r="AJ24">
        <v>431.03938787878769</v>
      </c>
      <c r="AK24">
        <v>2.695663321157226E-2</v>
      </c>
      <c r="AL24">
        <v>67.011586031162949</v>
      </c>
      <c r="AM24">
        <f t="shared" si="26"/>
        <v>2.2653659331379172</v>
      </c>
      <c r="AN24">
        <v>22.706656793939398</v>
      </c>
      <c r="AO24">
        <v>25.364323636363618</v>
      </c>
      <c r="AP24">
        <v>-1.379955747955003E-3</v>
      </c>
      <c r="AQ24">
        <v>78.55</v>
      </c>
      <c r="AR24">
        <v>0</v>
      </c>
      <c r="AS24">
        <v>0</v>
      </c>
      <c r="AT24">
        <f t="shared" si="27"/>
        <v>1</v>
      </c>
      <c r="AU24">
        <f t="shared" si="28"/>
        <v>0</v>
      </c>
      <c r="AV24">
        <f t="shared" si="29"/>
        <v>51369.169404700922</v>
      </c>
      <c r="AW24" t="s">
        <v>683</v>
      </c>
      <c r="AX24">
        <v>5093.91</v>
      </c>
      <c r="AY24">
        <v>567.68235294117642</v>
      </c>
      <c r="AZ24">
        <v>2637.74</v>
      </c>
      <c r="BA24">
        <f t="shared" si="30"/>
        <v>0.78478456825116338</v>
      </c>
      <c r="BB24">
        <v>-3.2245669412414402</v>
      </c>
      <c r="BC24" t="s">
        <v>711</v>
      </c>
      <c r="BD24">
        <v>5103.7299999999996</v>
      </c>
      <c r="BE24">
        <v>727.63729411764712</v>
      </c>
      <c r="BF24">
        <v>1619.66</v>
      </c>
      <c r="BG24">
        <f t="shared" si="31"/>
        <v>0.5507468887805792</v>
      </c>
      <c r="BH24">
        <v>0.5</v>
      </c>
      <c r="BI24">
        <f t="shared" si="32"/>
        <v>336.29602809642779</v>
      </c>
      <c r="BJ24">
        <f t="shared" si="33"/>
        <v>20.505478434382134</v>
      </c>
      <c r="BK24">
        <f t="shared" si="34"/>
        <v>92.606995591686925</v>
      </c>
      <c r="BL24">
        <f t="shared" si="35"/>
        <v>7.0562966532626864E-2</v>
      </c>
      <c r="BM24">
        <f t="shared" si="36"/>
        <v>0.62857636787967819</v>
      </c>
      <c r="BN24">
        <f t="shared" si="37"/>
        <v>500.03759932882826</v>
      </c>
      <c r="BO24" t="s">
        <v>407</v>
      </c>
      <c r="BP24">
        <v>0</v>
      </c>
      <c r="BQ24">
        <f t="shared" si="38"/>
        <v>500.03759932882826</v>
      </c>
      <c r="BR24">
        <f t="shared" si="39"/>
        <v>0.69127002004814075</v>
      </c>
      <c r="BS24">
        <f t="shared" si="40"/>
        <v>0.7967174516583615</v>
      </c>
      <c r="BT24">
        <f t="shared" si="41"/>
        <v>0.47624964058624547</v>
      </c>
      <c r="BU24">
        <f t="shared" si="42"/>
        <v>0.84794834602837676</v>
      </c>
      <c r="BV24">
        <f t="shared" si="43"/>
        <v>0.49181239056144488</v>
      </c>
      <c r="BW24">
        <f t="shared" si="44"/>
        <v>0.54750998209035717</v>
      </c>
      <c r="BX24">
        <f t="shared" si="45"/>
        <v>0.45249001790964283</v>
      </c>
      <c r="DG24">
        <f t="shared" si="46"/>
        <v>399.99920000000009</v>
      </c>
      <c r="DH24">
        <f t="shared" si="47"/>
        <v>336.29602809642779</v>
      </c>
      <c r="DI24">
        <f t="shared" si="48"/>
        <v>0.84074175172457277</v>
      </c>
      <c r="DJ24">
        <f t="shared" si="49"/>
        <v>0.16103158082842545</v>
      </c>
      <c r="DK24">
        <v>6</v>
      </c>
      <c r="DL24">
        <v>0.5</v>
      </c>
      <c r="DM24" t="s">
        <v>408</v>
      </c>
      <c r="DN24">
        <v>2</v>
      </c>
      <c r="DO24" t="b">
        <v>0</v>
      </c>
      <c r="DP24">
        <v>1783701669.849999</v>
      </c>
      <c r="DQ24">
        <v>420.10969999999998</v>
      </c>
      <c r="DR24">
        <v>445.82463333333328</v>
      </c>
      <c r="DS24">
        <v>25.30686</v>
      </c>
      <c r="DT24">
        <v>22.72976666666667</v>
      </c>
      <c r="DU24">
        <v>426.04093333333333</v>
      </c>
      <c r="DV24">
        <v>25.811859999999999</v>
      </c>
      <c r="DW24">
        <v>500.04903333333328</v>
      </c>
      <c r="DX24">
        <v>97.49603333333333</v>
      </c>
      <c r="DY24">
        <v>4.435611666666666E-2</v>
      </c>
      <c r="DZ24">
        <v>28.07443000000001</v>
      </c>
      <c r="EA24">
        <v>28.25107666666667</v>
      </c>
      <c r="EB24">
        <v>999.9000000000002</v>
      </c>
      <c r="EC24">
        <v>0</v>
      </c>
      <c r="ED24">
        <v>0</v>
      </c>
      <c r="EE24">
        <v>10000</v>
      </c>
      <c r="EF24">
        <v>0</v>
      </c>
      <c r="EG24">
        <v>67.648716666666658</v>
      </c>
      <c r="EH24">
        <v>-25.714856666666659</v>
      </c>
      <c r="EI24">
        <v>431.05579999999998</v>
      </c>
      <c r="EJ24">
        <v>456.19366666666679</v>
      </c>
      <c r="EK24">
        <v>2.6640503333333339</v>
      </c>
      <c r="EL24">
        <v>445.82463333333328</v>
      </c>
      <c r="EM24">
        <v>22.72976666666667</v>
      </c>
      <c r="EN24">
        <v>2.4757963333333328</v>
      </c>
      <c r="EO24">
        <v>2.2160630000000001</v>
      </c>
      <c r="EP24">
        <v>20.868253333333332</v>
      </c>
      <c r="EQ24">
        <v>19.078883333333341</v>
      </c>
      <c r="ER24">
        <v>399.99920000000009</v>
      </c>
      <c r="ES24">
        <v>0.97496153333333313</v>
      </c>
      <c r="ET24">
        <v>2.5038850000000001E-2</v>
      </c>
      <c r="EU24">
        <v>0</v>
      </c>
      <c r="EV24">
        <v>727.82256666666683</v>
      </c>
      <c r="EW24">
        <v>5.0010700000000003</v>
      </c>
      <c r="EX24">
        <v>7344.5306666666665</v>
      </c>
      <c r="EY24">
        <v>3583.6113333333342</v>
      </c>
      <c r="EZ24">
        <v>38.974799999999988</v>
      </c>
      <c r="FA24">
        <v>43.061999999999983</v>
      </c>
      <c r="FB24">
        <v>40.936999999999983</v>
      </c>
      <c r="FC24">
        <v>42.395666666666664</v>
      </c>
      <c r="FD24">
        <v>41.125</v>
      </c>
      <c r="FE24">
        <v>385.10799999999989</v>
      </c>
      <c r="FF24">
        <v>9.889999999999997</v>
      </c>
      <c r="FG24">
        <v>0</v>
      </c>
      <c r="FH24">
        <v>182</v>
      </c>
      <c r="FI24">
        <v>0</v>
      </c>
      <c r="FJ24">
        <v>727.63729411764712</v>
      </c>
      <c r="FK24">
        <v>-2.4122548928791971</v>
      </c>
      <c r="FL24">
        <v>45.203431922355541</v>
      </c>
      <c r="FM24">
        <v>7349.7711764705882</v>
      </c>
      <c r="FN24">
        <v>10</v>
      </c>
      <c r="FO24">
        <v>1783701698.5999999</v>
      </c>
      <c r="FP24" t="s">
        <v>712</v>
      </c>
      <c r="FQ24">
        <v>1783701446</v>
      </c>
      <c r="FR24">
        <v>1783701698.5999999</v>
      </c>
      <c r="FS24">
        <v>21</v>
      </c>
      <c r="FT24">
        <v>4.4999999999999998E-2</v>
      </c>
      <c r="FU24">
        <v>-1.4999999999999999E-2</v>
      </c>
      <c r="FV24">
        <v>-6.0759999999999996</v>
      </c>
      <c r="FW24">
        <v>-0.505</v>
      </c>
      <c r="FX24">
        <v>459</v>
      </c>
      <c r="FY24">
        <v>23</v>
      </c>
      <c r="FZ24">
        <v>0.23</v>
      </c>
      <c r="GA24">
        <v>0.12</v>
      </c>
      <c r="GB24">
        <v>420.1146</v>
      </c>
      <c r="GC24">
        <v>-0.31005116796458332</v>
      </c>
      <c r="GD24">
        <v>6.4241523435649386E-2</v>
      </c>
      <c r="GE24">
        <v>-1</v>
      </c>
      <c r="GF24">
        <v>728.06117647058829</v>
      </c>
      <c r="GG24">
        <v>-3.8932620305157322</v>
      </c>
      <c r="GH24">
        <v>0.42129195344155279</v>
      </c>
      <c r="GI24">
        <v>1</v>
      </c>
      <c r="GJ24">
        <v>2.6269830000000001</v>
      </c>
      <c r="GK24">
        <v>0.55398146341463339</v>
      </c>
      <c r="GL24">
        <v>6.4803288620254446E-2</v>
      </c>
      <c r="GM24">
        <v>0</v>
      </c>
      <c r="GN24">
        <v>1</v>
      </c>
      <c r="GO24">
        <v>2</v>
      </c>
      <c r="GP24" t="s">
        <v>410</v>
      </c>
      <c r="GQ24">
        <v>3.1311100000000001</v>
      </c>
      <c r="GR24">
        <v>2.72</v>
      </c>
      <c r="GS24">
        <v>9.1278700000000004E-2</v>
      </c>
      <c r="GT24">
        <v>9.5139299999999996E-2</v>
      </c>
      <c r="GU24">
        <v>0.11742900000000001</v>
      </c>
      <c r="GV24">
        <v>0.107725</v>
      </c>
      <c r="GW24">
        <v>22789.3</v>
      </c>
      <c r="GX24">
        <v>30456.7</v>
      </c>
      <c r="GY24">
        <v>27204</v>
      </c>
      <c r="GZ24">
        <v>34611.9</v>
      </c>
      <c r="HA24">
        <v>35166.9</v>
      </c>
      <c r="HB24">
        <v>39146</v>
      </c>
      <c r="HC24">
        <v>40175.1</v>
      </c>
      <c r="HD24">
        <v>43953.1</v>
      </c>
      <c r="HE24">
        <v>1.9623999999999999</v>
      </c>
      <c r="HF24">
        <v>1.6856</v>
      </c>
      <c r="HG24">
        <v>-7.7784099999999995E-2</v>
      </c>
      <c r="HH24">
        <v>0</v>
      </c>
      <c r="HI24">
        <v>29.528099999999998</v>
      </c>
      <c r="HJ24">
        <v>999.9</v>
      </c>
      <c r="HK24">
        <v>54.2</v>
      </c>
      <c r="HL24">
        <v>39.9</v>
      </c>
      <c r="HM24">
        <v>40.993699999999997</v>
      </c>
      <c r="HN24">
        <v>60.238599999999998</v>
      </c>
      <c r="HO24">
        <v>9.5352599999999992</v>
      </c>
      <c r="HP24">
        <v>1</v>
      </c>
      <c r="HQ24">
        <v>0.54128100000000001</v>
      </c>
      <c r="HR24">
        <v>3.5027200000000001</v>
      </c>
      <c r="HS24">
        <v>20.2437</v>
      </c>
      <c r="HT24">
        <v>5.2112999999999996</v>
      </c>
      <c r="HU24">
        <v>11.908099999999999</v>
      </c>
      <c r="HV24">
        <v>4.9836</v>
      </c>
      <c r="HW24">
        <v>3.2706</v>
      </c>
      <c r="HX24">
        <v>9999</v>
      </c>
      <c r="HY24">
        <v>9999</v>
      </c>
      <c r="HZ24">
        <v>9999</v>
      </c>
      <c r="IA24">
        <v>999.9</v>
      </c>
      <c r="IB24">
        <v>1.86737</v>
      </c>
      <c r="IC24">
        <v>1.86304</v>
      </c>
      <c r="ID24">
        <v>1.86249</v>
      </c>
      <c r="IE24">
        <v>1.8620300000000001</v>
      </c>
      <c r="IF24">
        <v>1.8620300000000001</v>
      </c>
      <c r="IG24">
        <v>1.8626400000000001</v>
      </c>
      <c r="IH24">
        <v>1.8635299999999999</v>
      </c>
      <c r="II24">
        <v>1.86145</v>
      </c>
      <c r="IJ24">
        <v>0</v>
      </c>
      <c r="IK24">
        <v>0</v>
      </c>
      <c r="IL24">
        <v>0</v>
      </c>
      <c r="IM24">
        <v>4.5</v>
      </c>
      <c r="IN24" t="s">
        <v>411</v>
      </c>
      <c r="IO24" t="s">
        <v>412</v>
      </c>
      <c r="IP24" t="s">
        <v>413</v>
      </c>
      <c r="IQ24" t="s">
        <v>414</v>
      </c>
      <c r="IR24" t="s">
        <v>414</v>
      </c>
      <c r="IS24" t="s">
        <v>413</v>
      </c>
      <c r="IT24">
        <v>0</v>
      </c>
      <c r="IU24">
        <v>100</v>
      </c>
      <c r="IV24">
        <v>100</v>
      </c>
      <c r="IW24">
        <v>-5.931</v>
      </c>
      <c r="IX24">
        <v>-0.505</v>
      </c>
      <c r="IY24">
        <v>-3.9433365600836869</v>
      </c>
      <c r="IZ24">
        <v>-5.6215304933332991E-3</v>
      </c>
      <c r="JA24">
        <v>2.3979931213773931E-6</v>
      </c>
      <c r="JB24">
        <v>-3.6297174575716598E-10</v>
      </c>
      <c r="JC24">
        <v>-0.86116145932249499</v>
      </c>
      <c r="JD24">
        <v>2.7492919904454862E-4</v>
      </c>
      <c r="JE24">
        <v>8.6739513355948885E-4</v>
      </c>
      <c r="JF24">
        <v>-8.2500691715147318E-6</v>
      </c>
      <c r="JG24">
        <v>17</v>
      </c>
      <c r="JH24">
        <v>1914</v>
      </c>
      <c r="JI24">
        <v>2</v>
      </c>
      <c r="JJ24">
        <v>37</v>
      </c>
      <c r="JK24">
        <v>3.9</v>
      </c>
      <c r="JL24">
        <v>3.9</v>
      </c>
      <c r="JM24">
        <v>1.11328</v>
      </c>
      <c r="JN24">
        <v>2.5427200000000001</v>
      </c>
      <c r="JO24">
        <v>1.50024</v>
      </c>
      <c r="JP24">
        <v>2.2705099999999998</v>
      </c>
      <c r="JQ24">
        <v>1.4477500000000001</v>
      </c>
      <c r="JR24">
        <v>2.3938000000000001</v>
      </c>
      <c r="JS24">
        <v>44.029499999999999</v>
      </c>
      <c r="JT24">
        <v>14.815</v>
      </c>
      <c r="JU24">
        <v>18</v>
      </c>
      <c r="JV24">
        <v>540.24300000000005</v>
      </c>
      <c r="JW24">
        <v>379.37900000000002</v>
      </c>
      <c r="JX24">
        <v>25.052199999999999</v>
      </c>
      <c r="JY24">
        <v>33.878300000000003</v>
      </c>
      <c r="JZ24">
        <v>30.000599999999999</v>
      </c>
      <c r="KA24">
        <v>33.838799999999999</v>
      </c>
      <c r="KB24">
        <v>33.825899999999997</v>
      </c>
      <c r="KC24">
        <v>22.279599999999999</v>
      </c>
      <c r="KD24">
        <v>48.256999999999998</v>
      </c>
      <c r="KE24">
        <v>0</v>
      </c>
      <c r="KF24">
        <v>25.05</v>
      </c>
      <c r="KG24">
        <v>445.73</v>
      </c>
      <c r="KH24">
        <v>22.802199999999999</v>
      </c>
      <c r="KI24">
        <v>100.405</v>
      </c>
      <c r="KJ24">
        <v>98.851399999999998</v>
      </c>
    </row>
    <row r="25" spans="1:296" x14ac:dyDescent="0.3">
      <c r="A25">
        <v>9</v>
      </c>
      <c r="B25">
        <v>1783701879.5999999</v>
      </c>
      <c r="C25">
        <v>1499.599999904633</v>
      </c>
      <c r="D25" t="s">
        <v>713</v>
      </c>
      <c r="E25" t="s">
        <v>714</v>
      </c>
      <c r="F25">
        <v>15</v>
      </c>
      <c r="H25">
        <v>1783701871.599999</v>
      </c>
      <c r="I25">
        <f t="shared" si="0"/>
        <v>1.6388474250401436E-3</v>
      </c>
      <c r="J25">
        <f t="shared" si="1"/>
        <v>1.6388474250401437</v>
      </c>
      <c r="K25">
        <f t="shared" si="2"/>
        <v>15.199301479063221</v>
      </c>
      <c r="L25">
        <f t="shared" si="3"/>
        <v>420.14377419354838</v>
      </c>
      <c r="M25">
        <f t="shared" si="4"/>
        <v>193.42735711483996</v>
      </c>
      <c r="N25">
        <f t="shared" si="5"/>
        <v>18.868342843634146</v>
      </c>
      <c r="O25">
        <f t="shared" si="6"/>
        <v>40.983948151634436</v>
      </c>
      <c r="P25">
        <f t="shared" si="7"/>
        <v>0.11287231955493167</v>
      </c>
      <c r="Q25">
        <f t="shared" si="8"/>
        <v>2.8862274548975746</v>
      </c>
      <c r="R25">
        <f t="shared" si="9"/>
        <v>0.11047618892846875</v>
      </c>
      <c r="S25">
        <f t="shared" si="10"/>
        <v>6.9258664263046471E-2</v>
      </c>
      <c r="T25">
        <f t="shared" si="11"/>
        <v>48.447680467591276</v>
      </c>
      <c r="U25">
        <f t="shared" si="12"/>
        <v>27.996996337701539</v>
      </c>
      <c r="V25">
        <f t="shared" si="13"/>
        <v>28.376887096774201</v>
      </c>
      <c r="W25">
        <f t="shared" si="14"/>
        <v>3.8790203889096562</v>
      </c>
      <c r="X25">
        <f t="shared" si="15"/>
        <v>64.800510285733239</v>
      </c>
      <c r="Y25">
        <f t="shared" si="16"/>
        <v>2.4791227873556703</v>
      </c>
      <c r="Z25">
        <f t="shared" si="17"/>
        <v>3.8257766434618414</v>
      </c>
      <c r="AA25">
        <f t="shared" si="18"/>
        <v>1.3998976015539859</v>
      </c>
      <c r="AB25">
        <f t="shared" si="19"/>
        <v>-72.273171444270332</v>
      </c>
      <c r="AC25">
        <f t="shared" si="20"/>
        <v>-36.961568269883436</v>
      </c>
      <c r="AD25">
        <f t="shared" si="21"/>
        <v>-2.7986422524755383</v>
      </c>
      <c r="AE25">
        <f t="shared" si="22"/>
        <v>-63.585701499038031</v>
      </c>
      <c r="AF25">
        <f t="shared" si="23"/>
        <v>15.199301479063221</v>
      </c>
      <c r="AG25">
        <f t="shared" si="24"/>
        <v>1.6388474250401437</v>
      </c>
      <c r="AH25">
        <f t="shared" si="25"/>
        <v>15.060606154100393</v>
      </c>
      <c r="AI25">
        <v>449.67220312239903</v>
      </c>
      <c r="AJ25">
        <v>431.13344242424228</v>
      </c>
      <c r="AK25">
        <v>6.0905931219071884E-3</v>
      </c>
      <c r="AL25">
        <v>67.012341213609389</v>
      </c>
      <c r="AM25">
        <f t="shared" si="26"/>
        <v>1.5751013959816105</v>
      </c>
      <c r="AN25">
        <v>23.675418235497851</v>
      </c>
      <c r="AO25">
        <v>25.453740606060599</v>
      </c>
      <c r="AP25">
        <v>1.040524675324085E-2</v>
      </c>
      <c r="AQ25">
        <v>78.55</v>
      </c>
      <c r="AR25">
        <v>0</v>
      </c>
      <c r="AS25">
        <v>0</v>
      </c>
      <c r="AT25">
        <f t="shared" si="27"/>
        <v>1</v>
      </c>
      <c r="AU25">
        <f t="shared" si="28"/>
        <v>0</v>
      </c>
      <c r="AV25">
        <f t="shared" si="29"/>
        <v>51385.913604538102</v>
      </c>
      <c r="AW25" t="s">
        <v>683</v>
      </c>
      <c r="AX25">
        <v>5093.91</v>
      </c>
      <c r="AY25">
        <v>567.68235294117642</v>
      </c>
      <c r="AZ25">
        <v>2637.74</v>
      </c>
      <c r="BA25">
        <f t="shared" si="30"/>
        <v>0.78478456825116338</v>
      </c>
      <c r="BB25">
        <v>-3.2245669412414402</v>
      </c>
      <c r="BC25" t="s">
        <v>715</v>
      </c>
      <c r="BD25">
        <v>5104.2299999999996</v>
      </c>
      <c r="BE25">
        <v>719.39141176470594</v>
      </c>
      <c r="BF25">
        <v>1706.81</v>
      </c>
      <c r="BG25">
        <f t="shared" si="31"/>
        <v>0.57851699265606249</v>
      </c>
      <c r="BH25">
        <v>0.5</v>
      </c>
      <c r="BI25">
        <f t="shared" si="32"/>
        <v>252.30957422188405</v>
      </c>
      <c r="BJ25">
        <f t="shared" si="33"/>
        <v>15.199301479063221</v>
      </c>
      <c r="BK25">
        <f t="shared" si="34"/>
        <v>72.982688048587974</v>
      </c>
      <c r="BL25">
        <f t="shared" si="35"/>
        <v>7.3020885065988389E-2</v>
      </c>
      <c r="BM25">
        <f t="shared" si="36"/>
        <v>0.54542099003403999</v>
      </c>
      <c r="BN25">
        <f t="shared" si="37"/>
        <v>508.04634212455971</v>
      </c>
      <c r="BO25" t="s">
        <v>407</v>
      </c>
      <c r="BP25">
        <v>0</v>
      </c>
      <c r="BQ25">
        <f t="shared" si="38"/>
        <v>508.04634212455971</v>
      </c>
      <c r="BR25">
        <f t="shared" si="39"/>
        <v>0.70234159506649263</v>
      </c>
      <c r="BS25">
        <f t="shared" si="40"/>
        <v>0.82369746675945155</v>
      </c>
      <c r="BT25">
        <f t="shared" si="41"/>
        <v>0.43711920564607665</v>
      </c>
      <c r="BU25">
        <f t="shared" si="42"/>
        <v>0.86681996594917554</v>
      </c>
      <c r="BV25">
        <f t="shared" si="43"/>
        <v>0.44971211372914305</v>
      </c>
      <c r="BW25">
        <f t="shared" si="44"/>
        <v>0.58170903650053318</v>
      </c>
      <c r="BX25">
        <f t="shared" si="45"/>
        <v>0.41829096349946682</v>
      </c>
      <c r="DG25">
        <f t="shared" si="46"/>
        <v>300.02038709677407</v>
      </c>
      <c r="DH25">
        <f t="shared" si="47"/>
        <v>252.30957422188405</v>
      </c>
      <c r="DI25">
        <f t="shared" si="48"/>
        <v>0.84097476395995552</v>
      </c>
      <c r="DJ25">
        <f t="shared" si="49"/>
        <v>0.16148129444271422</v>
      </c>
      <c r="DK25">
        <v>6</v>
      </c>
      <c r="DL25">
        <v>0.5</v>
      </c>
      <c r="DM25" t="s">
        <v>408</v>
      </c>
      <c r="DN25">
        <v>2</v>
      </c>
      <c r="DO25" t="b">
        <v>0</v>
      </c>
      <c r="DP25">
        <v>1783701871.599999</v>
      </c>
      <c r="DQ25">
        <v>420.14377419354838</v>
      </c>
      <c r="DR25">
        <v>439.2085483870967</v>
      </c>
      <c r="DS25">
        <v>25.41453548387096</v>
      </c>
      <c r="DT25">
        <v>23.497964516129031</v>
      </c>
      <c r="DU25">
        <v>426.12277419354842</v>
      </c>
      <c r="DV25">
        <v>25.856125806451619</v>
      </c>
      <c r="DW25">
        <v>500.01703225806449</v>
      </c>
      <c r="DX25">
        <v>97.502087096774204</v>
      </c>
      <c r="DY25">
        <v>4.5349445161290317E-2</v>
      </c>
      <c r="DZ25">
        <v>28.139348387096771</v>
      </c>
      <c r="EA25">
        <v>28.376887096774201</v>
      </c>
      <c r="EB25">
        <v>999.90000000000032</v>
      </c>
      <c r="EC25">
        <v>0</v>
      </c>
      <c r="ED25">
        <v>0</v>
      </c>
      <c r="EE25">
        <v>10005</v>
      </c>
      <c r="EF25">
        <v>0</v>
      </c>
      <c r="EG25">
        <v>51.189400000000013</v>
      </c>
      <c r="EH25">
        <v>-19.064861290322579</v>
      </c>
      <c r="EI25">
        <v>431.09987096774199</v>
      </c>
      <c r="EJ25">
        <v>449.77741935483868</v>
      </c>
      <c r="EK25">
        <v>1.9165735483870969</v>
      </c>
      <c r="EL25">
        <v>439.2085483870967</v>
      </c>
      <c r="EM25">
        <v>23.497964516129031</v>
      </c>
      <c r="EN25">
        <v>2.47797</v>
      </c>
      <c r="EO25">
        <v>2.2911016129032249</v>
      </c>
      <c r="EP25">
        <v>20.882519354838699</v>
      </c>
      <c r="EQ25">
        <v>19.613706451612909</v>
      </c>
      <c r="ER25">
        <v>300.02038709677407</v>
      </c>
      <c r="ES25">
        <v>0.96696499999999952</v>
      </c>
      <c r="ET25">
        <v>3.3035200000000008E-2</v>
      </c>
      <c r="EU25">
        <v>0</v>
      </c>
      <c r="EV25">
        <v>719.40496774193559</v>
      </c>
      <c r="EW25">
        <v>5.0010700000000003</v>
      </c>
      <c r="EX25">
        <v>5145.5561290322594</v>
      </c>
      <c r="EY25">
        <v>2668.1741935483869</v>
      </c>
      <c r="EZ25">
        <v>38.875</v>
      </c>
      <c r="FA25">
        <v>43.114838709677407</v>
      </c>
      <c r="FB25">
        <v>40.936999999999983</v>
      </c>
      <c r="FC25">
        <v>42.543999999999997</v>
      </c>
      <c r="FD25">
        <v>41.118903225806449</v>
      </c>
      <c r="FE25">
        <v>285.27354838709681</v>
      </c>
      <c r="FF25">
        <v>9.7483870967741932</v>
      </c>
      <c r="FG25">
        <v>0</v>
      </c>
      <c r="FH25">
        <v>201.39999985694891</v>
      </c>
      <c r="FI25">
        <v>0</v>
      </c>
      <c r="FJ25">
        <v>719.39141176470594</v>
      </c>
      <c r="FK25">
        <v>0.78259802603627571</v>
      </c>
      <c r="FL25">
        <v>1018.245104293232</v>
      </c>
      <c r="FM25">
        <v>5269.9676470588238</v>
      </c>
      <c r="FN25">
        <v>10</v>
      </c>
      <c r="FO25">
        <v>1783701805.0999999</v>
      </c>
      <c r="FP25" t="s">
        <v>716</v>
      </c>
      <c r="FQ25">
        <v>1783701805.0999999</v>
      </c>
      <c r="FR25">
        <v>1783701798.5999999</v>
      </c>
      <c r="FS25">
        <v>22</v>
      </c>
      <c r="FT25">
        <v>-4.8000000000000001E-2</v>
      </c>
      <c r="FU25">
        <v>-0.01</v>
      </c>
      <c r="FV25">
        <v>-6.0529999999999999</v>
      </c>
      <c r="FW25">
        <v>-0.50700000000000001</v>
      </c>
      <c r="FX25">
        <v>440</v>
      </c>
      <c r="FY25">
        <v>23</v>
      </c>
      <c r="FZ25">
        <v>0.38</v>
      </c>
      <c r="GA25">
        <v>0.16</v>
      </c>
      <c r="GB25">
        <v>420.13916666666671</v>
      </c>
      <c r="GC25">
        <v>0.31338820912056697</v>
      </c>
      <c r="GD25">
        <v>6.3602978616484507E-2</v>
      </c>
      <c r="GE25">
        <v>-1</v>
      </c>
      <c r="GF25">
        <v>719.40426470588238</v>
      </c>
      <c r="GG25">
        <v>-3.7967912898803767E-2</v>
      </c>
      <c r="GH25">
        <v>0.2230010958590225</v>
      </c>
      <c r="GI25">
        <v>1</v>
      </c>
      <c r="GJ25">
        <v>1.96883075</v>
      </c>
      <c r="GK25">
        <v>-1.240994859287057</v>
      </c>
      <c r="GL25">
        <v>0.134603453956195</v>
      </c>
      <c r="GM25">
        <v>0</v>
      </c>
      <c r="GN25">
        <v>1</v>
      </c>
      <c r="GO25">
        <v>2</v>
      </c>
      <c r="GP25" t="s">
        <v>410</v>
      </c>
      <c r="GQ25">
        <v>3.13165</v>
      </c>
      <c r="GR25">
        <v>2.72194</v>
      </c>
      <c r="GS25">
        <v>9.1217199999999998E-2</v>
      </c>
      <c r="GT25">
        <v>9.4012999999999999E-2</v>
      </c>
      <c r="GU25">
        <v>0.117712</v>
      </c>
      <c r="GV25">
        <v>0.11072799999999999</v>
      </c>
      <c r="GW25">
        <v>22776.2</v>
      </c>
      <c r="GX25">
        <v>30472.3</v>
      </c>
      <c r="GY25">
        <v>27188.400000000001</v>
      </c>
      <c r="GZ25">
        <v>34589.1</v>
      </c>
      <c r="HA25">
        <v>35138.400000000001</v>
      </c>
      <c r="HB25">
        <v>38993.1</v>
      </c>
      <c r="HC25">
        <v>40153.300000000003</v>
      </c>
      <c r="HD25">
        <v>43928.5</v>
      </c>
      <c r="HE25">
        <v>1.9585999999999999</v>
      </c>
      <c r="HF25">
        <v>1.6788000000000001</v>
      </c>
      <c r="HG25">
        <v>-8.7320800000000004E-2</v>
      </c>
      <c r="HH25">
        <v>0</v>
      </c>
      <c r="HI25">
        <v>29.765499999999999</v>
      </c>
      <c r="HJ25">
        <v>999.9</v>
      </c>
      <c r="HK25">
        <v>54.1</v>
      </c>
      <c r="HL25">
        <v>40.1</v>
      </c>
      <c r="HM25">
        <v>41.357500000000002</v>
      </c>
      <c r="HN25">
        <v>60.138599999999997</v>
      </c>
      <c r="HO25">
        <v>9.4431100000000008</v>
      </c>
      <c r="HP25">
        <v>1</v>
      </c>
      <c r="HQ25">
        <v>0.57829299999999995</v>
      </c>
      <c r="HR25">
        <v>3.7417199999999999</v>
      </c>
      <c r="HS25">
        <v>20.2393</v>
      </c>
      <c r="HT25">
        <v>5.2077099999999996</v>
      </c>
      <c r="HU25">
        <v>11.908099999999999</v>
      </c>
      <c r="HV25">
        <v>4.9855999999999998</v>
      </c>
      <c r="HW25">
        <v>3.2709999999999999</v>
      </c>
      <c r="HX25">
        <v>9999</v>
      </c>
      <c r="HY25">
        <v>9999</v>
      </c>
      <c r="HZ25">
        <v>9999</v>
      </c>
      <c r="IA25">
        <v>999.9</v>
      </c>
      <c r="IB25">
        <v>1.86737</v>
      </c>
      <c r="IC25">
        <v>1.86304</v>
      </c>
      <c r="ID25">
        <v>1.86249</v>
      </c>
      <c r="IE25">
        <v>1.8620300000000001</v>
      </c>
      <c r="IF25">
        <v>1.8620300000000001</v>
      </c>
      <c r="IG25">
        <v>1.8626400000000001</v>
      </c>
      <c r="IH25">
        <v>1.8634999999999999</v>
      </c>
      <c r="II25">
        <v>1.86148</v>
      </c>
      <c r="IJ25">
        <v>0</v>
      </c>
      <c r="IK25">
        <v>0</v>
      </c>
      <c r="IL25">
        <v>0</v>
      </c>
      <c r="IM25">
        <v>4.5</v>
      </c>
      <c r="IN25" t="s">
        <v>411</v>
      </c>
      <c r="IO25" t="s">
        <v>412</v>
      </c>
      <c r="IP25" t="s">
        <v>413</v>
      </c>
      <c r="IQ25" t="s">
        <v>414</v>
      </c>
      <c r="IR25" t="s">
        <v>414</v>
      </c>
      <c r="IS25" t="s">
        <v>413</v>
      </c>
      <c r="IT25">
        <v>0</v>
      </c>
      <c r="IU25">
        <v>100</v>
      </c>
      <c r="IV25">
        <v>100</v>
      </c>
      <c r="IW25">
        <v>-5.9790000000000001</v>
      </c>
      <c r="IX25">
        <v>-0.44040000000000001</v>
      </c>
      <c r="IY25">
        <v>-3.99090602531051</v>
      </c>
      <c r="IZ25">
        <v>-5.6215304933332991E-3</v>
      </c>
      <c r="JA25">
        <v>2.3979931213773931E-6</v>
      </c>
      <c r="JB25">
        <v>-3.6297174575716598E-10</v>
      </c>
      <c r="JC25">
        <v>-0.88597314751758605</v>
      </c>
      <c r="JD25">
        <v>2.7492919904454862E-4</v>
      </c>
      <c r="JE25">
        <v>8.6739513355948885E-4</v>
      </c>
      <c r="JF25">
        <v>-8.2500691715147318E-6</v>
      </c>
      <c r="JG25">
        <v>17</v>
      </c>
      <c r="JH25">
        <v>1914</v>
      </c>
      <c r="JI25">
        <v>2</v>
      </c>
      <c r="JJ25">
        <v>37</v>
      </c>
      <c r="JK25">
        <v>1.2</v>
      </c>
      <c r="JL25">
        <v>1.4</v>
      </c>
      <c r="JM25">
        <v>1.10107</v>
      </c>
      <c r="JN25">
        <v>2.5378400000000001</v>
      </c>
      <c r="JO25">
        <v>1.50024</v>
      </c>
      <c r="JP25">
        <v>2.2692899999999998</v>
      </c>
      <c r="JQ25">
        <v>1.4477500000000001</v>
      </c>
      <c r="JR25">
        <v>2.3877000000000002</v>
      </c>
      <c r="JS25">
        <v>44.389899999999997</v>
      </c>
      <c r="JT25">
        <v>14.78</v>
      </c>
      <c r="JU25">
        <v>18</v>
      </c>
      <c r="JV25">
        <v>540.673</v>
      </c>
      <c r="JW25">
        <v>377.63799999999998</v>
      </c>
      <c r="JX25">
        <v>25.0486</v>
      </c>
      <c r="JY25">
        <v>34.268999999999998</v>
      </c>
      <c r="JZ25">
        <v>30.000599999999999</v>
      </c>
      <c r="KA25">
        <v>34.200499999999998</v>
      </c>
      <c r="KB25">
        <v>34.1828</v>
      </c>
      <c r="KC25">
        <v>22.020299999999999</v>
      </c>
      <c r="KD25">
        <v>47.504800000000003</v>
      </c>
      <c r="KE25">
        <v>0</v>
      </c>
      <c r="KF25">
        <v>25.05</v>
      </c>
      <c r="KG25">
        <v>439.06799999999998</v>
      </c>
      <c r="KH25">
        <v>23.493500000000001</v>
      </c>
      <c r="KI25">
        <v>100.349</v>
      </c>
      <c r="KJ25">
        <v>98.791899999999998</v>
      </c>
    </row>
    <row r="26" spans="1:296" x14ac:dyDescent="0.3">
      <c r="A26">
        <v>10</v>
      </c>
      <c r="B26">
        <v>1783702062.0999999</v>
      </c>
      <c r="C26">
        <v>1682.099999904633</v>
      </c>
      <c r="D26" t="s">
        <v>717</v>
      </c>
      <c r="E26" t="s">
        <v>718</v>
      </c>
      <c r="F26">
        <v>15</v>
      </c>
      <c r="H26">
        <v>1783702054.349999</v>
      </c>
      <c r="I26">
        <f t="shared" si="0"/>
        <v>9.3537521334660938E-4</v>
      </c>
      <c r="J26">
        <f t="shared" si="1"/>
        <v>0.93537521334660934</v>
      </c>
      <c r="K26">
        <f t="shared" si="2"/>
        <v>9.5283117458025579</v>
      </c>
      <c r="L26">
        <f t="shared" si="3"/>
        <v>419.99220000000003</v>
      </c>
      <c r="M26">
        <f t="shared" si="4"/>
        <v>178.64271621146929</v>
      </c>
      <c r="N26">
        <f t="shared" si="5"/>
        <v>17.427343442287317</v>
      </c>
      <c r="O26">
        <f t="shared" si="6"/>
        <v>40.971994088006959</v>
      </c>
      <c r="P26">
        <f t="shared" si="7"/>
        <v>6.5726585203405977E-2</v>
      </c>
      <c r="Q26">
        <f t="shared" si="8"/>
        <v>2.8868231178469292</v>
      </c>
      <c r="R26">
        <f t="shared" si="9"/>
        <v>6.4906421069511167E-2</v>
      </c>
      <c r="S26">
        <f t="shared" si="10"/>
        <v>4.0639348893866063E-2</v>
      </c>
      <c r="T26">
        <f t="shared" si="11"/>
        <v>32.486291461502447</v>
      </c>
      <c r="U26">
        <f t="shared" si="12"/>
        <v>27.894844832782574</v>
      </c>
      <c r="V26">
        <f t="shared" si="13"/>
        <v>28.139266666666671</v>
      </c>
      <c r="W26">
        <f t="shared" si="14"/>
        <v>3.8257584362920842</v>
      </c>
      <c r="X26">
        <f t="shared" si="15"/>
        <v>65.162775497188221</v>
      </c>
      <c r="Y26">
        <f t="shared" si="16"/>
        <v>2.4652220586689655</v>
      </c>
      <c r="Z26">
        <f t="shared" si="17"/>
        <v>3.7831753479796761</v>
      </c>
      <c r="AA26">
        <f t="shared" si="18"/>
        <v>1.3605363776231187</v>
      </c>
      <c r="AB26">
        <f t="shared" si="19"/>
        <v>-41.250046908585475</v>
      </c>
      <c r="AC26">
        <f t="shared" si="20"/>
        <v>-29.891663168272817</v>
      </c>
      <c r="AD26">
        <f t="shared" si="21"/>
        <v>-2.2580199468051037</v>
      </c>
      <c r="AE26">
        <f t="shared" si="22"/>
        <v>-40.913438562160948</v>
      </c>
      <c r="AF26">
        <f t="shared" si="23"/>
        <v>9.5283117458025579</v>
      </c>
      <c r="AG26">
        <f t="shared" si="24"/>
        <v>0.93537521334660934</v>
      </c>
      <c r="AH26">
        <f t="shared" si="25"/>
        <v>9.5635904113490771</v>
      </c>
      <c r="AI26">
        <v>442.74178255821028</v>
      </c>
      <c r="AJ26">
        <v>430.96801818181819</v>
      </c>
      <c r="AK26">
        <v>2.52410348424713E-3</v>
      </c>
      <c r="AL26">
        <v>67.071263085415936</v>
      </c>
      <c r="AM26">
        <f t="shared" si="26"/>
        <v>0.98660843399528209</v>
      </c>
      <c r="AN26">
        <v>24.160496812164499</v>
      </c>
      <c r="AO26">
        <v>25.309849696969689</v>
      </c>
      <c r="AP26">
        <v>7.5273222015945511E-4</v>
      </c>
      <c r="AQ26">
        <v>78.55</v>
      </c>
      <c r="AR26">
        <v>0</v>
      </c>
      <c r="AS26">
        <v>0</v>
      </c>
      <c r="AT26">
        <f t="shared" si="27"/>
        <v>1</v>
      </c>
      <c r="AU26">
        <f t="shared" si="28"/>
        <v>0</v>
      </c>
      <c r="AV26">
        <f t="shared" si="29"/>
        <v>51435.765819070795</v>
      </c>
      <c r="AW26" t="s">
        <v>683</v>
      </c>
      <c r="AX26">
        <v>5093.91</v>
      </c>
      <c r="AY26">
        <v>567.68235294117642</v>
      </c>
      <c r="AZ26">
        <v>2637.74</v>
      </c>
      <c r="BA26">
        <f t="shared" si="30"/>
        <v>0.78478456825116338</v>
      </c>
      <c r="BB26">
        <v>-3.2245669412414402</v>
      </c>
      <c r="BC26" t="s">
        <v>719</v>
      </c>
      <c r="BD26">
        <v>5105.95</v>
      </c>
      <c r="BE26">
        <v>714.21029411764709</v>
      </c>
      <c r="BF26">
        <v>1844.7</v>
      </c>
      <c r="BG26">
        <f t="shared" si="31"/>
        <v>0.61283119525253582</v>
      </c>
      <c r="BH26">
        <v>0.5</v>
      </c>
      <c r="BI26">
        <f t="shared" si="32"/>
        <v>168.30177087124483</v>
      </c>
      <c r="BJ26">
        <f t="shared" si="33"/>
        <v>9.5283117458025579</v>
      </c>
      <c r="BK26">
        <f t="shared" si="34"/>
        <v>51.570287703071692</v>
      </c>
      <c r="BL26">
        <f t="shared" si="35"/>
        <v>7.5773882954566635E-2</v>
      </c>
      <c r="BM26">
        <f t="shared" si="36"/>
        <v>0.42990188106467159</v>
      </c>
      <c r="BN26">
        <f t="shared" si="37"/>
        <v>519.60747966815052</v>
      </c>
      <c r="BO26" t="s">
        <v>407</v>
      </c>
      <c r="BP26">
        <v>0</v>
      </c>
      <c r="BQ26">
        <f t="shared" si="38"/>
        <v>519.60747966815052</v>
      </c>
      <c r="BR26">
        <f t="shared" si="39"/>
        <v>0.71832412876448726</v>
      </c>
      <c r="BS26">
        <f t="shared" si="40"/>
        <v>0.85314020608858232</v>
      </c>
      <c r="BT26">
        <f t="shared" si="41"/>
        <v>0.37440528030595255</v>
      </c>
      <c r="BU26">
        <f t="shared" si="42"/>
        <v>0.88525770061678644</v>
      </c>
      <c r="BV26">
        <f t="shared" si="43"/>
        <v>0.38310044221559036</v>
      </c>
      <c r="BW26">
        <f t="shared" si="44"/>
        <v>0.62068278200458593</v>
      </c>
      <c r="BX26">
        <f t="shared" si="45"/>
        <v>0.37931721799541407</v>
      </c>
      <c r="DG26">
        <f t="shared" si="46"/>
        <v>200.01103333333339</v>
      </c>
      <c r="DH26">
        <f t="shared" si="47"/>
        <v>168.30177087124483</v>
      </c>
      <c r="DI26">
        <f t="shared" si="48"/>
        <v>0.8414624336786326</v>
      </c>
      <c r="DJ26">
        <f t="shared" si="49"/>
        <v>0.16242249699976105</v>
      </c>
      <c r="DK26">
        <v>6</v>
      </c>
      <c r="DL26">
        <v>0.5</v>
      </c>
      <c r="DM26" t="s">
        <v>408</v>
      </c>
      <c r="DN26">
        <v>2</v>
      </c>
      <c r="DO26" t="b">
        <v>0</v>
      </c>
      <c r="DP26">
        <v>1783702054.349999</v>
      </c>
      <c r="DQ26">
        <v>419.99220000000003</v>
      </c>
      <c r="DR26">
        <v>431.8975333333334</v>
      </c>
      <c r="DS26">
        <v>25.270286666666671</v>
      </c>
      <c r="DT26">
        <v>24.176206666666669</v>
      </c>
      <c r="DU26">
        <v>425.96916666666669</v>
      </c>
      <c r="DV26">
        <v>25.730399999999999</v>
      </c>
      <c r="DW26">
        <v>500.00256666666672</v>
      </c>
      <c r="DX26">
        <v>97.50948333333335</v>
      </c>
      <c r="DY26">
        <v>4.4695263333333332E-2</v>
      </c>
      <c r="DZ26">
        <v>27.947203333333341</v>
      </c>
      <c r="EA26">
        <v>28.139266666666671</v>
      </c>
      <c r="EB26">
        <v>999.9000000000002</v>
      </c>
      <c r="EC26">
        <v>0</v>
      </c>
      <c r="ED26">
        <v>0</v>
      </c>
      <c r="EE26">
        <v>10007.66666666667</v>
      </c>
      <c r="EF26">
        <v>0</v>
      </c>
      <c r="EG26">
        <v>60.215320000000013</v>
      </c>
      <c r="EH26">
        <v>-11.90536333333333</v>
      </c>
      <c r="EI26">
        <v>430.8807666666666</v>
      </c>
      <c r="EJ26">
        <v>442.59789999999998</v>
      </c>
      <c r="EK26">
        <v>1.094074666666667</v>
      </c>
      <c r="EL26">
        <v>431.8975333333334</v>
      </c>
      <c r="EM26">
        <v>24.176206666666669</v>
      </c>
      <c r="EN26">
        <v>2.4640919999999999</v>
      </c>
      <c r="EO26">
        <v>2.357409333333333</v>
      </c>
      <c r="EP26">
        <v>20.79122666666666</v>
      </c>
      <c r="EQ26">
        <v>20.07407666666667</v>
      </c>
      <c r="ER26">
        <v>200.01103333333339</v>
      </c>
      <c r="ES26">
        <v>0.94998486666666682</v>
      </c>
      <c r="ET26">
        <v>5.0014753333333321E-2</v>
      </c>
      <c r="EU26">
        <v>0</v>
      </c>
      <c r="EV26">
        <v>714.22966666666662</v>
      </c>
      <c r="EW26">
        <v>5.0010700000000003</v>
      </c>
      <c r="EX26">
        <v>5228.2506666666659</v>
      </c>
      <c r="EY26">
        <v>1751.9173333333331</v>
      </c>
      <c r="EZ26">
        <v>38.40186666666667</v>
      </c>
      <c r="FA26">
        <v>42.436999999999983</v>
      </c>
      <c r="FB26">
        <v>40.506200000000007</v>
      </c>
      <c r="FC26">
        <v>42.122899999999987</v>
      </c>
      <c r="FD26">
        <v>40.689099999999982</v>
      </c>
      <c r="FE26">
        <v>185.25800000000001</v>
      </c>
      <c r="FF26">
        <v>9.75</v>
      </c>
      <c r="FG26">
        <v>0</v>
      </c>
      <c r="FH26">
        <v>181.5999999046326</v>
      </c>
      <c r="FI26">
        <v>0</v>
      </c>
      <c r="FJ26">
        <v>714.21029411764709</v>
      </c>
      <c r="FK26">
        <v>1.4772058946001461</v>
      </c>
      <c r="FL26">
        <v>-3926.6372651294942</v>
      </c>
      <c r="FM26">
        <v>5169.1805882352946</v>
      </c>
      <c r="FN26">
        <v>10</v>
      </c>
      <c r="FO26">
        <v>1783701981.0999999</v>
      </c>
      <c r="FP26" t="s">
        <v>720</v>
      </c>
      <c r="FQ26">
        <v>1783701973.5999999</v>
      </c>
      <c r="FR26">
        <v>1783701981.0999999</v>
      </c>
      <c r="FS26">
        <v>23</v>
      </c>
      <c r="FT26">
        <v>1E-3</v>
      </c>
      <c r="FU26">
        <v>-1.4999999999999999E-2</v>
      </c>
      <c r="FV26">
        <v>-6.0250000000000004</v>
      </c>
      <c r="FW26">
        <v>-0.501</v>
      </c>
      <c r="FX26">
        <v>433</v>
      </c>
      <c r="FY26">
        <v>24</v>
      </c>
      <c r="FZ26">
        <v>0.67</v>
      </c>
      <c r="GA26">
        <v>0.18</v>
      </c>
      <c r="GB26">
        <v>419.99103333333329</v>
      </c>
      <c r="GC26">
        <v>0.41280533926572599</v>
      </c>
      <c r="GD26">
        <v>5.7701232415106038E-2</v>
      </c>
      <c r="GE26">
        <v>-1</v>
      </c>
      <c r="GF26">
        <v>714.25717647058821</v>
      </c>
      <c r="GG26">
        <v>-0.21576776153943911</v>
      </c>
      <c r="GH26">
        <v>0.23874851038504991</v>
      </c>
      <c r="GI26">
        <v>1</v>
      </c>
      <c r="GJ26">
        <v>1.1434985</v>
      </c>
      <c r="GK26">
        <v>-0.70742318949343608</v>
      </c>
      <c r="GL26">
        <v>0.1063515929017991</v>
      </c>
      <c r="GM26">
        <v>0</v>
      </c>
      <c r="GN26">
        <v>1</v>
      </c>
      <c r="GO26">
        <v>2</v>
      </c>
      <c r="GP26" t="s">
        <v>410</v>
      </c>
      <c r="GQ26">
        <v>3.13191</v>
      </c>
      <c r="GR26">
        <v>2.7212100000000001</v>
      </c>
      <c r="GS26">
        <v>9.1172100000000006E-2</v>
      </c>
      <c r="GT26">
        <v>9.2843200000000001E-2</v>
      </c>
      <c r="GU26">
        <v>0.117272</v>
      </c>
      <c r="GV26">
        <v>0.112272</v>
      </c>
      <c r="GW26">
        <v>22773</v>
      </c>
      <c r="GX26">
        <v>30507</v>
      </c>
      <c r="GY26">
        <v>27183.7</v>
      </c>
      <c r="GZ26">
        <v>34584.699999999997</v>
      </c>
      <c r="HA26">
        <v>35151</v>
      </c>
      <c r="HB26">
        <v>38921.699999999997</v>
      </c>
      <c r="HC26">
        <v>40146.9</v>
      </c>
      <c r="HD26">
        <v>43924.2</v>
      </c>
      <c r="HE26">
        <v>1.9568000000000001</v>
      </c>
      <c r="HF26">
        <v>1.6774</v>
      </c>
      <c r="HG26">
        <v>-7.2270600000000004E-2</v>
      </c>
      <c r="HH26">
        <v>0</v>
      </c>
      <c r="HI26">
        <v>29.3203</v>
      </c>
      <c r="HJ26">
        <v>999.9</v>
      </c>
      <c r="HK26">
        <v>53.9</v>
      </c>
      <c r="HL26">
        <v>40.299999999999997</v>
      </c>
      <c r="HM26">
        <v>41.6389</v>
      </c>
      <c r="HN26">
        <v>60.168599999999998</v>
      </c>
      <c r="HO26">
        <v>9.5552899999999994</v>
      </c>
      <c r="HP26">
        <v>1</v>
      </c>
      <c r="HQ26">
        <v>0.588476</v>
      </c>
      <c r="HR26">
        <v>3.5980400000000001</v>
      </c>
      <c r="HS26">
        <v>20.243500000000001</v>
      </c>
      <c r="HT26">
        <v>5.2100999999999997</v>
      </c>
      <c r="HU26">
        <v>11.908099999999999</v>
      </c>
      <c r="HV26">
        <v>4.9855999999999998</v>
      </c>
      <c r="HW26">
        <v>3.2709999999999999</v>
      </c>
      <c r="HX26">
        <v>9999</v>
      </c>
      <c r="HY26">
        <v>9999</v>
      </c>
      <c r="HZ26">
        <v>9999</v>
      </c>
      <c r="IA26">
        <v>999.9</v>
      </c>
      <c r="IB26">
        <v>1.86737</v>
      </c>
      <c r="IC26">
        <v>1.86304</v>
      </c>
      <c r="ID26">
        <v>1.86252</v>
      </c>
      <c r="IE26">
        <v>1.8620300000000001</v>
      </c>
      <c r="IF26">
        <v>1.8620300000000001</v>
      </c>
      <c r="IG26">
        <v>1.8626400000000001</v>
      </c>
      <c r="IH26">
        <v>1.8635600000000001</v>
      </c>
      <c r="II26">
        <v>1.86154</v>
      </c>
      <c r="IJ26">
        <v>0</v>
      </c>
      <c r="IK26">
        <v>0</v>
      </c>
      <c r="IL26">
        <v>0</v>
      </c>
      <c r="IM26">
        <v>4.5</v>
      </c>
      <c r="IN26" t="s">
        <v>411</v>
      </c>
      <c r="IO26" t="s">
        <v>412</v>
      </c>
      <c r="IP26" t="s">
        <v>413</v>
      </c>
      <c r="IQ26" t="s">
        <v>414</v>
      </c>
      <c r="IR26" t="s">
        <v>414</v>
      </c>
      <c r="IS26" t="s">
        <v>413</v>
      </c>
      <c r="IT26">
        <v>0</v>
      </c>
      <c r="IU26">
        <v>100</v>
      </c>
      <c r="IV26">
        <v>100</v>
      </c>
      <c r="IW26">
        <v>-5.9779999999999998</v>
      </c>
      <c r="IX26">
        <v>-0.45889999999999997</v>
      </c>
      <c r="IY26">
        <v>-3.9894796344054448</v>
      </c>
      <c r="IZ26">
        <v>-5.6215304933332991E-3</v>
      </c>
      <c r="JA26">
        <v>2.3979931213773931E-6</v>
      </c>
      <c r="JB26">
        <v>-3.6297174575716598E-10</v>
      </c>
      <c r="JC26">
        <v>-0.90090609978966696</v>
      </c>
      <c r="JD26">
        <v>2.7492919904454862E-4</v>
      </c>
      <c r="JE26">
        <v>8.6739513355948885E-4</v>
      </c>
      <c r="JF26">
        <v>-8.2500691715147318E-6</v>
      </c>
      <c r="JG26">
        <v>17</v>
      </c>
      <c r="JH26">
        <v>1914</v>
      </c>
      <c r="JI26">
        <v>2</v>
      </c>
      <c r="JJ26">
        <v>37</v>
      </c>
      <c r="JK26">
        <v>1.5</v>
      </c>
      <c r="JL26">
        <v>1.4</v>
      </c>
      <c r="JM26">
        <v>1.08643</v>
      </c>
      <c r="JN26">
        <v>2.5488300000000002</v>
      </c>
      <c r="JO26">
        <v>1.50024</v>
      </c>
      <c r="JP26">
        <v>2.2692899999999998</v>
      </c>
      <c r="JQ26">
        <v>1.4477500000000001</v>
      </c>
      <c r="JR26">
        <v>2.32666</v>
      </c>
      <c r="JS26">
        <v>44.557299999999998</v>
      </c>
      <c r="JT26">
        <v>14.7362</v>
      </c>
      <c r="JU26">
        <v>18</v>
      </c>
      <c r="JV26">
        <v>540.755</v>
      </c>
      <c r="JW26">
        <v>377.70100000000002</v>
      </c>
      <c r="JX26">
        <v>25.048500000000001</v>
      </c>
      <c r="JY26">
        <v>34.396500000000003</v>
      </c>
      <c r="JZ26">
        <v>30</v>
      </c>
      <c r="KA26">
        <v>34.357199999999999</v>
      </c>
      <c r="KB26">
        <v>34.329500000000003</v>
      </c>
      <c r="KC26">
        <v>21.7377</v>
      </c>
      <c r="KD26">
        <v>46.981499999999997</v>
      </c>
      <c r="KE26">
        <v>0</v>
      </c>
      <c r="KF26">
        <v>25.05</v>
      </c>
      <c r="KG26">
        <v>431.85700000000003</v>
      </c>
      <c r="KH26">
        <v>24.0107</v>
      </c>
      <c r="KI26">
        <v>100.333</v>
      </c>
      <c r="KJ26">
        <v>98.780900000000003</v>
      </c>
    </row>
    <row r="27" spans="1:296" x14ac:dyDescent="0.3">
      <c r="A27">
        <v>11</v>
      </c>
      <c r="B27">
        <v>1783702244.5999999</v>
      </c>
      <c r="C27">
        <v>1864.599999904633</v>
      </c>
      <c r="D27" t="s">
        <v>721</v>
      </c>
      <c r="E27" t="s">
        <v>722</v>
      </c>
      <c r="F27">
        <v>15</v>
      </c>
      <c r="H27">
        <v>1783702236.849999</v>
      </c>
      <c r="I27">
        <f t="shared" si="0"/>
        <v>9.2326723249337955E-4</v>
      </c>
      <c r="J27">
        <f t="shared" si="1"/>
        <v>0.9232672324933795</v>
      </c>
      <c r="K27">
        <f t="shared" si="2"/>
        <v>3.419399022673189</v>
      </c>
      <c r="L27">
        <f t="shared" si="3"/>
        <v>419.93256666666667</v>
      </c>
      <c r="M27">
        <f t="shared" si="4"/>
        <v>322.84529406458824</v>
      </c>
      <c r="N27">
        <f t="shared" si="5"/>
        <v>31.495669237274619</v>
      </c>
      <c r="O27">
        <f t="shared" si="6"/>
        <v>40.967167447846116</v>
      </c>
      <c r="P27">
        <f t="shared" si="7"/>
        <v>6.2642024313405348E-2</v>
      </c>
      <c r="Q27">
        <f t="shared" si="8"/>
        <v>2.887130543330227</v>
      </c>
      <c r="R27">
        <f t="shared" si="9"/>
        <v>6.1896642221504455E-2</v>
      </c>
      <c r="S27">
        <f t="shared" si="10"/>
        <v>3.8751631926160393E-2</v>
      </c>
      <c r="T27">
        <f t="shared" si="11"/>
        <v>16.508581329944708</v>
      </c>
      <c r="U27">
        <f t="shared" si="12"/>
        <v>27.849622883096437</v>
      </c>
      <c r="V27">
        <f t="shared" si="13"/>
        <v>28.299986666666669</v>
      </c>
      <c r="W27">
        <f t="shared" si="14"/>
        <v>3.8617130256909347</v>
      </c>
      <c r="X27">
        <f t="shared" si="15"/>
        <v>64.678865368277954</v>
      </c>
      <c r="Y27">
        <f t="shared" si="16"/>
        <v>2.453633759036927</v>
      </c>
      <c r="Z27">
        <f t="shared" si="17"/>
        <v>3.7935633921004479</v>
      </c>
      <c r="AA27">
        <f t="shared" si="18"/>
        <v>1.4080792666540076</v>
      </c>
      <c r="AB27">
        <f t="shared" si="19"/>
        <v>-40.716084952958035</v>
      </c>
      <c r="AC27">
        <f t="shared" si="20"/>
        <v>-47.591325374467324</v>
      </c>
      <c r="AD27">
        <f t="shared" si="21"/>
        <v>-3.5983946323078753</v>
      </c>
      <c r="AE27">
        <f t="shared" si="22"/>
        <v>-75.397223629788527</v>
      </c>
      <c r="AF27">
        <f t="shared" si="23"/>
        <v>3.419399022673189</v>
      </c>
      <c r="AG27">
        <f t="shared" si="24"/>
        <v>0.9232672324933795</v>
      </c>
      <c r="AH27">
        <f t="shared" si="25"/>
        <v>3.501469806448521</v>
      </c>
      <c r="AI27">
        <v>435.08137601720381</v>
      </c>
      <c r="AJ27">
        <v>430.77259999999978</v>
      </c>
      <c r="AK27">
        <v>7.4292969114668483E-4</v>
      </c>
      <c r="AL27">
        <v>67.009887096565819</v>
      </c>
      <c r="AM27">
        <f t="shared" si="26"/>
        <v>0.82093653240931275</v>
      </c>
      <c r="AN27">
        <v>24.208076124112559</v>
      </c>
      <c r="AO27">
        <v>25.163867878787869</v>
      </c>
      <c r="AP27">
        <v>7.2426943722943195E-4</v>
      </c>
      <c r="AQ27">
        <v>78.55</v>
      </c>
      <c r="AR27">
        <v>0</v>
      </c>
      <c r="AS27">
        <v>0</v>
      </c>
      <c r="AT27">
        <f t="shared" si="27"/>
        <v>1</v>
      </c>
      <c r="AU27">
        <f t="shared" si="28"/>
        <v>0</v>
      </c>
      <c r="AV27">
        <f t="shared" si="29"/>
        <v>51436.499721433203</v>
      </c>
      <c r="AW27" t="s">
        <v>683</v>
      </c>
      <c r="AX27">
        <v>5093.91</v>
      </c>
      <c r="AY27">
        <v>567.68235294117642</v>
      </c>
      <c r="AZ27">
        <v>2637.74</v>
      </c>
      <c r="BA27">
        <f t="shared" si="30"/>
        <v>0.78478456825116338</v>
      </c>
      <c r="BB27">
        <v>-3.2245669412414402</v>
      </c>
      <c r="BC27" t="s">
        <v>723</v>
      </c>
      <c r="BD27">
        <v>5107.3100000000004</v>
      </c>
      <c r="BE27">
        <v>699.6436470588236</v>
      </c>
      <c r="BF27">
        <v>1979.93</v>
      </c>
      <c r="BG27">
        <f t="shared" si="31"/>
        <v>0.64663212989407526</v>
      </c>
      <c r="BH27">
        <v>0.5</v>
      </c>
      <c r="BI27">
        <f t="shared" si="32"/>
        <v>84.273677140903956</v>
      </c>
      <c r="BJ27">
        <f t="shared" si="33"/>
        <v>3.419399022673189</v>
      </c>
      <c r="BK27">
        <f t="shared" si="34"/>
        <v>27.247033671814183</v>
      </c>
      <c r="BL27">
        <f t="shared" si="35"/>
        <v>7.8837973959603624E-2</v>
      </c>
      <c r="BM27">
        <f t="shared" si="36"/>
        <v>0.33223901855116073</v>
      </c>
      <c r="BN27">
        <f t="shared" si="37"/>
        <v>529.80007718938316</v>
      </c>
      <c r="BO27" t="s">
        <v>407</v>
      </c>
      <c r="BP27">
        <v>0</v>
      </c>
      <c r="BQ27">
        <f t="shared" si="38"/>
        <v>529.80007718938316</v>
      </c>
      <c r="BR27">
        <f t="shared" si="39"/>
        <v>0.73241474335487466</v>
      </c>
      <c r="BS27">
        <f t="shared" si="40"/>
        <v>0.88287699798632369</v>
      </c>
      <c r="BT27">
        <f t="shared" si="41"/>
        <v>0.31206297337113398</v>
      </c>
      <c r="BU27">
        <f t="shared" si="42"/>
        <v>0.90655938114503343</v>
      </c>
      <c r="BV27">
        <f t="shared" si="43"/>
        <v>0.31777375907121641</v>
      </c>
      <c r="BW27">
        <f t="shared" si="44"/>
        <v>0.66855220317974029</v>
      </c>
      <c r="BX27">
        <f t="shared" si="45"/>
        <v>0.33144779682025971</v>
      </c>
      <c r="DG27">
        <f t="shared" si="46"/>
        <v>99.986053333333302</v>
      </c>
      <c r="DH27">
        <f t="shared" si="47"/>
        <v>84.273677140903956</v>
      </c>
      <c r="DI27">
        <f t="shared" si="48"/>
        <v>0.84285432149174389</v>
      </c>
      <c r="DJ27">
        <f t="shared" si="49"/>
        <v>0.16510884047906593</v>
      </c>
      <c r="DK27">
        <v>6</v>
      </c>
      <c r="DL27">
        <v>0.5</v>
      </c>
      <c r="DM27" t="s">
        <v>408</v>
      </c>
      <c r="DN27">
        <v>2</v>
      </c>
      <c r="DO27" t="b">
        <v>0</v>
      </c>
      <c r="DP27">
        <v>1783702236.849999</v>
      </c>
      <c r="DQ27">
        <v>419.93256666666667</v>
      </c>
      <c r="DR27">
        <v>424.50056666666671</v>
      </c>
      <c r="DS27">
        <v>25.15089</v>
      </c>
      <c r="DT27">
        <v>24.070959999999999</v>
      </c>
      <c r="DU27">
        <v>425.86200000000008</v>
      </c>
      <c r="DV27">
        <v>25.622656666666661</v>
      </c>
      <c r="DW27">
        <v>500.05810000000002</v>
      </c>
      <c r="DX27">
        <v>97.512096666666679</v>
      </c>
      <c r="DY27">
        <v>4.4441453333333332E-2</v>
      </c>
      <c r="DZ27">
        <v>27.994230000000002</v>
      </c>
      <c r="EA27">
        <v>28.299986666666669</v>
      </c>
      <c r="EB27">
        <v>999.9000000000002</v>
      </c>
      <c r="EC27">
        <v>0</v>
      </c>
      <c r="ED27">
        <v>0</v>
      </c>
      <c r="EE27">
        <v>10009.16666666667</v>
      </c>
      <c r="EF27">
        <v>0</v>
      </c>
      <c r="EG27">
        <v>74.337996666666655</v>
      </c>
      <c r="EH27">
        <v>-4.5680243333333346</v>
      </c>
      <c r="EI27">
        <v>430.76670000000001</v>
      </c>
      <c r="EJ27">
        <v>434.97070000000002</v>
      </c>
      <c r="EK27">
        <v>1.0799228333333331</v>
      </c>
      <c r="EL27">
        <v>424.50056666666671</v>
      </c>
      <c r="EM27">
        <v>24.070959999999999</v>
      </c>
      <c r="EN27">
        <v>2.452516666666666</v>
      </c>
      <c r="EO27">
        <v>2.3472096666666671</v>
      </c>
      <c r="EP27">
        <v>20.714759999999991</v>
      </c>
      <c r="EQ27">
        <v>20.00403</v>
      </c>
      <c r="ER27">
        <v>99.986053333333302</v>
      </c>
      <c r="ES27">
        <v>0.89986623333333282</v>
      </c>
      <c r="ET27">
        <v>0.1001337866666666</v>
      </c>
      <c r="EU27">
        <v>0</v>
      </c>
      <c r="EV27">
        <v>699.82209999999986</v>
      </c>
      <c r="EW27">
        <v>5.0010700000000003</v>
      </c>
      <c r="EX27">
        <v>5636.0843333333314</v>
      </c>
      <c r="EY27">
        <v>836.40350000000012</v>
      </c>
      <c r="EZ27">
        <v>38.033066666666663</v>
      </c>
      <c r="FA27">
        <v>42.287199999999977</v>
      </c>
      <c r="FB27">
        <v>40.186999999999983</v>
      </c>
      <c r="FC27">
        <v>41.875</v>
      </c>
      <c r="FD27">
        <v>40.366599999999991</v>
      </c>
      <c r="FE27">
        <v>85.474333333333306</v>
      </c>
      <c r="FF27">
        <v>9.5133333333333319</v>
      </c>
      <c r="FG27">
        <v>0</v>
      </c>
      <c r="FH27">
        <v>182</v>
      </c>
      <c r="FI27">
        <v>0</v>
      </c>
      <c r="FJ27">
        <v>699.6436470588236</v>
      </c>
      <c r="FK27">
        <v>-1.6620097904040629</v>
      </c>
      <c r="FL27">
        <v>119.789217523581</v>
      </c>
      <c r="FM27">
        <v>5628.0547058823522</v>
      </c>
      <c r="FN27">
        <v>10</v>
      </c>
      <c r="FO27">
        <v>1783702182.5999999</v>
      </c>
      <c r="FP27" t="s">
        <v>724</v>
      </c>
      <c r="FQ27">
        <v>1783702178.5999999</v>
      </c>
      <c r="FR27">
        <v>1783702182.5999999</v>
      </c>
      <c r="FS27">
        <v>24</v>
      </c>
      <c r="FT27">
        <v>4.7E-2</v>
      </c>
      <c r="FU27">
        <v>-8.9999999999999993E-3</v>
      </c>
      <c r="FV27">
        <v>-5.9450000000000003</v>
      </c>
      <c r="FW27">
        <v>-0.497</v>
      </c>
      <c r="FX27">
        <v>424</v>
      </c>
      <c r="FY27">
        <v>24</v>
      </c>
      <c r="FZ27">
        <v>1.62</v>
      </c>
      <c r="GA27">
        <v>0.27</v>
      </c>
      <c r="GB27">
        <v>419.93256666666667</v>
      </c>
      <c r="GC27">
        <v>7.0558398220700633E-2</v>
      </c>
      <c r="GD27">
        <v>5.0029780020397652E-2</v>
      </c>
      <c r="GE27">
        <v>-1</v>
      </c>
      <c r="GF27">
        <v>699.92294117647066</v>
      </c>
      <c r="GG27">
        <v>-2.6450114607858808</v>
      </c>
      <c r="GH27">
        <v>0.33841446405402043</v>
      </c>
      <c r="GI27">
        <v>1</v>
      </c>
      <c r="GJ27">
        <v>1.1028251250000001</v>
      </c>
      <c r="GK27">
        <v>-0.77810441651031981</v>
      </c>
      <c r="GL27">
        <v>8.7338609263654859E-2</v>
      </c>
      <c r="GM27">
        <v>0</v>
      </c>
      <c r="GN27">
        <v>1</v>
      </c>
      <c r="GO27">
        <v>2</v>
      </c>
      <c r="GP27" t="s">
        <v>410</v>
      </c>
      <c r="GQ27">
        <v>3.1311100000000001</v>
      </c>
      <c r="GR27">
        <v>2.7214499999999999</v>
      </c>
      <c r="GS27">
        <v>9.1127799999999995E-2</v>
      </c>
      <c r="GT27">
        <v>9.1627600000000003E-2</v>
      </c>
      <c r="GU27">
        <v>0.116844</v>
      </c>
      <c r="GV27">
        <v>0.112646</v>
      </c>
      <c r="GW27">
        <v>22773.9</v>
      </c>
      <c r="GX27">
        <v>30548.799999999999</v>
      </c>
      <c r="GY27">
        <v>27183.5</v>
      </c>
      <c r="GZ27">
        <v>34585.699999999997</v>
      </c>
      <c r="HA27">
        <v>35168.199999999997</v>
      </c>
      <c r="HB27">
        <v>38906.1</v>
      </c>
      <c r="HC27">
        <v>40147.199999999997</v>
      </c>
      <c r="HD27">
        <v>43925.2</v>
      </c>
      <c r="HE27">
        <v>1.9556</v>
      </c>
      <c r="HF27">
        <v>1.6768000000000001</v>
      </c>
      <c r="HG27">
        <v>-7.6353500000000005E-2</v>
      </c>
      <c r="HH27">
        <v>0</v>
      </c>
      <c r="HI27">
        <v>29.564800000000002</v>
      </c>
      <c r="HJ27">
        <v>999.9</v>
      </c>
      <c r="HK27">
        <v>53.6</v>
      </c>
      <c r="HL27">
        <v>40.5</v>
      </c>
      <c r="HM27">
        <v>41.8551</v>
      </c>
      <c r="HN27">
        <v>59.938600000000001</v>
      </c>
      <c r="HO27">
        <v>9.4711499999999997</v>
      </c>
      <c r="HP27">
        <v>1</v>
      </c>
      <c r="HQ27">
        <v>0.58859799999999995</v>
      </c>
      <c r="HR27">
        <v>3.67719</v>
      </c>
      <c r="HS27">
        <v>20.2423</v>
      </c>
      <c r="HT27">
        <v>5.2112999999999996</v>
      </c>
      <c r="HU27">
        <v>11.908099999999999</v>
      </c>
      <c r="HV27">
        <v>4.9843999999999999</v>
      </c>
      <c r="HW27">
        <v>3.2709999999999999</v>
      </c>
      <c r="HX27">
        <v>9999</v>
      </c>
      <c r="HY27">
        <v>9999</v>
      </c>
      <c r="HZ27">
        <v>9999</v>
      </c>
      <c r="IA27">
        <v>999.9</v>
      </c>
      <c r="IB27">
        <v>1.86737</v>
      </c>
      <c r="IC27">
        <v>1.8631</v>
      </c>
      <c r="ID27">
        <v>1.86249</v>
      </c>
      <c r="IE27">
        <v>1.8620300000000001</v>
      </c>
      <c r="IF27">
        <v>1.8620300000000001</v>
      </c>
      <c r="IG27">
        <v>1.8626400000000001</v>
      </c>
      <c r="IH27">
        <v>1.8635600000000001</v>
      </c>
      <c r="II27">
        <v>1.86154</v>
      </c>
      <c r="IJ27">
        <v>0</v>
      </c>
      <c r="IK27">
        <v>0</v>
      </c>
      <c r="IL27">
        <v>0</v>
      </c>
      <c r="IM27">
        <v>4.5</v>
      </c>
      <c r="IN27" t="s">
        <v>411</v>
      </c>
      <c r="IO27" t="s">
        <v>412</v>
      </c>
      <c r="IP27" t="s">
        <v>413</v>
      </c>
      <c r="IQ27" t="s">
        <v>414</v>
      </c>
      <c r="IR27" t="s">
        <v>414</v>
      </c>
      <c r="IS27" t="s">
        <v>413</v>
      </c>
      <c r="IT27">
        <v>0</v>
      </c>
      <c r="IU27">
        <v>100</v>
      </c>
      <c r="IV27">
        <v>100</v>
      </c>
      <c r="IW27">
        <v>-5.93</v>
      </c>
      <c r="IX27">
        <v>-0.4713</v>
      </c>
      <c r="IY27">
        <v>-3.9423780917157489</v>
      </c>
      <c r="IZ27">
        <v>-5.6215304933332991E-3</v>
      </c>
      <c r="JA27">
        <v>2.3979931213773931E-6</v>
      </c>
      <c r="JB27">
        <v>-3.6297174575716598E-10</v>
      </c>
      <c r="JC27">
        <v>-0.90950646373211774</v>
      </c>
      <c r="JD27">
        <v>2.7492919904454862E-4</v>
      </c>
      <c r="JE27">
        <v>8.6739513355948885E-4</v>
      </c>
      <c r="JF27">
        <v>-8.2500691715147318E-6</v>
      </c>
      <c r="JG27">
        <v>17</v>
      </c>
      <c r="JH27">
        <v>1914</v>
      </c>
      <c r="JI27">
        <v>2</v>
      </c>
      <c r="JJ27">
        <v>37</v>
      </c>
      <c r="JK27">
        <v>1.1000000000000001</v>
      </c>
      <c r="JL27">
        <v>1</v>
      </c>
      <c r="JM27">
        <v>1.07178</v>
      </c>
      <c r="JN27">
        <v>2.5476100000000002</v>
      </c>
      <c r="JO27">
        <v>1.50024</v>
      </c>
      <c r="JP27">
        <v>2.2692899999999998</v>
      </c>
      <c r="JQ27">
        <v>1.4477500000000001</v>
      </c>
      <c r="JR27">
        <v>2.33887</v>
      </c>
      <c r="JS27">
        <v>44.697299999999998</v>
      </c>
      <c r="JT27">
        <v>14.709899999999999</v>
      </c>
      <c r="JU27">
        <v>18</v>
      </c>
      <c r="JV27">
        <v>540.30799999999999</v>
      </c>
      <c r="JW27">
        <v>377.71800000000002</v>
      </c>
      <c r="JX27">
        <v>25.051100000000002</v>
      </c>
      <c r="JY27">
        <v>34.3996</v>
      </c>
      <c r="JZ27">
        <v>30.000499999999999</v>
      </c>
      <c r="KA27">
        <v>34.400399999999998</v>
      </c>
      <c r="KB27">
        <v>34.390799999999999</v>
      </c>
      <c r="KC27">
        <v>21.442</v>
      </c>
      <c r="KD27">
        <v>46.656500000000001</v>
      </c>
      <c r="KE27">
        <v>0</v>
      </c>
      <c r="KF27">
        <v>25.05</v>
      </c>
      <c r="KG27">
        <v>424.53800000000001</v>
      </c>
      <c r="KH27">
        <v>24.1828</v>
      </c>
      <c r="KI27">
        <v>100.333</v>
      </c>
      <c r="KJ27">
        <v>98.783500000000004</v>
      </c>
    </row>
    <row r="28" spans="1:296" x14ac:dyDescent="0.3">
      <c r="A28">
        <v>12</v>
      </c>
      <c r="B28">
        <v>1783702427.0999999</v>
      </c>
      <c r="C28">
        <v>2047.099999904633</v>
      </c>
      <c r="D28" t="s">
        <v>725</v>
      </c>
      <c r="E28" t="s">
        <v>726</v>
      </c>
      <c r="F28">
        <v>15</v>
      </c>
      <c r="H28">
        <v>1783702419.349999</v>
      </c>
      <c r="I28">
        <f t="shared" si="0"/>
        <v>5.9339714778075786E-4</v>
      </c>
      <c r="J28">
        <f t="shared" si="1"/>
        <v>0.59339714778075781</v>
      </c>
      <c r="K28">
        <f t="shared" si="2"/>
        <v>-0.18184645473276162</v>
      </c>
      <c r="L28">
        <f t="shared" si="3"/>
        <v>420.0222</v>
      </c>
      <c r="M28">
        <f t="shared" si="4"/>
        <v>417.39924668032853</v>
      </c>
      <c r="N28">
        <f t="shared" si="5"/>
        <v>40.720133775306039</v>
      </c>
      <c r="O28">
        <f t="shared" si="6"/>
        <v>40.976020701103977</v>
      </c>
      <c r="P28">
        <f t="shared" si="7"/>
        <v>4.090924409267635E-2</v>
      </c>
      <c r="Q28">
        <f t="shared" si="8"/>
        <v>2.8849822834576675</v>
      </c>
      <c r="R28">
        <f t="shared" si="9"/>
        <v>4.0589686294873736E-2</v>
      </c>
      <c r="S28">
        <f t="shared" si="10"/>
        <v>2.539705672339275E-2</v>
      </c>
      <c r="T28">
        <f t="shared" si="11"/>
        <v>8.2427773663181512</v>
      </c>
      <c r="U28">
        <f t="shared" si="12"/>
        <v>27.850785965017888</v>
      </c>
      <c r="V28">
        <f t="shared" si="13"/>
        <v>28.239910000000009</v>
      </c>
      <c r="W28">
        <f t="shared" si="14"/>
        <v>3.8482389578706329</v>
      </c>
      <c r="X28">
        <f t="shared" si="15"/>
        <v>65.200301708993564</v>
      </c>
      <c r="Y28">
        <f t="shared" si="16"/>
        <v>2.4681876265383154</v>
      </c>
      <c r="Z28">
        <f t="shared" si="17"/>
        <v>3.7855463270009073</v>
      </c>
      <c r="AA28">
        <f t="shared" si="18"/>
        <v>1.3800513313323175</v>
      </c>
      <c r="AB28">
        <f t="shared" si="19"/>
        <v>-26.16881421713142</v>
      </c>
      <c r="AC28">
        <f t="shared" si="20"/>
        <v>-43.855213536103143</v>
      </c>
      <c r="AD28">
        <f t="shared" si="21"/>
        <v>-3.3167826412524932</v>
      </c>
      <c r="AE28">
        <f t="shared" si="22"/>
        <v>-65.098033028168913</v>
      </c>
      <c r="AF28">
        <f t="shared" si="23"/>
        <v>-0.18184645473276162</v>
      </c>
      <c r="AG28">
        <f t="shared" si="24"/>
        <v>0.59339714778075781</v>
      </c>
      <c r="AH28">
        <f t="shared" si="25"/>
        <v>-0.23719857766969252</v>
      </c>
      <c r="AI28">
        <v>430.51504919951992</v>
      </c>
      <c r="AJ28">
        <v>430.85639393939408</v>
      </c>
      <c r="AK28">
        <v>-9.4831332072415394E-3</v>
      </c>
      <c r="AL28">
        <v>67.070454617368014</v>
      </c>
      <c r="AM28">
        <f t="shared" si="26"/>
        <v>0.62289644141644407</v>
      </c>
      <c r="AN28">
        <v>24.48983738532467</v>
      </c>
      <c r="AO28">
        <v>25.275238787878781</v>
      </c>
      <c r="AP28">
        <v>-9.2939220779137133E-3</v>
      </c>
      <c r="AQ28">
        <v>78.55</v>
      </c>
      <c r="AR28">
        <v>0</v>
      </c>
      <c r="AS28">
        <v>0</v>
      </c>
      <c r="AT28">
        <f t="shared" si="27"/>
        <v>1</v>
      </c>
      <c r="AU28">
        <f t="shared" si="28"/>
        <v>0</v>
      </c>
      <c r="AV28">
        <f t="shared" si="29"/>
        <v>51381.812015785683</v>
      </c>
      <c r="AW28" t="s">
        <v>683</v>
      </c>
      <c r="AX28">
        <v>5093.91</v>
      </c>
      <c r="AY28">
        <v>567.68235294117642</v>
      </c>
      <c r="AZ28">
        <v>2637.74</v>
      </c>
      <c r="BA28">
        <f t="shared" si="30"/>
        <v>0.78478456825116338</v>
      </c>
      <c r="BB28">
        <v>-3.2245669412414402</v>
      </c>
      <c r="BC28" t="s">
        <v>727</v>
      </c>
      <c r="BD28">
        <v>5107.72</v>
      </c>
      <c r="BE28">
        <v>682.66388235294119</v>
      </c>
      <c r="BF28">
        <v>2071.58</v>
      </c>
      <c r="BG28">
        <f t="shared" si="31"/>
        <v>0.67046221610898871</v>
      </c>
      <c r="BH28">
        <v>0.5</v>
      </c>
      <c r="BI28">
        <f t="shared" si="32"/>
        <v>42.144396086175213</v>
      </c>
      <c r="BJ28">
        <f t="shared" si="33"/>
        <v>-0.18184645473276162</v>
      </c>
      <c r="BK28">
        <f t="shared" si="34"/>
        <v>14.128112598256012</v>
      </c>
      <c r="BL28">
        <f t="shared" si="35"/>
        <v>7.2197510679404275E-2</v>
      </c>
      <c r="BM28">
        <f t="shared" si="36"/>
        <v>0.27329864161654382</v>
      </c>
      <c r="BN28">
        <f t="shared" si="37"/>
        <v>536.14720120666334</v>
      </c>
      <c r="BO28" t="s">
        <v>407</v>
      </c>
      <c r="BP28">
        <v>0</v>
      </c>
      <c r="BQ28">
        <f t="shared" si="38"/>
        <v>536.14720120666334</v>
      </c>
      <c r="BR28">
        <f t="shared" si="39"/>
        <v>0.74118923661810632</v>
      </c>
      <c r="BS28">
        <f t="shared" si="40"/>
        <v>0.90457629844730292</v>
      </c>
      <c r="BT28">
        <f t="shared" si="41"/>
        <v>0.26939566995331815</v>
      </c>
      <c r="BU28">
        <f t="shared" si="42"/>
        <v>0.92354431191734732</v>
      </c>
      <c r="BV28">
        <f t="shared" si="43"/>
        <v>0.27349962973466491</v>
      </c>
      <c r="BW28">
        <f t="shared" si="44"/>
        <v>0.71043168274671409</v>
      </c>
      <c r="BX28">
        <f t="shared" si="45"/>
        <v>0.28956831725328591</v>
      </c>
      <c r="DG28">
        <f t="shared" si="46"/>
        <v>50.010883333333346</v>
      </c>
      <c r="DH28">
        <f t="shared" si="47"/>
        <v>42.144396086175213</v>
      </c>
      <c r="DI28">
        <f t="shared" si="48"/>
        <v>0.84270449304551787</v>
      </c>
      <c r="DJ28">
        <f t="shared" si="49"/>
        <v>0.16481967157784955</v>
      </c>
      <c r="DK28">
        <v>6</v>
      </c>
      <c r="DL28">
        <v>0.5</v>
      </c>
      <c r="DM28" t="s">
        <v>408</v>
      </c>
      <c r="DN28">
        <v>2</v>
      </c>
      <c r="DO28" t="b">
        <v>0</v>
      </c>
      <c r="DP28">
        <v>1783702419.349999</v>
      </c>
      <c r="DQ28">
        <v>420.0222</v>
      </c>
      <c r="DR28">
        <v>420.10306666666662</v>
      </c>
      <c r="DS28">
        <v>25.300006666666661</v>
      </c>
      <c r="DT28">
        <v>24.60599333333333</v>
      </c>
      <c r="DU28">
        <v>425.95043333333342</v>
      </c>
      <c r="DV28">
        <v>25.774229999999999</v>
      </c>
      <c r="DW28">
        <v>500.03436666666659</v>
      </c>
      <c r="DX28">
        <v>97.51191666666665</v>
      </c>
      <c r="DY28">
        <v>4.488081E-2</v>
      </c>
      <c r="DZ28">
        <v>27.957946666666668</v>
      </c>
      <c r="EA28">
        <v>28.239910000000009</v>
      </c>
      <c r="EB28">
        <v>999.9000000000002</v>
      </c>
      <c r="EC28">
        <v>0</v>
      </c>
      <c r="ED28">
        <v>0</v>
      </c>
      <c r="EE28">
        <v>9996.8333333333339</v>
      </c>
      <c r="EF28">
        <v>0</v>
      </c>
      <c r="EG28">
        <v>1819.693666666667</v>
      </c>
      <c r="EH28">
        <v>-8.0931599999999992E-2</v>
      </c>
      <c r="EI28">
        <v>430.92456666666658</v>
      </c>
      <c r="EJ28">
        <v>430.70089999999988</v>
      </c>
      <c r="EK28">
        <v>0.69402013333333334</v>
      </c>
      <c r="EL28">
        <v>420.10306666666662</v>
      </c>
      <c r="EM28">
        <v>24.60599333333333</v>
      </c>
      <c r="EN28">
        <v>2.4670519999999998</v>
      </c>
      <c r="EO28">
        <v>2.3993776666666671</v>
      </c>
      <c r="EP28">
        <v>20.81075666666667</v>
      </c>
      <c r="EQ28">
        <v>20.359493333333329</v>
      </c>
      <c r="ER28">
        <v>50.010883333333346</v>
      </c>
      <c r="ES28">
        <v>0.89988973333333311</v>
      </c>
      <c r="ET28">
        <v>0.10011059</v>
      </c>
      <c r="EU28">
        <v>0</v>
      </c>
      <c r="EV28">
        <v>682.83549999999991</v>
      </c>
      <c r="EW28">
        <v>5.0010700000000003</v>
      </c>
      <c r="EX28">
        <v>5039.7120000000004</v>
      </c>
      <c r="EY28">
        <v>396.34393333333333</v>
      </c>
      <c r="EZ28">
        <v>37.684933333333333</v>
      </c>
      <c r="FA28">
        <v>41.785133333333327</v>
      </c>
      <c r="FB28">
        <v>39.883266666666671</v>
      </c>
      <c r="FC28">
        <v>41.585099999999983</v>
      </c>
      <c r="FD28">
        <v>40.064099999999982</v>
      </c>
      <c r="FE28">
        <v>40.503333333333323</v>
      </c>
      <c r="FF28">
        <v>4.5086666666666666</v>
      </c>
      <c r="FG28">
        <v>0</v>
      </c>
      <c r="FH28">
        <v>181.5999999046326</v>
      </c>
      <c r="FI28">
        <v>0</v>
      </c>
      <c r="FJ28">
        <v>682.66388235294119</v>
      </c>
      <c r="FK28">
        <v>-2.6049019818703192</v>
      </c>
      <c r="FL28">
        <v>-79.210783559635985</v>
      </c>
      <c r="FM28">
        <v>5034.0917647058823</v>
      </c>
      <c r="FN28">
        <v>10</v>
      </c>
      <c r="FO28">
        <v>1783702345.0999999</v>
      </c>
      <c r="FP28" t="s">
        <v>728</v>
      </c>
      <c r="FQ28">
        <v>1783702345.0999999</v>
      </c>
      <c r="FR28">
        <v>1783702342.5999999</v>
      </c>
      <c r="FS28">
        <v>25</v>
      </c>
      <c r="FT28">
        <v>1E-3</v>
      </c>
      <c r="FU28">
        <v>-7.0000000000000001E-3</v>
      </c>
      <c r="FV28">
        <v>-5.9249999999999998</v>
      </c>
      <c r="FW28">
        <v>-0.496</v>
      </c>
      <c r="FX28">
        <v>419</v>
      </c>
      <c r="FY28">
        <v>25</v>
      </c>
      <c r="FZ28">
        <v>1.47</v>
      </c>
      <c r="GA28">
        <v>0.28000000000000003</v>
      </c>
      <c r="GB28">
        <v>420.02348387096771</v>
      </c>
      <c r="GC28">
        <v>3.1354838708851397E-2</v>
      </c>
      <c r="GD28">
        <v>5.7857929987469123E-2</v>
      </c>
      <c r="GE28">
        <v>-1</v>
      </c>
      <c r="GF28">
        <v>682.94202941176468</v>
      </c>
      <c r="GG28">
        <v>-2.8216501201641391</v>
      </c>
      <c r="GH28">
        <v>0.34980528073353151</v>
      </c>
      <c r="GI28">
        <v>1</v>
      </c>
      <c r="GJ28">
        <v>0.66283831707317076</v>
      </c>
      <c r="GK28">
        <v>0.63795117073170804</v>
      </c>
      <c r="GL28">
        <v>7.6281536409520651E-2</v>
      </c>
      <c r="GM28">
        <v>0</v>
      </c>
      <c r="GN28">
        <v>1</v>
      </c>
      <c r="GO28">
        <v>2</v>
      </c>
      <c r="GP28" t="s">
        <v>410</v>
      </c>
      <c r="GQ28">
        <v>3.1319599999999999</v>
      </c>
      <c r="GR28">
        <v>2.7214299999999998</v>
      </c>
      <c r="GS28">
        <v>9.11164E-2</v>
      </c>
      <c r="GT28">
        <v>9.0922199999999995E-2</v>
      </c>
      <c r="GU28">
        <v>0.117158</v>
      </c>
      <c r="GV28">
        <v>0.11340600000000001</v>
      </c>
      <c r="GW28">
        <v>22771.1</v>
      </c>
      <c r="GX28">
        <v>30566.7</v>
      </c>
      <c r="GY28">
        <v>27180.3</v>
      </c>
      <c r="GZ28">
        <v>34579.699999999997</v>
      </c>
      <c r="HA28">
        <v>35152.199999999997</v>
      </c>
      <c r="HB28">
        <v>38866.6</v>
      </c>
      <c r="HC28">
        <v>40142.6</v>
      </c>
      <c r="HD28">
        <v>43918.1</v>
      </c>
      <c r="HE28">
        <v>1.9543999999999999</v>
      </c>
      <c r="HF28">
        <v>1.6744000000000001</v>
      </c>
      <c r="HG28">
        <v>-7.9274200000000003E-2</v>
      </c>
      <c r="HH28">
        <v>0</v>
      </c>
      <c r="HI28">
        <v>29.533200000000001</v>
      </c>
      <c r="HJ28">
        <v>999.9</v>
      </c>
      <c r="HK28">
        <v>53.5</v>
      </c>
      <c r="HL28">
        <v>40.700000000000003</v>
      </c>
      <c r="HM28">
        <v>42.221899999999998</v>
      </c>
      <c r="HN28">
        <v>60.538600000000002</v>
      </c>
      <c r="HO28">
        <v>9.0865399999999994</v>
      </c>
      <c r="HP28">
        <v>1</v>
      </c>
      <c r="HQ28">
        <v>0.59695100000000001</v>
      </c>
      <c r="HR28">
        <v>3.6954199999999999</v>
      </c>
      <c r="HS28">
        <v>20.2423</v>
      </c>
      <c r="HT28">
        <v>5.2077099999999996</v>
      </c>
      <c r="HU28">
        <v>11.908099999999999</v>
      </c>
      <c r="HV28">
        <v>4.9828000000000001</v>
      </c>
      <c r="HW28">
        <v>3.2702</v>
      </c>
      <c r="HX28">
        <v>9999</v>
      </c>
      <c r="HY28">
        <v>9999</v>
      </c>
      <c r="HZ28">
        <v>9999</v>
      </c>
      <c r="IA28">
        <v>999.9</v>
      </c>
      <c r="IB28">
        <v>1.86737</v>
      </c>
      <c r="IC28">
        <v>1.8631</v>
      </c>
      <c r="ID28">
        <v>1.86249</v>
      </c>
      <c r="IE28">
        <v>1.8620300000000001</v>
      </c>
      <c r="IF28">
        <v>1.8620300000000001</v>
      </c>
      <c r="IG28">
        <v>1.8626400000000001</v>
      </c>
      <c r="IH28">
        <v>1.8635600000000001</v>
      </c>
      <c r="II28">
        <v>1.86145</v>
      </c>
      <c r="IJ28">
        <v>0</v>
      </c>
      <c r="IK28">
        <v>0</v>
      </c>
      <c r="IL28">
        <v>0</v>
      </c>
      <c r="IM28">
        <v>4.5</v>
      </c>
      <c r="IN28" t="s">
        <v>411</v>
      </c>
      <c r="IO28" t="s">
        <v>412</v>
      </c>
      <c r="IP28" t="s">
        <v>413</v>
      </c>
      <c r="IQ28" t="s">
        <v>414</v>
      </c>
      <c r="IR28" t="s">
        <v>414</v>
      </c>
      <c r="IS28" t="s">
        <v>413</v>
      </c>
      <c r="IT28">
        <v>0</v>
      </c>
      <c r="IU28">
        <v>100</v>
      </c>
      <c r="IV28">
        <v>100</v>
      </c>
      <c r="IW28">
        <v>-5.9279999999999999</v>
      </c>
      <c r="IX28">
        <v>-0.47499999999999998</v>
      </c>
      <c r="IY28">
        <v>-3.9409829559396239</v>
      </c>
      <c r="IZ28">
        <v>-5.6215304933332991E-3</v>
      </c>
      <c r="JA28">
        <v>2.3979931213773931E-6</v>
      </c>
      <c r="JB28">
        <v>-3.6297174575716598E-10</v>
      </c>
      <c r="JC28">
        <v>-0.91626642152723869</v>
      </c>
      <c r="JD28">
        <v>2.7492919904454862E-4</v>
      </c>
      <c r="JE28">
        <v>8.6739513355948885E-4</v>
      </c>
      <c r="JF28">
        <v>-8.2500691715147318E-6</v>
      </c>
      <c r="JG28">
        <v>17</v>
      </c>
      <c r="JH28">
        <v>1914</v>
      </c>
      <c r="JI28">
        <v>2</v>
      </c>
      <c r="JJ28">
        <v>37</v>
      </c>
      <c r="JK28">
        <v>1.4</v>
      </c>
      <c r="JL28">
        <v>1.4</v>
      </c>
      <c r="JM28">
        <v>1.0632299999999999</v>
      </c>
      <c r="JN28">
        <v>2.5439500000000002</v>
      </c>
      <c r="JO28">
        <v>1.50024</v>
      </c>
      <c r="JP28">
        <v>2.2692899999999998</v>
      </c>
      <c r="JQ28">
        <v>1.4477500000000001</v>
      </c>
      <c r="JR28">
        <v>2.4597199999999999</v>
      </c>
      <c r="JS28">
        <v>44.893999999999998</v>
      </c>
      <c r="JT28">
        <v>14.6837</v>
      </c>
      <c r="JU28">
        <v>18</v>
      </c>
      <c r="JV28">
        <v>540.26400000000001</v>
      </c>
      <c r="JW28">
        <v>376.86500000000001</v>
      </c>
      <c r="JX28">
        <v>25.0489</v>
      </c>
      <c r="JY28">
        <v>34.496499999999997</v>
      </c>
      <c r="JZ28">
        <v>29.9999</v>
      </c>
      <c r="KA28">
        <v>34.493200000000002</v>
      </c>
      <c r="KB28">
        <v>34.476999999999997</v>
      </c>
      <c r="KC28">
        <v>21.261500000000002</v>
      </c>
      <c r="KD28">
        <v>46.573399999999999</v>
      </c>
      <c r="KE28">
        <v>0</v>
      </c>
      <c r="KF28">
        <v>25.05</v>
      </c>
      <c r="KG28">
        <v>420.11</v>
      </c>
      <c r="KH28">
        <v>24.589500000000001</v>
      </c>
      <c r="KI28">
        <v>100.321</v>
      </c>
      <c r="KJ28">
        <v>98.766999999999996</v>
      </c>
    </row>
    <row r="29" spans="1:296" x14ac:dyDescent="0.3">
      <c r="A29">
        <v>13</v>
      </c>
      <c r="B29">
        <v>1783702609.5999999</v>
      </c>
      <c r="C29">
        <v>2229.599999904633</v>
      </c>
      <c r="D29" t="s">
        <v>729</v>
      </c>
      <c r="E29" t="s">
        <v>730</v>
      </c>
      <c r="F29">
        <v>15</v>
      </c>
      <c r="H29">
        <v>1783702601.599999</v>
      </c>
      <c r="I29">
        <f t="shared" si="0"/>
        <v>5.2919869710973759E-4</v>
      </c>
      <c r="J29">
        <f t="shared" si="1"/>
        <v>0.52919869710973755</v>
      </c>
      <c r="K29">
        <f t="shared" si="2"/>
        <v>-4.7837446069882823</v>
      </c>
      <c r="L29">
        <f t="shared" si="3"/>
        <v>420.08454838709679</v>
      </c>
      <c r="M29">
        <f t="shared" si="4"/>
        <v>621.76693157980776</v>
      </c>
      <c r="N29">
        <f t="shared" si="5"/>
        <v>60.657713391171256</v>
      </c>
      <c r="O29">
        <f t="shared" si="6"/>
        <v>40.982186156764818</v>
      </c>
      <c r="P29">
        <f t="shared" si="7"/>
        <v>3.5975864693330029E-2</v>
      </c>
      <c r="Q29">
        <f t="shared" si="8"/>
        <v>2.8837945532995573</v>
      </c>
      <c r="R29">
        <f t="shared" si="9"/>
        <v>3.5728380075716874E-2</v>
      </c>
      <c r="S29">
        <f t="shared" si="10"/>
        <v>2.2352330990608002E-2</v>
      </c>
      <c r="T29">
        <f t="shared" si="11"/>
        <v>1.5966703903835998E-4</v>
      </c>
      <c r="U29">
        <f t="shared" si="12"/>
        <v>27.821727127183149</v>
      </c>
      <c r="V29">
        <f t="shared" si="13"/>
        <v>28.296519354838711</v>
      </c>
      <c r="W29">
        <f t="shared" si="14"/>
        <v>3.8609342552565855</v>
      </c>
      <c r="X29">
        <f t="shared" si="15"/>
        <v>65.044770607072593</v>
      </c>
      <c r="Y29">
        <f t="shared" si="16"/>
        <v>2.4627800760858247</v>
      </c>
      <c r="Z29">
        <f t="shared" si="17"/>
        <v>3.786284513113551</v>
      </c>
      <c r="AA29">
        <f t="shared" si="18"/>
        <v>1.3981541791707608</v>
      </c>
      <c r="AB29">
        <f t="shared" si="19"/>
        <v>-23.337662542539427</v>
      </c>
      <c r="AC29">
        <f t="shared" si="20"/>
        <v>-52.118437110171882</v>
      </c>
      <c r="AD29">
        <f t="shared" si="21"/>
        <v>-3.9445343568709816</v>
      </c>
      <c r="AE29">
        <f t="shared" si="22"/>
        <v>-79.400474342543248</v>
      </c>
      <c r="AF29">
        <f t="shared" si="23"/>
        <v>-4.7837446069882823</v>
      </c>
      <c r="AG29">
        <f t="shared" si="24"/>
        <v>0.52919869710973755</v>
      </c>
      <c r="AH29">
        <f t="shared" si="25"/>
        <v>-4.6211045558051316</v>
      </c>
      <c r="AI29">
        <v>424.9987261348802</v>
      </c>
      <c r="AJ29">
        <v>430.86587878787873</v>
      </c>
      <c r="AK29">
        <v>-3.4817600228174282E-2</v>
      </c>
      <c r="AL29">
        <v>67.014648196126473</v>
      </c>
      <c r="AM29">
        <f t="shared" si="26"/>
        <v>0.51868903765740826</v>
      </c>
      <c r="AN29">
        <v>24.63636070095237</v>
      </c>
      <c r="AO29">
        <v>25.243475757575741</v>
      </c>
      <c r="AP29">
        <v>-6.4522319210999122E-5</v>
      </c>
      <c r="AQ29">
        <v>78.55</v>
      </c>
      <c r="AR29">
        <v>0</v>
      </c>
      <c r="AS29">
        <v>0</v>
      </c>
      <c r="AT29">
        <f t="shared" si="27"/>
        <v>1</v>
      </c>
      <c r="AU29">
        <f t="shared" si="28"/>
        <v>0</v>
      </c>
      <c r="AV29">
        <f t="shared" si="29"/>
        <v>51347.592890585591</v>
      </c>
      <c r="AW29" t="s">
        <v>731</v>
      </c>
      <c r="AX29">
        <v>5102.38</v>
      </c>
      <c r="AY29">
        <v>567.49705882352941</v>
      </c>
      <c r="AZ29">
        <v>2458.08</v>
      </c>
      <c r="BA29">
        <f t="shared" si="30"/>
        <v>0.76912994742907903</v>
      </c>
      <c r="BB29">
        <v>-4.7837446069883294</v>
      </c>
      <c r="BC29" t="s">
        <v>407</v>
      </c>
      <c r="BD29" t="s">
        <v>407</v>
      </c>
      <c r="BE29">
        <v>0</v>
      </c>
      <c r="BF29">
        <v>0</v>
      </c>
      <c r="BG29" t="e">
        <f t="shared" si="31"/>
        <v>#DIV/0!</v>
      </c>
      <c r="BH29">
        <v>0.5</v>
      </c>
      <c r="BI29">
        <f t="shared" si="32"/>
        <v>8.4035283704399992E-4</v>
      </c>
      <c r="BJ29">
        <f t="shared" si="33"/>
        <v>-4.7837446069882823</v>
      </c>
      <c r="BK29" t="e">
        <f t="shared" si="34"/>
        <v>#DIV/0!</v>
      </c>
      <c r="BL29">
        <f t="shared" si="35"/>
        <v>5.6016299545903629E-11</v>
      </c>
      <c r="BM29" t="e">
        <f t="shared" si="36"/>
        <v>#DIV/0!</v>
      </c>
      <c r="BN29" t="e">
        <f t="shared" si="37"/>
        <v>#DIV/0!</v>
      </c>
      <c r="BO29" t="s">
        <v>407</v>
      </c>
      <c r="BP29">
        <v>0</v>
      </c>
      <c r="BQ29" t="e">
        <f t="shared" si="38"/>
        <v>#DIV/0!</v>
      </c>
      <c r="BR29" t="e">
        <f t="shared" si="39"/>
        <v>#DIV/0!</v>
      </c>
      <c r="BS29" t="e">
        <f t="shared" si="40"/>
        <v>#DIV/0!</v>
      </c>
      <c r="BT29" t="e">
        <f t="shared" si="41"/>
        <v>#DIV/0!</v>
      </c>
      <c r="BU29">
        <f t="shared" si="42"/>
        <v>0</v>
      </c>
      <c r="BV29">
        <f t="shared" si="43"/>
        <v>1.3001704111803674</v>
      </c>
      <c r="BW29" t="e">
        <f t="shared" si="44"/>
        <v>#DIV/0!</v>
      </c>
      <c r="BX29" t="e">
        <f t="shared" si="45"/>
        <v>#DIV/0!</v>
      </c>
      <c r="DG29">
        <f t="shared" si="46"/>
        <v>1.00021E-2</v>
      </c>
      <c r="DH29">
        <f t="shared" si="47"/>
        <v>8.4035283704399992E-4</v>
      </c>
      <c r="DI29">
        <f t="shared" si="48"/>
        <v>8.4017639999999991E-2</v>
      </c>
      <c r="DJ29">
        <f t="shared" si="49"/>
        <v>1.5963351599999998E-2</v>
      </c>
      <c r="DK29">
        <v>6</v>
      </c>
      <c r="DL29">
        <v>0.5</v>
      </c>
      <c r="DM29" t="s">
        <v>408</v>
      </c>
      <c r="DN29">
        <v>2</v>
      </c>
      <c r="DO29" t="b">
        <v>0</v>
      </c>
      <c r="DP29">
        <v>1783702601.599999</v>
      </c>
      <c r="DQ29">
        <v>420.08454838709679</v>
      </c>
      <c r="DR29">
        <v>414.61077419354842</v>
      </c>
      <c r="DS29">
        <v>25.24452580645162</v>
      </c>
      <c r="DT29">
        <v>24.625512903225811</v>
      </c>
      <c r="DU29">
        <v>426.0426129032258</v>
      </c>
      <c r="DV29">
        <v>25.725758064516128</v>
      </c>
      <c r="DW29">
        <v>499.99538709677421</v>
      </c>
      <c r="DX29">
        <v>97.512000000000015</v>
      </c>
      <c r="DY29">
        <v>4.499492903225806E-2</v>
      </c>
      <c r="DZ29">
        <v>27.961290322580659</v>
      </c>
      <c r="EA29">
        <v>28.296519354838711</v>
      </c>
      <c r="EB29">
        <v>999.90000000000032</v>
      </c>
      <c r="EC29">
        <v>0</v>
      </c>
      <c r="ED29">
        <v>0</v>
      </c>
      <c r="EE29">
        <v>9990</v>
      </c>
      <c r="EF29">
        <v>0</v>
      </c>
      <c r="EG29">
        <v>1620.526451612903</v>
      </c>
      <c r="EH29">
        <v>5.4737622580645153</v>
      </c>
      <c r="EI29">
        <v>430.96387096774191</v>
      </c>
      <c r="EJ29">
        <v>425.07838709677418</v>
      </c>
      <c r="EK29">
        <v>0.61900832258064509</v>
      </c>
      <c r="EL29">
        <v>414.61077419354842</v>
      </c>
      <c r="EM29">
        <v>24.625512903225811</v>
      </c>
      <c r="EN29">
        <v>2.4616432258064518</v>
      </c>
      <c r="EO29">
        <v>2.401283225806452</v>
      </c>
      <c r="EP29">
        <v>20.775093548387101</v>
      </c>
      <c r="EQ29">
        <v>20.372432258064521</v>
      </c>
      <c r="ER29">
        <v>1.00021E-2</v>
      </c>
      <c r="ES29">
        <v>0</v>
      </c>
      <c r="ET29">
        <v>0</v>
      </c>
      <c r="EU29">
        <v>0</v>
      </c>
      <c r="EV29">
        <v>567.43709677419349</v>
      </c>
      <c r="EW29">
        <v>1.00021E-2</v>
      </c>
      <c r="EX29">
        <v>4241.1564516129029</v>
      </c>
      <c r="EY29">
        <v>4.1209677419354831</v>
      </c>
      <c r="EZ29">
        <v>37.307999999999993</v>
      </c>
      <c r="FA29">
        <v>41.311999999999983</v>
      </c>
      <c r="FB29">
        <v>39.518000000000001</v>
      </c>
      <c r="FC29">
        <v>41.116870967741939</v>
      </c>
      <c r="FD29">
        <v>39.508000000000003</v>
      </c>
      <c r="FE29">
        <v>0</v>
      </c>
      <c r="FF29">
        <v>0</v>
      </c>
      <c r="FG29">
        <v>0</v>
      </c>
      <c r="FH29">
        <v>182.0999999046326</v>
      </c>
      <c r="FI29">
        <v>0</v>
      </c>
      <c r="FJ29">
        <v>567.49705882352941</v>
      </c>
      <c r="FK29">
        <v>-9.0563718282704002</v>
      </c>
      <c r="FL29">
        <v>336.15196172550151</v>
      </c>
      <c r="FM29">
        <v>4230.3617647058827</v>
      </c>
      <c r="FN29">
        <v>10</v>
      </c>
      <c r="FO29">
        <v>1783702556.0999999</v>
      </c>
      <c r="FP29" t="s">
        <v>732</v>
      </c>
      <c r="FQ29">
        <v>1783702556.0999999</v>
      </c>
      <c r="FR29">
        <v>1783702551.5999999</v>
      </c>
      <c r="FS29">
        <v>26</v>
      </c>
      <c r="FT29">
        <v>-2.9000000000000001E-2</v>
      </c>
      <c r="FU29">
        <v>-6.0000000000000001E-3</v>
      </c>
      <c r="FV29">
        <v>-5.9390000000000001</v>
      </c>
      <c r="FW29">
        <v>-0.496</v>
      </c>
      <c r="FX29">
        <v>415</v>
      </c>
      <c r="FY29">
        <v>25</v>
      </c>
      <c r="FZ29">
        <v>1.7</v>
      </c>
      <c r="GA29">
        <v>0.46</v>
      </c>
      <c r="GB29">
        <v>420.08249999999992</v>
      </c>
      <c r="GC29">
        <v>-0.26917908787480788</v>
      </c>
      <c r="GD29">
        <v>5.5289993066860187E-2</v>
      </c>
      <c r="GE29">
        <v>-1</v>
      </c>
      <c r="GF29">
        <v>567.28823529411761</v>
      </c>
      <c r="GG29">
        <v>2.942704442117869</v>
      </c>
      <c r="GH29">
        <v>4.4335296459037332</v>
      </c>
      <c r="GI29">
        <v>1</v>
      </c>
      <c r="GJ29">
        <v>0.62387282499999996</v>
      </c>
      <c r="GK29">
        <v>-0.12994578236397869</v>
      </c>
      <c r="GL29">
        <v>1.3047552448424E-2</v>
      </c>
      <c r="GM29">
        <v>1</v>
      </c>
      <c r="GN29">
        <v>2</v>
      </c>
      <c r="GO29">
        <v>2</v>
      </c>
      <c r="GP29" t="s">
        <v>423</v>
      </c>
      <c r="GQ29">
        <v>3.1312899999999999</v>
      </c>
      <c r="GR29">
        <v>2.7218</v>
      </c>
      <c r="GS29">
        <v>9.1129799999999997E-2</v>
      </c>
      <c r="GT29">
        <v>8.9964799999999998E-2</v>
      </c>
      <c r="GU29">
        <v>0.11708200000000001</v>
      </c>
      <c r="GV29">
        <v>0.1139</v>
      </c>
      <c r="GW29">
        <v>22769.9</v>
      </c>
      <c r="GX29">
        <v>30597.1</v>
      </c>
      <c r="GY29">
        <v>27179.599999999999</v>
      </c>
      <c r="GZ29">
        <v>34578.199999999997</v>
      </c>
      <c r="HA29">
        <v>35154.5</v>
      </c>
      <c r="HB29">
        <v>38843.1</v>
      </c>
      <c r="HC29">
        <v>40141.4</v>
      </c>
      <c r="HD29">
        <v>43916</v>
      </c>
      <c r="HE29">
        <v>1.9548000000000001</v>
      </c>
      <c r="HF29">
        <v>1.6714</v>
      </c>
      <c r="HG29">
        <v>-8.2969699999999993E-2</v>
      </c>
      <c r="HH29">
        <v>0</v>
      </c>
      <c r="HI29">
        <v>29.648099999999999</v>
      </c>
      <c r="HJ29">
        <v>999.9</v>
      </c>
      <c r="HK29">
        <v>53.4</v>
      </c>
      <c r="HL29">
        <v>40.9</v>
      </c>
      <c r="HM29">
        <v>42.588900000000002</v>
      </c>
      <c r="HN29">
        <v>60.428600000000003</v>
      </c>
      <c r="HO29">
        <v>9.6314100000000007</v>
      </c>
      <c r="HP29">
        <v>1</v>
      </c>
      <c r="HQ29">
        <v>0.60176799999999997</v>
      </c>
      <c r="HR29">
        <v>3.7623099999999998</v>
      </c>
      <c r="HS29">
        <v>20.242000000000001</v>
      </c>
      <c r="HT29">
        <v>5.2100999999999997</v>
      </c>
      <c r="HU29">
        <v>11.908099999999999</v>
      </c>
      <c r="HV29">
        <v>4.9855999999999998</v>
      </c>
      <c r="HW29">
        <v>3.2709999999999999</v>
      </c>
      <c r="HX29">
        <v>9999</v>
      </c>
      <c r="HY29">
        <v>9999</v>
      </c>
      <c r="HZ29">
        <v>9999</v>
      </c>
      <c r="IA29">
        <v>999.9</v>
      </c>
      <c r="IB29">
        <v>1.86737</v>
      </c>
      <c r="IC29">
        <v>1.8631</v>
      </c>
      <c r="ID29">
        <v>1.86249</v>
      </c>
      <c r="IE29">
        <v>1.8620300000000001</v>
      </c>
      <c r="IF29">
        <v>1.86206</v>
      </c>
      <c r="IG29">
        <v>1.8626400000000001</v>
      </c>
      <c r="IH29">
        <v>1.8635600000000001</v>
      </c>
      <c r="II29">
        <v>1.86154</v>
      </c>
      <c r="IJ29">
        <v>0</v>
      </c>
      <c r="IK29">
        <v>0</v>
      </c>
      <c r="IL29">
        <v>0</v>
      </c>
      <c r="IM29">
        <v>4.5</v>
      </c>
      <c r="IN29" t="s">
        <v>411</v>
      </c>
      <c r="IO29" t="s">
        <v>412</v>
      </c>
      <c r="IP29" t="s">
        <v>413</v>
      </c>
      <c r="IQ29" t="s">
        <v>414</v>
      </c>
      <c r="IR29" t="s">
        <v>414</v>
      </c>
      <c r="IS29" t="s">
        <v>413</v>
      </c>
      <c r="IT29">
        <v>0</v>
      </c>
      <c r="IU29">
        <v>100</v>
      </c>
      <c r="IV29">
        <v>100</v>
      </c>
      <c r="IW29">
        <v>-5.9580000000000002</v>
      </c>
      <c r="IX29">
        <v>-0.48130000000000001</v>
      </c>
      <c r="IY29">
        <v>-3.970254501928713</v>
      </c>
      <c r="IZ29">
        <v>-5.6215304933332991E-3</v>
      </c>
      <c r="JA29">
        <v>2.3979931213773931E-6</v>
      </c>
      <c r="JB29">
        <v>-3.6297174575716598E-10</v>
      </c>
      <c r="JC29">
        <v>-0.92191646224782042</v>
      </c>
      <c r="JD29">
        <v>2.7492919904454862E-4</v>
      </c>
      <c r="JE29">
        <v>8.6739513355948885E-4</v>
      </c>
      <c r="JF29">
        <v>-8.2500691715147318E-6</v>
      </c>
      <c r="JG29">
        <v>17</v>
      </c>
      <c r="JH29">
        <v>1914</v>
      </c>
      <c r="JI29">
        <v>2</v>
      </c>
      <c r="JJ29">
        <v>37</v>
      </c>
      <c r="JK29">
        <v>0.9</v>
      </c>
      <c r="JL29">
        <v>1</v>
      </c>
      <c r="JM29">
        <v>1.0510299999999999</v>
      </c>
      <c r="JN29">
        <v>2.5561500000000001</v>
      </c>
      <c r="JO29">
        <v>1.50024</v>
      </c>
      <c r="JP29">
        <v>2.2692899999999998</v>
      </c>
      <c r="JQ29">
        <v>1.4477500000000001</v>
      </c>
      <c r="JR29">
        <v>2.31934</v>
      </c>
      <c r="JS29">
        <v>45.091700000000003</v>
      </c>
      <c r="JT29">
        <v>14.639900000000001</v>
      </c>
      <c r="JU29">
        <v>18</v>
      </c>
      <c r="JV29">
        <v>541.05899999999997</v>
      </c>
      <c r="JW29">
        <v>375.57100000000003</v>
      </c>
      <c r="JX29">
        <v>25.0504</v>
      </c>
      <c r="JY29">
        <v>34.562399999999997</v>
      </c>
      <c r="JZ29">
        <v>30.000299999999999</v>
      </c>
      <c r="KA29">
        <v>34.558399999999999</v>
      </c>
      <c r="KB29">
        <v>34.545099999999998</v>
      </c>
      <c r="KC29">
        <v>21.040199999999999</v>
      </c>
      <c r="KD29">
        <v>46.873199999999997</v>
      </c>
      <c r="KE29">
        <v>0</v>
      </c>
      <c r="KF29">
        <v>25.05</v>
      </c>
      <c r="KG29">
        <v>414.53699999999998</v>
      </c>
      <c r="KH29">
        <v>24.6096</v>
      </c>
      <c r="KI29">
        <v>100.319</v>
      </c>
      <c r="KJ29">
        <v>98.7624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9D583-1F4A-4A0D-B757-A2F5556DBF2D}">
  <dimension ref="A2:KJ30"/>
  <sheetViews>
    <sheetView workbookViewId="0">
      <selection activeCell="M35" sqref="M35"/>
    </sheetView>
  </sheetViews>
  <sheetFormatPr defaultRowHeight="14.4" x14ac:dyDescent="0.3"/>
  <sheetData>
    <row r="2" spans="1:296" x14ac:dyDescent="0.3">
      <c r="A2" t="s">
        <v>0</v>
      </c>
      <c r="B2" t="s">
        <v>1</v>
      </c>
      <c r="C2" t="s">
        <v>2</v>
      </c>
    </row>
    <row r="3" spans="1:296" x14ac:dyDescent="0.3">
      <c r="B3" t="s">
        <v>3</v>
      </c>
      <c r="C3">
        <v>21</v>
      </c>
    </row>
    <row r="4" spans="1:296" x14ac:dyDescent="0.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</row>
    <row r="5" spans="1:296" x14ac:dyDescent="0.3">
      <c r="B5" t="s">
        <v>15</v>
      </c>
      <c r="C5" t="s">
        <v>16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96" x14ac:dyDescent="0.3">
      <c r="A6" t="s">
        <v>17</v>
      </c>
      <c r="B6" t="s">
        <v>18</v>
      </c>
      <c r="C6" t="s">
        <v>19</v>
      </c>
      <c r="D6" t="s">
        <v>20</v>
      </c>
      <c r="E6" t="s">
        <v>21</v>
      </c>
    </row>
    <row r="7" spans="1:296" x14ac:dyDescent="0.3">
      <c r="B7">
        <v>0</v>
      </c>
      <c r="C7">
        <v>1</v>
      </c>
      <c r="D7">
        <v>0</v>
      </c>
      <c r="E7">
        <v>0</v>
      </c>
    </row>
    <row r="8" spans="1:296" x14ac:dyDescent="0.3">
      <c r="A8" t="s">
        <v>22</v>
      </c>
      <c r="B8" t="s">
        <v>23</v>
      </c>
      <c r="C8" t="s">
        <v>24</v>
      </c>
      <c r="D8" t="s">
        <v>25</v>
      </c>
      <c r="E8" t="s">
        <v>26</v>
      </c>
      <c r="F8" t="s">
        <v>27</v>
      </c>
      <c r="G8" t="s">
        <v>28</v>
      </c>
      <c r="H8" t="s">
        <v>29</v>
      </c>
      <c r="I8" t="s">
        <v>30</v>
      </c>
      <c r="J8" t="s">
        <v>31</v>
      </c>
      <c r="K8" t="s">
        <v>32</v>
      </c>
      <c r="L8" t="s">
        <v>33</v>
      </c>
      <c r="M8" t="s">
        <v>34</v>
      </c>
      <c r="N8" t="s">
        <v>35</v>
      </c>
      <c r="O8" t="s">
        <v>36</v>
      </c>
      <c r="P8" t="s">
        <v>37</v>
      </c>
      <c r="Q8" t="s">
        <v>38</v>
      </c>
    </row>
    <row r="9" spans="1:296" x14ac:dyDescent="0.3">
      <c r="B9" t="s">
        <v>39</v>
      </c>
      <c r="C9" t="s">
        <v>40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96" x14ac:dyDescent="0.3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</row>
    <row r="11" spans="1:296" x14ac:dyDescent="0.3">
      <c r="B11">
        <v>0</v>
      </c>
      <c r="C11">
        <v>0</v>
      </c>
      <c r="D11">
        <v>0</v>
      </c>
      <c r="E11">
        <v>0</v>
      </c>
      <c r="F11">
        <v>1</v>
      </c>
    </row>
    <row r="12" spans="1:296" x14ac:dyDescent="0.3">
      <c r="A12" t="s">
        <v>47</v>
      </c>
      <c r="B12" t="s">
        <v>48</v>
      </c>
      <c r="C12" t="s">
        <v>49</v>
      </c>
      <c r="D12" t="s">
        <v>50</v>
      </c>
      <c r="E12" t="s">
        <v>51</v>
      </c>
      <c r="F12" t="s">
        <v>52</v>
      </c>
      <c r="G12" t="s">
        <v>53</v>
      </c>
      <c r="H12" t="s">
        <v>54</v>
      </c>
    </row>
    <row r="13" spans="1:296" x14ac:dyDescent="0.3">
      <c r="B13">
        <v>-6276</v>
      </c>
      <c r="C13">
        <v>6.6</v>
      </c>
      <c r="D13">
        <v>1.7090000000000001E-5</v>
      </c>
      <c r="E13">
        <v>3.11</v>
      </c>
      <c r="F13" t="s">
        <v>679</v>
      </c>
      <c r="G13" t="s">
        <v>680</v>
      </c>
      <c r="H13">
        <v>0</v>
      </c>
    </row>
    <row r="14" spans="1:296" x14ac:dyDescent="0.3">
      <c r="A14" t="s">
        <v>57</v>
      </c>
      <c r="B14" t="s">
        <v>57</v>
      </c>
      <c r="C14" t="s">
        <v>57</v>
      </c>
      <c r="D14" t="s">
        <v>57</v>
      </c>
      <c r="E14" t="s">
        <v>57</v>
      </c>
      <c r="F14" t="s">
        <v>57</v>
      </c>
      <c r="G14" t="s">
        <v>58</v>
      </c>
      <c r="H14" t="s">
        <v>59</v>
      </c>
      <c r="I14" t="s">
        <v>59</v>
      </c>
      <c r="J14" t="s">
        <v>59</v>
      </c>
      <c r="K14" t="s">
        <v>59</v>
      </c>
      <c r="L14" t="s">
        <v>59</v>
      </c>
      <c r="M14" t="s">
        <v>59</v>
      </c>
      <c r="N14" t="s">
        <v>59</v>
      </c>
      <c r="O14" t="s">
        <v>59</v>
      </c>
      <c r="P14" t="s">
        <v>59</v>
      </c>
      <c r="Q14" t="s">
        <v>59</v>
      </c>
      <c r="R14" t="s">
        <v>59</v>
      </c>
      <c r="S14" t="s">
        <v>59</v>
      </c>
      <c r="T14" t="s">
        <v>59</v>
      </c>
      <c r="U14" t="s">
        <v>59</v>
      </c>
      <c r="V14" t="s">
        <v>59</v>
      </c>
      <c r="W14" t="s">
        <v>59</v>
      </c>
      <c r="X14" t="s">
        <v>59</v>
      </c>
      <c r="Y14" t="s">
        <v>59</v>
      </c>
      <c r="Z14" t="s">
        <v>59</v>
      </c>
      <c r="AA14" t="s">
        <v>59</v>
      </c>
      <c r="AB14" t="s">
        <v>59</v>
      </c>
      <c r="AC14" t="s">
        <v>59</v>
      </c>
      <c r="AD14" t="s">
        <v>59</v>
      </c>
      <c r="AE14" t="s">
        <v>59</v>
      </c>
      <c r="AF14" t="s">
        <v>59</v>
      </c>
      <c r="AG14" t="s">
        <v>59</v>
      </c>
      <c r="AH14" t="s">
        <v>60</v>
      </c>
      <c r="AI14" t="s">
        <v>60</v>
      </c>
      <c r="AJ14" t="s">
        <v>60</v>
      </c>
      <c r="AK14" t="s">
        <v>60</v>
      </c>
      <c r="AL14" t="s">
        <v>60</v>
      </c>
      <c r="AM14" t="s">
        <v>60</v>
      </c>
      <c r="AN14" t="s">
        <v>60</v>
      </c>
      <c r="AO14" t="s">
        <v>60</v>
      </c>
      <c r="AP14" t="s">
        <v>60</v>
      </c>
      <c r="AQ14" t="s">
        <v>60</v>
      </c>
      <c r="AR14" t="s">
        <v>61</v>
      </c>
      <c r="AS14" t="s">
        <v>61</v>
      </c>
      <c r="AT14" t="s">
        <v>61</v>
      </c>
      <c r="AU14" t="s">
        <v>61</v>
      </c>
      <c r="AV14" t="s">
        <v>61</v>
      </c>
      <c r="AW14" t="s">
        <v>62</v>
      </c>
      <c r="AX14" t="s">
        <v>62</v>
      </c>
      <c r="AY14" t="s">
        <v>62</v>
      </c>
      <c r="AZ14" t="s">
        <v>62</v>
      </c>
      <c r="BA14" t="s">
        <v>62</v>
      </c>
      <c r="BB14" t="s">
        <v>62</v>
      </c>
      <c r="BC14" t="s">
        <v>62</v>
      </c>
      <c r="BD14" t="s">
        <v>62</v>
      </c>
      <c r="BE14" t="s">
        <v>62</v>
      </c>
      <c r="BF14" t="s">
        <v>62</v>
      </c>
      <c r="BG14" t="s">
        <v>62</v>
      </c>
      <c r="BH14" t="s">
        <v>62</v>
      </c>
      <c r="BI14" t="s">
        <v>62</v>
      </c>
      <c r="BJ14" t="s">
        <v>62</v>
      </c>
      <c r="BK14" t="s">
        <v>62</v>
      </c>
      <c r="BL14" t="s">
        <v>62</v>
      </c>
      <c r="BM14" t="s">
        <v>62</v>
      </c>
      <c r="BN14" t="s">
        <v>62</v>
      </c>
      <c r="BO14" t="s">
        <v>62</v>
      </c>
      <c r="BP14" t="s">
        <v>62</v>
      </c>
      <c r="BQ14" t="s">
        <v>62</v>
      </c>
      <c r="BR14" t="s">
        <v>62</v>
      </c>
      <c r="BS14" t="s">
        <v>62</v>
      </c>
      <c r="BT14" t="s">
        <v>62</v>
      </c>
      <c r="BU14" t="s">
        <v>62</v>
      </c>
      <c r="BV14" t="s">
        <v>62</v>
      </c>
      <c r="BW14" t="s">
        <v>62</v>
      </c>
      <c r="BX14" t="s">
        <v>62</v>
      </c>
      <c r="BY14" t="s">
        <v>63</v>
      </c>
      <c r="BZ14" t="s">
        <v>63</v>
      </c>
      <c r="CA14" t="s">
        <v>63</v>
      </c>
      <c r="CB14" t="s">
        <v>63</v>
      </c>
      <c r="CC14" t="s">
        <v>63</v>
      </c>
      <c r="CD14" t="s">
        <v>63</v>
      </c>
      <c r="CE14" t="s">
        <v>63</v>
      </c>
      <c r="CF14" t="s">
        <v>63</v>
      </c>
      <c r="CG14" t="s">
        <v>63</v>
      </c>
      <c r="CH14" t="s">
        <v>63</v>
      </c>
      <c r="CI14" t="s">
        <v>63</v>
      </c>
      <c r="CJ14" t="s">
        <v>63</v>
      </c>
      <c r="CK14" t="s">
        <v>63</v>
      </c>
      <c r="CL14" t="s">
        <v>63</v>
      </c>
      <c r="CM14" t="s">
        <v>63</v>
      </c>
      <c r="CN14" t="s">
        <v>63</v>
      </c>
      <c r="CO14" t="s">
        <v>63</v>
      </c>
      <c r="CP14" t="s">
        <v>63</v>
      </c>
      <c r="CQ14" t="s">
        <v>63</v>
      </c>
      <c r="CR14" t="s">
        <v>63</v>
      </c>
      <c r="CS14" t="s">
        <v>63</v>
      </c>
      <c r="CT14" t="s">
        <v>64</v>
      </c>
      <c r="CU14" t="s">
        <v>64</v>
      </c>
      <c r="CV14" t="s">
        <v>64</v>
      </c>
      <c r="CW14" t="s">
        <v>64</v>
      </c>
      <c r="CX14" t="s">
        <v>64</v>
      </c>
      <c r="CY14" t="s">
        <v>64</v>
      </c>
      <c r="CZ14" t="s">
        <v>64</v>
      </c>
      <c r="DA14" t="s">
        <v>64</v>
      </c>
      <c r="DB14" t="s">
        <v>64</v>
      </c>
      <c r="DC14" t="s">
        <v>64</v>
      </c>
      <c r="DD14" t="s">
        <v>64</v>
      </c>
      <c r="DE14" t="s">
        <v>64</v>
      </c>
      <c r="DF14" t="s">
        <v>64</v>
      </c>
      <c r="DG14" t="s">
        <v>65</v>
      </c>
      <c r="DH14" t="s">
        <v>65</v>
      </c>
      <c r="DI14" t="s">
        <v>65</v>
      </c>
      <c r="DJ14" t="s">
        <v>65</v>
      </c>
      <c r="DK14" t="s">
        <v>66</v>
      </c>
      <c r="DL14" t="s">
        <v>66</v>
      </c>
      <c r="DM14" t="s">
        <v>66</v>
      </c>
      <c r="DN14" t="s">
        <v>66</v>
      </c>
      <c r="DO14" t="s">
        <v>66</v>
      </c>
      <c r="DP14" t="s">
        <v>67</v>
      </c>
      <c r="DQ14" t="s">
        <v>67</v>
      </c>
      <c r="DR14" t="s">
        <v>67</v>
      </c>
      <c r="DS14" t="s">
        <v>67</v>
      </c>
      <c r="DT14" t="s">
        <v>67</v>
      </c>
      <c r="DU14" t="s">
        <v>67</v>
      </c>
      <c r="DV14" t="s">
        <v>67</v>
      </c>
      <c r="DW14" t="s">
        <v>67</v>
      </c>
      <c r="DX14" t="s">
        <v>67</v>
      </c>
      <c r="DY14" t="s">
        <v>67</v>
      </c>
      <c r="DZ14" t="s">
        <v>67</v>
      </c>
      <c r="EA14" t="s">
        <v>67</v>
      </c>
      <c r="EB14" t="s">
        <v>67</v>
      </c>
      <c r="EC14" t="s">
        <v>67</v>
      </c>
      <c r="ED14" t="s">
        <v>67</v>
      </c>
      <c r="EE14" t="s">
        <v>67</v>
      </c>
      <c r="EF14" t="s">
        <v>67</v>
      </c>
      <c r="EG14" t="s">
        <v>67</v>
      </c>
      <c r="EH14" t="s">
        <v>68</v>
      </c>
      <c r="EI14" t="s">
        <v>68</v>
      </c>
      <c r="EJ14" t="s">
        <v>68</v>
      </c>
      <c r="EK14" t="s">
        <v>68</v>
      </c>
      <c r="EL14" t="s">
        <v>68</v>
      </c>
      <c r="EM14" t="s">
        <v>68</v>
      </c>
      <c r="EN14" t="s">
        <v>68</v>
      </c>
      <c r="EO14" t="s">
        <v>68</v>
      </c>
      <c r="EP14" t="s">
        <v>68</v>
      </c>
      <c r="EQ14" t="s">
        <v>68</v>
      </c>
      <c r="ER14" t="s">
        <v>69</v>
      </c>
      <c r="ES14" t="s">
        <v>69</v>
      </c>
      <c r="ET14" t="s">
        <v>69</v>
      </c>
      <c r="EU14" t="s">
        <v>69</v>
      </c>
      <c r="EV14" t="s">
        <v>69</v>
      </c>
      <c r="EW14" t="s">
        <v>69</v>
      </c>
      <c r="EX14" t="s">
        <v>69</v>
      </c>
      <c r="EY14" t="s">
        <v>69</v>
      </c>
      <c r="EZ14" t="s">
        <v>69</v>
      </c>
      <c r="FA14" t="s">
        <v>69</v>
      </c>
      <c r="FB14" t="s">
        <v>69</v>
      </c>
      <c r="FC14" t="s">
        <v>69</v>
      </c>
      <c r="FD14" t="s">
        <v>69</v>
      </c>
      <c r="FE14" t="s">
        <v>69</v>
      </c>
      <c r="FF14" t="s">
        <v>69</v>
      </c>
      <c r="FG14" t="s">
        <v>69</v>
      </c>
      <c r="FH14" t="s">
        <v>69</v>
      </c>
      <c r="FI14" t="s">
        <v>69</v>
      </c>
      <c r="FJ14" t="s">
        <v>70</v>
      </c>
      <c r="FK14" t="s">
        <v>70</v>
      </c>
      <c r="FL14" t="s">
        <v>70</v>
      </c>
      <c r="FM14" t="s">
        <v>70</v>
      </c>
      <c r="FN14" t="s">
        <v>70</v>
      </c>
      <c r="FO14" t="s">
        <v>71</v>
      </c>
      <c r="FP14" t="s">
        <v>71</v>
      </c>
      <c r="FQ14" t="s">
        <v>71</v>
      </c>
      <c r="FR14" t="s">
        <v>71</v>
      </c>
      <c r="FS14" t="s">
        <v>71</v>
      </c>
      <c r="FT14" t="s">
        <v>71</v>
      </c>
      <c r="FU14" t="s">
        <v>71</v>
      </c>
      <c r="FV14" t="s">
        <v>71</v>
      </c>
      <c r="FW14" t="s">
        <v>71</v>
      </c>
      <c r="FX14" t="s">
        <v>71</v>
      </c>
      <c r="FY14" t="s">
        <v>71</v>
      </c>
      <c r="FZ14" t="s">
        <v>71</v>
      </c>
      <c r="GA14" t="s">
        <v>71</v>
      </c>
      <c r="GB14" t="s">
        <v>72</v>
      </c>
      <c r="GC14" t="s">
        <v>72</v>
      </c>
      <c r="GD14" t="s">
        <v>72</v>
      </c>
      <c r="GE14" t="s">
        <v>72</v>
      </c>
      <c r="GF14" t="s">
        <v>72</v>
      </c>
      <c r="GG14" t="s">
        <v>72</v>
      </c>
      <c r="GH14" t="s">
        <v>72</v>
      </c>
      <c r="GI14" t="s">
        <v>72</v>
      </c>
      <c r="GJ14" t="s">
        <v>72</v>
      </c>
      <c r="GK14" t="s">
        <v>72</v>
      </c>
      <c r="GL14" t="s">
        <v>72</v>
      </c>
      <c r="GM14" t="s">
        <v>72</v>
      </c>
      <c r="GN14" t="s">
        <v>72</v>
      </c>
      <c r="GO14" t="s">
        <v>72</v>
      </c>
      <c r="GP14" t="s">
        <v>72</v>
      </c>
      <c r="GQ14" t="s">
        <v>73</v>
      </c>
      <c r="GR14" t="s">
        <v>73</v>
      </c>
      <c r="GS14" t="s">
        <v>73</v>
      </c>
      <c r="GT14" t="s">
        <v>73</v>
      </c>
      <c r="GU14" t="s">
        <v>73</v>
      </c>
      <c r="GV14" t="s">
        <v>73</v>
      </c>
      <c r="GW14" t="s">
        <v>73</v>
      </c>
      <c r="GX14" t="s">
        <v>73</v>
      </c>
      <c r="GY14" t="s">
        <v>73</v>
      </c>
      <c r="GZ14" t="s">
        <v>73</v>
      </c>
      <c r="HA14" t="s">
        <v>73</v>
      </c>
      <c r="HB14" t="s">
        <v>73</v>
      </c>
      <c r="HC14" t="s">
        <v>73</v>
      </c>
      <c r="HD14" t="s">
        <v>73</v>
      </c>
      <c r="HE14" t="s">
        <v>73</v>
      </c>
      <c r="HF14" t="s">
        <v>73</v>
      </c>
      <c r="HG14" t="s">
        <v>73</v>
      </c>
      <c r="HH14" t="s">
        <v>73</v>
      </c>
      <c r="HI14" t="s">
        <v>74</v>
      </c>
      <c r="HJ14" t="s">
        <v>74</v>
      </c>
      <c r="HK14" t="s">
        <v>74</v>
      </c>
      <c r="HL14" t="s">
        <v>74</v>
      </c>
      <c r="HM14" t="s">
        <v>74</v>
      </c>
      <c r="HN14" t="s">
        <v>74</v>
      </c>
      <c r="HO14" t="s">
        <v>74</v>
      </c>
      <c r="HP14" t="s">
        <v>74</v>
      </c>
      <c r="HQ14" t="s">
        <v>74</v>
      </c>
      <c r="HR14" t="s">
        <v>74</v>
      </c>
      <c r="HS14" t="s">
        <v>74</v>
      </c>
      <c r="HT14" t="s">
        <v>74</v>
      </c>
      <c r="HU14" t="s">
        <v>74</v>
      </c>
      <c r="HV14" t="s">
        <v>74</v>
      </c>
      <c r="HW14" t="s">
        <v>74</v>
      </c>
      <c r="HX14" t="s">
        <v>74</v>
      </c>
      <c r="HY14" t="s">
        <v>74</v>
      </c>
      <c r="HZ14" t="s">
        <v>74</v>
      </c>
      <c r="IA14" t="s">
        <v>74</v>
      </c>
      <c r="IB14" t="s">
        <v>75</v>
      </c>
      <c r="IC14" t="s">
        <v>75</v>
      </c>
      <c r="ID14" t="s">
        <v>75</v>
      </c>
      <c r="IE14" t="s">
        <v>75</v>
      </c>
      <c r="IF14" t="s">
        <v>75</v>
      </c>
      <c r="IG14" t="s">
        <v>75</v>
      </c>
      <c r="IH14" t="s">
        <v>75</v>
      </c>
      <c r="II14" t="s">
        <v>75</v>
      </c>
      <c r="IJ14" t="s">
        <v>75</v>
      </c>
      <c r="IK14" t="s">
        <v>75</v>
      </c>
      <c r="IL14" t="s">
        <v>75</v>
      </c>
      <c r="IM14" t="s">
        <v>75</v>
      </c>
      <c r="IN14" t="s">
        <v>75</v>
      </c>
      <c r="IO14" t="s">
        <v>75</v>
      </c>
      <c r="IP14" t="s">
        <v>75</v>
      </c>
      <c r="IQ14" t="s">
        <v>75</v>
      </c>
      <c r="IR14" t="s">
        <v>75</v>
      </c>
      <c r="IS14" t="s">
        <v>75</v>
      </c>
      <c r="IT14" t="s">
        <v>75</v>
      </c>
      <c r="IU14" t="s">
        <v>76</v>
      </c>
      <c r="IV14" t="s">
        <v>76</v>
      </c>
      <c r="IW14" t="s">
        <v>76</v>
      </c>
      <c r="IX14" t="s">
        <v>76</v>
      </c>
      <c r="IY14" t="s">
        <v>76</v>
      </c>
      <c r="IZ14" t="s">
        <v>76</v>
      </c>
      <c r="JA14" t="s">
        <v>76</v>
      </c>
      <c r="JB14" t="s">
        <v>76</v>
      </c>
      <c r="JC14" t="s">
        <v>76</v>
      </c>
      <c r="JD14" t="s">
        <v>76</v>
      </c>
      <c r="JE14" t="s">
        <v>76</v>
      </c>
      <c r="JF14" t="s">
        <v>76</v>
      </c>
      <c r="JG14" t="s">
        <v>76</v>
      </c>
      <c r="JH14" t="s">
        <v>76</v>
      </c>
      <c r="JI14" t="s">
        <v>76</v>
      </c>
      <c r="JJ14" t="s">
        <v>76</v>
      </c>
      <c r="JK14" t="s">
        <v>76</v>
      </c>
      <c r="JL14" t="s">
        <v>76</v>
      </c>
      <c r="JM14" t="s">
        <v>77</v>
      </c>
      <c r="JN14" t="s">
        <v>77</v>
      </c>
      <c r="JO14" t="s">
        <v>77</v>
      </c>
      <c r="JP14" t="s">
        <v>77</v>
      </c>
      <c r="JQ14" t="s">
        <v>77</v>
      </c>
      <c r="JR14" t="s">
        <v>77</v>
      </c>
      <c r="JS14" t="s">
        <v>77</v>
      </c>
      <c r="JT14" t="s">
        <v>77</v>
      </c>
      <c r="JU14" t="s">
        <v>78</v>
      </c>
      <c r="JV14" t="s">
        <v>78</v>
      </c>
      <c r="JW14" t="s">
        <v>78</v>
      </c>
      <c r="JX14" t="s">
        <v>78</v>
      </c>
      <c r="JY14" t="s">
        <v>78</v>
      </c>
      <c r="JZ14" t="s">
        <v>78</v>
      </c>
      <c r="KA14" t="s">
        <v>78</v>
      </c>
      <c r="KB14" t="s">
        <v>78</v>
      </c>
      <c r="KC14" t="s">
        <v>78</v>
      </c>
      <c r="KD14" t="s">
        <v>78</v>
      </c>
      <c r="KE14" t="s">
        <v>78</v>
      </c>
      <c r="KF14" t="s">
        <v>78</v>
      </c>
      <c r="KG14" t="s">
        <v>78</v>
      </c>
      <c r="KH14" t="s">
        <v>78</v>
      </c>
      <c r="KI14" t="s">
        <v>78</v>
      </c>
      <c r="KJ14" t="s">
        <v>78</v>
      </c>
    </row>
    <row r="15" spans="1:296" x14ac:dyDescent="0.3">
      <c r="A15" t="s">
        <v>79</v>
      </c>
      <c r="B15" t="s">
        <v>80</v>
      </c>
      <c r="C15" t="s">
        <v>81</v>
      </c>
      <c r="D15" t="s">
        <v>82</v>
      </c>
      <c r="E15" t="s">
        <v>83</v>
      </c>
      <c r="F15" t="s">
        <v>84</v>
      </c>
      <c r="G15" t="s">
        <v>85</v>
      </c>
      <c r="H15" t="s">
        <v>86</v>
      </c>
      <c r="I15" t="s">
        <v>87</v>
      </c>
      <c r="J15" t="s">
        <v>88</v>
      </c>
      <c r="K15" t="s">
        <v>89</v>
      </c>
      <c r="L15" t="s">
        <v>90</v>
      </c>
      <c r="M15" t="s">
        <v>91</v>
      </c>
      <c r="N15" t="s">
        <v>92</v>
      </c>
      <c r="O15" t="s">
        <v>93</v>
      </c>
      <c r="P15" t="s">
        <v>94</v>
      </c>
      <c r="Q15" t="s">
        <v>95</v>
      </c>
      <c r="R15" t="s">
        <v>96</v>
      </c>
      <c r="S15" t="s">
        <v>97</v>
      </c>
      <c r="T15" t="s">
        <v>98</v>
      </c>
      <c r="U15" t="s">
        <v>99</v>
      </c>
      <c r="V15" t="s">
        <v>100</v>
      </c>
      <c r="W15" t="s">
        <v>101</v>
      </c>
      <c r="X15" t="s">
        <v>102</v>
      </c>
      <c r="Y15" t="s">
        <v>103</v>
      </c>
      <c r="Z15" t="s">
        <v>104</v>
      </c>
      <c r="AA15" t="s">
        <v>105</v>
      </c>
      <c r="AB15" t="s">
        <v>106</v>
      </c>
      <c r="AC15" t="s">
        <v>107</v>
      </c>
      <c r="AD15" t="s">
        <v>108</v>
      </c>
      <c r="AE15" t="s">
        <v>109</v>
      </c>
      <c r="AF15" t="s">
        <v>110</v>
      </c>
      <c r="AG15" t="s">
        <v>111</v>
      </c>
      <c r="AH15" t="s">
        <v>112</v>
      </c>
      <c r="AI15" t="s">
        <v>113</v>
      </c>
      <c r="AJ15" t="s">
        <v>114</v>
      </c>
      <c r="AK15" t="s">
        <v>115</v>
      </c>
      <c r="AL15" t="s">
        <v>116</v>
      </c>
      <c r="AM15" t="s">
        <v>117</v>
      </c>
      <c r="AN15" t="s">
        <v>118</v>
      </c>
      <c r="AO15" t="s">
        <v>119</v>
      </c>
      <c r="AP15" t="s">
        <v>120</v>
      </c>
      <c r="AQ15" t="s">
        <v>121</v>
      </c>
      <c r="AR15" t="s">
        <v>61</v>
      </c>
      <c r="AS15" t="s">
        <v>122</v>
      </c>
      <c r="AT15" t="s">
        <v>123</v>
      </c>
      <c r="AU15" t="s">
        <v>124</v>
      </c>
      <c r="AV15" t="s">
        <v>125</v>
      </c>
      <c r="AW15" t="s">
        <v>126</v>
      </c>
      <c r="AX15" t="s">
        <v>127</v>
      </c>
      <c r="AY15" t="s">
        <v>128</v>
      </c>
      <c r="AZ15" t="s">
        <v>129</v>
      </c>
      <c r="BA15" t="s">
        <v>130</v>
      </c>
      <c r="BB15" t="s">
        <v>131</v>
      </c>
      <c r="BC15" t="s">
        <v>132</v>
      </c>
      <c r="BD15" t="s">
        <v>133</v>
      </c>
      <c r="BE15" t="s">
        <v>134</v>
      </c>
      <c r="BF15" t="s">
        <v>135</v>
      </c>
      <c r="BG15" t="s">
        <v>136</v>
      </c>
      <c r="BH15" t="s">
        <v>137</v>
      </c>
      <c r="BI15" t="s">
        <v>138</v>
      </c>
      <c r="BJ15" t="s">
        <v>139</v>
      </c>
      <c r="BK15" t="s">
        <v>140</v>
      </c>
      <c r="BL15" t="s">
        <v>141</v>
      </c>
      <c r="BM15" t="s">
        <v>142</v>
      </c>
      <c r="BN15" t="s">
        <v>143</v>
      </c>
      <c r="BO15" t="s">
        <v>144</v>
      </c>
      <c r="BP15" t="s">
        <v>145</v>
      </c>
      <c r="BQ15" t="s">
        <v>146</v>
      </c>
      <c r="BR15" t="s">
        <v>147</v>
      </c>
      <c r="BS15" t="s">
        <v>148</v>
      </c>
      <c r="BT15" t="s">
        <v>149</v>
      </c>
      <c r="BU15" t="s">
        <v>150</v>
      </c>
      <c r="BV15" t="s">
        <v>151</v>
      </c>
      <c r="BW15" t="s">
        <v>152</v>
      </c>
      <c r="BX15" t="s">
        <v>153</v>
      </c>
      <c r="BY15" t="s">
        <v>154</v>
      </c>
      <c r="BZ15" t="s">
        <v>155</v>
      </c>
      <c r="CA15" t="s">
        <v>156</v>
      </c>
      <c r="CB15" t="s">
        <v>157</v>
      </c>
      <c r="CC15" t="s">
        <v>158</v>
      </c>
      <c r="CD15" t="s">
        <v>159</v>
      </c>
      <c r="CE15" t="s">
        <v>160</v>
      </c>
      <c r="CF15" t="s">
        <v>161</v>
      </c>
      <c r="CG15" t="s">
        <v>162</v>
      </c>
      <c r="CH15" t="s">
        <v>163</v>
      </c>
      <c r="CI15" t="s">
        <v>164</v>
      </c>
      <c r="CJ15" t="s">
        <v>165</v>
      </c>
      <c r="CK15" t="s">
        <v>166</v>
      </c>
      <c r="CL15" t="s">
        <v>167</v>
      </c>
      <c r="CM15" t="s">
        <v>168</v>
      </c>
      <c r="CN15" t="s">
        <v>169</v>
      </c>
      <c r="CO15" t="s">
        <v>170</v>
      </c>
      <c r="CP15" t="s">
        <v>171</v>
      </c>
      <c r="CQ15" t="s">
        <v>172</v>
      </c>
      <c r="CR15" t="s">
        <v>173</v>
      </c>
      <c r="CS15" t="s">
        <v>174</v>
      </c>
      <c r="CT15" t="s">
        <v>154</v>
      </c>
      <c r="CU15" t="s">
        <v>175</v>
      </c>
      <c r="CV15" t="s">
        <v>176</v>
      </c>
      <c r="CW15" t="s">
        <v>177</v>
      </c>
      <c r="CX15" t="s">
        <v>128</v>
      </c>
      <c r="CY15" t="s">
        <v>178</v>
      </c>
      <c r="CZ15" t="s">
        <v>179</v>
      </c>
      <c r="DA15" t="s">
        <v>180</v>
      </c>
      <c r="DB15" t="s">
        <v>181</v>
      </c>
      <c r="DC15" t="s">
        <v>182</v>
      </c>
      <c r="DD15" t="s">
        <v>183</v>
      </c>
      <c r="DE15" t="s">
        <v>184</v>
      </c>
      <c r="DF15" t="s">
        <v>185</v>
      </c>
      <c r="DG15" t="s">
        <v>186</v>
      </c>
      <c r="DH15" t="s">
        <v>187</v>
      </c>
      <c r="DI15" t="s">
        <v>188</v>
      </c>
      <c r="DJ15" t="s">
        <v>189</v>
      </c>
      <c r="DK15" t="s">
        <v>190</v>
      </c>
      <c r="DL15" t="s">
        <v>191</v>
      </c>
      <c r="DM15" t="s">
        <v>192</v>
      </c>
      <c r="DN15" t="s">
        <v>193</v>
      </c>
      <c r="DO15" t="s">
        <v>194</v>
      </c>
      <c r="DP15" t="s">
        <v>86</v>
      </c>
      <c r="DQ15" t="s">
        <v>195</v>
      </c>
      <c r="DR15" t="s">
        <v>196</v>
      </c>
      <c r="DS15" t="s">
        <v>197</v>
      </c>
      <c r="DT15" t="s">
        <v>198</v>
      </c>
      <c r="DU15" t="s">
        <v>199</v>
      </c>
      <c r="DV15" t="s">
        <v>200</v>
      </c>
      <c r="DW15" t="s">
        <v>201</v>
      </c>
      <c r="DX15" t="s">
        <v>202</v>
      </c>
      <c r="DY15" t="s">
        <v>203</v>
      </c>
      <c r="DZ15" t="s">
        <v>204</v>
      </c>
      <c r="EA15" t="s">
        <v>205</v>
      </c>
      <c r="EB15" t="s">
        <v>206</v>
      </c>
      <c r="EC15" t="s">
        <v>207</v>
      </c>
      <c r="ED15" t="s">
        <v>208</v>
      </c>
      <c r="EE15" t="s">
        <v>209</v>
      </c>
      <c r="EF15" t="s">
        <v>210</v>
      </c>
      <c r="EG15" t="s">
        <v>211</v>
      </c>
      <c r="EH15" t="s">
        <v>212</v>
      </c>
      <c r="EI15" t="s">
        <v>213</v>
      </c>
      <c r="EJ15" t="s">
        <v>214</v>
      </c>
      <c r="EK15" t="s">
        <v>215</v>
      </c>
      <c r="EL15" t="s">
        <v>216</v>
      </c>
      <c r="EM15" t="s">
        <v>217</v>
      </c>
      <c r="EN15" t="s">
        <v>218</v>
      </c>
      <c r="EO15" t="s">
        <v>219</v>
      </c>
      <c r="EP15" t="s">
        <v>220</v>
      </c>
      <c r="EQ15" t="s">
        <v>221</v>
      </c>
      <c r="ER15" t="s">
        <v>222</v>
      </c>
      <c r="ES15" t="s">
        <v>223</v>
      </c>
      <c r="ET15" t="s">
        <v>224</v>
      </c>
      <c r="EU15" t="s">
        <v>225</v>
      </c>
      <c r="EV15" t="s">
        <v>226</v>
      </c>
      <c r="EW15" t="s">
        <v>227</v>
      </c>
      <c r="EX15" t="s">
        <v>228</v>
      </c>
      <c r="EY15" t="s">
        <v>229</v>
      </c>
      <c r="EZ15" t="s">
        <v>230</v>
      </c>
      <c r="FA15" t="s">
        <v>231</v>
      </c>
      <c r="FB15" t="s">
        <v>232</v>
      </c>
      <c r="FC15" t="s">
        <v>233</v>
      </c>
      <c r="FD15" t="s">
        <v>234</v>
      </c>
      <c r="FE15" t="s">
        <v>235</v>
      </c>
      <c r="FF15" t="s">
        <v>236</v>
      </c>
      <c r="FG15" t="s">
        <v>237</v>
      </c>
      <c r="FH15" t="s">
        <v>238</v>
      </c>
      <c r="FI15" t="s">
        <v>239</v>
      </c>
      <c r="FJ15" t="s">
        <v>240</v>
      </c>
      <c r="FK15" t="s">
        <v>241</v>
      </c>
      <c r="FL15" t="s">
        <v>242</v>
      </c>
      <c r="FM15" t="s">
        <v>243</v>
      </c>
      <c r="FN15" t="s">
        <v>244</v>
      </c>
      <c r="FO15" t="s">
        <v>80</v>
      </c>
      <c r="FP15" t="s">
        <v>83</v>
      </c>
      <c r="FQ15" t="s">
        <v>245</v>
      </c>
      <c r="FR15" t="s">
        <v>246</v>
      </c>
      <c r="FS15" t="s">
        <v>247</v>
      </c>
      <c r="FT15" t="s">
        <v>248</v>
      </c>
      <c r="FU15" t="s">
        <v>249</v>
      </c>
      <c r="FV15" t="s">
        <v>250</v>
      </c>
      <c r="FW15" t="s">
        <v>251</v>
      </c>
      <c r="FX15" t="s">
        <v>252</v>
      </c>
      <c r="FY15" t="s">
        <v>253</v>
      </c>
      <c r="FZ15" t="s">
        <v>254</v>
      </c>
      <c r="GA15" t="s">
        <v>255</v>
      </c>
      <c r="GB15" t="s">
        <v>256</v>
      </c>
      <c r="GC15" t="s">
        <v>257</v>
      </c>
      <c r="GD15" t="s">
        <v>258</v>
      </c>
      <c r="GE15" t="s">
        <v>259</v>
      </c>
      <c r="GF15" t="s">
        <v>260</v>
      </c>
      <c r="GG15" t="s">
        <v>261</v>
      </c>
      <c r="GH15" t="s">
        <v>262</v>
      </c>
      <c r="GI15" t="s">
        <v>263</v>
      </c>
      <c r="GJ15" t="s">
        <v>264</v>
      </c>
      <c r="GK15" t="s">
        <v>265</v>
      </c>
      <c r="GL15" t="s">
        <v>266</v>
      </c>
      <c r="GM15" t="s">
        <v>267</v>
      </c>
      <c r="GN15" t="s">
        <v>268</v>
      </c>
      <c r="GO15" t="s">
        <v>269</v>
      </c>
      <c r="GP15" t="s">
        <v>270</v>
      </c>
      <c r="GQ15" t="s">
        <v>271</v>
      </c>
      <c r="GR15" t="s">
        <v>272</v>
      </c>
      <c r="GS15" t="s">
        <v>273</v>
      </c>
      <c r="GT15" t="s">
        <v>274</v>
      </c>
      <c r="GU15" t="s">
        <v>275</v>
      </c>
      <c r="GV15" t="s">
        <v>276</v>
      </c>
      <c r="GW15" t="s">
        <v>277</v>
      </c>
      <c r="GX15" t="s">
        <v>278</v>
      </c>
      <c r="GY15" t="s">
        <v>279</v>
      </c>
      <c r="GZ15" t="s">
        <v>280</v>
      </c>
      <c r="HA15" t="s">
        <v>281</v>
      </c>
      <c r="HB15" t="s">
        <v>282</v>
      </c>
      <c r="HC15" t="s">
        <v>283</v>
      </c>
      <c r="HD15" t="s">
        <v>284</v>
      </c>
      <c r="HE15" t="s">
        <v>285</v>
      </c>
      <c r="HF15" t="s">
        <v>286</v>
      </c>
      <c r="HG15" t="s">
        <v>287</v>
      </c>
      <c r="HH15" t="s">
        <v>288</v>
      </c>
      <c r="HI15" t="s">
        <v>289</v>
      </c>
      <c r="HJ15" t="s">
        <v>290</v>
      </c>
      <c r="HK15" t="s">
        <v>291</v>
      </c>
      <c r="HL15" t="s">
        <v>292</v>
      </c>
      <c r="HM15" t="s">
        <v>293</v>
      </c>
      <c r="HN15" t="s">
        <v>294</v>
      </c>
      <c r="HO15" t="s">
        <v>295</v>
      </c>
      <c r="HP15" t="s">
        <v>296</v>
      </c>
      <c r="HQ15" t="s">
        <v>297</v>
      </c>
      <c r="HR15" t="s">
        <v>298</v>
      </c>
      <c r="HS15" t="s">
        <v>299</v>
      </c>
      <c r="HT15" t="s">
        <v>300</v>
      </c>
      <c r="HU15" t="s">
        <v>301</v>
      </c>
      <c r="HV15" t="s">
        <v>302</v>
      </c>
      <c r="HW15" t="s">
        <v>303</v>
      </c>
      <c r="HX15" t="s">
        <v>304</v>
      </c>
      <c r="HY15" t="s">
        <v>305</v>
      </c>
      <c r="HZ15" t="s">
        <v>306</v>
      </c>
      <c r="IA15" t="s">
        <v>307</v>
      </c>
      <c r="IB15" t="s">
        <v>308</v>
      </c>
      <c r="IC15" t="s">
        <v>309</v>
      </c>
      <c r="ID15" t="s">
        <v>310</v>
      </c>
      <c r="IE15" t="s">
        <v>311</v>
      </c>
      <c r="IF15" t="s">
        <v>312</v>
      </c>
      <c r="IG15" t="s">
        <v>313</v>
      </c>
      <c r="IH15" t="s">
        <v>314</v>
      </c>
      <c r="II15" t="s">
        <v>315</v>
      </c>
      <c r="IJ15" t="s">
        <v>316</v>
      </c>
      <c r="IK15" t="s">
        <v>317</v>
      </c>
      <c r="IL15" t="s">
        <v>318</v>
      </c>
      <c r="IM15" t="s">
        <v>319</v>
      </c>
      <c r="IN15" t="s">
        <v>320</v>
      </c>
      <c r="IO15" t="s">
        <v>321</v>
      </c>
      <c r="IP15" t="s">
        <v>322</v>
      </c>
      <c r="IQ15" t="s">
        <v>323</v>
      </c>
      <c r="IR15" t="s">
        <v>324</v>
      </c>
      <c r="IS15" t="s">
        <v>325</v>
      </c>
      <c r="IT15" t="s">
        <v>326</v>
      </c>
      <c r="IU15" t="s">
        <v>327</v>
      </c>
      <c r="IV15" t="s">
        <v>328</v>
      </c>
      <c r="IW15" t="s">
        <v>329</v>
      </c>
      <c r="IX15" t="s">
        <v>330</v>
      </c>
      <c r="IY15" t="s">
        <v>331</v>
      </c>
      <c r="IZ15" t="s">
        <v>332</v>
      </c>
      <c r="JA15" t="s">
        <v>333</v>
      </c>
      <c r="JB15" t="s">
        <v>334</v>
      </c>
      <c r="JC15" t="s">
        <v>335</v>
      </c>
      <c r="JD15" t="s">
        <v>336</v>
      </c>
      <c r="JE15" t="s">
        <v>337</v>
      </c>
      <c r="JF15" t="s">
        <v>338</v>
      </c>
      <c r="JG15" t="s">
        <v>339</v>
      </c>
      <c r="JH15" t="s">
        <v>340</v>
      </c>
      <c r="JI15" t="s">
        <v>341</v>
      </c>
      <c r="JJ15" t="s">
        <v>342</v>
      </c>
      <c r="JK15" t="s">
        <v>343</v>
      </c>
      <c r="JL15" t="s">
        <v>344</v>
      </c>
      <c r="JM15" t="s">
        <v>345</v>
      </c>
      <c r="JN15" t="s">
        <v>346</v>
      </c>
      <c r="JO15" t="s">
        <v>347</v>
      </c>
      <c r="JP15" t="s">
        <v>348</v>
      </c>
      <c r="JQ15" t="s">
        <v>349</v>
      </c>
      <c r="JR15" t="s">
        <v>350</v>
      </c>
      <c r="JS15" t="s">
        <v>351</v>
      </c>
      <c r="JT15" t="s">
        <v>352</v>
      </c>
      <c r="JU15" t="s">
        <v>353</v>
      </c>
      <c r="JV15" t="s">
        <v>354</v>
      </c>
      <c r="JW15" t="s">
        <v>355</v>
      </c>
      <c r="JX15" t="s">
        <v>356</v>
      </c>
      <c r="JY15" t="s">
        <v>357</v>
      </c>
      <c r="JZ15" t="s">
        <v>358</v>
      </c>
      <c r="KA15" t="s">
        <v>359</v>
      </c>
      <c r="KB15" t="s">
        <v>360</v>
      </c>
      <c r="KC15" t="s">
        <v>361</v>
      </c>
      <c r="KD15" t="s">
        <v>362</v>
      </c>
      <c r="KE15" t="s">
        <v>363</v>
      </c>
      <c r="KF15" t="s">
        <v>364</v>
      </c>
      <c r="KG15" t="s">
        <v>365</v>
      </c>
      <c r="KH15" t="s">
        <v>366</v>
      </c>
      <c r="KI15" t="s">
        <v>367</v>
      </c>
      <c r="KJ15" t="s">
        <v>368</v>
      </c>
    </row>
    <row r="16" spans="1:296" x14ac:dyDescent="0.3">
      <c r="B16" t="s">
        <v>369</v>
      </c>
      <c r="C16" t="s">
        <v>369</v>
      </c>
      <c r="F16" t="s">
        <v>369</v>
      </c>
      <c r="H16" t="s">
        <v>369</v>
      </c>
      <c r="I16" t="s">
        <v>370</v>
      </c>
      <c r="J16" t="s">
        <v>371</v>
      </c>
      <c r="K16" t="s">
        <v>372</v>
      </c>
      <c r="L16" t="s">
        <v>373</v>
      </c>
      <c r="M16" t="s">
        <v>373</v>
      </c>
      <c r="N16" t="s">
        <v>202</v>
      </c>
      <c r="O16" t="s">
        <v>202</v>
      </c>
      <c r="P16" t="s">
        <v>370</v>
      </c>
      <c r="Q16" t="s">
        <v>370</v>
      </c>
      <c r="R16" t="s">
        <v>370</v>
      </c>
      <c r="S16" t="s">
        <v>370</v>
      </c>
      <c r="T16" t="s">
        <v>374</v>
      </c>
      <c r="U16" t="s">
        <v>375</v>
      </c>
      <c r="V16" t="s">
        <v>375</v>
      </c>
      <c r="W16" t="s">
        <v>376</v>
      </c>
      <c r="X16" t="s">
        <v>377</v>
      </c>
      <c r="Y16" t="s">
        <v>376</v>
      </c>
      <c r="Z16" t="s">
        <v>376</v>
      </c>
      <c r="AA16" t="s">
        <v>376</v>
      </c>
      <c r="AB16" t="s">
        <v>374</v>
      </c>
      <c r="AC16" t="s">
        <v>374</v>
      </c>
      <c r="AD16" t="s">
        <v>374</v>
      </c>
      <c r="AE16" t="s">
        <v>374</v>
      </c>
      <c r="AF16" t="s">
        <v>372</v>
      </c>
      <c r="AG16" t="s">
        <v>371</v>
      </c>
      <c r="AH16" t="s">
        <v>372</v>
      </c>
      <c r="AI16" t="s">
        <v>373</v>
      </c>
      <c r="AJ16" t="s">
        <v>373</v>
      </c>
      <c r="AK16" t="s">
        <v>378</v>
      </c>
      <c r="AL16" t="s">
        <v>379</v>
      </c>
      <c r="AM16" t="s">
        <v>371</v>
      </c>
      <c r="AN16" t="s">
        <v>380</v>
      </c>
      <c r="AO16" t="s">
        <v>380</v>
      </c>
      <c r="AP16" t="s">
        <v>381</v>
      </c>
      <c r="AQ16" t="s">
        <v>379</v>
      </c>
      <c r="AR16" t="s">
        <v>382</v>
      </c>
      <c r="AS16" t="s">
        <v>377</v>
      </c>
      <c r="AU16" t="s">
        <v>377</v>
      </c>
      <c r="AV16" t="s">
        <v>382</v>
      </c>
      <c r="BB16" t="s">
        <v>372</v>
      </c>
      <c r="BI16" t="s">
        <v>372</v>
      </c>
      <c r="BJ16" t="s">
        <v>372</v>
      </c>
      <c r="BK16" t="s">
        <v>372</v>
      </c>
      <c r="BL16" t="s">
        <v>383</v>
      </c>
      <c r="BZ16" t="s">
        <v>384</v>
      </c>
      <c r="CB16" t="s">
        <v>384</v>
      </c>
      <c r="CC16" t="s">
        <v>372</v>
      </c>
      <c r="CF16" t="s">
        <v>384</v>
      </c>
      <c r="CG16" t="s">
        <v>377</v>
      </c>
      <c r="CJ16" t="s">
        <v>385</v>
      </c>
      <c r="CK16" t="s">
        <v>385</v>
      </c>
      <c r="CM16" t="s">
        <v>386</v>
      </c>
      <c r="CN16" t="s">
        <v>384</v>
      </c>
      <c r="CP16" t="s">
        <v>384</v>
      </c>
      <c r="CQ16" t="s">
        <v>372</v>
      </c>
      <c r="CU16" t="s">
        <v>384</v>
      </c>
      <c r="CW16" t="s">
        <v>387</v>
      </c>
      <c r="CZ16" t="s">
        <v>384</v>
      </c>
      <c r="DA16" t="s">
        <v>384</v>
      </c>
      <c r="DC16" t="s">
        <v>384</v>
      </c>
      <c r="DE16" t="s">
        <v>384</v>
      </c>
      <c r="DG16" t="s">
        <v>372</v>
      </c>
      <c r="DH16" t="s">
        <v>372</v>
      </c>
      <c r="DJ16" t="s">
        <v>388</v>
      </c>
      <c r="DK16" t="s">
        <v>389</v>
      </c>
      <c r="DN16" t="s">
        <v>370</v>
      </c>
      <c r="DP16" t="s">
        <v>369</v>
      </c>
      <c r="DQ16" t="s">
        <v>373</v>
      </c>
      <c r="DR16" t="s">
        <v>373</v>
      </c>
      <c r="DS16" t="s">
        <v>380</v>
      </c>
      <c r="DT16" t="s">
        <v>380</v>
      </c>
      <c r="DU16" t="s">
        <v>373</v>
      </c>
      <c r="DV16" t="s">
        <v>380</v>
      </c>
      <c r="DW16" t="s">
        <v>382</v>
      </c>
      <c r="DX16" t="s">
        <v>376</v>
      </c>
      <c r="DY16" t="s">
        <v>376</v>
      </c>
      <c r="DZ16" t="s">
        <v>375</v>
      </c>
      <c r="EA16" t="s">
        <v>375</v>
      </c>
      <c r="EB16" t="s">
        <v>375</v>
      </c>
      <c r="EC16" t="s">
        <v>375</v>
      </c>
      <c r="ED16" t="s">
        <v>375</v>
      </c>
      <c r="EE16" t="s">
        <v>390</v>
      </c>
      <c r="EF16" t="s">
        <v>372</v>
      </c>
      <c r="EG16" t="s">
        <v>372</v>
      </c>
      <c r="EH16" t="s">
        <v>373</v>
      </c>
      <c r="EI16" t="s">
        <v>373</v>
      </c>
      <c r="EJ16" t="s">
        <v>373</v>
      </c>
      <c r="EK16" t="s">
        <v>380</v>
      </c>
      <c r="EL16" t="s">
        <v>373</v>
      </c>
      <c r="EM16" t="s">
        <v>380</v>
      </c>
      <c r="EN16" t="s">
        <v>376</v>
      </c>
      <c r="EO16" t="s">
        <v>376</v>
      </c>
      <c r="EP16" t="s">
        <v>375</v>
      </c>
      <c r="EQ16" t="s">
        <v>375</v>
      </c>
      <c r="ER16" t="s">
        <v>372</v>
      </c>
      <c r="EW16" t="s">
        <v>372</v>
      </c>
      <c r="EZ16" t="s">
        <v>375</v>
      </c>
      <c r="FA16" t="s">
        <v>375</v>
      </c>
      <c r="FB16" t="s">
        <v>375</v>
      </c>
      <c r="FC16" t="s">
        <v>375</v>
      </c>
      <c r="FD16" t="s">
        <v>375</v>
      </c>
      <c r="FE16" t="s">
        <v>372</v>
      </c>
      <c r="FF16" t="s">
        <v>372</v>
      </c>
      <c r="FG16" t="s">
        <v>372</v>
      </c>
      <c r="FH16" t="s">
        <v>369</v>
      </c>
      <c r="FK16" t="s">
        <v>391</v>
      </c>
      <c r="FL16" t="s">
        <v>391</v>
      </c>
      <c r="FN16" t="s">
        <v>369</v>
      </c>
      <c r="FO16" t="s">
        <v>392</v>
      </c>
      <c r="FQ16" t="s">
        <v>369</v>
      </c>
      <c r="FR16" t="s">
        <v>369</v>
      </c>
      <c r="FT16" t="s">
        <v>393</v>
      </c>
      <c r="FU16" t="s">
        <v>394</v>
      </c>
      <c r="FV16" t="s">
        <v>393</v>
      </c>
      <c r="FW16" t="s">
        <v>394</v>
      </c>
      <c r="FX16" t="s">
        <v>393</v>
      </c>
      <c r="FY16" t="s">
        <v>394</v>
      </c>
      <c r="FZ16" t="s">
        <v>377</v>
      </c>
      <c r="GA16" t="s">
        <v>377</v>
      </c>
      <c r="GB16" t="s">
        <v>373</v>
      </c>
      <c r="GC16" t="s">
        <v>395</v>
      </c>
      <c r="GD16" t="s">
        <v>373</v>
      </c>
      <c r="GG16" t="s">
        <v>396</v>
      </c>
      <c r="GJ16" t="s">
        <v>380</v>
      </c>
      <c r="GK16" t="s">
        <v>397</v>
      </c>
      <c r="GL16" t="s">
        <v>380</v>
      </c>
      <c r="GQ16" t="s">
        <v>398</v>
      </c>
      <c r="GR16" t="s">
        <v>398</v>
      </c>
      <c r="HE16" t="s">
        <v>398</v>
      </c>
      <c r="HF16" t="s">
        <v>398</v>
      </c>
      <c r="HG16" t="s">
        <v>399</v>
      </c>
      <c r="HH16" t="s">
        <v>399</v>
      </c>
      <c r="HI16" t="s">
        <v>375</v>
      </c>
      <c r="HJ16" t="s">
        <v>375</v>
      </c>
      <c r="HK16" t="s">
        <v>377</v>
      </c>
      <c r="HL16" t="s">
        <v>375</v>
      </c>
      <c r="HM16" t="s">
        <v>380</v>
      </c>
      <c r="HN16" t="s">
        <v>377</v>
      </c>
      <c r="HO16" t="s">
        <v>377</v>
      </c>
      <c r="HQ16" t="s">
        <v>398</v>
      </c>
      <c r="HR16" t="s">
        <v>398</v>
      </c>
      <c r="HS16" t="s">
        <v>398</v>
      </c>
      <c r="HT16" t="s">
        <v>398</v>
      </c>
      <c r="HU16" t="s">
        <v>398</v>
      </c>
      <c r="HV16" t="s">
        <v>398</v>
      </c>
      <c r="HW16" t="s">
        <v>398</v>
      </c>
      <c r="HX16" t="s">
        <v>400</v>
      </c>
      <c r="HY16" t="s">
        <v>400</v>
      </c>
      <c r="HZ16" t="s">
        <v>400</v>
      </c>
      <c r="IA16" t="s">
        <v>401</v>
      </c>
      <c r="IB16" t="s">
        <v>398</v>
      </c>
      <c r="IC16" t="s">
        <v>398</v>
      </c>
      <c r="ID16" t="s">
        <v>398</v>
      </c>
      <c r="IE16" t="s">
        <v>398</v>
      </c>
      <c r="IF16" t="s">
        <v>398</v>
      </c>
      <c r="IG16" t="s">
        <v>398</v>
      </c>
      <c r="IH16" t="s">
        <v>398</v>
      </c>
      <c r="II16" t="s">
        <v>398</v>
      </c>
      <c r="IJ16" t="s">
        <v>398</v>
      </c>
      <c r="IK16" t="s">
        <v>398</v>
      </c>
      <c r="IL16" t="s">
        <v>398</v>
      </c>
      <c r="IM16" t="s">
        <v>398</v>
      </c>
      <c r="IT16" t="s">
        <v>398</v>
      </c>
      <c r="IU16" t="s">
        <v>377</v>
      </c>
      <c r="IV16" t="s">
        <v>377</v>
      </c>
      <c r="IW16" t="s">
        <v>393</v>
      </c>
      <c r="IX16" t="s">
        <v>394</v>
      </c>
      <c r="IY16" t="s">
        <v>393</v>
      </c>
      <c r="JC16" t="s">
        <v>394</v>
      </c>
      <c r="JG16" t="s">
        <v>373</v>
      </c>
      <c r="JH16" t="s">
        <v>373</v>
      </c>
      <c r="JI16" t="s">
        <v>380</v>
      </c>
      <c r="JJ16" t="s">
        <v>380</v>
      </c>
      <c r="JK16" t="s">
        <v>402</v>
      </c>
      <c r="JL16" t="s">
        <v>402</v>
      </c>
      <c r="JM16" t="s">
        <v>398</v>
      </c>
      <c r="JN16" t="s">
        <v>398</v>
      </c>
      <c r="JO16" t="s">
        <v>398</v>
      </c>
      <c r="JP16" t="s">
        <v>398</v>
      </c>
      <c r="JQ16" t="s">
        <v>398</v>
      </c>
      <c r="JR16" t="s">
        <v>398</v>
      </c>
      <c r="JS16" t="s">
        <v>375</v>
      </c>
      <c r="JT16" t="s">
        <v>398</v>
      </c>
      <c r="JV16" t="s">
        <v>382</v>
      </c>
      <c r="JW16" t="s">
        <v>382</v>
      </c>
      <c r="JX16" t="s">
        <v>375</v>
      </c>
      <c r="JY16" t="s">
        <v>375</v>
      </c>
      <c r="JZ16" t="s">
        <v>375</v>
      </c>
      <c r="KA16" t="s">
        <v>375</v>
      </c>
      <c r="KB16" t="s">
        <v>375</v>
      </c>
      <c r="KC16" t="s">
        <v>377</v>
      </c>
      <c r="KD16" t="s">
        <v>377</v>
      </c>
      <c r="KE16" t="s">
        <v>377</v>
      </c>
      <c r="KF16" t="s">
        <v>375</v>
      </c>
      <c r="KG16" t="s">
        <v>373</v>
      </c>
      <c r="KH16" t="s">
        <v>380</v>
      </c>
      <c r="KI16" t="s">
        <v>377</v>
      </c>
      <c r="KJ16" t="s">
        <v>377</v>
      </c>
    </row>
    <row r="17" spans="1:296" x14ac:dyDescent="0.3">
      <c r="A17">
        <v>1</v>
      </c>
      <c r="B17">
        <v>1783703230.0999999</v>
      </c>
      <c r="C17">
        <v>0</v>
      </c>
      <c r="D17" t="s">
        <v>733</v>
      </c>
      <c r="E17" t="s">
        <v>734</v>
      </c>
      <c r="F17">
        <v>15</v>
      </c>
      <c r="H17">
        <v>1783703222.349999</v>
      </c>
      <c r="I17">
        <f t="shared" ref="I17:I30" si="0">(J17)/1000</f>
        <v>4.2547149042686978E-3</v>
      </c>
      <c r="J17">
        <f t="shared" ref="J17:J30" si="1">IF(DO17, AM17, AG17)</f>
        <v>4.254714904268698</v>
      </c>
      <c r="K17">
        <f t="shared" ref="K17:K30" si="2">IF(DO17, AH17, AF17)</f>
        <v>2.3465607613370869</v>
      </c>
      <c r="L17">
        <f t="shared" ref="L17:L30" si="3">DQ17 - IF(AT17&gt;1, K17*DK17*100/(AV17), 0)</f>
        <v>414.68333333333328</v>
      </c>
      <c r="M17">
        <f t="shared" ref="M17:M30" si="4">((S17-I17/2)*L17-K17)/(S17+I17/2)</f>
        <v>393.43081646670385</v>
      </c>
      <c r="N17">
        <f t="shared" ref="N17:N30" si="5">M17*(DX17+DY17)/1000</f>
        <v>38.394578042163531</v>
      </c>
      <c r="O17">
        <f t="shared" ref="O17:O30" si="6">(DQ17 - IF(AT17&gt;1, K17*DK17*100/(AV17), 0))*(DX17+DY17)/1000</f>
        <v>40.468593048807662</v>
      </c>
      <c r="P17">
        <f t="shared" ref="P17:P30" si="7">2/((1/R17-1/Q17)+SIGN(R17)*SQRT((1/R17-1/Q17)*(1/R17-1/Q17) + 4*DL17/((DL17+1)*(DL17+1))*(2*1/R17*1/Q17-1/Q17*1/Q17)))</f>
        <v>0.32227602008491896</v>
      </c>
      <c r="Q17">
        <f t="shared" ref="Q17:Q30" si="8">IF(LEFT(DM17,1)&lt;&gt;"0",IF(LEFT(DM17,1)="1",3,DN17),$D$5+$E$5*(EE17*DX17/($K$5*1000))+$F$5*(EE17*DX17/($K$5*1000))*MAX(MIN(DK17,$J$5),$I$5)*MAX(MIN(DK17,$J$5),$I$5)+$G$5*MAX(MIN(DK17,$J$5),$I$5)*(EE17*DX17/($K$5*1000))+$H$5*(EE17*DX17/($K$5*1000))*(EE17*DX17/($K$5*1000)))</f>
        <v>2.8868618047799339</v>
      </c>
      <c r="R17">
        <f t="shared" ref="R17:R30" si="9">I17*(1000-(1000*0.61365*EXP(17.502*V17/(240.97+V17))/(DX17+DY17)+DS17)/2)/(1000*0.61365*EXP(17.502*V17/(240.97+V17))/(DX17+DY17)-DS17)</f>
        <v>0.30353958210906062</v>
      </c>
      <c r="S17">
        <f t="shared" ref="S17:S30" si="10">1/((DL17+1)/(P17/1.6)+1/(Q17/1.37)) + DL17/((DL17+1)/(P17/1.6) + DL17/(Q17/1.37))</f>
        <v>0.19130479677319365</v>
      </c>
      <c r="T17">
        <f t="shared" ref="T17:T30" si="11">(DG17*DJ17)</f>
        <v>160.12835817164355</v>
      </c>
      <c r="U17">
        <f t="shared" ref="U17:U30" si="12">(DZ17+(T17+2*0.95*0.0000000567*(((DZ17+$B$7)+273)^4-(DZ17+273)^4)-44100*I17)/(1.84*29.3*Q17+8*0.95*0.0000000567*(DZ17+273)^3))</f>
        <v>27.426876867940084</v>
      </c>
      <c r="V17">
        <f t="shared" ref="V17:V30" si="13">($C$7*EA17+$D$7*EB17+$E$7*U17)</f>
        <v>27.68867333333333</v>
      </c>
      <c r="W17">
        <f t="shared" ref="W17:W30" si="14">0.61365*EXP(17.502*V17/(240.97+V17))</f>
        <v>3.7265089518931127</v>
      </c>
      <c r="X17">
        <f t="shared" ref="X17:X30" si="15">(Y17/Z17*100)</f>
        <v>64.813118964942532</v>
      </c>
      <c r="Y17">
        <f t="shared" ref="Y17:Y30" si="16">DS17*(DX17+DY17)/1000</f>
        <v>2.4015501904496146</v>
      </c>
      <c r="Z17">
        <f t="shared" ref="Z17:Z30" si="17">0.61365*EXP(17.502*DZ17/(240.97+DZ17))</f>
        <v>3.7053458139371678</v>
      </c>
      <c r="AA17">
        <f t="shared" ref="AA17:AA30" si="18">(W17-DS17*(DX17+DY17)/1000)</f>
        <v>1.3249587614434981</v>
      </c>
      <c r="AB17">
        <f t="shared" ref="AB17:AB30" si="19">(-I17*44100)</f>
        <v>-187.63292727824958</v>
      </c>
      <c r="AC17">
        <f t="shared" ref="AC17:AC30" si="20">2*29.3*Q17*0.92*(DZ17-V17)</f>
        <v>-15.164182361638073</v>
      </c>
      <c r="AD17">
        <f t="shared" ref="AD17:AD30" si="21">2*0.95*0.0000000567*(((DZ17+$B$7)+273)^4-(V17+273)^4)</f>
        <v>-1.1408914452998045</v>
      </c>
      <c r="AE17">
        <f t="shared" ref="AE17:AE30" si="22">T17+AD17+AB17+AC17</f>
        <v>-43.809642913543911</v>
      </c>
      <c r="AF17">
        <f t="shared" ref="AF17:AF30" si="23">DW17*AT17*(DR17-DQ17*(1000-AT17*DT17)/(1000-AT17*DS17))/(100*DK17)</f>
        <v>2.3465607613370869</v>
      </c>
      <c r="AG17">
        <f t="shared" ref="AG17:AG30" si="24">1000*DW17*AT17*(DS17-DT17)/(100*DK17*(1000-AT17*DS17))</f>
        <v>4.254714904268698</v>
      </c>
      <c r="AH17">
        <f t="shared" ref="AH17:AH30" si="25">(AI17 - AJ17 - DX17*1000/(8.314*(DZ17+273.15)) * AL17/DW17 * AK17) * DW17/(100*DK17) * (1000 - DT17)/1000</f>
        <v>15.348650700500492</v>
      </c>
      <c r="AI17">
        <v>432.60572009518808</v>
      </c>
      <c r="AJ17">
        <v>418.3478181818179</v>
      </c>
      <c r="AK17">
        <v>-0.86618325547467889</v>
      </c>
      <c r="AL17">
        <v>66.994560660280584</v>
      </c>
      <c r="AM17">
        <f t="shared" ref="AM17:AM30" si="26">(AO17 - AN17 + DX17*1000/(8.314*(DZ17+273.15)) * AQ17/DW17 * AP17) * DW17/(100*DK17) * 1000/(1000 - AO17)</f>
        <v>4.4497171136368356</v>
      </c>
      <c r="AN17">
        <v>19.61120710596968</v>
      </c>
      <c r="AO17">
        <v>24.7426521212121</v>
      </c>
      <c r="AP17">
        <v>1.236764954855827E-2</v>
      </c>
      <c r="AQ17">
        <v>78.14366788027472</v>
      </c>
      <c r="AR17">
        <v>0</v>
      </c>
      <c r="AS17">
        <v>0</v>
      </c>
      <c r="AT17">
        <f t="shared" ref="AT17:AT30" si="27">IF(AR17*$H$13&gt;=AV17,1,(AV17/(AV17-AR17*$H$13)))</f>
        <v>1</v>
      </c>
      <c r="AU17">
        <f t="shared" ref="AU17:AU30" si="28">(AT17-1)*100</f>
        <v>0</v>
      </c>
      <c r="AV17">
        <f t="shared" ref="AV17:AV30" si="29">MAX(0,($B$13+$C$13*EE17)/(1+$D$13*EE17)*DX17/(DZ17+273)*$E$13)</f>
        <v>51498.349432909701</v>
      </c>
      <c r="AW17" t="s">
        <v>731</v>
      </c>
      <c r="AX17">
        <v>5102.38</v>
      </c>
      <c r="AY17">
        <v>567.49705882352941</v>
      </c>
      <c r="AZ17">
        <v>2458.08</v>
      </c>
      <c r="BA17">
        <f t="shared" ref="BA17:BA30" si="30">1-AY17/AZ17</f>
        <v>0.76912994742907903</v>
      </c>
      <c r="BB17">
        <v>-4.7837446069883294</v>
      </c>
      <c r="BC17" t="s">
        <v>735</v>
      </c>
      <c r="BD17">
        <v>5099.37</v>
      </c>
      <c r="BE17">
        <v>1378.6611764705881</v>
      </c>
      <c r="BF17">
        <v>1588.88</v>
      </c>
      <c r="BG17">
        <f t="shared" ref="BG17:BG30" si="31">1-BE17/BF17</f>
        <v>0.13230629344532752</v>
      </c>
      <c r="BH17">
        <v>0.5</v>
      </c>
      <c r="BI17">
        <f t="shared" ref="BI17:BI30" si="32">DH17</f>
        <v>840.04820982986723</v>
      </c>
      <c r="BJ17">
        <f t="shared" ref="BJ17:BJ30" si="33">K17</f>
        <v>2.3465607613370869</v>
      </c>
      <c r="BK17">
        <f t="shared" ref="BK17:BK30" si="34">BG17*BH17*BI17</f>
        <v>55.571832478986238</v>
      </c>
      <c r="BL17">
        <f t="shared" ref="BL17:BL30" si="35">(BJ17-BB17)/BI17</f>
        <v>8.4879716245922342E-3</v>
      </c>
      <c r="BM17">
        <f t="shared" ref="BM17:BM30" si="36">(AZ17-BF17)/BF17</f>
        <v>0.54705201147978433</v>
      </c>
      <c r="BN17">
        <f t="shared" ref="BN17:BN30" si="37">AY17/(BA17+AY17/BF17)</f>
        <v>503.86051984645104</v>
      </c>
      <c r="BO17" t="s">
        <v>407</v>
      </c>
      <c r="BP17">
        <v>0</v>
      </c>
      <c r="BQ17">
        <f t="shared" ref="BQ17:BQ30" si="38">IF(BP17&lt;&gt;0, BP17, BN17)</f>
        <v>503.86051984645104</v>
      </c>
      <c r="BR17">
        <f t="shared" ref="BR17:BR30" si="39">1-BQ17/BF17</f>
        <v>0.68288321342930169</v>
      </c>
      <c r="BS17">
        <f t="shared" ref="BS17:BS30" si="40">(BF17-BE17)/(BF17-BQ17)</f>
        <v>0.19374658923143243</v>
      </c>
      <c r="BT17">
        <f t="shared" ref="BT17:BT30" si="41">(AZ17-BF17)/(AZ17-BQ17)</f>
        <v>0.44478115627611298</v>
      </c>
      <c r="BU17">
        <f t="shared" ref="BU17:BU30" si="42">(BF17-BE17)/(BF17-AY17)</f>
        <v>0.20581783291511935</v>
      </c>
      <c r="BV17">
        <f t="shared" ref="BV17:BV30" si="43">(AZ17-BF17)/(AZ17-AY17)</f>
        <v>0.45975237640677891</v>
      </c>
      <c r="BW17">
        <f t="shared" ref="BW17:BW30" si="44">(BS17*BQ17/BE17)</f>
        <v>7.0808737371236899E-2</v>
      </c>
      <c r="BX17">
        <f t="shared" ref="BX17:BX30" si="45">(1-BW17)</f>
        <v>0.92919126262876306</v>
      </c>
      <c r="DG17">
        <f t="shared" ref="DG17:DG30" si="46">$B$11*EF17+$C$11*EG17+$F$11*ER17*(1-EU17)</f>
        <v>999.7021666666667</v>
      </c>
      <c r="DH17">
        <f t="shared" ref="DH17:DH30" si="47">DG17*DI17</f>
        <v>840.04820982986723</v>
      </c>
      <c r="DI17">
        <f t="shared" ref="DI17:DI30" si="48">($B$11*$D$9+$C$11*$D$9+$F$11*((FE17+EW17)/MAX(FE17+EW17+FF17, 0.1)*$I$9+FF17/MAX(FE17+EW17+FF17, 0.1)*$J$9))/($B$11+$C$11+$F$11)</f>
        <v>0.84029847872678132</v>
      </c>
      <c r="DJ17">
        <f t="shared" ref="DJ17:DJ30" si="49">($B$11*$K$9+$C$11*$K$9+$F$11*((FE17+EW17)/MAX(FE17+EW17+FF17, 0.1)*$P$9+FF17/MAX(FE17+EW17+FF17, 0.1)*$Q$9))/($B$11+$C$11+$F$11)</f>
        <v>0.16017606394268782</v>
      </c>
      <c r="DK17">
        <v>6</v>
      </c>
      <c r="DL17">
        <v>0.5</v>
      </c>
      <c r="DM17" t="s">
        <v>408</v>
      </c>
      <c r="DN17">
        <v>2</v>
      </c>
      <c r="DO17" t="b">
        <v>0</v>
      </c>
      <c r="DP17">
        <v>1783703222.349999</v>
      </c>
      <c r="DQ17">
        <v>414.68333333333328</v>
      </c>
      <c r="DR17">
        <v>419.61576666666667</v>
      </c>
      <c r="DS17">
        <v>24.608783333333339</v>
      </c>
      <c r="DT17">
        <v>19.62944666666667</v>
      </c>
      <c r="DU17">
        <v>420.62076666666673</v>
      </c>
      <c r="DV17">
        <v>25.157783333333331</v>
      </c>
      <c r="DW17">
        <v>500.06799999999998</v>
      </c>
      <c r="DX17">
        <v>97.536016666666669</v>
      </c>
      <c r="DY17">
        <v>5.3130993333333341E-2</v>
      </c>
      <c r="DZ17">
        <v>27.59124000000001</v>
      </c>
      <c r="EA17">
        <v>27.68867333333333</v>
      </c>
      <c r="EB17">
        <v>999.9000000000002</v>
      </c>
      <c r="EC17">
        <v>0</v>
      </c>
      <c r="ED17">
        <v>0</v>
      </c>
      <c r="EE17">
        <v>10005.16666666667</v>
      </c>
      <c r="EF17">
        <v>0</v>
      </c>
      <c r="EG17">
        <v>288.57446666666669</v>
      </c>
      <c r="EH17">
        <v>-4.9325252999999991</v>
      </c>
      <c r="EI17">
        <v>425.16773333333327</v>
      </c>
      <c r="EJ17">
        <v>428.0173999999999</v>
      </c>
      <c r="EK17">
        <v>5.0309603333333337</v>
      </c>
      <c r="EL17">
        <v>419.61576666666667</v>
      </c>
      <c r="EM17">
        <v>19.62944666666667</v>
      </c>
      <c r="EN17">
        <v>2.405276999999999</v>
      </c>
      <c r="EO17">
        <v>1.914579333333333</v>
      </c>
      <c r="EP17">
        <v>20.399286666666669</v>
      </c>
      <c r="EQ17">
        <v>16.75504333333333</v>
      </c>
      <c r="ER17">
        <v>999.7021666666667</v>
      </c>
      <c r="ES17">
        <v>0.99000106666666665</v>
      </c>
      <c r="ET17">
        <v>9.9985523333333357E-3</v>
      </c>
      <c r="EU17">
        <v>0</v>
      </c>
      <c r="EV17">
        <v>1489.338333333334</v>
      </c>
      <c r="EW17">
        <v>5.0010700000000003</v>
      </c>
      <c r="EX17">
        <v>19113.13</v>
      </c>
      <c r="EY17">
        <v>9077.5710000000017</v>
      </c>
      <c r="EZ17">
        <v>36.72893333333333</v>
      </c>
      <c r="FA17">
        <v>40.974799999999988</v>
      </c>
      <c r="FB17">
        <v>38.691199999999988</v>
      </c>
      <c r="FC17">
        <v>40.512399999999992</v>
      </c>
      <c r="FD17">
        <v>38.803933333333333</v>
      </c>
      <c r="FE17">
        <v>984.7553333333334</v>
      </c>
      <c r="FF17">
        <v>9.9463333333333335</v>
      </c>
      <c r="FG17">
        <v>0</v>
      </c>
      <c r="FH17">
        <v>619.70000004768372</v>
      </c>
      <c r="FI17">
        <v>0</v>
      </c>
      <c r="FJ17">
        <v>1378.6611764705881</v>
      </c>
      <c r="FK17">
        <v>-2904.2965632836322</v>
      </c>
      <c r="FL17">
        <v>-29384.4852423304</v>
      </c>
      <c r="FM17">
        <v>17985.44117647058</v>
      </c>
      <c r="FN17">
        <v>10</v>
      </c>
      <c r="FO17">
        <v>1783703264.0999999</v>
      </c>
      <c r="FP17" t="s">
        <v>736</v>
      </c>
      <c r="FQ17">
        <v>1783702556.0999999</v>
      </c>
      <c r="FR17">
        <v>1783703264.0999999</v>
      </c>
      <c r="FS17">
        <v>27</v>
      </c>
      <c r="FT17">
        <v>-2.9000000000000001E-2</v>
      </c>
      <c r="FU17">
        <v>8.5999999999999993E-2</v>
      </c>
      <c r="FV17">
        <v>-5.9390000000000001</v>
      </c>
      <c r="FW17">
        <v>-0.54900000000000004</v>
      </c>
      <c r="FX17">
        <v>415</v>
      </c>
      <c r="FY17">
        <v>19</v>
      </c>
      <c r="FZ17">
        <v>1.7</v>
      </c>
      <c r="GA17">
        <v>0.06</v>
      </c>
      <c r="GB17">
        <v>415.79729032258052</v>
      </c>
      <c r="GC17">
        <v>-56.779209677419772</v>
      </c>
      <c r="GD17">
        <v>4.240463313042719</v>
      </c>
      <c r="GE17">
        <v>-1</v>
      </c>
      <c r="GF17">
        <v>1604.940000000001</v>
      </c>
      <c r="GG17">
        <v>-2112.2007642130361</v>
      </c>
      <c r="GH17">
        <v>212.78674989155641</v>
      </c>
      <c r="GI17">
        <v>0</v>
      </c>
      <c r="GJ17">
        <v>4.9535985365853659</v>
      </c>
      <c r="GK17">
        <v>1.2329933101045389</v>
      </c>
      <c r="GL17">
        <v>0.12396382899982331</v>
      </c>
      <c r="GM17">
        <v>0</v>
      </c>
      <c r="GN17">
        <v>0</v>
      </c>
      <c r="GO17">
        <v>2</v>
      </c>
      <c r="GP17" t="s">
        <v>440</v>
      </c>
      <c r="GQ17">
        <v>3.1300599999999998</v>
      </c>
      <c r="GR17">
        <v>2.7289599999999998</v>
      </c>
      <c r="GS17">
        <v>8.9115600000000003E-2</v>
      </c>
      <c r="GT17">
        <v>9.2163300000000004E-2</v>
      </c>
      <c r="GU17">
        <v>0.11554300000000001</v>
      </c>
      <c r="GV17">
        <v>9.6851099999999996E-2</v>
      </c>
      <c r="GW17">
        <v>22829.8</v>
      </c>
      <c r="GX17">
        <v>30528.2</v>
      </c>
      <c r="GY17">
        <v>27190</v>
      </c>
      <c r="GZ17">
        <v>34583.199999999997</v>
      </c>
      <c r="HA17">
        <v>35228.300000000003</v>
      </c>
      <c r="HB17">
        <v>39596.5</v>
      </c>
      <c r="HC17">
        <v>40156.9</v>
      </c>
      <c r="HD17">
        <v>43922.8</v>
      </c>
      <c r="HE17">
        <v>1.9634</v>
      </c>
      <c r="HF17">
        <v>1.6594</v>
      </c>
      <c r="HG17">
        <v>-5.1855999999999999E-2</v>
      </c>
      <c r="HH17">
        <v>0</v>
      </c>
      <c r="HI17">
        <v>28.558</v>
      </c>
      <c r="HJ17">
        <v>999.9</v>
      </c>
      <c r="HK17">
        <v>50.5</v>
      </c>
      <c r="HL17">
        <v>41.3</v>
      </c>
      <c r="HM17">
        <v>41.131900000000002</v>
      </c>
      <c r="HN17">
        <v>60.038600000000002</v>
      </c>
      <c r="HO17">
        <v>9.2948699999999995</v>
      </c>
      <c r="HP17">
        <v>1</v>
      </c>
      <c r="HQ17">
        <v>0.58804900000000004</v>
      </c>
      <c r="HR17">
        <v>3.2889300000000001</v>
      </c>
      <c r="HS17">
        <v>20.241099999999999</v>
      </c>
      <c r="HT17">
        <v>5.1981200000000003</v>
      </c>
      <c r="HU17">
        <v>11.908099999999999</v>
      </c>
      <c r="HV17">
        <v>4.9800000000000004</v>
      </c>
      <c r="HW17">
        <v>3.2682000000000002</v>
      </c>
      <c r="HX17">
        <v>9999</v>
      </c>
      <c r="HY17">
        <v>9999</v>
      </c>
      <c r="HZ17">
        <v>9999</v>
      </c>
      <c r="IA17">
        <v>999.9</v>
      </c>
      <c r="IB17">
        <v>1.86737</v>
      </c>
      <c r="IC17">
        <v>1.8630100000000001</v>
      </c>
      <c r="ID17">
        <v>1.86249</v>
      </c>
      <c r="IE17">
        <v>1.8620300000000001</v>
      </c>
      <c r="IF17">
        <v>1.86206</v>
      </c>
      <c r="IG17">
        <v>1.8626400000000001</v>
      </c>
      <c r="IH17">
        <v>1.8635600000000001</v>
      </c>
      <c r="II17">
        <v>1.8615699999999999</v>
      </c>
      <c r="IJ17">
        <v>0</v>
      </c>
      <c r="IK17">
        <v>0</v>
      </c>
      <c r="IL17">
        <v>0</v>
      </c>
      <c r="IM17">
        <v>4.5</v>
      </c>
      <c r="IN17" t="s">
        <v>411</v>
      </c>
      <c r="IO17" t="s">
        <v>412</v>
      </c>
      <c r="IP17" t="s">
        <v>413</v>
      </c>
      <c r="IQ17" t="s">
        <v>414</v>
      </c>
      <c r="IR17" t="s">
        <v>414</v>
      </c>
      <c r="IS17" t="s">
        <v>413</v>
      </c>
      <c r="IT17">
        <v>0</v>
      </c>
      <c r="IU17">
        <v>100</v>
      </c>
      <c r="IV17">
        <v>100</v>
      </c>
      <c r="IW17">
        <v>-5.9109999999999996</v>
      </c>
      <c r="IX17">
        <v>-0.54900000000000004</v>
      </c>
      <c r="IY17">
        <v>-3.970254501928713</v>
      </c>
      <c r="IZ17">
        <v>-5.6215304933332991E-3</v>
      </c>
      <c r="JA17">
        <v>2.3979931213773931E-6</v>
      </c>
      <c r="JB17">
        <v>-3.6297174575716598E-10</v>
      </c>
      <c r="JC17">
        <v>-0.92191646224782042</v>
      </c>
      <c r="JD17">
        <v>2.7492919904454862E-4</v>
      </c>
      <c r="JE17">
        <v>8.6739513355948885E-4</v>
      </c>
      <c r="JF17">
        <v>-8.2500691715147318E-6</v>
      </c>
      <c r="JG17">
        <v>17</v>
      </c>
      <c r="JH17">
        <v>1914</v>
      </c>
      <c r="JI17">
        <v>2</v>
      </c>
      <c r="JJ17">
        <v>37</v>
      </c>
      <c r="JK17">
        <v>11.2</v>
      </c>
      <c r="JL17">
        <v>11.3</v>
      </c>
      <c r="JM17">
        <v>1.08521</v>
      </c>
      <c r="JN17">
        <v>2.5488300000000002</v>
      </c>
      <c r="JO17">
        <v>1.50024</v>
      </c>
      <c r="JP17">
        <v>2.2680699999999998</v>
      </c>
      <c r="JQ17">
        <v>1.4477500000000001</v>
      </c>
      <c r="JR17">
        <v>2.4584999999999999</v>
      </c>
      <c r="JS17">
        <v>44.950400000000002</v>
      </c>
      <c r="JT17">
        <v>14.517300000000001</v>
      </c>
      <c r="JU17">
        <v>18</v>
      </c>
      <c r="JV17">
        <v>546.55100000000004</v>
      </c>
      <c r="JW17">
        <v>368.72699999999998</v>
      </c>
      <c r="JX17">
        <v>25.049399999999999</v>
      </c>
      <c r="JY17">
        <v>34.3934</v>
      </c>
      <c r="JZ17">
        <v>29.999600000000001</v>
      </c>
      <c r="KA17">
        <v>34.524299999999997</v>
      </c>
      <c r="KB17">
        <v>34.517200000000003</v>
      </c>
      <c r="KC17">
        <v>21.751200000000001</v>
      </c>
      <c r="KD17">
        <v>52.388399999999997</v>
      </c>
      <c r="KE17">
        <v>0</v>
      </c>
      <c r="KF17">
        <v>25.05</v>
      </c>
      <c r="KG17">
        <v>436.21</v>
      </c>
      <c r="KH17">
        <v>19.623100000000001</v>
      </c>
      <c r="KI17">
        <v>100.357</v>
      </c>
      <c r="KJ17">
        <v>98.777199999999993</v>
      </c>
    </row>
    <row r="18" spans="1:296" x14ac:dyDescent="0.3">
      <c r="A18">
        <v>2</v>
      </c>
      <c r="B18">
        <v>1783703546</v>
      </c>
      <c r="C18">
        <v>315.90000009536737</v>
      </c>
      <c r="D18" t="s">
        <v>737</v>
      </c>
      <c r="E18" t="s">
        <v>738</v>
      </c>
      <c r="F18">
        <v>15</v>
      </c>
      <c r="H18">
        <v>1783703538.25</v>
      </c>
      <c r="I18">
        <f t="shared" si="0"/>
        <v>1.8824500870754364E-3</v>
      </c>
      <c r="J18">
        <f t="shared" si="1"/>
        <v>1.8824500870754364</v>
      </c>
      <c r="K18">
        <f t="shared" si="2"/>
        <v>28.720145974240882</v>
      </c>
      <c r="L18">
        <f t="shared" si="3"/>
        <v>420.85106666666672</v>
      </c>
      <c r="M18">
        <f t="shared" si="4"/>
        <v>66.64062364543814</v>
      </c>
      <c r="N18">
        <f t="shared" si="5"/>
        <v>6.5038626649297777</v>
      </c>
      <c r="O18">
        <f t="shared" si="6"/>
        <v>41.073408234476773</v>
      </c>
      <c r="P18">
        <f t="shared" si="7"/>
        <v>0.13472558378501692</v>
      </c>
      <c r="Q18">
        <f t="shared" si="8"/>
        <v>2.8862886215584993</v>
      </c>
      <c r="R18">
        <f t="shared" si="9"/>
        <v>0.13132692147706562</v>
      </c>
      <c r="S18">
        <f t="shared" si="10"/>
        <v>8.2377541194996365E-2</v>
      </c>
      <c r="T18">
        <f t="shared" si="11"/>
        <v>319.77384549054062</v>
      </c>
      <c r="U18">
        <f t="shared" si="12"/>
        <v>29.412657728490142</v>
      </c>
      <c r="V18">
        <f t="shared" si="13"/>
        <v>28.001719999999999</v>
      </c>
      <c r="W18">
        <f t="shared" si="14"/>
        <v>3.7952202051038175</v>
      </c>
      <c r="X18">
        <f t="shared" si="15"/>
        <v>64.33090333732946</v>
      </c>
      <c r="Y18">
        <f t="shared" si="16"/>
        <v>2.4409657579332951</v>
      </c>
      <c r="Z18">
        <f t="shared" si="17"/>
        <v>3.7943906136895014</v>
      </c>
      <c r="AA18">
        <f t="shared" si="18"/>
        <v>1.3542544471705225</v>
      </c>
      <c r="AB18">
        <f t="shared" si="19"/>
        <v>-83.016048840026741</v>
      </c>
      <c r="AC18">
        <f t="shared" si="20"/>
        <v>-0.5835209706205039</v>
      </c>
      <c r="AD18">
        <f t="shared" si="21"/>
        <v>-4.4068344393335721E-2</v>
      </c>
      <c r="AE18">
        <f t="shared" si="22"/>
        <v>236.13020733550005</v>
      </c>
      <c r="AF18">
        <f t="shared" si="23"/>
        <v>28.720145974240882</v>
      </c>
      <c r="AG18">
        <f t="shared" si="24"/>
        <v>1.8824500870754364</v>
      </c>
      <c r="AH18">
        <f t="shared" si="25"/>
        <v>29.162676747326898</v>
      </c>
      <c r="AI18">
        <v>466.84482507427742</v>
      </c>
      <c r="AJ18">
        <v>431.36578181818157</v>
      </c>
      <c r="AK18">
        <v>-6.3957253788464535E-2</v>
      </c>
      <c r="AL18">
        <v>67.048138693618412</v>
      </c>
      <c r="AM18">
        <f t="shared" si="26"/>
        <v>2.0234935982901474</v>
      </c>
      <c r="AN18">
        <v>22.864320654285731</v>
      </c>
      <c r="AO18">
        <v>25.179962424242419</v>
      </c>
      <c r="AP18">
        <v>8.4116536796617174E-3</v>
      </c>
      <c r="AQ18">
        <v>78.55</v>
      </c>
      <c r="AR18">
        <v>0</v>
      </c>
      <c r="AS18">
        <v>0</v>
      </c>
      <c r="AT18">
        <f t="shared" si="27"/>
        <v>1</v>
      </c>
      <c r="AU18">
        <f t="shared" si="28"/>
        <v>0</v>
      </c>
      <c r="AV18">
        <f t="shared" si="29"/>
        <v>51412.698732416851</v>
      </c>
      <c r="AW18" t="s">
        <v>731</v>
      </c>
      <c r="AX18">
        <v>5102.38</v>
      </c>
      <c r="AY18">
        <v>567.49705882352941</v>
      </c>
      <c r="AZ18">
        <v>2458.08</v>
      </c>
      <c r="BA18">
        <f t="shared" si="30"/>
        <v>0.76912994742907903</v>
      </c>
      <c r="BB18">
        <v>-4.7837446069883294</v>
      </c>
      <c r="BC18" t="s">
        <v>739</v>
      </c>
      <c r="BD18">
        <v>5084.1099999999997</v>
      </c>
      <c r="BE18">
        <v>734.38088235294117</v>
      </c>
      <c r="BF18">
        <v>827.38</v>
      </c>
      <c r="BG18">
        <f t="shared" si="31"/>
        <v>0.11240194064040565</v>
      </c>
      <c r="BH18">
        <v>0.5</v>
      </c>
      <c r="BI18">
        <f t="shared" si="32"/>
        <v>1680.2756198396589</v>
      </c>
      <c r="BJ18">
        <f t="shared" si="33"/>
        <v>28.720145974240882</v>
      </c>
      <c r="BK18">
        <f t="shared" si="34"/>
        <v>94.433120240369078</v>
      </c>
      <c r="BL18">
        <f t="shared" si="35"/>
        <v>1.9939520746260864E-2</v>
      </c>
      <c r="BM18">
        <f t="shared" si="36"/>
        <v>1.9709202542966955</v>
      </c>
      <c r="BN18">
        <f t="shared" si="37"/>
        <v>390.02524927392591</v>
      </c>
      <c r="BO18" t="s">
        <v>407</v>
      </c>
      <c r="BP18">
        <v>0</v>
      </c>
      <c r="BQ18">
        <f t="shared" si="38"/>
        <v>390.02524927392591</v>
      </c>
      <c r="BR18">
        <f t="shared" si="39"/>
        <v>0.52860203380076154</v>
      </c>
      <c r="BS18">
        <f t="shared" si="40"/>
        <v>0.21264000789442991</v>
      </c>
      <c r="BT18">
        <f t="shared" si="41"/>
        <v>0.78851877564047901</v>
      </c>
      <c r="BU18">
        <f t="shared" si="42"/>
        <v>0.35785002750106948</v>
      </c>
      <c r="BV18">
        <f t="shared" si="43"/>
        <v>0.86253819627995221</v>
      </c>
      <c r="BW18">
        <f t="shared" si="44"/>
        <v>0.11293182335971581</v>
      </c>
      <c r="BX18">
        <f t="shared" si="45"/>
        <v>0.88706817664028415</v>
      </c>
      <c r="DG18">
        <f t="shared" si="46"/>
        <v>1999.9713333333341</v>
      </c>
      <c r="DH18">
        <f t="shared" si="47"/>
        <v>1680.2756198396589</v>
      </c>
      <c r="DI18">
        <f t="shared" si="48"/>
        <v>0.84014985206770876</v>
      </c>
      <c r="DJ18">
        <f t="shared" si="49"/>
        <v>0.15988921449067794</v>
      </c>
      <c r="DK18">
        <v>6</v>
      </c>
      <c r="DL18">
        <v>0.5</v>
      </c>
      <c r="DM18" t="s">
        <v>408</v>
      </c>
      <c r="DN18">
        <v>2</v>
      </c>
      <c r="DO18" t="b">
        <v>0</v>
      </c>
      <c r="DP18">
        <v>1783703538.25</v>
      </c>
      <c r="DQ18">
        <v>420.85106666666672</v>
      </c>
      <c r="DR18">
        <v>456.26706666666672</v>
      </c>
      <c r="DS18">
        <v>25.010903333333331</v>
      </c>
      <c r="DT18">
        <v>22.80839000000001</v>
      </c>
      <c r="DU18">
        <v>426.81203333333337</v>
      </c>
      <c r="DV18">
        <v>25.520903333333329</v>
      </c>
      <c r="DW18">
        <v>499.98379999999997</v>
      </c>
      <c r="DX18">
        <v>97.544513333333313</v>
      </c>
      <c r="DY18">
        <v>5.1552086666666663E-2</v>
      </c>
      <c r="DZ18">
        <v>27.997969999999999</v>
      </c>
      <c r="EA18">
        <v>28.001719999999999</v>
      </c>
      <c r="EB18">
        <v>999.9000000000002</v>
      </c>
      <c r="EC18">
        <v>0</v>
      </c>
      <c r="ED18">
        <v>0</v>
      </c>
      <c r="EE18">
        <v>10001</v>
      </c>
      <c r="EF18">
        <v>0</v>
      </c>
      <c r="EG18">
        <v>250.53193333333331</v>
      </c>
      <c r="EH18">
        <v>-35.415999999999997</v>
      </c>
      <c r="EI18">
        <v>431.69530000000009</v>
      </c>
      <c r="EJ18">
        <v>466.91680000000002</v>
      </c>
      <c r="EK18">
        <v>2.3117123333333329</v>
      </c>
      <c r="EL18">
        <v>456.26706666666672</v>
      </c>
      <c r="EM18">
        <v>22.80839000000001</v>
      </c>
      <c r="EN18">
        <v>2.450327333333334</v>
      </c>
      <c r="EO18">
        <v>2.224832666666666</v>
      </c>
      <c r="EP18">
        <v>20.700253333333329</v>
      </c>
      <c r="EQ18">
        <v>19.14218</v>
      </c>
      <c r="ER18">
        <v>1999.9713333333341</v>
      </c>
      <c r="ES18">
        <v>0.99499399999999971</v>
      </c>
      <c r="ET18">
        <v>5.0058856666666653E-3</v>
      </c>
      <c r="EU18">
        <v>0</v>
      </c>
      <c r="EV18">
        <v>734.88999999999987</v>
      </c>
      <c r="EW18">
        <v>5.0010700000000003</v>
      </c>
      <c r="EX18">
        <v>16889.923333333329</v>
      </c>
      <c r="EY18">
        <v>18241.330000000002</v>
      </c>
      <c r="EZ18">
        <v>39.470599999999997</v>
      </c>
      <c r="FA18">
        <v>41.137399999999992</v>
      </c>
      <c r="FB18">
        <v>40.057866666666648</v>
      </c>
      <c r="FC18">
        <v>40.770666666666664</v>
      </c>
      <c r="FD18">
        <v>40.845599999999997</v>
      </c>
      <c r="FE18">
        <v>1984.9813333333341</v>
      </c>
      <c r="FF18">
        <v>9.990000000000002</v>
      </c>
      <c r="FG18">
        <v>0</v>
      </c>
      <c r="FH18">
        <v>315.20000004768372</v>
      </c>
      <c r="FI18">
        <v>0</v>
      </c>
      <c r="FJ18">
        <v>734.38088235294117</v>
      </c>
      <c r="FK18">
        <v>-9.9973038912466894</v>
      </c>
      <c r="FL18">
        <v>534.97548986518473</v>
      </c>
      <c r="FM18">
        <v>16901.794117647059</v>
      </c>
      <c r="FN18">
        <v>10</v>
      </c>
      <c r="FO18">
        <v>1783703577.5</v>
      </c>
      <c r="FP18" t="s">
        <v>740</v>
      </c>
      <c r="FQ18">
        <v>1783702556.0999999</v>
      </c>
      <c r="FR18">
        <v>1783703577.5</v>
      </c>
      <c r="FS18">
        <v>28</v>
      </c>
      <c r="FT18">
        <v>-2.9000000000000001E-2</v>
      </c>
      <c r="FU18">
        <v>-4.5999999999999999E-2</v>
      </c>
      <c r="FV18">
        <v>-5.9390000000000001</v>
      </c>
      <c r="FW18">
        <v>-0.51</v>
      </c>
      <c r="FX18">
        <v>415</v>
      </c>
      <c r="FY18">
        <v>23</v>
      </c>
      <c r="FZ18">
        <v>1.7</v>
      </c>
      <c r="GA18">
        <v>0.11</v>
      </c>
      <c r="GB18">
        <v>420.89720000000011</v>
      </c>
      <c r="GC18">
        <v>-2.486496106786134</v>
      </c>
      <c r="GD18">
        <v>0.1892975435656796</v>
      </c>
      <c r="GE18">
        <v>-1</v>
      </c>
      <c r="GF18">
        <v>735.53720588235296</v>
      </c>
      <c r="GG18">
        <v>-11.42476700732499</v>
      </c>
      <c r="GH18">
        <v>1.138035608339105</v>
      </c>
      <c r="GI18">
        <v>0</v>
      </c>
      <c r="GJ18">
        <v>2.3255414999999999</v>
      </c>
      <c r="GK18">
        <v>-0.36047302063790049</v>
      </c>
      <c r="GL18">
        <v>4.7745190362485701E-2</v>
      </c>
      <c r="GM18">
        <v>1</v>
      </c>
      <c r="GN18">
        <v>1</v>
      </c>
      <c r="GO18">
        <v>2</v>
      </c>
      <c r="GP18" t="s">
        <v>410</v>
      </c>
      <c r="GQ18">
        <v>3.1324999999999998</v>
      </c>
      <c r="GR18">
        <v>2.72776</v>
      </c>
      <c r="GS18">
        <v>9.13495E-2</v>
      </c>
      <c r="GT18">
        <v>9.6779299999999999E-2</v>
      </c>
      <c r="GU18">
        <v>0.11677899999999999</v>
      </c>
      <c r="GV18">
        <v>0.108196</v>
      </c>
      <c r="GW18">
        <v>22791.3</v>
      </c>
      <c r="GX18">
        <v>30398</v>
      </c>
      <c r="GY18">
        <v>27208.3</v>
      </c>
      <c r="GZ18">
        <v>34607.599999999999</v>
      </c>
      <c r="HA18">
        <v>35199.4</v>
      </c>
      <c r="HB18">
        <v>39121.1</v>
      </c>
      <c r="HC18">
        <v>40182.9</v>
      </c>
      <c r="HD18">
        <v>43948.2</v>
      </c>
      <c r="HE18">
        <v>1.9678</v>
      </c>
      <c r="HF18">
        <v>1.6756</v>
      </c>
      <c r="HG18">
        <v>5.0663899999999996E-3</v>
      </c>
      <c r="HH18">
        <v>0</v>
      </c>
      <c r="HI18">
        <v>27.919</v>
      </c>
      <c r="HJ18">
        <v>999.9</v>
      </c>
      <c r="HK18">
        <v>47.8</v>
      </c>
      <c r="HL18">
        <v>41.3</v>
      </c>
      <c r="HM18">
        <v>38.9313</v>
      </c>
      <c r="HN18">
        <v>59.518599999999999</v>
      </c>
      <c r="HO18">
        <v>9.0264399999999991</v>
      </c>
      <c r="HP18">
        <v>1</v>
      </c>
      <c r="HQ18">
        <v>0.53717499999999996</v>
      </c>
      <c r="HR18">
        <v>2.74776</v>
      </c>
      <c r="HS18">
        <v>20.245699999999999</v>
      </c>
      <c r="HT18">
        <v>5.2100999999999997</v>
      </c>
      <c r="HU18">
        <v>11.908099999999999</v>
      </c>
      <c r="HV18">
        <v>4.9847999999999999</v>
      </c>
      <c r="HW18">
        <v>3.2707999999999999</v>
      </c>
      <c r="HX18">
        <v>9999</v>
      </c>
      <c r="HY18">
        <v>9999</v>
      </c>
      <c r="HZ18">
        <v>9999</v>
      </c>
      <c r="IA18">
        <v>999.9</v>
      </c>
      <c r="IB18">
        <v>1.86737</v>
      </c>
      <c r="IC18">
        <v>1.8629800000000001</v>
      </c>
      <c r="ID18">
        <v>1.86249</v>
      </c>
      <c r="IE18">
        <v>1.8620300000000001</v>
      </c>
      <c r="IF18">
        <v>1.8620300000000001</v>
      </c>
      <c r="IG18">
        <v>1.8626100000000001</v>
      </c>
      <c r="IH18">
        <v>1.8634999999999999</v>
      </c>
      <c r="II18">
        <v>1.86145</v>
      </c>
      <c r="IJ18">
        <v>0</v>
      </c>
      <c r="IK18">
        <v>0</v>
      </c>
      <c r="IL18">
        <v>0</v>
      </c>
      <c r="IM18">
        <v>4.5</v>
      </c>
      <c r="IN18" t="s">
        <v>411</v>
      </c>
      <c r="IO18" t="s">
        <v>412</v>
      </c>
      <c r="IP18" t="s">
        <v>413</v>
      </c>
      <c r="IQ18" t="s">
        <v>414</v>
      </c>
      <c r="IR18" t="s">
        <v>414</v>
      </c>
      <c r="IS18" t="s">
        <v>413</v>
      </c>
      <c r="IT18">
        <v>0</v>
      </c>
      <c r="IU18">
        <v>100</v>
      </c>
      <c r="IV18">
        <v>100</v>
      </c>
      <c r="IW18">
        <v>-5.96</v>
      </c>
      <c r="IX18">
        <v>-0.51</v>
      </c>
      <c r="IY18">
        <v>-3.970254501928713</v>
      </c>
      <c r="IZ18">
        <v>-5.6215304933332991E-3</v>
      </c>
      <c r="JA18">
        <v>2.3979931213773931E-6</v>
      </c>
      <c r="JB18">
        <v>-3.6297174575716598E-10</v>
      </c>
      <c r="JC18">
        <v>-0.83564252733281297</v>
      </c>
      <c r="JD18">
        <v>2.7492919904454862E-4</v>
      </c>
      <c r="JE18">
        <v>8.6739513355948885E-4</v>
      </c>
      <c r="JF18">
        <v>-8.2500691715147318E-6</v>
      </c>
      <c r="JG18">
        <v>17</v>
      </c>
      <c r="JH18">
        <v>1914</v>
      </c>
      <c r="JI18">
        <v>2</v>
      </c>
      <c r="JJ18">
        <v>37</v>
      </c>
      <c r="JK18">
        <v>16.5</v>
      </c>
      <c r="JL18">
        <v>4.7</v>
      </c>
      <c r="JM18">
        <v>1.1389199999999999</v>
      </c>
      <c r="JN18">
        <v>2.5561500000000001</v>
      </c>
      <c r="JO18">
        <v>1.50024</v>
      </c>
      <c r="JP18">
        <v>2.2680699999999998</v>
      </c>
      <c r="JQ18">
        <v>1.4477500000000001</v>
      </c>
      <c r="JR18">
        <v>2.4609399999999999</v>
      </c>
      <c r="JS18">
        <v>44.417700000000004</v>
      </c>
      <c r="JT18">
        <v>14.4472</v>
      </c>
      <c r="JU18">
        <v>18</v>
      </c>
      <c r="JV18">
        <v>545.67399999999998</v>
      </c>
      <c r="JW18">
        <v>375.13900000000001</v>
      </c>
      <c r="JX18">
        <v>25.0489</v>
      </c>
      <c r="JY18">
        <v>33.8264</v>
      </c>
      <c r="JZ18">
        <v>29.998799999999999</v>
      </c>
      <c r="KA18">
        <v>34.06</v>
      </c>
      <c r="KB18">
        <v>34.061199999999999</v>
      </c>
      <c r="KC18">
        <v>22.776399999999999</v>
      </c>
      <c r="KD18">
        <v>44.7654</v>
      </c>
      <c r="KE18">
        <v>0</v>
      </c>
      <c r="KF18">
        <v>25.05</v>
      </c>
      <c r="KG18">
        <v>455.976</v>
      </c>
      <c r="KH18">
        <v>22.849599999999999</v>
      </c>
      <c r="KI18">
        <v>100.423</v>
      </c>
      <c r="KJ18">
        <v>98.84</v>
      </c>
    </row>
    <row r="19" spans="1:296" x14ac:dyDescent="0.3">
      <c r="A19">
        <v>3</v>
      </c>
      <c r="B19">
        <v>1783703758.5</v>
      </c>
      <c r="C19">
        <v>528.40000009536743</v>
      </c>
      <c r="D19" t="s">
        <v>741</v>
      </c>
      <c r="E19" t="s">
        <v>742</v>
      </c>
      <c r="F19">
        <v>15</v>
      </c>
      <c r="H19">
        <v>1783703750.5</v>
      </c>
      <c r="I19">
        <f t="shared" si="0"/>
        <v>2.3125684348637189E-3</v>
      </c>
      <c r="J19">
        <f t="shared" si="1"/>
        <v>2.312568434863719</v>
      </c>
      <c r="K19">
        <f t="shared" si="2"/>
        <v>34.427897103705838</v>
      </c>
      <c r="L19">
        <f t="shared" si="3"/>
        <v>419.96003225806447</v>
      </c>
      <c r="M19">
        <f t="shared" si="4"/>
        <v>95.042502399459451</v>
      </c>
      <c r="N19">
        <f t="shared" si="5"/>
        <v>9.2745470577481495</v>
      </c>
      <c r="O19">
        <f t="shared" si="6"/>
        <v>40.981024102044294</v>
      </c>
      <c r="P19">
        <f t="shared" si="7"/>
        <v>0.17750192234517509</v>
      </c>
      <c r="Q19">
        <f t="shared" si="8"/>
        <v>2.885448680163397</v>
      </c>
      <c r="R19">
        <f t="shared" si="9"/>
        <v>0.17165123607468569</v>
      </c>
      <c r="S19">
        <f t="shared" si="10"/>
        <v>0.10779161845071557</v>
      </c>
      <c r="T19">
        <f t="shared" si="11"/>
        <v>271.90620427489847</v>
      </c>
      <c r="U19">
        <f t="shared" si="12"/>
        <v>28.82724030742418</v>
      </c>
      <c r="V19">
        <f t="shared" si="13"/>
        <v>27.640625806451609</v>
      </c>
      <c r="W19">
        <f t="shared" si="14"/>
        <v>3.7160595796049178</v>
      </c>
      <c r="X19">
        <f t="shared" si="15"/>
        <v>65.084979607384469</v>
      </c>
      <c r="Y19">
        <f t="shared" si="16"/>
        <v>2.4428601384270205</v>
      </c>
      <c r="Z19">
        <f t="shared" si="17"/>
        <v>3.7533393313836987</v>
      </c>
      <c r="AA19">
        <f t="shared" si="18"/>
        <v>1.2731994411778973</v>
      </c>
      <c r="AB19">
        <f t="shared" si="19"/>
        <v>-101.98426797749001</v>
      </c>
      <c r="AC19">
        <f t="shared" si="20"/>
        <v>26.582246005270111</v>
      </c>
      <c r="AD19">
        <f t="shared" si="21"/>
        <v>2.0026395137357706</v>
      </c>
      <c r="AE19">
        <f t="shared" si="22"/>
        <v>198.50682181641434</v>
      </c>
      <c r="AF19">
        <f t="shared" si="23"/>
        <v>34.427897103705838</v>
      </c>
      <c r="AG19">
        <f t="shared" si="24"/>
        <v>2.312568434863719</v>
      </c>
      <c r="AH19">
        <f t="shared" si="25"/>
        <v>34.325484012898428</v>
      </c>
      <c r="AI19">
        <v>472.934556344854</v>
      </c>
      <c r="AJ19">
        <v>430.78067272727282</v>
      </c>
      <c r="AK19">
        <v>5.0694372772866203E-3</v>
      </c>
      <c r="AL19">
        <v>67.020753249331165</v>
      </c>
      <c r="AM19">
        <f t="shared" si="26"/>
        <v>2.358059142452829</v>
      </c>
      <c r="AN19">
        <v>22.263729247099569</v>
      </c>
      <c r="AO19">
        <v>25.062384242424251</v>
      </c>
      <c r="AP19">
        <v>-6.5585108225164682E-3</v>
      </c>
      <c r="AQ19">
        <v>78.55</v>
      </c>
      <c r="AR19">
        <v>0</v>
      </c>
      <c r="AS19">
        <v>0</v>
      </c>
      <c r="AT19">
        <f t="shared" si="27"/>
        <v>1</v>
      </c>
      <c r="AU19">
        <f t="shared" si="28"/>
        <v>0</v>
      </c>
      <c r="AV19">
        <f t="shared" si="29"/>
        <v>51420.488008764121</v>
      </c>
      <c r="AW19" t="s">
        <v>731</v>
      </c>
      <c r="AX19">
        <v>5102.38</v>
      </c>
      <c r="AY19">
        <v>567.49705882352941</v>
      </c>
      <c r="AZ19">
        <v>2458.08</v>
      </c>
      <c r="BA19">
        <f t="shared" si="30"/>
        <v>0.76912994742907903</v>
      </c>
      <c r="BB19">
        <v>-4.7837446069883294</v>
      </c>
      <c r="BC19" t="s">
        <v>743</v>
      </c>
      <c r="BD19">
        <v>5084.3500000000004</v>
      </c>
      <c r="BE19">
        <v>715.05694117647067</v>
      </c>
      <c r="BF19">
        <v>832</v>
      </c>
      <c r="BG19">
        <f t="shared" si="31"/>
        <v>0.1405565610859727</v>
      </c>
      <c r="BH19">
        <v>0.5</v>
      </c>
      <c r="BI19">
        <f t="shared" si="32"/>
        <v>1428.2939610984768</v>
      </c>
      <c r="BJ19">
        <f t="shared" si="33"/>
        <v>34.427897103705838</v>
      </c>
      <c r="BK19">
        <f t="shared" si="34"/>
        <v>100.37804369593198</v>
      </c>
      <c r="BL19">
        <f t="shared" si="35"/>
        <v>2.7453481411163536E-2</v>
      </c>
      <c r="BM19">
        <f t="shared" si="36"/>
        <v>1.9544230769230768</v>
      </c>
      <c r="BN19">
        <f t="shared" si="37"/>
        <v>391.04886602560367</v>
      </c>
      <c r="BO19" t="s">
        <v>407</v>
      </c>
      <c r="BP19">
        <v>0</v>
      </c>
      <c r="BQ19">
        <f t="shared" si="38"/>
        <v>391.04886602560367</v>
      </c>
      <c r="BR19">
        <f t="shared" si="39"/>
        <v>0.52998934371922635</v>
      </c>
      <c r="BS19">
        <f t="shared" si="40"/>
        <v>0.26520639094290116</v>
      </c>
      <c r="BT19">
        <f t="shared" si="41"/>
        <v>0.78667416918556288</v>
      </c>
      <c r="BU19">
        <f t="shared" si="42"/>
        <v>0.44212385050761105</v>
      </c>
      <c r="BV19">
        <f t="shared" si="43"/>
        <v>0.86009450555399813</v>
      </c>
      <c r="BW19">
        <f t="shared" si="44"/>
        <v>0.14503552440220269</v>
      </c>
      <c r="BX19">
        <f t="shared" si="45"/>
        <v>0.85496447559779731</v>
      </c>
      <c r="DG19">
        <f t="shared" si="46"/>
        <v>1699.987096774194</v>
      </c>
      <c r="DH19">
        <f t="shared" si="47"/>
        <v>1428.2939610984768</v>
      </c>
      <c r="DI19">
        <f t="shared" si="48"/>
        <v>0.84017929536567204</v>
      </c>
      <c r="DJ19">
        <f t="shared" si="49"/>
        <v>0.15994604005574711</v>
      </c>
      <c r="DK19">
        <v>6</v>
      </c>
      <c r="DL19">
        <v>0.5</v>
      </c>
      <c r="DM19" t="s">
        <v>408</v>
      </c>
      <c r="DN19">
        <v>2</v>
      </c>
      <c r="DO19" t="b">
        <v>0</v>
      </c>
      <c r="DP19">
        <v>1783703750.5</v>
      </c>
      <c r="DQ19">
        <v>419.96003225806447</v>
      </c>
      <c r="DR19">
        <v>462.43499999999989</v>
      </c>
      <c r="DS19">
        <v>25.03362580645161</v>
      </c>
      <c r="DT19">
        <v>22.328264516129028</v>
      </c>
      <c r="DU19">
        <v>425.91754838709682</v>
      </c>
      <c r="DV19">
        <v>25.544625806451609</v>
      </c>
      <c r="DW19">
        <v>500.04629032258077</v>
      </c>
      <c r="DX19">
        <v>97.532348387096775</v>
      </c>
      <c r="DY19">
        <v>5.0804661290322579E-2</v>
      </c>
      <c r="DZ19">
        <v>27.8115064516129</v>
      </c>
      <c r="EA19">
        <v>27.640625806451609</v>
      </c>
      <c r="EB19">
        <v>999.90000000000032</v>
      </c>
      <c r="EC19">
        <v>0</v>
      </c>
      <c r="ED19">
        <v>0</v>
      </c>
      <c r="EE19">
        <v>9997.4193548387102</v>
      </c>
      <c r="EF19">
        <v>0</v>
      </c>
      <c r="EG19">
        <v>196.51838709677421</v>
      </c>
      <c r="EH19">
        <v>-42.474961290322582</v>
      </c>
      <c r="EI19">
        <v>430.77177419354842</v>
      </c>
      <c r="EJ19">
        <v>472.99622580645149</v>
      </c>
      <c r="EK19">
        <v>2.7702919354838702</v>
      </c>
      <c r="EL19">
        <v>462.43499999999989</v>
      </c>
      <c r="EM19">
        <v>22.328264516129028</v>
      </c>
      <c r="EN19">
        <v>2.4479209677419349</v>
      </c>
      <c r="EO19">
        <v>2.1777287096774192</v>
      </c>
      <c r="EP19">
        <v>20.684316129032261</v>
      </c>
      <c r="EQ19">
        <v>18.79936129032258</v>
      </c>
      <c r="ER19">
        <v>1699.987096774194</v>
      </c>
      <c r="ES19">
        <v>0.99400400000000011</v>
      </c>
      <c r="ET19">
        <v>5.9957499999999976E-3</v>
      </c>
      <c r="EU19">
        <v>0</v>
      </c>
      <c r="EV19">
        <v>715.18448387096782</v>
      </c>
      <c r="EW19">
        <v>5.0010700000000003</v>
      </c>
      <c r="EX19">
        <v>13790.71612903226</v>
      </c>
      <c r="EY19">
        <v>15492.416129032261</v>
      </c>
      <c r="EZ19">
        <v>39.686999999999983</v>
      </c>
      <c r="FA19">
        <v>41.207322580645133</v>
      </c>
      <c r="FB19">
        <v>40.436999999999983</v>
      </c>
      <c r="FC19">
        <v>40.828258064516127</v>
      </c>
      <c r="FD19">
        <v>41.125</v>
      </c>
      <c r="FE19">
        <v>1684.827096774193</v>
      </c>
      <c r="FF19">
        <v>10.160000000000011</v>
      </c>
      <c r="FG19">
        <v>0</v>
      </c>
      <c r="FH19">
        <v>212</v>
      </c>
      <c r="FI19">
        <v>0</v>
      </c>
      <c r="FJ19">
        <v>715.05694117647067</v>
      </c>
      <c r="FK19">
        <v>-1.051225492233018</v>
      </c>
      <c r="FL19">
        <v>-158.0882350181906</v>
      </c>
      <c r="FM19">
        <v>13781.10588235294</v>
      </c>
      <c r="FN19">
        <v>10</v>
      </c>
      <c r="FO19">
        <v>1783703785.5</v>
      </c>
      <c r="FP19" t="s">
        <v>744</v>
      </c>
      <c r="FQ19">
        <v>1783702556.0999999</v>
      </c>
      <c r="FR19">
        <v>1783703785.5</v>
      </c>
      <c r="FS19">
        <v>29</v>
      </c>
      <c r="FT19">
        <v>-2.9000000000000001E-2</v>
      </c>
      <c r="FU19">
        <v>1.4999999999999999E-2</v>
      </c>
      <c r="FV19">
        <v>-5.9390000000000001</v>
      </c>
      <c r="FW19">
        <v>-0.51100000000000001</v>
      </c>
      <c r="FX19">
        <v>415</v>
      </c>
      <c r="FY19">
        <v>22</v>
      </c>
      <c r="FZ19">
        <v>1.7</v>
      </c>
      <c r="GA19">
        <v>0.14000000000000001</v>
      </c>
      <c r="GB19">
        <v>419.96003225806447</v>
      </c>
      <c r="GC19">
        <v>0.1122580645149488</v>
      </c>
      <c r="GD19">
        <v>6.1678397886687338E-2</v>
      </c>
      <c r="GE19">
        <v>-1</v>
      </c>
      <c r="GF19">
        <v>715.22894117647058</v>
      </c>
      <c r="GG19">
        <v>-1.3986249094412611</v>
      </c>
      <c r="GH19">
        <v>0.25295523216761168</v>
      </c>
      <c r="GI19">
        <v>1</v>
      </c>
      <c r="GJ19">
        <v>2.7545517073170731</v>
      </c>
      <c r="GK19">
        <v>0.42387449477351857</v>
      </c>
      <c r="GL19">
        <v>4.455943391408386E-2</v>
      </c>
      <c r="GM19">
        <v>1</v>
      </c>
      <c r="GN19">
        <v>2</v>
      </c>
      <c r="GO19">
        <v>2</v>
      </c>
      <c r="GP19" t="s">
        <v>423</v>
      </c>
      <c r="GQ19">
        <v>3.1307299999999998</v>
      </c>
      <c r="GR19">
        <v>2.7266900000000001</v>
      </c>
      <c r="GS19">
        <v>9.1358900000000007E-2</v>
      </c>
      <c r="GT19">
        <v>9.7910300000000006E-2</v>
      </c>
      <c r="GU19">
        <v>0.116676</v>
      </c>
      <c r="GV19">
        <v>0.106293</v>
      </c>
      <c r="GW19">
        <v>22813.7</v>
      </c>
      <c r="GX19">
        <v>30395.599999999999</v>
      </c>
      <c r="GY19">
        <v>27232.3</v>
      </c>
      <c r="GZ19">
        <v>34643.800000000003</v>
      </c>
      <c r="HA19">
        <v>35230.9</v>
      </c>
      <c r="HB19">
        <v>39237.199999999997</v>
      </c>
      <c r="HC19">
        <v>40217.699999999997</v>
      </c>
      <c r="HD19">
        <v>43985.9</v>
      </c>
      <c r="HE19">
        <v>1.974</v>
      </c>
      <c r="HF19">
        <v>1.6888000000000001</v>
      </c>
      <c r="HG19">
        <v>7.5995899999999998E-3</v>
      </c>
      <c r="HH19">
        <v>0</v>
      </c>
      <c r="HI19">
        <v>27.526900000000001</v>
      </c>
      <c r="HJ19">
        <v>999.9</v>
      </c>
      <c r="HK19">
        <v>46.3</v>
      </c>
      <c r="HL19">
        <v>41.2</v>
      </c>
      <c r="HM19">
        <v>37.512900000000002</v>
      </c>
      <c r="HN19">
        <v>60.098599999999998</v>
      </c>
      <c r="HO19">
        <v>9.1386199999999995</v>
      </c>
      <c r="HP19">
        <v>1</v>
      </c>
      <c r="HQ19">
        <v>0.47731699999999999</v>
      </c>
      <c r="HR19">
        <v>2.4851899999999998</v>
      </c>
      <c r="HS19">
        <v>20.2532</v>
      </c>
      <c r="HT19">
        <v>5.2112999999999996</v>
      </c>
      <c r="HU19">
        <v>11.908099999999999</v>
      </c>
      <c r="HV19">
        <v>4.9851999999999999</v>
      </c>
      <c r="HW19">
        <v>3.2707999999999999</v>
      </c>
      <c r="HX19">
        <v>9999</v>
      </c>
      <c r="HY19">
        <v>9999</v>
      </c>
      <c r="HZ19">
        <v>9999</v>
      </c>
      <c r="IA19">
        <v>999.9</v>
      </c>
      <c r="IB19">
        <v>1.86737</v>
      </c>
      <c r="IC19">
        <v>1.8629500000000001</v>
      </c>
      <c r="ID19">
        <v>1.86246</v>
      </c>
      <c r="IE19">
        <v>1.8620300000000001</v>
      </c>
      <c r="IF19">
        <v>1.8620300000000001</v>
      </c>
      <c r="IG19">
        <v>1.8626400000000001</v>
      </c>
      <c r="IH19">
        <v>1.8634599999999999</v>
      </c>
      <c r="II19">
        <v>1.8614200000000001</v>
      </c>
      <c r="IJ19">
        <v>0</v>
      </c>
      <c r="IK19">
        <v>0</v>
      </c>
      <c r="IL19">
        <v>0</v>
      </c>
      <c r="IM19">
        <v>4.5</v>
      </c>
      <c r="IN19" t="s">
        <v>411</v>
      </c>
      <c r="IO19" t="s">
        <v>412</v>
      </c>
      <c r="IP19" t="s">
        <v>413</v>
      </c>
      <c r="IQ19" t="s">
        <v>414</v>
      </c>
      <c r="IR19" t="s">
        <v>414</v>
      </c>
      <c r="IS19" t="s">
        <v>413</v>
      </c>
      <c r="IT19">
        <v>0</v>
      </c>
      <c r="IU19">
        <v>100</v>
      </c>
      <c r="IV19">
        <v>100</v>
      </c>
      <c r="IW19">
        <v>-5.9569999999999999</v>
      </c>
      <c r="IX19">
        <v>-0.51100000000000001</v>
      </c>
      <c r="IY19">
        <v>-3.970254501928713</v>
      </c>
      <c r="IZ19">
        <v>-5.6215304933332991E-3</v>
      </c>
      <c r="JA19">
        <v>2.3979931213773931E-6</v>
      </c>
      <c r="JB19">
        <v>-3.6297174575716598E-10</v>
      </c>
      <c r="JC19">
        <v>-0.8815667387359134</v>
      </c>
      <c r="JD19">
        <v>2.7492919904454862E-4</v>
      </c>
      <c r="JE19">
        <v>8.6739513355948885E-4</v>
      </c>
      <c r="JF19">
        <v>-8.2500691715147318E-6</v>
      </c>
      <c r="JG19">
        <v>17</v>
      </c>
      <c r="JH19">
        <v>1914</v>
      </c>
      <c r="JI19">
        <v>2</v>
      </c>
      <c r="JJ19">
        <v>37</v>
      </c>
      <c r="JK19">
        <v>20</v>
      </c>
      <c r="JL19">
        <v>3</v>
      </c>
      <c r="JM19">
        <v>1.1523399999999999</v>
      </c>
      <c r="JN19">
        <v>2.5463900000000002</v>
      </c>
      <c r="JO19">
        <v>1.50024</v>
      </c>
      <c r="JP19">
        <v>2.2680699999999998</v>
      </c>
      <c r="JQ19">
        <v>1.4477500000000001</v>
      </c>
      <c r="JR19">
        <v>2.4060100000000002</v>
      </c>
      <c r="JS19">
        <v>43.809199999999997</v>
      </c>
      <c r="JT19">
        <v>14.4122</v>
      </c>
      <c r="JU19">
        <v>18</v>
      </c>
      <c r="JV19">
        <v>544.98800000000006</v>
      </c>
      <c r="JW19">
        <v>379.21100000000001</v>
      </c>
      <c r="JX19">
        <v>25.049499999999998</v>
      </c>
      <c r="JY19">
        <v>33.173000000000002</v>
      </c>
      <c r="JZ19">
        <v>29.998799999999999</v>
      </c>
      <c r="KA19">
        <v>33.477800000000002</v>
      </c>
      <c r="KB19">
        <v>33.491500000000002</v>
      </c>
      <c r="KC19">
        <v>23.061199999999999</v>
      </c>
      <c r="KD19">
        <v>44.000900000000001</v>
      </c>
      <c r="KE19">
        <v>0</v>
      </c>
      <c r="KF19">
        <v>25.05</v>
      </c>
      <c r="KG19">
        <v>462.52</v>
      </c>
      <c r="KH19">
        <v>22.316299999999998</v>
      </c>
      <c r="KI19">
        <v>100.511</v>
      </c>
      <c r="KJ19">
        <v>98.933000000000007</v>
      </c>
    </row>
    <row r="20" spans="1:296" x14ac:dyDescent="0.3">
      <c r="A20">
        <v>4</v>
      </c>
      <c r="B20">
        <v>1783703966.5</v>
      </c>
      <c r="C20">
        <v>736.40000009536743</v>
      </c>
      <c r="D20" t="s">
        <v>745</v>
      </c>
      <c r="E20" t="s">
        <v>746</v>
      </c>
      <c r="F20">
        <v>15</v>
      </c>
      <c r="H20">
        <v>1783703958.75</v>
      </c>
      <c r="I20">
        <f t="shared" si="0"/>
        <v>2.5602420512471848E-3</v>
      </c>
      <c r="J20">
        <f t="shared" si="1"/>
        <v>2.5602420512471848</v>
      </c>
      <c r="K20">
        <f t="shared" si="2"/>
        <v>38.187310507705824</v>
      </c>
      <c r="L20">
        <f t="shared" si="3"/>
        <v>419.40313333333341</v>
      </c>
      <c r="M20">
        <f t="shared" si="4"/>
        <v>98.060862702326716</v>
      </c>
      <c r="N20">
        <f t="shared" si="5"/>
        <v>9.5712475718806242</v>
      </c>
      <c r="O20">
        <f t="shared" si="6"/>
        <v>40.935915827513384</v>
      </c>
      <c r="P20">
        <f t="shared" si="7"/>
        <v>0.19979294684673662</v>
      </c>
      <c r="Q20">
        <f t="shared" si="8"/>
        <v>2.8851487884282472</v>
      </c>
      <c r="R20">
        <f t="shared" si="9"/>
        <v>0.19241264090763049</v>
      </c>
      <c r="S20">
        <f t="shared" si="10"/>
        <v>0.1208982776301003</v>
      </c>
      <c r="T20">
        <f t="shared" si="11"/>
        <v>255.91453535236914</v>
      </c>
      <c r="U20">
        <f t="shared" si="12"/>
        <v>28.601489075191566</v>
      </c>
      <c r="V20">
        <f t="shared" si="13"/>
        <v>27.555546666666672</v>
      </c>
      <c r="W20">
        <f t="shared" si="14"/>
        <v>3.697619286151578</v>
      </c>
      <c r="X20">
        <f t="shared" si="15"/>
        <v>65.248374780375542</v>
      </c>
      <c r="Y20">
        <f t="shared" si="16"/>
        <v>2.4397168067976684</v>
      </c>
      <c r="Z20">
        <f t="shared" si="17"/>
        <v>3.7391227214619471</v>
      </c>
      <c r="AA20">
        <f t="shared" si="18"/>
        <v>1.2579024793539095</v>
      </c>
      <c r="AB20">
        <f t="shared" si="19"/>
        <v>-112.90667446000084</v>
      </c>
      <c r="AC20">
        <f t="shared" si="20"/>
        <v>29.704264698766945</v>
      </c>
      <c r="AD20">
        <f t="shared" si="21"/>
        <v>2.2364023420525019</v>
      </c>
      <c r="AE20">
        <f t="shared" si="22"/>
        <v>174.94852793318776</v>
      </c>
      <c r="AF20">
        <f t="shared" si="23"/>
        <v>38.187310507705824</v>
      </c>
      <c r="AG20">
        <f t="shared" si="24"/>
        <v>2.5602420512471848</v>
      </c>
      <c r="AH20">
        <f t="shared" si="25"/>
        <v>38.316551211046679</v>
      </c>
      <c r="AI20">
        <v>477.1890055434522</v>
      </c>
      <c r="AJ20">
        <v>430.19624242424209</v>
      </c>
      <c r="AK20">
        <v>-4.3397938661768982E-3</v>
      </c>
      <c r="AL20">
        <v>67.013259884031342</v>
      </c>
      <c r="AM20">
        <f t="shared" si="26"/>
        <v>2.5741951766283337</v>
      </c>
      <c r="AN20">
        <v>21.98919775640459</v>
      </c>
      <c r="AO20">
        <v>25.004483636363631</v>
      </c>
      <c r="AP20">
        <v>-5.5933097847028442E-4</v>
      </c>
      <c r="AQ20">
        <v>78.176737275420422</v>
      </c>
      <c r="AR20">
        <v>0</v>
      </c>
      <c r="AS20">
        <v>0</v>
      </c>
      <c r="AT20">
        <f t="shared" si="27"/>
        <v>1</v>
      </c>
      <c r="AU20">
        <f t="shared" si="28"/>
        <v>0</v>
      </c>
      <c r="AV20">
        <f t="shared" si="29"/>
        <v>51423.590405937786</v>
      </c>
      <c r="AW20" t="s">
        <v>731</v>
      </c>
      <c r="AX20">
        <v>5102.38</v>
      </c>
      <c r="AY20">
        <v>567.49705882352941</v>
      </c>
      <c r="AZ20">
        <v>2458.08</v>
      </c>
      <c r="BA20">
        <f t="shared" si="30"/>
        <v>0.76912994742907903</v>
      </c>
      <c r="BB20">
        <v>-4.7837446069883294</v>
      </c>
      <c r="BC20" t="s">
        <v>747</v>
      </c>
      <c r="BD20">
        <v>5083.8</v>
      </c>
      <c r="BE20">
        <v>715.4245882352941</v>
      </c>
      <c r="BF20">
        <v>855.81</v>
      </c>
      <c r="BG20">
        <f t="shared" si="31"/>
        <v>0.16403805957479567</v>
      </c>
      <c r="BH20">
        <v>0.5</v>
      </c>
      <c r="BI20">
        <f t="shared" si="32"/>
        <v>1344.2921202862015</v>
      </c>
      <c r="BJ20">
        <f t="shared" si="33"/>
        <v>38.187310507705824</v>
      </c>
      <c r="BK20">
        <f t="shared" si="34"/>
        <v>110.25753545671814</v>
      </c>
      <c r="BL20">
        <f t="shared" si="35"/>
        <v>3.196556348596729E-2</v>
      </c>
      <c r="BM20">
        <f t="shared" si="36"/>
        <v>1.872226311915028</v>
      </c>
      <c r="BN20">
        <f t="shared" si="37"/>
        <v>396.23014838434364</v>
      </c>
      <c r="BO20" t="s">
        <v>407</v>
      </c>
      <c r="BP20">
        <v>0</v>
      </c>
      <c r="BQ20">
        <f t="shared" si="38"/>
        <v>396.23014838434364</v>
      </c>
      <c r="BR20">
        <f t="shared" si="39"/>
        <v>0.53701154650641647</v>
      </c>
      <c r="BS20">
        <f t="shared" si="40"/>
        <v>0.30546467881735878</v>
      </c>
      <c r="BT20">
        <f t="shared" si="41"/>
        <v>0.77710314295896388</v>
      </c>
      <c r="BU20">
        <f t="shared" si="42"/>
        <v>0.48692025821615398</v>
      </c>
      <c r="BV20">
        <f t="shared" si="43"/>
        <v>0.84750050637976271</v>
      </c>
      <c r="BW20">
        <f t="shared" si="44"/>
        <v>0.16917829915872459</v>
      </c>
      <c r="BX20">
        <f t="shared" si="45"/>
        <v>0.83082170084127538</v>
      </c>
      <c r="DG20">
        <f t="shared" si="46"/>
        <v>1600.006333333333</v>
      </c>
      <c r="DH20">
        <f t="shared" si="47"/>
        <v>1344.2921202862015</v>
      </c>
      <c r="DI20">
        <f t="shared" si="48"/>
        <v>0.84017924946934686</v>
      </c>
      <c r="DJ20">
        <f t="shared" si="49"/>
        <v>0.15994595147583948</v>
      </c>
      <c r="DK20">
        <v>6</v>
      </c>
      <c r="DL20">
        <v>0.5</v>
      </c>
      <c r="DM20" t="s">
        <v>408</v>
      </c>
      <c r="DN20">
        <v>2</v>
      </c>
      <c r="DO20" t="b">
        <v>0</v>
      </c>
      <c r="DP20">
        <v>1783703958.75</v>
      </c>
      <c r="DQ20">
        <v>419.40313333333341</v>
      </c>
      <c r="DR20">
        <v>466.51769999999999</v>
      </c>
      <c r="DS20">
        <v>24.995773333333339</v>
      </c>
      <c r="DT20">
        <v>22.000196666666671</v>
      </c>
      <c r="DU20">
        <v>425.25846666666678</v>
      </c>
      <c r="DV20">
        <v>25.427606666666669</v>
      </c>
      <c r="DW20">
        <v>499.98656666666659</v>
      </c>
      <c r="DX20">
        <v>97.55540666666667</v>
      </c>
      <c r="DY20">
        <v>4.976738666666667E-2</v>
      </c>
      <c r="DZ20">
        <v>27.746516666666661</v>
      </c>
      <c r="EA20">
        <v>27.555546666666672</v>
      </c>
      <c r="EB20">
        <v>999.9000000000002</v>
      </c>
      <c r="EC20">
        <v>0</v>
      </c>
      <c r="ED20">
        <v>0</v>
      </c>
      <c r="EE20">
        <v>9993.3333333333339</v>
      </c>
      <c r="EF20">
        <v>0</v>
      </c>
      <c r="EG20">
        <v>216.72329999999999</v>
      </c>
      <c r="EH20">
        <v>-47.114589999999993</v>
      </c>
      <c r="EI20">
        <v>430.15519999999998</v>
      </c>
      <c r="EJ20">
        <v>477.01209999999998</v>
      </c>
      <c r="EK20">
        <v>2.9955803333333328</v>
      </c>
      <c r="EL20">
        <v>466.51769999999999</v>
      </c>
      <c r="EM20">
        <v>22.000196666666671</v>
      </c>
      <c r="EN20">
        <v>2.4384746666666661</v>
      </c>
      <c r="EO20">
        <v>2.1462393333333329</v>
      </c>
      <c r="EP20">
        <v>20.62156666666667</v>
      </c>
      <c r="EQ20">
        <v>18.566563333333342</v>
      </c>
      <c r="ER20">
        <v>1600.006333333333</v>
      </c>
      <c r="ES20">
        <v>0.99400383333333342</v>
      </c>
      <c r="ET20">
        <v>5.9963653333333323E-3</v>
      </c>
      <c r="EU20">
        <v>0</v>
      </c>
      <c r="EV20">
        <v>715.36263333333341</v>
      </c>
      <c r="EW20">
        <v>5.0010700000000003</v>
      </c>
      <c r="EX20">
        <v>14422.88</v>
      </c>
      <c r="EY20">
        <v>14578.58666666667</v>
      </c>
      <c r="EZ20">
        <v>39.616599999999998</v>
      </c>
      <c r="FA20">
        <v>41.191199999999988</v>
      </c>
      <c r="FB20">
        <v>40.436999999999983</v>
      </c>
      <c r="FC20">
        <v>40.79133333333332</v>
      </c>
      <c r="FD20">
        <v>41.057866666666648</v>
      </c>
      <c r="FE20">
        <v>1585.443666666667</v>
      </c>
      <c r="FF20">
        <v>9.56</v>
      </c>
      <c r="FG20">
        <v>0</v>
      </c>
      <c r="FH20">
        <v>207.39999985694891</v>
      </c>
      <c r="FI20">
        <v>0</v>
      </c>
      <c r="FJ20">
        <v>715.4245882352941</v>
      </c>
      <c r="FK20">
        <v>2.9171568228232689</v>
      </c>
      <c r="FL20">
        <v>4601.51960138505</v>
      </c>
      <c r="FM20">
        <v>14491.911764705879</v>
      </c>
      <c r="FN20">
        <v>10</v>
      </c>
      <c r="FO20">
        <v>1783703865.5</v>
      </c>
      <c r="FP20" t="s">
        <v>748</v>
      </c>
      <c r="FQ20">
        <v>1783703865</v>
      </c>
      <c r="FR20">
        <v>1783703865.5</v>
      </c>
      <c r="FS20">
        <v>30</v>
      </c>
      <c r="FT20">
        <v>0.1</v>
      </c>
      <c r="FU20">
        <v>3.0000000000000001E-3</v>
      </c>
      <c r="FV20">
        <v>-6.0179999999999998</v>
      </c>
      <c r="FW20">
        <v>-0.50700000000000001</v>
      </c>
      <c r="FX20">
        <v>463</v>
      </c>
      <c r="FY20">
        <v>22</v>
      </c>
      <c r="FZ20">
        <v>0.16</v>
      </c>
      <c r="GA20">
        <v>0.13</v>
      </c>
      <c r="GB20">
        <v>419.4024193548388</v>
      </c>
      <c r="GC20">
        <v>0.79253225806388772</v>
      </c>
      <c r="GD20">
        <v>9.24001725293533E-2</v>
      </c>
      <c r="GE20">
        <v>-1</v>
      </c>
      <c r="GF20">
        <v>715.27988235294129</v>
      </c>
      <c r="GG20">
        <v>1.8652406359160461</v>
      </c>
      <c r="GH20">
        <v>0.30824109783490528</v>
      </c>
      <c r="GI20">
        <v>1</v>
      </c>
      <c r="GJ20">
        <v>2.9842170731707318</v>
      </c>
      <c r="GK20">
        <v>0.24575289198606781</v>
      </c>
      <c r="GL20">
        <v>2.44005916805413E-2</v>
      </c>
      <c r="GM20">
        <v>1</v>
      </c>
      <c r="GN20">
        <v>2</v>
      </c>
      <c r="GO20">
        <v>2</v>
      </c>
      <c r="GP20" t="s">
        <v>423</v>
      </c>
      <c r="GQ20">
        <v>3.1326900000000002</v>
      </c>
      <c r="GR20">
        <v>2.72506</v>
      </c>
      <c r="GS20">
        <v>9.1407600000000006E-2</v>
      </c>
      <c r="GT20">
        <v>9.8749000000000003E-2</v>
      </c>
      <c r="GU20">
        <v>0.116629</v>
      </c>
      <c r="GV20">
        <v>0.10553700000000001</v>
      </c>
      <c r="GW20">
        <v>22829.9</v>
      </c>
      <c r="GX20">
        <v>30394.799999999999</v>
      </c>
      <c r="GY20">
        <v>27250.7</v>
      </c>
      <c r="GZ20">
        <v>34671.5</v>
      </c>
      <c r="HA20">
        <v>35252.800000000003</v>
      </c>
      <c r="HB20">
        <v>39296</v>
      </c>
      <c r="HC20">
        <v>40243.4</v>
      </c>
      <c r="HD20">
        <v>44015.6</v>
      </c>
      <c r="HE20">
        <v>1.98</v>
      </c>
      <c r="HF20">
        <v>1.6981999999999999</v>
      </c>
      <c r="HG20">
        <v>5.8114500000000001E-3</v>
      </c>
      <c r="HH20">
        <v>0</v>
      </c>
      <c r="HI20">
        <v>27.464200000000002</v>
      </c>
      <c r="HJ20">
        <v>999.9</v>
      </c>
      <c r="HK20">
        <v>45.3</v>
      </c>
      <c r="HL20">
        <v>40.9</v>
      </c>
      <c r="HM20">
        <v>36.113799999999998</v>
      </c>
      <c r="HN20">
        <v>59.758600000000001</v>
      </c>
      <c r="HO20">
        <v>9.3389399999999991</v>
      </c>
      <c r="HP20">
        <v>1</v>
      </c>
      <c r="HQ20">
        <v>0.43353700000000001</v>
      </c>
      <c r="HR20">
        <v>2.3908499999999999</v>
      </c>
      <c r="HS20">
        <v>20.255199999999999</v>
      </c>
      <c r="HT20">
        <v>5.2100999999999997</v>
      </c>
      <c r="HU20">
        <v>11.908099999999999</v>
      </c>
      <c r="HV20">
        <v>4.9859999999999998</v>
      </c>
      <c r="HW20">
        <v>3.2707999999999999</v>
      </c>
      <c r="HX20">
        <v>9999</v>
      </c>
      <c r="HY20">
        <v>9999</v>
      </c>
      <c r="HZ20">
        <v>9999</v>
      </c>
      <c r="IA20">
        <v>999.9</v>
      </c>
      <c r="IB20">
        <v>1.86731</v>
      </c>
      <c r="IC20">
        <v>1.8629500000000001</v>
      </c>
      <c r="ID20">
        <v>1.86246</v>
      </c>
      <c r="IE20">
        <v>1.8619399999999999</v>
      </c>
      <c r="IF20">
        <v>1.8620000000000001</v>
      </c>
      <c r="IG20">
        <v>1.8625499999999999</v>
      </c>
      <c r="IH20">
        <v>1.8634299999999999</v>
      </c>
      <c r="II20">
        <v>1.8614200000000001</v>
      </c>
      <c r="IJ20">
        <v>0</v>
      </c>
      <c r="IK20">
        <v>0</v>
      </c>
      <c r="IL20">
        <v>0</v>
      </c>
      <c r="IM20">
        <v>4.5</v>
      </c>
      <c r="IN20" t="s">
        <v>411</v>
      </c>
      <c r="IO20" t="s">
        <v>412</v>
      </c>
      <c r="IP20" t="s">
        <v>413</v>
      </c>
      <c r="IQ20" t="s">
        <v>414</v>
      </c>
      <c r="IR20" t="s">
        <v>414</v>
      </c>
      <c r="IS20" t="s">
        <v>413</v>
      </c>
      <c r="IT20">
        <v>0</v>
      </c>
      <c r="IU20">
        <v>100</v>
      </c>
      <c r="IV20">
        <v>100</v>
      </c>
      <c r="IW20">
        <v>-5.8550000000000004</v>
      </c>
      <c r="IX20">
        <v>-0.43159999999999998</v>
      </c>
      <c r="IY20">
        <v>-3.8705052760204701</v>
      </c>
      <c r="IZ20">
        <v>-5.6215304933332991E-3</v>
      </c>
      <c r="JA20">
        <v>2.3979931213773931E-6</v>
      </c>
      <c r="JB20">
        <v>-3.6297174575716598E-10</v>
      </c>
      <c r="JC20">
        <v>-0.86400024128380526</v>
      </c>
      <c r="JD20">
        <v>2.7492919904454862E-4</v>
      </c>
      <c r="JE20">
        <v>8.6739513355948885E-4</v>
      </c>
      <c r="JF20">
        <v>-8.2500691715147318E-6</v>
      </c>
      <c r="JG20">
        <v>17</v>
      </c>
      <c r="JH20">
        <v>1914</v>
      </c>
      <c r="JI20">
        <v>2</v>
      </c>
      <c r="JJ20">
        <v>37</v>
      </c>
      <c r="JK20">
        <v>1.7</v>
      </c>
      <c r="JL20">
        <v>1.7</v>
      </c>
      <c r="JM20">
        <v>1.16333</v>
      </c>
      <c r="JN20">
        <v>2.5561500000000001</v>
      </c>
      <c r="JO20">
        <v>1.50024</v>
      </c>
      <c r="JP20">
        <v>2.2668499999999998</v>
      </c>
      <c r="JQ20">
        <v>1.4477500000000001</v>
      </c>
      <c r="JR20">
        <v>2.4328599999999998</v>
      </c>
      <c r="JS20">
        <v>43.209099999999999</v>
      </c>
      <c r="JT20">
        <v>14.385999999999999</v>
      </c>
      <c r="JU20">
        <v>18</v>
      </c>
      <c r="JV20">
        <v>544.56299999999999</v>
      </c>
      <c r="JW20">
        <v>381.392</v>
      </c>
      <c r="JX20">
        <v>25.050999999999998</v>
      </c>
      <c r="JY20">
        <v>32.635800000000003</v>
      </c>
      <c r="JZ20">
        <v>29.999400000000001</v>
      </c>
      <c r="KA20">
        <v>32.950600000000001</v>
      </c>
      <c r="KB20">
        <v>32.9711</v>
      </c>
      <c r="KC20">
        <v>23.273800000000001</v>
      </c>
      <c r="KD20">
        <v>42.844200000000001</v>
      </c>
      <c r="KE20">
        <v>0</v>
      </c>
      <c r="KF20">
        <v>25.05</v>
      </c>
      <c r="KG20">
        <v>467.041</v>
      </c>
      <c r="KH20">
        <v>21.901800000000001</v>
      </c>
      <c r="KI20">
        <v>100.577</v>
      </c>
      <c r="KJ20">
        <v>99.005099999999999</v>
      </c>
    </row>
    <row r="21" spans="1:296" x14ac:dyDescent="0.3">
      <c r="A21">
        <v>5</v>
      </c>
      <c r="B21">
        <v>1783704149</v>
      </c>
      <c r="C21">
        <v>918.90000009536743</v>
      </c>
      <c r="D21" t="s">
        <v>749</v>
      </c>
      <c r="E21" t="s">
        <v>750</v>
      </c>
      <c r="F21">
        <v>15</v>
      </c>
      <c r="H21">
        <v>1783704141.25</v>
      </c>
      <c r="I21">
        <f t="shared" si="0"/>
        <v>3.5489824847247365E-3</v>
      </c>
      <c r="J21">
        <f t="shared" si="1"/>
        <v>3.5489824847247364</v>
      </c>
      <c r="K21">
        <f t="shared" si="2"/>
        <v>49.931355090140094</v>
      </c>
      <c r="L21">
        <f t="shared" si="3"/>
        <v>419.61</v>
      </c>
      <c r="M21">
        <f t="shared" si="4"/>
        <v>103.51191484494402</v>
      </c>
      <c r="N21">
        <f t="shared" si="5"/>
        <v>10.103671081359963</v>
      </c>
      <c r="O21">
        <f t="shared" si="6"/>
        <v>40.957617572819295</v>
      </c>
      <c r="P21">
        <f t="shared" si="7"/>
        <v>0.26880680480767943</v>
      </c>
      <c r="Q21">
        <f t="shared" si="8"/>
        <v>2.8853935703995317</v>
      </c>
      <c r="R21">
        <f t="shared" si="9"/>
        <v>0.25562901151247114</v>
      </c>
      <c r="S21">
        <f t="shared" si="10"/>
        <v>0.16089825511525019</v>
      </c>
      <c r="T21">
        <f t="shared" si="11"/>
        <v>224.00764476721693</v>
      </c>
      <c r="U21">
        <f t="shared" si="12"/>
        <v>28.357346838746174</v>
      </c>
      <c r="V21">
        <f t="shared" si="13"/>
        <v>27.840633333333329</v>
      </c>
      <c r="W21">
        <f t="shared" si="14"/>
        <v>3.7597261693227391</v>
      </c>
      <c r="X21">
        <f t="shared" si="15"/>
        <v>64.673837789693849</v>
      </c>
      <c r="Y21">
        <f t="shared" si="16"/>
        <v>2.4476808849482627</v>
      </c>
      <c r="Z21">
        <f t="shared" si="17"/>
        <v>3.78465383932777</v>
      </c>
      <c r="AA21">
        <f t="shared" si="18"/>
        <v>1.3120452843744763</v>
      </c>
      <c r="AB21">
        <f t="shared" si="19"/>
        <v>-156.51012757636087</v>
      </c>
      <c r="AC21">
        <f t="shared" si="20"/>
        <v>17.619979694219079</v>
      </c>
      <c r="AD21">
        <f t="shared" si="21"/>
        <v>1.3297386811081524</v>
      </c>
      <c r="AE21">
        <f t="shared" si="22"/>
        <v>86.447235566183295</v>
      </c>
      <c r="AF21">
        <f t="shared" si="23"/>
        <v>49.931355090140094</v>
      </c>
      <c r="AG21">
        <f t="shared" si="24"/>
        <v>3.5489824847247364</v>
      </c>
      <c r="AH21">
        <f t="shared" si="25"/>
        <v>49.700922097321424</v>
      </c>
      <c r="AI21">
        <v>491.70173581954242</v>
      </c>
      <c r="AJ21">
        <v>430.6261696969695</v>
      </c>
      <c r="AK21">
        <v>3.1415461360837879E-2</v>
      </c>
      <c r="AL21">
        <v>67.013259884031342</v>
      </c>
      <c r="AM21">
        <f t="shared" si="26"/>
        <v>3.6561628802849384</v>
      </c>
      <c r="AN21">
        <v>21.00479349234147</v>
      </c>
      <c r="AO21">
        <v>25.213341212121211</v>
      </c>
      <c r="AP21">
        <v>1.114874030571922E-2</v>
      </c>
      <c r="AQ21">
        <v>78.176737275420422</v>
      </c>
      <c r="AR21">
        <v>0</v>
      </c>
      <c r="AS21">
        <v>0</v>
      </c>
      <c r="AT21">
        <f t="shared" si="27"/>
        <v>1</v>
      </c>
      <c r="AU21">
        <f t="shared" si="28"/>
        <v>0</v>
      </c>
      <c r="AV21">
        <f t="shared" si="29"/>
        <v>51395.177020406496</v>
      </c>
      <c r="AW21" t="s">
        <v>731</v>
      </c>
      <c r="AX21">
        <v>5102.38</v>
      </c>
      <c r="AY21">
        <v>567.49705882352941</v>
      </c>
      <c r="AZ21">
        <v>2458.08</v>
      </c>
      <c r="BA21">
        <f t="shared" si="30"/>
        <v>0.76912994742907903</v>
      </c>
      <c r="BB21">
        <v>-4.7837446069883294</v>
      </c>
      <c r="BC21" t="s">
        <v>751</v>
      </c>
      <c r="BD21">
        <v>5087.1899999999996</v>
      </c>
      <c r="BE21">
        <v>747.58147058823533</v>
      </c>
      <c r="BF21">
        <v>1006.21</v>
      </c>
      <c r="BG21">
        <f t="shared" si="31"/>
        <v>0.25703235846569272</v>
      </c>
      <c r="BH21">
        <v>0.5</v>
      </c>
      <c r="BI21">
        <f t="shared" si="32"/>
        <v>1176.3006797757594</v>
      </c>
      <c r="BJ21">
        <f t="shared" si="33"/>
        <v>49.931355090140094</v>
      </c>
      <c r="BK21">
        <f t="shared" si="34"/>
        <v>151.1736689937805</v>
      </c>
      <c r="BL21">
        <f t="shared" si="35"/>
        <v>4.6514552476122753E-2</v>
      </c>
      <c r="BM21">
        <f t="shared" si="36"/>
        <v>1.4429095318074754</v>
      </c>
      <c r="BN21">
        <f t="shared" si="37"/>
        <v>425.68943597014299</v>
      </c>
      <c r="BO21" t="s">
        <v>407</v>
      </c>
      <c r="BP21">
        <v>0</v>
      </c>
      <c r="BQ21">
        <f t="shared" si="38"/>
        <v>425.68943597014299</v>
      </c>
      <c r="BR21">
        <f t="shared" si="39"/>
        <v>0.5769377804134892</v>
      </c>
      <c r="BS21">
        <f t="shared" si="40"/>
        <v>0.44551140034802117</v>
      </c>
      <c r="BT21">
        <f t="shared" si="41"/>
        <v>0.71436564688688997</v>
      </c>
      <c r="BU21">
        <f t="shared" si="42"/>
        <v>0.58951652695317314</v>
      </c>
      <c r="BV21">
        <f t="shared" si="43"/>
        <v>0.76794832343961139</v>
      </c>
      <c r="BW21">
        <f t="shared" si="44"/>
        <v>0.25368405209828404</v>
      </c>
      <c r="BX21">
        <f t="shared" si="45"/>
        <v>0.74631594790171596</v>
      </c>
      <c r="DG21">
        <f t="shared" si="46"/>
        <v>1400.0086666666659</v>
      </c>
      <c r="DH21">
        <f t="shared" si="47"/>
        <v>1176.3006797757594</v>
      </c>
      <c r="DI21">
        <f t="shared" si="48"/>
        <v>0.84020956997106211</v>
      </c>
      <c r="DJ21">
        <f t="shared" si="49"/>
        <v>0.16000447004415</v>
      </c>
      <c r="DK21">
        <v>6</v>
      </c>
      <c r="DL21">
        <v>0.5</v>
      </c>
      <c r="DM21" t="s">
        <v>408</v>
      </c>
      <c r="DN21">
        <v>2</v>
      </c>
      <c r="DO21" t="b">
        <v>0</v>
      </c>
      <c r="DP21">
        <v>1783704141.25</v>
      </c>
      <c r="DQ21">
        <v>419.61</v>
      </c>
      <c r="DR21">
        <v>481.31033333333329</v>
      </c>
      <c r="DS21">
        <v>25.07644333333333</v>
      </c>
      <c r="DT21">
        <v>20.92475000000001</v>
      </c>
      <c r="DU21">
        <v>425.46613333333352</v>
      </c>
      <c r="DV21">
        <v>25.59644333333333</v>
      </c>
      <c r="DW21">
        <v>500.03499999999991</v>
      </c>
      <c r="DX21">
        <v>97.559373333333326</v>
      </c>
      <c r="DY21">
        <v>4.9400463333333318E-2</v>
      </c>
      <c r="DZ21">
        <v>27.953903333333329</v>
      </c>
      <c r="EA21">
        <v>27.840633333333329</v>
      </c>
      <c r="EB21">
        <v>999.9000000000002</v>
      </c>
      <c r="EC21">
        <v>0</v>
      </c>
      <c r="ED21">
        <v>0</v>
      </c>
      <c r="EE21">
        <v>9994.3333333333339</v>
      </c>
      <c r="EF21">
        <v>0</v>
      </c>
      <c r="EG21">
        <v>226.71896666666669</v>
      </c>
      <c r="EH21">
        <v>-61.70041333333333</v>
      </c>
      <c r="EI21">
        <v>430.44400000000002</v>
      </c>
      <c r="EJ21">
        <v>491.59696666666667</v>
      </c>
      <c r="EK21">
        <v>4.2446733333333331</v>
      </c>
      <c r="EL21">
        <v>481.31033333333329</v>
      </c>
      <c r="EM21">
        <v>20.92475000000001</v>
      </c>
      <c r="EN21">
        <v>2.4555129999999998</v>
      </c>
      <c r="EO21">
        <v>2.0414046666666672</v>
      </c>
      <c r="EP21">
        <v>20.734593333333329</v>
      </c>
      <c r="EQ21">
        <v>17.769106666666669</v>
      </c>
      <c r="ER21">
        <v>1400.0086666666659</v>
      </c>
      <c r="ES21">
        <v>0.99298999999999993</v>
      </c>
      <c r="ET21">
        <v>7.0098199999999999E-3</v>
      </c>
      <c r="EU21">
        <v>0</v>
      </c>
      <c r="EV21">
        <v>747.29299999999989</v>
      </c>
      <c r="EW21">
        <v>5.0010700000000003</v>
      </c>
      <c r="EX21">
        <v>14303.87</v>
      </c>
      <c r="EY21">
        <v>12745.55</v>
      </c>
      <c r="EZ21">
        <v>39.620800000000003</v>
      </c>
      <c r="FA21">
        <v>41.910133333333313</v>
      </c>
      <c r="FB21">
        <v>40.625</v>
      </c>
      <c r="FC21">
        <v>41.360300000000002</v>
      </c>
      <c r="FD21">
        <v>41.186999999999983</v>
      </c>
      <c r="FE21">
        <v>1385.2286666666671</v>
      </c>
      <c r="FF21">
        <v>9.7799999999999958</v>
      </c>
      <c r="FG21">
        <v>0</v>
      </c>
      <c r="FH21">
        <v>182.20000004768369</v>
      </c>
      <c r="FI21">
        <v>0</v>
      </c>
      <c r="FJ21">
        <v>747.58147058823533</v>
      </c>
      <c r="FK21">
        <v>5.5301470775659176</v>
      </c>
      <c r="FL21">
        <v>33.897058031307083</v>
      </c>
      <c r="FM21">
        <v>14307.07058823529</v>
      </c>
      <c r="FN21">
        <v>10</v>
      </c>
      <c r="FO21">
        <v>1783704175.5</v>
      </c>
      <c r="FP21" t="s">
        <v>752</v>
      </c>
      <c r="FQ21">
        <v>1783703865</v>
      </c>
      <c r="FR21">
        <v>1783704175.5</v>
      </c>
      <c r="FS21">
        <v>31</v>
      </c>
      <c r="FT21">
        <v>0.1</v>
      </c>
      <c r="FU21">
        <v>1.9E-2</v>
      </c>
      <c r="FV21">
        <v>-6.0179999999999998</v>
      </c>
      <c r="FW21">
        <v>-0.52</v>
      </c>
      <c r="FX21">
        <v>463</v>
      </c>
      <c r="FY21">
        <v>21</v>
      </c>
      <c r="FZ21">
        <v>0.16</v>
      </c>
      <c r="GA21">
        <v>7.0000000000000007E-2</v>
      </c>
      <c r="GB21">
        <v>419.58730000000003</v>
      </c>
      <c r="GC21">
        <v>1.276858731924245</v>
      </c>
      <c r="GD21">
        <v>0.1121428107370248</v>
      </c>
      <c r="GE21">
        <v>-1</v>
      </c>
      <c r="GF21">
        <v>746.88811764705872</v>
      </c>
      <c r="GG21">
        <v>6.0156760866463701</v>
      </c>
      <c r="GH21">
        <v>0.6301302743320325</v>
      </c>
      <c r="GI21">
        <v>1</v>
      </c>
      <c r="GJ21">
        <v>4.2585274999999996</v>
      </c>
      <c r="GK21">
        <v>-0.38379016885553408</v>
      </c>
      <c r="GL21">
        <v>5.2185335044914648E-2</v>
      </c>
      <c r="GM21">
        <v>1</v>
      </c>
      <c r="GN21">
        <v>2</v>
      </c>
      <c r="GO21">
        <v>2</v>
      </c>
      <c r="GP21" t="s">
        <v>423</v>
      </c>
      <c r="GQ21">
        <v>3.1308699999999998</v>
      </c>
      <c r="GR21">
        <v>2.7260599999999999</v>
      </c>
      <c r="GS21">
        <v>9.1483200000000001E-2</v>
      </c>
      <c r="GT21">
        <v>0.10106800000000001</v>
      </c>
      <c r="GU21">
        <v>0.11734600000000001</v>
      </c>
      <c r="GV21">
        <v>0.102231</v>
      </c>
      <c r="GW21">
        <v>22829.3</v>
      </c>
      <c r="GX21">
        <v>30320.6</v>
      </c>
      <c r="GY21">
        <v>27251.8</v>
      </c>
      <c r="GZ21">
        <v>34675.599999999999</v>
      </c>
      <c r="HA21">
        <v>35225</v>
      </c>
      <c r="HB21">
        <v>39443.699999999997</v>
      </c>
      <c r="HC21">
        <v>40245.1</v>
      </c>
      <c r="HD21">
        <v>44017.9</v>
      </c>
      <c r="HE21">
        <v>1.9810000000000001</v>
      </c>
      <c r="HF21">
        <v>1.7021999999999999</v>
      </c>
      <c r="HG21">
        <v>-2.57194E-2</v>
      </c>
      <c r="HH21">
        <v>0</v>
      </c>
      <c r="HI21">
        <v>28.258800000000001</v>
      </c>
      <c r="HJ21">
        <v>999.9</v>
      </c>
      <c r="HK21">
        <v>44.8</v>
      </c>
      <c r="HL21">
        <v>40.700000000000003</v>
      </c>
      <c r="HM21">
        <v>35.335799999999999</v>
      </c>
      <c r="HN21">
        <v>59.518599999999999</v>
      </c>
      <c r="HO21">
        <v>9.5673100000000009</v>
      </c>
      <c r="HP21">
        <v>1</v>
      </c>
      <c r="HQ21">
        <v>0.42898399999999998</v>
      </c>
      <c r="HR21">
        <v>2.7163599999999999</v>
      </c>
      <c r="HS21">
        <v>20.2529</v>
      </c>
      <c r="HT21">
        <v>5.2100999999999997</v>
      </c>
      <c r="HU21">
        <v>11.908099999999999</v>
      </c>
      <c r="HV21">
        <v>4.984</v>
      </c>
      <c r="HW21">
        <v>3.2709999999999999</v>
      </c>
      <c r="HX21">
        <v>9999</v>
      </c>
      <c r="HY21">
        <v>9999</v>
      </c>
      <c r="HZ21">
        <v>9999</v>
      </c>
      <c r="IA21">
        <v>999.9</v>
      </c>
      <c r="IB21">
        <v>1.86734</v>
      </c>
      <c r="IC21">
        <v>1.8629500000000001</v>
      </c>
      <c r="ID21">
        <v>1.86246</v>
      </c>
      <c r="IE21">
        <v>1.8620000000000001</v>
      </c>
      <c r="IF21">
        <v>1.8620000000000001</v>
      </c>
      <c r="IG21">
        <v>1.8626400000000001</v>
      </c>
      <c r="IH21">
        <v>1.8634299999999999</v>
      </c>
      <c r="II21">
        <v>1.8614200000000001</v>
      </c>
      <c r="IJ21">
        <v>0</v>
      </c>
      <c r="IK21">
        <v>0</v>
      </c>
      <c r="IL21">
        <v>0</v>
      </c>
      <c r="IM21">
        <v>4.5</v>
      </c>
      <c r="IN21" t="s">
        <v>411</v>
      </c>
      <c r="IO21" t="s">
        <v>412</v>
      </c>
      <c r="IP21" t="s">
        <v>413</v>
      </c>
      <c r="IQ21" t="s">
        <v>414</v>
      </c>
      <c r="IR21" t="s">
        <v>414</v>
      </c>
      <c r="IS21" t="s">
        <v>413</v>
      </c>
      <c r="IT21">
        <v>0</v>
      </c>
      <c r="IU21">
        <v>100</v>
      </c>
      <c r="IV21">
        <v>100</v>
      </c>
      <c r="IW21">
        <v>-5.8570000000000002</v>
      </c>
      <c r="IX21">
        <v>-0.52</v>
      </c>
      <c r="IY21">
        <v>-3.8705052760204701</v>
      </c>
      <c r="IZ21">
        <v>-5.6215304933332991E-3</v>
      </c>
      <c r="JA21">
        <v>2.3979931213773931E-6</v>
      </c>
      <c r="JB21">
        <v>-3.6297174575716598E-10</v>
      </c>
      <c r="JC21">
        <v>-0.86400024128380526</v>
      </c>
      <c r="JD21">
        <v>2.7492919904454862E-4</v>
      </c>
      <c r="JE21">
        <v>8.6739513355948885E-4</v>
      </c>
      <c r="JF21">
        <v>-8.2500691715147318E-6</v>
      </c>
      <c r="JG21">
        <v>17</v>
      </c>
      <c r="JH21">
        <v>1914</v>
      </c>
      <c r="JI21">
        <v>2</v>
      </c>
      <c r="JJ21">
        <v>37</v>
      </c>
      <c r="JK21">
        <v>4.7</v>
      </c>
      <c r="JL21">
        <v>4.7</v>
      </c>
      <c r="JM21">
        <v>1.1926300000000001</v>
      </c>
      <c r="JN21">
        <v>2.5598100000000001</v>
      </c>
      <c r="JO21">
        <v>1.50024</v>
      </c>
      <c r="JP21">
        <v>2.2680699999999998</v>
      </c>
      <c r="JQ21">
        <v>1.4477500000000001</v>
      </c>
      <c r="JR21">
        <v>2.3901400000000002</v>
      </c>
      <c r="JS21">
        <v>43.155000000000001</v>
      </c>
      <c r="JT21">
        <v>14.3422</v>
      </c>
      <c r="JU21">
        <v>18</v>
      </c>
      <c r="JV21">
        <v>543.76199999999994</v>
      </c>
      <c r="JW21">
        <v>382.63400000000001</v>
      </c>
      <c r="JX21">
        <v>25.052299999999999</v>
      </c>
      <c r="JY21">
        <v>32.540500000000002</v>
      </c>
      <c r="JZ21">
        <v>30.000299999999999</v>
      </c>
      <c r="KA21">
        <v>32.776899999999998</v>
      </c>
      <c r="KB21">
        <v>32.803800000000003</v>
      </c>
      <c r="KC21">
        <v>23.848700000000001</v>
      </c>
      <c r="KD21">
        <v>43.999200000000002</v>
      </c>
      <c r="KE21">
        <v>0</v>
      </c>
      <c r="KF21">
        <v>25.05</v>
      </c>
      <c r="KG21">
        <v>481.55799999999999</v>
      </c>
      <c r="KH21">
        <v>20.917100000000001</v>
      </c>
      <c r="KI21">
        <v>100.581</v>
      </c>
      <c r="KJ21">
        <v>99.013099999999994</v>
      </c>
    </row>
    <row r="22" spans="1:296" x14ac:dyDescent="0.3">
      <c r="A22">
        <v>6</v>
      </c>
      <c r="B22">
        <v>1783704356.5</v>
      </c>
      <c r="C22">
        <v>1126.400000095367</v>
      </c>
      <c r="D22" t="s">
        <v>753</v>
      </c>
      <c r="E22" t="s">
        <v>754</v>
      </c>
      <c r="F22">
        <v>15</v>
      </c>
      <c r="H22">
        <v>1783704348.5</v>
      </c>
      <c r="I22">
        <f t="shared" si="0"/>
        <v>3.5037249185550148E-3</v>
      </c>
      <c r="J22">
        <f t="shared" si="1"/>
        <v>3.5037249185550148</v>
      </c>
      <c r="K22">
        <f t="shared" si="2"/>
        <v>45.71972188379651</v>
      </c>
      <c r="L22">
        <f t="shared" si="3"/>
        <v>420.13719354838707</v>
      </c>
      <c r="M22">
        <f t="shared" si="4"/>
        <v>124.26085801278809</v>
      </c>
      <c r="N22">
        <f t="shared" si="5"/>
        <v>12.128120076963326</v>
      </c>
      <c r="O22">
        <f t="shared" si="6"/>
        <v>41.006270306203966</v>
      </c>
      <c r="P22">
        <f t="shared" si="7"/>
        <v>0.26332076239881474</v>
      </c>
      <c r="Q22">
        <f t="shared" si="8"/>
        <v>2.8837060277298003</v>
      </c>
      <c r="R22">
        <f t="shared" si="9"/>
        <v>0.25065473487554318</v>
      </c>
      <c r="S22">
        <f t="shared" si="10"/>
        <v>0.15774641898528829</v>
      </c>
      <c r="T22">
        <f t="shared" si="11"/>
        <v>160.17701351221442</v>
      </c>
      <c r="U22">
        <f t="shared" si="12"/>
        <v>28.04019656486031</v>
      </c>
      <c r="V22">
        <f t="shared" si="13"/>
        <v>27.924761290322579</v>
      </c>
      <c r="W22">
        <f t="shared" si="14"/>
        <v>3.778226724691474</v>
      </c>
      <c r="X22">
        <f t="shared" si="15"/>
        <v>64.735056210312919</v>
      </c>
      <c r="Y22">
        <f t="shared" si="16"/>
        <v>2.4574985937641736</v>
      </c>
      <c r="Z22">
        <f t="shared" si="17"/>
        <v>3.7962407660235726</v>
      </c>
      <c r="AA22">
        <f t="shared" si="18"/>
        <v>1.3207281309273005</v>
      </c>
      <c r="AB22">
        <f t="shared" si="19"/>
        <v>-154.51426890827616</v>
      </c>
      <c r="AC22">
        <f t="shared" si="20"/>
        <v>12.681541384880305</v>
      </c>
      <c r="AD22">
        <f t="shared" si="21"/>
        <v>0.95825836874951742</v>
      </c>
      <c r="AE22">
        <f t="shared" si="22"/>
        <v>19.302544357568067</v>
      </c>
      <c r="AF22">
        <f t="shared" si="23"/>
        <v>45.71972188379651</v>
      </c>
      <c r="AG22">
        <f t="shared" si="24"/>
        <v>3.5037249185550148</v>
      </c>
      <c r="AH22">
        <f t="shared" si="25"/>
        <v>45.555006917750816</v>
      </c>
      <c r="AI22">
        <v>486.8530214186041</v>
      </c>
      <c r="AJ22">
        <v>431.01980606060607</v>
      </c>
      <c r="AK22">
        <v>-1.3901948084336019E-3</v>
      </c>
      <c r="AL22">
        <v>67.018643389566094</v>
      </c>
      <c r="AM22">
        <f t="shared" si="26"/>
        <v>3.4948091613148433</v>
      </c>
      <c r="AN22">
        <v>21.077000672034629</v>
      </c>
      <c r="AO22">
        <v>25.165116363636361</v>
      </c>
      <c r="AP22">
        <v>-1.324854455821576E-5</v>
      </c>
      <c r="AQ22">
        <v>78.55</v>
      </c>
      <c r="AR22">
        <v>0</v>
      </c>
      <c r="AS22">
        <v>0</v>
      </c>
      <c r="AT22">
        <f t="shared" si="27"/>
        <v>1</v>
      </c>
      <c r="AU22">
        <f t="shared" si="28"/>
        <v>0</v>
      </c>
      <c r="AV22">
        <f t="shared" si="29"/>
        <v>51338.237759571559</v>
      </c>
      <c r="AW22" t="s">
        <v>731</v>
      </c>
      <c r="AX22">
        <v>5102.38</v>
      </c>
      <c r="AY22">
        <v>567.49705882352941</v>
      </c>
      <c r="AZ22">
        <v>2458.08</v>
      </c>
      <c r="BA22">
        <f t="shared" si="30"/>
        <v>0.76912994742907903</v>
      </c>
      <c r="BB22">
        <v>-4.7837446069883294</v>
      </c>
      <c r="BC22" t="s">
        <v>755</v>
      </c>
      <c r="BD22">
        <v>5090.32</v>
      </c>
      <c r="BE22">
        <v>779.55052941176473</v>
      </c>
      <c r="BF22">
        <v>1253.26</v>
      </c>
      <c r="BG22">
        <f t="shared" si="31"/>
        <v>0.37798179993635417</v>
      </c>
      <c r="BH22">
        <v>0.5</v>
      </c>
      <c r="BI22">
        <f t="shared" si="32"/>
        <v>840.30053420154854</v>
      </c>
      <c r="BJ22">
        <f t="shared" si="33"/>
        <v>45.71972188379651</v>
      </c>
      <c r="BK22">
        <f t="shared" si="34"/>
        <v>158.80915420249062</v>
      </c>
      <c r="BL22">
        <f t="shared" si="35"/>
        <v>6.0101671289276411E-2</v>
      </c>
      <c r="BM22">
        <f t="shared" si="36"/>
        <v>0.96134880232354014</v>
      </c>
      <c r="BN22">
        <f t="shared" si="37"/>
        <v>464.42048800212717</v>
      </c>
      <c r="BO22" t="s">
        <v>407</v>
      </c>
      <c r="BP22">
        <v>0</v>
      </c>
      <c r="BQ22">
        <f t="shared" si="38"/>
        <v>464.42048800212717</v>
      </c>
      <c r="BR22">
        <f t="shared" si="39"/>
        <v>0.62943005601221835</v>
      </c>
      <c r="BS22">
        <f t="shared" si="40"/>
        <v>0.60051438015380831</v>
      </c>
      <c r="BT22">
        <f t="shared" si="41"/>
        <v>0.6043258604337276</v>
      </c>
      <c r="BU22">
        <f t="shared" si="42"/>
        <v>0.69077729656192288</v>
      </c>
      <c r="BV22">
        <f t="shared" si="43"/>
        <v>0.63727434208745448</v>
      </c>
      <c r="BW22">
        <f t="shared" si="44"/>
        <v>0.35775895334683822</v>
      </c>
      <c r="BX22">
        <f t="shared" si="45"/>
        <v>0.64224104665316184</v>
      </c>
      <c r="DG22">
        <f t="shared" si="46"/>
        <v>1000.0020645161291</v>
      </c>
      <c r="DH22">
        <f t="shared" si="47"/>
        <v>840.30053420154854</v>
      </c>
      <c r="DI22">
        <f t="shared" si="48"/>
        <v>0.84029879939112395</v>
      </c>
      <c r="DJ22">
        <f t="shared" si="49"/>
        <v>0.16017668282486922</v>
      </c>
      <c r="DK22">
        <v>6</v>
      </c>
      <c r="DL22">
        <v>0.5</v>
      </c>
      <c r="DM22" t="s">
        <v>408</v>
      </c>
      <c r="DN22">
        <v>2</v>
      </c>
      <c r="DO22" t="b">
        <v>0</v>
      </c>
      <c r="DP22">
        <v>1783704348.5</v>
      </c>
      <c r="DQ22">
        <v>420.13719354838707</v>
      </c>
      <c r="DR22">
        <v>476.7645483870968</v>
      </c>
      <c r="DS22">
        <v>25.178748387096778</v>
      </c>
      <c r="DT22">
        <v>21.080341935483869</v>
      </c>
      <c r="DU22">
        <v>425.97506451612901</v>
      </c>
      <c r="DV22">
        <v>25.588819354838719</v>
      </c>
      <c r="DW22">
        <v>500.02441935483881</v>
      </c>
      <c r="DX22">
        <v>97.551135483870965</v>
      </c>
      <c r="DY22">
        <v>5.0959583870967752E-2</v>
      </c>
      <c r="DZ22">
        <v>28.006332258064521</v>
      </c>
      <c r="EA22">
        <v>27.924761290322579</v>
      </c>
      <c r="EB22">
        <v>999.90000000000032</v>
      </c>
      <c r="EC22">
        <v>0</v>
      </c>
      <c r="ED22">
        <v>0</v>
      </c>
      <c r="EE22">
        <v>9985.4838709677424</v>
      </c>
      <c r="EF22">
        <v>0</v>
      </c>
      <c r="EG22">
        <v>339.89264516129032</v>
      </c>
      <c r="EH22">
        <v>-56.627345161290307</v>
      </c>
      <c r="EI22">
        <v>430.98896774193548</v>
      </c>
      <c r="EJ22">
        <v>487.03129032258062</v>
      </c>
      <c r="EK22">
        <v>4.0984067741935482</v>
      </c>
      <c r="EL22">
        <v>476.7645483870968</v>
      </c>
      <c r="EM22">
        <v>21.080341935483869</v>
      </c>
      <c r="EN22">
        <v>2.456214516129033</v>
      </c>
      <c r="EO22">
        <v>2.056411935483871</v>
      </c>
      <c r="EP22">
        <v>20.739232258064519</v>
      </c>
      <c r="EQ22">
        <v>17.885503225806449</v>
      </c>
      <c r="ER22">
        <v>1000.0020645161291</v>
      </c>
      <c r="ES22">
        <v>0.989989064516129</v>
      </c>
      <c r="ET22">
        <v>1.001064516129032E-2</v>
      </c>
      <c r="EU22">
        <v>0</v>
      </c>
      <c r="EV22">
        <v>779.57093548387104</v>
      </c>
      <c r="EW22">
        <v>5.0010700000000003</v>
      </c>
      <c r="EX22">
        <v>11766.812903225809</v>
      </c>
      <c r="EY22">
        <v>9080.2554838709675</v>
      </c>
      <c r="EZ22">
        <v>39.45325806451612</v>
      </c>
      <c r="FA22">
        <v>42.5</v>
      </c>
      <c r="FB22">
        <v>40.875</v>
      </c>
      <c r="FC22">
        <v>41.936999999999983</v>
      </c>
      <c r="FD22">
        <v>41.25</v>
      </c>
      <c r="FE22">
        <v>985.04096774193533</v>
      </c>
      <c r="FF22">
        <v>9.9599999999999973</v>
      </c>
      <c r="FG22">
        <v>0</v>
      </c>
      <c r="FH22">
        <v>207</v>
      </c>
      <c r="FI22">
        <v>0</v>
      </c>
      <c r="FJ22">
        <v>779.55052941176473</v>
      </c>
      <c r="FK22">
        <v>-0.65245093996972303</v>
      </c>
      <c r="FL22">
        <v>796.91175380404763</v>
      </c>
      <c r="FM22">
        <v>11764.85882352941</v>
      </c>
      <c r="FN22">
        <v>10</v>
      </c>
      <c r="FO22">
        <v>1783704256</v>
      </c>
      <c r="FP22" t="s">
        <v>756</v>
      </c>
      <c r="FQ22">
        <v>1783704245.5</v>
      </c>
      <c r="FR22">
        <v>1783704256</v>
      </c>
      <c r="FS22">
        <v>32</v>
      </c>
      <c r="FT22">
        <v>0.02</v>
      </c>
      <c r="FU22">
        <v>-2E-3</v>
      </c>
      <c r="FV22">
        <v>-6.0510000000000002</v>
      </c>
      <c r="FW22">
        <v>-0.51900000000000002</v>
      </c>
      <c r="FX22">
        <v>478</v>
      </c>
      <c r="FY22">
        <v>21</v>
      </c>
      <c r="FZ22">
        <v>0.1</v>
      </c>
      <c r="GA22">
        <v>7.0000000000000007E-2</v>
      </c>
      <c r="GB22">
        <v>420.13719354838707</v>
      </c>
      <c r="GC22">
        <v>0.69116129032214413</v>
      </c>
      <c r="GD22">
        <v>8.7050381909757543E-2</v>
      </c>
      <c r="GE22">
        <v>-1</v>
      </c>
      <c r="GF22">
        <v>779.51191176470581</v>
      </c>
      <c r="GG22">
        <v>0.279404127392617</v>
      </c>
      <c r="GH22">
        <v>0.24570048333011321</v>
      </c>
      <c r="GI22">
        <v>1</v>
      </c>
      <c r="GJ22">
        <v>4.101613414634147</v>
      </c>
      <c r="GK22">
        <v>-6.7833449477347735E-2</v>
      </c>
      <c r="GL22">
        <v>7.7048903095201376E-3</v>
      </c>
      <c r="GM22">
        <v>1</v>
      </c>
      <c r="GN22">
        <v>2</v>
      </c>
      <c r="GO22">
        <v>2</v>
      </c>
      <c r="GP22" t="s">
        <v>423</v>
      </c>
      <c r="GQ22">
        <v>3.13157</v>
      </c>
      <c r="GR22">
        <v>2.72668</v>
      </c>
      <c r="GS22">
        <v>9.1519100000000006E-2</v>
      </c>
      <c r="GT22">
        <v>0.100299</v>
      </c>
      <c r="GU22">
        <v>0.11708300000000001</v>
      </c>
      <c r="GV22">
        <v>0.102437</v>
      </c>
      <c r="GW22">
        <v>22818.5</v>
      </c>
      <c r="GX22">
        <v>30332.6</v>
      </c>
      <c r="GY22">
        <v>27241.200000000001</v>
      </c>
      <c r="GZ22">
        <v>34661.5</v>
      </c>
      <c r="HA22">
        <v>35223.9</v>
      </c>
      <c r="HB22">
        <v>39421.9</v>
      </c>
      <c r="HC22">
        <v>40230.300000000003</v>
      </c>
      <c r="HD22">
        <v>44003.199999999997</v>
      </c>
      <c r="HE22">
        <v>1.978</v>
      </c>
      <c r="HF22">
        <v>1.7012</v>
      </c>
      <c r="HG22">
        <v>-4.72367E-2</v>
      </c>
      <c r="HH22">
        <v>0</v>
      </c>
      <c r="HI22">
        <v>28.704999999999998</v>
      </c>
      <c r="HJ22">
        <v>999.9</v>
      </c>
      <c r="HK22">
        <v>44.5</v>
      </c>
      <c r="HL22">
        <v>40.700000000000003</v>
      </c>
      <c r="HM22">
        <v>35.104799999999997</v>
      </c>
      <c r="HN22">
        <v>59.848599999999998</v>
      </c>
      <c r="HO22">
        <v>9.0905500000000004</v>
      </c>
      <c r="HP22">
        <v>1</v>
      </c>
      <c r="HQ22">
        <v>0.45288600000000001</v>
      </c>
      <c r="HR22">
        <v>3.02129</v>
      </c>
      <c r="HS22">
        <v>20.2499</v>
      </c>
      <c r="HT22">
        <v>5.2088999999999999</v>
      </c>
      <c r="HU22">
        <v>11.908099999999999</v>
      </c>
      <c r="HV22">
        <v>4.984</v>
      </c>
      <c r="HW22">
        <v>3.2704</v>
      </c>
      <c r="HX22">
        <v>9999</v>
      </c>
      <c r="HY22">
        <v>9999</v>
      </c>
      <c r="HZ22">
        <v>9999</v>
      </c>
      <c r="IA22">
        <v>999.9</v>
      </c>
      <c r="IB22">
        <v>1.86737</v>
      </c>
      <c r="IC22">
        <v>1.8629500000000001</v>
      </c>
      <c r="ID22">
        <v>1.86249</v>
      </c>
      <c r="IE22">
        <v>1.8620300000000001</v>
      </c>
      <c r="IF22">
        <v>1.8620300000000001</v>
      </c>
      <c r="IG22">
        <v>1.8626400000000001</v>
      </c>
      <c r="IH22">
        <v>1.8635299999999999</v>
      </c>
      <c r="II22">
        <v>1.86145</v>
      </c>
      <c r="IJ22">
        <v>0</v>
      </c>
      <c r="IK22">
        <v>0</v>
      </c>
      <c r="IL22">
        <v>0</v>
      </c>
      <c r="IM22">
        <v>4.5</v>
      </c>
      <c r="IN22" t="s">
        <v>411</v>
      </c>
      <c r="IO22" t="s">
        <v>412</v>
      </c>
      <c r="IP22" t="s">
        <v>413</v>
      </c>
      <c r="IQ22" t="s">
        <v>414</v>
      </c>
      <c r="IR22" t="s">
        <v>414</v>
      </c>
      <c r="IS22" t="s">
        <v>413</v>
      </c>
      <c r="IT22">
        <v>0</v>
      </c>
      <c r="IU22">
        <v>100</v>
      </c>
      <c r="IV22">
        <v>100</v>
      </c>
      <c r="IW22">
        <v>-5.8380000000000001</v>
      </c>
      <c r="IX22">
        <v>-0.41039999999999999</v>
      </c>
      <c r="IY22">
        <v>-3.850307503185328</v>
      </c>
      <c r="IZ22">
        <v>-5.6215304933332991E-3</v>
      </c>
      <c r="JA22">
        <v>2.3979931213773931E-6</v>
      </c>
      <c r="JB22">
        <v>-3.6297174575716598E-10</v>
      </c>
      <c r="JC22">
        <v>-0.84683929250739531</v>
      </c>
      <c r="JD22">
        <v>2.7492919904454862E-4</v>
      </c>
      <c r="JE22">
        <v>8.6739513355948885E-4</v>
      </c>
      <c r="JF22">
        <v>-8.2500691715147318E-6</v>
      </c>
      <c r="JG22">
        <v>17</v>
      </c>
      <c r="JH22">
        <v>1914</v>
      </c>
      <c r="JI22">
        <v>2</v>
      </c>
      <c r="JJ22">
        <v>37</v>
      </c>
      <c r="JK22">
        <v>1.9</v>
      </c>
      <c r="JL22">
        <v>1.7</v>
      </c>
      <c r="JM22">
        <v>1.18164</v>
      </c>
      <c r="JN22">
        <v>2.5512700000000001</v>
      </c>
      <c r="JO22">
        <v>1.50024</v>
      </c>
      <c r="JP22">
        <v>2.2680699999999998</v>
      </c>
      <c r="JQ22">
        <v>1.4477500000000001</v>
      </c>
      <c r="JR22">
        <v>2.4572799999999999</v>
      </c>
      <c r="JS22">
        <v>43.480800000000002</v>
      </c>
      <c r="JT22">
        <v>14.333399999999999</v>
      </c>
      <c r="JU22">
        <v>18</v>
      </c>
      <c r="JV22">
        <v>543.01099999999997</v>
      </c>
      <c r="JW22">
        <v>382.87200000000001</v>
      </c>
      <c r="JX22">
        <v>25.050999999999998</v>
      </c>
      <c r="JY22">
        <v>32.813200000000002</v>
      </c>
      <c r="JZ22">
        <v>30.000399999999999</v>
      </c>
      <c r="KA22">
        <v>32.924500000000002</v>
      </c>
      <c r="KB22">
        <v>32.936399999999999</v>
      </c>
      <c r="KC22">
        <v>23.639700000000001</v>
      </c>
      <c r="KD22">
        <v>43.738799999999998</v>
      </c>
      <c r="KE22">
        <v>0</v>
      </c>
      <c r="KF22">
        <v>25.05</v>
      </c>
      <c r="KG22">
        <v>476.54700000000003</v>
      </c>
      <c r="KH22">
        <v>21.109300000000001</v>
      </c>
      <c r="KI22">
        <v>100.54300000000001</v>
      </c>
      <c r="KJ22">
        <v>98.977000000000004</v>
      </c>
    </row>
    <row r="23" spans="1:296" x14ac:dyDescent="0.3">
      <c r="A23">
        <v>7</v>
      </c>
      <c r="B23">
        <v>1783704539</v>
      </c>
      <c r="C23">
        <v>1308.900000095367</v>
      </c>
      <c r="D23" t="s">
        <v>757</v>
      </c>
      <c r="E23" t="s">
        <v>758</v>
      </c>
      <c r="F23">
        <v>15</v>
      </c>
      <c r="H23">
        <v>1783704531</v>
      </c>
      <c r="I23">
        <f t="shared" si="0"/>
        <v>3.0448398079983788E-3</v>
      </c>
      <c r="J23">
        <f t="shared" si="1"/>
        <v>3.0448398079983789</v>
      </c>
      <c r="K23">
        <f t="shared" si="2"/>
        <v>40.527858204134709</v>
      </c>
      <c r="L23">
        <f t="shared" si="3"/>
        <v>420.05903225806441</v>
      </c>
      <c r="M23">
        <f t="shared" si="4"/>
        <v>118.1795206594948</v>
      </c>
      <c r="N23">
        <f t="shared" si="5"/>
        <v>11.535035180023215</v>
      </c>
      <c r="O23">
        <f t="shared" si="6"/>
        <v>41.000299271344097</v>
      </c>
      <c r="P23">
        <f t="shared" si="7"/>
        <v>0.22732978415062405</v>
      </c>
      <c r="Q23">
        <f t="shared" si="8"/>
        <v>2.8873026813271885</v>
      </c>
      <c r="R23">
        <f t="shared" si="9"/>
        <v>0.21783367485318164</v>
      </c>
      <c r="S23">
        <f t="shared" si="10"/>
        <v>0.13696617922576509</v>
      </c>
      <c r="T23">
        <f t="shared" si="11"/>
        <v>128.27842191186255</v>
      </c>
      <c r="U23">
        <f t="shared" si="12"/>
        <v>27.915174582052352</v>
      </c>
      <c r="V23">
        <f t="shared" si="13"/>
        <v>27.910883870967751</v>
      </c>
      <c r="W23">
        <f t="shared" si="14"/>
        <v>3.7751694859964298</v>
      </c>
      <c r="X23">
        <f t="shared" si="15"/>
        <v>64.861992105712019</v>
      </c>
      <c r="Y23">
        <f t="shared" si="16"/>
        <v>2.4543876619858342</v>
      </c>
      <c r="Z23">
        <f t="shared" si="17"/>
        <v>3.7840152334292716</v>
      </c>
      <c r="AA23">
        <f t="shared" si="18"/>
        <v>1.3207818240105955</v>
      </c>
      <c r="AB23">
        <f t="shared" si="19"/>
        <v>-134.2774355327285</v>
      </c>
      <c r="AC23">
        <f t="shared" si="20"/>
        <v>6.2459935514651699</v>
      </c>
      <c r="AD23">
        <f t="shared" si="21"/>
        <v>0.47121703422366701</v>
      </c>
      <c r="AE23">
        <f t="shared" si="22"/>
        <v>0.71819696482287387</v>
      </c>
      <c r="AF23">
        <f t="shared" si="23"/>
        <v>40.527858204134709</v>
      </c>
      <c r="AG23">
        <f t="shared" si="24"/>
        <v>3.0448398079983789</v>
      </c>
      <c r="AH23">
        <f t="shared" si="25"/>
        <v>40.583966657545673</v>
      </c>
      <c r="AI23">
        <v>480.41796147569892</v>
      </c>
      <c r="AJ23">
        <v>430.83164242424249</v>
      </c>
      <c r="AK23">
        <v>-3.5580207491678228E-2</v>
      </c>
      <c r="AL23">
        <v>67.073462684670304</v>
      </c>
      <c r="AM23">
        <f t="shared" si="26"/>
        <v>3.0348801624857291</v>
      </c>
      <c r="AN23">
        <v>21.578399756450231</v>
      </c>
      <c r="AO23">
        <v>25.129593333333322</v>
      </c>
      <c r="AP23">
        <v>-1.724502164501033E-4</v>
      </c>
      <c r="AQ23">
        <v>78.55</v>
      </c>
      <c r="AR23">
        <v>0</v>
      </c>
      <c r="AS23">
        <v>0</v>
      </c>
      <c r="AT23">
        <f t="shared" si="27"/>
        <v>1</v>
      </c>
      <c r="AU23">
        <f t="shared" si="28"/>
        <v>0</v>
      </c>
      <c r="AV23">
        <f t="shared" si="29"/>
        <v>51449.684984871543</v>
      </c>
      <c r="AW23" t="s">
        <v>731</v>
      </c>
      <c r="AX23">
        <v>5102.38</v>
      </c>
      <c r="AY23">
        <v>567.49705882352941</v>
      </c>
      <c r="AZ23">
        <v>2458.08</v>
      </c>
      <c r="BA23">
        <f t="shared" si="30"/>
        <v>0.76912994742907903</v>
      </c>
      <c r="BB23">
        <v>-4.7837446069883294</v>
      </c>
      <c r="BC23" t="s">
        <v>759</v>
      </c>
      <c r="BD23">
        <v>5090.97</v>
      </c>
      <c r="BE23">
        <v>790.68252941176479</v>
      </c>
      <c r="BF23">
        <v>1413.1</v>
      </c>
      <c r="BG23">
        <f t="shared" si="31"/>
        <v>0.44046243761109272</v>
      </c>
      <c r="BH23">
        <v>0.5</v>
      </c>
      <c r="BI23">
        <f t="shared" si="32"/>
        <v>672.31431385037183</v>
      </c>
      <c r="BJ23">
        <f t="shared" si="33"/>
        <v>40.527858204134709</v>
      </c>
      <c r="BK23">
        <f t="shared" si="34"/>
        <v>148.06460075968201</v>
      </c>
      <c r="BL23">
        <f t="shared" si="35"/>
        <v>6.7396457099985901E-2</v>
      </c>
      <c r="BM23">
        <f t="shared" si="36"/>
        <v>0.7394947279031916</v>
      </c>
      <c r="BN23">
        <f t="shared" si="37"/>
        <v>484.73894282732874</v>
      </c>
      <c r="BO23" t="s">
        <v>407</v>
      </c>
      <c r="BP23">
        <v>0</v>
      </c>
      <c r="BQ23">
        <f t="shared" si="38"/>
        <v>484.73894282732874</v>
      </c>
      <c r="BR23">
        <f t="shared" si="39"/>
        <v>0.6569677002141896</v>
      </c>
      <c r="BS23">
        <f t="shared" si="40"/>
        <v>0.67044763002426133</v>
      </c>
      <c r="BT23">
        <f t="shared" si="41"/>
        <v>0.52954860296537287</v>
      </c>
      <c r="BU23">
        <f t="shared" si="42"/>
        <v>0.73606351193892272</v>
      </c>
      <c r="BV23">
        <f t="shared" si="43"/>
        <v>0.55272899021808086</v>
      </c>
      <c r="BW23">
        <f t="shared" si="44"/>
        <v>0.41102726228291547</v>
      </c>
      <c r="BX23">
        <f t="shared" si="45"/>
        <v>0.58897273771708458</v>
      </c>
      <c r="DG23">
        <f t="shared" si="46"/>
        <v>800.00561290322605</v>
      </c>
      <c r="DH23">
        <f t="shared" si="47"/>
        <v>672.31431385037183</v>
      </c>
      <c r="DI23">
        <f t="shared" si="48"/>
        <v>0.84038699604936318</v>
      </c>
      <c r="DJ23">
        <f t="shared" si="49"/>
        <v>0.16034690237527116</v>
      </c>
      <c r="DK23">
        <v>6</v>
      </c>
      <c r="DL23">
        <v>0.5</v>
      </c>
      <c r="DM23" t="s">
        <v>408</v>
      </c>
      <c r="DN23">
        <v>2</v>
      </c>
      <c r="DO23" t="b">
        <v>0</v>
      </c>
      <c r="DP23">
        <v>1783704531</v>
      </c>
      <c r="DQ23">
        <v>420.05903225806441</v>
      </c>
      <c r="DR23">
        <v>470.22445161290318</v>
      </c>
      <c r="DS23">
        <v>25.14585806451613</v>
      </c>
      <c r="DT23">
        <v>21.584129032258069</v>
      </c>
      <c r="DU23">
        <v>425.95935483870971</v>
      </c>
      <c r="DV23">
        <v>25.56950322580645</v>
      </c>
      <c r="DW23">
        <v>500.02816129032249</v>
      </c>
      <c r="DX23">
        <v>97.554493548387086</v>
      </c>
      <c r="DY23">
        <v>5.1547799999999998E-2</v>
      </c>
      <c r="DZ23">
        <v>27.95100967741935</v>
      </c>
      <c r="EA23">
        <v>27.910883870967751</v>
      </c>
      <c r="EB23">
        <v>999.90000000000032</v>
      </c>
      <c r="EC23">
        <v>0</v>
      </c>
      <c r="ED23">
        <v>0</v>
      </c>
      <c r="EE23">
        <v>10005.8064516129</v>
      </c>
      <c r="EF23">
        <v>0</v>
      </c>
      <c r="EG23">
        <v>492.63948387096769</v>
      </c>
      <c r="EH23">
        <v>-50.165493548387097</v>
      </c>
      <c r="EI23">
        <v>430.89406451612911</v>
      </c>
      <c r="EJ23">
        <v>480.5977419354839</v>
      </c>
      <c r="EK23">
        <v>3.561726774193549</v>
      </c>
      <c r="EL23">
        <v>470.22445161290318</v>
      </c>
      <c r="EM23">
        <v>21.584129032258069</v>
      </c>
      <c r="EN23">
        <v>2.4530912903225799</v>
      </c>
      <c r="EO23">
        <v>2.1056280645161292</v>
      </c>
      <c r="EP23">
        <v>20.718574193548388</v>
      </c>
      <c r="EQ23">
        <v>18.261832258064519</v>
      </c>
      <c r="ER23">
        <v>800.00561290322605</v>
      </c>
      <c r="ES23">
        <v>0.98702232258064504</v>
      </c>
      <c r="ET23">
        <v>1.297748387096774E-2</v>
      </c>
      <c r="EU23">
        <v>0</v>
      </c>
      <c r="EV23">
        <v>790.77764516129048</v>
      </c>
      <c r="EW23">
        <v>5.0010700000000003</v>
      </c>
      <c r="EX23">
        <v>10217.27419354839</v>
      </c>
      <c r="EY23">
        <v>7246.7354838709671</v>
      </c>
      <c r="EZ23">
        <v>39.25</v>
      </c>
      <c r="FA23">
        <v>42.71951612903225</v>
      </c>
      <c r="FB23">
        <v>40.875</v>
      </c>
      <c r="FC23">
        <v>42.070129032258052</v>
      </c>
      <c r="FD23">
        <v>41.151000000000003</v>
      </c>
      <c r="FE23">
        <v>784.68709677419372</v>
      </c>
      <c r="FF23">
        <v>10.32</v>
      </c>
      <c r="FG23">
        <v>0</v>
      </c>
      <c r="FH23">
        <v>182.0999999046326</v>
      </c>
      <c r="FI23">
        <v>0</v>
      </c>
      <c r="FJ23">
        <v>790.68252941176479</v>
      </c>
      <c r="FK23">
        <v>-2.7303921817654961</v>
      </c>
      <c r="FL23">
        <v>-752.84314794296699</v>
      </c>
      <c r="FM23">
        <v>10273.01176470588</v>
      </c>
      <c r="FN23">
        <v>10</v>
      </c>
      <c r="FO23">
        <v>1783704458.5</v>
      </c>
      <c r="FP23" t="s">
        <v>760</v>
      </c>
      <c r="FQ23">
        <v>1783704452.5</v>
      </c>
      <c r="FR23">
        <v>1783704458.5</v>
      </c>
      <c r="FS23">
        <v>33</v>
      </c>
      <c r="FT23">
        <v>-6.3E-2</v>
      </c>
      <c r="FU23">
        <v>-1.2999999999999999E-2</v>
      </c>
      <c r="FV23">
        <v>-6.0910000000000002</v>
      </c>
      <c r="FW23">
        <v>-0.52100000000000002</v>
      </c>
      <c r="FX23">
        <v>472</v>
      </c>
      <c r="FY23">
        <v>22</v>
      </c>
      <c r="FZ23">
        <v>0.17</v>
      </c>
      <c r="GA23">
        <v>7.0000000000000007E-2</v>
      </c>
      <c r="GB23">
        <v>420.06067741935482</v>
      </c>
      <c r="GC23">
        <v>4.7516129031099828E-2</v>
      </c>
      <c r="GD23">
        <v>6.1846525495944243E-2</v>
      </c>
      <c r="GE23">
        <v>-1</v>
      </c>
      <c r="GF23">
        <v>790.82294117647064</v>
      </c>
      <c r="GG23">
        <v>-1.3945912898602291</v>
      </c>
      <c r="GH23">
        <v>0.27602183856232182</v>
      </c>
      <c r="GI23">
        <v>1</v>
      </c>
      <c r="GJ23">
        <v>3.565834146341464</v>
      </c>
      <c r="GK23">
        <v>-7.695010452962163E-2</v>
      </c>
      <c r="GL23">
        <v>8.1147093107576482E-3</v>
      </c>
      <c r="GM23">
        <v>1</v>
      </c>
      <c r="GN23">
        <v>2</v>
      </c>
      <c r="GO23">
        <v>2</v>
      </c>
      <c r="GP23" t="s">
        <v>423</v>
      </c>
      <c r="GQ23">
        <v>3.1317300000000001</v>
      </c>
      <c r="GR23">
        <v>2.7275299999999998</v>
      </c>
      <c r="GS23">
        <v>9.1463199999999995E-2</v>
      </c>
      <c r="GT23">
        <v>9.9259899999999998E-2</v>
      </c>
      <c r="GU23">
        <v>0.11694599999999999</v>
      </c>
      <c r="GV23">
        <v>0.104132</v>
      </c>
      <c r="GW23">
        <v>22809.7</v>
      </c>
      <c r="GX23">
        <v>30352.2</v>
      </c>
      <c r="GY23">
        <v>27230.400000000001</v>
      </c>
      <c r="GZ23">
        <v>34645.800000000003</v>
      </c>
      <c r="HA23">
        <v>35217.699999999997</v>
      </c>
      <c r="HB23">
        <v>39332.400000000001</v>
      </c>
      <c r="HC23">
        <v>40215.4</v>
      </c>
      <c r="HD23">
        <v>43986.2</v>
      </c>
      <c r="HE23">
        <v>1.9748000000000001</v>
      </c>
      <c r="HF23">
        <v>1.6978</v>
      </c>
      <c r="HG23">
        <v>-5.7727100000000003E-2</v>
      </c>
      <c r="HH23">
        <v>0</v>
      </c>
      <c r="HI23">
        <v>28.845600000000001</v>
      </c>
      <c r="HJ23">
        <v>999.9</v>
      </c>
      <c r="HK23">
        <v>44.3</v>
      </c>
      <c r="HL23">
        <v>40.700000000000003</v>
      </c>
      <c r="HM23">
        <v>34.9435</v>
      </c>
      <c r="HN23">
        <v>59.758600000000001</v>
      </c>
      <c r="HO23">
        <v>8.90625</v>
      </c>
      <c r="HP23">
        <v>1</v>
      </c>
      <c r="HQ23">
        <v>0.47949199999999997</v>
      </c>
      <c r="HR23">
        <v>3.0396999999999998</v>
      </c>
      <c r="HS23">
        <v>20.250699999999998</v>
      </c>
      <c r="HT23">
        <v>5.2088999999999999</v>
      </c>
      <c r="HU23">
        <v>11.908099999999999</v>
      </c>
      <c r="HV23">
        <v>4.984</v>
      </c>
      <c r="HW23">
        <v>3.2707999999999999</v>
      </c>
      <c r="HX23">
        <v>9999</v>
      </c>
      <c r="HY23">
        <v>9999</v>
      </c>
      <c r="HZ23">
        <v>9999</v>
      </c>
      <c r="IA23">
        <v>999.9</v>
      </c>
      <c r="IB23">
        <v>1.86737</v>
      </c>
      <c r="IC23">
        <v>1.86304</v>
      </c>
      <c r="ID23">
        <v>1.86249</v>
      </c>
      <c r="IE23">
        <v>1.8620300000000001</v>
      </c>
      <c r="IF23">
        <v>1.8620300000000001</v>
      </c>
      <c r="IG23">
        <v>1.8626400000000001</v>
      </c>
      <c r="IH23">
        <v>1.8635600000000001</v>
      </c>
      <c r="II23">
        <v>1.8614200000000001</v>
      </c>
      <c r="IJ23">
        <v>0</v>
      </c>
      <c r="IK23">
        <v>0</v>
      </c>
      <c r="IL23">
        <v>0</v>
      </c>
      <c r="IM23">
        <v>4.5</v>
      </c>
      <c r="IN23" t="s">
        <v>411</v>
      </c>
      <c r="IO23" t="s">
        <v>412</v>
      </c>
      <c r="IP23" t="s">
        <v>413</v>
      </c>
      <c r="IQ23" t="s">
        <v>414</v>
      </c>
      <c r="IR23" t="s">
        <v>414</v>
      </c>
      <c r="IS23" t="s">
        <v>413</v>
      </c>
      <c r="IT23">
        <v>0</v>
      </c>
      <c r="IU23">
        <v>100</v>
      </c>
      <c r="IV23">
        <v>100</v>
      </c>
      <c r="IW23">
        <v>-5.9009999999999998</v>
      </c>
      <c r="IX23">
        <v>-0.42409999999999998</v>
      </c>
      <c r="IY23">
        <v>-3.912879964921109</v>
      </c>
      <c r="IZ23">
        <v>-5.6215304933332991E-3</v>
      </c>
      <c r="JA23">
        <v>2.3979931213773931E-6</v>
      </c>
      <c r="JB23">
        <v>-3.6297174575716598E-10</v>
      </c>
      <c r="JC23">
        <v>-0.85985632067516837</v>
      </c>
      <c r="JD23">
        <v>2.7492919904454862E-4</v>
      </c>
      <c r="JE23">
        <v>8.6739513355948885E-4</v>
      </c>
      <c r="JF23">
        <v>-8.2500691715147318E-6</v>
      </c>
      <c r="JG23">
        <v>17</v>
      </c>
      <c r="JH23">
        <v>1914</v>
      </c>
      <c r="JI23">
        <v>2</v>
      </c>
      <c r="JJ23">
        <v>37</v>
      </c>
      <c r="JK23">
        <v>1.4</v>
      </c>
      <c r="JL23">
        <v>1.3</v>
      </c>
      <c r="JM23">
        <v>1.16821</v>
      </c>
      <c r="JN23">
        <v>2.5476100000000002</v>
      </c>
      <c r="JO23">
        <v>1.50024</v>
      </c>
      <c r="JP23">
        <v>2.2680699999999998</v>
      </c>
      <c r="JQ23">
        <v>1.4477500000000001</v>
      </c>
      <c r="JR23">
        <v>2.4157700000000002</v>
      </c>
      <c r="JS23">
        <v>43.726900000000001</v>
      </c>
      <c r="JT23">
        <v>14.3072</v>
      </c>
      <c r="JU23">
        <v>18</v>
      </c>
      <c r="JV23">
        <v>542.923</v>
      </c>
      <c r="JW23">
        <v>382.35300000000001</v>
      </c>
      <c r="JX23">
        <v>25.049800000000001</v>
      </c>
      <c r="JY23">
        <v>33.109699999999997</v>
      </c>
      <c r="JZ23">
        <v>30.000800000000002</v>
      </c>
      <c r="KA23">
        <v>33.1678</v>
      </c>
      <c r="KB23">
        <v>33.168900000000001</v>
      </c>
      <c r="KC23">
        <v>23.38</v>
      </c>
      <c r="KD23">
        <v>42.395400000000002</v>
      </c>
      <c r="KE23">
        <v>0</v>
      </c>
      <c r="KF23">
        <v>25.05</v>
      </c>
      <c r="KG23">
        <v>470.19499999999999</v>
      </c>
      <c r="KH23">
        <v>21.6663</v>
      </c>
      <c r="KI23">
        <v>100.504</v>
      </c>
      <c r="KJ23">
        <v>98.9358</v>
      </c>
    </row>
    <row r="24" spans="1:296" x14ac:dyDescent="0.3">
      <c r="A24">
        <v>8</v>
      </c>
      <c r="B24">
        <v>1783704721.5</v>
      </c>
      <c r="C24">
        <v>1491.400000095367</v>
      </c>
      <c r="D24" t="s">
        <v>761</v>
      </c>
      <c r="E24" t="s">
        <v>762</v>
      </c>
      <c r="F24">
        <v>15</v>
      </c>
      <c r="H24">
        <v>1783704713.5</v>
      </c>
      <c r="I24">
        <f t="shared" si="0"/>
        <v>2.4401449437116609E-3</v>
      </c>
      <c r="J24">
        <f t="shared" si="1"/>
        <v>2.4401449437116609</v>
      </c>
      <c r="K24">
        <f t="shared" si="2"/>
        <v>32.920345574400095</v>
      </c>
      <c r="L24">
        <f t="shared" si="3"/>
        <v>420.08516129032262</v>
      </c>
      <c r="M24">
        <f t="shared" si="4"/>
        <v>112.5589616934685</v>
      </c>
      <c r="N24">
        <f t="shared" si="5"/>
        <v>10.986625565552306</v>
      </c>
      <c r="O24">
        <f t="shared" si="6"/>
        <v>41.00356207362951</v>
      </c>
      <c r="P24">
        <f t="shared" si="7"/>
        <v>0.17982609842149902</v>
      </c>
      <c r="Q24">
        <f t="shared" si="8"/>
        <v>2.8850320900859088</v>
      </c>
      <c r="R24">
        <f t="shared" si="9"/>
        <v>0.17382314576947686</v>
      </c>
      <c r="S24">
        <f t="shared" si="10"/>
        <v>0.10916211383016039</v>
      </c>
      <c r="T24">
        <f t="shared" si="11"/>
        <v>96.347998498694764</v>
      </c>
      <c r="U24">
        <f t="shared" si="12"/>
        <v>27.801467786642633</v>
      </c>
      <c r="V24">
        <f t="shared" si="13"/>
        <v>27.87727741935484</v>
      </c>
      <c r="W24">
        <f t="shared" si="14"/>
        <v>3.7677748208447088</v>
      </c>
      <c r="X24">
        <f t="shared" si="15"/>
        <v>64.821748616351059</v>
      </c>
      <c r="Y24">
        <f t="shared" si="16"/>
        <v>2.4411292077267865</v>
      </c>
      <c r="Z24">
        <f t="shared" si="17"/>
        <v>3.7659107627204924</v>
      </c>
      <c r="AA24">
        <f t="shared" si="18"/>
        <v>1.3266456131179223</v>
      </c>
      <c r="AB24">
        <f t="shared" si="19"/>
        <v>-107.61039201768425</v>
      </c>
      <c r="AC24">
        <f t="shared" si="20"/>
        <v>-1.3190613153438613</v>
      </c>
      <c r="AD24">
        <f t="shared" si="21"/>
        <v>-9.9534892872451444E-2</v>
      </c>
      <c r="AE24">
        <f t="shared" si="22"/>
        <v>-12.6809897272058</v>
      </c>
      <c r="AF24">
        <f t="shared" si="23"/>
        <v>32.920345574400095</v>
      </c>
      <c r="AG24">
        <f t="shared" si="24"/>
        <v>2.4401449437116609</v>
      </c>
      <c r="AH24">
        <f t="shared" si="25"/>
        <v>32.750796218255779</v>
      </c>
      <c r="AI24">
        <v>471.45459288611988</v>
      </c>
      <c r="AJ24">
        <v>430.97782424242411</v>
      </c>
      <c r="AK24">
        <v>5.4443869806364821E-2</v>
      </c>
      <c r="AL24">
        <v>67.073840223836342</v>
      </c>
      <c r="AM24">
        <f t="shared" si="26"/>
        <v>2.4225602770103749</v>
      </c>
      <c r="AN24">
        <v>22.156818571688319</v>
      </c>
      <c r="AO24">
        <v>24.99220484848485</v>
      </c>
      <c r="AP24">
        <v>-1.5016851747311051E-4</v>
      </c>
      <c r="AQ24">
        <v>78.55</v>
      </c>
      <c r="AR24">
        <v>0</v>
      </c>
      <c r="AS24">
        <v>0</v>
      </c>
      <c r="AT24">
        <f t="shared" si="27"/>
        <v>1</v>
      </c>
      <c r="AU24">
        <f t="shared" si="28"/>
        <v>0</v>
      </c>
      <c r="AV24">
        <f t="shared" si="29"/>
        <v>51399.399718976798</v>
      </c>
      <c r="AW24" t="s">
        <v>731</v>
      </c>
      <c r="AX24">
        <v>5102.38</v>
      </c>
      <c r="AY24">
        <v>567.49705882352941</v>
      </c>
      <c r="AZ24">
        <v>2458.08</v>
      </c>
      <c r="BA24">
        <f t="shared" si="30"/>
        <v>0.76912994742907903</v>
      </c>
      <c r="BB24">
        <v>-4.7837446069883294</v>
      </c>
      <c r="BC24" t="s">
        <v>763</v>
      </c>
      <c r="BD24">
        <v>5092.97</v>
      </c>
      <c r="BE24">
        <v>789.52282352941165</v>
      </c>
      <c r="BF24">
        <v>1585.55</v>
      </c>
      <c r="BG24">
        <f t="shared" si="31"/>
        <v>0.50205113460350559</v>
      </c>
      <c r="BH24">
        <v>0.5</v>
      </c>
      <c r="BI24">
        <f t="shared" si="32"/>
        <v>504.31714576399014</v>
      </c>
      <c r="BJ24">
        <f t="shared" si="33"/>
        <v>32.920345574400095</v>
      </c>
      <c r="BK24">
        <f t="shared" si="34"/>
        <v>126.59649761540638</v>
      </c>
      <c r="BL24">
        <f t="shared" si="35"/>
        <v>7.4762657780096872E-2</v>
      </c>
      <c r="BM24">
        <f t="shared" si="36"/>
        <v>0.55030115732711049</v>
      </c>
      <c r="BN24">
        <f t="shared" si="37"/>
        <v>503.52516490973829</v>
      </c>
      <c r="BO24" t="s">
        <v>407</v>
      </c>
      <c r="BP24">
        <v>0</v>
      </c>
      <c r="BQ24">
        <f t="shared" si="38"/>
        <v>503.52516490973829</v>
      </c>
      <c r="BR24">
        <f t="shared" si="39"/>
        <v>0.68242870618413909</v>
      </c>
      <c r="BS24">
        <f t="shared" si="40"/>
        <v>0.73568290731902142</v>
      </c>
      <c r="BT24">
        <f t="shared" si="41"/>
        <v>0.44640855520418615</v>
      </c>
      <c r="BU24">
        <f t="shared" si="42"/>
        <v>0.78191137638745245</v>
      </c>
      <c r="BV24">
        <f t="shared" si="43"/>
        <v>0.46151373790405759</v>
      </c>
      <c r="BW24">
        <f t="shared" si="44"/>
        <v>0.46918828207286956</v>
      </c>
      <c r="BX24">
        <f t="shared" si="45"/>
        <v>0.53081171792713044</v>
      </c>
      <c r="DG24">
        <f t="shared" si="46"/>
        <v>600.01648387096759</v>
      </c>
      <c r="DH24">
        <f t="shared" si="47"/>
        <v>504.31714576399014</v>
      </c>
      <c r="DI24">
        <f t="shared" si="48"/>
        <v>0.84050548496671396</v>
      </c>
      <c r="DJ24">
        <f t="shared" si="49"/>
        <v>0.16057558598575805</v>
      </c>
      <c r="DK24">
        <v>6</v>
      </c>
      <c r="DL24">
        <v>0.5</v>
      </c>
      <c r="DM24" t="s">
        <v>408</v>
      </c>
      <c r="DN24">
        <v>2</v>
      </c>
      <c r="DO24" t="b">
        <v>0</v>
      </c>
      <c r="DP24">
        <v>1783704713.5</v>
      </c>
      <c r="DQ24">
        <v>420.08516129032262</v>
      </c>
      <c r="DR24">
        <v>460.82035483870959</v>
      </c>
      <c r="DS24">
        <v>25.009587096774201</v>
      </c>
      <c r="DT24">
        <v>22.15459677419355</v>
      </c>
      <c r="DU24">
        <v>425.97125806451612</v>
      </c>
      <c r="DV24">
        <v>25.446106451612899</v>
      </c>
      <c r="DW24">
        <v>499.99145161290318</v>
      </c>
      <c r="DX24">
        <v>97.556209677419375</v>
      </c>
      <c r="DY24">
        <v>5.1527638709677422E-2</v>
      </c>
      <c r="DZ24">
        <v>27.868796774193559</v>
      </c>
      <c r="EA24">
        <v>27.87727741935484</v>
      </c>
      <c r="EB24">
        <v>999.90000000000032</v>
      </c>
      <c r="EC24">
        <v>0</v>
      </c>
      <c r="ED24">
        <v>0</v>
      </c>
      <c r="EE24">
        <v>9992.5806451612898</v>
      </c>
      <c r="EF24">
        <v>0</v>
      </c>
      <c r="EG24">
        <v>898.54509677419355</v>
      </c>
      <c r="EH24">
        <v>-40.735174193548389</v>
      </c>
      <c r="EI24">
        <v>430.86087096774202</v>
      </c>
      <c r="EJ24">
        <v>471.26096774193542</v>
      </c>
      <c r="EK24">
        <v>2.8549912903225811</v>
      </c>
      <c r="EL24">
        <v>460.82035483870959</v>
      </c>
      <c r="EM24">
        <v>22.15459677419355</v>
      </c>
      <c r="EN24">
        <v>2.4398403225806451</v>
      </c>
      <c r="EO24">
        <v>2.161317741935485</v>
      </c>
      <c r="EP24">
        <v>20.63065483870967</v>
      </c>
      <c r="EQ24">
        <v>18.67843548387097</v>
      </c>
      <c r="ER24">
        <v>600.01648387096759</v>
      </c>
      <c r="ES24">
        <v>0.98301009677419371</v>
      </c>
      <c r="ET24">
        <v>1.6990238709677419E-2</v>
      </c>
      <c r="EU24">
        <v>0</v>
      </c>
      <c r="EV24">
        <v>789.70412903225804</v>
      </c>
      <c r="EW24">
        <v>5.0010700000000003</v>
      </c>
      <c r="EX24">
        <v>8621.6874193548374</v>
      </c>
      <c r="EY24">
        <v>5415.2809677419345</v>
      </c>
      <c r="EZ24">
        <v>38.936999999999983</v>
      </c>
      <c r="FA24">
        <v>42.686999999999969</v>
      </c>
      <c r="FB24">
        <v>40.75</v>
      </c>
      <c r="FC24">
        <v>42.106709677419353</v>
      </c>
      <c r="FD24">
        <v>40.949193548387079</v>
      </c>
      <c r="FE24">
        <v>584.90677419354824</v>
      </c>
      <c r="FF24">
        <v>10.11</v>
      </c>
      <c r="FG24">
        <v>0</v>
      </c>
      <c r="FH24">
        <v>181.79999995231631</v>
      </c>
      <c r="FI24">
        <v>0</v>
      </c>
      <c r="FJ24">
        <v>789.52282352941165</v>
      </c>
      <c r="FK24">
        <v>-3.372549006076083</v>
      </c>
      <c r="FL24">
        <v>2848.3333451440199</v>
      </c>
      <c r="FM24">
        <v>8648.3982352941184</v>
      </c>
      <c r="FN24">
        <v>10</v>
      </c>
      <c r="FO24">
        <v>1783704655</v>
      </c>
      <c r="FP24" t="s">
        <v>764</v>
      </c>
      <c r="FQ24">
        <v>1783704649</v>
      </c>
      <c r="FR24">
        <v>1783704655</v>
      </c>
      <c r="FS24">
        <v>34</v>
      </c>
      <c r="FT24">
        <v>1.4E-2</v>
      </c>
      <c r="FU24">
        <v>-8.9999999999999993E-3</v>
      </c>
      <c r="FV24">
        <v>-6.0430000000000001</v>
      </c>
      <c r="FW24">
        <v>-0.51900000000000002</v>
      </c>
      <c r="FX24">
        <v>462</v>
      </c>
      <c r="FY24">
        <v>22</v>
      </c>
      <c r="FZ24">
        <v>0.18</v>
      </c>
      <c r="GA24">
        <v>0.09</v>
      </c>
      <c r="GB24">
        <v>420.08016666666668</v>
      </c>
      <c r="GC24">
        <v>0.18433815350471541</v>
      </c>
      <c r="GD24">
        <v>5.247226780775064E-2</v>
      </c>
      <c r="GE24">
        <v>-1</v>
      </c>
      <c r="GF24">
        <v>789.8569705882353</v>
      </c>
      <c r="GG24">
        <v>-3.301833466284426</v>
      </c>
      <c r="GH24">
        <v>0.39328596730130561</v>
      </c>
      <c r="GI24">
        <v>1</v>
      </c>
      <c r="GJ24">
        <v>2.8645535</v>
      </c>
      <c r="GK24">
        <v>-0.19853853658537379</v>
      </c>
      <c r="GL24">
        <v>2.1297441812339831E-2</v>
      </c>
      <c r="GM24">
        <v>1</v>
      </c>
      <c r="GN24">
        <v>2</v>
      </c>
      <c r="GO24">
        <v>2</v>
      </c>
      <c r="GP24" t="s">
        <v>423</v>
      </c>
      <c r="GQ24">
        <v>3.13185</v>
      </c>
      <c r="GR24">
        <v>2.7281300000000002</v>
      </c>
      <c r="GS24">
        <v>9.1433899999999999E-2</v>
      </c>
      <c r="GT24">
        <v>9.7673200000000002E-2</v>
      </c>
      <c r="GU24">
        <v>0.116482</v>
      </c>
      <c r="GV24">
        <v>0.106222</v>
      </c>
      <c r="GW24">
        <v>22799.599999999999</v>
      </c>
      <c r="GX24">
        <v>30389.1</v>
      </c>
      <c r="GY24">
        <v>27218.7</v>
      </c>
      <c r="GZ24">
        <v>34628.800000000003</v>
      </c>
      <c r="HA24">
        <v>35223.300000000003</v>
      </c>
      <c r="HB24">
        <v>39225.599999999999</v>
      </c>
      <c r="HC24">
        <v>40199.1</v>
      </c>
      <c r="HD24">
        <v>43969</v>
      </c>
      <c r="HE24">
        <v>1.9722</v>
      </c>
      <c r="HF24">
        <v>1.6946000000000001</v>
      </c>
      <c r="HG24">
        <v>-5.8710600000000002E-2</v>
      </c>
      <c r="HH24">
        <v>0</v>
      </c>
      <c r="HI24">
        <v>28.840699999999998</v>
      </c>
      <c r="HJ24">
        <v>999.9</v>
      </c>
      <c r="HK24">
        <v>44.1</v>
      </c>
      <c r="HL24">
        <v>40.700000000000003</v>
      </c>
      <c r="HM24">
        <v>34.787199999999999</v>
      </c>
      <c r="HN24">
        <v>59.948599999999999</v>
      </c>
      <c r="HO24">
        <v>8.7980800000000006</v>
      </c>
      <c r="HP24">
        <v>1</v>
      </c>
      <c r="HQ24">
        <v>0.50365899999999997</v>
      </c>
      <c r="HR24">
        <v>3.0531600000000001</v>
      </c>
      <c r="HS24">
        <v>20.251999999999999</v>
      </c>
      <c r="HT24">
        <v>5.2100999999999997</v>
      </c>
      <c r="HU24">
        <v>11.908099999999999</v>
      </c>
      <c r="HV24">
        <v>4.9855999999999998</v>
      </c>
      <c r="HW24">
        <v>3.2707999999999999</v>
      </c>
      <c r="HX24">
        <v>9999</v>
      </c>
      <c r="HY24">
        <v>9999</v>
      </c>
      <c r="HZ24">
        <v>9999</v>
      </c>
      <c r="IA24">
        <v>999.9</v>
      </c>
      <c r="IB24">
        <v>1.86737</v>
      </c>
      <c r="IC24">
        <v>1.86304</v>
      </c>
      <c r="ID24">
        <v>1.86249</v>
      </c>
      <c r="IE24">
        <v>1.8620300000000001</v>
      </c>
      <c r="IF24">
        <v>1.8620300000000001</v>
      </c>
      <c r="IG24">
        <v>1.8626400000000001</v>
      </c>
      <c r="IH24">
        <v>1.8634999999999999</v>
      </c>
      <c r="II24">
        <v>1.8614200000000001</v>
      </c>
      <c r="IJ24">
        <v>0</v>
      </c>
      <c r="IK24">
        <v>0</v>
      </c>
      <c r="IL24">
        <v>0</v>
      </c>
      <c r="IM24">
        <v>4.5</v>
      </c>
      <c r="IN24" t="s">
        <v>411</v>
      </c>
      <c r="IO24" t="s">
        <v>412</v>
      </c>
      <c r="IP24" t="s">
        <v>413</v>
      </c>
      <c r="IQ24" t="s">
        <v>414</v>
      </c>
      <c r="IR24" t="s">
        <v>414</v>
      </c>
      <c r="IS24" t="s">
        <v>413</v>
      </c>
      <c r="IT24">
        <v>0</v>
      </c>
      <c r="IU24">
        <v>100</v>
      </c>
      <c r="IV24">
        <v>100</v>
      </c>
      <c r="IW24">
        <v>-5.8869999999999996</v>
      </c>
      <c r="IX24">
        <v>-0.437</v>
      </c>
      <c r="IY24">
        <v>-3.898534650856178</v>
      </c>
      <c r="IZ24">
        <v>-5.6215304933332991E-3</v>
      </c>
      <c r="JA24">
        <v>2.3979931213773931E-6</v>
      </c>
      <c r="JB24">
        <v>-3.6297174575716598E-10</v>
      </c>
      <c r="JC24">
        <v>-0.86922832934982486</v>
      </c>
      <c r="JD24">
        <v>2.7492919904454862E-4</v>
      </c>
      <c r="JE24">
        <v>8.6739513355948885E-4</v>
      </c>
      <c r="JF24">
        <v>-8.2500691715147318E-6</v>
      </c>
      <c r="JG24">
        <v>17</v>
      </c>
      <c r="JH24">
        <v>1914</v>
      </c>
      <c r="JI24">
        <v>2</v>
      </c>
      <c r="JJ24">
        <v>37</v>
      </c>
      <c r="JK24">
        <v>1.2</v>
      </c>
      <c r="JL24">
        <v>1.1000000000000001</v>
      </c>
      <c r="JM24">
        <v>1.1498999999999999</v>
      </c>
      <c r="JN24">
        <v>2.5451700000000002</v>
      </c>
      <c r="JO24">
        <v>1.50024</v>
      </c>
      <c r="JP24">
        <v>2.2692899999999998</v>
      </c>
      <c r="JQ24">
        <v>1.4477500000000001</v>
      </c>
      <c r="JR24">
        <v>2.4389599999999998</v>
      </c>
      <c r="JS24">
        <v>44.057099999999998</v>
      </c>
      <c r="JT24">
        <v>14.280900000000001</v>
      </c>
      <c r="JU24">
        <v>18</v>
      </c>
      <c r="JV24">
        <v>543.30100000000004</v>
      </c>
      <c r="JW24">
        <v>382.02100000000002</v>
      </c>
      <c r="JX24">
        <v>25.0504</v>
      </c>
      <c r="JY24">
        <v>33.374099999999999</v>
      </c>
      <c r="JZ24">
        <v>30.000399999999999</v>
      </c>
      <c r="KA24">
        <v>33.420200000000001</v>
      </c>
      <c r="KB24">
        <v>33.415399999999998</v>
      </c>
      <c r="KC24">
        <v>22.995899999999999</v>
      </c>
      <c r="KD24">
        <v>41.127699999999997</v>
      </c>
      <c r="KE24">
        <v>0</v>
      </c>
      <c r="KF24">
        <v>25.05</v>
      </c>
      <c r="KG24">
        <v>460.60399999999998</v>
      </c>
      <c r="KH24">
        <v>22.275600000000001</v>
      </c>
      <c r="KI24">
        <v>100.46299999999999</v>
      </c>
      <c r="KJ24">
        <v>98.892700000000005</v>
      </c>
    </row>
    <row r="25" spans="1:296" x14ac:dyDescent="0.3">
      <c r="A25">
        <v>9</v>
      </c>
      <c r="B25">
        <v>1783704904</v>
      </c>
      <c r="C25">
        <v>1673.900000095367</v>
      </c>
      <c r="D25" t="s">
        <v>765</v>
      </c>
      <c r="E25" t="s">
        <v>766</v>
      </c>
      <c r="F25">
        <v>15</v>
      </c>
      <c r="H25">
        <v>1783704896.25</v>
      </c>
      <c r="I25">
        <f t="shared" si="0"/>
        <v>1.5030373719788312E-3</v>
      </c>
      <c r="J25">
        <f t="shared" si="1"/>
        <v>1.5030373719788312</v>
      </c>
      <c r="K25">
        <f t="shared" si="2"/>
        <v>21.889349584765359</v>
      </c>
      <c r="L25">
        <f t="shared" si="3"/>
        <v>420.35003333333327</v>
      </c>
      <c r="M25">
        <f t="shared" si="4"/>
        <v>82.728097873764312</v>
      </c>
      <c r="N25">
        <f t="shared" si="5"/>
        <v>8.0758669532840059</v>
      </c>
      <c r="O25">
        <f t="shared" si="6"/>
        <v>41.034316396207871</v>
      </c>
      <c r="P25">
        <f t="shared" si="7"/>
        <v>0.10739042993623123</v>
      </c>
      <c r="Q25">
        <f t="shared" si="8"/>
        <v>2.8872785156281098</v>
      </c>
      <c r="R25">
        <f t="shared" si="9"/>
        <v>0.10521975467244074</v>
      </c>
      <c r="S25">
        <f t="shared" si="10"/>
        <v>6.5953718826265967E-2</v>
      </c>
      <c r="T25">
        <f t="shared" si="11"/>
        <v>64.411827768455694</v>
      </c>
      <c r="U25">
        <f t="shared" si="12"/>
        <v>27.841096033996855</v>
      </c>
      <c r="V25">
        <f t="shared" si="13"/>
        <v>27.934643333333341</v>
      </c>
      <c r="W25">
        <f t="shared" si="14"/>
        <v>3.7804050861146776</v>
      </c>
      <c r="X25">
        <f t="shared" si="15"/>
        <v>64.596317157813331</v>
      </c>
      <c r="Y25">
        <f t="shared" si="16"/>
        <v>2.4302960402331442</v>
      </c>
      <c r="Z25">
        <f t="shared" si="17"/>
        <v>3.7622826612479479</v>
      </c>
      <c r="AA25">
        <f t="shared" si="18"/>
        <v>1.3501090458815335</v>
      </c>
      <c r="AB25">
        <f t="shared" si="19"/>
        <v>-66.283948104266457</v>
      </c>
      <c r="AC25">
        <f t="shared" si="20"/>
        <v>-12.820590753991823</v>
      </c>
      <c r="AD25">
        <f t="shared" si="21"/>
        <v>-0.96687164976034623</v>
      </c>
      <c r="AE25">
        <f t="shared" si="22"/>
        <v>-15.659582739562936</v>
      </c>
      <c r="AF25">
        <f t="shared" si="23"/>
        <v>21.889349584765359</v>
      </c>
      <c r="AG25">
        <f t="shared" si="24"/>
        <v>1.5030373719788312</v>
      </c>
      <c r="AH25">
        <f t="shared" si="25"/>
        <v>21.844785461328772</v>
      </c>
      <c r="AI25">
        <v>457.90591042927991</v>
      </c>
      <c r="AJ25">
        <v>431.07892121212132</v>
      </c>
      <c r="AK25">
        <v>-1.0440991610041221E-3</v>
      </c>
      <c r="AL25">
        <v>67.073840223836342</v>
      </c>
      <c r="AM25">
        <f t="shared" si="26"/>
        <v>1.573722603500004</v>
      </c>
      <c r="AN25">
        <v>23.201920234112549</v>
      </c>
      <c r="AO25">
        <v>25.003203636363619</v>
      </c>
      <c r="AP25">
        <v>6.5013852813903877E-3</v>
      </c>
      <c r="AQ25">
        <v>78.55</v>
      </c>
      <c r="AR25">
        <v>0</v>
      </c>
      <c r="AS25">
        <v>0</v>
      </c>
      <c r="AT25">
        <f t="shared" si="27"/>
        <v>1</v>
      </c>
      <c r="AU25">
        <f t="shared" si="28"/>
        <v>0</v>
      </c>
      <c r="AV25">
        <f t="shared" si="29"/>
        <v>51466.164993762744</v>
      </c>
      <c r="AW25" t="s">
        <v>731</v>
      </c>
      <c r="AX25">
        <v>5102.38</v>
      </c>
      <c r="AY25">
        <v>567.49705882352941</v>
      </c>
      <c r="AZ25">
        <v>2458.08</v>
      </c>
      <c r="BA25">
        <f t="shared" si="30"/>
        <v>0.76912994742907903</v>
      </c>
      <c r="BB25">
        <v>-4.7837446069883294</v>
      </c>
      <c r="BC25" t="s">
        <v>767</v>
      </c>
      <c r="BD25">
        <v>5093.91</v>
      </c>
      <c r="BE25">
        <v>777.38699999999994</v>
      </c>
      <c r="BF25">
        <v>1737.78</v>
      </c>
      <c r="BG25">
        <f t="shared" si="31"/>
        <v>0.55265511169423065</v>
      </c>
      <c r="BH25">
        <v>0.5</v>
      </c>
      <c r="BI25">
        <f t="shared" si="32"/>
        <v>336.29797513391486</v>
      </c>
      <c r="BJ25">
        <f t="shared" si="33"/>
        <v>21.889349584765359</v>
      </c>
      <c r="BK25">
        <f t="shared" si="34"/>
        <v>92.928397505088654</v>
      </c>
      <c r="BL25">
        <f t="shared" si="35"/>
        <v>7.9313870923939947E-2</v>
      </c>
      <c r="BM25">
        <f t="shared" si="36"/>
        <v>0.41449435486655384</v>
      </c>
      <c r="BN25">
        <f t="shared" si="37"/>
        <v>517.93373523398134</v>
      </c>
      <c r="BO25" t="s">
        <v>407</v>
      </c>
      <c r="BP25">
        <v>0</v>
      </c>
      <c r="BQ25">
        <f t="shared" si="38"/>
        <v>517.93373523398134</v>
      </c>
      <c r="BR25">
        <f t="shared" si="39"/>
        <v>0.70195667159595498</v>
      </c>
      <c r="BS25">
        <f t="shared" si="40"/>
        <v>0.78730658751020166</v>
      </c>
      <c r="BT25">
        <f t="shared" si="41"/>
        <v>0.37126066888924375</v>
      </c>
      <c r="BU25">
        <f t="shared" si="42"/>
        <v>0.82065026004269459</v>
      </c>
      <c r="BV25">
        <f t="shared" si="43"/>
        <v>0.38099359954648288</v>
      </c>
      <c r="BW25">
        <f t="shared" si="44"/>
        <v>0.52454265590172999</v>
      </c>
      <c r="BX25">
        <f t="shared" si="45"/>
        <v>0.47545734409827001</v>
      </c>
      <c r="DG25">
        <f t="shared" si="46"/>
        <v>400.00223333333332</v>
      </c>
      <c r="DH25">
        <f t="shared" si="47"/>
        <v>336.29797513391486</v>
      </c>
      <c r="DI25">
        <f t="shared" si="48"/>
        <v>0.84074024370175982</v>
      </c>
      <c r="DJ25">
        <f t="shared" si="49"/>
        <v>0.1610286703443965</v>
      </c>
      <c r="DK25">
        <v>6</v>
      </c>
      <c r="DL25">
        <v>0.5</v>
      </c>
      <c r="DM25" t="s">
        <v>408</v>
      </c>
      <c r="DN25">
        <v>2</v>
      </c>
      <c r="DO25" t="b">
        <v>0</v>
      </c>
      <c r="DP25">
        <v>1783704896.25</v>
      </c>
      <c r="DQ25">
        <v>420.35003333333327</v>
      </c>
      <c r="DR25">
        <v>447.37323333333342</v>
      </c>
      <c r="DS25">
        <v>24.895626666666669</v>
      </c>
      <c r="DT25">
        <v>23.137026666666671</v>
      </c>
      <c r="DU25">
        <v>426.23709999999988</v>
      </c>
      <c r="DV25">
        <v>25.403626666666671</v>
      </c>
      <c r="DW25">
        <v>500.04036666666673</v>
      </c>
      <c r="DX25">
        <v>97.567503333333349</v>
      </c>
      <c r="DY25">
        <v>5.1892746666666663E-2</v>
      </c>
      <c r="DZ25">
        <v>27.85228</v>
      </c>
      <c r="EA25">
        <v>27.934643333333341</v>
      </c>
      <c r="EB25">
        <v>999.9000000000002</v>
      </c>
      <c r="EC25">
        <v>0</v>
      </c>
      <c r="ED25">
        <v>0</v>
      </c>
      <c r="EE25">
        <v>10004.33333333333</v>
      </c>
      <c r="EF25">
        <v>0</v>
      </c>
      <c r="EG25">
        <v>1216.4490000000001</v>
      </c>
      <c r="EH25">
        <v>-27.02316999999999</v>
      </c>
      <c r="EI25">
        <v>431.11320000000001</v>
      </c>
      <c r="EJ25">
        <v>457.96920000000011</v>
      </c>
      <c r="EK25">
        <v>1.828880333333333</v>
      </c>
      <c r="EL25">
        <v>447.37323333333342</v>
      </c>
      <c r="EM25">
        <v>23.137026666666671</v>
      </c>
      <c r="EN25">
        <v>2.4358610000000001</v>
      </c>
      <c r="EO25">
        <v>2.257422</v>
      </c>
      <c r="EP25">
        <v>20.60417</v>
      </c>
      <c r="EQ25">
        <v>19.37567</v>
      </c>
      <c r="ER25">
        <v>400.00223333333332</v>
      </c>
      <c r="ES25">
        <v>0.97501720000000003</v>
      </c>
      <c r="ET25">
        <v>2.4983160000000001E-2</v>
      </c>
      <c r="EU25">
        <v>0</v>
      </c>
      <c r="EV25">
        <v>777.73850000000004</v>
      </c>
      <c r="EW25">
        <v>5.0010700000000003</v>
      </c>
      <c r="EX25">
        <v>7388.2290000000003</v>
      </c>
      <c r="EY25">
        <v>3583.7179999999998</v>
      </c>
      <c r="EZ25">
        <v>38.5</v>
      </c>
      <c r="FA25">
        <v>42.25</v>
      </c>
      <c r="FB25">
        <v>40.40186666666667</v>
      </c>
      <c r="FC25">
        <v>41.936999999999983</v>
      </c>
      <c r="FD25">
        <v>40.580899999999978</v>
      </c>
      <c r="FE25">
        <v>385.13233333333329</v>
      </c>
      <c r="FF25">
        <v>9.870000000000001</v>
      </c>
      <c r="FG25">
        <v>0</v>
      </c>
      <c r="FH25">
        <v>181.5999999046326</v>
      </c>
      <c r="FI25">
        <v>0</v>
      </c>
      <c r="FJ25">
        <v>777.38699999999994</v>
      </c>
      <c r="FK25">
        <v>-8.7100490601846747</v>
      </c>
      <c r="FL25">
        <v>-1127.6519344892361</v>
      </c>
      <c r="FM25">
        <v>7390.064117647059</v>
      </c>
      <c r="FN25">
        <v>10</v>
      </c>
      <c r="FO25">
        <v>1783704930</v>
      </c>
      <c r="FP25" t="s">
        <v>768</v>
      </c>
      <c r="FQ25">
        <v>1783704649</v>
      </c>
      <c r="FR25">
        <v>1783704930</v>
      </c>
      <c r="FS25">
        <v>35</v>
      </c>
      <c r="FT25">
        <v>1.4E-2</v>
      </c>
      <c r="FU25">
        <v>-2.3E-2</v>
      </c>
      <c r="FV25">
        <v>-6.0430000000000001</v>
      </c>
      <c r="FW25">
        <v>-0.50800000000000001</v>
      </c>
      <c r="FX25">
        <v>462</v>
      </c>
      <c r="FY25">
        <v>23</v>
      </c>
      <c r="FZ25">
        <v>0.18</v>
      </c>
      <c r="GA25">
        <v>0.13</v>
      </c>
      <c r="GB25">
        <v>420.35003333333327</v>
      </c>
      <c r="GC25">
        <v>-0.40143270300343631</v>
      </c>
      <c r="GD25">
        <v>5.7753200969491297E-2</v>
      </c>
      <c r="GE25">
        <v>-1</v>
      </c>
      <c r="GF25">
        <v>778.02608823529408</v>
      </c>
      <c r="GG25">
        <v>-7.3028418684579854</v>
      </c>
      <c r="GH25">
        <v>0.75604451968383568</v>
      </c>
      <c r="GI25">
        <v>1</v>
      </c>
      <c r="GJ25">
        <v>1.8564737499999999</v>
      </c>
      <c r="GK25">
        <v>-0.66262322701688747</v>
      </c>
      <c r="GL25">
        <v>7.1957308825702337E-2</v>
      </c>
      <c r="GM25">
        <v>0</v>
      </c>
      <c r="GN25">
        <v>1</v>
      </c>
      <c r="GO25">
        <v>2</v>
      </c>
      <c r="GP25" t="s">
        <v>410</v>
      </c>
      <c r="GQ25">
        <v>3.1317599999999999</v>
      </c>
      <c r="GR25">
        <v>2.72837</v>
      </c>
      <c r="GS25">
        <v>9.14079E-2</v>
      </c>
      <c r="GT25">
        <v>9.5515000000000003E-2</v>
      </c>
      <c r="GU25">
        <v>0.116492</v>
      </c>
      <c r="GV25">
        <v>0.109523</v>
      </c>
      <c r="GW25">
        <v>22795.4</v>
      </c>
      <c r="GX25">
        <v>30455.3</v>
      </c>
      <c r="GY25">
        <v>27213.599999999999</v>
      </c>
      <c r="GZ25">
        <v>34622.300000000003</v>
      </c>
      <c r="HA25">
        <v>35217.9</v>
      </c>
      <c r="HB25">
        <v>39073.9</v>
      </c>
      <c r="HC25">
        <v>40192.5</v>
      </c>
      <c r="HD25">
        <v>43961.5</v>
      </c>
      <c r="HE25">
        <v>1.9690000000000001</v>
      </c>
      <c r="HF25">
        <v>1.6950000000000001</v>
      </c>
      <c r="HG25">
        <v>-5.6862799999999998E-2</v>
      </c>
      <c r="HH25">
        <v>0</v>
      </c>
      <c r="HI25">
        <v>28.853100000000001</v>
      </c>
      <c r="HJ25">
        <v>999.9</v>
      </c>
      <c r="HK25">
        <v>43.8</v>
      </c>
      <c r="HL25">
        <v>40.799999999999997</v>
      </c>
      <c r="HM25">
        <v>34.728299999999997</v>
      </c>
      <c r="HN25">
        <v>59.708599999999997</v>
      </c>
      <c r="HO25">
        <v>8.6778899999999997</v>
      </c>
      <c r="HP25">
        <v>1</v>
      </c>
      <c r="HQ25">
        <v>0.51713399999999998</v>
      </c>
      <c r="HR25">
        <v>3.1919400000000002</v>
      </c>
      <c r="HS25">
        <v>20.251200000000001</v>
      </c>
      <c r="HT25">
        <v>5.2100999999999997</v>
      </c>
      <c r="HU25">
        <v>11.908099999999999</v>
      </c>
      <c r="HV25">
        <v>4.9843999999999999</v>
      </c>
      <c r="HW25">
        <v>3.2709999999999999</v>
      </c>
      <c r="HX25">
        <v>9999</v>
      </c>
      <c r="HY25">
        <v>9999</v>
      </c>
      <c r="HZ25">
        <v>9999</v>
      </c>
      <c r="IA25">
        <v>999.9</v>
      </c>
      <c r="IB25">
        <v>1.86737</v>
      </c>
      <c r="IC25">
        <v>1.86307</v>
      </c>
      <c r="ID25">
        <v>1.86249</v>
      </c>
      <c r="IE25">
        <v>1.8620300000000001</v>
      </c>
      <c r="IF25">
        <v>1.8620300000000001</v>
      </c>
      <c r="IG25">
        <v>1.8626400000000001</v>
      </c>
      <c r="IH25">
        <v>1.8635600000000001</v>
      </c>
      <c r="II25">
        <v>1.86145</v>
      </c>
      <c r="IJ25">
        <v>0</v>
      </c>
      <c r="IK25">
        <v>0</v>
      </c>
      <c r="IL25">
        <v>0</v>
      </c>
      <c r="IM25">
        <v>4.5</v>
      </c>
      <c r="IN25" t="s">
        <v>411</v>
      </c>
      <c r="IO25" t="s">
        <v>412</v>
      </c>
      <c r="IP25" t="s">
        <v>413</v>
      </c>
      <c r="IQ25" t="s">
        <v>414</v>
      </c>
      <c r="IR25" t="s">
        <v>414</v>
      </c>
      <c r="IS25" t="s">
        <v>413</v>
      </c>
      <c r="IT25">
        <v>0</v>
      </c>
      <c r="IU25">
        <v>100</v>
      </c>
      <c r="IV25">
        <v>100</v>
      </c>
      <c r="IW25">
        <v>-5.8869999999999996</v>
      </c>
      <c r="IX25">
        <v>-0.50800000000000001</v>
      </c>
      <c r="IY25">
        <v>-3.898534650856178</v>
      </c>
      <c r="IZ25">
        <v>-5.6215304933332991E-3</v>
      </c>
      <c r="JA25">
        <v>2.3979931213773931E-6</v>
      </c>
      <c r="JB25">
        <v>-3.6297174575716598E-10</v>
      </c>
      <c r="JC25">
        <v>-0.86922832934982486</v>
      </c>
      <c r="JD25">
        <v>2.7492919904454862E-4</v>
      </c>
      <c r="JE25">
        <v>8.6739513355948885E-4</v>
      </c>
      <c r="JF25">
        <v>-8.2500691715147318E-6</v>
      </c>
      <c r="JG25">
        <v>17</v>
      </c>
      <c r="JH25">
        <v>1914</v>
      </c>
      <c r="JI25">
        <v>2</v>
      </c>
      <c r="JJ25">
        <v>37</v>
      </c>
      <c r="JK25">
        <v>4.2</v>
      </c>
      <c r="JL25">
        <v>4.2</v>
      </c>
      <c r="JM25">
        <v>1.1230500000000001</v>
      </c>
      <c r="JN25">
        <v>2.5451700000000002</v>
      </c>
      <c r="JO25">
        <v>1.50024</v>
      </c>
      <c r="JP25">
        <v>2.2692899999999998</v>
      </c>
      <c r="JQ25">
        <v>1.4477500000000001</v>
      </c>
      <c r="JR25">
        <v>2.4060100000000002</v>
      </c>
      <c r="JS25">
        <v>44.223199999999999</v>
      </c>
      <c r="JT25">
        <v>14.263400000000001</v>
      </c>
      <c r="JU25">
        <v>18</v>
      </c>
      <c r="JV25">
        <v>542.48</v>
      </c>
      <c r="JW25">
        <v>383.18299999999999</v>
      </c>
      <c r="JX25">
        <v>25.0501</v>
      </c>
      <c r="JY25">
        <v>33.528100000000002</v>
      </c>
      <c r="JZ25">
        <v>30.000399999999999</v>
      </c>
      <c r="KA25">
        <v>33.578400000000002</v>
      </c>
      <c r="KB25">
        <v>33.572200000000002</v>
      </c>
      <c r="KC25">
        <v>22.456700000000001</v>
      </c>
      <c r="KD25">
        <v>39.123800000000003</v>
      </c>
      <c r="KE25">
        <v>0</v>
      </c>
      <c r="KF25">
        <v>25.05</v>
      </c>
      <c r="KG25">
        <v>447.16899999999998</v>
      </c>
      <c r="KH25">
        <v>23.1541</v>
      </c>
      <c r="KI25">
        <v>100.44499999999999</v>
      </c>
      <c r="KJ25">
        <v>98.875100000000003</v>
      </c>
    </row>
    <row r="26" spans="1:296" x14ac:dyDescent="0.3">
      <c r="A26">
        <v>10</v>
      </c>
      <c r="B26">
        <v>1783705111.0999999</v>
      </c>
      <c r="C26">
        <v>1881</v>
      </c>
      <c r="D26" t="s">
        <v>769</v>
      </c>
      <c r="E26" t="s">
        <v>770</v>
      </c>
      <c r="F26">
        <v>15</v>
      </c>
      <c r="H26">
        <v>1783705103.099999</v>
      </c>
      <c r="I26">
        <f t="shared" si="0"/>
        <v>1.1488649869184453E-3</v>
      </c>
      <c r="J26">
        <f t="shared" si="1"/>
        <v>1.1488649869184453</v>
      </c>
      <c r="K26">
        <f t="shared" si="2"/>
        <v>16.071015796865041</v>
      </c>
      <c r="L26">
        <f t="shared" si="3"/>
        <v>420.31358064516132</v>
      </c>
      <c r="M26">
        <f t="shared" si="4"/>
        <v>92.992701385009354</v>
      </c>
      <c r="N26">
        <f t="shared" si="5"/>
        <v>9.0791872093056458</v>
      </c>
      <c r="O26">
        <f t="shared" si="6"/>
        <v>41.036615008005036</v>
      </c>
      <c r="P26">
        <f t="shared" si="7"/>
        <v>8.1067897365895786E-2</v>
      </c>
      <c r="Q26">
        <f t="shared" si="8"/>
        <v>2.8836229618720521</v>
      </c>
      <c r="R26">
        <f t="shared" si="9"/>
        <v>7.9822728586179184E-2</v>
      </c>
      <c r="S26">
        <f t="shared" si="10"/>
        <v>4.9999485646476133E-2</v>
      </c>
      <c r="T26">
        <f t="shared" si="11"/>
        <v>48.439884560728125</v>
      </c>
      <c r="U26">
        <f t="shared" si="12"/>
        <v>27.847962962932534</v>
      </c>
      <c r="V26">
        <f t="shared" si="13"/>
        <v>28.005948387096769</v>
      </c>
      <c r="W26">
        <f t="shared" si="14"/>
        <v>3.7961558172135943</v>
      </c>
      <c r="X26">
        <f t="shared" si="15"/>
        <v>64.708526410079827</v>
      </c>
      <c r="Y26">
        <f t="shared" si="16"/>
        <v>2.4357953989833776</v>
      </c>
      <c r="Z26">
        <f t="shared" si="17"/>
        <v>3.764257253436615</v>
      </c>
      <c r="AA26">
        <f t="shared" si="18"/>
        <v>1.3603604182302167</v>
      </c>
      <c r="AB26">
        <f t="shared" si="19"/>
        <v>-50.664945923103438</v>
      </c>
      <c r="AC26">
        <f t="shared" si="20"/>
        <v>-22.491823768554838</v>
      </c>
      <c r="AD26">
        <f t="shared" si="21"/>
        <v>-1.6990631205403077</v>
      </c>
      <c r="AE26">
        <f t="shared" si="22"/>
        <v>-26.415948251470461</v>
      </c>
      <c r="AF26">
        <f t="shared" si="23"/>
        <v>16.071015796865041</v>
      </c>
      <c r="AG26">
        <f t="shared" si="24"/>
        <v>1.1488649869184453</v>
      </c>
      <c r="AH26">
        <f t="shared" si="25"/>
        <v>15.622674164233834</v>
      </c>
      <c r="AI26">
        <v>450.57836017193023</v>
      </c>
      <c r="AJ26">
        <v>431.17988484848462</v>
      </c>
      <c r="AK26">
        <v>3.7705247592559887E-2</v>
      </c>
      <c r="AL26">
        <v>67.015524550555</v>
      </c>
      <c r="AM26">
        <f t="shared" si="26"/>
        <v>1.1311761439141441</v>
      </c>
      <c r="AN26">
        <v>23.60744297017316</v>
      </c>
      <c r="AO26">
        <v>24.93149575757576</v>
      </c>
      <c r="AP26">
        <v>-6.7753363753494028E-5</v>
      </c>
      <c r="AQ26">
        <v>78.55</v>
      </c>
      <c r="AR26">
        <v>0</v>
      </c>
      <c r="AS26">
        <v>0</v>
      </c>
      <c r="AT26">
        <f t="shared" si="27"/>
        <v>1</v>
      </c>
      <c r="AU26">
        <f t="shared" si="28"/>
        <v>0</v>
      </c>
      <c r="AV26">
        <f t="shared" si="29"/>
        <v>51361.276129990256</v>
      </c>
      <c r="AW26" t="s">
        <v>731</v>
      </c>
      <c r="AX26">
        <v>5102.38</v>
      </c>
      <c r="AY26">
        <v>567.49705882352941</v>
      </c>
      <c r="AZ26">
        <v>2458.08</v>
      </c>
      <c r="BA26">
        <f t="shared" si="30"/>
        <v>0.76912994742907903</v>
      </c>
      <c r="BB26">
        <v>-4.7837446069883294</v>
      </c>
      <c r="BC26" t="s">
        <v>771</v>
      </c>
      <c r="BD26">
        <v>5094.9399999999996</v>
      </c>
      <c r="BE26">
        <v>769.4885294117646</v>
      </c>
      <c r="BF26">
        <v>1827.77</v>
      </c>
      <c r="BG26">
        <f t="shared" si="31"/>
        <v>0.57900144470487835</v>
      </c>
      <c r="BH26">
        <v>0.5</v>
      </c>
      <c r="BI26">
        <f t="shared" si="32"/>
        <v>252.27355704801212</v>
      </c>
      <c r="BJ26">
        <f t="shared" si="33"/>
        <v>16.071015796865041</v>
      </c>
      <c r="BK26">
        <f t="shared" si="34"/>
        <v>73.033376995818784</v>
      </c>
      <c r="BL26">
        <f t="shared" si="35"/>
        <v>8.2667246808924719E-2</v>
      </c>
      <c r="BM26">
        <f t="shared" si="36"/>
        <v>0.34485192338204473</v>
      </c>
      <c r="BN26">
        <f t="shared" si="37"/>
        <v>525.64714533054075</v>
      </c>
      <c r="BO26" t="s">
        <v>407</v>
      </c>
      <c r="BP26">
        <v>0</v>
      </c>
      <c r="BQ26">
        <f t="shared" si="38"/>
        <v>525.64714533054075</v>
      </c>
      <c r="BR26">
        <f t="shared" si="39"/>
        <v>0.71241067238736777</v>
      </c>
      <c r="BS26">
        <f t="shared" si="40"/>
        <v>0.81273550095000646</v>
      </c>
      <c r="BT26">
        <f t="shared" si="41"/>
        <v>0.3261743343252223</v>
      </c>
      <c r="BU26">
        <f t="shared" si="42"/>
        <v>0.83972402803501023</v>
      </c>
      <c r="BV26">
        <f t="shared" si="43"/>
        <v>0.33339452412903459</v>
      </c>
      <c r="BW26">
        <f t="shared" si="44"/>
        <v>0.55518968724555273</v>
      </c>
      <c r="BX26">
        <f t="shared" si="45"/>
        <v>0.44481031275444727</v>
      </c>
      <c r="DG26">
        <f t="shared" si="46"/>
        <v>299.97816129032248</v>
      </c>
      <c r="DH26">
        <f t="shared" si="47"/>
        <v>252.27355704801212</v>
      </c>
      <c r="DI26">
        <f t="shared" si="48"/>
        <v>0.84097307604955529</v>
      </c>
      <c r="DJ26">
        <f t="shared" si="49"/>
        <v>0.16147803677564188</v>
      </c>
      <c r="DK26">
        <v>6</v>
      </c>
      <c r="DL26">
        <v>0.5</v>
      </c>
      <c r="DM26" t="s">
        <v>408</v>
      </c>
      <c r="DN26">
        <v>2</v>
      </c>
      <c r="DO26" t="b">
        <v>0</v>
      </c>
      <c r="DP26">
        <v>1783705103.099999</v>
      </c>
      <c r="DQ26">
        <v>420.31358064516132</v>
      </c>
      <c r="DR26">
        <v>440.1792903225807</v>
      </c>
      <c r="DS26">
        <v>24.948399999999999</v>
      </c>
      <c r="DT26">
        <v>23.60408709677419</v>
      </c>
      <c r="DU26">
        <v>426.20619354838709</v>
      </c>
      <c r="DV26">
        <v>25.41467096774193</v>
      </c>
      <c r="DW26">
        <v>499.97406451612898</v>
      </c>
      <c r="DX26">
        <v>97.581151612903213</v>
      </c>
      <c r="DY26">
        <v>5.2179541935483853E-2</v>
      </c>
      <c r="DZ26">
        <v>27.86127096774193</v>
      </c>
      <c r="EA26">
        <v>28.005948387096769</v>
      </c>
      <c r="EB26">
        <v>999.90000000000032</v>
      </c>
      <c r="EC26">
        <v>0</v>
      </c>
      <c r="ED26">
        <v>0</v>
      </c>
      <c r="EE26">
        <v>9981.9354838709678</v>
      </c>
      <c r="EF26">
        <v>0</v>
      </c>
      <c r="EG26">
        <v>630.1546129032256</v>
      </c>
      <c r="EH26">
        <v>-19.865606451612909</v>
      </c>
      <c r="EI26">
        <v>431.06799999999998</v>
      </c>
      <c r="EJ26">
        <v>450.82058064516121</v>
      </c>
      <c r="EK26">
        <v>1.344305483870968</v>
      </c>
      <c r="EL26">
        <v>440.1792903225807</v>
      </c>
      <c r="EM26">
        <v>23.60408709677419</v>
      </c>
      <c r="EN26">
        <v>2.4344945161290328</v>
      </c>
      <c r="EO26">
        <v>2.3033138709677421</v>
      </c>
      <c r="EP26">
        <v>20.595064516129039</v>
      </c>
      <c r="EQ26">
        <v>19.6996</v>
      </c>
      <c r="ER26">
        <v>299.97816129032248</v>
      </c>
      <c r="ES26">
        <v>0.96700896774193557</v>
      </c>
      <c r="ET26">
        <v>3.2990770967741931E-2</v>
      </c>
      <c r="EU26">
        <v>0</v>
      </c>
      <c r="EV26">
        <v>769.46603225806439</v>
      </c>
      <c r="EW26">
        <v>5.0010700000000003</v>
      </c>
      <c r="EX26">
        <v>6658.8651612903222</v>
      </c>
      <c r="EY26">
        <v>2667.8377419354838</v>
      </c>
      <c r="EZ26">
        <v>38.186999999999983</v>
      </c>
      <c r="FA26">
        <v>42.186999999999983</v>
      </c>
      <c r="FB26">
        <v>40.186999999999983</v>
      </c>
      <c r="FC26">
        <v>41.875</v>
      </c>
      <c r="FD26">
        <v>40.375</v>
      </c>
      <c r="FE26">
        <v>285.24548387096769</v>
      </c>
      <c r="FF26">
        <v>9.7300000000000022</v>
      </c>
      <c r="FG26">
        <v>0</v>
      </c>
      <c r="FH26">
        <v>206.5999999046326</v>
      </c>
      <c r="FI26">
        <v>0</v>
      </c>
      <c r="FJ26">
        <v>769.4885294117646</v>
      </c>
      <c r="FK26">
        <v>-0.43014707776308719</v>
      </c>
      <c r="FL26">
        <v>-638.53186480222541</v>
      </c>
      <c r="FM26">
        <v>6575.13294117647</v>
      </c>
      <c r="FN26">
        <v>10</v>
      </c>
      <c r="FO26">
        <v>1783705033.5999999</v>
      </c>
      <c r="FP26" t="s">
        <v>772</v>
      </c>
      <c r="FQ26">
        <v>1783705033.5999999</v>
      </c>
      <c r="FR26">
        <v>1783705031.5999999</v>
      </c>
      <c r="FS26">
        <v>36</v>
      </c>
      <c r="FT26">
        <v>-6.0000000000000001E-3</v>
      </c>
      <c r="FU26">
        <v>-5.0000000000000001E-3</v>
      </c>
      <c r="FV26">
        <v>-5.9740000000000002</v>
      </c>
      <c r="FW26">
        <v>-0.50600000000000001</v>
      </c>
      <c r="FX26">
        <v>442</v>
      </c>
      <c r="FY26">
        <v>23</v>
      </c>
      <c r="FZ26">
        <v>0.33</v>
      </c>
      <c r="GA26">
        <v>0.18</v>
      </c>
      <c r="GB26">
        <v>420.30896666666672</v>
      </c>
      <c r="GC26">
        <v>0.56198442714148455</v>
      </c>
      <c r="GD26">
        <v>6.8646186266163353E-2</v>
      </c>
      <c r="GE26">
        <v>-1</v>
      </c>
      <c r="GF26">
        <v>769.41423529411759</v>
      </c>
      <c r="GG26">
        <v>0.70359052519972087</v>
      </c>
      <c r="GH26">
        <v>0.1945324800981745</v>
      </c>
      <c r="GI26">
        <v>1</v>
      </c>
      <c r="GJ26">
        <v>1.3513202499999999</v>
      </c>
      <c r="GK26">
        <v>-0.15538277673546669</v>
      </c>
      <c r="GL26">
        <v>1.541305477306493E-2</v>
      </c>
      <c r="GM26">
        <v>1</v>
      </c>
      <c r="GN26">
        <v>2</v>
      </c>
      <c r="GO26">
        <v>2</v>
      </c>
      <c r="GP26" t="s">
        <v>423</v>
      </c>
      <c r="GQ26">
        <v>3.1324800000000002</v>
      </c>
      <c r="GR26">
        <v>2.7287499999999998</v>
      </c>
      <c r="GS26">
        <v>9.13939E-2</v>
      </c>
      <c r="GT26">
        <v>9.4301200000000002E-2</v>
      </c>
      <c r="GU26">
        <v>0.11631900000000001</v>
      </c>
      <c r="GV26">
        <v>0.110793</v>
      </c>
      <c r="GW26">
        <v>22789.4</v>
      </c>
      <c r="GX26">
        <v>30484.6</v>
      </c>
      <c r="GY26">
        <v>27206.9</v>
      </c>
      <c r="GZ26">
        <v>34610.400000000001</v>
      </c>
      <c r="HA26">
        <v>35217.300000000003</v>
      </c>
      <c r="HB26">
        <v>39006.5</v>
      </c>
      <c r="HC26">
        <v>40182.800000000003</v>
      </c>
      <c r="HD26">
        <v>43948.1</v>
      </c>
      <c r="HE26">
        <v>1.9661999999999999</v>
      </c>
      <c r="HF26">
        <v>1.6928000000000001</v>
      </c>
      <c r="HG26">
        <v>-6.3121300000000005E-2</v>
      </c>
      <c r="HH26">
        <v>0</v>
      </c>
      <c r="HI26">
        <v>29.039300000000001</v>
      </c>
      <c r="HJ26">
        <v>999.9</v>
      </c>
      <c r="HK26">
        <v>43.8</v>
      </c>
      <c r="HL26">
        <v>40.799999999999997</v>
      </c>
      <c r="HM26">
        <v>34.722700000000003</v>
      </c>
      <c r="HN26">
        <v>60.158700000000003</v>
      </c>
      <c r="HO26">
        <v>8.6298100000000009</v>
      </c>
      <c r="HP26">
        <v>1</v>
      </c>
      <c r="HQ26">
        <v>0.53459400000000001</v>
      </c>
      <c r="HR26">
        <v>3.25752</v>
      </c>
      <c r="HS26">
        <v>20.250800000000002</v>
      </c>
      <c r="HT26">
        <v>5.2112999999999996</v>
      </c>
      <c r="HU26">
        <v>11.908099999999999</v>
      </c>
      <c r="HV26">
        <v>4.9851999999999999</v>
      </c>
      <c r="HW26">
        <v>3.2707999999999999</v>
      </c>
      <c r="HX26">
        <v>9999</v>
      </c>
      <c r="HY26">
        <v>9999</v>
      </c>
      <c r="HZ26">
        <v>9999</v>
      </c>
      <c r="IA26">
        <v>999.9</v>
      </c>
      <c r="IB26">
        <v>1.86737</v>
      </c>
      <c r="IC26">
        <v>1.86307</v>
      </c>
      <c r="ID26">
        <v>1.86249</v>
      </c>
      <c r="IE26">
        <v>1.8620300000000001</v>
      </c>
      <c r="IF26">
        <v>1.8620300000000001</v>
      </c>
      <c r="IG26">
        <v>1.8626400000000001</v>
      </c>
      <c r="IH26">
        <v>1.8635600000000001</v>
      </c>
      <c r="II26">
        <v>1.86148</v>
      </c>
      <c r="IJ26">
        <v>0</v>
      </c>
      <c r="IK26">
        <v>0</v>
      </c>
      <c r="IL26">
        <v>0</v>
      </c>
      <c r="IM26">
        <v>4.5</v>
      </c>
      <c r="IN26" t="s">
        <v>411</v>
      </c>
      <c r="IO26" t="s">
        <v>412</v>
      </c>
      <c r="IP26" t="s">
        <v>413</v>
      </c>
      <c r="IQ26" t="s">
        <v>414</v>
      </c>
      <c r="IR26" t="s">
        <v>414</v>
      </c>
      <c r="IS26" t="s">
        <v>413</v>
      </c>
      <c r="IT26">
        <v>0</v>
      </c>
      <c r="IU26">
        <v>100</v>
      </c>
      <c r="IV26">
        <v>100</v>
      </c>
      <c r="IW26">
        <v>-5.8929999999999998</v>
      </c>
      <c r="IX26">
        <v>-0.46660000000000001</v>
      </c>
      <c r="IY26">
        <v>-3.9041946825485478</v>
      </c>
      <c r="IZ26">
        <v>-5.6215304933332991E-3</v>
      </c>
      <c r="JA26">
        <v>2.3979931213773931E-6</v>
      </c>
      <c r="JB26">
        <v>-3.6297174575716598E-10</v>
      </c>
      <c r="JC26">
        <v>-0.89808273441382513</v>
      </c>
      <c r="JD26">
        <v>2.7492919904454862E-4</v>
      </c>
      <c r="JE26">
        <v>8.6739513355948885E-4</v>
      </c>
      <c r="JF26">
        <v>-8.2500691715147318E-6</v>
      </c>
      <c r="JG26">
        <v>17</v>
      </c>
      <c r="JH26">
        <v>1914</v>
      </c>
      <c r="JI26">
        <v>2</v>
      </c>
      <c r="JJ26">
        <v>37</v>
      </c>
      <c r="JK26">
        <v>1.3</v>
      </c>
      <c r="JL26">
        <v>1.3</v>
      </c>
      <c r="JM26">
        <v>1.1084000000000001</v>
      </c>
      <c r="JN26">
        <v>2.5598100000000001</v>
      </c>
      <c r="JO26">
        <v>1.50024</v>
      </c>
      <c r="JP26">
        <v>2.2692899999999998</v>
      </c>
      <c r="JQ26">
        <v>1.4477500000000001</v>
      </c>
      <c r="JR26">
        <v>2.3059099999999999</v>
      </c>
      <c r="JS26">
        <v>44.445599999999999</v>
      </c>
      <c r="JT26">
        <v>14.2371</v>
      </c>
      <c r="JU26">
        <v>18</v>
      </c>
      <c r="JV26">
        <v>542.27499999999998</v>
      </c>
      <c r="JW26">
        <v>383.14499999999998</v>
      </c>
      <c r="JX26">
        <v>25.0505</v>
      </c>
      <c r="JY26">
        <v>33.732300000000002</v>
      </c>
      <c r="JZ26">
        <v>30.000399999999999</v>
      </c>
      <c r="KA26">
        <v>33.778599999999997</v>
      </c>
      <c r="KB26">
        <v>33.774999999999999</v>
      </c>
      <c r="KC26">
        <v>22.161200000000001</v>
      </c>
      <c r="KD26">
        <v>38.5212</v>
      </c>
      <c r="KE26">
        <v>0</v>
      </c>
      <c r="KF26">
        <v>25.05</v>
      </c>
      <c r="KG26">
        <v>439.68599999999998</v>
      </c>
      <c r="KH26">
        <v>23.622699999999998</v>
      </c>
      <c r="KI26">
        <v>100.42100000000001</v>
      </c>
      <c r="KJ26">
        <v>98.843400000000003</v>
      </c>
    </row>
    <row r="27" spans="1:296" x14ac:dyDescent="0.3">
      <c r="A27">
        <v>11</v>
      </c>
      <c r="B27">
        <v>1783705293.5999999</v>
      </c>
      <c r="C27">
        <v>2063.5</v>
      </c>
      <c r="D27" t="s">
        <v>773</v>
      </c>
      <c r="E27" t="s">
        <v>774</v>
      </c>
      <c r="F27">
        <v>15</v>
      </c>
      <c r="H27">
        <v>1783705285.849999</v>
      </c>
      <c r="I27">
        <f t="shared" si="0"/>
        <v>3.3945011854487838E-4</v>
      </c>
      <c r="J27">
        <f t="shared" si="1"/>
        <v>0.33945011854487839</v>
      </c>
      <c r="K27">
        <f t="shared" si="2"/>
        <v>5.864772344865548</v>
      </c>
      <c r="L27">
        <f t="shared" si="3"/>
        <v>420.43946666666682</v>
      </c>
      <c r="M27">
        <f t="shared" si="4"/>
        <v>37.384769339283679</v>
      </c>
      <c r="N27">
        <f t="shared" si="5"/>
        <v>3.6499426541589011</v>
      </c>
      <c r="O27">
        <f t="shared" si="6"/>
        <v>41.048265643997432</v>
      </c>
      <c r="P27">
        <f t="shared" si="7"/>
        <v>2.492335143732928E-2</v>
      </c>
      <c r="Q27">
        <f t="shared" si="8"/>
        <v>2.8861713062500036</v>
      </c>
      <c r="R27">
        <f t="shared" si="9"/>
        <v>2.4804398694782528E-2</v>
      </c>
      <c r="S27">
        <f t="shared" si="10"/>
        <v>1.5513389163269272E-2</v>
      </c>
      <c r="T27">
        <f t="shared" si="11"/>
        <v>32.484989288505659</v>
      </c>
      <c r="U27">
        <f t="shared" si="12"/>
        <v>27.644132153392643</v>
      </c>
      <c r="V27">
        <f t="shared" si="13"/>
        <v>27.549103333333338</v>
      </c>
      <c r="W27">
        <f t="shared" si="14"/>
        <v>3.6962259984079435</v>
      </c>
      <c r="X27">
        <f t="shared" si="15"/>
        <v>65.017993512731991</v>
      </c>
      <c r="Y27">
        <f t="shared" si="16"/>
        <v>2.4018534726147305</v>
      </c>
      <c r="Z27">
        <f t="shared" si="17"/>
        <v>3.6941365656637704</v>
      </c>
      <c r="AA27">
        <f t="shared" si="18"/>
        <v>1.294372525793213</v>
      </c>
      <c r="AB27">
        <f t="shared" si="19"/>
        <v>-14.969750227829136</v>
      </c>
      <c r="AC27">
        <f t="shared" si="20"/>
        <v>-1.5041262521381653</v>
      </c>
      <c r="AD27">
        <f t="shared" si="21"/>
        <v>-0.11308337238955721</v>
      </c>
      <c r="AE27">
        <f t="shared" si="22"/>
        <v>15.898029436148795</v>
      </c>
      <c r="AF27">
        <f t="shared" si="23"/>
        <v>5.864772344865548</v>
      </c>
      <c r="AG27">
        <f t="shared" si="24"/>
        <v>0.33945011854487839</v>
      </c>
      <c r="AH27">
        <f t="shared" si="25"/>
        <v>5.886891915415692</v>
      </c>
      <c r="AI27">
        <v>438.23548633708111</v>
      </c>
      <c r="AJ27">
        <v>430.98289090909071</v>
      </c>
      <c r="AK27">
        <v>2.6174896337272809E-3</v>
      </c>
      <c r="AL27">
        <v>67.015524550555</v>
      </c>
      <c r="AM27">
        <f t="shared" si="26"/>
        <v>0.35629203635255574</v>
      </c>
      <c r="AN27">
        <v>24.198558511645029</v>
      </c>
      <c r="AO27">
        <v>24.615878181818189</v>
      </c>
      <c r="AP27">
        <v>-5.3462416371685757E-5</v>
      </c>
      <c r="AQ27">
        <v>78.55</v>
      </c>
      <c r="AR27">
        <v>0</v>
      </c>
      <c r="AS27">
        <v>0</v>
      </c>
      <c r="AT27">
        <f t="shared" si="27"/>
        <v>1</v>
      </c>
      <c r="AU27">
        <f t="shared" si="28"/>
        <v>0</v>
      </c>
      <c r="AV27">
        <f t="shared" si="29"/>
        <v>51488.578625125985</v>
      </c>
      <c r="AW27" t="s">
        <v>731</v>
      </c>
      <c r="AX27">
        <v>5102.38</v>
      </c>
      <c r="AY27">
        <v>567.49705882352941</v>
      </c>
      <c r="AZ27">
        <v>2458.08</v>
      </c>
      <c r="BA27">
        <f t="shared" si="30"/>
        <v>0.76912994742907903</v>
      </c>
      <c r="BB27">
        <v>-4.7837446069883294</v>
      </c>
      <c r="BC27" t="s">
        <v>775</v>
      </c>
      <c r="BD27">
        <v>5096.42</v>
      </c>
      <c r="BE27">
        <v>774.52482352941183</v>
      </c>
      <c r="BF27">
        <v>1868.98</v>
      </c>
      <c r="BG27">
        <f t="shared" si="31"/>
        <v>0.5855895603326885</v>
      </c>
      <c r="BH27">
        <v>0.5</v>
      </c>
      <c r="BI27">
        <f t="shared" si="32"/>
        <v>168.29650184896667</v>
      </c>
      <c r="BJ27">
        <f t="shared" si="33"/>
        <v>5.864772344865548</v>
      </c>
      <c r="BK27">
        <f t="shared" si="34"/>
        <v>49.276337261632946</v>
      </c>
      <c r="BL27">
        <f t="shared" si="35"/>
        <v>6.327236059493449E-2</v>
      </c>
      <c r="BM27">
        <f t="shared" si="36"/>
        <v>0.31519866451219375</v>
      </c>
      <c r="BN27">
        <f t="shared" si="37"/>
        <v>529.00164496154207</v>
      </c>
      <c r="BO27" t="s">
        <v>407</v>
      </c>
      <c r="BP27">
        <v>0</v>
      </c>
      <c r="BQ27">
        <f t="shared" si="38"/>
        <v>529.00164496154207</v>
      </c>
      <c r="BR27">
        <f t="shared" si="39"/>
        <v>0.71695703273360767</v>
      </c>
      <c r="BS27">
        <f t="shared" si="40"/>
        <v>0.81677078764393685</v>
      </c>
      <c r="BT27">
        <f t="shared" si="41"/>
        <v>0.30537899015939957</v>
      </c>
      <c r="BU27">
        <f t="shared" si="42"/>
        <v>0.84092932903235718</v>
      </c>
      <c r="BV27">
        <f t="shared" si="43"/>
        <v>0.31159701442847842</v>
      </c>
      <c r="BW27">
        <f t="shared" si="44"/>
        <v>0.55785570338633483</v>
      </c>
      <c r="BX27">
        <f t="shared" si="45"/>
        <v>0.44214429661366517</v>
      </c>
      <c r="DG27">
        <f t="shared" si="46"/>
        <v>200.00496666666669</v>
      </c>
      <c r="DH27">
        <f t="shared" si="47"/>
        <v>168.29650184896667</v>
      </c>
      <c r="DI27">
        <f t="shared" si="48"/>
        <v>0.84146161294811173</v>
      </c>
      <c r="DJ27">
        <f t="shared" si="49"/>
        <v>0.1624209129898557</v>
      </c>
      <c r="DK27">
        <v>6</v>
      </c>
      <c r="DL27">
        <v>0.5</v>
      </c>
      <c r="DM27" t="s">
        <v>408</v>
      </c>
      <c r="DN27">
        <v>2</v>
      </c>
      <c r="DO27" t="b">
        <v>0</v>
      </c>
      <c r="DP27">
        <v>1783705285.849999</v>
      </c>
      <c r="DQ27">
        <v>420.43946666666682</v>
      </c>
      <c r="DR27">
        <v>427.64786666666657</v>
      </c>
      <c r="DS27">
        <v>24.601136666666669</v>
      </c>
      <c r="DT27">
        <v>24.203849999999999</v>
      </c>
      <c r="DU27">
        <v>426.33260000000001</v>
      </c>
      <c r="DV27">
        <v>25.098136666666669</v>
      </c>
      <c r="DW27">
        <v>500.04083333333341</v>
      </c>
      <c r="DX27">
        <v>97.580216666666672</v>
      </c>
      <c r="DY27">
        <v>5.1592186666666671E-2</v>
      </c>
      <c r="DZ27">
        <v>27.539436666666671</v>
      </c>
      <c r="EA27">
        <v>27.549103333333338</v>
      </c>
      <c r="EB27">
        <v>999.9000000000002</v>
      </c>
      <c r="EC27">
        <v>0</v>
      </c>
      <c r="ED27">
        <v>0</v>
      </c>
      <c r="EE27">
        <v>9996.6666666666661</v>
      </c>
      <c r="EF27">
        <v>0</v>
      </c>
      <c r="EG27">
        <v>1612.619333333334</v>
      </c>
      <c r="EH27">
        <v>-7.2084410000000014</v>
      </c>
      <c r="EI27">
        <v>431.05323333333342</v>
      </c>
      <c r="EJ27">
        <v>438.25536666666659</v>
      </c>
      <c r="EK27">
        <v>0.41905443333333331</v>
      </c>
      <c r="EL27">
        <v>427.64786666666657</v>
      </c>
      <c r="EM27">
        <v>24.203849999999999</v>
      </c>
      <c r="EN27">
        <v>2.402709333333334</v>
      </c>
      <c r="EO27">
        <v>2.3618169999999998</v>
      </c>
      <c r="EP27">
        <v>20.382043333333339</v>
      </c>
      <c r="EQ27">
        <v>20.104326666666669</v>
      </c>
      <c r="ER27">
        <v>200.00496666666669</v>
      </c>
      <c r="ES27">
        <v>0.95003006666666678</v>
      </c>
      <c r="ET27">
        <v>4.9969773333333328E-2</v>
      </c>
      <c r="EU27">
        <v>0</v>
      </c>
      <c r="EV27">
        <v>774.55463333333353</v>
      </c>
      <c r="EW27">
        <v>5.0010700000000003</v>
      </c>
      <c r="EX27">
        <v>5336.3356666666659</v>
      </c>
      <c r="EY27">
        <v>1751.8936666666671</v>
      </c>
      <c r="EZ27">
        <v>37.603999999999999</v>
      </c>
      <c r="FA27">
        <v>41.399799999999999</v>
      </c>
      <c r="FB27">
        <v>39.653933333333327</v>
      </c>
      <c r="FC27">
        <v>41.320399999999978</v>
      </c>
      <c r="FD27">
        <v>39.87073333333332</v>
      </c>
      <c r="FE27">
        <v>185.2596666666667</v>
      </c>
      <c r="FF27">
        <v>9.7443333333333353</v>
      </c>
      <c r="FG27">
        <v>0</v>
      </c>
      <c r="FH27">
        <v>181.60000014305109</v>
      </c>
      <c r="FI27">
        <v>0</v>
      </c>
      <c r="FJ27">
        <v>774.52482352941183</v>
      </c>
      <c r="FK27">
        <v>1.3624999947011709</v>
      </c>
      <c r="FL27">
        <v>9293.5833179448255</v>
      </c>
      <c r="FM27">
        <v>5549.5252941176477</v>
      </c>
      <c r="FN27">
        <v>10</v>
      </c>
      <c r="FO27">
        <v>1783705309.5999999</v>
      </c>
      <c r="FP27" t="s">
        <v>776</v>
      </c>
      <c r="FQ27">
        <v>1783705033.5999999</v>
      </c>
      <c r="FR27">
        <v>1783705309.5999999</v>
      </c>
      <c r="FS27">
        <v>37</v>
      </c>
      <c r="FT27">
        <v>-6.0000000000000001E-3</v>
      </c>
      <c r="FU27">
        <v>-8.9999999999999993E-3</v>
      </c>
      <c r="FV27">
        <v>-5.9740000000000002</v>
      </c>
      <c r="FW27">
        <v>-0.497</v>
      </c>
      <c r="FX27">
        <v>442</v>
      </c>
      <c r="FY27">
        <v>24</v>
      </c>
      <c r="FZ27">
        <v>0.33</v>
      </c>
      <c r="GA27">
        <v>0.6</v>
      </c>
      <c r="GB27">
        <v>420.43946666666682</v>
      </c>
      <c r="GC27">
        <v>-0.99614682981087477</v>
      </c>
      <c r="GD27">
        <v>8.3522744739911461E-2</v>
      </c>
      <c r="GE27">
        <v>-1</v>
      </c>
      <c r="GF27">
        <v>774.56344117647052</v>
      </c>
      <c r="GG27">
        <v>-2.1527881940784099E-2</v>
      </c>
      <c r="GH27">
        <v>0.23393050641998481</v>
      </c>
      <c r="GI27">
        <v>1</v>
      </c>
      <c r="GJ27">
        <v>0.41975299999999999</v>
      </c>
      <c r="GK27">
        <v>-1.2853575984990271E-2</v>
      </c>
      <c r="GL27">
        <v>3.4565830526692072E-3</v>
      </c>
      <c r="GM27">
        <v>1</v>
      </c>
      <c r="GN27">
        <v>2</v>
      </c>
      <c r="GO27">
        <v>2</v>
      </c>
      <c r="GP27" t="s">
        <v>423</v>
      </c>
      <c r="GQ27">
        <v>3.1319400000000002</v>
      </c>
      <c r="GR27">
        <v>2.7283200000000001</v>
      </c>
      <c r="GS27">
        <v>9.13741E-2</v>
      </c>
      <c r="GT27">
        <v>9.2306100000000002E-2</v>
      </c>
      <c r="GU27">
        <v>0.115314</v>
      </c>
      <c r="GV27">
        <v>0.112734</v>
      </c>
      <c r="GW27">
        <v>22791.8</v>
      </c>
      <c r="GX27">
        <v>30553.8</v>
      </c>
      <c r="GY27">
        <v>27209.1</v>
      </c>
      <c r="GZ27">
        <v>34612.6</v>
      </c>
      <c r="HA27">
        <v>35260.199999999997</v>
      </c>
      <c r="HB27">
        <v>38925.300000000003</v>
      </c>
      <c r="HC27">
        <v>40186.1</v>
      </c>
      <c r="HD27">
        <v>43952.800000000003</v>
      </c>
      <c r="HE27">
        <v>1.9652000000000001</v>
      </c>
      <c r="HF27">
        <v>1.696</v>
      </c>
      <c r="HG27">
        <v>-4.1127200000000003E-2</v>
      </c>
      <c r="HH27">
        <v>0</v>
      </c>
      <c r="HI27">
        <v>28.2135</v>
      </c>
      <c r="HJ27">
        <v>999.9</v>
      </c>
      <c r="HK27">
        <v>43.5</v>
      </c>
      <c r="HL27">
        <v>40.799999999999997</v>
      </c>
      <c r="HM27">
        <v>34.486899999999999</v>
      </c>
      <c r="HN27">
        <v>59.928699999999999</v>
      </c>
      <c r="HO27">
        <v>8.6698699999999995</v>
      </c>
      <c r="HP27">
        <v>1</v>
      </c>
      <c r="HQ27">
        <v>0.52835399999999999</v>
      </c>
      <c r="HR27">
        <v>3.0155799999999999</v>
      </c>
      <c r="HS27">
        <v>20.256599999999999</v>
      </c>
      <c r="HT27">
        <v>5.2100999999999997</v>
      </c>
      <c r="HU27">
        <v>11.908099999999999</v>
      </c>
      <c r="HV27">
        <v>4.9847999999999999</v>
      </c>
      <c r="HW27">
        <v>3.2707999999999999</v>
      </c>
      <c r="HX27">
        <v>9999</v>
      </c>
      <c r="HY27">
        <v>9999</v>
      </c>
      <c r="HZ27">
        <v>9999</v>
      </c>
      <c r="IA27">
        <v>999.9</v>
      </c>
      <c r="IB27">
        <v>1.86737</v>
      </c>
      <c r="IC27">
        <v>1.8631</v>
      </c>
      <c r="ID27">
        <v>1.86249</v>
      </c>
      <c r="IE27">
        <v>1.8620300000000001</v>
      </c>
      <c r="IF27">
        <v>1.8620300000000001</v>
      </c>
      <c r="IG27">
        <v>1.8626400000000001</v>
      </c>
      <c r="IH27">
        <v>1.8635600000000001</v>
      </c>
      <c r="II27">
        <v>1.8614200000000001</v>
      </c>
      <c r="IJ27">
        <v>0</v>
      </c>
      <c r="IK27">
        <v>0</v>
      </c>
      <c r="IL27">
        <v>0</v>
      </c>
      <c r="IM27">
        <v>4.5</v>
      </c>
      <c r="IN27" t="s">
        <v>411</v>
      </c>
      <c r="IO27" t="s">
        <v>412</v>
      </c>
      <c r="IP27" t="s">
        <v>413</v>
      </c>
      <c r="IQ27" t="s">
        <v>414</v>
      </c>
      <c r="IR27" t="s">
        <v>414</v>
      </c>
      <c r="IS27" t="s">
        <v>413</v>
      </c>
      <c r="IT27">
        <v>0</v>
      </c>
      <c r="IU27">
        <v>100</v>
      </c>
      <c r="IV27">
        <v>100</v>
      </c>
      <c r="IW27">
        <v>-5.8920000000000003</v>
      </c>
      <c r="IX27">
        <v>-0.497</v>
      </c>
      <c r="IY27">
        <v>-3.9041946825485478</v>
      </c>
      <c r="IZ27">
        <v>-5.6215304933332991E-3</v>
      </c>
      <c r="JA27">
        <v>2.3979931213773931E-6</v>
      </c>
      <c r="JB27">
        <v>-3.6297174575716598E-10</v>
      </c>
      <c r="JC27">
        <v>-0.89808273441382513</v>
      </c>
      <c r="JD27">
        <v>2.7492919904454862E-4</v>
      </c>
      <c r="JE27">
        <v>8.6739513355948885E-4</v>
      </c>
      <c r="JF27">
        <v>-8.2500691715147318E-6</v>
      </c>
      <c r="JG27">
        <v>17</v>
      </c>
      <c r="JH27">
        <v>1914</v>
      </c>
      <c r="JI27">
        <v>2</v>
      </c>
      <c r="JJ27">
        <v>37</v>
      </c>
      <c r="JK27">
        <v>4.3</v>
      </c>
      <c r="JL27">
        <v>4.4000000000000004</v>
      </c>
      <c r="JM27">
        <v>1.0827599999999999</v>
      </c>
      <c r="JN27">
        <v>2.5585900000000001</v>
      </c>
      <c r="JO27">
        <v>1.50024</v>
      </c>
      <c r="JP27">
        <v>2.2692899999999998</v>
      </c>
      <c r="JQ27">
        <v>1.4477500000000001</v>
      </c>
      <c r="JR27">
        <v>2.32178</v>
      </c>
      <c r="JS27">
        <v>44.334200000000003</v>
      </c>
      <c r="JT27">
        <v>14.2196</v>
      </c>
      <c r="JU27">
        <v>18</v>
      </c>
      <c r="JV27">
        <v>541.73400000000004</v>
      </c>
      <c r="JW27">
        <v>384.96199999999999</v>
      </c>
      <c r="JX27">
        <v>25.048400000000001</v>
      </c>
      <c r="JY27">
        <v>33.714100000000002</v>
      </c>
      <c r="JZ27">
        <v>29.999199999999998</v>
      </c>
      <c r="KA27">
        <v>33.793599999999998</v>
      </c>
      <c r="KB27">
        <v>33.774999999999999</v>
      </c>
      <c r="KC27">
        <v>21.6692</v>
      </c>
      <c r="KD27">
        <v>36.787500000000001</v>
      </c>
      <c r="KE27">
        <v>0</v>
      </c>
      <c r="KF27">
        <v>25.05</v>
      </c>
      <c r="KG27">
        <v>427.423</v>
      </c>
      <c r="KH27">
        <v>24.279599999999999</v>
      </c>
      <c r="KI27">
        <v>100.429</v>
      </c>
      <c r="KJ27">
        <v>98.852000000000004</v>
      </c>
    </row>
    <row r="28" spans="1:296" x14ac:dyDescent="0.3">
      <c r="A28">
        <v>12</v>
      </c>
      <c r="B28">
        <v>1783705490.5999999</v>
      </c>
      <c r="C28">
        <v>2260.5</v>
      </c>
      <c r="D28" t="s">
        <v>777</v>
      </c>
      <c r="E28" t="s">
        <v>778</v>
      </c>
      <c r="F28">
        <v>15</v>
      </c>
      <c r="H28">
        <v>1783705482.599999</v>
      </c>
      <c r="I28">
        <f t="shared" si="0"/>
        <v>7.3901835984654951E-4</v>
      </c>
      <c r="J28">
        <f t="shared" si="1"/>
        <v>0.73901835984654951</v>
      </c>
      <c r="K28">
        <f t="shared" si="2"/>
        <v>2.7884507310333149</v>
      </c>
      <c r="L28">
        <f t="shared" si="3"/>
        <v>420.17851612903218</v>
      </c>
      <c r="M28">
        <f t="shared" si="4"/>
        <v>324.40405155311907</v>
      </c>
      <c r="N28">
        <f t="shared" si="5"/>
        <v>31.672917147238003</v>
      </c>
      <c r="O28">
        <f t="shared" si="6"/>
        <v>41.023776567183532</v>
      </c>
      <c r="P28">
        <f t="shared" si="7"/>
        <v>5.1614633159573382E-2</v>
      </c>
      <c r="Q28">
        <f t="shared" si="8"/>
        <v>2.8887045079154361</v>
      </c>
      <c r="R28">
        <f t="shared" si="9"/>
        <v>5.1107710914152567E-2</v>
      </c>
      <c r="S28">
        <f t="shared" si="10"/>
        <v>3.1987449249318921E-2</v>
      </c>
      <c r="T28">
        <f t="shared" si="11"/>
        <v>16.51027106494967</v>
      </c>
      <c r="U28">
        <f t="shared" si="12"/>
        <v>27.653044298646591</v>
      </c>
      <c r="V28">
        <f t="shared" si="13"/>
        <v>27.908783870967738</v>
      </c>
      <c r="W28">
        <f t="shared" si="14"/>
        <v>3.7747070375313201</v>
      </c>
      <c r="X28">
        <f t="shared" si="15"/>
        <v>64.38019532329416</v>
      </c>
      <c r="Y28">
        <f t="shared" si="16"/>
        <v>2.4076136684240255</v>
      </c>
      <c r="Z28">
        <f t="shared" si="17"/>
        <v>3.7396805901781693</v>
      </c>
      <c r="AA28">
        <f t="shared" si="18"/>
        <v>1.3670933691072946</v>
      </c>
      <c r="AB28">
        <f t="shared" si="19"/>
        <v>-32.590709669232837</v>
      </c>
      <c r="AC28">
        <f t="shared" si="20"/>
        <v>-24.873022732364049</v>
      </c>
      <c r="AD28">
        <f t="shared" si="21"/>
        <v>-1.8736802189963644</v>
      </c>
      <c r="AE28">
        <f t="shared" si="22"/>
        <v>-42.827141555643578</v>
      </c>
      <c r="AF28">
        <f t="shared" si="23"/>
        <v>2.7884507310333149</v>
      </c>
      <c r="AG28">
        <f t="shared" si="24"/>
        <v>0.73901835984654951</v>
      </c>
      <c r="AH28">
        <f t="shared" si="25"/>
        <v>2.6496243992378363</v>
      </c>
      <c r="AI28">
        <v>434.27654808330698</v>
      </c>
      <c r="AJ28">
        <v>430.81733939393939</v>
      </c>
      <c r="AK28">
        <v>3.8687048102649849E-2</v>
      </c>
      <c r="AL28">
        <v>67.077986774305032</v>
      </c>
      <c r="AM28">
        <f t="shared" si="26"/>
        <v>0.71510163805213312</v>
      </c>
      <c r="AN28">
        <v>23.828083534805199</v>
      </c>
      <c r="AO28">
        <v>24.66768848484849</v>
      </c>
      <c r="AP28">
        <v>-4.4411012986945341E-4</v>
      </c>
      <c r="AQ28">
        <v>78.55</v>
      </c>
      <c r="AR28">
        <v>0</v>
      </c>
      <c r="AS28">
        <v>0</v>
      </c>
      <c r="AT28">
        <f t="shared" si="27"/>
        <v>1</v>
      </c>
      <c r="AU28">
        <f t="shared" si="28"/>
        <v>0</v>
      </c>
      <c r="AV28">
        <f t="shared" si="29"/>
        <v>51524.624338299436</v>
      </c>
      <c r="AW28" t="s">
        <v>731</v>
      </c>
      <c r="AX28">
        <v>5102.38</v>
      </c>
      <c r="AY28">
        <v>567.49705882352941</v>
      </c>
      <c r="AZ28">
        <v>2458.08</v>
      </c>
      <c r="BA28">
        <f t="shared" si="30"/>
        <v>0.76912994742907903</v>
      </c>
      <c r="BB28">
        <v>-4.7837446069883294</v>
      </c>
      <c r="BC28" t="s">
        <v>779</v>
      </c>
      <c r="BD28">
        <v>5102.1099999999997</v>
      </c>
      <c r="BE28">
        <v>760.79347058823532</v>
      </c>
      <c r="BF28">
        <v>2138.14</v>
      </c>
      <c r="BG28">
        <f t="shared" si="31"/>
        <v>0.6441797681217154</v>
      </c>
      <c r="BH28">
        <v>0.5</v>
      </c>
      <c r="BI28">
        <f t="shared" si="32"/>
        <v>84.288541960445244</v>
      </c>
      <c r="BJ28">
        <f t="shared" si="33"/>
        <v>2.7884507310333149</v>
      </c>
      <c r="BK28">
        <f t="shared" si="34"/>
        <v>27.148486707698549</v>
      </c>
      <c r="BL28">
        <f t="shared" si="35"/>
        <v>8.9836591805978902E-2</v>
      </c>
      <c r="BM28">
        <f t="shared" si="36"/>
        <v>0.14963472925065716</v>
      </c>
      <c r="BN28">
        <f t="shared" si="37"/>
        <v>548.54686141284753</v>
      </c>
      <c r="BO28" t="s">
        <v>407</v>
      </c>
      <c r="BP28">
        <v>0</v>
      </c>
      <c r="BQ28">
        <f t="shared" si="38"/>
        <v>548.54686141284753</v>
      </c>
      <c r="BR28">
        <f t="shared" si="39"/>
        <v>0.74344670535472535</v>
      </c>
      <c r="BS28">
        <f t="shared" si="40"/>
        <v>0.86647739976782057</v>
      </c>
      <c r="BT28">
        <f t="shared" si="41"/>
        <v>0.16754880736802558</v>
      </c>
      <c r="BU28">
        <f t="shared" si="42"/>
        <v>0.8769316649270269</v>
      </c>
      <c r="BV28">
        <f t="shared" si="43"/>
        <v>0.16922822745925553</v>
      </c>
      <c r="BW28">
        <f t="shared" si="44"/>
        <v>0.62474702597053688</v>
      </c>
      <c r="BX28">
        <f t="shared" si="45"/>
        <v>0.37525297402946312</v>
      </c>
      <c r="DG28">
        <f t="shared" si="46"/>
        <v>100.0045258064516</v>
      </c>
      <c r="DH28">
        <f t="shared" si="47"/>
        <v>84.288541960445244</v>
      </c>
      <c r="DI28">
        <f t="shared" si="48"/>
        <v>0.84284727396815007</v>
      </c>
      <c r="DJ28">
        <f t="shared" si="49"/>
        <v>0.16509523875852969</v>
      </c>
      <c r="DK28">
        <v>6</v>
      </c>
      <c r="DL28">
        <v>0.5</v>
      </c>
      <c r="DM28" t="s">
        <v>408</v>
      </c>
      <c r="DN28">
        <v>2</v>
      </c>
      <c r="DO28" t="b">
        <v>0</v>
      </c>
      <c r="DP28">
        <v>1783705482.599999</v>
      </c>
      <c r="DQ28">
        <v>420.17851612903218</v>
      </c>
      <c r="DR28">
        <v>423.89696774193538</v>
      </c>
      <c r="DS28">
        <v>24.659541935483869</v>
      </c>
      <c r="DT28">
        <v>23.79466129032258</v>
      </c>
      <c r="DU28">
        <v>426.07070967741942</v>
      </c>
      <c r="DV28">
        <v>25.159541935483869</v>
      </c>
      <c r="DW28">
        <v>500.04206451612902</v>
      </c>
      <c r="DX28">
        <v>97.582764516129032</v>
      </c>
      <c r="DY28">
        <v>5.1395709677419361E-2</v>
      </c>
      <c r="DZ28">
        <v>27.74907096774194</v>
      </c>
      <c r="EA28">
        <v>27.908783870967738</v>
      </c>
      <c r="EB28">
        <v>999.90000000000032</v>
      </c>
      <c r="EC28">
        <v>0</v>
      </c>
      <c r="ED28">
        <v>0</v>
      </c>
      <c r="EE28">
        <v>10010.967741935479</v>
      </c>
      <c r="EF28">
        <v>0</v>
      </c>
      <c r="EG28">
        <v>1877.740580645162</v>
      </c>
      <c r="EH28">
        <v>-3.718335483870967</v>
      </c>
      <c r="EI28">
        <v>430.80948387096771</v>
      </c>
      <c r="EJ28">
        <v>434.22932258064509</v>
      </c>
      <c r="EK28">
        <v>0.88189119354838719</v>
      </c>
      <c r="EL28">
        <v>423.89696774193538</v>
      </c>
      <c r="EM28">
        <v>23.79466129032258</v>
      </c>
      <c r="EN28">
        <v>2.4080064516129029</v>
      </c>
      <c r="EO28">
        <v>2.3219500000000002</v>
      </c>
      <c r="EP28">
        <v>20.417722580645162</v>
      </c>
      <c r="EQ28">
        <v>19.829441935483871</v>
      </c>
      <c r="ER28">
        <v>100.0045258064516</v>
      </c>
      <c r="ES28">
        <v>0.90007561290322591</v>
      </c>
      <c r="ET28">
        <v>9.9924567741935505E-2</v>
      </c>
      <c r="EU28">
        <v>0</v>
      </c>
      <c r="EV28">
        <v>760.6753870967741</v>
      </c>
      <c r="EW28">
        <v>5.0010700000000003</v>
      </c>
      <c r="EX28">
        <v>5541.5170967741942</v>
      </c>
      <c r="EY28">
        <v>836.63667741935501</v>
      </c>
      <c r="EZ28">
        <v>37.186999999999983</v>
      </c>
      <c r="FA28">
        <v>41.088419354838678</v>
      </c>
      <c r="FB28">
        <v>39.286000000000001</v>
      </c>
      <c r="FC28">
        <v>40.941064516129018</v>
      </c>
      <c r="FD28">
        <v>39.481709677419339</v>
      </c>
      <c r="FE28">
        <v>85.51161290322581</v>
      </c>
      <c r="FF28">
        <v>9.4912903225806478</v>
      </c>
      <c r="FG28">
        <v>0</v>
      </c>
      <c r="FH28">
        <v>196.4000000953674</v>
      </c>
      <c r="FI28">
        <v>0</v>
      </c>
      <c r="FJ28">
        <v>760.79347058823532</v>
      </c>
      <c r="FK28">
        <v>-0.53431372416846479</v>
      </c>
      <c r="FL28">
        <v>-1635.3014624797529</v>
      </c>
      <c r="FM28">
        <v>5517.0388235294122</v>
      </c>
      <c r="FN28">
        <v>10</v>
      </c>
      <c r="FO28">
        <v>1783705509.0999999</v>
      </c>
      <c r="FP28" t="s">
        <v>780</v>
      </c>
      <c r="FQ28">
        <v>1783705033.5999999</v>
      </c>
      <c r="FR28">
        <v>1783705509.0999999</v>
      </c>
      <c r="FS28">
        <v>38</v>
      </c>
      <c r="FT28">
        <v>-6.0000000000000001E-3</v>
      </c>
      <c r="FU28">
        <v>4.0000000000000001E-3</v>
      </c>
      <c r="FV28">
        <v>-5.9740000000000002</v>
      </c>
      <c r="FW28">
        <v>-0.5</v>
      </c>
      <c r="FX28">
        <v>442</v>
      </c>
      <c r="FY28">
        <v>24</v>
      </c>
      <c r="FZ28">
        <v>0.33</v>
      </c>
      <c r="GA28">
        <v>0.44</v>
      </c>
      <c r="GB28">
        <v>420.18135483870958</v>
      </c>
      <c r="GC28">
        <v>-0.98579032258259525</v>
      </c>
      <c r="GD28">
        <v>9.0179587271497927E-2</v>
      </c>
      <c r="GE28">
        <v>-1</v>
      </c>
      <c r="GF28">
        <v>760.64370588235295</v>
      </c>
      <c r="GG28">
        <v>1.060259736027704</v>
      </c>
      <c r="GH28">
        <v>0.2309179290687422</v>
      </c>
      <c r="GI28">
        <v>1</v>
      </c>
      <c r="GJ28">
        <v>0.92885073170731702</v>
      </c>
      <c r="GK28">
        <v>-0.83521446689895606</v>
      </c>
      <c r="GL28">
        <v>8.8491747567567933E-2</v>
      </c>
      <c r="GM28">
        <v>0</v>
      </c>
      <c r="GN28">
        <v>1</v>
      </c>
      <c r="GO28">
        <v>2</v>
      </c>
      <c r="GP28" t="s">
        <v>410</v>
      </c>
      <c r="GQ28">
        <v>3.1312000000000002</v>
      </c>
      <c r="GR28">
        <v>2.7277100000000001</v>
      </c>
      <c r="GS28">
        <v>9.1370199999999999E-2</v>
      </c>
      <c r="GT28">
        <v>9.1758199999999998E-2</v>
      </c>
      <c r="GU28">
        <v>0.115525</v>
      </c>
      <c r="GV28">
        <v>0.111743</v>
      </c>
      <c r="GW28">
        <v>22794.5</v>
      </c>
      <c r="GX28">
        <v>30578.9</v>
      </c>
      <c r="GY28">
        <v>27211.9</v>
      </c>
      <c r="GZ28">
        <v>34619.599999999999</v>
      </c>
      <c r="HA28">
        <v>35255</v>
      </c>
      <c r="HB28">
        <v>38974.199999999997</v>
      </c>
      <c r="HC28">
        <v>40190.199999999997</v>
      </c>
      <c r="HD28">
        <v>43959.199999999997</v>
      </c>
      <c r="HE28">
        <v>1.9668000000000001</v>
      </c>
      <c r="HF28">
        <v>1.6966000000000001</v>
      </c>
      <c r="HG28">
        <v>-5.5134299999999997E-2</v>
      </c>
      <c r="HH28">
        <v>0</v>
      </c>
      <c r="HI28">
        <v>28.817399999999999</v>
      </c>
      <c r="HJ28">
        <v>999.9</v>
      </c>
      <c r="HK28">
        <v>43.5</v>
      </c>
      <c r="HL28">
        <v>40.700000000000003</v>
      </c>
      <c r="HM28">
        <v>34.303199999999997</v>
      </c>
      <c r="HN28">
        <v>59.668700000000001</v>
      </c>
      <c r="HO28">
        <v>9.0104100000000003</v>
      </c>
      <c r="HP28">
        <v>1</v>
      </c>
      <c r="HQ28">
        <v>0.52276400000000001</v>
      </c>
      <c r="HR28">
        <v>3.2340300000000002</v>
      </c>
      <c r="HS28">
        <v>20.2531</v>
      </c>
      <c r="HT28">
        <v>5.2112999999999996</v>
      </c>
      <c r="HU28">
        <v>11.908099999999999</v>
      </c>
      <c r="HV28">
        <v>4.9836</v>
      </c>
      <c r="HW28">
        <v>3.2704</v>
      </c>
      <c r="HX28">
        <v>9999</v>
      </c>
      <c r="HY28">
        <v>9999</v>
      </c>
      <c r="HZ28">
        <v>9999</v>
      </c>
      <c r="IA28">
        <v>999.9</v>
      </c>
      <c r="IB28">
        <v>1.86737</v>
      </c>
      <c r="IC28">
        <v>1.8630100000000001</v>
      </c>
      <c r="ID28">
        <v>1.86249</v>
      </c>
      <c r="IE28">
        <v>1.8620300000000001</v>
      </c>
      <c r="IF28">
        <v>1.8620300000000001</v>
      </c>
      <c r="IG28">
        <v>1.8626400000000001</v>
      </c>
      <c r="IH28">
        <v>1.8635299999999999</v>
      </c>
      <c r="II28">
        <v>1.8614200000000001</v>
      </c>
      <c r="IJ28">
        <v>0</v>
      </c>
      <c r="IK28">
        <v>0</v>
      </c>
      <c r="IL28">
        <v>0</v>
      </c>
      <c r="IM28">
        <v>4.5</v>
      </c>
      <c r="IN28" t="s">
        <v>411</v>
      </c>
      <c r="IO28" t="s">
        <v>412</v>
      </c>
      <c r="IP28" t="s">
        <v>413</v>
      </c>
      <c r="IQ28" t="s">
        <v>414</v>
      </c>
      <c r="IR28" t="s">
        <v>414</v>
      </c>
      <c r="IS28" t="s">
        <v>413</v>
      </c>
      <c r="IT28">
        <v>0</v>
      </c>
      <c r="IU28">
        <v>100</v>
      </c>
      <c r="IV28">
        <v>100</v>
      </c>
      <c r="IW28">
        <v>-5.8920000000000003</v>
      </c>
      <c r="IX28">
        <v>-0.5</v>
      </c>
      <c r="IY28">
        <v>-3.9041946825485478</v>
      </c>
      <c r="IZ28">
        <v>-5.6215304933332991E-3</v>
      </c>
      <c r="JA28">
        <v>2.3979931213773931E-6</v>
      </c>
      <c r="JB28">
        <v>-3.6297174575716598E-10</v>
      </c>
      <c r="JC28">
        <v>-0.90756414717132672</v>
      </c>
      <c r="JD28">
        <v>2.7492919904454862E-4</v>
      </c>
      <c r="JE28">
        <v>8.6739513355948885E-4</v>
      </c>
      <c r="JF28">
        <v>-8.2500691715147318E-6</v>
      </c>
      <c r="JG28">
        <v>17</v>
      </c>
      <c r="JH28">
        <v>1914</v>
      </c>
      <c r="JI28">
        <v>2</v>
      </c>
      <c r="JJ28">
        <v>37</v>
      </c>
      <c r="JK28">
        <v>7.6</v>
      </c>
      <c r="JL28">
        <v>3</v>
      </c>
      <c r="JM28">
        <v>1.07544</v>
      </c>
      <c r="JN28">
        <v>2.5573700000000001</v>
      </c>
      <c r="JO28">
        <v>1.50024</v>
      </c>
      <c r="JP28">
        <v>2.2692899999999998</v>
      </c>
      <c r="JQ28">
        <v>1.4477500000000001</v>
      </c>
      <c r="JR28">
        <v>2.34253</v>
      </c>
      <c r="JS28">
        <v>44.167700000000004</v>
      </c>
      <c r="JT28">
        <v>14.2021</v>
      </c>
      <c r="JU28">
        <v>18</v>
      </c>
      <c r="JV28">
        <v>542.35199999999998</v>
      </c>
      <c r="JW28">
        <v>385.10599999999999</v>
      </c>
      <c r="JX28">
        <v>25.0504</v>
      </c>
      <c r="JY28">
        <v>33.635399999999997</v>
      </c>
      <c r="JZ28">
        <v>30.0001</v>
      </c>
      <c r="KA28">
        <v>33.739400000000003</v>
      </c>
      <c r="KB28">
        <v>33.741999999999997</v>
      </c>
      <c r="KC28">
        <v>21.5229</v>
      </c>
      <c r="KD28">
        <v>37.2973</v>
      </c>
      <c r="KE28">
        <v>0</v>
      </c>
      <c r="KF28">
        <v>25.05</v>
      </c>
      <c r="KG28">
        <v>423.79</v>
      </c>
      <c r="KH28">
        <v>23.987200000000001</v>
      </c>
      <c r="KI28">
        <v>100.43899999999999</v>
      </c>
      <c r="KJ28">
        <v>98.868799999999993</v>
      </c>
    </row>
    <row r="29" spans="1:296" x14ac:dyDescent="0.3">
      <c r="A29">
        <v>13</v>
      </c>
      <c r="B29">
        <v>1783705690.0999999</v>
      </c>
      <c r="C29">
        <v>2460</v>
      </c>
      <c r="D29" t="s">
        <v>781</v>
      </c>
      <c r="E29" t="s">
        <v>782</v>
      </c>
      <c r="F29">
        <v>15</v>
      </c>
      <c r="H29">
        <v>1783705682.349999</v>
      </c>
      <c r="I29">
        <f t="shared" si="0"/>
        <v>6.5936547169927545E-5</v>
      </c>
      <c r="J29">
        <f t="shared" si="1"/>
        <v>6.5936547169927542E-2</v>
      </c>
      <c r="K29">
        <f t="shared" si="2"/>
        <v>-8.0246913708293038E-2</v>
      </c>
      <c r="L29">
        <f t="shared" si="3"/>
        <v>420.01166666666671</v>
      </c>
      <c r="M29">
        <f t="shared" si="4"/>
        <v>438.47429159124135</v>
      </c>
      <c r="N29">
        <f t="shared" si="5"/>
        <v>42.809149854906721</v>
      </c>
      <c r="O29">
        <f t="shared" si="6"/>
        <v>41.006605686940183</v>
      </c>
      <c r="P29">
        <f t="shared" si="7"/>
        <v>4.5049009061748297E-3</v>
      </c>
      <c r="Q29">
        <f t="shared" si="8"/>
        <v>2.8857725577788425</v>
      </c>
      <c r="R29">
        <f t="shared" si="9"/>
        <v>4.5009976297340441E-3</v>
      </c>
      <c r="S29">
        <f t="shared" si="10"/>
        <v>2.8134739225762258E-3</v>
      </c>
      <c r="T29">
        <f t="shared" si="11"/>
        <v>8.2405880090573334</v>
      </c>
      <c r="U29">
        <f t="shared" si="12"/>
        <v>27.840047610431355</v>
      </c>
      <c r="V29">
        <f t="shared" si="13"/>
        <v>28.099086666666668</v>
      </c>
      <c r="W29">
        <f t="shared" si="14"/>
        <v>3.816815552440862</v>
      </c>
      <c r="X29">
        <f t="shared" si="15"/>
        <v>64.817445888166361</v>
      </c>
      <c r="Y29">
        <f t="shared" si="16"/>
        <v>2.4323453476282952</v>
      </c>
      <c r="Z29">
        <f t="shared" si="17"/>
        <v>3.7526090611854324</v>
      </c>
      <c r="AA29">
        <f t="shared" si="18"/>
        <v>1.3844702048125668</v>
      </c>
      <c r="AB29">
        <f t="shared" si="19"/>
        <v>-2.9078017301938046</v>
      </c>
      <c r="AC29">
        <f t="shared" si="20"/>
        <v>-45.259647702531375</v>
      </c>
      <c r="AD29">
        <f t="shared" si="21"/>
        <v>-3.417111399275893</v>
      </c>
      <c r="AE29">
        <f t="shared" si="22"/>
        <v>-43.343972822943741</v>
      </c>
      <c r="AF29">
        <f t="shared" si="23"/>
        <v>-8.0246913708293038E-2</v>
      </c>
      <c r="AG29">
        <f t="shared" si="24"/>
        <v>6.5936547169927542E-2</v>
      </c>
      <c r="AH29">
        <f t="shared" si="25"/>
        <v>-1.6407157396465237E-4</v>
      </c>
      <c r="AI29">
        <v>430.56724388102401</v>
      </c>
      <c r="AJ29">
        <v>430.69699393939391</v>
      </c>
      <c r="AK29">
        <v>-2.4775882199547121E-2</v>
      </c>
      <c r="AL29">
        <v>67.035030755562161</v>
      </c>
      <c r="AM29">
        <f t="shared" si="26"/>
        <v>6.992412655790517E-2</v>
      </c>
      <c r="AN29">
        <v>24.84244505212121</v>
      </c>
      <c r="AO29">
        <v>24.923995757575749</v>
      </c>
      <c r="AP29">
        <v>4.4262987012960313E-5</v>
      </c>
      <c r="AQ29">
        <v>78.55</v>
      </c>
      <c r="AR29">
        <v>0</v>
      </c>
      <c r="AS29">
        <v>0</v>
      </c>
      <c r="AT29">
        <f t="shared" si="27"/>
        <v>1</v>
      </c>
      <c r="AU29">
        <f t="shared" si="28"/>
        <v>0</v>
      </c>
      <c r="AV29">
        <f t="shared" si="29"/>
        <v>51431.279641581379</v>
      </c>
      <c r="AW29" t="s">
        <v>731</v>
      </c>
      <c r="AX29">
        <v>5102.38</v>
      </c>
      <c r="AY29">
        <v>567.49705882352941</v>
      </c>
      <c r="AZ29">
        <v>2458.08</v>
      </c>
      <c r="BA29">
        <f t="shared" si="30"/>
        <v>0.76912994742907903</v>
      </c>
      <c r="BB29">
        <v>-4.7837446069883294</v>
      </c>
      <c r="BC29" t="s">
        <v>783</v>
      </c>
      <c r="BD29">
        <v>5097.7</v>
      </c>
      <c r="BE29">
        <v>737.16029411764703</v>
      </c>
      <c r="BF29">
        <v>2137.59</v>
      </c>
      <c r="BG29">
        <f t="shared" si="31"/>
        <v>0.65514420720641142</v>
      </c>
      <c r="BH29">
        <v>0.5</v>
      </c>
      <c r="BI29">
        <f t="shared" si="32"/>
        <v>42.133149148734368</v>
      </c>
      <c r="BJ29">
        <f t="shared" si="33"/>
        <v>-8.0246913708293038E-2</v>
      </c>
      <c r="BK29">
        <f t="shared" si="34"/>
        <v>13.801644298078534</v>
      </c>
      <c r="BL29">
        <f t="shared" si="35"/>
        <v>0.11163413578881094</v>
      </c>
      <c r="BM29">
        <f t="shared" si="36"/>
        <v>0.14993052924087397</v>
      </c>
      <c r="BN29">
        <f t="shared" si="37"/>
        <v>548.51065371237792</v>
      </c>
      <c r="BO29" t="s">
        <v>407</v>
      </c>
      <c r="BP29">
        <v>0</v>
      </c>
      <c r="BQ29">
        <f t="shared" si="38"/>
        <v>548.51065371237792</v>
      </c>
      <c r="BR29">
        <f t="shared" si="39"/>
        <v>0.74339763298276196</v>
      </c>
      <c r="BS29">
        <f t="shared" si="40"/>
        <v>0.88128368740932361</v>
      </c>
      <c r="BT29">
        <f t="shared" si="41"/>
        <v>0.16783365350049306</v>
      </c>
      <c r="BU29">
        <f t="shared" si="42"/>
        <v>0.89194064195525335</v>
      </c>
      <c r="BV29">
        <f t="shared" si="43"/>
        <v>0.16951914302186896</v>
      </c>
      <c r="BW29">
        <f t="shared" si="44"/>
        <v>0.65575085275794287</v>
      </c>
      <c r="BX29">
        <f t="shared" si="45"/>
        <v>0.34424914724205713</v>
      </c>
      <c r="DG29">
        <f t="shared" si="46"/>
        <v>49.997529999999998</v>
      </c>
      <c r="DH29">
        <f t="shared" si="47"/>
        <v>42.133149148734368</v>
      </c>
      <c r="DI29">
        <f t="shared" si="48"/>
        <v>0.84270461258254892</v>
      </c>
      <c r="DJ29">
        <f t="shared" si="49"/>
        <v>0.16481990228431953</v>
      </c>
      <c r="DK29">
        <v>6</v>
      </c>
      <c r="DL29">
        <v>0.5</v>
      </c>
      <c r="DM29" t="s">
        <v>408</v>
      </c>
      <c r="DN29">
        <v>2</v>
      </c>
      <c r="DO29" t="b">
        <v>0</v>
      </c>
      <c r="DP29">
        <v>1783705682.349999</v>
      </c>
      <c r="DQ29">
        <v>420.01166666666671</v>
      </c>
      <c r="DR29">
        <v>419.94859999999989</v>
      </c>
      <c r="DS29">
        <v>24.913386666666671</v>
      </c>
      <c r="DT29">
        <v>24.83623</v>
      </c>
      <c r="DU29">
        <v>425.85750000000007</v>
      </c>
      <c r="DV29">
        <v>25.398463333333339</v>
      </c>
      <c r="DW29">
        <v>499.97373333333331</v>
      </c>
      <c r="DX29">
        <v>97.580629999999999</v>
      </c>
      <c r="DY29">
        <v>5.1433443333333322E-2</v>
      </c>
      <c r="DZ29">
        <v>27.80817333333334</v>
      </c>
      <c r="EA29">
        <v>28.099086666666668</v>
      </c>
      <c r="EB29">
        <v>999.9000000000002</v>
      </c>
      <c r="EC29">
        <v>0</v>
      </c>
      <c r="ED29">
        <v>0</v>
      </c>
      <c r="EE29">
        <v>9994.3333333333339</v>
      </c>
      <c r="EF29">
        <v>0</v>
      </c>
      <c r="EG29">
        <v>1971.1703333333339</v>
      </c>
      <c r="EH29">
        <v>6.2987226133333338E-2</v>
      </c>
      <c r="EI29">
        <v>430.74279999999999</v>
      </c>
      <c r="EJ29">
        <v>430.64420000000001</v>
      </c>
      <c r="EK29">
        <v>7.7162816666666675E-2</v>
      </c>
      <c r="EL29">
        <v>419.94859999999989</v>
      </c>
      <c r="EM29">
        <v>24.83623</v>
      </c>
      <c r="EN29">
        <v>2.4310636666666672</v>
      </c>
      <c r="EO29">
        <v>2.423534333333333</v>
      </c>
      <c r="EP29">
        <v>20.572199999999999</v>
      </c>
      <c r="EQ29">
        <v>20.521903333333331</v>
      </c>
      <c r="ER29">
        <v>49.997529999999998</v>
      </c>
      <c r="ES29">
        <v>0.89980646666666642</v>
      </c>
      <c r="ET29">
        <v>0.1001938033333333</v>
      </c>
      <c r="EU29">
        <v>0</v>
      </c>
      <c r="EV29">
        <v>737.32086666666669</v>
      </c>
      <c r="EW29">
        <v>5.0010700000000003</v>
      </c>
      <c r="EX29">
        <v>4866.1526666666659</v>
      </c>
      <c r="EY29">
        <v>396.2127999999999</v>
      </c>
      <c r="EZ29">
        <v>36.936999999999991</v>
      </c>
      <c r="FA29">
        <v>41.326700000000002</v>
      </c>
      <c r="FB29">
        <v>39.125</v>
      </c>
      <c r="FC29">
        <v>41.0809</v>
      </c>
      <c r="FD29">
        <v>39.375</v>
      </c>
      <c r="FE29">
        <v>40.487666666666669</v>
      </c>
      <c r="FF29">
        <v>4.5073333333333334</v>
      </c>
      <c r="FG29">
        <v>0</v>
      </c>
      <c r="FH29">
        <v>199</v>
      </c>
      <c r="FI29">
        <v>0</v>
      </c>
      <c r="FJ29">
        <v>737.16029411764703</v>
      </c>
      <c r="FK29">
        <v>-4.6899510136184581</v>
      </c>
      <c r="FL29">
        <v>277.583336531692</v>
      </c>
      <c r="FM29">
        <v>4902.1517647058827</v>
      </c>
      <c r="FN29">
        <v>10</v>
      </c>
      <c r="FO29">
        <v>1783705606.0999999</v>
      </c>
      <c r="FP29" t="s">
        <v>784</v>
      </c>
      <c r="FQ29">
        <v>1783705606.0999999</v>
      </c>
      <c r="FR29">
        <v>1783705606.0999999</v>
      </c>
      <c r="FS29">
        <v>39</v>
      </c>
      <c r="FT29">
        <v>4.4999999999999998E-2</v>
      </c>
      <c r="FU29">
        <v>-1.2999999999999999E-2</v>
      </c>
      <c r="FV29">
        <v>-5.8460000000000001</v>
      </c>
      <c r="FW29">
        <v>-0.48699999999999999</v>
      </c>
      <c r="FX29">
        <v>420</v>
      </c>
      <c r="FY29">
        <v>25</v>
      </c>
      <c r="FZ29">
        <v>1.53</v>
      </c>
      <c r="GA29">
        <v>0.55000000000000004</v>
      </c>
      <c r="GB29">
        <v>420.0154</v>
      </c>
      <c r="GC29">
        <v>0.1047030033362111</v>
      </c>
      <c r="GD29">
        <v>6.0735821390675328E-2</v>
      </c>
      <c r="GE29">
        <v>-1</v>
      </c>
      <c r="GF29">
        <v>737.50738235294114</v>
      </c>
      <c r="GG29">
        <v>-2.991184115111297</v>
      </c>
      <c r="GH29">
        <v>0.34460881613673672</v>
      </c>
      <c r="GI29">
        <v>1</v>
      </c>
      <c r="GJ29">
        <v>7.9482805000000004E-2</v>
      </c>
      <c r="GK29">
        <v>-4.2985483677298313E-2</v>
      </c>
      <c r="GL29">
        <v>5.5456855774534321E-3</v>
      </c>
      <c r="GM29">
        <v>1</v>
      </c>
      <c r="GN29">
        <v>2</v>
      </c>
      <c r="GO29">
        <v>2</v>
      </c>
      <c r="GP29" t="s">
        <v>423</v>
      </c>
      <c r="GQ29">
        <v>3.1329500000000001</v>
      </c>
      <c r="GR29">
        <v>2.7278199999999999</v>
      </c>
      <c r="GS29">
        <v>9.1336700000000007E-2</v>
      </c>
      <c r="GT29">
        <v>9.1040099999999999E-2</v>
      </c>
      <c r="GU29">
        <v>0.11633599999999999</v>
      </c>
      <c r="GV29">
        <v>0.114867</v>
      </c>
      <c r="GW29">
        <v>22794.1</v>
      </c>
      <c r="GX29">
        <v>30601.7</v>
      </c>
      <c r="GY29">
        <v>27210.9</v>
      </c>
      <c r="GZ29">
        <v>34618.6</v>
      </c>
      <c r="HA29">
        <v>35221.800000000003</v>
      </c>
      <c r="HB29">
        <v>38837.1</v>
      </c>
      <c r="HC29">
        <v>40188.800000000003</v>
      </c>
      <c r="HD29">
        <v>43959.199999999997</v>
      </c>
      <c r="HE29">
        <v>1.9676</v>
      </c>
      <c r="HF29">
        <v>1.6954</v>
      </c>
      <c r="HG29">
        <v>-7.0929500000000006E-2</v>
      </c>
      <c r="HH29">
        <v>0</v>
      </c>
      <c r="HI29">
        <v>29.2498</v>
      </c>
      <c r="HJ29">
        <v>999.9</v>
      </c>
      <c r="HK29">
        <v>43.9</v>
      </c>
      <c r="HL29">
        <v>40.700000000000003</v>
      </c>
      <c r="HM29">
        <v>34.619999999999997</v>
      </c>
      <c r="HN29">
        <v>60.308700000000002</v>
      </c>
      <c r="HO29">
        <v>8.4775600000000004</v>
      </c>
      <c r="HP29">
        <v>1</v>
      </c>
      <c r="HQ29">
        <v>0.52890199999999998</v>
      </c>
      <c r="HR29">
        <v>3.3642699999999999</v>
      </c>
      <c r="HS29">
        <v>20.251000000000001</v>
      </c>
      <c r="HT29">
        <v>5.2112999999999996</v>
      </c>
      <c r="HU29">
        <v>11.908099999999999</v>
      </c>
      <c r="HV29">
        <v>4.984</v>
      </c>
      <c r="HW29">
        <v>3.2709999999999999</v>
      </c>
      <c r="HX29">
        <v>9999</v>
      </c>
      <c r="HY29">
        <v>9999</v>
      </c>
      <c r="HZ29">
        <v>9999</v>
      </c>
      <c r="IA29">
        <v>999.9</v>
      </c>
      <c r="IB29">
        <v>1.86737</v>
      </c>
      <c r="IC29">
        <v>1.86304</v>
      </c>
      <c r="ID29">
        <v>1.86249</v>
      </c>
      <c r="IE29">
        <v>1.8620300000000001</v>
      </c>
      <c r="IF29">
        <v>1.8620300000000001</v>
      </c>
      <c r="IG29">
        <v>1.8626400000000001</v>
      </c>
      <c r="IH29">
        <v>1.8635600000000001</v>
      </c>
      <c r="II29">
        <v>1.86151</v>
      </c>
      <c r="IJ29">
        <v>0</v>
      </c>
      <c r="IK29">
        <v>0</v>
      </c>
      <c r="IL29">
        <v>0</v>
      </c>
      <c r="IM29">
        <v>4.5</v>
      </c>
      <c r="IN29" t="s">
        <v>411</v>
      </c>
      <c r="IO29" t="s">
        <v>412</v>
      </c>
      <c r="IP29" t="s">
        <v>413</v>
      </c>
      <c r="IQ29" t="s">
        <v>414</v>
      </c>
      <c r="IR29" t="s">
        <v>414</v>
      </c>
      <c r="IS29" t="s">
        <v>413</v>
      </c>
      <c r="IT29">
        <v>0</v>
      </c>
      <c r="IU29">
        <v>100</v>
      </c>
      <c r="IV29">
        <v>100</v>
      </c>
      <c r="IW29">
        <v>-5.8460000000000001</v>
      </c>
      <c r="IX29">
        <v>-0.48480000000000001</v>
      </c>
      <c r="IY29">
        <v>-3.8588183471076021</v>
      </c>
      <c r="IZ29">
        <v>-5.6215304933332991E-3</v>
      </c>
      <c r="JA29">
        <v>2.3979931213773931E-6</v>
      </c>
      <c r="JB29">
        <v>-3.6297174575716598E-10</v>
      </c>
      <c r="JC29">
        <v>-0.91641632526713668</v>
      </c>
      <c r="JD29">
        <v>2.7492919904454862E-4</v>
      </c>
      <c r="JE29">
        <v>8.6739513355948885E-4</v>
      </c>
      <c r="JF29">
        <v>-8.2500691715147318E-6</v>
      </c>
      <c r="JG29">
        <v>17</v>
      </c>
      <c r="JH29">
        <v>1914</v>
      </c>
      <c r="JI29">
        <v>2</v>
      </c>
      <c r="JJ29">
        <v>37</v>
      </c>
      <c r="JK29">
        <v>1.4</v>
      </c>
      <c r="JL29">
        <v>1.4</v>
      </c>
      <c r="JM29">
        <v>1.06934</v>
      </c>
      <c r="JN29">
        <v>2.5585900000000001</v>
      </c>
      <c r="JO29">
        <v>1.50024</v>
      </c>
      <c r="JP29">
        <v>2.2692899999999998</v>
      </c>
      <c r="JQ29">
        <v>1.4477500000000001</v>
      </c>
      <c r="JR29">
        <v>2.3828100000000001</v>
      </c>
      <c r="JS29">
        <v>44.250900000000001</v>
      </c>
      <c r="JT29">
        <v>14.1846</v>
      </c>
      <c r="JU29">
        <v>18</v>
      </c>
      <c r="JV29">
        <v>543.38400000000001</v>
      </c>
      <c r="JW29">
        <v>384.76400000000001</v>
      </c>
      <c r="JX29">
        <v>25.0505</v>
      </c>
      <c r="JY29">
        <v>33.732300000000002</v>
      </c>
      <c r="JZ29">
        <v>30.0002</v>
      </c>
      <c r="KA29">
        <v>33.799599999999998</v>
      </c>
      <c r="KB29">
        <v>33.798999999999999</v>
      </c>
      <c r="KC29">
        <v>21.382300000000001</v>
      </c>
      <c r="KD29">
        <v>36.1158</v>
      </c>
      <c r="KE29">
        <v>0</v>
      </c>
      <c r="KF29">
        <v>25.05</v>
      </c>
      <c r="KG29">
        <v>419.887</v>
      </c>
      <c r="KH29">
        <v>24.766500000000001</v>
      </c>
      <c r="KI29">
        <v>100.43600000000001</v>
      </c>
      <c r="KJ29">
        <v>98.867599999999996</v>
      </c>
    </row>
    <row r="30" spans="1:296" x14ac:dyDescent="0.3">
      <c r="A30">
        <v>14</v>
      </c>
      <c r="B30">
        <v>1783705872.5999999</v>
      </c>
      <c r="C30">
        <v>2642.5</v>
      </c>
      <c r="D30" t="s">
        <v>785</v>
      </c>
      <c r="E30" t="s">
        <v>786</v>
      </c>
      <c r="F30">
        <v>15</v>
      </c>
      <c r="H30">
        <v>1783705864.599999</v>
      </c>
      <c r="I30">
        <f t="shared" si="0"/>
        <v>-2.9693199639162974E-5</v>
      </c>
      <c r="J30">
        <f t="shared" si="1"/>
        <v>-2.9693199639162973E-2</v>
      </c>
      <c r="K30">
        <f t="shared" si="2"/>
        <v>-2.0500122635891342</v>
      </c>
      <c r="L30">
        <f t="shared" si="3"/>
        <v>420.05248387096782</v>
      </c>
      <c r="M30">
        <f t="shared" si="4"/>
        <v>-1168.0783782578321</v>
      </c>
      <c r="N30">
        <f t="shared" si="5"/>
        <v>-114.05180022799168</v>
      </c>
      <c r="O30">
        <f t="shared" si="6"/>
        <v>41.014150135350377</v>
      </c>
      <c r="P30">
        <f t="shared" si="7"/>
        <v>-2.0534493015239887E-3</v>
      </c>
      <c r="Q30">
        <f t="shared" si="8"/>
        <v>2.8854934809375727</v>
      </c>
      <c r="R30">
        <f t="shared" si="9"/>
        <v>-2.0542614975289303E-3</v>
      </c>
      <c r="S30">
        <f t="shared" si="10"/>
        <v>-1.2838404385312734E-3</v>
      </c>
      <c r="T30">
        <f t="shared" si="11"/>
        <v>1.5966703903835998E-4</v>
      </c>
      <c r="U30">
        <f t="shared" si="12"/>
        <v>27.787735019901376</v>
      </c>
      <c r="V30">
        <f t="shared" si="13"/>
        <v>28.05350967741936</v>
      </c>
      <c r="W30">
        <f t="shared" si="14"/>
        <v>3.8066935386897192</v>
      </c>
      <c r="X30">
        <f t="shared" si="15"/>
        <v>65.142283353675452</v>
      </c>
      <c r="Y30">
        <f t="shared" si="16"/>
        <v>2.440504121859707</v>
      </c>
      <c r="Z30">
        <f t="shared" si="17"/>
        <v>3.7464209054655582</v>
      </c>
      <c r="AA30">
        <f t="shared" si="18"/>
        <v>1.3661894168300122</v>
      </c>
      <c r="AB30">
        <f t="shared" si="19"/>
        <v>1.3094701040870871</v>
      </c>
      <c r="AC30">
        <f t="shared" si="20"/>
        <v>-42.562463250564186</v>
      </c>
      <c r="AD30">
        <f t="shared" si="21"/>
        <v>-3.2126015218887143</v>
      </c>
      <c r="AE30">
        <f t="shared" si="22"/>
        <v>-44.465435001326775</v>
      </c>
      <c r="AF30">
        <f t="shared" si="23"/>
        <v>-2.0500122635891342</v>
      </c>
      <c r="AG30">
        <f t="shared" si="24"/>
        <v>-2.9693199639162973E-2</v>
      </c>
      <c r="AH30">
        <f t="shared" si="25"/>
        <v>-2.130696571020358</v>
      </c>
      <c r="AI30">
        <v>428.25535970307862</v>
      </c>
      <c r="AJ30">
        <v>430.83557575757561</v>
      </c>
      <c r="AK30">
        <v>8.0915632674649404E-3</v>
      </c>
      <c r="AL30">
        <v>67.030739098230356</v>
      </c>
      <c r="AM30">
        <f t="shared" si="26"/>
        <v>1.4286185263024016E-2</v>
      </c>
      <c r="AN30">
        <v>24.987710390476199</v>
      </c>
      <c r="AO30">
        <v>25.008590303030289</v>
      </c>
      <c r="AP30">
        <v>-6.7966522366487469E-4</v>
      </c>
      <c r="AQ30">
        <v>78.55</v>
      </c>
      <c r="AR30">
        <v>0</v>
      </c>
      <c r="AS30">
        <v>0</v>
      </c>
      <c r="AT30">
        <f t="shared" si="27"/>
        <v>1</v>
      </c>
      <c r="AU30">
        <f t="shared" si="28"/>
        <v>0</v>
      </c>
      <c r="AV30">
        <f t="shared" si="29"/>
        <v>51428.364411928262</v>
      </c>
      <c r="AW30" t="s">
        <v>629</v>
      </c>
      <c r="AX30">
        <v>5089.68</v>
      </c>
      <c r="AY30">
        <v>566.38529411764705</v>
      </c>
      <c r="AZ30">
        <v>2484</v>
      </c>
      <c r="BA30">
        <f t="shared" si="30"/>
        <v>0.77198659657099555</v>
      </c>
      <c r="BB30">
        <v>-2.0500122635890872</v>
      </c>
      <c r="BC30" t="s">
        <v>407</v>
      </c>
      <c r="BD30" t="s">
        <v>407</v>
      </c>
      <c r="BE30">
        <v>0</v>
      </c>
      <c r="BF30">
        <v>0</v>
      </c>
      <c r="BG30" t="e">
        <f t="shared" si="31"/>
        <v>#DIV/0!</v>
      </c>
      <c r="BH30">
        <v>0.5</v>
      </c>
      <c r="BI30">
        <f t="shared" si="32"/>
        <v>8.4035283704399992E-4</v>
      </c>
      <c r="BJ30">
        <f t="shared" si="33"/>
        <v>-2.0500122635891342</v>
      </c>
      <c r="BK30" t="e">
        <f t="shared" si="34"/>
        <v>#DIV/0!</v>
      </c>
      <c r="BL30">
        <f t="shared" si="35"/>
        <v>-5.6016299545903629E-11</v>
      </c>
      <c r="BM30" t="e">
        <f t="shared" si="36"/>
        <v>#DIV/0!</v>
      </c>
      <c r="BN30" t="e">
        <f t="shared" si="37"/>
        <v>#DIV/0!</v>
      </c>
      <c r="BO30" t="s">
        <v>407</v>
      </c>
      <c r="BP30">
        <v>0</v>
      </c>
      <c r="BQ30" t="e">
        <f t="shared" si="38"/>
        <v>#DIV/0!</v>
      </c>
      <c r="BR30" t="e">
        <f t="shared" si="39"/>
        <v>#DIV/0!</v>
      </c>
      <c r="BS30" t="e">
        <f t="shared" si="40"/>
        <v>#DIV/0!</v>
      </c>
      <c r="BT30" t="e">
        <f t="shared" si="41"/>
        <v>#DIV/0!</v>
      </c>
      <c r="BU30">
        <f t="shared" si="42"/>
        <v>0</v>
      </c>
      <c r="BV30">
        <f t="shared" si="43"/>
        <v>1.2953592775338234</v>
      </c>
      <c r="BW30" t="e">
        <f t="shared" si="44"/>
        <v>#DIV/0!</v>
      </c>
      <c r="BX30" t="e">
        <f t="shared" si="45"/>
        <v>#DIV/0!</v>
      </c>
      <c r="DG30">
        <f t="shared" si="46"/>
        <v>1.00021E-2</v>
      </c>
      <c r="DH30">
        <f t="shared" si="47"/>
        <v>8.4035283704399992E-4</v>
      </c>
      <c r="DI30">
        <f t="shared" si="48"/>
        <v>8.4017639999999991E-2</v>
      </c>
      <c r="DJ30">
        <f t="shared" si="49"/>
        <v>1.5963351599999998E-2</v>
      </c>
      <c r="DK30">
        <v>6</v>
      </c>
      <c r="DL30">
        <v>0.5</v>
      </c>
      <c r="DM30" t="s">
        <v>408</v>
      </c>
      <c r="DN30">
        <v>2</v>
      </c>
      <c r="DO30" t="b">
        <v>0</v>
      </c>
      <c r="DP30">
        <v>1783705864.599999</v>
      </c>
      <c r="DQ30">
        <v>420.05248387096782</v>
      </c>
      <c r="DR30">
        <v>417.57745161290319</v>
      </c>
      <c r="DS30">
        <v>24.994783870967741</v>
      </c>
      <c r="DT30">
        <v>25.02952580645162</v>
      </c>
      <c r="DU30">
        <v>425.86229032258052</v>
      </c>
      <c r="DV30">
        <v>25.481432258064508</v>
      </c>
      <c r="DW30">
        <v>499.98983870967737</v>
      </c>
      <c r="DX30">
        <v>97.588390322580636</v>
      </c>
      <c r="DY30">
        <v>5.2146777419354827E-2</v>
      </c>
      <c r="DZ30">
        <v>27.779906451612899</v>
      </c>
      <c r="EA30">
        <v>28.05350967741936</v>
      </c>
      <c r="EB30">
        <v>999.90000000000032</v>
      </c>
      <c r="EC30">
        <v>0</v>
      </c>
      <c r="ED30">
        <v>0</v>
      </c>
      <c r="EE30">
        <v>9991.9354838709678</v>
      </c>
      <c r="EF30">
        <v>0</v>
      </c>
      <c r="EG30">
        <v>490.61122580645161</v>
      </c>
      <c r="EH30">
        <v>2.4749825806451611</v>
      </c>
      <c r="EI30">
        <v>430.82077419354829</v>
      </c>
      <c r="EJ30">
        <v>428.2975806451613</v>
      </c>
      <c r="EK30">
        <v>-3.4737364548387099E-2</v>
      </c>
      <c r="EL30">
        <v>417.57745161290319</v>
      </c>
      <c r="EM30">
        <v>25.02952580645162</v>
      </c>
      <c r="EN30">
        <v>2.4392003225806449</v>
      </c>
      <c r="EO30">
        <v>2.442590322580644</v>
      </c>
      <c r="EP30">
        <v>20.626396774193552</v>
      </c>
      <c r="EQ30">
        <v>20.64892903225806</v>
      </c>
      <c r="ER30">
        <v>1.00021E-2</v>
      </c>
      <c r="ES30">
        <v>0</v>
      </c>
      <c r="ET30">
        <v>0</v>
      </c>
      <c r="EU30">
        <v>0</v>
      </c>
      <c r="EV30">
        <v>566.67258064516136</v>
      </c>
      <c r="EW30">
        <v>1.00021E-2</v>
      </c>
      <c r="EX30">
        <v>2402.354838709678</v>
      </c>
      <c r="EY30">
        <v>2.1709677419354829</v>
      </c>
      <c r="EZ30">
        <v>37</v>
      </c>
      <c r="FA30">
        <v>41.695129032258038</v>
      </c>
      <c r="FB30">
        <v>39.303999999999988</v>
      </c>
      <c r="FC30">
        <v>41.25</v>
      </c>
      <c r="FD30">
        <v>39.25</v>
      </c>
      <c r="FE30">
        <v>0</v>
      </c>
      <c r="FF30">
        <v>0</v>
      </c>
      <c r="FG30">
        <v>0</v>
      </c>
      <c r="FH30">
        <v>182.10000014305109</v>
      </c>
      <c r="FI30">
        <v>0</v>
      </c>
      <c r="FJ30">
        <v>566.38529411764705</v>
      </c>
      <c r="FK30">
        <v>-25.906862110523779</v>
      </c>
      <c r="FL30">
        <v>227.56127448529429</v>
      </c>
      <c r="FM30">
        <v>2419.1470588235288</v>
      </c>
      <c r="FN30">
        <v>10</v>
      </c>
      <c r="FO30">
        <v>1783705751.0999999</v>
      </c>
      <c r="FP30" t="s">
        <v>787</v>
      </c>
      <c r="FQ30">
        <v>1783705751.0999999</v>
      </c>
      <c r="FR30">
        <v>1783705750.0999999</v>
      </c>
      <c r="FS30">
        <v>40</v>
      </c>
      <c r="FT30">
        <v>3.5999999999999997E-2</v>
      </c>
      <c r="FU30">
        <v>-4.0000000000000001E-3</v>
      </c>
      <c r="FV30">
        <v>-5.8090000000000002</v>
      </c>
      <c r="FW30">
        <v>-0.48599999999999999</v>
      </c>
      <c r="FX30">
        <v>420</v>
      </c>
      <c r="FY30">
        <v>25</v>
      </c>
      <c r="FZ30">
        <v>1.33</v>
      </c>
      <c r="GA30">
        <v>0.62</v>
      </c>
      <c r="GB30">
        <v>420.05329999999998</v>
      </c>
      <c r="GC30">
        <v>-0.30078754171245509</v>
      </c>
      <c r="GD30">
        <v>5.2018041741944007E-2</v>
      </c>
      <c r="GE30">
        <v>-1</v>
      </c>
      <c r="GF30">
        <v>566.28676470588232</v>
      </c>
      <c r="GG30">
        <v>-3.6615736641656209</v>
      </c>
      <c r="GH30">
        <v>4.7256544648447614</v>
      </c>
      <c r="GI30">
        <v>1</v>
      </c>
      <c r="GJ30">
        <v>-5.2859060024999988E-2</v>
      </c>
      <c r="GK30">
        <v>0.39470031646153853</v>
      </c>
      <c r="GL30">
        <v>4.4954541287724283E-2</v>
      </c>
      <c r="GM30">
        <v>1</v>
      </c>
      <c r="GN30">
        <v>2</v>
      </c>
      <c r="GO30">
        <v>2</v>
      </c>
      <c r="GP30" t="s">
        <v>423</v>
      </c>
      <c r="GQ30">
        <v>3.1323099999999999</v>
      </c>
      <c r="GR30">
        <v>2.7280899999999999</v>
      </c>
      <c r="GS30">
        <v>9.1300900000000004E-2</v>
      </c>
      <c r="GT30">
        <v>9.0670500000000001E-2</v>
      </c>
      <c r="GU30">
        <v>0.116574</v>
      </c>
      <c r="GV30">
        <v>0.115275</v>
      </c>
      <c r="GW30">
        <v>22786.799999999999</v>
      </c>
      <c r="GX30">
        <v>30601.3</v>
      </c>
      <c r="GY30">
        <v>27202</v>
      </c>
      <c r="GZ30">
        <v>34605.5</v>
      </c>
      <c r="HA30">
        <v>35202.400000000001</v>
      </c>
      <c r="HB30">
        <v>38807.1</v>
      </c>
      <c r="HC30">
        <v>40176.400000000001</v>
      </c>
      <c r="HD30">
        <v>43945</v>
      </c>
      <c r="HE30">
        <v>1.9641999999999999</v>
      </c>
      <c r="HF30">
        <v>1.6926000000000001</v>
      </c>
      <c r="HG30">
        <v>-7.5042200000000003E-2</v>
      </c>
      <c r="HH30">
        <v>0</v>
      </c>
      <c r="HI30">
        <v>29.266300000000001</v>
      </c>
      <c r="HJ30">
        <v>999.9</v>
      </c>
      <c r="HK30">
        <v>44.3</v>
      </c>
      <c r="HL30">
        <v>40.700000000000003</v>
      </c>
      <c r="HM30">
        <v>34.933500000000002</v>
      </c>
      <c r="HN30">
        <v>59.898699999999998</v>
      </c>
      <c r="HO30">
        <v>8.9302899999999994</v>
      </c>
      <c r="HP30">
        <v>1</v>
      </c>
      <c r="HQ30">
        <v>0.550122</v>
      </c>
      <c r="HR30">
        <v>3.4795199999999999</v>
      </c>
      <c r="HS30">
        <v>20.248999999999999</v>
      </c>
      <c r="HT30">
        <v>5.2100999999999997</v>
      </c>
      <c r="HU30">
        <v>11.908099999999999</v>
      </c>
      <c r="HV30">
        <v>4.984</v>
      </c>
      <c r="HW30">
        <v>3.2709999999999999</v>
      </c>
      <c r="HX30">
        <v>9999</v>
      </c>
      <c r="HY30">
        <v>9999</v>
      </c>
      <c r="HZ30">
        <v>9999</v>
      </c>
      <c r="IA30">
        <v>999.9</v>
      </c>
      <c r="IB30">
        <v>1.8673999999999999</v>
      </c>
      <c r="IC30">
        <v>1.8631</v>
      </c>
      <c r="ID30">
        <v>1.86249</v>
      </c>
      <c r="IE30">
        <v>1.8620300000000001</v>
      </c>
      <c r="IF30">
        <v>1.8620300000000001</v>
      </c>
      <c r="IG30">
        <v>1.8626400000000001</v>
      </c>
      <c r="IH30">
        <v>1.8635600000000001</v>
      </c>
      <c r="II30">
        <v>1.86148</v>
      </c>
      <c r="IJ30">
        <v>0</v>
      </c>
      <c r="IK30">
        <v>0</v>
      </c>
      <c r="IL30">
        <v>0</v>
      </c>
      <c r="IM30">
        <v>4.5</v>
      </c>
      <c r="IN30" t="s">
        <v>411</v>
      </c>
      <c r="IO30" t="s">
        <v>412</v>
      </c>
      <c r="IP30" t="s">
        <v>413</v>
      </c>
      <c r="IQ30" t="s">
        <v>414</v>
      </c>
      <c r="IR30" t="s">
        <v>414</v>
      </c>
      <c r="IS30" t="s">
        <v>413</v>
      </c>
      <c r="IT30">
        <v>0</v>
      </c>
      <c r="IU30">
        <v>100</v>
      </c>
      <c r="IV30">
        <v>100</v>
      </c>
      <c r="IW30">
        <v>-5.8090000000000002</v>
      </c>
      <c r="IX30">
        <v>-0.48630000000000001</v>
      </c>
      <c r="IY30">
        <v>-3.8226526922166091</v>
      </c>
      <c r="IZ30">
        <v>-5.6215304933332991E-3</v>
      </c>
      <c r="JA30">
        <v>2.3979931213773931E-6</v>
      </c>
      <c r="JB30">
        <v>-3.6297174575716598E-10</v>
      </c>
      <c r="JC30">
        <v>-0.92035291282311338</v>
      </c>
      <c r="JD30">
        <v>2.7492919904454862E-4</v>
      </c>
      <c r="JE30">
        <v>8.6739513355948885E-4</v>
      </c>
      <c r="JF30">
        <v>-8.2500691715147318E-6</v>
      </c>
      <c r="JG30">
        <v>17</v>
      </c>
      <c r="JH30">
        <v>1914</v>
      </c>
      <c r="JI30">
        <v>2</v>
      </c>
      <c r="JJ30">
        <v>37</v>
      </c>
      <c r="JK30">
        <v>2</v>
      </c>
      <c r="JL30">
        <v>2</v>
      </c>
      <c r="JM30">
        <v>1.0632299999999999</v>
      </c>
      <c r="JN30">
        <v>2.5439500000000002</v>
      </c>
      <c r="JO30">
        <v>1.50024</v>
      </c>
      <c r="JP30">
        <v>2.2705099999999998</v>
      </c>
      <c r="JQ30">
        <v>1.4477500000000001</v>
      </c>
      <c r="JR30">
        <v>2.3901400000000002</v>
      </c>
      <c r="JS30">
        <v>44.445599999999999</v>
      </c>
      <c r="JT30">
        <v>14.1671</v>
      </c>
      <c r="JU30">
        <v>18</v>
      </c>
      <c r="JV30">
        <v>542.53599999999994</v>
      </c>
      <c r="JW30">
        <v>384.17500000000001</v>
      </c>
      <c r="JX30">
        <v>25.0503</v>
      </c>
      <c r="JY30">
        <v>33.945500000000003</v>
      </c>
      <c r="JZ30">
        <v>30.000800000000002</v>
      </c>
      <c r="KA30">
        <v>33.971899999999998</v>
      </c>
      <c r="KB30">
        <v>33.967399999999998</v>
      </c>
      <c r="KC30">
        <v>21.277100000000001</v>
      </c>
      <c r="KD30">
        <v>36.395800000000001</v>
      </c>
      <c r="KE30">
        <v>0</v>
      </c>
      <c r="KF30">
        <v>25.05</v>
      </c>
      <c r="KG30">
        <v>417.47500000000002</v>
      </c>
      <c r="KH30">
        <v>24.9512</v>
      </c>
      <c r="KI30">
        <v>100.404</v>
      </c>
      <c r="KJ30">
        <v>98.833200000000005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A229B-0182-4B56-BD7D-AC060E5B74CD}">
  <dimension ref="A2:KJ29"/>
  <sheetViews>
    <sheetView workbookViewId="0">
      <selection activeCell="I32" sqref="I32"/>
    </sheetView>
  </sheetViews>
  <sheetFormatPr defaultRowHeight="14.4" x14ac:dyDescent="0.3"/>
  <sheetData>
    <row r="2" spans="1:296" x14ac:dyDescent="0.3">
      <c r="A2" t="s">
        <v>0</v>
      </c>
      <c r="B2" t="s">
        <v>1</v>
      </c>
      <c r="C2" t="s">
        <v>2</v>
      </c>
    </row>
    <row r="3" spans="1:296" x14ac:dyDescent="0.3">
      <c r="B3" t="s">
        <v>3</v>
      </c>
      <c r="C3">
        <v>21</v>
      </c>
    </row>
    <row r="4" spans="1:296" x14ac:dyDescent="0.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</row>
    <row r="5" spans="1:296" x14ac:dyDescent="0.3">
      <c r="B5" t="s">
        <v>15</v>
      </c>
      <c r="C5" t="s">
        <v>16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96" x14ac:dyDescent="0.3">
      <c r="A6" t="s">
        <v>17</v>
      </c>
      <c r="B6" t="s">
        <v>18</v>
      </c>
      <c r="C6" t="s">
        <v>19</v>
      </c>
      <c r="D6" t="s">
        <v>20</v>
      </c>
      <c r="E6" t="s">
        <v>21</v>
      </c>
    </row>
    <row r="7" spans="1:296" x14ac:dyDescent="0.3">
      <c r="B7">
        <v>0</v>
      </c>
      <c r="C7">
        <v>1</v>
      </c>
      <c r="D7">
        <v>0</v>
      </c>
      <c r="E7">
        <v>0</v>
      </c>
    </row>
    <row r="8" spans="1:296" x14ac:dyDescent="0.3">
      <c r="A8" t="s">
        <v>22</v>
      </c>
      <c r="B8" t="s">
        <v>23</v>
      </c>
      <c r="C8" t="s">
        <v>24</v>
      </c>
      <c r="D8" t="s">
        <v>25</v>
      </c>
      <c r="E8" t="s">
        <v>26</v>
      </c>
      <c r="F8" t="s">
        <v>27</v>
      </c>
      <c r="G8" t="s">
        <v>28</v>
      </c>
      <c r="H8" t="s">
        <v>29</v>
      </c>
      <c r="I8" t="s">
        <v>30</v>
      </c>
      <c r="J8" t="s">
        <v>31</v>
      </c>
      <c r="K8" t="s">
        <v>32</v>
      </c>
      <c r="L8" t="s">
        <v>33</v>
      </c>
      <c r="M8" t="s">
        <v>34</v>
      </c>
      <c r="N8" t="s">
        <v>35</v>
      </c>
      <c r="O8" t="s">
        <v>36</v>
      </c>
      <c r="P8" t="s">
        <v>37</v>
      </c>
      <c r="Q8" t="s">
        <v>38</v>
      </c>
    </row>
    <row r="9" spans="1:296" x14ac:dyDescent="0.3">
      <c r="B9" t="s">
        <v>39</v>
      </c>
      <c r="C9" t="s">
        <v>40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96" x14ac:dyDescent="0.3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</row>
    <row r="11" spans="1:296" x14ac:dyDescent="0.3">
      <c r="B11">
        <v>0</v>
      </c>
      <c r="C11">
        <v>0</v>
      </c>
      <c r="D11">
        <v>0</v>
      </c>
      <c r="E11">
        <v>0</v>
      </c>
      <c r="F11">
        <v>1</v>
      </c>
    </row>
    <row r="12" spans="1:296" x14ac:dyDescent="0.3">
      <c r="A12" t="s">
        <v>47</v>
      </c>
      <c r="B12" t="s">
        <v>48</v>
      </c>
      <c r="C12" t="s">
        <v>49</v>
      </c>
      <c r="D12" t="s">
        <v>50</v>
      </c>
      <c r="E12" t="s">
        <v>51</v>
      </c>
      <c r="F12" t="s">
        <v>52</v>
      </c>
      <c r="G12" t="s">
        <v>53</v>
      </c>
      <c r="H12" t="s">
        <v>54</v>
      </c>
    </row>
    <row r="13" spans="1:296" x14ac:dyDescent="0.3">
      <c r="B13">
        <v>-6276</v>
      </c>
      <c r="C13">
        <v>6.6</v>
      </c>
      <c r="D13">
        <v>1.7090000000000001E-5</v>
      </c>
      <c r="E13">
        <v>3.11</v>
      </c>
      <c r="F13" t="s">
        <v>679</v>
      </c>
      <c r="G13" t="s">
        <v>680</v>
      </c>
      <c r="H13">
        <v>0</v>
      </c>
    </row>
    <row r="14" spans="1:296" x14ac:dyDescent="0.3">
      <c r="A14" t="s">
        <v>57</v>
      </c>
      <c r="B14" t="s">
        <v>57</v>
      </c>
      <c r="C14" t="s">
        <v>57</v>
      </c>
      <c r="D14" t="s">
        <v>57</v>
      </c>
      <c r="E14" t="s">
        <v>57</v>
      </c>
      <c r="F14" t="s">
        <v>57</v>
      </c>
      <c r="G14" t="s">
        <v>58</v>
      </c>
      <c r="H14" t="s">
        <v>59</v>
      </c>
      <c r="I14" t="s">
        <v>59</v>
      </c>
      <c r="J14" t="s">
        <v>59</v>
      </c>
      <c r="K14" t="s">
        <v>59</v>
      </c>
      <c r="L14" t="s">
        <v>59</v>
      </c>
      <c r="M14" t="s">
        <v>59</v>
      </c>
      <c r="N14" t="s">
        <v>59</v>
      </c>
      <c r="O14" t="s">
        <v>59</v>
      </c>
      <c r="P14" t="s">
        <v>59</v>
      </c>
      <c r="Q14" t="s">
        <v>59</v>
      </c>
      <c r="R14" t="s">
        <v>59</v>
      </c>
      <c r="S14" t="s">
        <v>59</v>
      </c>
      <c r="T14" t="s">
        <v>59</v>
      </c>
      <c r="U14" t="s">
        <v>59</v>
      </c>
      <c r="V14" t="s">
        <v>59</v>
      </c>
      <c r="W14" t="s">
        <v>59</v>
      </c>
      <c r="X14" t="s">
        <v>59</v>
      </c>
      <c r="Y14" t="s">
        <v>59</v>
      </c>
      <c r="Z14" t="s">
        <v>59</v>
      </c>
      <c r="AA14" t="s">
        <v>59</v>
      </c>
      <c r="AB14" t="s">
        <v>59</v>
      </c>
      <c r="AC14" t="s">
        <v>59</v>
      </c>
      <c r="AD14" t="s">
        <v>59</v>
      </c>
      <c r="AE14" t="s">
        <v>59</v>
      </c>
      <c r="AF14" t="s">
        <v>59</v>
      </c>
      <c r="AG14" t="s">
        <v>59</v>
      </c>
      <c r="AH14" t="s">
        <v>60</v>
      </c>
      <c r="AI14" t="s">
        <v>60</v>
      </c>
      <c r="AJ14" t="s">
        <v>60</v>
      </c>
      <c r="AK14" t="s">
        <v>60</v>
      </c>
      <c r="AL14" t="s">
        <v>60</v>
      </c>
      <c r="AM14" t="s">
        <v>60</v>
      </c>
      <c r="AN14" t="s">
        <v>60</v>
      </c>
      <c r="AO14" t="s">
        <v>60</v>
      </c>
      <c r="AP14" t="s">
        <v>60</v>
      </c>
      <c r="AQ14" t="s">
        <v>60</v>
      </c>
      <c r="AR14" t="s">
        <v>61</v>
      </c>
      <c r="AS14" t="s">
        <v>61</v>
      </c>
      <c r="AT14" t="s">
        <v>61</v>
      </c>
      <c r="AU14" t="s">
        <v>61</v>
      </c>
      <c r="AV14" t="s">
        <v>61</v>
      </c>
      <c r="AW14" t="s">
        <v>62</v>
      </c>
      <c r="AX14" t="s">
        <v>62</v>
      </c>
      <c r="AY14" t="s">
        <v>62</v>
      </c>
      <c r="AZ14" t="s">
        <v>62</v>
      </c>
      <c r="BA14" t="s">
        <v>62</v>
      </c>
      <c r="BB14" t="s">
        <v>62</v>
      </c>
      <c r="BC14" t="s">
        <v>62</v>
      </c>
      <c r="BD14" t="s">
        <v>62</v>
      </c>
      <c r="BE14" t="s">
        <v>62</v>
      </c>
      <c r="BF14" t="s">
        <v>62</v>
      </c>
      <c r="BG14" t="s">
        <v>62</v>
      </c>
      <c r="BH14" t="s">
        <v>62</v>
      </c>
      <c r="BI14" t="s">
        <v>62</v>
      </c>
      <c r="BJ14" t="s">
        <v>62</v>
      </c>
      <c r="BK14" t="s">
        <v>62</v>
      </c>
      <c r="BL14" t="s">
        <v>62</v>
      </c>
      <c r="BM14" t="s">
        <v>62</v>
      </c>
      <c r="BN14" t="s">
        <v>62</v>
      </c>
      <c r="BO14" t="s">
        <v>62</v>
      </c>
      <c r="BP14" t="s">
        <v>62</v>
      </c>
      <c r="BQ14" t="s">
        <v>62</v>
      </c>
      <c r="BR14" t="s">
        <v>62</v>
      </c>
      <c r="BS14" t="s">
        <v>62</v>
      </c>
      <c r="BT14" t="s">
        <v>62</v>
      </c>
      <c r="BU14" t="s">
        <v>62</v>
      </c>
      <c r="BV14" t="s">
        <v>62</v>
      </c>
      <c r="BW14" t="s">
        <v>62</v>
      </c>
      <c r="BX14" t="s">
        <v>62</v>
      </c>
      <c r="BY14" t="s">
        <v>63</v>
      </c>
      <c r="BZ14" t="s">
        <v>63</v>
      </c>
      <c r="CA14" t="s">
        <v>63</v>
      </c>
      <c r="CB14" t="s">
        <v>63</v>
      </c>
      <c r="CC14" t="s">
        <v>63</v>
      </c>
      <c r="CD14" t="s">
        <v>63</v>
      </c>
      <c r="CE14" t="s">
        <v>63</v>
      </c>
      <c r="CF14" t="s">
        <v>63</v>
      </c>
      <c r="CG14" t="s">
        <v>63</v>
      </c>
      <c r="CH14" t="s">
        <v>63</v>
      </c>
      <c r="CI14" t="s">
        <v>63</v>
      </c>
      <c r="CJ14" t="s">
        <v>63</v>
      </c>
      <c r="CK14" t="s">
        <v>63</v>
      </c>
      <c r="CL14" t="s">
        <v>63</v>
      </c>
      <c r="CM14" t="s">
        <v>63</v>
      </c>
      <c r="CN14" t="s">
        <v>63</v>
      </c>
      <c r="CO14" t="s">
        <v>63</v>
      </c>
      <c r="CP14" t="s">
        <v>63</v>
      </c>
      <c r="CQ14" t="s">
        <v>63</v>
      </c>
      <c r="CR14" t="s">
        <v>63</v>
      </c>
      <c r="CS14" t="s">
        <v>63</v>
      </c>
      <c r="CT14" t="s">
        <v>64</v>
      </c>
      <c r="CU14" t="s">
        <v>64</v>
      </c>
      <c r="CV14" t="s">
        <v>64</v>
      </c>
      <c r="CW14" t="s">
        <v>64</v>
      </c>
      <c r="CX14" t="s">
        <v>64</v>
      </c>
      <c r="CY14" t="s">
        <v>64</v>
      </c>
      <c r="CZ14" t="s">
        <v>64</v>
      </c>
      <c r="DA14" t="s">
        <v>64</v>
      </c>
      <c r="DB14" t="s">
        <v>64</v>
      </c>
      <c r="DC14" t="s">
        <v>64</v>
      </c>
      <c r="DD14" t="s">
        <v>64</v>
      </c>
      <c r="DE14" t="s">
        <v>64</v>
      </c>
      <c r="DF14" t="s">
        <v>64</v>
      </c>
      <c r="DG14" t="s">
        <v>65</v>
      </c>
      <c r="DH14" t="s">
        <v>65</v>
      </c>
      <c r="DI14" t="s">
        <v>65</v>
      </c>
      <c r="DJ14" t="s">
        <v>65</v>
      </c>
      <c r="DK14" t="s">
        <v>66</v>
      </c>
      <c r="DL14" t="s">
        <v>66</v>
      </c>
      <c r="DM14" t="s">
        <v>66</v>
      </c>
      <c r="DN14" t="s">
        <v>66</v>
      </c>
      <c r="DO14" t="s">
        <v>66</v>
      </c>
      <c r="DP14" t="s">
        <v>67</v>
      </c>
      <c r="DQ14" t="s">
        <v>67</v>
      </c>
      <c r="DR14" t="s">
        <v>67</v>
      </c>
      <c r="DS14" t="s">
        <v>67</v>
      </c>
      <c r="DT14" t="s">
        <v>67</v>
      </c>
      <c r="DU14" t="s">
        <v>67</v>
      </c>
      <c r="DV14" t="s">
        <v>67</v>
      </c>
      <c r="DW14" t="s">
        <v>67</v>
      </c>
      <c r="DX14" t="s">
        <v>67</v>
      </c>
      <c r="DY14" t="s">
        <v>67</v>
      </c>
      <c r="DZ14" t="s">
        <v>67</v>
      </c>
      <c r="EA14" t="s">
        <v>67</v>
      </c>
      <c r="EB14" t="s">
        <v>67</v>
      </c>
      <c r="EC14" t="s">
        <v>67</v>
      </c>
      <c r="ED14" t="s">
        <v>67</v>
      </c>
      <c r="EE14" t="s">
        <v>67</v>
      </c>
      <c r="EF14" t="s">
        <v>67</v>
      </c>
      <c r="EG14" t="s">
        <v>67</v>
      </c>
      <c r="EH14" t="s">
        <v>68</v>
      </c>
      <c r="EI14" t="s">
        <v>68</v>
      </c>
      <c r="EJ14" t="s">
        <v>68</v>
      </c>
      <c r="EK14" t="s">
        <v>68</v>
      </c>
      <c r="EL14" t="s">
        <v>68</v>
      </c>
      <c r="EM14" t="s">
        <v>68</v>
      </c>
      <c r="EN14" t="s">
        <v>68</v>
      </c>
      <c r="EO14" t="s">
        <v>68</v>
      </c>
      <c r="EP14" t="s">
        <v>68</v>
      </c>
      <c r="EQ14" t="s">
        <v>68</v>
      </c>
      <c r="ER14" t="s">
        <v>69</v>
      </c>
      <c r="ES14" t="s">
        <v>69</v>
      </c>
      <c r="ET14" t="s">
        <v>69</v>
      </c>
      <c r="EU14" t="s">
        <v>69</v>
      </c>
      <c r="EV14" t="s">
        <v>69</v>
      </c>
      <c r="EW14" t="s">
        <v>69</v>
      </c>
      <c r="EX14" t="s">
        <v>69</v>
      </c>
      <c r="EY14" t="s">
        <v>69</v>
      </c>
      <c r="EZ14" t="s">
        <v>69</v>
      </c>
      <c r="FA14" t="s">
        <v>69</v>
      </c>
      <c r="FB14" t="s">
        <v>69</v>
      </c>
      <c r="FC14" t="s">
        <v>69</v>
      </c>
      <c r="FD14" t="s">
        <v>69</v>
      </c>
      <c r="FE14" t="s">
        <v>69</v>
      </c>
      <c r="FF14" t="s">
        <v>69</v>
      </c>
      <c r="FG14" t="s">
        <v>69</v>
      </c>
      <c r="FH14" t="s">
        <v>69</v>
      </c>
      <c r="FI14" t="s">
        <v>69</v>
      </c>
      <c r="FJ14" t="s">
        <v>70</v>
      </c>
      <c r="FK14" t="s">
        <v>70</v>
      </c>
      <c r="FL14" t="s">
        <v>70</v>
      </c>
      <c r="FM14" t="s">
        <v>70</v>
      </c>
      <c r="FN14" t="s">
        <v>70</v>
      </c>
      <c r="FO14" t="s">
        <v>71</v>
      </c>
      <c r="FP14" t="s">
        <v>71</v>
      </c>
      <c r="FQ14" t="s">
        <v>71</v>
      </c>
      <c r="FR14" t="s">
        <v>71</v>
      </c>
      <c r="FS14" t="s">
        <v>71</v>
      </c>
      <c r="FT14" t="s">
        <v>71</v>
      </c>
      <c r="FU14" t="s">
        <v>71</v>
      </c>
      <c r="FV14" t="s">
        <v>71</v>
      </c>
      <c r="FW14" t="s">
        <v>71</v>
      </c>
      <c r="FX14" t="s">
        <v>71</v>
      </c>
      <c r="FY14" t="s">
        <v>71</v>
      </c>
      <c r="FZ14" t="s">
        <v>71</v>
      </c>
      <c r="GA14" t="s">
        <v>71</v>
      </c>
      <c r="GB14" t="s">
        <v>72</v>
      </c>
      <c r="GC14" t="s">
        <v>72</v>
      </c>
      <c r="GD14" t="s">
        <v>72</v>
      </c>
      <c r="GE14" t="s">
        <v>72</v>
      </c>
      <c r="GF14" t="s">
        <v>72</v>
      </c>
      <c r="GG14" t="s">
        <v>72</v>
      </c>
      <c r="GH14" t="s">
        <v>72</v>
      </c>
      <c r="GI14" t="s">
        <v>72</v>
      </c>
      <c r="GJ14" t="s">
        <v>72</v>
      </c>
      <c r="GK14" t="s">
        <v>72</v>
      </c>
      <c r="GL14" t="s">
        <v>72</v>
      </c>
      <c r="GM14" t="s">
        <v>72</v>
      </c>
      <c r="GN14" t="s">
        <v>72</v>
      </c>
      <c r="GO14" t="s">
        <v>72</v>
      </c>
      <c r="GP14" t="s">
        <v>72</v>
      </c>
      <c r="GQ14" t="s">
        <v>73</v>
      </c>
      <c r="GR14" t="s">
        <v>73</v>
      </c>
      <c r="GS14" t="s">
        <v>73</v>
      </c>
      <c r="GT14" t="s">
        <v>73</v>
      </c>
      <c r="GU14" t="s">
        <v>73</v>
      </c>
      <c r="GV14" t="s">
        <v>73</v>
      </c>
      <c r="GW14" t="s">
        <v>73</v>
      </c>
      <c r="GX14" t="s">
        <v>73</v>
      </c>
      <c r="GY14" t="s">
        <v>73</v>
      </c>
      <c r="GZ14" t="s">
        <v>73</v>
      </c>
      <c r="HA14" t="s">
        <v>73</v>
      </c>
      <c r="HB14" t="s">
        <v>73</v>
      </c>
      <c r="HC14" t="s">
        <v>73</v>
      </c>
      <c r="HD14" t="s">
        <v>73</v>
      </c>
      <c r="HE14" t="s">
        <v>73</v>
      </c>
      <c r="HF14" t="s">
        <v>73</v>
      </c>
      <c r="HG14" t="s">
        <v>73</v>
      </c>
      <c r="HH14" t="s">
        <v>73</v>
      </c>
      <c r="HI14" t="s">
        <v>74</v>
      </c>
      <c r="HJ14" t="s">
        <v>74</v>
      </c>
      <c r="HK14" t="s">
        <v>74</v>
      </c>
      <c r="HL14" t="s">
        <v>74</v>
      </c>
      <c r="HM14" t="s">
        <v>74</v>
      </c>
      <c r="HN14" t="s">
        <v>74</v>
      </c>
      <c r="HO14" t="s">
        <v>74</v>
      </c>
      <c r="HP14" t="s">
        <v>74</v>
      </c>
      <c r="HQ14" t="s">
        <v>74</v>
      </c>
      <c r="HR14" t="s">
        <v>74</v>
      </c>
      <c r="HS14" t="s">
        <v>74</v>
      </c>
      <c r="HT14" t="s">
        <v>74</v>
      </c>
      <c r="HU14" t="s">
        <v>74</v>
      </c>
      <c r="HV14" t="s">
        <v>74</v>
      </c>
      <c r="HW14" t="s">
        <v>74</v>
      </c>
      <c r="HX14" t="s">
        <v>74</v>
      </c>
      <c r="HY14" t="s">
        <v>74</v>
      </c>
      <c r="HZ14" t="s">
        <v>74</v>
      </c>
      <c r="IA14" t="s">
        <v>74</v>
      </c>
      <c r="IB14" t="s">
        <v>75</v>
      </c>
      <c r="IC14" t="s">
        <v>75</v>
      </c>
      <c r="ID14" t="s">
        <v>75</v>
      </c>
      <c r="IE14" t="s">
        <v>75</v>
      </c>
      <c r="IF14" t="s">
        <v>75</v>
      </c>
      <c r="IG14" t="s">
        <v>75</v>
      </c>
      <c r="IH14" t="s">
        <v>75</v>
      </c>
      <c r="II14" t="s">
        <v>75</v>
      </c>
      <c r="IJ14" t="s">
        <v>75</v>
      </c>
      <c r="IK14" t="s">
        <v>75</v>
      </c>
      <c r="IL14" t="s">
        <v>75</v>
      </c>
      <c r="IM14" t="s">
        <v>75</v>
      </c>
      <c r="IN14" t="s">
        <v>75</v>
      </c>
      <c r="IO14" t="s">
        <v>75</v>
      </c>
      <c r="IP14" t="s">
        <v>75</v>
      </c>
      <c r="IQ14" t="s">
        <v>75</v>
      </c>
      <c r="IR14" t="s">
        <v>75</v>
      </c>
      <c r="IS14" t="s">
        <v>75</v>
      </c>
      <c r="IT14" t="s">
        <v>75</v>
      </c>
      <c r="IU14" t="s">
        <v>76</v>
      </c>
      <c r="IV14" t="s">
        <v>76</v>
      </c>
      <c r="IW14" t="s">
        <v>76</v>
      </c>
      <c r="IX14" t="s">
        <v>76</v>
      </c>
      <c r="IY14" t="s">
        <v>76</v>
      </c>
      <c r="IZ14" t="s">
        <v>76</v>
      </c>
      <c r="JA14" t="s">
        <v>76</v>
      </c>
      <c r="JB14" t="s">
        <v>76</v>
      </c>
      <c r="JC14" t="s">
        <v>76</v>
      </c>
      <c r="JD14" t="s">
        <v>76</v>
      </c>
      <c r="JE14" t="s">
        <v>76</v>
      </c>
      <c r="JF14" t="s">
        <v>76</v>
      </c>
      <c r="JG14" t="s">
        <v>76</v>
      </c>
      <c r="JH14" t="s">
        <v>76</v>
      </c>
      <c r="JI14" t="s">
        <v>76</v>
      </c>
      <c r="JJ14" t="s">
        <v>76</v>
      </c>
      <c r="JK14" t="s">
        <v>76</v>
      </c>
      <c r="JL14" t="s">
        <v>76</v>
      </c>
      <c r="JM14" t="s">
        <v>77</v>
      </c>
      <c r="JN14" t="s">
        <v>77</v>
      </c>
      <c r="JO14" t="s">
        <v>77</v>
      </c>
      <c r="JP14" t="s">
        <v>77</v>
      </c>
      <c r="JQ14" t="s">
        <v>77</v>
      </c>
      <c r="JR14" t="s">
        <v>77</v>
      </c>
      <c r="JS14" t="s">
        <v>77</v>
      </c>
      <c r="JT14" t="s">
        <v>77</v>
      </c>
      <c r="JU14" t="s">
        <v>78</v>
      </c>
      <c r="JV14" t="s">
        <v>78</v>
      </c>
      <c r="JW14" t="s">
        <v>78</v>
      </c>
      <c r="JX14" t="s">
        <v>78</v>
      </c>
      <c r="JY14" t="s">
        <v>78</v>
      </c>
      <c r="JZ14" t="s">
        <v>78</v>
      </c>
      <c r="KA14" t="s">
        <v>78</v>
      </c>
      <c r="KB14" t="s">
        <v>78</v>
      </c>
      <c r="KC14" t="s">
        <v>78</v>
      </c>
      <c r="KD14" t="s">
        <v>78</v>
      </c>
      <c r="KE14" t="s">
        <v>78</v>
      </c>
      <c r="KF14" t="s">
        <v>78</v>
      </c>
      <c r="KG14" t="s">
        <v>78</v>
      </c>
      <c r="KH14" t="s">
        <v>78</v>
      </c>
      <c r="KI14" t="s">
        <v>78</v>
      </c>
      <c r="KJ14" t="s">
        <v>78</v>
      </c>
    </row>
    <row r="15" spans="1:296" x14ac:dyDescent="0.3">
      <c r="A15" t="s">
        <v>79</v>
      </c>
      <c r="B15" t="s">
        <v>80</v>
      </c>
      <c r="C15" t="s">
        <v>81</v>
      </c>
      <c r="D15" t="s">
        <v>82</v>
      </c>
      <c r="E15" t="s">
        <v>83</v>
      </c>
      <c r="F15" t="s">
        <v>84</v>
      </c>
      <c r="G15" t="s">
        <v>85</v>
      </c>
      <c r="H15" t="s">
        <v>86</v>
      </c>
      <c r="I15" t="s">
        <v>87</v>
      </c>
      <c r="J15" t="s">
        <v>88</v>
      </c>
      <c r="K15" t="s">
        <v>89</v>
      </c>
      <c r="L15" t="s">
        <v>90</v>
      </c>
      <c r="M15" t="s">
        <v>91</v>
      </c>
      <c r="N15" t="s">
        <v>92</v>
      </c>
      <c r="O15" t="s">
        <v>93</v>
      </c>
      <c r="P15" t="s">
        <v>94</v>
      </c>
      <c r="Q15" t="s">
        <v>95</v>
      </c>
      <c r="R15" t="s">
        <v>96</v>
      </c>
      <c r="S15" t="s">
        <v>97</v>
      </c>
      <c r="T15" t="s">
        <v>98</v>
      </c>
      <c r="U15" t="s">
        <v>99</v>
      </c>
      <c r="V15" t="s">
        <v>100</v>
      </c>
      <c r="W15" t="s">
        <v>101</v>
      </c>
      <c r="X15" t="s">
        <v>102</v>
      </c>
      <c r="Y15" t="s">
        <v>103</v>
      </c>
      <c r="Z15" t="s">
        <v>104</v>
      </c>
      <c r="AA15" t="s">
        <v>105</v>
      </c>
      <c r="AB15" t="s">
        <v>106</v>
      </c>
      <c r="AC15" t="s">
        <v>107</v>
      </c>
      <c r="AD15" t="s">
        <v>108</v>
      </c>
      <c r="AE15" t="s">
        <v>109</v>
      </c>
      <c r="AF15" t="s">
        <v>110</v>
      </c>
      <c r="AG15" t="s">
        <v>111</v>
      </c>
      <c r="AH15" t="s">
        <v>112</v>
      </c>
      <c r="AI15" t="s">
        <v>113</v>
      </c>
      <c r="AJ15" t="s">
        <v>114</v>
      </c>
      <c r="AK15" t="s">
        <v>115</v>
      </c>
      <c r="AL15" t="s">
        <v>116</v>
      </c>
      <c r="AM15" t="s">
        <v>117</v>
      </c>
      <c r="AN15" t="s">
        <v>118</v>
      </c>
      <c r="AO15" t="s">
        <v>119</v>
      </c>
      <c r="AP15" t="s">
        <v>120</v>
      </c>
      <c r="AQ15" t="s">
        <v>121</v>
      </c>
      <c r="AR15" t="s">
        <v>61</v>
      </c>
      <c r="AS15" t="s">
        <v>122</v>
      </c>
      <c r="AT15" t="s">
        <v>123</v>
      </c>
      <c r="AU15" t="s">
        <v>124</v>
      </c>
      <c r="AV15" t="s">
        <v>125</v>
      </c>
      <c r="AW15" t="s">
        <v>126</v>
      </c>
      <c r="AX15" t="s">
        <v>127</v>
      </c>
      <c r="AY15" t="s">
        <v>128</v>
      </c>
      <c r="AZ15" t="s">
        <v>129</v>
      </c>
      <c r="BA15" t="s">
        <v>130</v>
      </c>
      <c r="BB15" t="s">
        <v>131</v>
      </c>
      <c r="BC15" t="s">
        <v>132</v>
      </c>
      <c r="BD15" t="s">
        <v>133</v>
      </c>
      <c r="BE15" t="s">
        <v>134</v>
      </c>
      <c r="BF15" t="s">
        <v>135</v>
      </c>
      <c r="BG15" t="s">
        <v>136</v>
      </c>
      <c r="BH15" t="s">
        <v>137</v>
      </c>
      <c r="BI15" t="s">
        <v>138</v>
      </c>
      <c r="BJ15" t="s">
        <v>139</v>
      </c>
      <c r="BK15" t="s">
        <v>140</v>
      </c>
      <c r="BL15" t="s">
        <v>141</v>
      </c>
      <c r="BM15" t="s">
        <v>142</v>
      </c>
      <c r="BN15" t="s">
        <v>143</v>
      </c>
      <c r="BO15" t="s">
        <v>144</v>
      </c>
      <c r="BP15" t="s">
        <v>145</v>
      </c>
      <c r="BQ15" t="s">
        <v>146</v>
      </c>
      <c r="BR15" t="s">
        <v>147</v>
      </c>
      <c r="BS15" t="s">
        <v>148</v>
      </c>
      <c r="BT15" t="s">
        <v>149</v>
      </c>
      <c r="BU15" t="s">
        <v>150</v>
      </c>
      <c r="BV15" t="s">
        <v>151</v>
      </c>
      <c r="BW15" t="s">
        <v>152</v>
      </c>
      <c r="BX15" t="s">
        <v>153</v>
      </c>
      <c r="BY15" t="s">
        <v>154</v>
      </c>
      <c r="BZ15" t="s">
        <v>155</v>
      </c>
      <c r="CA15" t="s">
        <v>156</v>
      </c>
      <c r="CB15" t="s">
        <v>157</v>
      </c>
      <c r="CC15" t="s">
        <v>158</v>
      </c>
      <c r="CD15" t="s">
        <v>159</v>
      </c>
      <c r="CE15" t="s">
        <v>160</v>
      </c>
      <c r="CF15" t="s">
        <v>161</v>
      </c>
      <c r="CG15" t="s">
        <v>162</v>
      </c>
      <c r="CH15" t="s">
        <v>163</v>
      </c>
      <c r="CI15" t="s">
        <v>164</v>
      </c>
      <c r="CJ15" t="s">
        <v>165</v>
      </c>
      <c r="CK15" t="s">
        <v>166</v>
      </c>
      <c r="CL15" t="s">
        <v>167</v>
      </c>
      <c r="CM15" t="s">
        <v>168</v>
      </c>
      <c r="CN15" t="s">
        <v>169</v>
      </c>
      <c r="CO15" t="s">
        <v>170</v>
      </c>
      <c r="CP15" t="s">
        <v>171</v>
      </c>
      <c r="CQ15" t="s">
        <v>172</v>
      </c>
      <c r="CR15" t="s">
        <v>173</v>
      </c>
      <c r="CS15" t="s">
        <v>174</v>
      </c>
      <c r="CT15" t="s">
        <v>154</v>
      </c>
      <c r="CU15" t="s">
        <v>175</v>
      </c>
      <c r="CV15" t="s">
        <v>176</v>
      </c>
      <c r="CW15" t="s">
        <v>177</v>
      </c>
      <c r="CX15" t="s">
        <v>128</v>
      </c>
      <c r="CY15" t="s">
        <v>178</v>
      </c>
      <c r="CZ15" t="s">
        <v>179</v>
      </c>
      <c r="DA15" t="s">
        <v>180</v>
      </c>
      <c r="DB15" t="s">
        <v>181</v>
      </c>
      <c r="DC15" t="s">
        <v>182</v>
      </c>
      <c r="DD15" t="s">
        <v>183</v>
      </c>
      <c r="DE15" t="s">
        <v>184</v>
      </c>
      <c r="DF15" t="s">
        <v>185</v>
      </c>
      <c r="DG15" t="s">
        <v>186</v>
      </c>
      <c r="DH15" t="s">
        <v>187</v>
      </c>
      <c r="DI15" t="s">
        <v>188</v>
      </c>
      <c r="DJ15" t="s">
        <v>189</v>
      </c>
      <c r="DK15" t="s">
        <v>190</v>
      </c>
      <c r="DL15" t="s">
        <v>191</v>
      </c>
      <c r="DM15" t="s">
        <v>192</v>
      </c>
      <c r="DN15" t="s">
        <v>193</v>
      </c>
      <c r="DO15" t="s">
        <v>194</v>
      </c>
      <c r="DP15" t="s">
        <v>86</v>
      </c>
      <c r="DQ15" t="s">
        <v>195</v>
      </c>
      <c r="DR15" t="s">
        <v>196</v>
      </c>
      <c r="DS15" t="s">
        <v>197</v>
      </c>
      <c r="DT15" t="s">
        <v>198</v>
      </c>
      <c r="DU15" t="s">
        <v>199</v>
      </c>
      <c r="DV15" t="s">
        <v>200</v>
      </c>
      <c r="DW15" t="s">
        <v>201</v>
      </c>
      <c r="DX15" t="s">
        <v>202</v>
      </c>
      <c r="DY15" t="s">
        <v>203</v>
      </c>
      <c r="DZ15" t="s">
        <v>204</v>
      </c>
      <c r="EA15" t="s">
        <v>205</v>
      </c>
      <c r="EB15" t="s">
        <v>206</v>
      </c>
      <c r="EC15" t="s">
        <v>207</v>
      </c>
      <c r="ED15" t="s">
        <v>208</v>
      </c>
      <c r="EE15" t="s">
        <v>209</v>
      </c>
      <c r="EF15" t="s">
        <v>210</v>
      </c>
      <c r="EG15" t="s">
        <v>211</v>
      </c>
      <c r="EH15" t="s">
        <v>212</v>
      </c>
      <c r="EI15" t="s">
        <v>213</v>
      </c>
      <c r="EJ15" t="s">
        <v>214</v>
      </c>
      <c r="EK15" t="s">
        <v>215</v>
      </c>
      <c r="EL15" t="s">
        <v>216</v>
      </c>
      <c r="EM15" t="s">
        <v>217</v>
      </c>
      <c r="EN15" t="s">
        <v>218</v>
      </c>
      <c r="EO15" t="s">
        <v>219</v>
      </c>
      <c r="EP15" t="s">
        <v>220</v>
      </c>
      <c r="EQ15" t="s">
        <v>221</v>
      </c>
      <c r="ER15" t="s">
        <v>222</v>
      </c>
      <c r="ES15" t="s">
        <v>223</v>
      </c>
      <c r="ET15" t="s">
        <v>224</v>
      </c>
      <c r="EU15" t="s">
        <v>225</v>
      </c>
      <c r="EV15" t="s">
        <v>226</v>
      </c>
      <c r="EW15" t="s">
        <v>227</v>
      </c>
      <c r="EX15" t="s">
        <v>228</v>
      </c>
      <c r="EY15" t="s">
        <v>229</v>
      </c>
      <c r="EZ15" t="s">
        <v>230</v>
      </c>
      <c r="FA15" t="s">
        <v>231</v>
      </c>
      <c r="FB15" t="s">
        <v>232</v>
      </c>
      <c r="FC15" t="s">
        <v>233</v>
      </c>
      <c r="FD15" t="s">
        <v>234</v>
      </c>
      <c r="FE15" t="s">
        <v>235</v>
      </c>
      <c r="FF15" t="s">
        <v>236</v>
      </c>
      <c r="FG15" t="s">
        <v>237</v>
      </c>
      <c r="FH15" t="s">
        <v>238</v>
      </c>
      <c r="FI15" t="s">
        <v>239</v>
      </c>
      <c r="FJ15" t="s">
        <v>240</v>
      </c>
      <c r="FK15" t="s">
        <v>241</v>
      </c>
      <c r="FL15" t="s">
        <v>242</v>
      </c>
      <c r="FM15" t="s">
        <v>243</v>
      </c>
      <c r="FN15" t="s">
        <v>244</v>
      </c>
      <c r="FO15" t="s">
        <v>80</v>
      </c>
      <c r="FP15" t="s">
        <v>83</v>
      </c>
      <c r="FQ15" t="s">
        <v>245</v>
      </c>
      <c r="FR15" t="s">
        <v>246</v>
      </c>
      <c r="FS15" t="s">
        <v>247</v>
      </c>
      <c r="FT15" t="s">
        <v>248</v>
      </c>
      <c r="FU15" t="s">
        <v>249</v>
      </c>
      <c r="FV15" t="s">
        <v>250</v>
      </c>
      <c r="FW15" t="s">
        <v>251</v>
      </c>
      <c r="FX15" t="s">
        <v>252</v>
      </c>
      <c r="FY15" t="s">
        <v>253</v>
      </c>
      <c r="FZ15" t="s">
        <v>254</v>
      </c>
      <c r="GA15" t="s">
        <v>255</v>
      </c>
      <c r="GB15" t="s">
        <v>256</v>
      </c>
      <c r="GC15" t="s">
        <v>257</v>
      </c>
      <c r="GD15" t="s">
        <v>258</v>
      </c>
      <c r="GE15" t="s">
        <v>259</v>
      </c>
      <c r="GF15" t="s">
        <v>260</v>
      </c>
      <c r="GG15" t="s">
        <v>261</v>
      </c>
      <c r="GH15" t="s">
        <v>262</v>
      </c>
      <c r="GI15" t="s">
        <v>263</v>
      </c>
      <c r="GJ15" t="s">
        <v>264</v>
      </c>
      <c r="GK15" t="s">
        <v>265</v>
      </c>
      <c r="GL15" t="s">
        <v>266</v>
      </c>
      <c r="GM15" t="s">
        <v>267</v>
      </c>
      <c r="GN15" t="s">
        <v>268</v>
      </c>
      <c r="GO15" t="s">
        <v>269</v>
      </c>
      <c r="GP15" t="s">
        <v>270</v>
      </c>
      <c r="GQ15" t="s">
        <v>271</v>
      </c>
      <c r="GR15" t="s">
        <v>272</v>
      </c>
      <c r="GS15" t="s">
        <v>273</v>
      </c>
      <c r="GT15" t="s">
        <v>274</v>
      </c>
      <c r="GU15" t="s">
        <v>275</v>
      </c>
      <c r="GV15" t="s">
        <v>276</v>
      </c>
      <c r="GW15" t="s">
        <v>277</v>
      </c>
      <c r="GX15" t="s">
        <v>278</v>
      </c>
      <c r="GY15" t="s">
        <v>279</v>
      </c>
      <c r="GZ15" t="s">
        <v>280</v>
      </c>
      <c r="HA15" t="s">
        <v>281</v>
      </c>
      <c r="HB15" t="s">
        <v>282</v>
      </c>
      <c r="HC15" t="s">
        <v>283</v>
      </c>
      <c r="HD15" t="s">
        <v>284</v>
      </c>
      <c r="HE15" t="s">
        <v>285</v>
      </c>
      <c r="HF15" t="s">
        <v>286</v>
      </c>
      <c r="HG15" t="s">
        <v>287</v>
      </c>
      <c r="HH15" t="s">
        <v>288</v>
      </c>
      <c r="HI15" t="s">
        <v>289</v>
      </c>
      <c r="HJ15" t="s">
        <v>290</v>
      </c>
      <c r="HK15" t="s">
        <v>291</v>
      </c>
      <c r="HL15" t="s">
        <v>292</v>
      </c>
      <c r="HM15" t="s">
        <v>293</v>
      </c>
      <c r="HN15" t="s">
        <v>294</v>
      </c>
      <c r="HO15" t="s">
        <v>295</v>
      </c>
      <c r="HP15" t="s">
        <v>296</v>
      </c>
      <c r="HQ15" t="s">
        <v>297</v>
      </c>
      <c r="HR15" t="s">
        <v>298</v>
      </c>
      <c r="HS15" t="s">
        <v>299</v>
      </c>
      <c r="HT15" t="s">
        <v>300</v>
      </c>
      <c r="HU15" t="s">
        <v>301</v>
      </c>
      <c r="HV15" t="s">
        <v>302</v>
      </c>
      <c r="HW15" t="s">
        <v>303</v>
      </c>
      <c r="HX15" t="s">
        <v>304</v>
      </c>
      <c r="HY15" t="s">
        <v>305</v>
      </c>
      <c r="HZ15" t="s">
        <v>306</v>
      </c>
      <c r="IA15" t="s">
        <v>307</v>
      </c>
      <c r="IB15" t="s">
        <v>308</v>
      </c>
      <c r="IC15" t="s">
        <v>309</v>
      </c>
      <c r="ID15" t="s">
        <v>310</v>
      </c>
      <c r="IE15" t="s">
        <v>311</v>
      </c>
      <c r="IF15" t="s">
        <v>312</v>
      </c>
      <c r="IG15" t="s">
        <v>313</v>
      </c>
      <c r="IH15" t="s">
        <v>314</v>
      </c>
      <c r="II15" t="s">
        <v>315</v>
      </c>
      <c r="IJ15" t="s">
        <v>316</v>
      </c>
      <c r="IK15" t="s">
        <v>317</v>
      </c>
      <c r="IL15" t="s">
        <v>318</v>
      </c>
      <c r="IM15" t="s">
        <v>319</v>
      </c>
      <c r="IN15" t="s">
        <v>320</v>
      </c>
      <c r="IO15" t="s">
        <v>321</v>
      </c>
      <c r="IP15" t="s">
        <v>322</v>
      </c>
      <c r="IQ15" t="s">
        <v>323</v>
      </c>
      <c r="IR15" t="s">
        <v>324</v>
      </c>
      <c r="IS15" t="s">
        <v>325</v>
      </c>
      <c r="IT15" t="s">
        <v>326</v>
      </c>
      <c r="IU15" t="s">
        <v>327</v>
      </c>
      <c r="IV15" t="s">
        <v>328</v>
      </c>
      <c r="IW15" t="s">
        <v>329</v>
      </c>
      <c r="IX15" t="s">
        <v>330</v>
      </c>
      <c r="IY15" t="s">
        <v>331</v>
      </c>
      <c r="IZ15" t="s">
        <v>332</v>
      </c>
      <c r="JA15" t="s">
        <v>333</v>
      </c>
      <c r="JB15" t="s">
        <v>334</v>
      </c>
      <c r="JC15" t="s">
        <v>335</v>
      </c>
      <c r="JD15" t="s">
        <v>336</v>
      </c>
      <c r="JE15" t="s">
        <v>337</v>
      </c>
      <c r="JF15" t="s">
        <v>338</v>
      </c>
      <c r="JG15" t="s">
        <v>339</v>
      </c>
      <c r="JH15" t="s">
        <v>340</v>
      </c>
      <c r="JI15" t="s">
        <v>341</v>
      </c>
      <c r="JJ15" t="s">
        <v>342</v>
      </c>
      <c r="JK15" t="s">
        <v>343</v>
      </c>
      <c r="JL15" t="s">
        <v>344</v>
      </c>
      <c r="JM15" t="s">
        <v>345</v>
      </c>
      <c r="JN15" t="s">
        <v>346</v>
      </c>
      <c r="JO15" t="s">
        <v>347</v>
      </c>
      <c r="JP15" t="s">
        <v>348</v>
      </c>
      <c r="JQ15" t="s">
        <v>349</v>
      </c>
      <c r="JR15" t="s">
        <v>350</v>
      </c>
      <c r="JS15" t="s">
        <v>351</v>
      </c>
      <c r="JT15" t="s">
        <v>352</v>
      </c>
      <c r="JU15" t="s">
        <v>353</v>
      </c>
      <c r="JV15" t="s">
        <v>354</v>
      </c>
      <c r="JW15" t="s">
        <v>355</v>
      </c>
      <c r="JX15" t="s">
        <v>356</v>
      </c>
      <c r="JY15" t="s">
        <v>357</v>
      </c>
      <c r="JZ15" t="s">
        <v>358</v>
      </c>
      <c r="KA15" t="s">
        <v>359</v>
      </c>
      <c r="KB15" t="s">
        <v>360</v>
      </c>
      <c r="KC15" t="s">
        <v>361</v>
      </c>
      <c r="KD15" t="s">
        <v>362</v>
      </c>
      <c r="KE15" t="s">
        <v>363</v>
      </c>
      <c r="KF15" t="s">
        <v>364</v>
      </c>
      <c r="KG15" t="s">
        <v>365</v>
      </c>
      <c r="KH15" t="s">
        <v>366</v>
      </c>
      <c r="KI15" t="s">
        <v>367</v>
      </c>
      <c r="KJ15" t="s">
        <v>368</v>
      </c>
    </row>
    <row r="16" spans="1:296" x14ac:dyDescent="0.3">
      <c r="B16" t="s">
        <v>369</v>
      </c>
      <c r="C16" t="s">
        <v>369</v>
      </c>
      <c r="F16" t="s">
        <v>369</v>
      </c>
      <c r="H16" t="s">
        <v>369</v>
      </c>
      <c r="I16" t="s">
        <v>370</v>
      </c>
      <c r="J16" t="s">
        <v>371</v>
      </c>
      <c r="K16" t="s">
        <v>372</v>
      </c>
      <c r="L16" t="s">
        <v>373</v>
      </c>
      <c r="M16" t="s">
        <v>373</v>
      </c>
      <c r="N16" t="s">
        <v>202</v>
      </c>
      <c r="O16" t="s">
        <v>202</v>
      </c>
      <c r="P16" t="s">
        <v>370</v>
      </c>
      <c r="Q16" t="s">
        <v>370</v>
      </c>
      <c r="R16" t="s">
        <v>370</v>
      </c>
      <c r="S16" t="s">
        <v>370</v>
      </c>
      <c r="T16" t="s">
        <v>374</v>
      </c>
      <c r="U16" t="s">
        <v>375</v>
      </c>
      <c r="V16" t="s">
        <v>375</v>
      </c>
      <c r="W16" t="s">
        <v>376</v>
      </c>
      <c r="X16" t="s">
        <v>377</v>
      </c>
      <c r="Y16" t="s">
        <v>376</v>
      </c>
      <c r="Z16" t="s">
        <v>376</v>
      </c>
      <c r="AA16" t="s">
        <v>376</v>
      </c>
      <c r="AB16" t="s">
        <v>374</v>
      </c>
      <c r="AC16" t="s">
        <v>374</v>
      </c>
      <c r="AD16" t="s">
        <v>374</v>
      </c>
      <c r="AE16" t="s">
        <v>374</v>
      </c>
      <c r="AF16" t="s">
        <v>372</v>
      </c>
      <c r="AG16" t="s">
        <v>371</v>
      </c>
      <c r="AH16" t="s">
        <v>372</v>
      </c>
      <c r="AI16" t="s">
        <v>373</v>
      </c>
      <c r="AJ16" t="s">
        <v>373</v>
      </c>
      <c r="AK16" t="s">
        <v>378</v>
      </c>
      <c r="AL16" t="s">
        <v>379</v>
      </c>
      <c r="AM16" t="s">
        <v>371</v>
      </c>
      <c r="AN16" t="s">
        <v>380</v>
      </c>
      <c r="AO16" t="s">
        <v>380</v>
      </c>
      <c r="AP16" t="s">
        <v>381</v>
      </c>
      <c r="AQ16" t="s">
        <v>379</v>
      </c>
      <c r="AR16" t="s">
        <v>382</v>
      </c>
      <c r="AS16" t="s">
        <v>377</v>
      </c>
      <c r="AU16" t="s">
        <v>377</v>
      </c>
      <c r="AV16" t="s">
        <v>382</v>
      </c>
      <c r="BB16" t="s">
        <v>372</v>
      </c>
      <c r="BI16" t="s">
        <v>372</v>
      </c>
      <c r="BJ16" t="s">
        <v>372</v>
      </c>
      <c r="BK16" t="s">
        <v>372</v>
      </c>
      <c r="BL16" t="s">
        <v>383</v>
      </c>
      <c r="BZ16" t="s">
        <v>384</v>
      </c>
      <c r="CB16" t="s">
        <v>384</v>
      </c>
      <c r="CC16" t="s">
        <v>372</v>
      </c>
      <c r="CF16" t="s">
        <v>384</v>
      </c>
      <c r="CG16" t="s">
        <v>377</v>
      </c>
      <c r="CJ16" t="s">
        <v>385</v>
      </c>
      <c r="CK16" t="s">
        <v>385</v>
      </c>
      <c r="CM16" t="s">
        <v>386</v>
      </c>
      <c r="CN16" t="s">
        <v>384</v>
      </c>
      <c r="CP16" t="s">
        <v>384</v>
      </c>
      <c r="CQ16" t="s">
        <v>372</v>
      </c>
      <c r="CU16" t="s">
        <v>384</v>
      </c>
      <c r="CW16" t="s">
        <v>387</v>
      </c>
      <c r="CZ16" t="s">
        <v>384</v>
      </c>
      <c r="DA16" t="s">
        <v>384</v>
      </c>
      <c r="DC16" t="s">
        <v>384</v>
      </c>
      <c r="DE16" t="s">
        <v>384</v>
      </c>
      <c r="DG16" t="s">
        <v>372</v>
      </c>
      <c r="DH16" t="s">
        <v>372</v>
      </c>
      <c r="DJ16" t="s">
        <v>388</v>
      </c>
      <c r="DK16" t="s">
        <v>389</v>
      </c>
      <c r="DN16" t="s">
        <v>370</v>
      </c>
      <c r="DP16" t="s">
        <v>369</v>
      </c>
      <c r="DQ16" t="s">
        <v>373</v>
      </c>
      <c r="DR16" t="s">
        <v>373</v>
      </c>
      <c r="DS16" t="s">
        <v>380</v>
      </c>
      <c r="DT16" t="s">
        <v>380</v>
      </c>
      <c r="DU16" t="s">
        <v>373</v>
      </c>
      <c r="DV16" t="s">
        <v>380</v>
      </c>
      <c r="DW16" t="s">
        <v>382</v>
      </c>
      <c r="DX16" t="s">
        <v>376</v>
      </c>
      <c r="DY16" t="s">
        <v>376</v>
      </c>
      <c r="DZ16" t="s">
        <v>375</v>
      </c>
      <c r="EA16" t="s">
        <v>375</v>
      </c>
      <c r="EB16" t="s">
        <v>375</v>
      </c>
      <c r="EC16" t="s">
        <v>375</v>
      </c>
      <c r="ED16" t="s">
        <v>375</v>
      </c>
      <c r="EE16" t="s">
        <v>390</v>
      </c>
      <c r="EF16" t="s">
        <v>372</v>
      </c>
      <c r="EG16" t="s">
        <v>372</v>
      </c>
      <c r="EH16" t="s">
        <v>373</v>
      </c>
      <c r="EI16" t="s">
        <v>373</v>
      </c>
      <c r="EJ16" t="s">
        <v>373</v>
      </c>
      <c r="EK16" t="s">
        <v>380</v>
      </c>
      <c r="EL16" t="s">
        <v>373</v>
      </c>
      <c r="EM16" t="s">
        <v>380</v>
      </c>
      <c r="EN16" t="s">
        <v>376</v>
      </c>
      <c r="EO16" t="s">
        <v>376</v>
      </c>
      <c r="EP16" t="s">
        <v>375</v>
      </c>
      <c r="EQ16" t="s">
        <v>375</v>
      </c>
      <c r="ER16" t="s">
        <v>372</v>
      </c>
      <c r="EW16" t="s">
        <v>372</v>
      </c>
      <c r="EZ16" t="s">
        <v>375</v>
      </c>
      <c r="FA16" t="s">
        <v>375</v>
      </c>
      <c r="FB16" t="s">
        <v>375</v>
      </c>
      <c r="FC16" t="s">
        <v>375</v>
      </c>
      <c r="FD16" t="s">
        <v>375</v>
      </c>
      <c r="FE16" t="s">
        <v>372</v>
      </c>
      <c r="FF16" t="s">
        <v>372</v>
      </c>
      <c r="FG16" t="s">
        <v>372</v>
      </c>
      <c r="FH16" t="s">
        <v>369</v>
      </c>
      <c r="FK16" t="s">
        <v>391</v>
      </c>
      <c r="FL16" t="s">
        <v>391</v>
      </c>
      <c r="FN16" t="s">
        <v>369</v>
      </c>
      <c r="FO16" t="s">
        <v>392</v>
      </c>
      <c r="FQ16" t="s">
        <v>369</v>
      </c>
      <c r="FR16" t="s">
        <v>369</v>
      </c>
      <c r="FT16" t="s">
        <v>393</v>
      </c>
      <c r="FU16" t="s">
        <v>394</v>
      </c>
      <c r="FV16" t="s">
        <v>393</v>
      </c>
      <c r="FW16" t="s">
        <v>394</v>
      </c>
      <c r="FX16" t="s">
        <v>393</v>
      </c>
      <c r="FY16" t="s">
        <v>394</v>
      </c>
      <c r="FZ16" t="s">
        <v>377</v>
      </c>
      <c r="GA16" t="s">
        <v>377</v>
      </c>
      <c r="GB16" t="s">
        <v>373</v>
      </c>
      <c r="GC16" t="s">
        <v>395</v>
      </c>
      <c r="GD16" t="s">
        <v>373</v>
      </c>
      <c r="GG16" t="s">
        <v>396</v>
      </c>
      <c r="GJ16" t="s">
        <v>380</v>
      </c>
      <c r="GK16" t="s">
        <v>397</v>
      </c>
      <c r="GL16" t="s">
        <v>380</v>
      </c>
      <c r="GQ16" t="s">
        <v>398</v>
      </c>
      <c r="GR16" t="s">
        <v>398</v>
      </c>
      <c r="HE16" t="s">
        <v>398</v>
      </c>
      <c r="HF16" t="s">
        <v>398</v>
      </c>
      <c r="HG16" t="s">
        <v>399</v>
      </c>
      <c r="HH16" t="s">
        <v>399</v>
      </c>
      <c r="HI16" t="s">
        <v>375</v>
      </c>
      <c r="HJ16" t="s">
        <v>375</v>
      </c>
      <c r="HK16" t="s">
        <v>377</v>
      </c>
      <c r="HL16" t="s">
        <v>375</v>
      </c>
      <c r="HM16" t="s">
        <v>380</v>
      </c>
      <c r="HN16" t="s">
        <v>377</v>
      </c>
      <c r="HO16" t="s">
        <v>377</v>
      </c>
      <c r="HQ16" t="s">
        <v>398</v>
      </c>
      <c r="HR16" t="s">
        <v>398</v>
      </c>
      <c r="HS16" t="s">
        <v>398</v>
      </c>
      <c r="HT16" t="s">
        <v>398</v>
      </c>
      <c r="HU16" t="s">
        <v>398</v>
      </c>
      <c r="HV16" t="s">
        <v>398</v>
      </c>
      <c r="HW16" t="s">
        <v>398</v>
      </c>
      <c r="HX16" t="s">
        <v>400</v>
      </c>
      <c r="HY16" t="s">
        <v>400</v>
      </c>
      <c r="HZ16" t="s">
        <v>400</v>
      </c>
      <c r="IA16" t="s">
        <v>401</v>
      </c>
      <c r="IB16" t="s">
        <v>398</v>
      </c>
      <c r="IC16" t="s">
        <v>398</v>
      </c>
      <c r="ID16" t="s">
        <v>398</v>
      </c>
      <c r="IE16" t="s">
        <v>398</v>
      </c>
      <c r="IF16" t="s">
        <v>398</v>
      </c>
      <c r="IG16" t="s">
        <v>398</v>
      </c>
      <c r="IH16" t="s">
        <v>398</v>
      </c>
      <c r="II16" t="s">
        <v>398</v>
      </c>
      <c r="IJ16" t="s">
        <v>398</v>
      </c>
      <c r="IK16" t="s">
        <v>398</v>
      </c>
      <c r="IL16" t="s">
        <v>398</v>
      </c>
      <c r="IM16" t="s">
        <v>398</v>
      </c>
      <c r="IT16" t="s">
        <v>398</v>
      </c>
      <c r="IU16" t="s">
        <v>377</v>
      </c>
      <c r="IV16" t="s">
        <v>377</v>
      </c>
      <c r="IW16" t="s">
        <v>393</v>
      </c>
      <c r="IX16" t="s">
        <v>394</v>
      </c>
      <c r="IY16" t="s">
        <v>393</v>
      </c>
      <c r="JC16" t="s">
        <v>394</v>
      </c>
      <c r="JG16" t="s">
        <v>373</v>
      </c>
      <c r="JH16" t="s">
        <v>373</v>
      </c>
      <c r="JI16" t="s">
        <v>380</v>
      </c>
      <c r="JJ16" t="s">
        <v>380</v>
      </c>
      <c r="JK16" t="s">
        <v>402</v>
      </c>
      <c r="JL16" t="s">
        <v>402</v>
      </c>
      <c r="JM16" t="s">
        <v>398</v>
      </c>
      <c r="JN16" t="s">
        <v>398</v>
      </c>
      <c r="JO16" t="s">
        <v>398</v>
      </c>
      <c r="JP16" t="s">
        <v>398</v>
      </c>
      <c r="JQ16" t="s">
        <v>398</v>
      </c>
      <c r="JR16" t="s">
        <v>398</v>
      </c>
      <c r="JS16" t="s">
        <v>375</v>
      </c>
      <c r="JT16" t="s">
        <v>398</v>
      </c>
      <c r="JV16" t="s">
        <v>382</v>
      </c>
      <c r="JW16" t="s">
        <v>382</v>
      </c>
      <c r="JX16" t="s">
        <v>375</v>
      </c>
      <c r="JY16" t="s">
        <v>375</v>
      </c>
      <c r="JZ16" t="s">
        <v>375</v>
      </c>
      <c r="KA16" t="s">
        <v>375</v>
      </c>
      <c r="KB16" t="s">
        <v>375</v>
      </c>
      <c r="KC16" t="s">
        <v>377</v>
      </c>
      <c r="KD16" t="s">
        <v>377</v>
      </c>
      <c r="KE16" t="s">
        <v>377</v>
      </c>
      <c r="KF16" t="s">
        <v>375</v>
      </c>
      <c r="KG16" t="s">
        <v>373</v>
      </c>
      <c r="KH16" t="s">
        <v>380</v>
      </c>
      <c r="KI16" t="s">
        <v>377</v>
      </c>
      <c r="KJ16" t="s">
        <v>377</v>
      </c>
    </row>
    <row r="17" spans="1:296" x14ac:dyDescent="0.3">
      <c r="A17">
        <v>1</v>
      </c>
      <c r="B17">
        <v>1783695085</v>
      </c>
      <c r="C17">
        <v>0</v>
      </c>
      <c r="D17" t="s">
        <v>788</v>
      </c>
      <c r="E17" t="s">
        <v>789</v>
      </c>
      <c r="F17">
        <v>15</v>
      </c>
      <c r="H17">
        <v>1783695077</v>
      </c>
      <c r="I17">
        <f t="shared" ref="I17:I29" si="0">(J17)/1000</f>
        <v>3.1657384075828823E-3</v>
      </c>
      <c r="J17">
        <f t="shared" ref="J17:J29" si="1">IF(DO17, AM17, AG17)</f>
        <v>3.1657384075828823</v>
      </c>
      <c r="K17">
        <f t="shared" ref="K17:K29" si="2">IF(DO17, AH17, AF17)</f>
        <v>40.740307357391465</v>
      </c>
      <c r="L17">
        <f t="shared" ref="L17:L29" si="3">DQ17 - IF(AT17&gt;1, K17*DK17*100/(AV17), 0)</f>
        <v>419.57519354838712</v>
      </c>
      <c r="M17">
        <f t="shared" ref="M17:M29" si="4">((S17-I17/2)*L17-K17)/(S17+I17/2)</f>
        <v>105.85324879945267</v>
      </c>
      <c r="N17">
        <f t="shared" ref="N17:N29" si="5">M17*(DX17+DY17)/1000</f>
        <v>10.327215674645057</v>
      </c>
      <c r="O17">
        <f t="shared" ref="O17:O29" si="6">(DQ17 - IF(AT17&gt;1, K17*DK17*100/(AV17), 0))*(DX17+DY17)/1000</f>
        <v>40.934440507484368</v>
      </c>
      <c r="P17">
        <f t="shared" ref="P17:P29" si="7">2/((1/R17-1/Q17)+SIGN(R17)*SQRT((1/R17-1/Q17)*(1/R17-1/Q17) + 4*DL17/((DL17+1)*(DL17+1))*(2*1/R17*1/Q17-1/Q17*1/Q17)))</f>
        <v>0.21967778621003559</v>
      </c>
      <c r="Q17">
        <f t="shared" ref="Q17:Q29" si="8">IF(LEFT(DM17,1)&lt;&gt;"0",IF(LEFT(DM17,1)="1",3,DN17),$D$5+$E$5*(EE17*DX17/($K$5*1000))+$F$5*(EE17*DX17/($K$5*1000))*MAX(MIN(DK17,$J$5),$I$5)*MAX(MIN(DK17,$J$5),$I$5)+$G$5*MAX(MIN(DK17,$J$5),$I$5)*(EE17*DX17/($K$5*1000))+$H$5*(EE17*DX17/($K$5*1000))*(EE17*DX17/($K$5*1000)))</f>
        <v>2.8849404994305563</v>
      </c>
      <c r="R17">
        <f t="shared" ref="R17:R29" si="9">I17*(1000-(1000*0.61365*EXP(17.502*V17/(240.97+V17))/(DX17+DY17)+DS17)/2)/(1000*0.61365*EXP(17.502*V17/(240.97+V17))/(DX17+DY17)-DS17)</f>
        <v>0.21078981958232218</v>
      </c>
      <c r="S17">
        <f t="shared" ref="S17:S29" si="10">1/((DL17+1)/(P17/1.6)+1/(Q17/1.37)) + DL17/((DL17+1)/(P17/1.6) + DL17/(Q17/1.37))</f>
        <v>0.13251222158159584</v>
      </c>
      <c r="T17">
        <f t="shared" ref="T17:T29" si="11">(DG17*DJ17)</f>
        <v>319.77876840053301</v>
      </c>
      <c r="U17">
        <f t="shared" ref="U17:U29" si="12">(DZ17+(T17+2*0.95*0.0000000567*(((DZ17+$B$7)+273)^4-(DZ17+273)^4)-44100*I17)/(1.84*29.3*Q17+8*0.95*0.0000000567*(DZ17+273)^3))</f>
        <v>29.091089345199968</v>
      </c>
      <c r="V17">
        <f t="shared" ref="V17:V29" si="13">($C$7*EA17+$D$7*EB17+$E$7*U17)</f>
        <v>28.387419354838709</v>
      </c>
      <c r="W17">
        <f t="shared" ref="W17:W29" si="14">0.61365*EXP(17.502*V17/(240.97+V17))</f>
        <v>3.8813960597332882</v>
      </c>
      <c r="X17">
        <f t="shared" ref="X17:X29" si="15">(Y17/Z17*100)</f>
        <v>64.872245894019969</v>
      </c>
      <c r="Y17">
        <f t="shared" ref="Y17:Y29" si="16">DS17*(DX17+DY17)/1000</f>
        <v>2.4638183000467833</v>
      </c>
      <c r="Z17">
        <f t="shared" ref="Z17:Z29" si="17">0.61365*EXP(17.502*DZ17/(240.97+DZ17))</f>
        <v>3.7979543733877446</v>
      </c>
      <c r="AA17">
        <f t="shared" ref="AA17:AA29" si="18">(W17-DS17*(DX17+DY17)/1000)</f>
        <v>1.4175777596865049</v>
      </c>
      <c r="AB17">
        <f t="shared" ref="AB17:AB29" si="19">(-I17*44100)</f>
        <v>-139.60906377440512</v>
      </c>
      <c r="AC17">
        <f t="shared" ref="AC17:AC29" si="20">2*29.3*Q17*0.92*(DZ17-V17)</f>
        <v>-58.067460193242113</v>
      </c>
      <c r="AD17">
        <f t="shared" ref="AD17:AD29" si="21">2*0.95*0.0000000567*(((DZ17+$B$7)+273)^4-(V17+273)^4)</f>
        <v>-4.3961801190856029</v>
      </c>
      <c r="AE17">
        <f t="shared" ref="AE17:AE29" si="22">T17+AD17+AB17+AC17</f>
        <v>117.70606431380017</v>
      </c>
      <c r="AF17">
        <f t="shared" ref="AF17:AF29" si="23">DW17*AT17*(DR17-DQ17*(1000-AT17*DT17)/(1000-AT17*DS17))/(100*DK17)</f>
        <v>40.740307357391465</v>
      </c>
      <c r="AG17">
        <f t="shared" ref="AG17:AG29" si="24">1000*DW17*AT17*(DS17-DT17)/(100*DK17*(1000-AT17*DS17))</f>
        <v>3.1657384075828823</v>
      </c>
      <c r="AH17">
        <f t="shared" ref="AH17:AH29" si="25">(AI17 - AJ17 - DX17*1000/(8.314*(DZ17+273.15)) * AL17/DW17 * AK17) * DW17/(100*DK17) * (1000 - DT17)/1000</f>
        <v>40.781309636758998</v>
      </c>
      <c r="AI17">
        <v>480.51853506380053</v>
      </c>
      <c r="AJ17">
        <v>430.49436363636352</v>
      </c>
      <c r="AK17">
        <v>7.2341214381187321E-4</v>
      </c>
      <c r="AL17">
        <v>67.031914799135862</v>
      </c>
      <c r="AM17">
        <f t="shared" ref="AM17:AM29" si="26">(AO17 - AN17 + DX17*1000/(8.314*(DZ17+273.15)) * AQ17/DW17 * AP17) * DW17/(100*DK17) * 1000/(1000 - AO17)</f>
        <v>3.1814570850213428</v>
      </c>
      <c r="AN17">
        <v>21.531579963064189</v>
      </c>
      <c r="AO17">
        <v>25.257199393939391</v>
      </c>
      <c r="AP17">
        <v>-6.4588715582306988E-4</v>
      </c>
      <c r="AQ17">
        <v>78.05885065904701</v>
      </c>
      <c r="AR17">
        <v>45</v>
      </c>
      <c r="AS17">
        <v>9</v>
      </c>
      <c r="AT17">
        <f t="shared" ref="AT17:AT29" si="27">IF(AR17*$H$13&gt;=AV17,1,(AV17/(AV17-AR17*$H$13)))</f>
        <v>1</v>
      </c>
      <c r="AU17">
        <f t="shared" ref="AU17:AU29" si="28">(AT17-1)*100</f>
        <v>0</v>
      </c>
      <c r="AV17">
        <f t="shared" ref="AV17:AV29" si="29">MAX(0,($B$13+$C$13*EE17)/(1+$D$13*EE17)*DX17/(DZ17+273)*$E$13)</f>
        <v>51371.280023685962</v>
      </c>
      <c r="AW17" t="s">
        <v>790</v>
      </c>
      <c r="AX17">
        <v>5089.3599999999997</v>
      </c>
      <c r="AY17">
        <v>541.23823529411766</v>
      </c>
      <c r="AZ17">
        <v>2342.2399999999998</v>
      </c>
      <c r="BA17">
        <f t="shared" ref="BA17:BA29" si="30">1-AY17/AZ17</f>
        <v>0.76892281094417414</v>
      </c>
      <c r="BB17">
        <v>-5.4766429144180178</v>
      </c>
      <c r="BC17" t="s">
        <v>791</v>
      </c>
      <c r="BD17">
        <v>5080.96</v>
      </c>
      <c r="BE17">
        <v>819.18447058823517</v>
      </c>
      <c r="BF17">
        <v>939.04</v>
      </c>
      <c r="BG17">
        <f t="shared" ref="BG17:BG29" si="31">1-BE17/BF17</f>
        <v>0.12763623425175152</v>
      </c>
      <c r="BH17">
        <v>0.5</v>
      </c>
      <c r="BI17">
        <f t="shared" ref="BI17:BI29" si="32">DH17</f>
        <v>1680.3042772591762</v>
      </c>
      <c r="BJ17">
        <f t="shared" ref="BJ17:BJ29" si="33">K17</f>
        <v>40.740307357391465</v>
      </c>
      <c r="BK17">
        <f t="shared" ref="BK17:BK29" si="34">BG17*BH17*BI17</f>
        <v>107.23385517323612</v>
      </c>
      <c r="BL17">
        <f t="shared" ref="BL17:BL29" si="35">(BJ17-BB17)/BI17</f>
        <v>2.7505107793450442E-2</v>
      </c>
      <c r="BM17">
        <f t="shared" ref="BM17:BM29" si="36">(AZ17-BF17)/BF17</f>
        <v>1.494292042937468</v>
      </c>
      <c r="BN17">
        <f t="shared" ref="BN17:BN29" si="37">AY17/(BA17+AY17/BF17)</f>
        <v>402.31882906325211</v>
      </c>
      <c r="BO17" t="s">
        <v>407</v>
      </c>
      <c r="BP17">
        <v>0</v>
      </c>
      <c r="BQ17">
        <f t="shared" ref="BQ17:BQ29" si="38">IF(BP17&lt;&gt;0, BP17, BN17)</f>
        <v>402.31882906325211</v>
      </c>
      <c r="BR17">
        <f t="shared" ref="BR17:BR29" si="39">1-BQ17/BF17</f>
        <v>0.57156369370500504</v>
      </c>
      <c r="BS17">
        <f t="shared" ref="BS17:BS29" si="40">(BF17-BE17)/(BF17-BQ17)</f>
        <v>0.22331060502528541</v>
      </c>
      <c r="BT17">
        <f t="shared" ref="BT17:BT29" si="41">(AZ17-BF17)/(AZ17-BQ17)</f>
        <v>0.72332836046241178</v>
      </c>
      <c r="BU17">
        <f t="shared" ref="BU17:BU29" si="42">(BF17-BE17)/(BF17-AY17)</f>
        <v>0.30129461466914526</v>
      </c>
      <c r="BV17">
        <f t="shared" ref="BV17:BV29" si="43">(AZ17-BF17)/(AZ17-AY17)</f>
        <v>0.77912194618485198</v>
      </c>
      <c r="BW17">
        <f t="shared" ref="BW17:BW29" si="44">(BS17*BQ17/BE17)</f>
        <v>0.10967256382029063</v>
      </c>
      <c r="BX17">
        <f t="shared" ref="BX17:BX29" si="45">(1-BW17)</f>
        <v>0.89032743617970933</v>
      </c>
      <c r="DG17">
        <f t="shared" ref="DG17:DG29" si="46">$B$11*EF17+$C$11*EG17+$F$11*ER17*(1-EU17)</f>
        <v>2000.0058064516129</v>
      </c>
      <c r="DH17">
        <f t="shared" ref="DH17:DH29" si="47">DG17*DI17</f>
        <v>1680.3042772591762</v>
      </c>
      <c r="DI17">
        <f t="shared" ref="DI17:DI29" si="48">($B$11*$D$9+$C$11*$D$9+$F$11*((FE17+EW17)/MAX(FE17+EW17+FF17, 0.1)*$I$9+FF17/MAX(FE17+EW17+FF17, 0.1)*$J$9))/($B$11+$C$11+$F$11)</f>
        <v>0.84014969948529927</v>
      </c>
      <c r="DJ17">
        <f t="shared" ref="DJ17:DJ29" si="49">($B$11*$K$9+$C$11*$K$9+$F$11*((FE17+EW17)/MAX(FE17+EW17+FF17, 0.1)*$P$9+FF17/MAX(FE17+EW17+FF17, 0.1)*$Q$9))/($B$11+$C$11+$F$11)</f>
        <v>0.15988892000662777</v>
      </c>
      <c r="DK17">
        <v>6</v>
      </c>
      <c r="DL17">
        <v>0.5</v>
      </c>
      <c r="DM17" t="s">
        <v>408</v>
      </c>
      <c r="DN17">
        <v>2</v>
      </c>
      <c r="DO17" t="b">
        <v>0</v>
      </c>
      <c r="DP17">
        <v>1783695077</v>
      </c>
      <c r="DQ17">
        <v>419.57519354838712</v>
      </c>
      <c r="DR17">
        <v>470.06248387096781</v>
      </c>
      <c r="DS17">
        <v>25.25396774193548</v>
      </c>
      <c r="DT17">
        <v>21.55065161290322</v>
      </c>
      <c r="DU17">
        <v>425.24599999999998</v>
      </c>
      <c r="DV17">
        <v>25.653967741935482</v>
      </c>
      <c r="DW17">
        <v>499.95045161290329</v>
      </c>
      <c r="DX17">
        <v>97.522738709677427</v>
      </c>
      <c r="DY17">
        <v>3.8892999999999997E-2</v>
      </c>
      <c r="DZ17">
        <v>28.014074193548382</v>
      </c>
      <c r="EA17">
        <v>28.387419354838709</v>
      </c>
      <c r="EB17">
        <v>999.90000000000032</v>
      </c>
      <c r="EC17">
        <v>0</v>
      </c>
      <c r="ED17">
        <v>0</v>
      </c>
      <c r="EE17">
        <v>9995.4838709677424</v>
      </c>
      <c r="EF17">
        <v>0</v>
      </c>
      <c r="EG17">
        <v>716.24338709677409</v>
      </c>
      <c r="EH17">
        <v>-50.4871870967742</v>
      </c>
      <c r="EI17">
        <v>430.45290322580638</v>
      </c>
      <c r="EJ17">
        <v>480.41564516129029</v>
      </c>
      <c r="EK17">
        <v>3.7197032258064509</v>
      </c>
      <c r="EL17">
        <v>470.06248387096781</v>
      </c>
      <c r="EM17">
        <v>21.55065161290322</v>
      </c>
      <c r="EN17">
        <v>2.4644325806451621</v>
      </c>
      <c r="EO17">
        <v>2.1016767741935491</v>
      </c>
      <c r="EP17">
        <v>20.793493548387101</v>
      </c>
      <c r="EQ17">
        <v>18.231890322580639</v>
      </c>
      <c r="ER17">
        <v>2000.0058064516129</v>
      </c>
      <c r="ES17">
        <v>0.99499700000000035</v>
      </c>
      <c r="ET17">
        <v>5.0028541935483849E-3</v>
      </c>
      <c r="EU17">
        <v>0</v>
      </c>
      <c r="EV17">
        <v>819.70361290322569</v>
      </c>
      <c r="EW17">
        <v>5.0010700000000003</v>
      </c>
      <c r="EX17">
        <v>23170.26774193548</v>
      </c>
      <c r="EY17">
        <v>18241.667741935478</v>
      </c>
      <c r="EZ17">
        <v>39.025935483870953</v>
      </c>
      <c r="FA17">
        <v>40.608677419354827</v>
      </c>
      <c r="FB17">
        <v>39.521999999999977</v>
      </c>
      <c r="FC17">
        <v>40.487806451612897</v>
      </c>
      <c r="FD17">
        <v>40.513870967741923</v>
      </c>
      <c r="FE17">
        <v>1985.0258064516131</v>
      </c>
      <c r="FF17">
        <v>9.980000000000004</v>
      </c>
      <c r="FG17">
        <v>0</v>
      </c>
      <c r="FH17">
        <v>1783695084.7</v>
      </c>
      <c r="FI17">
        <v>0</v>
      </c>
      <c r="FJ17">
        <v>819.18447058823517</v>
      </c>
      <c r="FK17">
        <v>-8.6394607617241324</v>
      </c>
      <c r="FL17">
        <v>-266.34803937678788</v>
      </c>
      <c r="FM17">
        <v>23158.682352941181</v>
      </c>
      <c r="FN17">
        <v>10</v>
      </c>
      <c r="FO17">
        <v>1783695109</v>
      </c>
      <c r="FP17" t="s">
        <v>792</v>
      </c>
      <c r="FQ17">
        <v>1783531755.0999999</v>
      </c>
      <c r="FR17">
        <v>1783695109</v>
      </c>
      <c r="FS17">
        <v>1</v>
      </c>
      <c r="FT17">
        <v>-1.0999999999999999E-2</v>
      </c>
      <c r="FU17">
        <v>8.5000000000000006E-2</v>
      </c>
      <c r="FV17">
        <v>-5.5919999999999996</v>
      </c>
      <c r="FW17">
        <v>-0.4</v>
      </c>
      <c r="FX17">
        <v>419</v>
      </c>
      <c r="FY17">
        <v>22</v>
      </c>
      <c r="FZ17">
        <v>1.87</v>
      </c>
      <c r="GA17">
        <v>0.08</v>
      </c>
      <c r="GB17">
        <v>419.57060000000001</v>
      </c>
      <c r="GC17">
        <v>0.46889432703035039</v>
      </c>
      <c r="GD17">
        <v>5.2271470867639329E-2</v>
      </c>
      <c r="GE17">
        <v>-1</v>
      </c>
      <c r="GF17">
        <v>820.17473529411768</v>
      </c>
      <c r="GG17">
        <v>-9.3302520998336238</v>
      </c>
      <c r="GH17">
        <v>0.93450327506503417</v>
      </c>
      <c r="GI17">
        <v>1</v>
      </c>
      <c r="GJ17">
        <v>3.70056275</v>
      </c>
      <c r="GK17">
        <v>0.30949046904314698</v>
      </c>
      <c r="GL17">
        <v>3.4328398301369953E-2</v>
      </c>
      <c r="GM17">
        <v>1</v>
      </c>
      <c r="GN17">
        <v>2</v>
      </c>
      <c r="GO17">
        <v>2</v>
      </c>
      <c r="GP17" t="s">
        <v>423</v>
      </c>
      <c r="GQ17">
        <v>3.13171</v>
      </c>
      <c r="GR17">
        <v>2.7158000000000002</v>
      </c>
      <c r="GS17">
        <v>9.1838500000000003E-2</v>
      </c>
      <c r="GT17">
        <v>9.9738999999999994E-2</v>
      </c>
      <c r="GU17">
        <v>0.117768</v>
      </c>
      <c r="GV17">
        <v>0.10444299999999999</v>
      </c>
      <c r="GW17">
        <v>22891</v>
      </c>
      <c r="GX17">
        <v>30450.9</v>
      </c>
      <c r="GY17">
        <v>27329</v>
      </c>
      <c r="GZ17">
        <v>34762.400000000001</v>
      </c>
      <c r="HA17">
        <v>35281.1</v>
      </c>
      <c r="HB17">
        <v>39436.300000000003</v>
      </c>
      <c r="HC17">
        <v>40337.4</v>
      </c>
      <c r="HD17">
        <v>44121.9</v>
      </c>
      <c r="HE17">
        <v>1.8740000000000001</v>
      </c>
      <c r="HF17">
        <v>1.7798</v>
      </c>
      <c r="HG17">
        <v>-6.2584900000000002E-3</v>
      </c>
      <c r="HH17">
        <v>0</v>
      </c>
      <c r="HI17">
        <v>28.501899999999999</v>
      </c>
      <c r="HJ17">
        <v>999.9</v>
      </c>
      <c r="HK17">
        <v>64.099999999999994</v>
      </c>
      <c r="HL17">
        <v>33.1</v>
      </c>
      <c r="HM17">
        <v>33.394599999999997</v>
      </c>
      <c r="HN17">
        <v>60.720100000000002</v>
      </c>
      <c r="HO17">
        <v>8.6418300000000006</v>
      </c>
      <c r="HP17">
        <v>1</v>
      </c>
      <c r="HQ17">
        <v>0.29126000000000002</v>
      </c>
      <c r="HR17">
        <v>2.4017599999999999</v>
      </c>
      <c r="HS17">
        <v>20.25</v>
      </c>
      <c r="HT17">
        <v>5.2077099999999996</v>
      </c>
      <c r="HU17">
        <v>11.9033</v>
      </c>
      <c r="HV17">
        <v>4.9843999999999999</v>
      </c>
      <c r="HW17">
        <v>3.2706</v>
      </c>
      <c r="HX17">
        <v>9999</v>
      </c>
      <c r="HY17">
        <v>9999</v>
      </c>
      <c r="HZ17">
        <v>9999</v>
      </c>
      <c r="IA17">
        <v>999.9</v>
      </c>
      <c r="IB17">
        <v>1.8672200000000001</v>
      </c>
      <c r="IC17">
        <v>1.8627899999999999</v>
      </c>
      <c r="ID17">
        <v>1.8621799999999999</v>
      </c>
      <c r="IE17">
        <v>1.86172</v>
      </c>
      <c r="IF17">
        <v>1.86172</v>
      </c>
      <c r="IG17">
        <v>1.86249</v>
      </c>
      <c r="IH17">
        <v>1.86337</v>
      </c>
      <c r="II17">
        <v>1.86127</v>
      </c>
      <c r="IJ17">
        <v>0</v>
      </c>
      <c r="IK17">
        <v>0</v>
      </c>
      <c r="IL17">
        <v>0</v>
      </c>
      <c r="IM17">
        <v>4.5</v>
      </c>
      <c r="IN17" t="s">
        <v>411</v>
      </c>
      <c r="IO17" t="s">
        <v>412</v>
      </c>
      <c r="IP17" t="s">
        <v>413</v>
      </c>
      <c r="IQ17" t="s">
        <v>414</v>
      </c>
      <c r="IR17" t="s">
        <v>414</v>
      </c>
      <c r="IS17" t="s">
        <v>413</v>
      </c>
      <c r="IT17">
        <v>0</v>
      </c>
      <c r="IU17">
        <v>100</v>
      </c>
      <c r="IV17">
        <v>100</v>
      </c>
      <c r="IW17">
        <v>-5.6710000000000003</v>
      </c>
      <c r="IX17">
        <v>-0.4</v>
      </c>
      <c r="IY17">
        <v>-3.6860141252170369</v>
      </c>
      <c r="IZ17">
        <v>-5.6215304933332991E-3</v>
      </c>
      <c r="JA17">
        <v>2.3979931213773931E-6</v>
      </c>
      <c r="JB17">
        <v>-3.6297174575716598E-10</v>
      </c>
      <c r="JC17">
        <v>-0.8222413170717493</v>
      </c>
      <c r="JD17">
        <v>2.7492919904454862E-4</v>
      </c>
      <c r="JE17">
        <v>8.6739513355948885E-4</v>
      </c>
      <c r="JF17">
        <v>-8.2500691715147318E-6</v>
      </c>
      <c r="JG17">
        <v>17</v>
      </c>
      <c r="JH17">
        <v>1914</v>
      </c>
      <c r="JI17">
        <v>2</v>
      </c>
      <c r="JJ17">
        <v>37</v>
      </c>
      <c r="JK17">
        <v>2722.2</v>
      </c>
      <c r="JL17">
        <v>4147.3</v>
      </c>
      <c r="JM17">
        <v>1.15967</v>
      </c>
      <c r="JN17">
        <v>2.4877899999999999</v>
      </c>
      <c r="JO17">
        <v>1.50024</v>
      </c>
      <c r="JP17">
        <v>2.2729499999999998</v>
      </c>
      <c r="JQ17">
        <v>1.4477500000000001</v>
      </c>
      <c r="JR17">
        <v>2.34619</v>
      </c>
      <c r="JS17">
        <v>38.821100000000001</v>
      </c>
      <c r="JT17">
        <v>15.900700000000001</v>
      </c>
      <c r="JU17">
        <v>18</v>
      </c>
      <c r="JV17">
        <v>463.09399999999999</v>
      </c>
      <c r="JW17">
        <v>415.637</v>
      </c>
      <c r="JX17">
        <v>25.051500000000001</v>
      </c>
      <c r="JY17">
        <v>30.9832</v>
      </c>
      <c r="JZ17">
        <v>30.000599999999999</v>
      </c>
      <c r="KA17">
        <v>30.9802</v>
      </c>
      <c r="KB17">
        <v>30.965</v>
      </c>
      <c r="KC17">
        <v>23.187000000000001</v>
      </c>
      <c r="KD17">
        <v>42.925199999999997</v>
      </c>
      <c r="KE17">
        <v>55.269300000000001</v>
      </c>
      <c r="KF17">
        <v>25.05</v>
      </c>
      <c r="KG17">
        <v>470.33600000000001</v>
      </c>
      <c r="KH17">
        <v>21.582699999999999</v>
      </c>
      <c r="KI17">
        <v>100.833</v>
      </c>
      <c r="KJ17">
        <v>99.253299999999996</v>
      </c>
    </row>
    <row r="18" spans="1:296" x14ac:dyDescent="0.3">
      <c r="A18">
        <v>2</v>
      </c>
      <c r="B18">
        <v>1783695290.0999999</v>
      </c>
      <c r="C18">
        <v>205.0999999046326</v>
      </c>
      <c r="D18" t="s">
        <v>793</v>
      </c>
      <c r="E18" t="s">
        <v>794</v>
      </c>
      <c r="F18">
        <v>15</v>
      </c>
      <c r="H18">
        <v>1783695282.099999</v>
      </c>
      <c r="I18">
        <f t="shared" si="0"/>
        <v>3.0717335651536722E-3</v>
      </c>
      <c r="J18">
        <f t="shared" si="1"/>
        <v>3.0717335651536724</v>
      </c>
      <c r="K18">
        <f t="shared" si="2"/>
        <v>41.326361135482067</v>
      </c>
      <c r="L18">
        <f t="shared" si="3"/>
        <v>419.94700000000012</v>
      </c>
      <c r="M18">
        <f t="shared" si="4"/>
        <v>101.26993320039223</v>
      </c>
      <c r="N18">
        <f t="shared" si="5"/>
        <v>9.8799476556989365</v>
      </c>
      <c r="O18">
        <f t="shared" si="6"/>
        <v>40.970248987502366</v>
      </c>
      <c r="P18">
        <f t="shared" si="7"/>
        <v>0.21913006478134017</v>
      </c>
      <c r="Q18">
        <f t="shared" si="8"/>
        <v>2.8847658717887068</v>
      </c>
      <c r="R18">
        <f t="shared" si="9"/>
        <v>0.21028489192944103</v>
      </c>
      <c r="S18">
        <f t="shared" si="10"/>
        <v>0.13219301072640899</v>
      </c>
      <c r="T18">
        <f t="shared" si="11"/>
        <v>271.90867550070823</v>
      </c>
      <c r="U18">
        <f t="shared" si="12"/>
        <v>28.828782999584995</v>
      </c>
      <c r="V18">
        <f t="shared" si="13"/>
        <v>28.260722580645162</v>
      </c>
      <c r="W18">
        <f t="shared" si="14"/>
        <v>3.8529021785163864</v>
      </c>
      <c r="X18">
        <f t="shared" si="15"/>
        <v>65.143995849009528</v>
      </c>
      <c r="Y18">
        <f t="shared" si="16"/>
        <v>2.4739982806746497</v>
      </c>
      <c r="Z18">
        <f t="shared" si="17"/>
        <v>3.7977379932432642</v>
      </c>
      <c r="AA18">
        <f t="shared" si="18"/>
        <v>1.3789038978417367</v>
      </c>
      <c r="AB18">
        <f t="shared" si="19"/>
        <v>-135.46345022327694</v>
      </c>
      <c r="AC18">
        <f t="shared" si="20"/>
        <v>-38.51163153515396</v>
      </c>
      <c r="AD18">
        <f t="shared" si="21"/>
        <v>-2.913966773064117</v>
      </c>
      <c r="AE18">
        <f t="shared" si="22"/>
        <v>95.019626969213249</v>
      </c>
      <c r="AF18">
        <f t="shared" si="23"/>
        <v>41.326361135482067</v>
      </c>
      <c r="AG18">
        <f t="shared" si="24"/>
        <v>3.0717335651536724</v>
      </c>
      <c r="AH18">
        <f t="shared" si="25"/>
        <v>41.299843849081938</v>
      </c>
      <c r="AI18">
        <v>481.49246222757438</v>
      </c>
      <c r="AJ18">
        <v>430.85524848484812</v>
      </c>
      <c r="AK18">
        <v>-5.6767356563459789E-3</v>
      </c>
      <c r="AL18">
        <v>67.092071356837934</v>
      </c>
      <c r="AM18">
        <f t="shared" si="26"/>
        <v>3.0779568289080168</v>
      </c>
      <c r="AN18">
        <v>21.75813679502004</v>
      </c>
      <c r="AO18">
        <v>25.358566666666661</v>
      </c>
      <c r="AP18">
        <v>-3.8460758998728743E-5</v>
      </c>
      <c r="AQ18">
        <v>78.249600143266974</v>
      </c>
      <c r="AR18">
        <v>38</v>
      </c>
      <c r="AS18">
        <v>8</v>
      </c>
      <c r="AT18">
        <f t="shared" si="27"/>
        <v>1</v>
      </c>
      <c r="AU18">
        <f t="shared" si="28"/>
        <v>0</v>
      </c>
      <c r="AV18">
        <f t="shared" si="29"/>
        <v>51366.458342201164</v>
      </c>
      <c r="AW18" t="s">
        <v>790</v>
      </c>
      <c r="AX18">
        <v>5089.3599999999997</v>
      </c>
      <c r="AY18">
        <v>541.23823529411766</v>
      </c>
      <c r="AZ18">
        <v>2342.2399999999998</v>
      </c>
      <c r="BA18">
        <f t="shared" si="30"/>
        <v>0.76892281094417414</v>
      </c>
      <c r="BB18">
        <v>-5.4766429144180178</v>
      </c>
      <c r="BC18" t="s">
        <v>795</v>
      </c>
      <c r="BD18">
        <v>5080.78</v>
      </c>
      <c r="BE18">
        <v>793.07564705882351</v>
      </c>
      <c r="BF18">
        <v>955.94</v>
      </c>
      <c r="BG18">
        <f t="shared" si="31"/>
        <v>0.17037089455528232</v>
      </c>
      <c r="BH18">
        <v>0.5</v>
      </c>
      <c r="BI18">
        <f t="shared" si="32"/>
        <v>1428.306967550091</v>
      </c>
      <c r="BJ18">
        <f t="shared" si="33"/>
        <v>41.326361135482067</v>
      </c>
      <c r="BK18">
        <f t="shared" si="34"/>
        <v>121.67096788052579</v>
      </c>
      <c r="BL18">
        <f t="shared" si="35"/>
        <v>3.2768168967332784E-2</v>
      </c>
      <c r="BM18">
        <f t="shared" si="36"/>
        <v>1.4501956189719016</v>
      </c>
      <c r="BN18">
        <f t="shared" si="37"/>
        <v>405.38936858489922</v>
      </c>
      <c r="BO18" t="s">
        <v>407</v>
      </c>
      <c r="BP18">
        <v>0</v>
      </c>
      <c r="BQ18">
        <f t="shared" si="38"/>
        <v>405.38936858489922</v>
      </c>
      <c r="BR18">
        <f t="shared" si="39"/>
        <v>0.57592592779369078</v>
      </c>
      <c r="BS18">
        <f t="shared" si="40"/>
        <v>0.29582084489224947</v>
      </c>
      <c r="BT18">
        <f t="shared" si="41"/>
        <v>0.71574956659778255</v>
      </c>
      <c r="BU18">
        <f t="shared" si="42"/>
        <v>0.39272645260307565</v>
      </c>
      <c r="BV18">
        <f t="shared" si="43"/>
        <v>0.76973827964371455</v>
      </c>
      <c r="BW18">
        <f t="shared" si="44"/>
        <v>0.15121208925007579</v>
      </c>
      <c r="BX18">
        <f t="shared" si="45"/>
        <v>0.84878791074992421</v>
      </c>
      <c r="DG18">
        <f t="shared" si="46"/>
        <v>1700.0025806451611</v>
      </c>
      <c r="DH18">
        <f t="shared" si="47"/>
        <v>1428.306967550091</v>
      </c>
      <c r="DI18">
        <f t="shared" si="48"/>
        <v>0.84017929373262479</v>
      </c>
      <c r="DJ18">
        <f t="shared" si="49"/>
        <v>0.15994603690396592</v>
      </c>
      <c r="DK18">
        <v>6</v>
      </c>
      <c r="DL18">
        <v>0.5</v>
      </c>
      <c r="DM18" t="s">
        <v>408</v>
      </c>
      <c r="DN18">
        <v>2</v>
      </c>
      <c r="DO18" t="b">
        <v>0</v>
      </c>
      <c r="DP18">
        <v>1783695282.099999</v>
      </c>
      <c r="DQ18">
        <v>419.94700000000012</v>
      </c>
      <c r="DR18">
        <v>471.09100000000001</v>
      </c>
      <c r="DS18">
        <v>25.358599999999999</v>
      </c>
      <c r="DT18">
        <v>21.765683870967742</v>
      </c>
      <c r="DU18">
        <v>425.7988387096774</v>
      </c>
      <c r="DV18">
        <v>25.660964516129031</v>
      </c>
      <c r="DW18">
        <v>499.95690322580651</v>
      </c>
      <c r="DX18">
        <v>97.520816129032241</v>
      </c>
      <c r="DY18">
        <v>3.9706954838709667E-2</v>
      </c>
      <c r="DZ18">
        <v>28.013096774193549</v>
      </c>
      <c r="EA18">
        <v>28.260722580645162</v>
      </c>
      <c r="EB18">
        <v>999.90000000000032</v>
      </c>
      <c r="EC18">
        <v>0</v>
      </c>
      <c r="ED18">
        <v>0</v>
      </c>
      <c r="EE18">
        <v>9994.677419354839</v>
      </c>
      <c r="EF18">
        <v>0</v>
      </c>
      <c r="EG18">
        <v>742.72190322580661</v>
      </c>
      <c r="EH18">
        <v>-51.143996774193553</v>
      </c>
      <c r="EI18">
        <v>430.87332258064521</v>
      </c>
      <c r="EJ18">
        <v>481.57270967741943</v>
      </c>
      <c r="EK18">
        <v>3.592908709677419</v>
      </c>
      <c r="EL18">
        <v>471.09100000000001</v>
      </c>
      <c r="EM18">
        <v>21.765683870967742</v>
      </c>
      <c r="EN18">
        <v>2.472991290322581</v>
      </c>
      <c r="EO18">
        <v>2.12260870967742</v>
      </c>
      <c r="EP18">
        <v>20.849829032258061</v>
      </c>
      <c r="EQ18">
        <v>18.389851612903229</v>
      </c>
      <c r="ER18">
        <v>1700.0025806451611</v>
      </c>
      <c r="ES18">
        <v>0.99400712903225807</v>
      </c>
      <c r="ET18">
        <v>5.9924448387096759E-3</v>
      </c>
      <c r="EU18">
        <v>0</v>
      </c>
      <c r="EV18">
        <v>793.25019354838673</v>
      </c>
      <c r="EW18">
        <v>5.0010700000000003</v>
      </c>
      <c r="EX18">
        <v>19996.941935483868</v>
      </c>
      <c r="EY18">
        <v>15492.583870967739</v>
      </c>
      <c r="EZ18">
        <v>39.5</v>
      </c>
      <c r="FA18">
        <v>41.219516129032243</v>
      </c>
      <c r="FB18">
        <v>40.186999999999983</v>
      </c>
      <c r="FC18">
        <v>41.057999999999979</v>
      </c>
      <c r="FD18">
        <v>41.09248387096774</v>
      </c>
      <c r="FE18">
        <v>1684.8425806451619</v>
      </c>
      <c r="FF18">
        <v>10.160000000000011</v>
      </c>
      <c r="FG18">
        <v>0</v>
      </c>
      <c r="FH18">
        <v>204.19999980926511</v>
      </c>
      <c r="FI18">
        <v>0</v>
      </c>
      <c r="FJ18">
        <v>793.07564705882351</v>
      </c>
      <c r="FK18">
        <v>-4.2791666456723236</v>
      </c>
      <c r="FL18">
        <v>-386.81372149791389</v>
      </c>
      <c r="FM18">
        <v>19981.947058823531</v>
      </c>
      <c r="FN18">
        <v>10</v>
      </c>
      <c r="FO18">
        <v>1783695173.5999999</v>
      </c>
      <c r="FP18" t="s">
        <v>796</v>
      </c>
      <c r="FQ18">
        <v>1783695173.5999999</v>
      </c>
      <c r="FR18">
        <v>1783695173.0999999</v>
      </c>
      <c r="FS18">
        <v>2</v>
      </c>
      <c r="FT18">
        <v>-0.17899999999999999</v>
      </c>
      <c r="FU18">
        <v>-4.0000000000000001E-3</v>
      </c>
      <c r="FV18">
        <v>-6.0389999999999997</v>
      </c>
      <c r="FW18">
        <v>-0.39900000000000002</v>
      </c>
      <c r="FX18">
        <v>471</v>
      </c>
      <c r="FY18">
        <v>22</v>
      </c>
      <c r="FZ18">
        <v>0.14000000000000001</v>
      </c>
      <c r="GA18">
        <v>7.0000000000000007E-2</v>
      </c>
      <c r="GB18">
        <v>419.94700000000012</v>
      </c>
      <c r="GC18">
        <v>0.28906451612740319</v>
      </c>
      <c r="GD18">
        <v>6.0934126250696677E-2</v>
      </c>
      <c r="GE18">
        <v>-1</v>
      </c>
      <c r="GF18">
        <v>793.38252941176461</v>
      </c>
      <c r="GG18">
        <v>-3.460901451240415</v>
      </c>
      <c r="GH18">
        <v>0.40260082663295371</v>
      </c>
      <c r="GI18">
        <v>1</v>
      </c>
      <c r="GJ18">
        <v>3.5907524390243899</v>
      </c>
      <c r="GK18">
        <v>4.3856236933802993E-2</v>
      </c>
      <c r="GL18">
        <v>5.7851259153140636E-3</v>
      </c>
      <c r="GM18">
        <v>1</v>
      </c>
      <c r="GN18">
        <v>2</v>
      </c>
      <c r="GO18">
        <v>2</v>
      </c>
      <c r="GP18" t="s">
        <v>423</v>
      </c>
      <c r="GQ18">
        <v>3.1311300000000002</v>
      </c>
      <c r="GR18">
        <v>2.7157800000000001</v>
      </c>
      <c r="GS18">
        <v>9.1872300000000004E-2</v>
      </c>
      <c r="GT18">
        <v>9.98386E-2</v>
      </c>
      <c r="GU18">
        <v>0.117785</v>
      </c>
      <c r="GV18">
        <v>0.105208</v>
      </c>
      <c r="GW18">
        <v>22883.1</v>
      </c>
      <c r="GX18">
        <v>30440.3</v>
      </c>
      <c r="GY18">
        <v>27321.4</v>
      </c>
      <c r="GZ18">
        <v>34755.4</v>
      </c>
      <c r="HA18">
        <v>35272.300000000003</v>
      </c>
      <c r="HB18">
        <v>39397.1</v>
      </c>
      <c r="HC18">
        <v>40327</v>
      </c>
      <c r="HD18">
        <v>44115.4</v>
      </c>
      <c r="HE18">
        <v>1.883</v>
      </c>
      <c r="HF18">
        <v>1.7767999999999999</v>
      </c>
      <c r="HG18">
        <v>-2.0802000000000001E-2</v>
      </c>
      <c r="HH18">
        <v>0</v>
      </c>
      <c r="HI18">
        <v>28.599599999999999</v>
      </c>
      <c r="HJ18">
        <v>999.9</v>
      </c>
      <c r="HK18">
        <v>63.2</v>
      </c>
      <c r="HL18">
        <v>33.4</v>
      </c>
      <c r="HM18">
        <v>33.486400000000003</v>
      </c>
      <c r="HN18">
        <v>60.440100000000001</v>
      </c>
      <c r="HO18">
        <v>8.6057699999999997</v>
      </c>
      <c r="HP18">
        <v>1</v>
      </c>
      <c r="HQ18">
        <v>0.30530499999999999</v>
      </c>
      <c r="HR18">
        <v>2.4764699999999999</v>
      </c>
      <c r="HS18">
        <v>20.253399999999999</v>
      </c>
      <c r="HT18">
        <v>5.2100999999999997</v>
      </c>
      <c r="HU18">
        <v>11.904500000000001</v>
      </c>
      <c r="HV18">
        <v>4.984</v>
      </c>
      <c r="HW18">
        <v>3.2706</v>
      </c>
      <c r="HX18">
        <v>9999</v>
      </c>
      <c r="HY18">
        <v>9999</v>
      </c>
      <c r="HZ18">
        <v>9999</v>
      </c>
      <c r="IA18">
        <v>999.9</v>
      </c>
      <c r="IB18">
        <v>1.8672200000000001</v>
      </c>
      <c r="IC18">
        <v>1.8627899999999999</v>
      </c>
      <c r="ID18">
        <v>1.8621799999999999</v>
      </c>
      <c r="IE18">
        <v>1.86172</v>
      </c>
      <c r="IF18">
        <v>1.86172</v>
      </c>
      <c r="IG18">
        <v>1.86249</v>
      </c>
      <c r="IH18">
        <v>1.8632500000000001</v>
      </c>
      <c r="II18">
        <v>1.86127</v>
      </c>
      <c r="IJ18">
        <v>0</v>
      </c>
      <c r="IK18">
        <v>0</v>
      </c>
      <c r="IL18">
        <v>0</v>
      </c>
      <c r="IM18">
        <v>4.5</v>
      </c>
      <c r="IN18" t="s">
        <v>411</v>
      </c>
      <c r="IO18" t="s">
        <v>412</v>
      </c>
      <c r="IP18" t="s">
        <v>413</v>
      </c>
      <c r="IQ18" t="s">
        <v>414</v>
      </c>
      <c r="IR18" t="s">
        <v>414</v>
      </c>
      <c r="IS18" t="s">
        <v>413</v>
      </c>
      <c r="IT18">
        <v>0</v>
      </c>
      <c r="IU18">
        <v>100</v>
      </c>
      <c r="IV18">
        <v>100</v>
      </c>
      <c r="IW18">
        <v>-5.8520000000000003</v>
      </c>
      <c r="IX18">
        <v>-0.3024</v>
      </c>
      <c r="IY18">
        <v>-3.8648558297418281</v>
      </c>
      <c r="IZ18">
        <v>-5.6215304933332991E-3</v>
      </c>
      <c r="JA18">
        <v>2.3979931213773931E-6</v>
      </c>
      <c r="JB18">
        <v>-3.6297174575716598E-10</v>
      </c>
      <c r="JC18">
        <v>-0.74117828096033178</v>
      </c>
      <c r="JD18">
        <v>2.7492919904454862E-4</v>
      </c>
      <c r="JE18">
        <v>8.6739513355948885E-4</v>
      </c>
      <c r="JF18">
        <v>-8.2500691715147318E-6</v>
      </c>
      <c r="JG18">
        <v>17</v>
      </c>
      <c r="JH18">
        <v>1914</v>
      </c>
      <c r="JI18">
        <v>2</v>
      </c>
      <c r="JJ18">
        <v>37</v>
      </c>
      <c r="JK18">
        <v>1.9</v>
      </c>
      <c r="JL18">
        <v>1.9</v>
      </c>
      <c r="JM18">
        <v>1.16211</v>
      </c>
      <c r="JN18">
        <v>2.4572799999999999</v>
      </c>
      <c r="JO18">
        <v>1.50024</v>
      </c>
      <c r="JP18">
        <v>2.2729499999999998</v>
      </c>
      <c r="JQ18">
        <v>1.4477500000000001</v>
      </c>
      <c r="JR18">
        <v>2.4328599999999998</v>
      </c>
      <c r="JS18">
        <v>38.821100000000001</v>
      </c>
      <c r="JT18">
        <v>15.900700000000001</v>
      </c>
      <c r="JU18">
        <v>18</v>
      </c>
      <c r="JV18">
        <v>469.61700000000002</v>
      </c>
      <c r="JW18">
        <v>414.99200000000002</v>
      </c>
      <c r="JX18">
        <v>25.0505</v>
      </c>
      <c r="JY18">
        <v>31.172999999999998</v>
      </c>
      <c r="JZ18">
        <v>30.0002</v>
      </c>
      <c r="KA18">
        <v>31.152000000000001</v>
      </c>
      <c r="KB18">
        <v>31.130500000000001</v>
      </c>
      <c r="KC18">
        <v>23.251999999999999</v>
      </c>
      <c r="KD18">
        <v>42.342199999999998</v>
      </c>
      <c r="KE18">
        <v>46.306199999999997</v>
      </c>
      <c r="KF18">
        <v>25.05</v>
      </c>
      <c r="KG18">
        <v>471.11200000000002</v>
      </c>
      <c r="KH18">
        <v>21.742599999999999</v>
      </c>
      <c r="KI18">
        <v>100.806</v>
      </c>
      <c r="KJ18">
        <v>99.2363</v>
      </c>
    </row>
    <row r="19" spans="1:296" x14ac:dyDescent="0.3">
      <c r="A19">
        <v>3</v>
      </c>
      <c r="B19">
        <v>1783695472.5999999</v>
      </c>
      <c r="C19">
        <v>387.59999990463263</v>
      </c>
      <c r="D19" t="s">
        <v>797</v>
      </c>
      <c r="E19" t="s">
        <v>798</v>
      </c>
      <c r="F19">
        <v>15</v>
      </c>
      <c r="H19">
        <v>1783695464.599999</v>
      </c>
      <c r="I19">
        <f t="shared" si="0"/>
        <v>3.2619359973642581E-3</v>
      </c>
      <c r="J19">
        <f t="shared" si="1"/>
        <v>3.2619359973642581</v>
      </c>
      <c r="K19">
        <f t="shared" si="2"/>
        <v>43.672733987415953</v>
      </c>
      <c r="L19">
        <f t="shared" si="3"/>
        <v>419.80174193548379</v>
      </c>
      <c r="M19">
        <f t="shared" si="4"/>
        <v>103.07001065566691</v>
      </c>
      <c r="N19">
        <f t="shared" si="5"/>
        <v>10.054929057700326</v>
      </c>
      <c r="O19">
        <f t="shared" si="6"/>
        <v>40.953490803080946</v>
      </c>
      <c r="P19">
        <f t="shared" si="7"/>
        <v>0.23355963290898657</v>
      </c>
      <c r="Q19">
        <f t="shared" si="8"/>
        <v>2.8854367519198165</v>
      </c>
      <c r="R19">
        <f t="shared" si="9"/>
        <v>0.22354206657015363</v>
      </c>
      <c r="S19">
        <f t="shared" si="10"/>
        <v>0.14057802451113069</v>
      </c>
      <c r="T19">
        <f t="shared" si="11"/>
        <v>255.91244246853924</v>
      </c>
      <c r="U19">
        <f t="shared" si="12"/>
        <v>28.692210696554181</v>
      </c>
      <c r="V19">
        <f t="shared" si="13"/>
        <v>28.215254838709679</v>
      </c>
      <c r="W19">
        <f t="shared" si="14"/>
        <v>3.8427211486078945</v>
      </c>
      <c r="X19">
        <f t="shared" si="15"/>
        <v>64.877657547653925</v>
      </c>
      <c r="Y19">
        <f t="shared" si="16"/>
        <v>2.4652264026573985</v>
      </c>
      <c r="Z19">
        <f t="shared" si="17"/>
        <v>3.7998079706355625</v>
      </c>
      <c r="AA19">
        <f t="shared" si="18"/>
        <v>1.377494745950496</v>
      </c>
      <c r="AB19">
        <f t="shared" si="19"/>
        <v>-143.85137748376377</v>
      </c>
      <c r="AC19">
        <f t="shared" si="20"/>
        <v>-29.993409053604598</v>
      </c>
      <c r="AD19">
        <f t="shared" si="21"/>
        <v>-2.2685029749544818</v>
      </c>
      <c r="AE19">
        <f t="shared" si="22"/>
        <v>79.799152956216389</v>
      </c>
      <c r="AF19">
        <f t="shared" si="23"/>
        <v>43.672733987415953</v>
      </c>
      <c r="AG19">
        <f t="shared" si="24"/>
        <v>3.2619359973642581</v>
      </c>
      <c r="AH19">
        <f t="shared" si="25"/>
        <v>43.681051396371771</v>
      </c>
      <c r="AI19">
        <v>484.45744551553571</v>
      </c>
      <c r="AJ19">
        <v>430.74341818181802</v>
      </c>
      <c r="AK19">
        <v>2.8247240149346112E-2</v>
      </c>
      <c r="AL19">
        <v>67.087952556866057</v>
      </c>
      <c r="AM19">
        <f t="shared" si="26"/>
        <v>3.2728969507734385</v>
      </c>
      <c r="AN19">
        <v>21.44860077144542</v>
      </c>
      <c r="AO19">
        <v>25.27624787878786</v>
      </c>
      <c r="AP19">
        <v>9.0286677402218624E-5</v>
      </c>
      <c r="AQ19">
        <v>78.239989871595427</v>
      </c>
      <c r="AR19">
        <v>26</v>
      </c>
      <c r="AS19">
        <v>5</v>
      </c>
      <c r="AT19">
        <f t="shared" si="27"/>
        <v>1</v>
      </c>
      <c r="AU19">
        <f t="shared" si="28"/>
        <v>0</v>
      </c>
      <c r="AV19">
        <f t="shared" si="29"/>
        <v>51383.730918303118</v>
      </c>
      <c r="AW19" t="s">
        <v>790</v>
      </c>
      <c r="AX19">
        <v>5089.3599999999997</v>
      </c>
      <c r="AY19">
        <v>541.23823529411766</v>
      </c>
      <c r="AZ19">
        <v>2342.2399999999998</v>
      </c>
      <c r="BA19">
        <f t="shared" si="30"/>
        <v>0.76892281094417414</v>
      </c>
      <c r="BB19">
        <v>-5.4766429144180178</v>
      </c>
      <c r="BC19" t="s">
        <v>799</v>
      </c>
      <c r="BD19">
        <v>5079.51</v>
      </c>
      <c r="BE19">
        <v>788.47900000000004</v>
      </c>
      <c r="BF19">
        <v>981.56</v>
      </c>
      <c r="BG19">
        <f t="shared" si="31"/>
        <v>0.19670830107176318</v>
      </c>
      <c r="BH19">
        <v>0.5</v>
      </c>
      <c r="BI19">
        <f t="shared" si="32"/>
        <v>1344.2811094856215</v>
      </c>
      <c r="BJ19">
        <f t="shared" si="33"/>
        <v>43.672733987415953</v>
      </c>
      <c r="BK19">
        <f t="shared" si="34"/>
        <v>132.21562660489073</v>
      </c>
      <c r="BL19">
        <f t="shared" si="35"/>
        <v>3.6561829631482801E-2</v>
      </c>
      <c r="BM19">
        <f t="shared" si="36"/>
        <v>1.3862423081625168</v>
      </c>
      <c r="BN19">
        <f t="shared" si="37"/>
        <v>409.92680245981779</v>
      </c>
      <c r="BO19" t="s">
        <v>407</v>
      </c>
      <c r="BP19">
        <v>0</v>
      </c>
      <c r="BQ19">
        <f t="shared" si="38"/>
        <v>409.92680245981779</v>
      </c>
      <c r="BR19">
        <f t="shared" si="39"/>
        <v>0.58237213979805835</v>
      </c>
      <c r="BS19">
        <f t="shared" si="40"/>
        <v>0.33777079573204377</v>
      </c>
      <c r="BT19">
        <f t="shared" si="41"/>
        <v>0.70417156066218134</v>
      </c>
      <c r="BU19">
        <f t="shared" si="42"/>
        <v>0.43849978692052721</v>
      </c>
      <c r="BV19">
        <f t="shared" si="43"/>
        <v>0.75551286326596667</v>
      </c>
      <c r="BW19">
        <f t="shared" si="44"/>
        <v>0.17560556750242551</v>
      </c>
      <c r="BX19">
        <f t="shared" si="45"/>
        <v>0.82439443249757449</v>
      </c>
      <c r="DG19">
        <f t="shared" si="46"/>
        <v>1599.9932258064521</v>
      </c>
      <c r="DH19">
        <f t="shared" si="47"/>
        <v>1344.2811094856215</v>
      </c>
      <c r="DI19">
        <f t="shared" si="48"/>
        <v>0.84017925063905019</v>
      </c>
      <c r="DJ19">
        <f t="shared" si="49"/>
        <v>0.1599459537333669</v>
      </c>
      <c r="DK19">
        <v>6</v>
      </c>
      <c r="DL19">
        <v>0.5</v>
      </c>
      <c r="DM19" t="s">
        <v>408</v>
      </c>
      <c r="DN19">
        <v>2</v>
      </c>
      <c r="DO19" t="b">
        <v>0</v>
      </c>
      <c r="DP19">
        <v>1783695464.599999</v>
      </c>
      <c r="DQ19">
        <v>419.80174193548379</v>
      </c>
      <c r="DR19">
        <v>473.85216129032261</v>
      </c>
      <c r="DS19">
        <v>25.270283870967742</v>
      </c>
      <c r="DT19">
        <v>21.454883870967741</v>
      </c>
      <c r="DU19">
        <v>425.70212903225809</v>
      </c>
      <c r="DV19">
        <v>25.580751612903232</v>
      </c>
      <c r="DW19">
        <v>500.00093548387088</v>
      </c>
      <c r="DX19">
        <v>97.514374193548377</v>
      </c>
      <c r="DY19">
        <v>3.9987096774193542E-2</v>
      </c>
      <c r="DZ19">
        <v>28.022445161290321</v>
      </c>
      <c r="EA19">
        <v>28.215254838709679</v>
      </c>
      <c r="EB19">
        <v>999.90000000000032</v>
      </c>
      <c r="EC19">
        <v>0</v>
      </c>
      <c r="ED19">
        <v>0</v>
      </c>
      <c r="EE19">
        <v>9999.1935483870966</v>
      </c>
      <c r="EF19">
        <v>0</v>
      </c>
      <c r="EG19">
        <v>765.9197419354839</v>
      </c>
      <c r="EH19">
        <v>-54.050490322580643</v>
      </c>
      <c r="EI19">
        <v>430.68519354838708</v>
      </c>
      <c r="EJ19">
        <v>484.24151612903222</v>
      </c>
      <c r="EK19">
        <v>3.8154096774193551</v>
      </c>
      <c r="EL19">
        <v>473.85216129032261</v>
      </c>
      <c r="EM19">
        <v>21.454883870967741</v>
      </c>
      <c r="EN19">
        <v>2.4642170967741932</v>
      </c>
      <c r="EO19">
        <v>2.0921583870967742</v>
      </c>
      <c r="EP19">
        <v>20.79206774193549</v>
      </c>
      <c r="EQ19">
        <v>18.15961290322581</v>
      </c>
      <c r="ER19">
        <v>1599.9932258064521</v>
      </c>
      <c r="ES19">
        <v>0.99400777419354847</v>
      </c>
      <c r="ET19">
        <v>5.991940322580643E-3</v>
      </c>
      <c r="EU19">
        <v>0</v>
      </c>
      <c r="EV19">
        <v>788.56467741935501</v>
      </c>
      <c r="EW19">
        <v>5.0010700000000003</v>
      </c>
      <c r="EX19">
        <v>18908.81935483871</v>
      </c>
      <c r="EY19">
        <v>14578.490322580639</v>
      </c>
      <c r="EZ19">
        <v>39.686999999999983</v>
      </c>
      <c r="FA19">
        <v>41.503999999999991</v>
      </c>
      <c r="FB19">
        <v>40.459354838709679</v>
      </c>
      <c r="FC19">
        <v>41.311999999999983</v>
      </c>
      <c r="FD19">
        <v>41.252000000000002</v>
      </c>
      <c r="FE19">
        <v>1585.4332258064519</v>
      </c>
      <c r="FF19">
        <v>9.56</v>
      </c>
      <c r="FG19">
        <v>0</v>
      </c>
      <c r="FH19">
        <v>182</v>
      </c>
      <c r="FI19">
        <v>0</v>
      </c>
      <c r="FJ19">
        <v>788.47900000000004</v>
      </c>
      <c r="FK19">
        <v>-3.649019648784404</v>
      </c>
      <c r="FL19">
        <v>-146.1519605647967</v>
      </c>
      <c r="FM19">
        <v>18901.405882352941</v>
      </c>
      <c r="FN19">
        <v>10</v>
      </c>
      <c r="FO19">
        <v>1783695349.0999999</v>
      </c>
      <c r="FP19" t="s">
        <v>800</v>
      </c>
      <c r="FQ19">
        <v>1783695349.0999999</v>
      </c>
      <c r="FR19">
        <v>1783695345.0999999</v>
      </c>
      <c r="FS19">
        <v>3</v>
      </c>
      <c r="FT19">
        <v>-4.9000000000000002E-2</v>
      </c>
      <c r="FU19">
        <v>-6.0000000000000001E-3</v>
      </c>
      <c r="FV19">
        <v>-6.093</v>
      </c>
      <c r="FW19">
        <v>-0.40500000000000003</v>
      </c>
      <c r="FX19">
        <v>472</v>
      </c>
      <c r="FY19">
        <v>22</v>
      </c>
      <c r="FZ19">
        <v>0.12</v>
      </c>
      <c r="GA19">
        <v>0.06</v>
      </c>
      <c r="GB19">
        <v>419.79790322580641</v>
      </c>
      <c r="GC19">
        <v>-0.32641935483871548</v>
      </c>
      <c r="GD19">
        <v>6.8674244990955743E-2</v>
      </c>
      <c r="GE19">
        <v>-1</v>
      </c>
      <c r="GF19">
        <v>788.60676470588237</v>
      </c>
      <c r="GG19">
        <v>-1.817265095772411</v>
      </c>
      <c r="GH19">
        <v>0.28829427967876692</v>
      </c>
      <c r="GI19">
        <v>1</v>
      </c>
      <c r="GJ19">
        <v>3.8102060975609748</v>
      </c>
      <c r="GK19">
        <v>0.1060555400696796</v>
      </c>
      <c r="GL19">
        <v>1.103089229260123E-2</v>
      </c>
      <c r="GM19">
        <v>1</v>
      </c>
      <c r="GN19">
        <v>2</v>
      </c>
      <c r="GO19">
        <v>2</v>
      </c>
      <c r="GP19" t="s">
        <v>423</v>
      </c>
      <c r="GQ19">
        <v>3.1319699999999999</v>
      </c>
      <c r="GR19">
        <v>2.7159</v>
      </c>
      <c r="GS19">
        <v>9.1830400000000006E-2</v>
      </c>
      <c r="GT19">
        <v>0.1002</v>
      </c>
      <c r="GU19">
        <v>0.117518</v>
      </c>
      <c r="GV19">
        <v>0.10408299999999999</v>
      </c>
      <c r="GW19">
        <v>22879.9</v>
      </c>
      <c r="GX19">
        <v>30423.7</v>
      </c>
      <c r="GY19">
        <v>27316.7</v>
      </c>
      <c r="GZ19">
        <v>34751.1</v>
      </c>
      <c r="HA19">
        <v>35278.800000000003</v>
      </c>
      <c r="HB19">
        <v>39441.800000000003</v>
      </c>
      <c r="HC19">
        <v>40321.599999999999</v>
      </c>
      <c r="HD19">
        <v>44109.599999999999</v>
      </c>
      <c r="HE19">
        <v>1.9074</v>
      </c>
      <c r="HF19">
        <v>1.7722</v>
      </c>
      <c r="HG19">
        <v>-2.1755699999999999E-2</v>
      </c>
      <c r="HH19">
        <v>0</v>
      </c>
      <c r="HI19">
        <v>28.5702</v>
      </c>
      <c r="HJ19">
        <v>999.9</v>
      </c>
      <c r="HK19">
        <v>62.1</v>
      </c>
      <c r="HL19">
        <v>33.700000000000003</v>
      </c>
      <c r="HM19">
        <v>33.458199999999998</v>
      </c>
      <c r="HN19">
        <v>60.510100000000001</v>
      </c>
      <c r="HO19">
        <v>8.1971100000000003</v>
      </c>
      <c r="HP19">
        <v>1</v>
      </c>
      <c r="HQ19">
        <v>0.31378</v>
      </c>
      <c r="HR19">
        <v>2.5494599999999998</v>
      </c>
      <c r="HS19">
        <v>20.252099999999999</v>
      </c>
      <c r="HT19">
        <v>5.2112999999999996</v>
      </c>
      <c r="HU19">
        <v>11.9069</v>
      </c>
      <c r="HV19">
        <v>4.9847999999999999</v>
      </c>
      <c r="HW19">
        <v>3.2706</v>
      </c>
      <c r="HX19">
        <v>9999</v>
      </c>
      <c r="HY19">
        <v>9999</v>
      </c>
      <c r="HZ19">
        <v>9999</v>
      </c>
      <c r="IA19">
        <v>999.9</v>
      </c>
      <c r="IB19">
        <v>1.8672200000000001</v>
      </c>
      <c r="IC19">
        <v>1.8627899999999999</v>
      </c>
      <c r="ID19">
        <v>1.8621799999999999</v>
      </c>
      <c r="IE19">
        <v>1.86172</v>
      </c>
      <c r="IF19">
        <v>1.86172</v>
      </c>
      <c r="IG19">
        <v>1.86249</v>
      </c>
      <c r="IH19">
        <v>1.8632500000000001</v>
      </c>
      <c r="II19">
        <v>1.8613</v>
      </c>
      <c r="IJ19">
        <v>0</v>
      </c>
      <c r="IK19">
        <v>0</v>
      </c>
      <c r="IL19">
        <v>0</v>
      </c>
      <c r="IM19">
        <v>4.5</v>
      </c>
      <c r="IN19" t="s">
        <v>411</v>
      </c>
      <c r="IO19" t="s">
        <v>412</v>
      </c>
      <c r="IP19" t="s">
        <v>413</v>
      </c>
      <c r="IQ19" t="s">
        <v>414</v>
      </c>
      <c r="IR19" t="s">
        <v>414</v>
      </c>
      <c r="IS19" t="s">
        <v>413</v>
      </c>
      <c r="IT19">
        <v>0</v>
      </c>
      <c r="IU19">
        <v>100</v>
      </c>
      <c r="IV19">
        <v>100</v>
      </c>
      <c r="IW19">
        <v>-5.9009999999999998</v>
      </c>
      <c r="IX19">
        <v>-0.31030000000000002</v>
      </c>
      <c r="IY19">
        <v>-3.9139469034091969</v>
      </c>
      <c r="IZ19">
        <v>-5.6215304933332991E-3</v>
      </c>
      <c r="JA19">
        <v>2.3979931213773931E-6</v>
      </c>
      <c r="JB19">
        <v>-3.6297174575716598E-10</v>
      </c>
      <c r="JC19">
        <v>-0.74698622918717139</v>
      </c>
      <c r="JD19">
        <v>2.7492919904454862E-4</v>
      </c>
      <c r="JE19">
        <v>8.6739513355948885E-4</v>
      </c>
      <c r="JF19">
        <v>-8.2500691715147318E-6</v>
      </c>
      <c r="JG19">
        <v>17</v>
      </c>
      <c r="JH19">
        <v>1914</v>
      </c>
      <c r="JI19">
        <v>2</v>
      </c>
      <c r="JJ19">
        <v>37</v>
      </c>
      <c r="JK19">
        <v>2.1</v>
      </c>
      <c r="JL19">
        <v>2.1</v>
      </c>
      <c r="JM19">
        <v>1.16943</v>
      </c>
      <c r="JN19">
        <v>2.4340799999999998</v>
      </c>
      <c r="JO19">
        <v>1.50024</v>
      </c>
      <c r="JP19">
        <v>2.2729499999999998</v>
      </c>
      <c r="JQ19">
        <v>1.4477500000000001</v>
      </c>
      <c r="JR19">
        <v>2.3083499999999999</v>
      </c>
      <c r="JS19">
        <v>38.845700000000001</v>
      </c>
      <c r="JT19">
        <v>15.8569</v>
      </c>
      <c r="JU19">
        <v>18</v>
      </c>
      <c r="JV19">
        <v>484.923</v>
      </c>
      <c r="JW19">
        <v>412.98</v>
      </c>
      <c r="JX19">
        <v>25.051100000000002</v>
      </c>
      <c r="JY19">
        <v>31.265799999999999</v>
      </c>
      <c r="JZ19">
        <v>30.000699999999998</v>
      </c>
      <c r="KA19">
        <v>31.2546</v>
      </c>
      <c r="KB19">
        <v>31.235199999999999</v>
      </c>
      <c r="KC19">
        <v>23.3889</v>
      </c>
      <c r="KD19">
        <v>42.566800000000001</v>
      </c>
      <c r="KE19">
        <v>36.934600000000003</v>
      </c>
      <c r="KF19">
        <v>25.05</v>
      </c>
      <c r="KG19">
        <v>474.041</v>
      </c>
      <c r="KH19">
        <v>21.428999999999998</v>
      </c>
      <c r="KI19">
        <v>100.791</v>
      </c>
      <c r="KJ19">
        <v>99.223600000000005</v>
      </c>
    </row>
    <row r="20" spans="1:296" x14ac:dyDescent="0.3">
      <c r="A20">
        <v>4</v>
      </c>
      <c r="B20">
        <v>1783695655.0999999</v>
      </c>
      <c r="C20">
        <v>570.09999990463257</v>
      </c>
      <c r="D20" t="s">
        <v>801</v>
      </c>
      <c r="E20" t="s">
        <v>802</v>
      </c>
      <c r="F20">
        <v>15</v>
      </c>
      <c r="H20">
        <v>1783695647.349999</v>
      </c>
      <c r="I20">
        <f t="shared" si="0"/>
        <v>3.261089038533093E-3</v>
      </c>
      <c r="J20">
        <f t="shared" si="1"/>
        <v>3.2610890385330928</v>
      </c>
      <c r="K20">
        <f t="shared" si="2"/>
        <v>33.069229243794481</v>
      </c>
      <c r="L20">
        <f t="shared" si="3"/>
        <v>317.2559</v>
      </c>
      <c r="M20">
        <f t="shared" si="4"/>
        <v>81.123350236443329</v>
      </c>
      <c r="N20">
        <f t="shared" si="5"/>
        <v>7.9139187665575674</v>
      </c>
      <c r="O20">
        <f t="shared" si="6"/>
        <v>30.949626876765794</v>
      </c>
      <c r="P20">
        <f t="shared" si="7"/>
        <v>0.23738249222190272</v>
      </c>
      <c r="Q20">
        <f t="shared" si="8"/>
        <v>2.8871980642070376</v>
      </c>
      <c r="R20">
        <f t="shared" si="9"/>
        <v>0.22704812761475426</v>
      </c>
      <c r="S20">
        <f t="shared" si="10"/>
        <v>0.14279608796254567</v>
      </c>
      <c r="T20">
        <f t="shared" si="11"/>
        <v>224.0046185676548</v>
      </c>
      <c r="U20">
        <f t="shared" si="12"/>
        <v>28.481747141686458</v>
      </c>
      <c r="V20">
        <f t="shared" si="13"/>
        <v>28.144166666666671</v>
      </c>
      <c r="W20">
        <f t="shared" si="14"/>
        <v>3.8268502814024936</v>
      </c>
      <c r="X20">
        <f t="shared" si="15"/>
        <v>65.101976522936681</v>
      </c>
      <c r="Y20">
        <f t="shared" si="16"/>
        <v>2.4709088461856221</v>
      </c>
      <c r="Z20">
        <f t="shared" si="17"/>
        <v>3.7954436687725961</v>
      </c>
      <c r="AA20">
        <f t="shared" si="18"/>
        <v>1.3559414352168715</v>
      </c>
      <c r="AB20">
        <f t="shared" si="19"/>
        <v>-143.81402659930939</v>
      </c>
      <c r="AC20">
        <f t="shared" si="20"/>
        <v>-22.015270892250406</v>
      </c>
      <c r="AD20">
        <f t="shared" si="21"/>
        <v>-1.6633209511978901</v>
      </c>
      <c r="AE20">
        <f t="shared" si="22"/>
        <v>56.512000124897106</v>
      </c>
      <c r="AF20">
        <f t="shared" si="23"/>
        <v>33.069229243794481</v>
      </c>
      <c r="AG20">
        <f t="shared" si="24"/>
        <v>3.2610890385330928</v>
      </c>
      <c r="AH20">
        <f t="shared" si="25"/>
        <v>36.73125530852176</v>
      </c>
      <c r="AI20">
        <v>362.73111590207702</v>
      </c>
      <c r="AJ20">
        <v>320.94638181818192</v>
      </c>
      <c r="AK20">
        <v>-0.62340937557007647</v>
      </c>
      <c r="AL20">
        <v>67.087952556866057</v>
      </c>
      <c r="AM20">
        <f t="shared" si="26"/>
        <v>3.4058423700567459</v>
      </c>
      <c r="AN20">
        <v>21.503780886394718</v>
      </c>
      <c r="AO20">
        <v>25.471936969696952</v>
      </c>
      <c r="AP20">
        <v>2.3552158082432921E-3</v>
      </c>
      <c r="AQ20">
        <v>78.239989871595427</v>
      </c>
      <c r="AR20">
        <v>23</v>
      </c>
      <c r="AS20">
        <v>5</v>
      </c>
      <c r="AT20">
        <f t="shared" si="27"/>
        <v>1</v>
      </c>
      <c r="AU20">
        <f t="shared" si="28"/>
        <v>0</v>
      </c>
      <c r="AV20">
        <f t="shared" si="29"/>
        <v>51437.007838511752</v>
      </c>
      <c r="AW20" t="s">
        <v>790</v>
      </c>
      <c r="AX20">
        <v>5089.3599999999997</v>
      </c>
      <c r="AY20">
        <v>541.23823529411766</v>
      </c>
      <c r="AZ20">
        <v>2342.2399999999998</v>
      </c>
      <c r="BA20">
        <f t="shared" si="30"/>
        <v>0.76892281094417414</v>
      </c>
      <c r="BB20">
        <v>-5.4766429144180178</v>
      </c>
      <c r="BC20" t="s">
        <v>803</v>
      </c>
      <c r="BD20">
        <v>5079.87</v>
      </c>
      <c r="BE20">
        <v>768.7981176470588</v>
      </c>
      <c r="BF20">
        <v>977.91</v>
      </c>
      <c r="BG20">
        <f t="shared" si="31"/>
        <v>0.21383550874103052</v>
      </c>
      <c r="BH20">
        <v>0.5</v>
      </c>
      <c r="BI20">
        <f t="shared" si="32"/>
        <v>1176.2874997759868</v>
      </c>
      <c r="BJ20">
        <f t="shared" si="33"/>
        <v>33.069229243794481</v>
      </c>
      <c r="BK20">
        <f t="shared" si="34"/>
        <v>125.76601797015648</v>
      </c>
      <c r="BL20">
        <f t="shared" si="35"/>
        <v>3.276909103051185E-2</v>
      </c>
      <c r="BM20">
        <f t="shared" si="36"/>
        <v>1.395148837827612</v>
      </c>
      <c r="BN20">
        <f t="shared" si="37"/>
        <v>409.28881327755971</v>
      </c>
      <c r="BO20" t="s">
        <v>407</v>
      </c>
      <c r="BP20">
        <v>0</v>
      </c>
      <c r="BQ20">
        <f t="shared" si="38"/>
        <v>409.28881327755971</v>
      </c>
      <c r="BR20">
        <f t="shared" si="39"/>
        <v>0.58146576548193618</v>
      </c>
      <c r="BS20">
        <f t="shared" si="40"/>
        <v>0.36775253408736325</v>
      </c>
      <c r="BT20">
        <f t="shared" si="41"/>
        <v>0.7058274463274945</v>
      </c>
      <c r="BU20">
        <f t="shared" si="42"/>
        <v>0.47887658249162784</v>
      </c>
      <c r="BV20">
        <f t="shared" si="43"/>
        <v>0.75753951314023604</v>
      </c>
      <c r="BW20">
        <f t="shared" si="44"/>
        <v>0.19578221486428227</v>
      </c>
      <c r="BX20">
        <f t="shared" si="45"/>
        <v>0.80421778513571773</v>
      </c>
      <c r="DG20">
        <f t="shared" si="46"/>
        <v>1399.9933333333331</v>
      </c>
      <c r="DH20">
        <f t="shared" si="47"/>
        <v>1176.2874997759868</v>
      </c>
      <c r="DI20">
        <f t="shared" si="48"/>
        <v>0.84020935797979057</v>
      </c>
      <c r="DJ20">
        <f t="shared" si="49"/>
        <v>0.16000406090099584</v>
      </c>
      <c r="DK20">
        <v>6</v>
      </c>
      <c r="DL20">
        <v>0.5</v>
      </c>
      <c r="DM20" t="s">
        <v>408</v>
      </c>
      <c r="DN20">
        <v>2</v>
      </c>
      <c r="DO20" t="b">
        <v>0</v>
      </c>
      <c r="DP20">
        <v>1783695647.349999</v>
      </c>
      <c r="DQ20">
        <v>317.2559</v>
      </c>
      <c r="DR20">
        <v>358.1764</v>
      </c>
      <c r="DS20">
        <v>25.328589999999998</v>
      </c>
      <c r="DT20">
        <v>21.51478333333333</v>
      </c>
      <c r="DU20">
        <v>322.74656666666669</v>
      </c>
      <c r="DV20">
        <v>25.752590000000001</v>
      </c>
      <c r="DW20">
        <v>500.05003333333332</v>
      </c>
      <c r="DX20">
        <v>97.514256666666654</v>
      </c>
      <c r="DY20">
        <v>3.9884570000000008E-2</v>
      </c>
      <c r="DZ20">
        <v>28.002729999999989</v>
      </c>
      <c r="EA20">
        <v>28.144166666666671</v>
      </c>
      <c r="EB20">
        <v>999.9000000000002</v>
      </c>
      <c r="EC20">
        <v>0</v>
      </c>
      <c r="ED20">
        <v>0</v>
      </c>
      <c r="EE20">
        <v>10009.33333333333</v>
      </c>
      <c r="EF20">
        <v>0</v>
      </c>
      <c r="EG20">
        <v>784.76666666666665</v>
      </c>
      <c r="EH20">
        <v>-40.920456666666659</v>
      </c>
      <c r="EI20">
        <v>325.53996666666671</v>
      </c>
      <c r="EJ20">
        <v>366.05206666666658</v>
      </c>
      <c r="EK20">
        <v>3.9322503333333341</v>
      </c>
      <c r="EL20">
        <v>358.1764</v>
      </c>
      <c r="EM20">
        <v>21.51478333333333</v>
      </c>
      <c r="EN20">
        <v>2.4814486666666662</v>
      </c>
      <c r="EO20">
        <v>2.097998</v>
      </c>
      <c r="EP20">
        <v>20.905323333333339</v>
      </c>
      <c r="EQ20">
        <v>18.203986666666658</v>
      </c>
      <c r="ER20">
        <v>1399.9933333333331</v>
      </c>
      <c r="ES20">
        <v>0.99299620000000033</v>
      </c>
      <c r="ET20">
        <v>7.0036600000000001E-3</v>
      </c>
      <c r="EU20">
        <v>0</v>
      </c>
      <c r="EV20">
        <v>768.98793333333344</v>
      </c>
      <c r="EW20">
        <v>5.0010700000000003</v>
      </c>
      <c r="EX20">
        <v>16772.706666666669</v>
      </c>
      <c r="EY20">
        <v>12745.43333333334</v>
      </c>
      <c r="EZ20">
        <v>39.75</v>
      </c>
      <c r="FA20">
        <v>41.936999999999983</v>
      </c>
      <c r="FB20">
        <v>40.724799999999988</v>
      </c>
      <c r="FC20">
        <v>41.686999999999983</v>
      </c>
      <c r="FD20">
        <v>41.436999999999983</v>
      </c>
      <c r="FE20">
        <v>1385.223333333334</v>
      </c>
      <c r="FF20">
        <v>9.77</v>
      </c>
      <c r="FG20">
        <v>0</v>
      </c>
      <c r="FH20">
        <v>181.5999999046326</v>
      </c>
      <c r="FI20">
        <v>0</v>
      </c>
      <c r="FJ20">
        <v>768.7981176470588</v>
      </c>
      <c r="FK20">
        <v>-1.794607841748993</v>
      </c>
      <c r="FL20">
        <v>9.1176488667337807</v>
      </c>
      <c r="FM20">
        <v>16809.96470588235</v>
      </c>
      <c r="FN20">
        <v>10</v>
      </c>
      <c r="FO20">
        <v>1783695676.0999999</v>
      </c>
      <c r="FP20" t="s">
        <v>804</v>
      </c>
      <c r="FQ20">
        <v>1783695349.0999999</v>
      </c>
      <c r="FR20">
        <v>1783695676.0999999</v>
      </c>
      <c r="FS20">
        <v>4</v>
      </c>
      <c r="FT20">
        <v>-4.9000000000000002E-2</v>
      </c>
      <c r="FU20">
        <v>-1.0999999999999999E-2</v>
      </c>
      <c r="FV20">
        <v>-6.093</v>
      </c>
      <c r="FW20">
        <v>-0.42399999999999999</v>
      </c>
      <c r="FX20">
        <v>472</v>
      </c>
      <c r="FY20">
        <v>21</v>
      </c>
      <c r="FZ20">
        <v>0.12</v>
      </c>
      <c r="GA20">
        <v>0.08</v>
      </c>
      <c r="GB20">
        <v>317.56229999999999</v>
      </c>
      <c r="GC20">
        <v>-37.04502780867611</v>
      </c>
      <c r="GD20">
        <v>2.6725918649630458</v>
      </c>
      <c r="GE20">
        <v>-1</v>
      </c>
      <c r="GF20">
        <v>769.22979411764709</v>
      </c>
      <c r="GG20">
        <v>-4.2194805171264633</v>
      </c>
      <c r="GH20">
        <v>0.48892311313091741</v>
      </c>
      <c r="GI20">
        <v>1</v>
      </c>
      <c r="GJ20">
        <v>3.9150897499999999</v>
      </c>
      <c r="GK20">
        <v>0.34503455909942682</v>
      </c>
      <c r="GL20">
        <v>3.6257670670321603E-2</v>
      </c>
      <c r="GM20">
        <v>1</v>
      </c>
      <c r="GN20">
        <v>2</v>
      </c>
      <c r="GO20">
        <v>2</v>
      </c>
      <c r="GP20" t="s">
        <v>423</v>
      </c>
      <c r="GQ20">
        <v>3.1318800000000002</v>
      </c>
      <c r="GR20">
        <v>2.7166299999999999</v>
      </c>
      <c r="GS20">
        <v>7.30629E-2</v>
      </c>
      <c r="GT20">
        <v>8.0115199999999998E-2</v>
      </c>
      <c r="GU20">
        <v>0.118077</v>
      </c>
      <c r="GV20">
        <v>0.104003</v>
      </c>
      <c r="GW20">
        <v>23344.9</v>
      </c>
      <c r="GX20">
        <v>31090.1</v>
      </c>
      <c r="GY20">
        <v>27308.5</v>
      </c>
      <c r="GZ20">
        <v>34738.199999999997</v>
      </c>
      <c r="HA20">
        <v>35245.599999999999</v>
      </c>
      <c r="HB20">
        <v>39431.300000000003</v>
      </c>
      <c r="HC20">
        <v>40310.1</v>
      </c>
      <c r="HD20">
        <v>44095.8</v>
      </c>
      <c r="HE20">
        <v>1.911</v>
      </c>
      <c r="HF20">
        <v>1.7674000000000001</v>
      </c>
      <c r="HG20">
        <v>-3.20077E-2</v>
      </c>
      <c r="HH20">
        <v>0</v>
      </c>
      <c r="HI20">
        <v>28.655899999999999</v>
      </c>
      <c r="HJ20">
        <v>999.9</v>
      </c>
      <c r="HK20">
        <v>60.9</v>
      </c>
      <c r="HL20">
        <v>33.9</v>
      </c>
      <c r="HM20">
        <v>33.181100000000001</v>
      </c>
      <c r="HN20">
        <v>60.510100000000001</v>
      </c>
      <c r="HO20">
        <v>8.5096100000000003</v>
      </c>
      <c r="HP20">
        <v>1</v>
      </c>
      <c r="HQ20">
        <v>0.33154499999999998</v>
      </c>
      <c r="HR20">
        <v>2.6359499999999998</v>
      </c>
      <c r="HS20">
        <v>20.252099999999999</v>
      </c>
      <c r="HT20">
        <v>5.2112999999999996</v>
      </c>
      <c r="HU20">
        <v>11.904500000000001</v>
      </c>
      <c r="HV20">
        <v>4.9843999999999999</v>
      </c>
      <c r="HW20">
        <v>3.2706</v>
      </c>
      <c r="HX20">
        <v>9999</v>
      </c>
      <c r="HY20">
        <v>9999</v>
      </c>
      <c r="HZ20">
        <v>9999</v>
      </c>
      <c r="IA20">
        <v>999.9</v>
      </c>
      <c r="IB20">
        <v>1.8672200000000001</v>
      </c>
      <c r="IC20">
        <v>1.8627899999999999</v>
      </c>
      <c r="ID20">
        <v>1.8622799999999999</v>
      </c>
      <c r="IE20">
        <v>1.86172</v>
      </c>
      <c r="IF20">
        <v>1.86182</v>
      </c>
      <c r="IG20">
        <v>1.86249</v>
      </c>
      <c r="IH20">
        <v>1.86331</v>
      </c>
      <c r="II20">
        <v>1.86127</v>
      </c>
      <c r="IJ20">
        <v>0</v>
      </c>
      <c r="IK20">
        <v>0</v>
      </c>
      <c r="IL20">
        <v>0</v>
      </c>
      <c r="IM20">
        <v>4.5</v>
      </c>
      <c r="IN20" t="s">
        <v>411</v>
      </c>
      <c r="IO20" t="s">
        <v>412</v>
      </c>
      <c r="IP20" t="s">
        <v>413</v>
      </c>
      <c r="IQ20" t="s">
        <v>414</v>
      </c>
      <c r="IR20" t="s">
        <v>414</v>
      </c>
      <c r="IS20" t="s">
        <v>413</v>
      </c>
      <c r="IT20">
        <v>0</v>
      </c>
      <c r="IU20">
        <v>100</v>
      </c>
      <c r="IV20">
        <v>100</v>
      </c>
      <c r="IW20">
        <v>-5.47</v>
      </c>
      <c r="IX20">
        <v>-0.42399999999999999</v>
      </c>
      <c r="IY20">
        <v>-3.9139469034091969</v>
      </c>
      <c r="IZ20">
        <v>-5.6215304933332991E-3</v>
      </c>
      <c r="JA20">
        <v>2.3979931213773931E-6</v>
      </c>
      <c r="JB20">
        <v>-3.6297174575716598E-10</v>
      </c>
      <c r="JC20">
        <v>-0.74698622918717139</v>
      </c>
      <c r="JD20">
        <v>2.7492919904454862E-4</v>
      </c>
      <c r="JE20">
        <v>8.6739513355948885E-4</v>
      </c>
      <c r="JF20">
        <v>-8.2500691715147318E-6</v>
      </c>
      <c r="JG20">
        <v>17</v>
      </c>
      <c r="JH20">
        <v>1914</v>
      </c>
      <c r="JI20">
        <v>2</v>
      </c>
      <c r="JJ20">
        <v>37</v>
      </c>
      <c r="JK20">
        <v>5.0999999999999996</v>
      </c>
      <c r="JL20">
        <v>5.2</v>
      </c>
      <c r="JM20">
        <v>0.92651399999999995</v>
      </c>
      <c r="JN20">
        <v>0</v>
      </c>
      <c r="JO20">
        <v>1.50024</v>
      </c>
      <c r="JP20">
        <v>2.2729499999999998</v>
      </c>
      <c r="JQ20">
        <v>1.4477500000000001</v>
      </c>
      <c r="JR20">
        <v>2.33765</v>
      </c>
      <c r="JS20">
        <v>38.944499999999998</v>
      </c>
      <c r="JT20">
        <v>15.839399999999999</v>
      </c>
      <c r="JU20">
        <v>18</v>
      </c>
      <c r="JV20">
        <v>488.53399999999999</v>
      </c>
      <c r="JW20">
        <v>411.404</v>
      </c>
      <c r="JX20">
        <v>25.049199999999999</v>
      </c>
      <c r="JY20">
        <v>31.478300000000001</v>
      </c>
      <c r="JZ20">
        <v>30.000399999999999</v>
      </c>
      <c r="KA20">
        <v>31.442</v>
      </c>
      <c r="KB20">
        <v>31.421700000000001</v>
      </c>
      <c r="KC20">
        <v>100</v>
      </c>
      <c r="KD20">
        <v>42.281199999999998</v>
      </c>
      <c r="KE20">
        <v>26.605499999999999</v>
      </c>
      <c r="KF20">
        <v>25.05</v>
      </c>
      <c r="KG20">
        <v>693.42100000000005</v>
      </c>
      <c r="KH20">
        <v>21.361999999999998</v>
      </c>
      <c r="KI20">
        <v>100.762</v>
      </c>
      <c r="KJ20">
        <v>99.19</v>
      </c>
    </row>
    <row r="21" spans="1:296" x14ac:dyDescent="0.3">
      <c r="A21">
        <v>5</v>
      </c>
      <c r="B21">
        <v>1783695857.0999999</v>
      </c>
      <c r="C21">
        <v>772.09999990463257</v>
      </c>
      <c r="D21" t="s">
        <v>805</v>
      </c>
      <c r="E21" t="s">
        <v>806</v>
      </c>
      <c r="F21">
        <v>15</v>
      </c>
      <c r="H21">
        <v>1783695849.099999</v>
      </c>
      <c r="I21">
        <f t="shared" si="0"/>
        <v>3.4791635152365314E-3</v>
      </c>
      <c r="J21">
        <f t="shared" si="1"/>
        <v>3.4791635152365314</v>
      </c>
      <c r="K21">
        <f t="shared" si="2"/>
        <v>26.638668316676672</v>
      </c>
      <c r="L21">
        <f t="shared" si="3"/>
        <v>225.69532258064521</v>
      </c>
      <c r="M21">
        <f t="shared" si="4"/>
        <v>50.612576090323664</v>
      </c>
      <c r="N21">
        <f t="shared" si="5"/>
        <v>4.9373195728789971</v>
      </c>
      <c r="O21">
        <f t="shared" si="6"/>
        <v>22.016858649834685</v>
      </c>
      <c r="P21">
        <f t="shared" si="7"/>
        <v>0.25835579669419251</v>
      </c>
      <c r="Q21">
        <f t="shared" si="8"/>
        <v>2.8843812554065895</v>
      </c>
      <c r="R21">
        <f t="shared" si="9"/>
        <v>0.24615372526309168</v>
      </c>
      <c r="S21">
        <f t="shared" si="10"/>
        <v>0.15489435161556403</v>
      </c>
      <c r="T21">
        <f t="shared" si="11"/>
        <v>160.1762859709186</v>
      </c>
      <c r="U21">
        <f t="shared" si="12"/>
        <v>27.902629510574968</v>
      </c>
      <c r="V21">
        <f t="shared" si="13"/>
        <v>27.92163870967741</v>
      </c>
      <c r="W21">
        <f t="shared" si="14"/>
        <v>3.7775386221742107</v>
      </c>
      <c r="X21">
        <f t="shared" si="15"/>
        <v>64.88800171304554</v>
      </c>
      <c r="Y21">
        <f t="shared" si="16"/>
        <v>2.4426975326996594</v>
      </c>
      <c r="Z21">
        <f t="shared" si="17"/>
        <v>3.7644825980340868</v>
      </c>
      <c r="AA21">
        <f t="shared" si="18"/>
        <v>1.3348410894745513</v>
      </c>
      <c r="AB21">
        <f t="shared" si="19"/>
        <v>-153.43111102193103</v>
      </c>
      <c r="AC21">
        <f t="shared" si="20"/>
        <v>-9.2278348844977298</v>
      </c>
      <c r="AD21">
        <f t="shared" si="21"/>
        <v>-0.69661070790932489</v>
      </c>
      <c r="AE21">
        <f t="shared" si="22"/>
        <v>-3.1792706434194766</v>
      </c>
      <c r="AF21">
        <f t="shared" si="23"/>
        <v>26.638668316676672</v>
      </c>
      <c r="AG21">
        <f t="shared" si="24"/>
        <v>3.4791635152365314</v>
      </c>
      <c r="AH21">
        <f t="shared" si="25"/>
        <v>28.759126607621571</v>
      </c>
      <c r="AI21">
        <v>261.87348474827729</v>
      </c>
      <c r="AJ21">
        <v>228.61112121212119</v>
      </c>
      <c r="AK21">
        <v>-0.38000026698352102</v>
      </c>
      <c r="AL21">
        <v>67.091794982256516</v>
      </c>
      <c r="AM21">
        <f t="shared" si="26"/>
        <v>3.595794992478611</v>
      </c>
      <c r="AN21">
        <v>20.958717262326299</v>
      </c>
      <c r="AO21">
        <v>25.164156969696961</v>
      </c>
      <c r="AP21">
        <v>1.3118890145960129E-4</v>
      </c>
      <c r="AQ21">
        <v>78.251293564987009</v>
      </c>
      <c r="AR21">
        <v>18</v>
      </c>
      <c r="AS21">
        <v>4</v>
      </c>
      <c r="AT21">
        <f t="shared" si="27"/>
        <v>1</v>
      </c>
      <c r="AU21">
        <f t="shared" si="28"/>
        <v>0</v>
      </c>
      <c r="AV21">
        <f t="shared" si="29"/>
        <v>51381.077297212505</v>
      </c>
      <c r="AW21" t="s">
        <v>790</v>
      </c>
      <c r="AX21">
        <v>5089.3599999999997</v>
      </c>
      <c r="AY21">
        <v>541.23823529411766</v>
      </c>
      <c r="AZ21">
        <v>2342.2399999999998</v>
      </c>
      <c r="BA21">
        <f t="shared" si="30"/>
        <v>0.76892281094417414</v>
      </c>
      <c r="BB21">
        <v>-5.4766429144180178</v>
      </c>
      <c r="BC21" t="s">
        <v>807</v>
      </c>
      <c r="BD21">
        <v>5081.7299999999996</v>
      </c>
      <c r="BE21">
        <v>752.07852941176463</v>
      </c>
      <c r="BF21">
        <v>1038.6400000000001</v>
      </c>
      <c r="BG21">
        <f t="shared" si="31"/>
        <v>0.27590066874781971</v>
      </c>
      <c r="BH21">
        <v>0.5</v>
      </c>
      <c r="BI21">
        <f t="shared" si="32"/>
        <v>840.29944878987919</v>
      </c>
      <c r="BJ21">
        <f t="shared" si="33"/>
        <v>26.638668316676672</v>
      </c>
      <c r="BK21">
        <f t="shared" si="34"/>
        <v>115.91958993477597</v>
      </c>
      <c r="BL21">
        <f t="shared" si="35"/>
        <v>3.8218888846522699E-2</v>
      </c>
      <c r="BM21">
        <f t="shared" si="36"/>
        <v>1.2551028267734725</v>
      </c>
      <c r="BN21">
        <f t="shared" si="37"/>
        <v>419.55618661395215</v>
      </c>
      <c r="BO21" t="s">
        <v>407</v>
      </c>
      <c r="BP21">
        <v>0</v>
      </c>
      <c r="BQ21">
        <f t="shared" si="38"/>
        <v>419.55618661395215</v>
      </c>
      <c r="BR21">
        <f t="shared" si="39"/>
        <v>0.5960523505603943</v>
      </c>
      <c r="BS21">
        <f t="shared" si="40"/>
        <v>0.46287992738964023</v>
      </c>
      <c r="BT21">
        <f t="shared" si="41"/>
        <v>0.67801059691880561</v>
      </c>
      <c r="BU21">
        <f t="shared" si="42"/>
        <v>0.57611671474000803</v>
      </c>
      <c r="BV21">
        <f t="shared" si="43"/>
        <v>0.72381939071163981</v>
      </c>
      <c r="BW21">
        <f t="shared" si="44"/>
        <v>0.25822321685959648</v>
      </c>
      <c r="BX21">
        <f t="shared" si="45"/>
        <v>0.74177678314040352</v>
      </c>
      <c r="DG21">
        <f t="shared" si="46"/>
        <v>1000.0011290322579</v>
      </c>
      <c r="DH21">
        <f t="shared" si="47"/>
        <v>840.29944878987919</v>
      </c>
      <c r="DI21">
        <f t="shared" si="48"/>
        <v>0.84029850006576634</v>
      </c>
      <c r="DJ21">
        <f t="shared" si="49"/>
        <v>0.16017610512692895</v>
      </c>
      <c r="DK21">
        <v>6</v>
      </c>
      <c r="DL21">
        <v>0.5</v>
      </c>
      <c r="DM21" t="s">
        <v>408</v>
      </c>
      <c r="DN21">
        <v>2</v>
      </c>
      <c r="DO21" t="b">
        <v>0</v>
      </c>
      <c r="DP21">
        <v>1783695849.099999</v>
      </c>
      <c r="DQ21">
        <v>225.69532258064521</v>
      </c>
      <c r="DR21">
        <v>258.60296774193552</v>
      </c>
      <c r="DS21">
        <v>25.040148387096782</v>
      </c>
      <c r="DT21">
        <v>20.969822580645161</v>
      </c>
      <c r="DU21">
        <v>230.78329032258071</v>
      </c>
      <c r="DV21">
        <v>25.47814838709678</v>
      </c>
      <c r="DW21">
        <v>500.01570967741941</v>
      </c>
      <c r="DX21">
        <v>97.510267741935479</v>
      </c>
      <c r="DY21">
        <v>4.0972567741935487E-2</v>
      </c>
      <c r="DZ21">
        <v>27.862296774193538</v>
      </c>
      <c r="EA21">
        <v>27.92163870967741</v>
      </c>
      <c r="EB21">
        <v>999.90000000000032</v>
      </c>
      <c r="EC21">
        <v>0</v>
      </c>
      <c r="ED21">
        <v>0</v>
      </c>
      <c r="EE21">
        <v>9993.5483870967746</v>
      </c>
      <c r="EF21">
        <v>0</v>
      </c>
      <c r="EG21">
        <v>814.24729032258051</v>
      </c>
      <c r="EH21">
        <v>-32.907651612903223</v>
      </c>
      <c r="EI21">
        <v>231.51896774193551</v>
      </c>
      <c r="EJ21">
        <v>264.142</v>
      </c>
      <c r="EK21">
        <v>4.1840167741935481</v>
      </c>
      <c r="EL21">
        <v>258.60296774193552</v>
      </c>
      <c r="EM21">
        <v>20.969822580645161</v>
      </c>
      <c r="EN21">
        <v>2.4527587096774188</v>
      </c>
      <c r="EO21">
        <v>2.0447745161290318</v>
      </c>
      <c r="EP21">
        <v>20.71636451612903</v>
      </c>
      <c r="EQ21">
        <v>17.795367741935479</v>
      </c>
      <c r="ER21">
        <v>1000.0011290322579</v>
      </c>
      <c r="ES21">
        <v>0.98999767741935452</v>
      </c>
      <c r="ET21">
        <v>1.000202129032258E-2</v>
      </c>
      <c r="EU21">
        <v>0</v>
      </c>
      <c r="EV21">
        <v>752.22980645161294</v>
      </c>
      <c r="EW21">
        <v>5.0010700000000003</v>
      </c>
      <c r="EX21">
        <v>13278.474193548391</v>
      </c>
      <c r="EY21">
        <v>9080.2800000000007</v>
      </c>
      <c r="EZ21">
        <v>39.461387096774182</v>
      </c>
      <c r="FA21">
        <v>42.186999999999983</v>
      </c>
      <c r="FB21">
        <v>40.811999999999983</v>
      </c>
      <c r="FC21">
        <v>41.91099999999998</v>
      </c>
      <c r="FD21">
        <v>41.307999999999979</v>
      </c>
      <c r="FE21">
        <v>985.04870967741931</v>
      </c>
      <c r="FF21">
        <v>9.9499999999999975</v>
      </c>
      <c r="FG21">
        <v>0</v>
      </c>
      <c r="FH21">
        <v>201.5999999046326</v>
      </c>
      <c r="FI21">
        <v>0</v>
      </c>
      <c r="FJ21">
        <v>752.07852941176463</v>
      </c>
      <c r="FK21">
        <v>-2.9813725636186699</v>
      </c>
      <c r="FL21">
        <v>-2049.999987030079</v>
      </c>
      <c r="FM21">
        <v>13230.07647058823</v>
      </c>
      <c r="FN21">
        <v>10</v>
      </c>
      <c r="FO21">
        <v>1783695886.0999999</v>
      </c>
      <c r="FP21" t="s">
        <v>808</v>
      </c>
      <c r="FQ21">
        <v>1783695349.0999999</v>
      </c>
      <c r="FR21">
        <v>1783695886.0999999</v>
      </c>
      <c r="FS21">
        <v>5</v>
      </c>
      <c r="FT21">
        <v>-4.9000000000000002E-2</v>
      </c>
      <c r="FU21">
        <v>-2E-3</v>
      </c>
      <c r="FV21">
        <v>-6.093</v>
      </c>
      <c r="FW21">
        <v>-0.438</v>
      </c>
      <c r="FX21">
        <v>472</v>
      </c>
      <c r="FY21">
        <v>21</v>
      </c>
      <c r="FZ21">
        <v>0.12</v>
      </c>
      <c r="GA21">
        <v>7.0000000000000007E-2</v>
      </c>
      <c r="GB21">
        <v>225.69532258064521</v>
      </c>
      <c r="GC21">
        <v>-22.76893548387153</v>
      </c>
      <c r="GD21">
        <v>1.697616989879881</v>
      </c>
      <c r="GE21">
        <v>-1</v>
      </c>
      <c r="GF21">
        <v>752.36826470588232</v>
      </c>
      <c r="GG21">
        <v>-3.2455156581371361</v>
      </c>
      <c r="GH21">
        <v>0.38576793609504961</v>
      </c>
      <c r="GI21">
        <v>1</v>
      </c>
      <c r="GJ21">
        <v>4.1764521951219518</v>
      </c>
      <c r="GK21">
        <v>0.19919289198606249</v>
      </c>
      <c r="GL21">
        <v>2.0123021340354579E-2</v>
      </c>
      <c r="GM21">
        <v>1</v>
      </c>
      <c r="GN21">
        <v>2</v>
      </c>
      <c r="GO21">
        <v>2</v>
      </c>
      <c r="GP21" t="s">
        <v>423</v>
      </c>
      <c r="GQ21">
        <v>3.1311</v>
      </c>
      <c r="GR21">
        <v>2.7176</v>
      </c>
      <c r="GS21">
        <v>5.5278000000000001E-2</v>
      </c>
      <c r="GT21">
        <v>6.14438E-2</v>
      </c>
      <c r="GU21">
        <v>0.11706999999999999</v>
      </c>
      <c r="GV21">
        <v>0.102239</v>
      </c>
      <c r="GW21">
        <v>23782.3</v>
      </c>
      <c r="GX21">
        <v>31709</v>
      </c>
      <c r="GY21">
        <v>27297.5</v>
      </c>
      <c r="GZ21">
        <v>34726.400000000001</v>
      </c>
      <c r="HA21">
        <v>35273.1</v>
      </c>
      <c r="HB21">
        <v>39496.300000000003</v>
      </c>
      <c r="HC21">
        <v>40295.699999999997</v>
      </c>
      <c r="HD21">
        <v>44083.1</v>
      </c>
      <c r="HE21">
        <v>1.9164000000000001</v>
      </c>
      <c r="HF21">
        <v>1.7605999999999999</v>
      </c>
      <c r="HG21">
        <v>-4.0411900000000001E-2</v>
      </c>
      <c r="HH21">
        <v>0</v>
      </c>
      <c r="HI21">
        <v>28.587299999999999</v>
      </c>
      <c r="HJ21">
        <v>999.9</v>
      </c>
      <c r="HK21">
        <v>59.7</v>
      </c>
      <c r="HL21">
        <v>34.200000000000003</v>
      </c>
      <c r="HM21">
        <v>33.078099999999999</v>
      </c>
      <c r="HN21">
        <v>60.680100000000003</v>
      </c>
      <c r="HO21">
        <v>8.3814100000000007</v>
      </c>
      <c r="HP21">
        <v>1</v>
      </c>
      <c r="HQ21">
        <v>0.35286600000000001</v>
      </c>
      <c r="HR21">
        <v>2.6928800000000002</v>
      </c>
      <c r="HS21">
        <v>20.2544</v>
      </c>
      <c r="HT21">
        <v>5.2112999999999996</v>
      </c>
      <c r="HU21">
        <v>11.908099999999999</v>
      </c>
      <c r="HV21">
        <v>4.9859999999999998</v>
      </c>
      <c r="HW21">
        <v>3.2709999999999999</v>
      </c>
      <c r="HX21">
        <v>9999</v>
      </c>
      <c r="HY21">
        <v>9999</v>
      </c>
      <c r="HZ21">
        <v>9999</v>
      </c>
      <c r="IA21">
        <v>999.9</v>
      </c>
      <c r="IB21">
        <v>1.8672200000000001</v>
      </c>
      <c r="IC21">
        <v>1.8627899999999999</v>
      </c>
      <c r="ID21">
        <v>1.8621799999999999</v>
      </c>
      <c r="IE21">
        <v>1.86172</v>
      </c>
      <c r="IF21">
        <v>1.86178</v>
      </c>
      <c r="IG21">
        <v>1.86249</v>
      </c>
      <c r="IH21">
        <v>1.86331</v>
      </c>
      <c r="II21">
        <v>1.86127</v>
      </c>
      <c r="IJ21">
        <v>0</v>
      </c>
      <c r="IK21">
        <v>0</v>
      </c>
      <c r="IL21">
        <v>0</v>
      </c>
      <c r="IM21">
        <v>4.5</v>
      </c>
      <c r="IN21" t="s">
        <v>411</v>
      </c>
      <c r="IO21" t="s">
        <v>412</v>
      </c>
      <c r="IP21" t="s">
        <v>413</v>
      </c>
      <c r="IQ21" t="s">
        <v>414</v>
      </c>
      <c r="IR21" t="s">
        <v>414</v>
      </c>
      <c r="IS21" t="s">
        <v>413</v>
      </c>
      <c r="IT21">
        <v>0</v>
      </c>
      <c r="IU21">
        <v>100</v>
      </c>
      <c r="IV21">
        <v>100</v>
      </c>
      <c r="IW21">
        <v>-5.0739999999999998</v>
      </c>
      <c r="IX21">
        <v>-0.438</v>
      </c>
      <c r="IY21">
        <v>-3.9139469034091969</v>
      </c>
      <c r="IZ21">
        <v>-5.6215304933332991E-3</v>
      </c>
      <c r="JA21">
        <v>2.3979931213773931E-6</v>
      </c>
      <c r="JB21">
        <v>-3.6297174575716598E-10</v>
      </c>
      <c r="JC21">
        <v>-0.75791730528702872</v>
      </c>
      <c r="JD21">
        <v>2.7492919904454862E-4</v>
      </c>
      <c r="JE21">
        <v>8.6739513355948885E-4</v>
      </c>
      <c r="JF21">
        <v>-8.2500691715147318E-6</v>
      </c>
      <c r="JG21">
        <v>17</v>
      </c>
      <c r="JH21">
        <v>1914</v>
      </c>
      <c r="JI21">
        <v>2</v>
      </c>
      <c r="JJ21">
        <v>37</v>
      </c>
      <c r="JK21">
        <v>8.5</v>
      </c>
      <c r="JL21">
        <v>3</v>
      </c>
      <c r="JM21">
        <v>0.72021500000000005</v>
      </c>
      <c r="JN21">
        <v>0</v>
      </c>
      <c r="JO21">
        <v>1.50024</v>
      </c>
      <c r="JP21">
        <v>2.2741699999999998</v>
      </c>
      <c r="JQ21">
        <v>1.4477500000000001</v>
      </c>
      <c r="JR21">
        <v>2.4230999999999998</v>
      </c>
      <c r="JS21">
        <v>39.068300000000001</v>
      </c>
      <c r="JT21">
        <v>15.821899999999999</v>
      </c>
      <c r="JU21">
        <v>18</v>
      </c>
      <c r="JV21">
        <v>493.59699999999998</v>
      </c>
      <c r="JW21">
        <v>408.96600000000001</v>
      </c>
      <c r="JX21">
        <v>25.051100000000002</v>
      </c>
      <c r="JY21">
        <v>31.710599999999999</v>
      </c>
      <c r="JZ21">
        <v>30.000800000000002</v>
      </c>
      <c r="KA21">
        <v>31.6722</v>
      </c>
      <c r="KB21">
        <v>31.656099999999999</v>
      </c>
      <c r="KC21">
        <v>100</v>
      </c>
      <c r="KD21">
        <v>42.604700000000001</v>
      </c>
      <c r="KE21">
        <v>15.4514</v>
      </c>
      <c r="KF21">
        <v>25.05</v>
      </c>
      <c r="KG21">
        <v>693.42100000000005</v>
      </c>
      <c r="KH21">
        <v>21.029599999999999</v>
      </c>
      <c r="KI21">
        <v>100.724</v>
      </c>
      <c r="KJ21">
        <v>99.159199999999998</v>
      </c>
    </row>
    <row r="22" spans="1:296" x14ac:dyDescent="0.3">
      <c r="A22">
        <v>6</v>
      </c>
      <c r="B22">
        <v>1783696067.0999999</v>
      </c>
      <c r="C22">
        <v>982.09999990463257</v>
      </c>
      <c r="D22" t="s">
        <v>809</v>
      </c>
      <c r="E22" t="s">
        <v>810</v>
      </c>
      <c r="F22">
        <v>15</v>
      </c>
      <c r="H22">
        <v>1783696059.099999</v>
      </c>
      <c r="I22">
        <f t="shared" si="0"/>
        <v>3.8105523743067371E-3</v>
      </c>
      <c r="J22">
        <f t="shared" si="1"/>
        <v>3.8105523743067371</v>
      </c>
      <c r="K22">
        <f t="shared" si="2"/>
        <v>21.905828251016178</v>
      </c>
      <c r="L22">
        <f t="shared" si="3"/>
        <v>161.933870967742</v>
      </c>
      <c r="M22">
        <f t="shared" si="4"/>
        <v>32.602864383703462</v>
      </c>
      <c r="N22">
        <f t="shared" si="5"/>
        <v>3.1806521339162237</v>
      </c>
      <c r="O22">
        <f t="shared" si="6"/>
        <v>15.797854635874058</v>
      </c>
      <c r="P22">
        <f t="shared" si="7"/>
        <v>0.28864894336549679</v>
      </c>
      <c r="Q22">
        <f t="shared" si="8"/>
        <v>2.8871278847520165</v>
      </c>
      <c r="R22">
        <f t="shared" si="9"/>
        <v>0.27352130963096355</v>
      </c>
      <c r="S22">
        <f t="shared" si="10"/>
        <v>0.17224388063455393</v>
      </c>
      <c r="T22">
        <f t="shared" si="11"/>
        <v>128.27716147587034</v>
      </c>
      <c r="U22">
        <f t="shared" si="12"/>
        <v>27.498350500766701</v>
      </c>
      <c r="V22">
        <f t="shared" si="13"/>
        <v>27.74105483870968</v>
      </c>
      <c r="W22">
        <f t="shared" si="14"/>
        <v>3.7379300818586092</v>
      </c>
      <c r="X22">
        <f t="shared" si="15"/>
        <v>64.806990684805328</v>
      </c>
      <c r="Y22">
        <f t="shared" si="16"/>
        <v>2.4217184833123961</v>
      </c>
      <c r="Z22">
        <f t="shared" si="17"/>
        <v>3.7368167503574474</v>
      </c>
      <c r="AA22">
        <f t="shared" si="18"/>
        <v>1.3162115985462131</v>
      </c>
      <c r="AB22">
        <f t="shared" si="19"/>
        <v>-168.04535970692712</v>
      </c>
      <c r="AC22">
        <f t="shared" si="20"/>
        <v>-0.7938192764674965</v>
      </c>
      <c r="AD22">
        <f t="shared" si="21"/>
        <v>-5.9776975294743996E-2</v>
      </c>
      <c r="AE22">
        <f t="shared" si="22"/>
        <v>-40.621794482819006</v>
      </c>
      <c r="AF22">
        <f t="shared" si="23"/>
        <v>21.905828251016178</v>
      </c>
      <c r="AG22">
        <f t="shared" si="24"/>
        <v>3.8105523743067371</v>
      </c>
      <c r="AH22">
        <f t="shared" si="25"/>
        <v>23.38976628011093</v>
      </c>
      <c r="AI22">
        <v>191.40681554695831</v>
      </c>
      <c r="AJ22">
        <v>164.13894545454539</v>
      </c>
      <c r="AK22">
        <v>-0.26421672979868133</v>
      </c>
      <c r="AL22">
        <v>67.084654432270668</v>
      </c>
      <c r="AM22">
        <f t="shared" si="26"/>
        <v>3.9203293364352851</v>
      </c>
      <c r="AN22">
        <v>20.35640050246753</v>
      </c>
      <c r="AO22">
        <v>24.943344242424232</v>
      </c>
      <c r="AP22">
        <v>-2.110068559821592E-5</v>
      </c>
      <c r="AQ22">
        <v>78.55</v>
      </c>
      <c r="AR22">
        <v>16</v>
      </c>
      <c r="AS22">
        <v>3</v>
      </c>
      <c r="AT22">
        <f t="shared" si="27"/>
        <v>1</v>
      </c>
      <c r="AU22">
        <f t="shared" si="28"/>
        <v>0</v>
      </c>
      <c r="AV22">
        <f t="shared" si="29"/>
        <v>51480.691846152942</v>
      </c>
      <c r="AW22" t="s">
        <v>790</v>
      </c>
      <c r="AX22">
        <v>5089.3599999999997</v>
      </c>
      <c r="AY22">
        <v>541.23823529411766</v>
      </c>
      <c r="AZ22">
        <v>2342.2399999999998</v>
      </c>
      <c r="BA22">
        <f t="shared" si="30"/>
        <v>0.76892281094417414</v>
      </c>
      <c r="BB22">
        <v>-5.4766429144180178</v>
      </c>
      <c r="BC22" t="s">
        <v>811</v>
      </c>
      <c r="BD22">
        <v>5084.24</v>
      </c>
      <c r="BE22">
        <v>742.42405882352944</v>
      </c>
      <c r="BF22">
        <v>1069.21</v>
      </c>
      <c r="BG22">
        <f t="shared" si="31"/>
        <v>0.30563307598738376</v>
      </c>
      <c r="BH22">
        <v>0.5</v>
      </c>
      <c r="BI22">
        <f t="shared" si="32"/>
        <v>672.31041168898514</v>
      </c>
      <c r="BJ22">
        <f t="shared" si="33"/>
        <v>21.905828251016178</v>
      </c>
      <c r="BK22">
        <f t="shared" si="34"/>
        <v>102.74014957142442</v>
      </c>
      <c r="BL22">
        <f t="shared" si="35"/>
        <v>4.072891136200564E-2</v>
      </c>
      <c r="BM22">
        <f t="shared" si="36"/>
        <v>1.190626724403999</v>
      </c>
      <c r="BN22">
        <f t="shared" si="37"/>
        <v>424.45840494770749</v>
      </c>
      <c r="BO22" t="s">
        <v>407</v>
      </c>
      <c r="BP22">
        <v>0</v>
      </c>
      <c r="BQ22">
        <f t="shared" si="38"/>
        <v>424.45840494770749</v>
      </c>
      <c r="BR22">
        <f t="shared" si="39"/>
        <v>0.6030168021738409</v>
      </c>
      <c r="BS22">
        <f t="shared" si="40"/>
        <v>0.50684006628935396</v>
      </c>
      <c r="BT22">
        <f t="shared" si="41"/>
        <v>0.6638034295898475</v>
      </c>
      <c r="BU22">
        <f t="shared" si="42"/>
        <v>0.61894586608909563</v>
      </c>
      <c r="BV22">
        <f t="shared" si="43"/>
        <v>0.70684550395645818</v>
      </c>
      <c r="BW22">
        <f t="shared" si="44"/>
        <v>0.28977041293849753</v>
      </c>
      <c r="BX22">
        <f t="shared" si="45"/>
        <v>0.71022958706150252</v>
      </c>
      <c r="DG22">
        <f t="shared" si="46"/>
        <v>800.00132258064525</v>
      </c>
      <c r="DH22">
        <f t="shared" si="47"/>
        <v>672.31041168898514</v>
      </c>
      <c r="DI22">
        <f t="shared" si="48"/>
        <v>0.84038662526237506</v>
      </c>
      <c r="DJ22">
        <f t="shared" si="49"/>
        <v>0.16034618675638398</v>
      </c>
      <c r="DK22">
        <v>6</v>
      </c>
      <c r="DL22">
        <v>0.5</v>
      </c>
      <c r="DM22" t="s">
        <v>408</v>
      </c>
      <c r="DN22">
        <v>2</v>
      </c>
      <c r="DO22" t="b">
        <v>0</v>
      </c>
      <c r="DP22">
        <v>1783696059.099999</v>
      </c>
      <c r="DQ22">
        <v>161.933870967742</v>
      </c>
      <c r="DR22">
        <v>188.95993548387099</v>
      </c>
      <c r="DS22">
        <v>24.823512903225811</v>
      </c>
      <c r="DT22">
        <v>20.36459032258065</v>
      </c>
      <c r="DU22">
        <v>166.72009677419359</v>
      </c>
      <c r="DV22">
        <v>25.276512903225811</v>
      </c>
      <c r="DW22">
        <v>500.02587096774209</v>
      </c>
      <c r="DX22">
        <v>97.51639999999999</v>
      </c>
      <c r="DY22">
        <v>4.1044538709677419E-2</v>
      </c>
      <c r="DZ22">
        <v>27.73595483870967</v>
      </c>
      <c r="EA22">
        <v>27.74105483870968</v>
      </c>
      <c r="EB22">
        <v>999.90000000000032</v>
      </c>
      <c r="EC22">
        <v>0</v>
      </c>
      <c r="ED22">
        <v>0</v>
      </c>
      <c r="EE22">
        <v>10008.709677419351</v>
      </c>
      <c r="EF22">
        <v>0</v>
      </c>
      <c r="EG22">
        <v>839.77051612903233</v>
      </c>
      <c r="EH22">
        <v>-27.026058064516128</v>
      </c>
      <c r="EI22">
        <v>166.0765161290322</v>
      </c>
      <c r="EJ22">
        <v>192.88796774193551</v>
      </c>
      <c r="EK22">
        <v>4.5799200000000004</v>
      </c>
      <c r="EL22">
        <v>188.95993548387099</v>
      </c>
      <c r="EM22">
        <v>20.36459032258065</v>
      </c>
      <c r="EN22">
        <v>2.4324987096774202</v>
      </c>
      <c r="EO22">
        <v>1.9858809677419349</v>
      </c>
      <c r="EP22">
        <v>20.58175806451613</v>
      </c>
      <c r="EQ22">
        <v>17.332212903225809</v>
      </c>
      <c r="ER22">
        <v>800.00132258064525</v>
      </c>
      <c r="ES22">
        <v>0.98703022580645172</v>
      </c>
      <c r="ET22">
        <v>1.2969748387096769E-2</v>
      </c>
      <c r="EU22">
        <v>0</v>
      </c>
      <c r="EV22">
        <v>742.56290322580651</v>
      </c>
      <c r="EW22">
        <v>5.0010700000000003</v>
      </c>
      <c r="EX22">
        <v>11471.34838709677</v>
      </c>
      <c r="EY22">
        <v>7246.718064516127</v>
      </c>
      <c r="EZ22">
        <v>39</v>
      </c>
      <c r="FA22">
        <v>42.051999999999992</v>
      </c>
      <c r="FB22">
        <v>40.508000000000003</v>
      </c>
      <c r="FC22">
        <v>41.875</v>
      </c>
      <c r="FD22">
        <v>41</v>
      </c>
      <c r="FE22">
        <v>784.68838709677391</v>
      </c>
      <c r="FF22">
        <v>10.31</v>
      </c>
      <c r="FG22">
        <v>0</v>
      </c>
      <c r="FH22">
        <v>209.4000000953674</v>
      </c>
      <c r="FI22">
        <v>0</v>
      </c>
      <c r="FJ22">
        <v>742.42405882352944</v>
      </c>
      <c r="FK22">
        <v>-1.2220588029783319</v>
      </c>
      <c r="FL22">
        <v>192.8676458766538</v>
      </c>
      <c r="FM22">
        <v>11464.17647058824</v>
      </c>
      <c r="FN22">
        <v>10</v>
      </c>
      <c r="FO22">
        <v>1783696095.0999999</v>
      </c>
      <c r="FP22" t="s">
        <v>812</v>
      </c>
      <c r="FQ22">
        <v>1783695349.0999999</v>
      </c>
      <c r="FR22">
        <v>1783696095.0999999</v>
      </c>
      <c r="FS22">
        <v>6</v>
      </c>
      <c r="FT22">
        <v>-4.9000000000000002E-2</v>
      </c>
      <c r="FU22">
        <v>-1E-3</v>
      </c>
      <c r="FV22">
        <v>-6.093</v>
      </c>
      <c r="FW22">
        <v>-0.45300000000000001</v>
      </c>
      <c r="FX22">
        <v>472</v>
      </c>
      <c r="FY22">
        <v>20</v>
      </c>
      <c r="FZ22">
        <v>0.12</v>
      </c>
      <c r="GA22">
        <v>7.0000000000000007E-2</v>
      </c>
      <c r="GB22">
        <v>161.933870967742</v>
      </c>
      <c r="GC22">
        <v>-14.99753225806432</v>
      </c>
      <c r="GD22">
        <v>1.1187336660746099</v>
      </c>
      <c r="GE22">
        <v>-1</v>
      </c>
      <c r="GF22">
        <v>742.69517647058819</v>
      </c>
      <c r="GG22">
        <v>-2.9322841842152769</v>
      </c>
      <c r="GH22">
        <v>0.33214999009025242</v>
      </c>
      <c r="GI22">
        <v>1</v>
      </c>
      <c r="GJ22">
        <v>4.57781512195122</v>
      </c>
      <c r="GK22">
        <v>4.7198885017424037E-2</v>
      </c>
      <c r="GL22">
        <v>6.3456930359952471E-3</v>
      </c>
      <c r="GM22">
        <v>1</v>
      </c>
      <c r="GN22">
        <v>2</v>
      </c>
      <c r="GO22">
        <v>2</v>
      </c>
      <c r="GP22" t="s">
        <v>423</v>
      </c>
      <c r="GQ22">
        <v>3.1308500000000001</v>
      </c>
      <c r="GR22">
        <v>2.7176499999999999</v>
      </c>
      <c r="GS22">
        <v>4.1451700000000001E-2</v>
      </c>
      <c r="GT22">
        <v>4.6827800000000003E-2</v>
      </c>
      <c r="GU22">
        <v>0.11634899999999999</v>
      </c>
      <c r="GV22">
        <v>0.10016</v>
      </c>
      <c r="GW22">
        <v>24123.200000000001</v>
      </c>
      <c r="GX22">
        <v>32192.1</v>
      </c>
      <c r="GY22">
        <v>27290.5</v>
      </c>
      <c r="GZ22">
        <v>34716.400000000001</v>
      </c>
      <c r="HA22">
        <v>35293.1</v>
      </c>
      <c r="HB22">
        <v>39577.5</v>
      </c>
      <c r="HC22">
        <v>40285.699999999997</v>
      </c>
      <c r="HD22">
        <v>44072.6</v>
      </c>
      <c r="HE22">
        <v>1.917</v>
      </c>
      <c r="HF22">
        <v>1.7567999999999999</v>
      </c>
      <c r="HG22">
        <v>-4.93228E-2</v>
      </c>
      <c r="HH22">
        <v>0</v>
      </c>
      <c r="HI22">
        <v>28.548200000000001</v>
      </c>
      <c r="HJ22">
        <v>999.9</v>
      </c>
      <c r="HK22">
        <v>58.4</v>
      </c>
      <c r="HL22">
        <v>34.4</v>
      </c>
      <c r="HM22">
        <v>32.7194</v>
      </c>
      <c r="HN22">
        <v>60.350099999999998</v>
      </c>
      <c r="HO22">
        <v>8.5897400000000008</v>
      </c>
      <c r="HP22">
        <v>1</v>
      </c>
      <c r="HQ22">
        <v>0.36723600000000001</v>
      </c>
      <c r="HR22">
        <v>2.7172100000000001</v>
      </c>
      <c r="HS22">
        <v>20.255299999999998</v>
      </c>
      <c r="HT22">
        <v>5.2088999999999999</v>
      </c>
      <c r="HU22">
        <v>11.908099999999999</v>
      </c>
      <c r="HV22">
        <v>4.9843999999999999</v>
      </c>
      <c r="HW22">
        <v>3.2706</v>
      </c>
      <c r="HX22">
        <v>9999</v>
      </c>
      <c r="HY22">
        <v>9999</v>
      </c>
      <c r="HZ22">
        <v>9999</v>
      </c>
      <c r="IA22">
        <v>999.9</v>
      </c>
      <c r="IB22">
        <v>1.8672200000000001</v>
      </c>
      <c r="IC22">
        <v>1.8627899999999999</v>
      </c>
      <c r="ID22">
        <v>1.8622099999999999</v>
      </c>
      <c r="IE22">
        <v>1.86172</v>
      </c>
      <c r="IF22">
        <v>1.86175</v>
      </c>
      <c r="IG22">
        <v>1.86249</v>
      </c>
      <c r="IH22">
        <v>1.86334</v>
      </c>
      <c r="II22">
        <v>1.8613</v>
      </c>
      <c r="IJ22">
        <v>0</v>
      </c>
      <c r="IK22">
        <v>0</v>
      </c>
      <c r="IL22">
        <v>0</v>
      </c>
      <c r="IM22">
        <v>4.5</v>
      </c>
      <c r="IN22" t="s">
        <v>411</v>
      </c>
      <c r="IO22" t="s">
        <v>412</v>
      </c>
      <c r="IP22" t="s">
        <v>413</v>
      </c>
      <c r="IQ22" t="s">
        <v>414</v>
      </c>
      <c r="IR22" t="s">
        <v>414</v>
      </c>
      <c r="IS22" t="s">
        <v>413</v>
      </c>
      <c r="IT22">
        <v>0</v>
      </c>
      <c r="IU22">
        <v>100</v>
      </c>
      <c r="IV22">
        <v>100</v>
      </c>
      <c r="IW22">
        <v>-4.7759999999999998</v>
      </c>
      <c r="IX22">
        <v>-0.45300000000000001</v>
      </c>
      <c r="IY22">
        <v>-3.9139469034091969</v>
      </c>
      <c r="IZ22">
        <v>-5.6215304933332991E-3</v>
      </c>
      <c r="JA22">
        <v>2.3979931213773931E-6</v>
      </c>
      <c r="JB22">
        <v>-3.6297174575716598E-10</v>
      </c>
      <c r="JC22">
        <v>-0.75990914592077563</v>
      </c>
      <c r="JD22">
        <v>2.7492919904454862E-4</v>
      </c>
      <c r="JE22">
        <v>8.6739513355948885E-4</v>
      </c>
      <c r="JF22">
        <v>-8.2500691715147318E-6</v>
      </c>
      <c r="JG22">
        <v>17</v>
      </c>
      <c r="JH22">
        <v>1914</v>
      </c>
      <c r="JI22">
        <v>2</v>
      </c>
      <c r="JJ22">
        <v>37</v>
      </c>
      <c r="JK22">
        <v>12</v>
      </c>
      <c r="JL22">
        <v>3</v>
      </c>
      <c r="JM22">
        <v>0.57128900000000005</v>
      </c>
      <c r="JN22">
        <v>0</v>
      </c>
      <c r="JO22">
        <v>1.50024</v>
      </c>
      <c r="JP22">
        <v>2.2766099999999998</v>
      </c>
      <c r="JQ22">
        <v>1.4477500000000001</v>
      </c>
      <c r="JR22">
        <v>2.4377399999999998</v>
      </c>
      <c r="JS22">
        <v>39.192399999999999</v>
      </c>
      <c r="JT22">
        <v>15.786899999999999</v>
      </c>
      <c r="JU22">
        <v>18</v>
      </c>
      <c r="JV22">
        <v>495.52100000000002</v>
      </c>
      <c r="JW22">
        <v>408.02699999999999</v>
      </c>
      <c r="JX22">
        <v>25.05</v>
      </c>
      <c r="JY22">
        <v>31.9114</v>
      </c>
      <c r="JZ22">
        <v>30.0001</v>
      </c>
      <c r="KA22">
        <v>31.873999999999999</v>
      </c>
      <c r="KB22">
        <v>31.851400000000002</v>
      </c>
      <c r="KC22">
        <v>100</v>
      </c>
      <c r="KD22">
        <v>43.419800000000002</v>
      </c>
      <c r="KE22">
        <v>3.7767400000000002</v>
      </c>
      <c r="KF22">
        <v>25.05</v>
      </c>
      <c r="KG22">
        <v>693.42100000000005</v>
      </c>
      <c r="KH22">
        <v>20.415600000000001</v>
      </c>
      <c r="KI22">
        <v>100.699</v>
      </c>
      <c r="KJ22">
        <v>99.133399999999995</v>
      </c>
    </row>
    <row r="23" spans="1:296" x14ac:dyDescent="0.3">
      <c r="A23">
        <v>7</v>
      </c>
      <c r="B23">
        <v>1783696276.0999999</v>
      </c>
      <c r="C23">
        <v>1191.099999904633</v>
      </c>
      <c r="D23" t="s">
        <v>813</v>
      </c>
      <c r="E23" t="s">
        <v>814</v>
      </c>
      <c r="F23">
        <v>15</v>
      </c>
      <c r="H23">
        <v>1783696268.099999</v>
      </c>
      <c r="I23">
        <f t="shared" si="0"/>
        <v>3.937965655301176E-3</v>
      </c>
      <c r="J23">
        <f t="shared" si="1"/>
        <v>3.9379656553011761</v>
      </c>
      <c r="K23">
        <f t="shared" si="2"/>
        <v>17.658678773597526</v>
      </c>
      <c r="L23">
        <f t="shared" si="3"/>
        <v>119.3411935483871</v>
      </c>
      <c r="M23">
        <f t="shared" si="4"/>
        <v>20.253043974015831</v>
      </c>
      <c r="N23">
        <f t="shared" si="5"/>
        <v>1.9757028357010833</v>
      </c>
      <c r="O23">
        <f t="shared" si="6"/>
        <v>11.641841829406177</v>
      </c>
      <c r="P23">
        <f t="shared" si="7"/>
        <v>0.30403611106389139</v>
      </c>
      <c r="Q23">
        <f t="shared" si="8"/>
        <v>2.8853702634365828</v>
      </c>
      <c r="R23">
        <f t="shared" si="9"/>
        <v>0.28729326417807821</v>
      </c>
      <c r="S23">
        <f t="shared" si="10"/>
        <v>0.18098569311416984</v>
      </c>
      <c r="T23">
        <f t="shared" si="11"/>
        <v>96.343258259135993</v>
      </c>
      <c r="U23">
        <f t="shared" si="12"/>
        <v>27.1512489077688</v>
      </c>
      <c r="V23">
        <f t="shared" si="13"/>
        <v>27.58796774193549</v>
      </c>
      <c r="W23">
        <f t="shared" si="14"/>
        <v>3.7046368828426073</v>
      </c>
      <c r="X23">
        <f t="shared" si="15"/>
        <v>64.940226133371681</v>
      </c>
      <c r="Y23">
        <f t="shared" si="16"/>
        <v>2.4093969824463985</v>
      </c>
      <c r="Z23">
        <f t="shared" si="17"/>
        <v>3.7101764590379989</v>
      </c>
      <c r="AA23">
        <f t="shared" si="18"/>
        <v>1.2952399003962087</v>
      </c>
      <c r="AB23">
        <f t="shared" si="19"/>
        <v>-173.66428539878186</v>
      </c>
      <c r="AC23">
        <f t="shared" si="20"/>
        <v>3.9752105766796495</v>
      </c>
      <c r="AD23">
        <f t="shared" si="21"/>
        <v>0.29911621364572166</v>
      </c>
      <c r="AE23">
        <f t="shared" si="22"/>
        <v>-73.046700349320503</v>
      </c>
      <c r="AF23">
        <f t="shared" si="23"/>
        <v>17.658678773597526</v>
      </c>
      <c r="AG23">
        <f t="shared" si="24"/>
        <v>3.9379656553011761</v>
      </c>
      <c r="AH23">
        <f t="shared" si="25"/>
        <v>18.44608792509483</v>
      </c>
      <c r="AI23">
        <v>142.94357050390281</v>
      </c>
      <c r="AJ23">
        <v>121.1376242424242</v>
      </c>
      <c r="AK23">
        <v>-0.14981522923925639</v>
      </c>
      <c r="AL23">
        <v>67.08849391357775</v>
      </c>
      <c r="AM23">
        <f t="shared" si="26"/>
        <v>4.0524002129467638</v>
      </c>
      <c r="AN23">
        <v>20.090474376363641</v>
      </c>
      <c r="AO23">
        <v>24.832523636363629</v>
      </c>
      <c r="AP23">
        <v>3.675278126890658E-5</v>
      </c>
      <c r="AQ23">
        <v>78.55</v>
      </c>
      <c r="AR23">
        <v>14</v>
      </c>
      <c r="AS23">
        <v>3</v>
      </c>
      <c r="AT23">
        <f t="shared" si="27"/>
        <v>1</v>
      </c>
      <c r="AU23">
        <f t="shared" si="28"/>
        <v>0</v>
      </c>
      <c r="AV23">
        <f t="shared" si="29"/>
        <v>51451.627324709712</v>
      </c>
      <c r="AW23" t="s">
        <v>790</v>
      </c>
      <c r="AX23">
        <v>5089.3599999999997</v>
      </c>
      <c r="AY23">
        <v>541.23823529411766</v>
      </c>
      <c r="AZ23">
        <v>2342.2399999999998</v>
      </c>
      <c r="BA23">
        <f t="shared" si="30"/>
        <v>0.76892281094417414</v>
      </c>
      <c r="BB23">
        <v>-5.4766429144180178</v>
      </c>
      <c r="BC23" t="s">
        <v>815</v>
      </c>
      <c r="BD23">
        <v>5086.05</v>
      </c>
      <c r="BE23">
        <v>733.00776470588232</v>
      </c>
      <c r="BF23">
        <v>1128.6600000000001</v>
      </c>
      <c r="BG23">
        <f t="shared" si="31"/>
        <v>0.35055041845561796</v>
      </c>
      <c r="BH23">
        <v>0.5</v>
      </c>
      <c r="BI23">
        <f t="shared" si="32"/>
        <v>504.29492644548236</v>
      </c>
      <c r="BJ23">
        <f t="shared" si="33"/>
        <v>17.658678773597526</v>
      </c>
      <c r="BK23">
        <f t="shared" si="34"/>
        <v>88.390398745254458</v>
      </c>
      <c r="BL23">
        <f t="shared" si="35"/>
        <v>4.587657038527955E-2</v>
      </c>
      <c r="BM23">
        <f t="shared" si="36"/>
        <v>1.0752396647351723</v>
      </c>
      <c r="BN23">
        <f t="shared" si="37"/>
        <v>433.52352415263698</v>
      </c>
      <c r="BO23" t="s">
        <v>407</v>
      </c>
      <c r="BP23">
        <v>0</v>
      </c>
      <c r="BQ23">
        <f t="shared" si="38"/>
        <v>433.52352415263698</v>
      </c>
      <c r="BR23">
        <f t="shared" si="39"/>
        <v>0.61589537668329086</v>
      </c>
      <c r="BS23">
        <f t="shared" si="40"/>
        <v>0.56917202454643512</v>
      </c>
      <c r="BT23">
        <f t="shared" si="41"/>
        <v>0.63580946429523455</v>
      </c>
      <c r="BU23">
        <f t="shared" si="42"/>
        <v>0.67354030624353489</v>
      </c>
      <c r="BV23">
        <f t="shared" si="43"/>
        <v>0.67383609710020853</v>
      </c>
      <c r="BW23">
        <f t="shared" si="44"/>
        <v>0.33662598653299314</v>
      </c>
      <c r="BX23">
        <f t="shared" si="45"/>
        <v>0.66337401346700686</v>
      </c>
      <c r="DG23">
        <f t="shared" si="46"/>
        <v>599.99038709677416</v>
      </c>
      <c r="DH23">
        <f t="shared" si="47"/>
        <v>504.29492644548236</v>
      </c>
      <c r="DI23">
        <f t="shared" si="48"/>
        <v>0.84050501023134427</v>
      </c>
      <c r="DJ23">
        <f t="shared" si="49"/>
        <v>0.16057466974649465</v>
      </c>
      <c r="DK23">
        <v>6</v>
      </c>
      <c r="DL23">
        <v>0.5</v>
      </c>
      <c r="DM23" t="s">
        <v>408</v>
      </c>
      <c r="DN23">
        <v>2</v>
      </c>
      <c r="DO23" t="b">
        <v>0</v>
      </c>
      <c r="DP23">
        <v>1783696268.099999</v>
      </c>
      <c r="DQ23">
        <v>119.3411935483871</v>
      </c>
      <c r="DR23">
        <v>141.09625806451609</v>
      </c>
      <c r="DS23">
        <v>24.698867741935491</v>
      </c>
      <c r="DT23">
        <v>20.089877419354838</v>
      </c>
      <c r="DU23">
        <v>123.9155806451613</v>
      </c>
      <c r="DV23">
        <v>25.164867741935488</v>
      </c>
      <c r="DW23">
        <v>499.98399999999992</v>
      </c>
      <c r="DX23">
        <v>97.509074193548386</v>
      </c>
      <c r="DY23">
        <v>4.1834116129032262E-2</v>
      </c>
      <c r="DZ23">
        <v>27.61352258064516</v>
      </c>
      <c r="EA23">
        <v>27.58796774193549</v>
      </c>
      <c r="EB23">
        <v>999.90000000000032</v>
      </c>
      <c r="EC23">
        <v>0</v>
      </c>
      <c r="ED23">
        <v>0</v>
      </c>
      <c r="EE23">
        <v>9999.354838709678</v>
      </c>
      <c r="EF23">
        <v>0</v>
      </c>
      <c r="EG23">
        <v>868.06112903225812</v>
      </c>
      <c r="EH23">
        <v>-21.75518709677419</v>
      </c>
      <c r="EI23">
        <v>122.37974193548391</v>
      </c>
      <c r="EJ23">
        <v>143.9890967741936</v>
      </c>
      <c r="EK23">
        <v>4.7388958064516116</v>
      </c>
      <c r="EL23">
        <v>141.09625806451609</v>
      </c>
      <c r="EM23">
        <v>20.089877419354838</v>
      </c>
      <c r="EN23">
        <v>2.4210306451612911</v>
      </c>
      <c r="EO23">
        <v>1.9589454838709679</v>
      </c>
      <c r="EP23">
        <v>20.505129032258061</v>
      </c>
      <c r="EQ23">
        <v>17.116345161290319</v>
      </c>
      <c r="ER23">
        <v>599.99038709677416</v>
      </c>
      <c r="ES23">
        <v>0.98301848387096746</v>
      </c>
      <c r="ET23">
        <v>1.6981448387096781E-2</v>
      </c>
      <c r="EU23">
        <v>0</v>
      </c>
      <c r="EV23">
        <v>733.09016129032227</v>
      </c>
      <c r="EW23">
        <v>5.0010700000000003</v>
      </c>
      <c r="EX23">
        <v>9638.963548387097</v>
      </c>
      <c r="EY23">
        <v>5415.0619354838718</v>
      </c>
      <c r="EZ23">
        <v>38.676999999999992</v>
      </c>
      <c r="FA23">
        <v>41.965451612903209</v>
      </c>
      <c r="FB23">
        <v>40.34654838709676</v>
      </c>
      <c r="FC23">
        <v>41.75</v>
      </c>
      <c r="FD23">
        <v>40.747967741935483</v>
      </c>
      <c r="FE23">
        <v>584.88677419354849</v>
      </c>
      <c r="FF23">
        <v>10.1</v>
      </c>
      <c r="FG23">
        <v>0</v>
      </c>
      <c r="FH23">
        <v>208.5999999046326</v>
      </c>
      <c r="FI23">
        <v>0</v>
      </c>
      <c r="FJ23">
        <v>733.00776470588232</v>
      </c>
      <c r="FK23">
        <v>-2.7223039397208879</v>
      </c>
      <c r="FL23">
        <v>711.44852924208431</v>
      </c>
      <c r="FM23">
        <v>9625.4547058823537</v>
      </c>
      <c r="FN23">
        <v>10</v>
      </c>
      <c r="FO23">
        <v>1783696306.0999999</v>
      </c>
      <c r="FP23" t="s">
        <v>816</v>
      </c>
      <c r="FQ23">
        <v>1783695349.0999999</v>
      </c>
      <c r="FR23">
        <v>1783696306.0999999</v>
      </c>
      <c r="FS23">
        <v>7</v>
      </c>
      <c r="FT23">
        <v>-4.9000000000000002E-2</v>
      </c>
      <c r="FU23">
        <v>-6.0000000000000001E-3</v>
      </c>
      <c r="FV23">
        <v>-6.093</v>
      </c>
      <c r="FW23">
        <v>-0.46600000000000003</v>
      </c>
      <c r="FX23">
        <v>472</v>
      </c>
      <c r="FY23">
        <v>20</v>
      </c>
      <c r="FZ23">
        <v>0.12</v>
      </c>
      <c r="GA23">
        <v>0.05</v>
      </c>
      <c r="GB23">
        <v>119.5077741935484</v>
      </c>
      <c r="GC23">
        <v>-10.121419354838951</v>
      </c>
      <c r="GD23">
        <v>0.75559887419772243</v>
      </c>
      <c r="GE23">
        <v>-1</v>
      </c>
      <c r="GF23">
        <v>733.15770588235284</v>
      </c>
      <c r="GG23">
        <v>-1.4185179583031999</v>
      </c>
      <c r="GH23">
        <v>0.2434471230680349</v>
      </c>
      <c r="GI23">
        <v>1</v>
      </c>
      <c r="GJ23">
        <v>4.7380617073170734</v>
      </c>
      <c r="GK23">
        <v>2.139344947736339E-2</v>
      </c>
      <c r="GL23">
        <v>3.7121296907794122E-3</v>
      </c>
      <c r="GM23">
        <v>1</v>
      </c>
      <c r="GN23">
        <v>2</v>
      </c>
      <c r="GO23">
        <v>2</v>
      </c>
      <c r="GP23" t="s">
        <v>423</v>
      </c>
      <c r="GQ23">
        <v>3.13117</v>
      </c>
      <c r="GR23">
        <v>2.7181500000000001</v>
      </c>
      <c r="GS23">
        <v>3.1533600000000002E-2</v>
      </c>
      <c r="GT23">
        <v>3.5931499999999998E-2</v>
      </c>
      <c r="GU23">
        <v>0.115935</v>
      </c>
      <c r="GV23">
        <v>9.9168099999999995E-2</v>
      </c>
      <c r="GW23">
        <v>24365.1</v>
      </c>
      <c r="GX23">
        <v>32549.1</v>
      </c>
      <c r="GY23">
        <v>27282.7</v>
      </c>
      <c r="GZ23">
        <v>34706</v>
      </c>
      <c r="HA23">
        <v>35301</v>
      </c>
      <c r="HB23">
        <v>39609.699999999997</v>
      </c>
      <c r="HC23">
        <v>40275.699999999997</v>
      </c>
      <c r="HD23">
        <v>44060.800000000003</v>
      </c>
      <c r="HE23">
        <v>1.9192</v>
      </c>
      <c r="HF23">
        <v>1.7527999999999999</v>
      </c>
      <c r="HG23">
        <v>-5.2779899999999998E-2</v>
      </c>
      <c r="HH23">
        <v>0</v>
      </c>
      <c r="HI23">
        <v>28.453099999999999</v>
      </c>
      <c r="HJ23">
        <v>999.9</v>
      </c>
      <c r="HK23">
        <v>57.7</v>
      </c>
      <c r="HL23">
        <v>34.6</v>
      </c>
      <c r="HM23">
        <v>32.689599999999999</v>
      </c>
      <c r="HN23">
        <v>60.210099999999997</v>
      </c>
      <c r="HO23">
        <v>8.4855800000000006</v>
      </c>
      <c r="HP23">
        <v>1</v>
      </c>
      <c r="HQ23">
        <v>0.382683</v>
      </c>
      <c r="HR23">
        <v>2.7019600000000001</v>
      </c>
      <c r="HS23">
        <v>20.257200000000001</v>
      </c>
      <c r="HT23">
        <v>5.2112999999999996</v>
      </c>
      <c r="HU23">
        <v>11.908099999999999</v>
      </c>
      <c r="HV23">
        <v>4.9859999999999998</v>
      </c>
      <c r="HW23">
        <v>3.2707999999999999</v>
      </c>
      <c r="HX23">
        <v>9999</v>
      </c>
      <c r="HY23">
        <v>9999</v>
      </c>
      <c r="HZ23">
        <v>9999</v>
      </c>
      <c r="IA23">
        <v>999.9</v>
      </c>
      <c r="IB23">
        <v>1.8672200000000001</v>
      </c>
      <c r="IC23">
        <v>1.8627899999999999</v>
      </c>
      <c r="ID23">
        <v>1.8623099999999999</v>
      </c>
      <c r="IE23">
        <v>1.86172</v>
      </c>
      <c r="IF23">
        <v>1.86172</v>
      </c>
      <c r="IG23">
        <v>1.86249</v>
      </c>
      <c r="IH23">
        <v>1.86328</v>
      </c>
      <c r="II23">
        <v>1.86127</v>
      </c>
      <c r="IJ23">
        <v>0</v>
      </c>
      <c r="IK23">
        <v>0</v>
      </c>
      <c r="IL23">
        <v>0</v>
      </c>
      <c r="IM23">
        <v>4.5</v>
      </c>
      <c r="IN23" t="s">
        <v>411</v>
      </c>
      <c r="IO23" t="s">
        <v>412</v>
      </c>
      <c r="IP23" t="s">
        <v>413</v>
      </c>
      <c r="IQ23" t="s">
        <v>414</v>
      </c>
      <c r="IR23" t="s">
        <v>414</v>
      </c>
      <c r="IS23" t="s">
        <v>413</v>
      </c>
      <c r="IT23">
        <v>0</v>
      </c>
      <c r="IU23">
        <v>100</v>
      </c>
      <c r="IV23">
        <v>100</v>
      </c>
      <c r="IW23">
        <v>-4.5670000000000002</v>
      </c>
      <c r="IX23">
        <v>-0.46600000000000003</v>
      </c>
      <c r="IY23">
        <v>-3.9139469034091969</v>
      </c>
      <c r="IZ23">
        <v>-5.6215304933332991E-3</v>
      </c>
      <c r="JA23">
        <v>2.3979931213773931E-6</v>
      </c>
      <c r="JB23">
        <v>-3.6297174575716598E-10</v>
      </c>
      <c r="JC23">
        <v>-0.7608470585778857</v>
      </c>
      <c r="JD23">
        <v>2.7492919904454862E-4</v>
      </c>
      <c r="JE23">
        <v>8.6739513355948885E-4</v>
      </c>
      <c r="JF23">
        <v>-8.2500691715147318E-6</v>
      </c>
      <c r="JG23">
        <v>17</v>
      </c>
      <c r="JH23">
        <v>1914</v>
      </c>
      <c r="JI23">
        <v>2</v>
      </c>
      <c r="JJ23">
        <v>37</v>
      </c>
      <c r="JK23">
        <v>15.4</v>
      </c>
      <c r="JL23">
        <v>3</v>
      </c>
      <c r="JM23">
        <v>0.46752899999999997</v>
      </c>
      <c r="JN23">
        <v>0</v>
      </c>
      <c r="JO23">
        <v>1.50024</v>
      </c>
      <c r="JP23">
        <v>2.2766099999999998</v>
      </c>
      <c r="JQ23">
        <v>1.4477500000000001</v>
      </c>
      <c r="JR23">
        <v>2.3120099999999999</v>
      </c>
      <c r="JS23">
        <v>39.341799999999999</v>
      </c>
      <c r="JT23">
        <v>15.751899999999999</v>
      </c>
      <c r="JU23">
        <v>18</v>
      </c>
      <c r="JV23">
        <v>498.38799999999998</v>
      </c>
      <c r="JW23">
        <v>406.99200000000002</v>
      </c>
      <c r="JX23">
        <v>25.0503</v>
      </c>
      <c r="JY23">
        <v>32.091900000000003</v>
      </c>
      <c r="JZ23">
        <v>30.0002</v>
      </c>
      <c r="KA23">
        <v>32.069200000000002</v>
      </c>
      <c r="KB23">
        <v>32.051099999999998</v>
      </c>
      <c r="KC23">
        <v>100</v>
      </c>
      <c r="KD23">
        <v>44.253300000000003</v>
      </c>
      <c r="KE23">
        <v>0</v>
      </c>
      <c r="KF23">
        <v>25.05</v>
      </c>
      <c r="KG23">
        <v>693.42100000000005</v>
      </c>
      <c r="KH23">
        <v>20.009799999999998</v>
      </c>
      <c r="KI23">
        <v>100.672</v>
      </c>
      <c r="KJ23">
        <v>99.105500000000006</v>
      </c>
    </row>
    <row r="24" spans="1:296" x14ac:dyDescent="0.3">
      <c r="A24">
        <v>8</v>
      </c>
      <c r="B24">
        <v>1783696487.0999999</v>
      </c>
      <c r="C24">
        <v>1402.099999904633</v>
      </c>
      <c r="D24" t="s">
        <v>817</v>
      </c>
      <c r="E24" t="s">
        <v>818</v>
      </c>
      <c r="F24">
        <v>15</v>
      </c>
      <c r="H24">
        <v>1783696479.099999</v>
      </c>
      <c r="I24">
        <f t="shared" si="0"/>
        <v>3.9853628841327619E-3</v>
      </c>
      <c r="J24">
        <f t="shared" si="1"/>
        <v>3.985362884132762</v>
      </c>
      <c r="K24">
        <f t="shared" si="2"/>
        <v>13.629237844695771</v>
      </c>
      <c r="L24">
        <f t="shared" si="3"/>
        <v>88.470867741935464</v>
      </c>
      <c r="M24">
        <f t="shared" si="4"/>
        <v>12.939316493407624</v>
      </c>
      <c r="N24">
        <f t="shared" si="5"/>
        <v>1.2622710697978117</v>
      </c>
      <c r="O24">
        <f t="shared" si="6"/>
        <v>8.6306117427029339</v>
      </c>
      <c r="P24">
        <f t="shared" si="7"/>
        <v>0.30779858842716024</v>
      </c>
      <c r="Q24">
        <f t="shared" si="8"/>
        <v>2.8859184894047192</v>
      </c>
      <c r="R24">
        <f t="shared" si="9"/>
        <v>0.29065439710351626</v>
      </c>
      <c r="S24">
        <f t="shared" si="10"/>
        <v>0.18311971365910024</v>
      </c>
      <c r="T24">
        <f t="shared" si="11"/>
        <v>64.412317847472053</v>
      </c>
      <c r="U24">
        <f t="shared" si="12"/>
        <v>26.909587540623995</v>
      </c>
      <c r="V24">
        <f t="shared" si="13"/>
        <v>27.565858064516132</v>
      </c>
      <c r="W24">
        <f t="shared" si="14"/>
        <v>3.6998499465861556</v>
      </c>
      <c r="X24">
        <f t="shared" si="15"/>
        <v>64.94240058628877</v>
      </c>
      <c r="Y24">
        <f t="shared" si="16"/>
        <v>2.4040790344963949</v>
      </c>
      <c r="Z24">
        <f t="shared" si="17"/>
        <v>3.7018635171979857</v>
      </c>
      <c r="AA24">
        <f t="shared" si="18"/>
        <v>1.2957709120897607</v>
      </c>
      <c r="AB24">
        <f t="shared" si="19"/>
        <v>-175.75450319025481</v>
      </c>
      <c r="AC24">
        <f t="shared" si="20"/>
        <v>1.44744831884201</v>
      </c>
      <c r="AD24">
        <f t="shared" si="21"/>
        <v>0.10886024734747317</v>
      </c>
      <c r="AE24">
        <f t="shared" si="22"/>
        <v>-109.78587677659327</v>
      </c>
      <c r="AF24">
        <f t="shared" si="23"/>
        <v>13.629237844695771</v>
      </c>
      <c r="AG24">
        <f t="shared" si="24"/>
        <v>3.985362884132762</v>
      </c>
      <c r="AH24">
        <f t="shared" si="25"/>
        <v>14.20576935036812</v>
      </c>
      <c r="AI24">
        <v>106.5488767540557</v>
      </c>
      <c r="AJ24">
        <v>89.778894545454548</v>
      </c>
      <c r="AK24">
        <v>-0.11909564670013791</v>
      </c>
      <c r="AL24">
        <v>67.059767372976495</v>
      </c>
      <c r="AM24">
        <f t="shared" si="26"/>
        <v>4.0970984376299278</v>
      </c>
      <c r="AN24">
        <v>19.984779696363649</v>
      </c>
      <c r="AO24">
        <v>24.778721212121201</v>
      </c>
      <c r="AP24">
        <v>5.2196869796924027E-5</v>
      </c>
      <c r="AQ24">
        <v>78.55</v>
      </c>
      <c r="AR24">
        <v>11</v>
      </c>
      <c r="AS24">
        <v>2</v>
      </c>
      <c r="AT24">
        <f t="shared" si="27"/>
        <v>1</v>
      </c>
      <c r="AU24">
        <f t="shared" si="28"/>
        <v>0</v>
      </c>
      <c r="AV24">
        <f t="shared" si="29"/>
        <v>51473.802130460528</v>
      </c>
      <c r="AW24" t="s">
        <v>790</v>
      </c>
      <c r="AX24">
        <v>5089.3599999999997</v>
      </c>
      <c r="AY24">
        <v>541.23823529411766</v>
      </c>
      <c r="AZ24">
        <v>2342.2399999999998</v>
      </c>
      <c r="BA24">
        <f t="shared" si="30"/>
        <v>0.76892281094417414</v>
      </c>
      <c r="BB24">
        <v>-5.4766429144180178</v>
      </c>
      <c r="BC24" t="s">
        <v>819</v>
      </c>
      <c r="BD24">
        <v>5088.22</v>
      </c>
      <c r="BE24">
        <v>727.82511764705885</v>
      </c>
      <c r="BF24">
        <v>1279.79</v>
      </c>
      <c r="BG24">
        <f t="shared" si="31"/>
        <v>0.43129332339910542</v>
      </c>
      <c r="BH24">
        <v>0.5</v>
      </c>
      <c r="BI24">
        <f t="shared" si="32"/>
        <v>336.30328020845116</v>
      </c>
      <c r="BJ24">
        <f t="shared" si="33"/>
        <v>13.629237844695771</v>
      </c>
      <c r="BK24">
        <f t="shared" si="34"/>
        <v>72.522679695561749</v>
      </c>
      <c r="BL24">
        <f t="shared" si="35"/>
        <v>5.6811461212246797E-2</v>
      </c>
      <c r="BM24">
        <f t="shared" si="36"/>
        <v>0.83017526312910705</v>
      </c>
      <c r="BN24">
        <f t="shared" si="37"/>
        <v>454.12194832313673</v>
      </c>
      <c r="BO24" t="s">
        <v>407</v>
      </c>
      <c r="BP24">
        <v>0</v>
      </c>
      <c r="BQ24">
        <f t="shared" si="38"/>
        <v>454.12194832313673</v>
      </c>
      <c r="BR24">
        <f t="shared" si="39"/>
        <v>0.64515901177291846</v>
      </c>
      <c r="BS24">
        <f t="shared" si="40"/>
        <v>0.66850701226957532</v>
      </c>
      <c r="BT24">
        <f t="shared" si="41"/>
        <v>0.56270316310806079</v>
      </c>
      <c r="BU24">
        <f t="shared" si="42"/>
        <v>0.74736113124413595</v>
      </c>
      <c r="BV24">
        <f t="shared" si="43"/>
        <v>0.58992168737464079</v>
      </c>
      <c r="BW24">
        <f t="shared" si="44"/>
        <v>0.41711078598245654</v>
      </c>
      <c r="BX24">
        <f t="shared" si="45"/>
        <v>0.58288921401754346</v>
      </c>
      <c r="DG24">
        <f t="shared" si="46"/>
        <v>400.00890322580648</v>
      </c>
      <c r="DH24">
        <f t="shared" si="47"/>
        <v>336.30328020845116</v>
      </c>
      <c r="DI24">
        <f t="shared" si="48"/>
        <v>0.84073948728737857</v>
      </c>
      <c r="DJ24">
        <f t="shared" si="49"/>
        <v>0.16102721046464075</v>
      </c>
      <c r="DK24">
        <v>6</v>
      </c>
      <c r="DL24">
        <v>0.5</v>
      </c>
      <c r="DM24" t="s">
        <v>408</v>
      </c>
      <c r="DN24">
        <v>2</v>
      </c>
      <c r="DO24" t="b">
        <v>0</v>
      </c>
      <c r="DP24">
        <v>1783696479.099999</v>
      </c>
      <c r="DQ24">
        <v>88.470867741935464</v>
      </c>
      <c r="DR24">
        <v>105.2475483870967</v>
      </c>
      <c r="DS24">
        <v>24.643787096774201</v>
      </c>
      <c r="DT24">
        <v>19.97962903225806</v>
      </c>
      <c r="DU24">
        <v>92.886577419354865</v>
      </c>
      <c r="DV24">
        <v>25.1197870967742</v>
      </c>
      <c r="DW24">
        <v>500.04503225806451</v>
      </c>
      <c r="DX24">
        <v>97.511496774193532</v>
      </c>
      <c r="DY24">
        <v>4.1652222580645173E-2</v>
      </c>
      <c r="DZ24">
        <v>27.57516129032259</v>
      </c>
      <c r="EA24">
        <v>27.565858064516132</v>
      </c>
      <c r="EB24">
        <v>999.90000000000032</v>
      </c>
      <c r="EC24">
        <v>0</v>
      </c>
      <c r="ED24">
        <v>0</v>
      </c>
      <c r="EE24">
        <v>10002.258064516131</v>
      </c>
      <c r="EF24">
        <v>0</v>
      </c>
      <c r="EG24">
        <v>896.62038709677381</v>
      </c>
      <c r="EH24">
        <v>-16.776751612903229</v>
      </c>
      <c r="EI24">
        <v>90.718548387096789</v>
      </c>
      <c r="EJ24">
        <v>107.3932903225807</v>
      </c>
      <c r="EK24">
        <v>4.7967361290322579</v>
      </c>
      <c r="EL24">
        <v>105.2475483870967</v>
      </c>
      <c r="EM24">
        <v>19.97962903225806</v>
      </c>
      <c r="EN24">
        <v>2.415978709677419</v>
      </c>
      <c r="EO24">
        <v>1.948243548387097</v>
      </c>
      <c r="EP24">
        <v>20.471283870967749</v>
      </c>
      <c r="EQ24">
        <v>17.029851612903229</v>
      </c>
      <c r="ER24">
        <v>400.00890322580648</v>
      </c>
      <c r="ES24">
        <v>0.97503225806451632</v>
      </c>
      <c r="ET24">
        <v>2.4967338709677409E-2</v>
      </c>
      <c r="EU24">
        <v>0</v>
      </c>
      <c r="EV24">
        <v>728.03590322580635</v>
      </c>
      <c r="EW24">
        <v>5.0010700000000003</v>
      </c>
      <c r="EX24">
        <v>7928.1893548387106</v>
      </c>
      <c r="EY24">
        <v>3583.8012903225799</v>
      </c>
      <c r="EZ24">
        <v>38.303999999999988</v>
      </c>
      <c r="FA24">
        <v>41.936999999999983</v>
      </c>
      <c r="FB24">
        <v>40.125</v>
      </c>
      <c r="FC24">
        <v>41.75</v>
      </c>
      <c r="FD24">
        <v>40.449193548387079</v>
      </c>
      <c r="FE24">
        <v>385.14580645161288</v>
      </c>
      <c r="FF24">
        <v>9.860000000000003</v>
      </c>
      <c r="FG24">
        <v>0</v>
      </c>
      <c r="FH24">
        <v>210.4000000953674</v>
      </c>
      <c r="FI24">
        <v>0</v>
      </c>
      <c r="FJ24">
        <v>727.82511764705885</v>
      </c>
      <c r="FK24">
        <v>-6.3196077897335456</v>
      </c>
      <c r="FL24">
        <v>-7.360294277048351</v>
      </c>
      <c r="FM24">
        <v>7928.7176470588229</v>
      </c>
      <c r="FN24">
        <v>10</v>
      </c>
      <c r="FO24">
        <v>1783696515.0999999</v>
      </c>
      <c r="FP24" t="s">
        <v>820</v>
      </c>
      <c r="FQ24">
        <v>1783695349.0999999</v>
      </c>
      <c r="FR24">
        <v>1783696515.0999999</v>
      </c>
      <c r="FS24">
        <v>8</v>
      </c>
      <c r="FT24">
        <v>-4.9000000000000002E-2</v>
      </c>
      <c r="FU24">
        <v>-8.0000000000000002E-3</v>
      </c>
      <c r="FV24">
        <v>-6.093</v>
      </c>
      <c r="FW24">
        <v>-0.47599999999999998</v>
      </c>
      <c r="FX24">
        <v>472</v>
      </c>
      <c r="FY24">
        <v>20</v>
      </c>
      <c r="FZ24">
        <v>0.12</v>
      </c>
      <c r="GA24">
        <v>7.0000000000000007E-2</v>
      </c>
      <c r="GB24">
        <v>88.50118999999998</v>
      </c>
      <c r="GC24">
        <v>-7.5257833147942703</v>
      </c>
      <c r="GD24">
        <v>0.54412360688235795</v>
      </c>
      <c r="GE24">
        <v>-1</v>
      </c>
      <c r="GF24">
        <v>728.28658823529406</v>
      </c>
      <c r="GG24">
        <v>-4.1455156524241881</v>
      </c>
      <c r="GH24">
        <v>0.47151078321192552</v>
      </c>
      <c r="GI24">
        <v>1</v>
      </c>
      <c r="GJ24">
        <v>4.7988102499999998</v>
      </c>
      <c r="GK24">
        <v>-5.0320187617269058E-2</v>
      </c>
      <c r="GL24">
        <v>5.80262203124583E-3</v>
      </c>
      <c r="GM24">
        <v>1</v>
      </c>
      <c r="GN24">
        <v>2</v>
      </c>
      <c r="GO24">
        <v>2</v>
      </c>
      <c r="GP24" t="s">
        <v>423</v>
      </c>
      <c r="GQ24">
        <v>3.1301899999999998</v>
      </c>
      <c r="GR24">
        <v>2.7180900000000001</v>
      </c>
      <c r="GS24">
        <v>2.3951400000000001E-2</v>
      </c>
      <c r="GT24">
        <v>2.7257699999999999E-2</v>
      </c>
      <c r="GU24">
        <v>0.115727</v>
      </c>
      <c r="GV24">
        <v>9.8733799999999997E-2</v>
      </c>
      <c r="GW24">
        <v>24547.3</v>
      </c>
      <c r="GX24">
        <v>32833.4</v>
      </c>
      <c r="GY24">
        <v>27274.3</v>
      </c>
      <c r="GZ24">
        <v>34698.6</v>
      </c>
      <c r="HA24">
        <v>35299.9</v>
      </c>
      <c r="HB24">
        <v>39621.699999999997</v>
      </c>
      <c r="HC24">
        <v>40264.5</v>
      </c>
      <c r="HD24">
        <v>44053.4</v>
      </c>
      <c r="HE24">
        <v>1.9196</v>
      </c>
      <c r="HF24">
        <v>1.7484</v>
      </c>
      <c r="HG24">
        <v>-6.7025399999999999E-2</v>
      </c>
      <c r="HH24">
        <v>0</v>
      </c>
      <c r="HI24">
        <v>28.648599999999998</v>
      </c>
      <c r="HJ24">
        <v>999.9</v>
      </c>
      <c r="HK24">
        <v>57.3</v>
      </c>
      <c r="HL24">
        <v>34.9</v>
      </c>
      <c r="HM24">
        <v>33.007300000000001</v>
      </c>
      <c r="HN24">
        <v>60.4101</v>
      </c>
      <c r="HO24">
        <v>8.7379800000000003</v>
      </c>
      <c r="HP24">
        <v>1</v>
      </c>
      <c r="HQ24">
        <v>0.40142299999999997</v>
      </c>
      <c r="HR24">
        <v>2.8185799999999999</v>
      </c>
      <c r="HS24">
        <v>20.256399999999999</v>
      </c>
      <c r="HT24">
        <v>5.2100999999999997</v>
      </c>
      <c r="HU24">
        <v>11.908099999999999</v>
      </c>
      <c r="HV24">
        <v>4.9855999999999998</v>
      </c>
      <c r="HW24">
        <v>3.2709999999999999</v>
      </c>
      <c r="HX24">
        <v>9999</v>
      </c>
      <c r="HY24">
        <v>9999</v>
      </c>
      <c r="HZ24">
        <v>9999</v>
      </c>
      <c r="IA24">
        <v>999.9</v>
      </c>
      <c r="IB24">
        <v>1.8672200000000001</v>
      </c>
      <c r="IC24">
        <v>1.8627899999999999</v>
      </c>
      <c r="ID24">
        <v>1.8623099999999999</v>
      </c>
      <c r="IE24">
        <v>1.86172</v>
      </c>
      <c r="IF24">
        <v>1.86175</v>
      </c>
      <c r="IG24">
        <v>1.86249</v>
      </c>
      <c r="IH24">
        <v>1.8633999999999999</v>
      </c>
      <c r="II24">
        <v>1.8613299999999999</v>
      </c>
      <c r="IJ24">
        <v>0</v>
      </c>
      <c r="IK24">
        <v>0</v>
      </c>
      <c r="IL24">
        <v>0</v>
      </c>
      <c r="IM24">
        <v>4.5</v>
      </c>
      <c r="IN24" t="s">
        <v>411</v>
      </c>
      <c r="IO24" t="s">
        <v>412</v>
      </c>
      <c r="IP24" t="s">
        <v>413</v>
      </c>
      <c r="IQ24" t="s">
        <v>414</v>
      </c>
      <c r="IR24" t="s">
        <v>414</v>
      </c>
      <c r="IS24" t="s">
        <v>413</v>
      </c>
      <c r="IT24">
        <v>0</v>
      </c>
      <c r="IU24">
        <v>100</v>
      </c>
      <c r="IV24">
        <v>100</v>
      </c>
      <c r="IW24">
        <v>-4.41</v>
      </c>
      <c r="IX24">
        <v>-0.47599999999999998</v>
      </c>
      <c r="IY24">
        <v>-3.9139469034091969</v>
      </c>
      <c r="IZ24">
        <v>-5.6215304933332991E-3</v>
      </c>
      <c r="JA24">
        <v>2.3979931213773931E-6</v>
      </c>
      <c r="JB24">
        <v>-3.6297174575716598E-10</v>
      </c>
      <c r="JC24">
        <v>-0.76688717362427816</v>
      </c>
      <c r="JD24">
        <v>2.7492919904454862E-4</v>
      </c>
      <c r="JE24">
        <v>8.6739513355948885E-4</v>
      </c>
      <c r="JF24">
        <v>-8.2500691715147318E-6</v>
      </c>
      <c r="JG24">
        <v>17</v>
      </c>
      <c r="JH24">
        <v>1914</v>
      </c>
      <c r="JI24">
        <v>2</v>
      </c>
      <c r="JJ24">
        <v>37</v>
      </c>
      <c r="JK24">
        <v>19</v>
      </c>
      <c r="JL24">
        <v>3</v>
      </c>
      <c r="JM24">
        <v>0.386963</v>
      </c>
      <c r="JN24">
        <v>0</v>
      </c>
      <c r="JO24">
        <v>1.50024</v>
      </c>
      <c r="JP24">
        <v>2.2766099999999998</v>
      </c>
      <c r="JQ24">
        <v>1.4477500000000001</v>
      </c>
      <c r="JR24">
        <v>2.4047900000000002</v>
      </c>
      <c r="JS24">
        <v>39.566600000000001</v>
      </c>
      <c r="JT24">
        <v>15.7256</v>
      </c>
      <c r="JU24">
        <v>18</v>
      </c>
      <c r="JV24">
        <v>500.29700000000003</v>
      </c>
      <c r="JW24">
        <v>405.85500000000002</v>
      </c>
      <c r="JX24">
        <v>25.048999999999999</v>
      </c>
      <c r="JY24">
        <v>32.311999999999998</v>
      </c>
      <c r="JZ24">
        <v>30.000900000000001</v>
      </c>
      <c r="KA24">
        <v>32.284199999999998</v>
      </c>
      <c r="KB24">
        <v>32.272100000000002</v>
      </c>
      <c r="KC24">
        <v>100</v>
      </c>
      <c r="KD24">
        <v>44.6203</v>
      </c>
      <c r="KE24">
        <v>0</v>
      </c>
      <c r="KF24">
        <v>25.05</v>
      </c>
      <c r="KG24">
        <v>693.42100000000005</v>
      </c>
      <c r="KH24">
        <v>19.927600000000002</v>
      </c>
      <c r="KI24">
        <v>100.643</v>
      </c>
      <c r="KJ24">
        <v>99.086799999999997</v>
      </c>
    </row>
    <row r="25" spans="1:296" x14ac:dyDescent="0.3">
      <c r="A25">
        <v>9</v>
      </c>
      <c r="B25">
        <v>1783698388</v>
      </c>
      <c r="C25">
        <v>3303</v>
      </c>
      <c r="D25" t="s">
        <v>821</v>
      </c>
      <c r="E25" t="s">
        <v>822</v>
      </c>
      <c r="F25">
        <v>15</v>
      </c>
      <c r="H25">
        <v>1783698380</v>
      </c>
      <c r="I25">
        <f t="shared" si="0"/>
        <v>9.7902563453671496E-4</v>
      </c>
      <c r="J25">
        <f t="shared" si="1"/>
        <v>0.97902563453671498</v>
      </c>
      <c r="K25">
        <f t="shared" si="2"/>
        <v>16.337126090436772</v>
      </c>
      <c r="L25">
        <f t="shared" si="3"/>
        <v>420.39561290322592</v>
      </c>
      <c r="M25">
        <f t="shared" si="4"/>
        <v>60.374523724603776</v>
      </c>
      <c r="N25">
        <f t="shared" si="5"/>
        <v>5.8900435562929676</v>
      </c>
      <c r="O25">
        <f t="shared" si="6"/>
        <v>41.013134648802215</v>
      </c>
      <c r="P25">
        <f t="shared" si="7"/>
        <v>7.4555271026707476E-2</v>
      </c>
      <c r="Q25">
        <f t="shared" si="8"/>
        <v>2.8861185497281294</v>
      </c>
      <c r="R25">
        <f t="shared" si="9"/>
        <v>7.3501623438214078E-2</v>
      </c>
      <c r="S25">
        <f t="shared" si="10"/>
        <v>4.6031940162965371E-2</v>
      </c>
      <c r="T25">
        <f t="shared" si="11"/>
        <v>48.446733710200959</v>
      </c>
      <c r="U25">
        <f t="shared" si="12"/>
        <v>27.438279016669018</v>
      </c>
      <c r="V25">
        <f t="shared" si="13"/>
        <v>27.323806451612899</v>
      </c>
      <c r="W25">
        <f t="shared" si="14"/>
        <v>3.6477956426552995</v>
      </c>
      <c r="X25">
        <f t="shared" si="15"/>
        <v>65.161600200340317</v>
      </c>
      <c r="Y25">
        <f t="shared" si="16"/>
        <v>2.388539958577609</v>
      </c>
      <c r="Z25">
        <f t="shared" si="17"/>
        <v>3.6655636927791937</v>
      </c>
      <c r="AA25">
        <f t="shared" si="18"/>
        <v>1.2592556840776905</v>
      </c>
      <c r="AB25">
        <f t="shared" si="19"/>
        <v>-43.175030483069129</v>
      </c>
      <c r="AC25">
        <f t="shared" si="20"/>
        <v>12.907978118698486</v>
      </c>
      <c r="AD25">
        <f t="shared" si="21"/>
        <v>0.96873386998647848</v>
      </c>
      <c r="AE25">
        <f t="shared" si="22"/>
        <v>19.148415215816797</v>
      </c>
      <c r="AF25">
        <f t="shared" si="23"/>
        <v>16.337126090436772</v>
      </c>
      <c r="AG25">
        <f t="shared" si="24"/>
        <v>0.97902563453671498</v>
      </c>
      <c r="AH25">
        <f t="shared" si="25"/>
        <v>16.158347613851085</v>
      </c>
      <c r="AI25">
        <v>450.82998230093477</v>
      </c>
      <c r="AJ25">
        <v>430.95818181818203</v>
      </c>
      <c r="AK25">
        <v>3.8256215441765701E-3</v>
      </c>
      <c r="AL25">
        <v>67.044805351526847</v>
      </c>
      <c r="AM25">
        <f t="shared" si="26"/>
        <v>0.98880718019650538</v>
      </c>
      <c r="AN25">
        <v>23.331256434025988</v>
      </c>
      <c r="AO25">
        <v>24.48834909090909</v>
      </c>
      <c r="AP25">
        <v>5.3538114060385358E-5</v>
      </c>
      <c r="AQ25">
        <v>78.55</v>
      </c>
      <c r="AR25">
        <v>0</v>
      </c>
      <c r="AS25">
        <v>0</v>
      </c>
      <c r="AT25">
        <f t="shared" si="27"/>
        <v>1</v>
      </c>
      <c r="AU25">
        <f t="shared" si="28"/>
        <v>0</v>
      </c>
      <c r="AV25">
        <f t="shared" si="29"/>
        <v>51508.409279195323</v>
      </c>
      <c r="AW25" t="s">
        <v>790</v>
      </c>
      <c r="AX25">
        <v>5089.3599999999997</v>
      </c>
      <c r="AY25">
        <v>541.23823529411766</v>
      </c>
      <c r="AZ25">
        <v>2342.2399999999998</v>
      </c>
      <c r="BA25">
        <f t="shared" si="30"/>
        <v>0.76892281094417414</v>
      </c>
      <c r="BB25">
        <v>-5.4766429144180178</v>
      </c>
      <c r="BC25" t="s">
        <v>823</v>
      </c>
      <c r="BD25">
        <v>5092.6400000000003</v>
      </c>
      <c r="BE25">
        <v>743.4077647058823</v>
      </c>
      <c r="BF25">
        <v>1855.36</v>
      </c>
      <c r="BG25">
        <f t="shared" si="31"/>
        <v>0.59931885741533586</v>
      </c>
      <c r="BH25">
        <v>0.5</v>
      </c>
      <c r="BI25">
        <f t="shared" si="32"/>
        <v>252.31069600227687</v>
      </c>
      <c r="BJ25">
        <f t="shared" si="33"/>
        <v>16.337126090436772</v>
      </c>
      <c r="BK25">
        <f t="shared" si="34"/>
        <v>75.607279020876362</v>
      </c>
      <c r="BL25">
        <f t="shared" si="35"/>
        <v>8.6455982051026253E-2</v>
      </c>
      <c r="BM25">
        <f t="shared" si="36"/>
        <v>0.2624180751983442</v>
      </c>
      <c r="BN25">
        <f t="shared" si="37"/>
        <v>510.29456907106834</v>
      </c>
      <c r="BO25" t="s">
        <v>407</v>
      </c>
      <c r="BP25">
        <v>0</v>
      </c>
      <c r="BQ25">
        <f t="shared" si="38"/>
        <v>510.29456907106834</v>
      </c>
      <c r="BR25">
        <f t="shared" si="39"/>
        <v>0.72496196475559005</v>
      </c>
      <c r="BS25">
        <f t="shared" si="40"/>
        <v>0.82669007003338046</v>
      </c>
      <c r="BT25">
        <f t="shared" si="41"/>
        <v>0.26577210859011002</v>
      </c>
      <c r="BU25">
        <f t="shared" si="42"/>
        <v>0.84615616692338036</v>
      </c>
      <c r="BV25">
        <f t="shared" si="43"/>
        <v>0.27033843583130041</v>
      </c>
      <c r="BW25">
        <f t="shared" si="44"/>
        <v>0.56746172567879449</v>
      </c>
      <c r="BX25">
        <f t="shared" si="45"/>
        <v>0.43253827432120551</v>
      </c>
      <c r="DG25">
        <f t="shared" si="46"/>
        <v>300.02251612903223</v>
      </c>
      <c r="DH25">
        <f t="shared" si="47"/>
        <v>252.31069600227687</v>
      </c>
      <c r="DI25">
        <f t="shared" si="48"/>
        <v>0.84097253518720683</v>
      </c>
      <c r="DJ25">
        <f t="shared" si="49"/>
        <v>0.16147699291130943</v>
      </c>
      <c r="DK25">
        <v>6</v>
      </c>
      <c r="DL25">
        <v>0.5</v>
      </c>
      <c r="DM25" t="s">
        <v>408</v>
      </c>
      <c r="DN25">
        <v>2</v>
      </c>
      <c r="DO25" t="b">
        <v>0</v>
      </c>
      <c r="DP25">
        <v>1783698380</v>
      </c>
      <c r="DQ25">
        <v>420.39561290322592</v>
      </c>
      <c r="DR25">
        <v>440.49248387096782</v>
      </c>
      <c r="DS25">
        <v>24.48317419354839</v>
      </c>
      <c r="DT25">
        <v>23.337196774193551</v>
      </c>
      <c r="DU25">
        <v>426.3224193548387</v>
      </c>
      <c r="DV25">
        <v>24.906370967741939</v>
      </c>
      <c r="DW25">
        <v>500.03916129032262</v>
      </c>
      <c r="DX25">
        <v>97.514848387096762</v>
      </c>
      <c r="DY25">
        <v>4.357846129032257E-2</v>
      </c>
      <c r="DZ25">
        <v>27.406764516129041</v>
      </c>
      <c r="EA25">
        <v>27.323806451612899</v>
      </c>
      <c r="EB25">
        <v>999.90000000000032</v>
      </c>
      <c r="EC25">
        <v>0</v>
      </c>
      <c r="ED25">
        <v>0</v>
      </c>
      <c r="EE25">
        <v>10003.06451612903</v>
      </c>
      <c r="EF25">
        <v>0</v>
      </c>
      <c r="EG25">
        <v>641.97061290322586</v>
      </c>
      <c r="EH25">
        <v>-20.096841935483869</v>
      </c>
      <c r="EI25">
        <v>430.94661290322568</v>
      </c>
      <c r="EJ25">
        <v>451.01799999999997</v>
      </c>
      <c r="EK25">
        <v>1.145981935483871</v>
      </c>
      <c r="EL25">
        <v>440.49248387096782</v>
      </c>
      <c r="EM25">
        <v>23.337196774193551</v>
      </c>
      <c r="EN25">
        <v>2.387473548387097</v>
      </c>
      <c r="EO25">
        <v>2.2757225806451609</v>
      </c>
      <c r="EP25">
        <v>20.279064516129029</v>
      </c>
      <c r="EQ25">
        <v>19.505580645161292</v>
      </c>
      <c r="ER25">
        <v>300.02251612903223</v>
      </c>
      <c r="ES25">
        <v>0.96703135483870983</v>
      </c>
      <c r="ET25">
        <v>3.2968587096774193E-2</v>
      </c>
      <c r="EU25">
        <v>0</v>
      </c>
      <c r="EV25">
        <v>743.50800000000004</v>
      </c>
      <c r="EW25">
        <v>5.0010700000000003</v>
      </c>
      <c r="EX25">
        <v>4899.8580645161292</v>
      </c>
      <c r="EY25">
        <v>2668.262903225806</v>
      </c>
      <c r="EZ25">
        <v>37.798032258064516</v>
      </c>
      <c r="FA25">
        <v>41.346548387096753</v>
      </c>
      <c r="FB25">
        <v>39.75</v>
      </c>
      <c r="FC25">
        <v>41.120935483870959</v>
      </c>
      <c r="FD25">
        <v>39.995935483870959</v>
      </c>
      <c r="FE25">
        <v>285.2967741935484</v>
      </c>
      <c r="FF25">
        <v>9.7261290322580702</v>
      </c>
      <c r="FG25">
        <v>0</v>
      </c>
      <c r="FH25">
        <v>1900.599999904633</v>
      </c>
      <c r="FI25">
        <v>0</v>
      </c>
      <c r="FJ25">
        <v>743.4077647058823</v>
      </c>
      <c r="FK25">
        <v>-1.440441180001222</v>
      </c>
      <c r="FL25">
        <v>127.78186283722749</v>
      </c>
      <c r="FM25">
        <v>4922.0317647058819</v>
      </c>
      <c r="FN25">
        <v>10</v>
      </c>
      <c r="FO25">
        <v>1783698317.5</v>
      </c>
      <c r="FP25" t="s">
        <v>824</v>
      </c>
      <c r="FQ25">
        <v>1783698314.5</v>
      </c>
      <c r="FR25">
        <v>1783698317.5</v>
      </c>
      <c r="FS25">
        <v>9</v>
      </c>
      <c r="FT25">
        <v>-2.4E-2</v>
      </c>
      <c r="FU25">
        <v>-6.6000000000000003E-2</v>
      </c>
      <c r="FV25">
        <v>-6</v>
      </c>
      <c r="FW25">
        <v>-0.46</v>
      </c>
      <c r="FX25">
        <v>439</v>
      </c>
      <c r="FY25">
        <v>23</v>
      </c>
      <c r="FZ25">
        <v>0.32</v>
      </c>
      <c r="GA25">
        <v>0.17</v>
      </c>
      <c r="GB25">
        <v>420.39566666666673</v>
      </c>
      <c r="GC25">
        <v>-5.0562847608425172E-2</v>
      </c>
      <c r="GD25">
        <v>5.4867922221348349E-2</v>
      </c>
      <c r="GE25">
        <v>-1</v>
      </c>
      <c r="GF25">
        <v>743.62955882352935</v>
      </c>
      <c r="GG25">
        <v>-2.4845072505818551</v>
      </c>
      <c r="GH25">
        <v>0.34261599076521448</v>
      </c>
      <c r="GI25">
        <v>1</v>
      </c>
      <c r="GJ25">
        <v>1.1387020000000001</v>
      </c>
      <c r="GK25">
        <v>0.1608774484052517</v>
      </c>
      <c r="GL25">
        <v>1.6265487112287778E-2</v>
      </c>
      <c r="GM25">
        <v>1</v>
      </c>
      <c r="GN25">
        <v>2</v>
      </c>
      <c r="GO25">
        <v>2</v>
      </c>
      <c r="GP25" t="s">
        <v>423</v>
      </c>
      <c r="GQ25">
        <v>3.1309399999999998</v>
      </c>
      <c r="GR25">
        <v>2.7197900000000002</v>
      </c>
      <c r="GS25">
        <v>9.1388999999999998E-2</v>
      </c>
      <c r="GT25">
        <v>9.43991E-2</v>
      </c>
      <c r="GU25">
        <v>0.11472499999999999</v>
      </c>
      <c r="GV25">
        <v>0.109887</v>
      </c>
      <c r="GW25">
        <v>22807.7</v>
      </c>
      <c r="GX25">
        <v>30505.3</v>
      </c>
      <c r="GY25">
        <v>27227.200000000001</v>
      </c>
      <c r="GZ25">
        <v>34635.5</v>
      </c>
      <c r="HA25">
        <v>35297.9</v>
      </c>
      <c r="HB25">
        <v>39078.6</v>
      </c>
      <c r="HC25">
        <v>40203.800000000003</v>
      </c>
      <c r="HD25">
        <v>43985.1</v>
      </c>
      <c r="HE25">
        <v>1.9436</v>
      </c>
      <c r="HF25">
        <v>1.7174</v>
      </c>
      <c r="HG25">
        <v>-3.1441499999999997E-2</v>
      </c>
      <c r="HH25">
        <v>0</v>
      </c>
      <c r="HI25">
        <v>27.833500000000001</v>
      </c>
      <c r="HJ25">
        <v>999.9</v>
      </c>
      <c r="HK25">
        <v>55.3</v>
      </c>
      <c r="HL25">
        <v>37.299999999999997</v>
      </c>
      <c r="HM25">
        <v>36.345700000000001</v>
      </c>
      <c r="HN25">
        <v>60.420200000000001</v>
      </c>
      <c r="HO25">
        <v>8.9703499999999998</v>
      </c>
      <c r="HP25">
        <v>1</v>
      </c>
      <c r="HQ25">
        <v>0.49327199999999999</v>
      </c>
      <c r="HR25">
        <v>2.7423999999999999</v>
      </c>
      <c r="HS25">
        <v>20.258800000000001</v>
      </c>
      <c r="HT25">
        <v>5.2112999999999996</v>
      </c>
      <c r="HU25">
        <v>11.908099999999999</v>
      </c>
      <c r="HV25">
        <v>4.9847999999999999</v>
      </c>
      <c r="HW25">
        <v>3.2707999999999999</v>
      </c>
      <c r="HX25">
        <v>9999</v>
      </c>
      <c r="HY25">
        <v>9999</v>
      </c>
      <c r="HZ25">
        <v>9999</v>
      </c>
      <c r="IA25">
        <v>999.9</v>
      </c>
      <c r="IB25">
        <v>1.86737</v>
      </c>
      <c r="IC25">
        <v>1.8629500000000001</v>
      </c>
      <c r="ID25">
        <v>1.8623400000000001</v>
      </c>
      <c r="IE25">
        <v>1.86188</v>
      </c>
      <c r="IF25">
        <v>1.8619699999999999</v>
      </c>
      <c r="IG25">
        <v>1.8625799999999999</v>
      </c>
      <c r="IH25">
        <v>1.8634299999999999</v>
      </c>
      <c r="II25">
        <v>1.8614200000000001</v>
      </c>
      <c r="IJ25">
        <v>0</v>
      </c>
      <c r="IK25">
        <v>0</v>
      </c>
      <c r="IL25">
        <v>0</v>
      </c>
      <c r="IM25">
        <v>4.5</v>
      </c>
      <c r="IN25" t="s">
        <v>411</v>
      </c>
      <c r="IO25" t="s">
        <v>412</v>
      </c>
      <c r="IP25" t="s">
        <v>413</v>
      </c>
      <c r="IQ25" t="s">
        <v>414</v>
      </c>
      <c r="IR25" t="s">
        <v>414</v>
      </c>
      <c r="IS25" t="s">
        <v>413</v>
      </c>
      <c r="IT25">
        <v>0</v>
      </c>
      <c r="IU25">
        <v>100</v>
      </c>
      <c r="IV25">
        <v>100</v>
      </c>
      <c r="IW25">
        <v>-5.9260000000000002</v>
      </c>
      <c r="IX25">
        <v>-0.42309999999999998</v>
      </c>
      <c r="IY25">
        <v>-3.9379443666592699</v>
      </c>
      <c r="IZ25">
        <v>-5.6215304933332991E-3</v>
      </c>
      <c r="JA25">
        <v>2.3979931213773931E-6</v>
      </c>
      <c r="JB25">
        <v>-3.6297174575716598E-10</v>
      </c>
      <c r="JC25">
        <v>-0.84064373468236542</v>
      </c>
      <c r="JD25">
        <v>2.7492919904454862E-4</v>
      </c>
      <c r="JE25">
        <v>8.6739513355948885E-4</v>
      </c>
      <c r="JF25">
        <v>-8.2500691715147318E-6</v>
      </c>
      <c r="JG25">
        <v>17</v>
      </c>
      <c r="JH25">
        <v>1914</v>
      </c>
      <c r="JI25">
        <v>2</v>
      </c>
      <c r="JJ25">
        <v>37</v>
      </c>
      <c r="JK25">
        <v>1.2</v>
      </c>
      <c r="JL25">
        <v>1.2</v>
      </c>
      <c r="JM25">
        <v>1.0607899999999999</v>
      </c>
      <c r="JN25">
        <v>2.4877899999999999</v>
      </c>
      <c r="JO25">
        <v>1.50024</v>
      </c>
      <c r="JP25">
        <v>2.2729499999999998</v>
      </c>
      <c r="JQ25">
        <v>1.4477500000000001</v>
      </c>
      <c r="JR25">
        <v>2.3547400000000001</v>
      </c>
      <c r="JS25">
        <v>41.664999999999999</v>
      </c>
      <c r="JT25">
        <v>15.392899999999999</v>
      </c>
      <c r="JU25">
        <v>18</v>
      </c>
      <c r="JV25">
        <v>525.23099999999999</v>
      </c>
      <c r="JW25">
        <v>395.54899999999998</v>
      </c>
      <c r="JX25">
        <v>25.0471</v>
      </c>
      <c r="JY25">
        <v>33.398000000000003</v>
      </c>
      <c r="JZ25">
        <v>29.999099999999999</v>
      </c>
      <c r="KA25">
        <v>33.5122</v>
      </c>
      <c r="KB25">
        <v>33.495100000000001</v>
      </c>
      <c r="KC25">
        <v>21.222300000000001</v>
      </c>
      <c r="KD25">
        <v>43.612200000000001</v>
      </c>
      <c r="KE25">
        <v>0</v>
      </c>
      <c r="KF25">
        <v>25.05</v>
      </c>
      <c r="KG25">
        <v>440.98700000000002</v>
      </c>
      <c r="KH25">
        <v>23.280799999999999</v>
      </c>
      <c r="KI25">
        <v>100.483</v>
      </c>
      <c r="KJ25">
        <v>98.921400000000006</v>
      </c>
    </row>
    <row r="26" spans="1:296" x14ac:dyDescent="0.3">
      <c r="A26">
        <v>10</v>
      </c>
      <c r="B26">
        <v>1783698570.5999999</v>
      </c>
      <c r="C26">
        <v>3485.599999904633</v>
      </c>
      <c r="D26" t="s">
        <v>825</v>
      </c>
      <c r="E26" t="s">
        <v>826</v>
      </c>
      <c r="F26">
        <v>15</v>
      </c>
      <c r="H26">
        <v>1783698562.849999</v>
      </c>
      <c r="I26">
        <f t="shared" si="0"/>
        <v>6.7697578885125777E-4</v>
      </c>
      <c r="J26">
        <f t="shared" si="1"/>
        <v>0.67697578885125775</v>
      </c>
      <c r="K26">
        <f t="shared" si="2"/>
        <v>9.2900093183420545</v>
      </c>
      <c r="L26">
        <f t="shared" si="3"/>
        <v>420.46460000000002</v>
      </c>
      <c r="M26">
        <f t="shared" si="4"/>
        <v>117.3471271677974</v>
      </c>
      <c r="N26">
        <f t="shared" si="5"/>
        <v>11.447449521330844</v>
      </c>
      <c r="O26">
        <f t="shared" si="6"/>
        <v>41.017171874382491</v>
      </c>
      <c r="P26">
        <f t="shared" si="7"/>
        <v>5.0413371304614985E-2</v>
      </c>
      <c r="Q26">
        <f t="shared" si="8"/>
        <v>2.8850832130630173</v>
      </c>
      <c r="R26">
        <f t="shared" si="9"/>
        <v>4.9929050206834441E-2</v>
      </c>
      <c r="S26">
        <f t="shared" si="10"/>
        <v>3.1248782819959565E-2</v>
      </c>
      <c r="T26">
        <f t="shared" si="11"/>
        <v>32.486218650240971</v>
      </c>
      <c r="U26">
        <f t="shared" si="12"/>
        <v>27.327374714281561</v>
      </c>
      <c r="V26">
        <f t="shared" si="13"/>
        <v>27.278633333333332</v>
      </c>
      <c r="W26">
        <f t="shared" si="14"/>
        <v>3.6381520609770237</v>
      </c>
      <c r="X26">
        <f t="shared" si="15"/>
        <v>64.635913608462914</v>
      </c>
      <c r="Y26">
        <f t="shared" si="16"/>
        <v>2.3561053737645015</v>
      </c>
      <c r="Z26">
        <f t="shared" si="17"/>
        <v>3.645195437379896</v>
      </c>
      <c r="AA26">
        <f t="shared" si="18"/>
        <v>1.2820466872125222</v>
      </c>
      <c r="AB26">
        <f t="shared" si="19"/>
        <v>-29.854632288340468</v>
      </c>
      <c r="AC26">
        <f t="shared" si="20"/>
        <v>5.1333584727142751</v>
      </c>
      <c r="AD26">
        <f t="shared" si="21"/>
        <v>0.3851229037027244</v>
      </c>
      <c r="AE26">
        <f t="shared" si="22"/>
        <v>8.1500677383174995</v>
      </c>
      <c r="AF26">
        <f t="shared" si="23"/>
        <v>9.2900093183420545</v>
      </c>
      <c r="AG26">
        <f t="shared" si="24"/>
        <v>0.67697578885125775</v>
      </c>
      <c r="AH26">
        <f t="shared" si="25"/>
        <v>9.4911115863449922</v>
      </c>
      <c r="AI26">
        <v>442.17538453864012</v>
      </c>
      <c r="AJ26">
        <v>430.6746606060604</v>
      </c>
      <c r="AK26">
        <v>-3.0661297724659049E-2</v>
      </c>
      <c r="AL26">
        <v>67.025584327851263</v>
      </c>
      <c r="AM26">
        <f t="shared" si="26"/>
        <v>0.6776149439877579</v>
      </c>
      <c r="AN26">
        <v>23.343738934752601</v>
      </c>
      <c r="AO26">
        <v>24.138168484848471</v>
      </c>
      <c r="AP26">
        <v>-1.5751319089042279E-4</v>
      </c>
      <c r="AQ26">
        <v>78.043253797371946</v>
      </c>
      <c r="AR26">
        <v>0</v>
      </c>
      <c r="AS26">
        <v>0</v>
      </c>
      <c r="AT26">
        <f t="shared" si="27"/>
        <v>1</v>
      </c>
      <c r="AU26">
        <f t="shared" si="28"/>
        <v>0</v>
      </c>
      <c r="AV26">
        <f t="shared" si="29"/>
        <v>51495.205217859257</v>
      </c>
      <c r="AW26" t="s">
        <v>790</v>
      </c>
      <c r="AX26">
        <v>5089.3599999999997</v>
      </c>
      <c r="AY26">
        <v>541.23823529411766</v>
      </c>
      <c r="AZ26">
        <v>2342.2399999999998</v>
      </c>
      <c r="BA26">
        <f t="shared" si="30"/>
        <v>0.76892281094417414</v>
      </c>
      <c r="BB26">
        <v>-5.4766429144180178</v>
      </c>
      <c r="BC26" t="s">
        <v>827</v>
      </c>
      <c r="BD26">
        <v>5095.6000000000004</v>
      </c>
      <c r="BE26">
        <v>744.10723529411769</v>
      </c>
      <c r="BF26">
        <v>1967.94</v>
      </c>
      <c r="BG26">
        <f t="shared" si="31"/>
        <v>0.62188520214329823</v>
      </c>
      <c r="BH26">
        <v>0.5</v>
      </c>
      <c r="BI26">
        <f t="shared" si="32"/>
        <v>168.29862819183475</v>
      </c>
      <c r="BJ26">
        <f t="shared" si="33"/>
        <v>9.2900093183420545</v>
      </c>
      <c r="BK26">
        <f t="shared" si="34"/>
        <v>52.331213206759472</v>
      </c>
      <c r="BL26">
        <f t="shared" si="35"/>
        <v>8.7740775973101481E-2</v>
      </c>
      <c r="BM26">
        <f t="shared" si="36"/>
        <v>0.19019888817748495</v>
      </c>
      <c r="BN26">
        <f t="shared" si="37"/>
        <v>518.45194841817636</v>
      </c>
      <c r="BO26" t="s">
        <v>407</v>
      </c>
      <c r="BP26">
        <v>0</v>
      </c>
      <c r="BQ26">
        <f t="shared" si="38"/>
        <v>518.45194841817636</v>
      </c>
      <c r="BR26">
        <f t="shared" si="39"/>
        <v>0.73655093731608878</v>
      </c>
      <c r="BS26">
        <f t="shared" si="40"/>
        <v>0.84432069886351657</v>
      </c>
      <c r="BT26">
        <f t="shared" si="41"/>
        <v>0.20523218126983489</v>
      </c>
      <c r="BU26">
        <f t="shared" si="42"/>
        <v>0.85780560098920045</v>
      </c>
      <c r="BV26">
        <f t="shared" si="43"/>
        <v>0.20782878025726192</v>
      </c>
      <c r="BW26">
        <f t="shared" si="44"/>
        <v>0.58827503705506157</v>
      </c>
      <c r="BX26">
        <f t="shared" si="45"/>
        <v>0.41172496294493843</v>
      </c>
      <c r="DG26">
        <f t="shared" si="46"/>
        <v>200.00693333333339</v>
      </c>
      <c r="DH26">
        <f t="shared" si="47"/>
        <v>168.29862819183475</v>
      </c>
      <c r="DI26">
        <f t="shared" si="48"/>
        <v>0.84146397020820629</v>
      </c>
      <c r="DJ26">
        <f t="shared" si="49"/>
        <v>0.16242546250183809</v>
      </c>
      <c r="DK26">
        <v>6</v>
      </c>
      <c r="DL26">
        <v>0.5</v>
      </c>
      <c r="DM26" t="s">
        <v>408</v>
      </c>
      <c r="DN26">
        <v>2</v>
      </c>
      <c r="DO26" t="b">
        <v>0</v>
      </c>
      <c r="DP26">
        <v>1783698562.849999</v>
      </c>
      <c r="DQ26">
        <v>420.46460000000002</v>
      </c>
      <c r="DR26">
        <v>431.95359999999999</v>
      </c>
      <c r="DS26">
        <v>24.152296666666661</v>
      </c>
      <c r="DT26">
        <v>23.359586666666669</v>
      </c>
      <c r="DU26">
        <v>426.42496666666671</v>
      </c>
      <c r="DV26">
        <v>24.577346666666671</v>
      </c>
      <c r="DW26">
        <v>500.0254333333333</v>
      </c>
      <c r="DX26">
        <v>97.509446666666676</v>
      </c>
      <c r="DY26">
        <v>4.2575250000000002E-2</v>
      </c>
      <c r="DZ26">
        <v>27.311636666666661</v>
      </c>
      <c r="EA26">
        <v>27.278633333333332</v>
      </c>
      <c r="EB26">
        <v>999.9000000000002</v>
      </c>
      <c r="EC26">
        <v>0</v>
      </c>
      <c r="ED26">
        <v>0</v>
      </c>
      <c r="EE26">
        <v>9997.6666666666661</v>
      </c>
      <c r="EF26">
        <v>0</v>
      </c>
      <c r="EG26">
        <v>919.66096666666647</v>
      </c>
      <c r="EH26">
        <v>-11.48883333333333</v>
      </c>
      <c r="EI26">
        <v>430.87119999999999</v>
      </c>
      <c r="EJ26">
        <v>442.28513333333342</v>
      </c>
      <c r="EK26">
        <v>0.79269546666666668</v>
      </c>
      <c r="EL26">
        <v>431.95359999999999</v>
      </c>
      <c r="EM26">
        <v>23.359586666666669</v>
      </c>
      <c r="EN26">
        <v>2.3550766666666672</v>
      </c>
      <c r="EO26">
        <v>2.2777809999999992</v>
      </c>
      <c r="EP26">
        <v>20.058146666666669</v>
      </c>
      <c r="EQ26">
        <v>19.520130000000009</v>
      </c>
      <c r="ER26">
        <v>200.00693333333339</v>
      </c>
      <c r="ES26">
        <v>0.94993099999999986</v>
      </c>
      <c r="ET26">
        <v>5.0069099999999991E-2</v>
      </c>
      <c r="EU26">
        <v>0</v>
      </c>
      <c r="EV26">
        <v>744.22013333333337</v>
      </c>
      <c r="EW26">
        <v>5.0010700000000003</v>
      </c>
      <c r="EX26">
        <v>5203.5306666666665</v>
      </c>
      <c r="EY26">
        <v>1751.8430000000001</v>
      </c>
      <c r="EZ26">
        <v>37.139466666666657</v>
      </c>
      <c r="FA26">
        <v>40.752066666666657</v>
      </c>
      <c r="FB26">
        <v>39.164266666666663</v>
      </c>
      <c r="FC26">
        <v>40.599799999999988</v>
      </c>
      <c r="FD26">
        <v>39.405999999999992</v>
      </c>
      <c r="FE26">
        <v>185.24299999999999</v>
      </c>
      <c r="FF26">
        <v>9.759999999999998</v>
      </c>
      <c r="FG26">
        <v>0</v>
      </c>
      <c r="FH26">
        <v>181.79999995231631</v>
      </c>
      <c r="FI26">
        <v>0</v>
      </c>
      <c r="FJ26">
        <v>744.10723529411769</v>
      </c>
      <c r="FK26">
        <v>-2.0389705765353092</v>
      </c>
      <c r="FL26">
        <v>-645.22058978326277</v>
      </c>
      <c r="FM26">
        <v>5219.5652941176468</v>
      </c>
      <c r="FN26">
        <v>10</v>
      </c>
      <c r="FO26">
        <v>1783698511.5999999</v>
      </c>
      <c r="FP26" t="s">
        <v>828</v>
      </c>
      <c r="FQ26">
        <v>1783698511.5999999</v>
      </c>
      <c r="FR26">
        <v>1783698509.5999999</v>
      </c>
      <c r="FS26">
        <v>10</v>
      </c>
      <c r="FT26">
        <v>-3.3000000000000002E-2</v>
      </c>
      <c r="FU26">
        <v>7.0000000000000001E-3</v>
      </c>
      <c r="FV26">
        <v>-6.008</v>
      </c>
      <c r="FW26">
        <v>-0.45200000000000001</v>
      </c>
      <c r="FX26">
        <v>433</v>
      </c>
      <c r="FY26">
        <v>23</v>
      </c>
      <c r="FZ26">
        <v>0.7</v>
      </c>
      <c r="GA26">
        <v>0.17</v>
      </c>
      <c r="GB26">
        <v>420.4793548387097</v>
      </c>
      <c r="GC26">
        <v>-1.1348709677426241</v>
      </c>
      <c r="GD26">
        <v>0.10217491276809421</v>
      </c>
      <c r="GE26">
        <v>-1</v>
      </c>
      <c r="GF26">
        <v>744.26747058823537</v>
      </c>
      <c r="GG26">
        <v>-1.321222305321714</v>
      </c>
      <c r="GH26">
        <v>0.28315888652362431</v>
      </c>
      <c r="GI26">
        <v>1</v>
      </c>
      <c r="GJ26">
        <v>0.79794841463414634</v>
      </c>
      <c r="GK26">
        <v>-7.3434710801391481E-2</v>
      </c>
      <c r="GL26">
        <v>1.2545531809734259E-2</v>
      </c>
      <c r="GM26">
        <v>1</v>
      </c>
      <c r="GN26">
        <v>2</v>
      </c>
      <c r="GO26">
        <v>2</v>
      </c>
      <c r="GP26" t="s">
        <v>423</v>
      </c>
      <c r="GQ26">
        <v>3.1322199999999998</v>
      </c>
      <c r="GR26">
        <v>2.7192599999999998</v>
      </c>
      <c r="GS26">
        <v>9.1467800000000002E-2</v>
      </c>
      <c r="GT26">
        <v>9.3072799999999997E-2</v>
      </c>
      <c r="GU26">
        <v>0.11368300000000001</v>
      </c>
      <c r="GV26">
        <v>0.11029</v>
      </c>
      <c r="GW26">
        <v>22819.200000000001</v>
      </c>
      <c r="GX26">
        <v>30572.400000000001</v>
      </c>
      <c r="GY26">
        <v>27241.5</v>
      </c>
      <c r="GZ26">
        <v>34658.199999999997</v>
      </c>
      <c r="HA26">
        <v>35355.199999999997</v>
      </c>
      <c r="HB26">
        <v>39081.9</v>
      </c>
      <c r="HC26">
        <v>40223.599999999999</v>
      </c>
      <c r="HD26">
        <v>44009.9</v>
      </c>
      <c r="HE26">
        <v>1.9498</v>
      </c>
      <c r="HF26">
        <v>1.7214</v>
      </c>
      <c r="HG26">
        <v>-2.5332E-2</v>
      </c>
      <c r="HH26">
        <v>0</v>
      </c>
      <c r="HI26">
        <v>27.707699999999999</v>
      </c>
      <c r="HJ26">
        <v>999.9</v>
      </c>
      <c r="HK26">
        <v>54.8</v>
      </c>
      <c r="HL26">
        <v>37.5</v>
      </c>
      <c r="HM26">
        <v>36.409999999999997</v>
      </c>
      <c r="HN26">
        <v>60.3812</v>
      </c>
      <c r="HO26">
        <v>8.6257999999999999</v>
      </c>
      <c r="HP26">
        <v>1</v>
      </c>
      <c r="HQ26">
        <v>0.46004099999999998</v>
      </c>
      <c r="HR26">
        <v>2.6322199999999998</v>
      </c>
      <c r="HS26">
        <v>20.262499999999999</v>
      </c>
      <c r="HT26">
        <v>5.2112999999999996</v>
      </c>
      <c r="HU26">
        <v>11.908099999999999</v>
      </c>
      <c r="HV26">
        <v>4.9855999999999998</v>
      </c>
      <c r="HW26">
        <v>3.2707999999999999</v>
      </c>
      <c r="HX26">
        <v>9999</v>
      </c>
      <c r="HY26">
        <v>9999</v>
      </c>
      <c r="HZ26">
        <v>9999</v>
      </c>
      <c r="IA26">
        <v>999.9</v>
      </c>
      <c r="IB26">
        <v>1.86734</v>
      </c>
      <c r="IC26">
        <v>1.8629500000000001</v>
      </c>
      <c r="ID26">
        <v>1.8623400000000001</v>
      </c>
      <c r="IE26">
        <v>1.86188</v>
      </c>
      <c r="IF26">
        <v>1.86188</v>
      </c>
      <c r="IG26">
        <v>1.86252</v>
      </c>
      <c r="IH26">
        <v>1.8633999999999999</v>
      </c>
      <c r="II26">
        <v>1.8614200000000001</v>
      </c>
      <c r="IJ26">
        <v>0</v>
      </c>
      <c r="IK26">
        <v>0</v>
      </c>
      <c r="IL26">
        <v>0</v>
      </c>
      <c r="IM26">
        <v>4.5</v>
      </c>
      <c r="IN26" t="s">
        <v>411</v>
      </c>
      <c r="IO26" t="s">
        <v>412</v>
      </c>
      <c r="IP26" t="s">
        <v>413</v>
      </c>
      <c r="IQ26" t="s">
        <v>414</v>
      </c>
      <c r="IR26" t="s">
        <v>414</v>
      </c>
      <c r="IS26" t="s">
        <v>413</v>
      </c>
      <c r="IT26">
        <v>0</v>
      </c>
      <c r="IU26">
        <v>100</v>
      </c>
      <c r="IV26">
        <v>100</v>
      </c>
      <c r="IW26">
        <v>-5.96</v>
      </c>
      <c r="IX26">
        <v>-0.42530000000000001</v>
      </c>
      <c r="IY26">
        <v>-3.9711117760864441</v>
      </c>
      <c r="IZ26">
        <v>-5.6215304933332991E-3</v>
      </c>
      <c r="JA26">
        <v>2.3979931213773931E-6</v>
      </c>
      <c r="JB26">
        <v>-3.6297174575716598E-10</v>
      </c>
      <c r="JC26">
        <v>-0.83328055545819124</v>
      </c>
      <c r="JD26">
        <v>2.7492919904454862E-4</v>
      </c>
      <c r="JE26">
        <v>8.6739513355948885E-4</v>
      </c>
      <c r="JF26">
        <v>-8.2500691715147318E-6</v>
      </c>
      <c r="JG26">
        <v>17</v>
      </c>
      <c r="JH26">
        <v>1914</v>
      </c>
      <c r="JI26">
        <v>2</v>
      </c>
      <c r="JJ26">
        <v>37</v>
      </c>
      <c r="JK26">
        <v>1</v>
      </c>
      <c r="JL26">
        <v>1</v>
      </c>
      <c r="JM26">
        <v>1.07178</v>
      </c>
      <c r="JN26">
        <v>2.49756</v>
      </c>
      <c r="JO26">
        <v>1.50024</v>
      </c>
      <c r="JP26">
        <v>2.2729499999999998</v>
      </c>
      <c r="JQ26">
        <v>1.4477500000000001</v>
      </c>
      <c r="JR26">
        <v>2.4255399999999998</v>
      </c>
      <c r="JS26">
        <v>41.664999999999999</v>
      </c>
      <c r="JT26">
        <v>15.3841</v>
      </c>
      <c r="JU26">
        <v>18</v>
      </c>
      <c r="JV26">
        <v>526.69200000000001</v>
      </c>
      <c r="JW26">
        <v>396.00799999999998</v>
      </c>
      <c r="JX26">
        <v>25.051100000000002</v>
      </c>
      <c r="JY26">
        <v>33.0124</v>
      </c>
      <c r="JZ26">
        <v>29.999500000000001</v>
      </c>
      <c r="KA26">
        <v>33.192999999999998</v>
      </c>
      <c r="KB26">
        <v>33.195700000000002</v>
      </c>
      <c r="KC26">
        <v>21.446100000000001</v>
      </c>
      <c r="KD26">
        <v>42.811900000000001</v>
      </c>
      <c r="KE26">
        <v>0</v>
      </c>
      <c r="KF26">
        <v>25.05</v>
      </c>
      <c r="KG26">
        <v>431.87700000000001</v>
      </c>
      <c r="KH26">
        <v>23.4831</v>
      </c>
      <c r="KI26">
        <v>100.533</v>
      </c>
      <c r="KJ26">
        <v>98.981200000000001</v>
      </c>
    </row>
    <row r="27" spans="1:296" x14ac:dyDescent="0.3">
      <c r="A27">
        <v>11</v>
      </c>
      <c r="B27">
        <v>1783698753.0999999</v>
      </c>
      <c r="C27">
        <v>3668.099999904633</v>
      </c>
      <c r="D27" t="s">
        <v>829</v>
      </c>
      <c r="E27" t="s">
        <v>830</v>
      </c>
      <c r="F27">
        <v>15</v>
      </c>
      <c r="H27">
        <v>1783698745.349999</v>
      </c>
      <c r="I27">
        <f t="shared" si="0"/>
        <v>3.8016102447380553E-4</v>
      </c>
      <c r="J27">
        <f t="shared" si="1"/>
        <v>0.38016102447380551</v>
      </c>
      <c r="K27">
        <f t="shared" si="2"/>
        <v>3.7977301608860929</v>
      </c>
      <c r="L27">
        <f t="shared" si="3"/>
        <v>420.17893333333342</v>
      </c>
      <c r="M27">
        <f t="shared" si="4"/>
        <v>190.86546487327837</v>
      </c>
      <c r="N27">
        <f t="shared" si="5"/>
        <v>18.618357592240599</v>
      </c>
      <c r="O27">
        <f t="shared" si="6"/>
        <v>40.987203414301213</v>
      </c>
      <c r="P27">
        <f t="shared" si="7"/>
        <v>2.743196522664449E-2</v>
      </c>
      <c r="Q27">
        <f t="shared" si="8"/>
        <v>2.8849934844031733</v>
      </c>
      <c r="R27">
        <f t="shared" si="9"/>
        <v>2.7287877649073682E-2</v>
      </c>
      <c r="S27">
        <f t="shared" si="10"/>
        <v>1.7067806001017639E-2</v>
      </c>
      <c r="T27">
        <f t="shared" si="11"/>
        <v>16.516633092666066</v>
      </c>
      <c r="U27">
        <f t="shared" si="12"/>
        <v>27.420580789339578</v>
      </c>
      <c r="V27">
        <f t="shared" si="13"/>
        <v>27.496103333333341</v>
      </c>
      <c r="W27">
        <f t="shared" si="14"/>
        <v>3.6847828044563302</v>
      </c>
      <c r="X27">
        <f t="shared" si="15"/>
        <v>64.542540274212712</v>
      </c>
      <c r="Y27">
        <f t="shared" si="16"/>
        <v>2.3679685772664643</v>
      </c>
      <c r="Z27">
        <f t="shared" si="17"/>
        <v>3.6688493623058731</v>
      </c>
      <c r="AA27">
        <f t="shared" si="18"/>
        <v>1.316814227189866</v>
      </c>
      <c r="AB27">
        <f t="shared" si="19"/>
        <v>-16.765101179294824</v>
      </c>
      <c r="AC27">
        <f t="shared" si="20"/>
        <v>-11.515349864290572</v>
      </c>
      <c r="AD27">
        <f t="shared" si="21"/>
        <v>-0.86536541874263928</v>
      </c>
      <c r="AE27">
        <f t="shared" si="22"/>
        <v>-12.62918336966197</v>
      </c>
      <c r="AF27">
        <f t="shared" si="23"/>
        <v>3.7977301608860929</v>
      </c>
      <c r="AG27">
        <f t="shared" si="24"/>
        <v>0.38016102447380551</v>
      </c>
      <c r="AH27">
        <f t="shared" si="25"/>
        <v>3.781514315186417</v>
      </c>
      <c r="AI27">
        <v>435.2249056346048</v>
      </c>
      <c r="AJ27">
        <v>430.62137575757561</v>
      </c>
      <c r="AK27">
        <v>-8.6028563075085055E-3</v>
      </c>
      <c r="AL27">
        <v>67.088229779097716</v>
      </c>
      <c r="AM27">
        <f t="shared" si="26"/>
        <v>0.36459660958077039</v>
      </c>
      <c r="AN27">
        <v>23.94040478467533</v>
      </c>
      <c r="AO27">
        <v>24.30898484848484</v>
      </c>
      <c r="AP27">
        <v>9.5107359307336839E-3</v>
      </c>
      <c r="AQ27">
        <v>78.55</v>
      </c>
      <c r="AR27">
        <v>0</v>
      </c>
      <c r="AS27">
        <v>0</v>
      </c>
      <c r="AT27">
        <f t="shared" si="27"/>
        <v>1</v>
      </c>
      <c r="AU27">
        <f t="shared" si="28"/>
        <v>0</v>
      </c>
      <c r="AV27">
        <f t="shared" si="29"/>
        <v>51473.621072846916</v>
      </c>
      <c r="AW27" t="s">
        <v>790</v>
      </c>
      <c r="AX27">
        <v>5089.3599999999997</v>
      </c>
      <c r="AY27">
        <v>541.23823529411766</v>
      </c>
      <c r="AZ27">
        <v>2342.2399999999998</v>
      </c>
      <c r="BA27">
        <f t="shared" si="30"/>
        <v>0.76892281094417414</v>
      </c>
      <c r="BB27">
        <v>-5.4766429144180178</v>
      </c>
      <c r="BC27" t="s">
        <v>831</v>
      </c>
      <c r="BD27">
        <v>5097.28</v>
      </c>
      <c r="BE27">
        <v>730.77588235294115</v>
      </c>
      <c r="BF27">
        <v>2176.9299999999998</v>
      </c>
      <c r="BG27">
        <f t="shared" si="31"/>
        <v>0.66430896613444568</v>
      </c>
      <c r="BH27">
        <v>0.5</v>
      </c>
      <c r="BI27">
        <f t="shared" si="32"/>
        <v>84.317350103972018</v>
      </c>
      <c r="BJ27">
        <f t="shared" si="33"/>
        <v>3.7977301608860929</v>
      </c>
      <c r="BK27">
        <f t="shared" si="34"/>
        <v>28.006385837382872</v>
      </c>
      <c r="BL27">
        <f t="shared" si="35"/>
        <v>0.10999364975141947</v>
      </c>
      <c r="BM27">
        <f t="shared" si="36"/>
        <v>7.5937214333947331E-2</v>
      </c>
      <c r="BN27">
        <f t="shared" si="37"/>
        <v>531.90471285814601</v>
      </c>
      <c r="BO27" t="s">
        <v>407</v>
      </c>
      <c r="BP27">
        <v>0</v>
      </c>
      <c r="BQ27">
        <f t="shared" si="38"/>
        <v>531.90471285814601</v>
      </c>
      <c r="BR27">
        <f t="shared" si="39"/>
        <v>0.75566292308060157</v>
      </c>
      <c r="BS27">
        <f t="shared" si="40"/>
        <v>0.87910753041351508</v>
      </c>
      <c r="BT27">
        <f t="shared" si="41"/>
        <v>9.1314576462236646E-2</v>
      </c>
      <c r="BU27">
        <f t="shared" si="42"/>
        <v>0.88412386052887859</v>
      </c>
      <c r="BV27">
        <f t="shared" si="43"/>
        <v>9.1787805675468834E-2</v>
      </c>
      <c r="BW27">
        <f t="shared" si="44"/>
        <v>0.63986982853136665</v>
      </c>
      <c r="BX27">
        <f t="shared" si="45"/>
        <v>0.36013017146863335</v>
      </c>
      <c r="DG27">
        <f t="shared" si="46"/>
        <v>100.0382133333333</v>
      </c>
      <c r="DH27">
        <f t="shared" si="47"/>
        <v>84.317350103972018</v>
      </c>
      <c r="DI27">
        <f t="shared" si="48"/>
        <v>0.84285141941731379</v>
      </c>
      <c r="DJ27">
        <f t="shared" si="49"/>
        <v>0.16510323947541583</v>
      </c>
      <c r="DK27">
        <v>6</v>
      </c>
      <c r="DL27">
        <v>0.5</v>
      </c>
      <c r="DM27" t="s">
        <v>408</v>
      </c>
      <c r="DN27">
        <v>2</v>
      </c>
      <c r="DO27" t="b">
        <v>0</v>
      </c>
      <c r="DP27">
        <v>1783698745.349999</v>
      </c>
      <c r="DQ27">
        <v>420.17893333333342</v>
      </c>
      <c r="DR27">
        <v>424.92786666666672</v>
      </c>
      <c r="DS27">
        <v>24.27515</v>
      </c>
      <c r="DT27">
        <v>23.83003333333334</v>
      </c>
      <c r="DU27">
        <v>426.05983333333342</v>
      </c>
      <c r="DV27">
        <v>24.700320000000001</v>
      </c>
      <c r="DW27">
        <v>500.0027</v>
      </c>
      <c r="DX27">
        <v>97.504416666666671</v>
      </c>
      <c r="DY27">
        <v>4.260476333333333E-2</v>
      </c>
      <c r="DZ27">
        <v>27.42206666666668</v>
      </c>
      <c r="EA27">
        <v>27.496103333333341</v>
      </c>
      <c r="EB27">
        <v>999.9000000000002</v>
      </c>
      <c r="EC27">
        <v>0</v>
      </c>
      <c r="ED27">
        <v>0</v>
      </c>
      <c r="EE27">
        <v>9997.6666666666661</v>
      </c>
      <c r="EF27">
        <v>0</v>
      </c>
      <c r="EG27">
        <v>775.27696666666657</v>
      </c>
      <c r="EH27">
        <v>-4.7488986666666664</v>
      </c>
      <c r="EI27">
        <v>430.63273333333331</v>
      </c>
      <c r="EJ27">
        <v>435.30116666666669</v>
      </c>
      <c r="EK27">
        <v>0.44511813333333328</v>
      </c>
      <c r="EL27">
        <v>424.92786666666672</v>
      </c>
      <c r="EM27">
        <v>23.83003333333334</v>
      </c>
      <c r="EN27">
        <v>2.3669353333333332</v>
      </c>
      <c r="EO27">
        <v>2.3235336666666671</v>
      </c>
      <c r="EP27">
        <v>20.139309999999998</v>
      </c>
      <c r="EQ27">
        <v>19.84037</v>
      </c>
      <c r="ER27">
        <v>100.0382133333333</v>
      </c>
      <c r="ES27">
        <v>0.89996890000000007</v>
      </c>
      <c r="ET27">
        <v>0.10003117666666669</v>
      </c>
      <c r="EU27">
        <v>0</v>
      </c>
      <c r="EV27">
        <v>730.54463333333308</v>
      </c>
      <c r="EW27">
        <v>5.0010700000000003</v>
      </c>
      <c r="EX27">
        <v>3909.5949999999998</v>
      </c>
      <c r="EY27">
        <v>836.89746666666667</v>
      </c>
      <c r="EZ27">
        <v>36.625</v>
      </c>
      <c r="FA27">
        <v>40.682866666666648</v>
      </c>
      <c r="FB27">
        <v>38.695399999999992</v>
      </c>
      <c r="FC27">
        <v>40.522733333333328</v>
      </c>
      <c r="FD27">
        <v>39.061999999999991</v>
      </c>
      <c r="FE27">
        <v>85.53166666666668</v>
      </c>
      <c r="FF27">
        <v>9.5086666666666648</v>
      </c>
      <c r="FG27">
        <v>0</v>
      </c>
      <c r="FH27">
        <v>182</v>
      </c>
      <c r="FI27">
        <v>0</v>
      </c>
      <c r="FJ27">
        <v>730.77588235294115</v>
      </c>
      <c r="FK27">
        <v>5.84877450937012</v>
      </c>
      <c r="FL27">
        <v>1074.6299082591661</v>
      </c>
      <c r="FM27">
        <v>4005.2376470588242</v>
      </c>
      <c r="FN27">
        <v>10</v>
      </c>
      <c r="FO27">
        <v>1783698694.0999999</v>
      </c>
      <c r="FP27" t="s">
        <v>832</v>
      </c>
      <c r="FQ27">
        <v>1783698691.0999999</v>
      </c>
      <c r="FR27">
        <v>1783698694.0999999</v>
      </c>
      <c r="FS27">
        <v>11</v>
      </c>
      <c r="FT27">
        <v>7.8E-2</v>
      </c>
      <c r="FU27">
        <v>-4.0000000000000001E-3</v>
      </c>
      <c r="FV27">
        <v>-5.899</v>
      </c>
      <c r="FW27">
        <v>-0.44400000000000001</v>
      </c>
      <c r="FX27">
        <v>425</v>
      </c>
      <c r="FY27">
        <v>24</v>
      </c>
      <c r="FZ27">
        <v>1.94</v>
      </c>
      <c r="GA27">
        <v>0.42</v>
      </c>
      <c r="GB27">
        <v>420.17451612903221</v>
      </c>
      <c r="GC27">
        <v>0.26095161290257118</v>
      </c>
      <c r="GD27">
        <v>6.0891162009135989E-2</v>
      </c>
      <c r="GE27">
        <v>-1</v>
      </c>
      <c r="GF27">
        <v>730.3812058823529</v>
      </c>
      <c r="GG27">
        <v>4.3511535487680497</v>
      </c>
      <c r="GH27">
        <v>0.46228115836271211</v>
      </c>
      <c r="GI27">
        <v>1</v>
      </c>
      <c r="GJ27">
        <v>0.49361204878048781</v>
      </c>
      <c r="GK27">
        <v>-1.045649665505225</v>
      </c>
      <c r="GL27">
        <v>0.106311067445091</v>
      </c>
      <c r="GM27">
        <v>0</v>
      </c>
      <c r="GN27">
        <v>1</v>
      </c>
      <c r="GO27">
        <v>2</v>
      </c>
      <c r="GP27" t="s">
        <v>410</v>
      </c>
      <c r="GQ27">
        <v>3.1317499999999998</v>
      </c>
      <c r="GR27">
        <v>2.7188500000000002</v>
      </c>
      <c r="GS27">
        <v>9.1472600000000001E-2</v>
      </c>
      <c r="GT27">
        <v>9.1948000000000002E-2</v>
      </c>
      <c r="GU27">
        <v>0.114276</v>
      </c>
      <c r="GV27">
        <v>0.112053</v>
      </c>
      <c r="GW27">
        <v>22828.1</v>
      </c>
      <c r="GX27">
        <v>30624.7</v>
      </c>
      <c r="GY27">
        <v>27251.4</v>
      </c>
      <c r="GZ27">
        <v>34673</v>
      </c>
      <c r="HA27">
        <v>35343.599999999999</v>
      </c>
      <c r="HB27">
        <v>39017.4</v>
      </c>
      <c r="HC27">
        <v>40238.5</v>
      </c>
      <c r="HD27">
        <v>44025.2</v>
      </c>
      <c r="HE27">
        <v>1.9518</v>
      </c>
      <c r="HF27">
        <v>1.7254</v>
      </c>
      <c r="HG27">
        <v>-4.2080899999999997E-2</v>
      </c>
      <c r="HH27">
        <v>0</v>
      </c>
      <c r="HI27">
        <v>28.189399999999999</v>
      </c>
      <c r="HJ27">
        <v>999.9</v>
      </c>
      <c r="HK27">
        <v>54.5</v>
      </c>
      <c r="HL27">
        <v>37.700000000000003</v>
      </c>
      <c r="HM27">
        <v>36.609099999999998</v>
      </c>
      <c r="HN27">
        <v>60.531199999999998</v>
      </c>
      <c r="HO27">
        <v>8.6538500000000003</v>
      </c>
      <c r="HP27">
        <v>1</v>
      </c>
      <c r="HQ27">
        <v>0.440224</v>
      </c>
      <c r="HR27">
        <v>2.8024</v>
      </c>
      <c r="HS27">
        <v>20.259899999999998</v>
      </c>
      <c r="HT27">
        <v>5.2100999999999997</v>
      </c>
      <c r="HU27">
        <v>11.908099999999999</v>
      </c>
      <c r="HV27">
        <v>4.9851999999999999</v>
      </c>
      <c r="HW27">
        <v>3.2709999999999999</v>
      </c>
      <c r="HX27">
        <v>9999</v>
      </c>
      <c r="HY27">
        <v>9999</v>
      </c>
      <c r="HZ27">
        <v>9999</v>
      </c>
      <c r="IA27">
        <v>999.9</v>
      </c>
      <c r="IB27">
        <v>1.86734</v>
      </c>
      <c r="IC27">
        <v>1.8629199999999999</v>
      </c>
      <c r="ID27">
        <v>1.8623400000000001</v>
      </c>
      <c r="IE27">
        <v>1.86188</v>
      </c>
      <c r="IF27">
        <v>1.86188</v>
      </c>
      <c r="IG27">
        <v>1.8625499999999999</v>
      </c>
      <c r="IH27">
        <v>1.8633999999999999</v>
      </c>
      <c r="II27">
        <v>1.8614200000000001</v>
      </c>
      <c r="IJ27">
        <v>0</v>
      </c>
      <c r="IK27">
        <v>0</v>
      </c>
      <c r="IL27">
        <v>0</v>
      </c>
      <c r="IM27">
        <v>4.5</v>
      </c>
      <c r="IN27" t="s">
        <v>411</v>
      </c>
      <c r="IO27" t="s">
        <v>412</v>
      </c>
      <c r="IP27" t="s">
        <v>413</v>
      </c>
      <c r="IQ27" t="s">
        <v>414</v>
      </c>
      <c r="IR27" t="s">
        <v>414</v>
      </c>
      <c r="IS27" t="s">
        <v>413</v>
      </c>
      <c r="IT27">
        <v>0</v>
      </c>
      <c r="IU27">
        <v>100</v>
      </c>
      <c r="IV27">
        <v>100</v>
      </c>
      <c r="IW27">
        <v>-5.8810000000000002</v>
      </c>
      <c r="IX27">
        <v>-0.42430000000000001</v>
      </c>
      <c r="IY27">
        <v>-3.893018399950257</v>
      </c>
      <c r="IZ27">
        <v>-5.6215304933332991E-3</v>
      </c>
      <c r="JA27">
        <v>2.3979931213773931E-6</v>
      </c>
      <c r="JB27">
        <v>-3.6297174575716598E-10</v>
      </c>
      <c r="JC27">
        <v>-0.83683031066012892</v>
      </c>
      <c r="JD27">
        <v>2.7492919904454862E-4</v>
      </c>
      <c r="JE27">
        <v>8.6739513355948885E-4</v>
      </c>
      <c r="JF27">
        <v>-8.2500691715147318E-6</v>
      </c>
      <c r="JG27">
        <v>17</v>
      </c>
      <c r="JH27">
        <v>1914</v>
      </c>
      <c r="JI27">
        <v>2</v>
      </c>
      <c r="JJ27">
        <v>37</v>
      </c>
      <c r="JK27">
        <v>1</v>
      </c>
      <c r="JL27">
        <v>1</v>
      </c>
      <c r="JM27">
        <v>1.0656699999999999</v>
      </c>
      <c r="JN27">
        <v>2.50488</v>
      </c>
      <c r="JO27">
        <v>1.50024</v>
      </c>
      <c r="JP27">
        <v>2.2729499999999998</v>
      </c>
      <c r="JQ27">
        <v>1.4477500000000001</v>
      </c>
      <c r="JR27">
        <v>2.4047900000000002</v>
      </c>
      <c r="JS27">
        <v>41.717399999999998</v>
      </c>
      <c r="JT27">
        <v>15.357900000000001</v>
      </c>
      <c r="JU27">
        <v>18</v>
      </c>
      <c r="JV27">
        <v>526.12599999999998</v>
      </c>
      <c r="JW27">
        <v>396.916</v>
      </c>
      <c r="JX27">
        <v>25.049700000000001</v>
      </c>
      <c r="JY27">
        <v>32.807400000000001</v>
      </c>
      <c r="JZ27">
        <v>29.9999</v>
      </c>
      <c r="KA27">
        <v>32.962299999999999</v>
      </c>
      <c r="KB27">
        <v>32.9711</v>
      </c>
      <c r="KC27">
        <v>21.3324</v>
      </c>
      <c r="KD27">
        <v>42.069600000000001</v>
      </c>
      <c r="KE27">
        <v>0</v>
      </c>
      <c r="KF27">
        <v>25.05</v>
      </c>
      <c r="KG27">
        <v>424.80500000000001</v>
      </c>
      <c r="KH27">
        <v>23.917300000000001</v>
      </c>
      <c r="KI27">
        <v>100.57</v>
      </c>
      <c r="KJ27">
        <v>99.019099999999995</v>
      </c>
    </row>
    <row r="28" spans="1:296" x14ac:dyDescent="0.3">
      <c r="A28">
        <v>12</v>
      </c>
      <c r="B28">
        <v>1783698935.5999999</v>
      </c>
      <c r="C28">
        <v>3850.599999904633</v>
      </c>
      <c r="D28" t="s">
        <v>833</v>
      </c>
      <c r="E28" t="s">
        <v>834</v>
      </c>
      <c r="F28">
        <v>15</v>
      </c>
      <c r="H28">
        <v>1783698927.849999</v>
      </c>
      <c r="I28">
        <f t="shared" si="0"/>
        <v>9.6148509231115407E-5</v>
      </c>
      <c r="J28">
        <f t="shared" si="1"/>
        <v>9.6148509231115412E-2</v>
      </c>
      <c r="K28">
        <f t="shared" si="2"/>
        <v>0.15602143373997174</v>
      </c>
      <c r="L28">
        <f t="shared" si="3"/>
        <v>420.06183333333342</v>
      </c>
      <c r="M28">
        <f t="shared" si="4"/>
        <v>376.61574275213889</v>
      </c>
      <c r="N28">
        <f t="shared" si="5"/>
        <v>36.740168583780871</v>
      </c>
      <c r="O28">
        <f t="shared" si="6"/>
        <v>40.978485018975178</v>
      </c>
      <c r="P28">
        <f t="shared" si="7"/>
        <v>7.1647671902277067E-3</v>
      </c>
      <c r="Q28">
        <f t="shared" si="8"/>
        <v>2.8844254823238837</v>
      </c>
      <c r="R28">
        <f t="shared" si="9"/>
        <v>7.1548947251189026E-3</v>
      </c>
      <c r="S28">
        <f t="shared" si="10"/>
        <v>4.4726950521831454E-3</v>
      </c>
      <c r="T28">
        <f t="shared" si="11"/>
        <v>8.2414337799994204</v>
      </c>
      <c r="U28">
        <f t="shared" si="12"/>
        <v>27.21909313300965</v>
      </c>
      <c r="V28">
        <f t="shared" si="13"/>
        <v>27.247350000000001</v>
      </c>
      <c r="W28">
        <f t="shared" si="14"/>
        <v>3.6314867255639309</v>
      </c>
      <c r="X28">
        <f t="shared" si="15"/>
        <v>65.208774655950492</v>
      </c>
      <c r="Y28">
        <f t="shared" si="16"/>
        <v>2.3608119283464291</v>
      </c>
      <c r="Z28">
        <f t="shared" si="17"/>
        <v>3.6203899564166986</v>
      </c>
      <c r="AA28">
        <f t="shared" si="18"/>
        <v>1.2706747972175019</v>
      </c>
      <c r="AB28">
        <f t="shared" si="19"/>
        <v>-4.240149257092189</v>
      </c>
      <c r="AC28">
        <f t="shared" si="20"/>
        <v>-8.1163319517029855</v>
      </c>
      <c r="AD28">
        <f t="shared" si="21"/>
        <v>-0.60860566353789936</v>
      </c>
      <c r="AE28">
        <f t="shared" si="22"/>
        <v>-4.7236530923336533</v>
      </c>
      <c r="AF28">
        <f t="shared" si="23"/>
        <v>0.15602143373997174</v>
      </c>
      <c r="AG28">
        <f t="shared" si="24"/>
        <v>9.6148509231115412E-2</v>
      </c>
      <c r="AH28">
        <f t="shared" si="25"/>
        <v>0.40100281474367139</v>
      </c>
      <c r="AI28">
        <v>430.5806037448794</v>
      </c>
      <c r="AJ28">
        <v>430.39129696969678</v>
      </c>
      <c r="AK28">
        <v>-5.8020956058060472E-2</v>
      </c>
      <c r="AL28">
        <v>67.037723783110238</v>
      </c>
      <c r="AM28">
        <f t="shared" si="26"/>
        <v>8.8507213973580232E-2</v>
      </c>
      <c r="AN28">
        <v>24.086724022510829</v>
      </c>
      <c r="AO28">
        <v>24.1909212121212</v>
      </c>
      <c r="AP28">
        <v>-9.0328713791997005E-5</v>
      </c>
      <c r="AQ28">
        <v>78.55</v>
      </c>
      <c r="AR28">
        <v>0</v>
      </c>
      <c r="AS28">
        <v>0</v>
      </c>
      <c r="AT28">
        <f t="shared" si="27"/>
        <v>1</v>
      </c>
      <c r="AU28">
        <f t="shared" si="28"/>
        <v>0</v>
      </c>
      <c r="AV28">
        <f t="shared" si="29"/>
        <v>51496.548987875933</v>
      </c>
      <c r="AW28" t="s">
        <v>790</v>
      </c>
      <c r="AX28">
        <v>5089.3599999999997</v>
      </c>
      <c r="AY28">
        <v>541.23823529411766</v>
      </c>
      <c r="AZ28">
        <v>2342.2399999999998</v>
      </c>
      <c r="BA28">
        <f t="shared" si="30"/>
        <v>0.76892281094417414</v>
      </c>
      <c r="BB28">
        <v>-5.4766429144180178</v>
      </c>
      <c r="BC28" t="s">
        <v>835</v>
      </c>
      <c r="BD28">
        <v>5098.54</v>
      </c>
      <c r="BE28">
        <v>704.99082352941173</v>
      </c>
      <c r="BF28">
        <v>2296.88</v>
      </c>
      <c r="BG28">
        <f t="shared" si="31"/>
        <v>0.69306588784376566</v>
      </c>
      <c r="BH28">
        <v>0.5</v>
      </c>
      <c r="BI28">
        <f t="shared" si="32"/>
        <v>42.139633195854614</v>
      </c>
      <c r="BJ28">
        <f t="shared" si="33"/>
        <v>0.15602143373997174</v>
      </c>
      <c r="BK28">
        <f t="shared" si="34"/>
        <v>14.602771147147799</v>
      </c>
      <c r="BL28">
        <f t="shared" si="35"/>
        <v>0.13366666771822042</v>
      </c>
      <c r="BM28">
        <f t="shared" si="36"/>
        <v>1.9748528438577405E-2</v>
      </c>
      <c r="BN28">
        <f t="shared" si="37"/>
        <v>538.7795501396713</v>
      </c>
      <c r="BO28" t="s">
        <v>407</v>
      </c>
      <c r="BP28">
        <v>0</v>
      </c>
      <c r="BQ28">
        <f t="shared" si="38"/>
        <v>538.7795501396713</v>
      </c>
      <c r="BR28">
        <f t="shared" si="39"/>
        <v>0.76542982213277522</v>
      </c>
      <c r="BS28">
        <f t="shared" si="40"/>
        <v>0.90545974014002162</v>
      </c>
      <c r="BT28">
        <f t="shared" si="41"/>
        <v>2.5151646659904651E-2</v>
      </c>
      <c r="BU28">
        <f t="shared" si="42"/>
        <v>0.90672778950281629</v>
      </c>
      <c r="BV28">
        <f t="shared" si="43"/>
        <v>2.5185983095028959E-2</v>
      </c>
      <c r="BW28">
        <f t="shared" si="44"/>
        <v>0.69198516516842579</v>
      </c>
      <c r="BX28">
        <f t="shared" si="45"/>
        <v>0.30801483483157421</v>
      </c>
      <c r="DG28">
        <f t="shared" si="46"/>
        <v>50.005513333333333</v>
      </c>
      <c r="DH28">
        <f t="shared" si="47"/>
        <v>42.139633195854614</v>
      </c>
      <c r="DI28">
        <f t="shared" si="48"/>
        <v>0.84269974222551625</v>
      </c>
      <c r="DJ28">
        <f t="shared" si="49"/>
        <v>0.16481050249524659</v>
      </c>
      <c r="DK28">
        <v>6</v>
      </c>
      <c r="DL28">
        <v>0.5</v>
      </c>
      <c r="DM28" t="s">
        <v>408</v>
      </c>
      <c r="DN28">
        <v>2</v>
      </c>
      <c r="DO28" t="b">
        <v>0</v>
      </c>
      <c r="DP28">
        <v>1783698927.849999</v>
      </c>
      <c r="DQ28">
        <v>420.06183333333342</v>
      </c>
      <c r="DR28">
        <v>420.29753333333332</v>
      </c>
      <c r="DS28">
        <v>24.200186666666671</v>
      </c>
      <c r="DT28">
        <v>24.08759666666667</v>
      </c>
      <c r="DU28">
        <v>425.98083333333329</v>
      </c>
      <c r="DV28">
        <v>24.63340333333333</v>
      </c>
      <c r="DW28">
        <v>499.98239999999998</v>
      </c>
      <c r="DX28">
        <v>97.511593333333337</v>
      </c>
      <c r="DY28">
        <v>4.1866103333333328E-2</v>
      </c>
      <c r="DZ28">
        <v>27.195156666666659</v>
      </c>
      <c r="EA28">
        <v>27.247350000000001</v>
      </c>
      <c r="EB28">
        <v>999.9000000000002</v>
      </c>
      <c r="EC28">
        <v>0</v>
      </c>
      <c r="ED28">
        <v>0</v>
      </c>
      <c r="EE28">
        <v>9993.6666666666661</v>
      </c>
      <c r="EF28">
        <v>0</v>
      </c>
      <c r="EG28">
        <v>595.88516666666669</v>
      </c>
      <c r="EH28">
        <v>-0.23563944119999999</v>
      </c>
      <c r="EI28">
        <v>430.47953333333339</v>
      </c>
      <c r="EJ28">
        <v>430.67136666666659</v>
      </c>
      <c r="EK28">
        <v>0.11258827333333329</v>
      </c>
      <c r="EL28">
        <v>420.29753333333332</v>
      </c>
      <c r="EM28">
        <v>24.08759666666667</v>
      </c>
      <c r="EN28">
        <v>2.359798333333333</v>
      </c>
      <c r="EO28">
        <v>2.3488190000000002</v>
      </c>
      <c r="EP28">
        <v>20.090509999999998</v>
      </c>
      <c r="EQ28">
        <v>20.015186666666668</v>
      </c>
      <c r="ER28">
        <v>50.005513333333333</v>
      </c>
      <c r="ES28">
        <v>0.89993960000000017</v>
      </c>
      <c r="ET28">
        <v>0.10006057666666671</v>
      </c>
      <c r="EU28">
        <v>0</v>
      </c>
      <c r="EV28">
        <v>704.9908333333334</v>
      </c>
      <c r="EW28">
        <v>5.0010700000000003</v>
      </c>
      <c r="EX28">
        <v>2926.0963333333339</v>
      </c>
      <c r="EY28">
        <v>396.30450000000002</v>
      </c>
      <c r="EZ28">
        <v>36.129133333333343</v>
      </c>
      <c r="FA28">
        <v>40.095599999999983</v>
      </c>
      <c r="FB28">
        <v>38.25</v>
      </c>
      <c r="FC28">
        <v>40.028933333333327</v>
      </c>
      <c r="FD28">
        <v>38.591399999999993</v>
      </c>
      <c r="FE28">
        <v>40.500333333333323</v>
      </c>
      <c r="FF28">
        <v>4.4996666666666671</v>
      </c>
      <c r="FG28">
        <v>0</v>
      </c>
      <c r="FH28">
        <v>181.60000014305109</v>
      </c>
      <c r="FI28">
        <v>0</v>
      </c>
      <c r="FJ28">
        <v>704.99082352941173</v>
      </c>
      <c r="FK28">
        <v>-0.81544119371294665</v>
      </c>
      <c r="FL28">
        <v>251.89215723844049</v>
      </c>
      <c r="FM28">
        <v>2943.8176470588228</v>
      </c>
      <c r="FN28">
        <v>10</v>
      </c>
      <c r="FO28">
        <v>1783698856.5999999</v>
      </c>
      <c r="FP28" t="s">
        <v>836</v>
      </c>
      <c r="FQ28">
        <v>1783698856.5999999</v>
      </c>
      <c r="FR28">
        <v>1783698854.0999999</v>
      </c>
      <c r="FS28">
        <v>12</v>
      </c>
      <c r="FT28">
        <v>-3.7999999999999999E-2</v>
      </c>
      <c r="FU28">
        <v>-6.0000000000000001E-3</v>
      </c>
      <c r="FV28">
        <v>-5.9210000000000003</v>
      </c>
      <c r="FW28">
        <v>-0.435</v>
      </c>
      <c r="FX28">
        <v>420</v>
      </c>
      <c r="FY28">
        <v>24</v>
      </c>
      <c r="FZ28">
        <v>1.1399999999999999</v>
      </c>
      <c r="GA28">
        <v>0.45</v>
      </c>
      <c r="GB28">
        <v>420.06183333333342</v>
      </c>
      <c r="GC28">
        <v>0.56022246940956055</v>
      </c>
      <c r="GD28">
        <v>7.5658039155724777E-2</v>
      </c>
      <c r="GE28">
        <v>-1</v>
      </c>
      <c r="GF28">
        <v>705.02964705882357</v>
      </c>
      <c r="GG28">
        <v>-0.61980137718215966</v>
      </c>
      <c r="GH28">
        <v>0.15776954197088239</v>
      </c>
      <c r="GI28">
        <v>1</v>
      </c>
      <c r="GJ28">
        <v>0.114491405</v>
      </c>
      <c r="GK28">
        <v>-4.7895212757973857E-2</v>
      </c>
      <c r="GL28">
        <v>6.0101072816527174E-3</v>
      </c>
      <c r="GM28">
        <v>1</v>
      </c>
      <c r="GN28">
        <v>2</v>
      </c>
      <c r="GO28">
        <v>2</v>
      </c>
      <c r="GP28" t="s">
        <v>423</v>
      </c>
      <c r="GQ28">
        <v>3.1318199999999998</v>
      </c>
      <c r="GR28">
        <v>2.7186900000000001</v>
      </c>
      <c r="GS28">
        <v>9.1495499999999994E-2</v>
      </c>
      <c r="GT28">
        <v>9.1295299999999996E-2</v>
      </c>
      <c r="GU28">
        <v>0.113969</v>
      </c>
      <c r="GV28">
        <v>0.112541</v>
      </c>
      <c r="GW28">
        <v>22832.400000000001</v>
      </c>
      <c r="GX28">
        <v>30654.5</v>
      </c>
      <c r="GY28">
        <v>27256.400000000001</v>
      </c>
      <c r="GZ28">
        <v>34680.699999999997</v>
      </c>
      <c r="HA28">
        <v>35361.5</v>
      </c>
      <c r="HB28">
        <v>39001.300000000003</v>
      </c>
      <c r="HC28">
        <v>40245.699999999997</v>
      </c>
      <c r="HD28">
        <v>44031.8</v>
      </c>
      <c r="HE28">
        <v>1.9528000000000001</v>
      </c>
      <c r="HF28">
        <v>1.7267999999999999</v>
      </c>
      <c r="HG28">
        <v>-3.7699900000000001E-2</v>
      </c>
      <c r="HH28">
        <v>0</v>
      </c>
      <c r="HI28">
        <v>27.864799999999999</v>
      </c>
      <c r="HJ28">
        <v>999.9</v>
      </c>
      <c r="HK28">
        <v>54.2</v>
      </c>
      <c r="HL28">
        <v>37.799999999999997</v>
      </c>
      <c r="HM28">
        <v>36.603200000000001</v>
      </c>
      <c r="HN28">
        <v>60.331200000000003</v>
      </c>
      <c r="HO28">
        <v>8.7379800000000003</v>
      </c>
      <c r="HP28">
        <v>1</v>
      </c>
      <c r="HQ28">
        <v>0.42780499999999999</v>
      </c>
      <c r="HR28">
        <v>2.61503</v>
      </c>
      <c r="HS28">
        <v>20.264500000000002</v>
      </c>
      <c r="HT28">
        <v>5.2112999999999996</v>
      </c>
      <c r="HU28">
        <v>11.908099999999999</v>
      </c>
      <c r="HV28">
        <v>4.9859999999999998</v>
      </c>
      <c r="HW28">
        <v>3.2707999999999999</v>
      </c>
      <c r="HX28">
        <v>9999</v>
      </c>
      <c r="HY28">
        <v>9999</v>
      </c>
      <c r="HZ28">
        <v>9999</v>
      </c>
      <c r="IA28">
        <v>999.9</v>
      </c>
      <c r="IB28">
        <v>1.8672800000000001</v>
      </c>
      <c r="IC28">
        <v>1.8628899999999999</v>
      </c>
      <c r="ID28">
        <v>1.8624000000000001</v>
      </c>
      <c r="IE28">
        <v>1.86188</v>
      </c>
      <c r="IF28">
        <v>1.86188</v>
      </c>
      <c r="IG28">
        <v>1.8625499999999999</v>
      </c>
      <c r="IH28">
        <v>1.8633999999999999</v>
      </c>
      <c r="II28">
        <v>1.8614200000000001</v>
      </c>
      <c r="IJ28">
        <v>0</v>
      </c>
      <c r="IK28">
        <v>0</v>
      </c>
      <c r="IL28">
        <v>0</v>
      </c>
      <c r="IM28">
        <v>4.5</v>
      </c>
      <c r="IN28" t="s">
        <v>411</v>
      </c>
      <c r="IO28" t="s">
        <v>412</v>
      </c>
      <c r="IP28" t="s">
        <v>413</v>
      </c>
      <c r="IQ28" t="s">
        <v>414</v>
      </c>
      <c r="IR28" t="s">
        <v>414</v>
      </c>
      <c r="IS28" t="s">
        <v>413</v>
      </c>
      <c r="IT28">
        <v>0</v>
      </c>
      <c r="IU28">
        <v>100</v>
      </c>
      <c r="IV28">
        <v>100</v>
      </c>
      <c r="IW28">
        <v>-5.9189999999999996</v>
      </c>
      <c r="IX28">
        <v>-0.4335</v>
      </c>
      <c r="IY28">
        <v>-3.9313525594140062</v>
      </c>
      <c r="IZ28">
        <v>-5.6215304933332991E-3</v>
      </c>
      <c r="JA28">
        <v>2.3979931213773931E-6</v>
      </c>
      <c r="JB28">
        <v>-3.6297174575716598E-10</v>
      </c>
      <c r="JC28">
        <v>-0.8430123783671819</v>
      </c>
      <c r="JD28">
        <v>2.7492919904454862E-4</v>
      </c>
      <c r="JE28">
        <v>8.6739513355948885E-4</v>
      </c>
      <c r="JF28">
        <v>-8.2500691715147318E-6</v>
      </c>
      <c r="JG28">
        <v>17</v>
      </c>
      <c r="JH28">
        <v>1914</v>
      </c>
      <c r="JI28">
        <v>2</v>
      </c>
      <c r="JJ28">
        <v>37</v>
      </c>
      <c r="JK28">
        <v>1.3</v>
      </c>
      <c r="JL28">
        <v>1.4</v>
      </c>
      <c r="JM28">
        <v>1.0595699999999999</v>
      </c>
      <c r="JN28">
        <v>2.50854</v>
      </c>
      <c r="JO28">
        <v>1.50024</v>
      </c>
      <c r="JP28">
        <v>2.2717299999999998</v>
      </c>
      <c r="JQ28">
        <v>1.4477500000000001</v>
      </c>
      <c r="JR28">
        <v>2.4060100000000002</v>
      </c>
      <c r="JS28">
        <v>41.717399999999998</v>
      </c>
      <c r="JT28">
        <v>15.340400000000001</v>
      </c>
      <c r="JU28">
        <v>18</v>
      </c>
      <c r="JV28">
        <v>525.34100000000001</v>
      </c>
      <c r="JW28">
        <v>396.53800000000001</v>
      </c>
      <c r="JX28">
        <v>25.048400000000001</v>
      </c>
      <c r="JY28">
        <v>32.644500000000001</v>
      </c>
      <c r="JZ28">
        <v>29.999700000000001</v>
      </c>
      <c r="KA28">
        <v>32.785600000000002</v>
      </c>
      <c r="KB28">
        <v>32.781399999999998</v>
      </c>
      <c r="KC28">
        <v>21.201699999999999</v>
      </c>
      <c r="KD28">
        <v>41.779899999999998</v>
      </c>
      <c r="KE28">
        <v>0</v>
      </c>
      <c r="KF28">
        <v>25.05</v>
      </c>
      <c r="KG28">
        <v>420.31400000000002</v>
      </c>
      <c r="KH28">
        <v>24.084900000000001</v>
      </c>
      <c r="KI28">
        <v>100.58799999999999</v>
      </c>
      <c r="KJ28">
        <v>99.037099999999995</v>
      </c>
    </row>
    <row r="29" spans="1:296" x14ac:dyDescent="0.3">
      <c r="A29">
        <v>13</v>
      </c>
      <c r="B29">
        <v>1783699118.0999999</v>
      </c>
      <c r="C29">
        <v>4033.099999904633</v>
      </c>
      <c r="D29" t="s">
        <v>837</v>
      </c>
      <c r="E29" t="s">
        <v>838</v>
      </c>
      <c r="F29">
        <v>15</v>
      </c>
      <c r="H29">
        <v>1783699110.349999</v>
      </c>
      <c r="I29">
        <f t="shared" si="0"/>
        <v>4.0678031480266289E-5</v>
      </c>
      <c r="J29">
        <f t="shared" si="1"/>
        <v>4.0678031480266288E-2</v>
      </c>
      <c r="K29">
        <f t="shared" si="2"/>
        <v>-3.2245669412414397</v>
      </c>
      <c r="L29">
        <f t="shared" si="3"/>
        <v>420.08679999999998</v>
      </c>
      <c r="M29">
        <f t="shared" si="4"/>
        <v>2116.3286544789703</v>
      </c>
      <c r="N29">
        <f t="shared" si="5"/>
        <v>206.45128726479467</v>
      </c>
      <c r="O29">
        <f t="shared" si="6"/>
        <v>40.980147596357249</v>
      </c>
      <c r="P29">
        <f t="shared" si="7"/>
        <v>2.9944277399842076E-3</v>
      </c>
      <c r="Q29">
        <f t="shared" si="8"/>
        <v>2.8836467015312088</v>
      </c>
      <c r="R29">
        <f t="shared" si="9"/>
        <v>2.9927013352252048E-3</v>
      </c>
      <c r="S29">
        <f t="shared" si="10"/>
        <v>1.8705933584948057E-3</v>
      </c>
      <c r="T29">
        <f t="shared" si="11"/>
        <v>1.5966703903835998E-4</v>
      </c>
      <c r="U29">
        <f t="shared" si="12"/>
        <v>27.142863147433712</v>
      </c>
      <c r="V29">
        <f t="shared" si="13"/>
        <v>27.243253333333339</v>
      </c>
      <c r="W29">
        <f t="shared" si="14"/>
        <v>3.6306146653074287</v>
      </c>
      <c r="X29">
        <f t="shared" si="15"/>
        <v>64.93748712372458</v>
      </c>
      <c r="Y29">
        <f t="shared" si="16"/>
        <v>2.3452661197777314</v>
      </c>
      <c r="Z29">
        <f t="shared" si="17"/>
        <v>3.6115751065472019</v>
      </c>
      <c r="AA29">
        <f t="shared" si="18"/>
        <v>1.2853485455296974</v>
      </c>
      <c r="AB29">
        <f t="shared" si="19"/>
        <v>-1.7939011882797433</v>
      </c>
      <c r="AC29">
        <f t="shared" si="20"/>
        <v>-13.938308802299801</v>
      </c>
      <c r="AD29">
        <f t="shared" si="21"/>
        <v>-1.0452122167169131</v>
      </c>
      <c r="AE29">
        <f t="shared" si="22"/>
        <v>-16.777262540257418</v>
      </c>
      <c r="AF29">
        <f t="shared" si="23"/>
        <v>-3.2245669412414397</v>
      </c>
      <c r="AG29">
        <f t="shared" si="24"/>
        <v>4.0678031480266288E-2</v>
      </c>
      <c r="AH29">
        <f t="shared" si="25"/>
        <v>-3.2700295780577062</v>
      </c>
      <c r="AI29">
        <v>426.41885445690627</v>
      </c>
      <c r="AJ29">
        <v>430.45568484848491</v>
      </c>
      <c r="AK29">
        <v>-3.1198555409491192E-3</v>
      </c>
      <c r="AL29">
        <v>67.036983179004082</v>
      </c>
      <c r="AM29">
        <f t="shared" si="26"/>
        <v>6.2194226759380987E-2</v>
      </c>
      <c r="AN29">
        <v>24.037693046969711</v>
      </c>
      <c r="AO29">
        <v>24.078406060606049</v>
      </c>
      <c r="AP29">
        <v>5.2355151515232276E-3</v>
      </c>
      <c r="AQ29">
        <v>78.55</v>
      </c>
      <c r="AR29">
        <v>0</v>
      </c>
      <c r="AS29">
        <v>0</v>
      </c>
      <c r="AT29">
        <f t="shared" si="27"/>
        <v>1</v>
      </c>
      <c r="AU29">
        <f t="shared" si="28"/>
        <v>0</v>
      </c>
      <c r="AV29">
        <f t="shared" si="29"/>
        <v>51481.528119575109</v>
      </c>
      <c r="AW29" t="s">
        <v>683</v>
      </c>
      <c r="AX29">
        <v>5093.91</v>
      </c>
      <c r="AY29">
        <v>567.68235294117642</v>
      </c>
      <c r="AZ29">
        <v>2637.74</v>
      </c>
      <c r="BA29">
        <f t="shared" si="30"/>
        <v>0.78478456825116338</v>
      </c>
      <c r="BB29">
        <v>-3.2245669412414402</v>
      </c>
      <c r="BC29" t="s">
        <v>407</v>
      </c>
      <c r="BD29" t="s">
        <v>407</v>
      </c>
      <c r="BE29">
        <v>0</v>
      </c>
      <c r="BF29">
        <v>0</v>
      </c>
      <c r="BG29" t="e">
        <f t="shared" si="31"/>
        <v>#DIV/0!</v>
      </c>
      <c r="BH29">
        <v>0.5</v>
      </c>
      <c r="BI29">
        <f t="shared" si="32"/>
        <v>8.4035283704399992E-4</v>
      </c>
      <c r="BJ29">
        <f t="shared" si="33"/>
        <v>-3.2245669412414397</v>
      </c>
      <c r="BK29" t="e">
        <f t="shared" si="34"/>
        <v>#DIV/0!</v>
      </c>
      <c r="BL29">
        <f t="shared" si="35"/>
        <v>5.2845565609343049E-13</v>
      </c>
      <c r="BM29" t="e">
        <f t="shared" si="36"/>
        <v>#DIV/0!</v>
      </c>
      <c r="BN29" t="e">
        <f t="shared" si="37"/>
        <v>#DIV/0!</v>
      </c>
      <c r="BO29" t="s">
        <v>407</v>
      </c>
      <c r="BP29">
        <v>0</v>
      </c>
      <c r="BQ29" t="e">
        <f t="shared" si="38"/>
        <v>#DIV/0!</v>
      </c>
      <c r="BR29" t="e">
        <f t="shared" si="39"/>
        <v>#DIV/0!</v>
      </c>
      <c r="BS29" t="e">
        <f t="shared" si="40"/>
        <v>#DIV/0!</v>
      </c>
      <c r="BT29" t="e">
        <f t="shared" si="41"/>
        <v>#DIV/0!</v>
      </c>
      <c r="BU29">
        <f t="shared" si="42"/>
        <v>0</v>
      </c>
      <c r="BV29">
        <f t="shared" si="43"/>
        <v>1.2742350454576712</v>
      </c>
      <c r="BW29" t="e">
        <f t="shared" si="44"/>
        <v>#DIV/0!</v>
      </c>
      <c r="BX29" t="e">
        <f t="shared" si="45"/>
        <v>#DIV/0!</v>
      </c>
      <c r="DG29">
        <f t="shared" si="46"/>
        <v>1.00021E-2</v>
      </c>
      <c r="DH29">
        <f t="shared" si="47"/>
        <v>8.4035283704399992E-4</v>
      </c>
      <c r="DI29">
        <f t="shared" si="48"/>
        <v>8.4017639999999991E-2</v>
      </c>
      <c r="DJ29">
        <f t="shared" si="49"/>
        <v>1.5963351599999998E-2</v>
      </c>
      <c r="DK29">
        <v>6</v>
      </c>
      <c r="DL29">
        <v>0.5</v>
      </c>
      <c r="DM29" t="s">
        <v>408</v>
      </c>
      <c r="DN29">
        <v>2</v>
      </c>
      <c r="DO29" t="b">
        <v>0</v>
      </c>
      <c r="DP29">
        <v>1783699110.349999</v>
      </c>
      <c r="DQ29">
        <v>420.08679999999998</v>
      </c>
      <c r="DR29">
        <v>416.23783333333341</v>
      </c>
      <c r="DS29">
        <v>24.04128333333334</v>
      </c>
      <c r="DT29">
        <v>23.993643333333331</v>
      </c>
      <c r="DU29">
        <v>426.00670000000002</v>
      </c>
      <c r="DV29">
        <v>24.474779999999999</v>
      </c>
      <c r="DW29">
        <v>500.00099999999998</v>
      </c>
      <c r="DX29">
        <v>97.510216666666636</v>
      </c>
      <c r="DY29">
        <v>4.1402656666666662E-2</v>
      </c>
      <c r="DZ29">
        <v>27.153596666666662</v>
      </c>
      <c r="EA29">
        <v>27.243253333333339</v>
      </c>
      <c r="EB29">
        <v>999.9000000000002</v>
      </c>
      <c r="EC29">
        <v>0</v>
      </c>
      <c r="ED29">
        <v>0</v>
      </c>
      <c r="EE29">
        <v>9989.3333333333339</v>
      </c>
      <c r="EF29">
        <v>0</v>
      </c>
      <c r="EG29">
        <v>750.72003333333339</v>
      </c>
      <c r="EH29">
        <v>3.8489949999999999</v>
      </c>
      <c r="EI29">
        <v>430.43503333333331</v>
      </c>
      <c r="EJ29">
        <v>426.47036666666668</v>
      </c>
      <c r="EK29">
        <v>4.7631574666666683E-2</v>
      </c>
      <c r="EL29">
        <v>416.23783333333341</v>
      </c>
      <c r="EM29">
        <v>23.993643333333331</v>
      </c>
      <c r="EN29">
        <v>2.344269333333334</v>
      </c>
      <c r="EO29">
        <v>2.3396263333333338</v>
      </c>
      <c r="EP29">
        <v>19.98386</v>
      </c>
      <c r="EQ29">
        <v>19.95181333333333</v>
      </c>
      <c r="ER29">
        <v>1.00021E-2</v>
      </c>
      <c r="ES29">
        <v>0</v>
      </c>
      <c r="ET29">
        <v>0</v>
      </c>
      <c r="EU29">
        <v>0</v>
      </c>
      <c r="EV29">
        <v>567.20333333333326</v>
      </c>
      <c r="EW29">
        <v>1.00021E-2</v>
      </c>
      <c r="EX29">
        <v>3087.398333333334</v>
      </c>
      <c r="EY29">
        <v>2.9</v>
      </c>
      <c r="EZ29">
        <v>35.625</v>
      </c>
      <c r="FA29">
        <v>39.718499999999977</v>
      </c>
      <c r="FB29">
        <v>37.805799999999998</v>
      </c>
      <c r="FC29">
        <v>39.557866666666648</v>
      </c>
      <c r="FD29">
        <v>37.939099999999982</v>
      </c>
      <c r="FE29">
        <v>0</v>
      </c>
      <c r="FF29">
        <v>0</v>
      </c>
      <c r="FG29">
        <v>0</v>
      </c>
      <c r="FH29">
        <v>182.10000014305109</v>
      </c>
      <c r="FI29">
        <v>0</v>
      </c>
      <c r="FJ29">
        <v>567.68235294117642</v>
      </c>
      <c r="FK29">
        <v>5.5882355040323306</v>
      </c>
      <c r="FL29">
        <v>-364.44852668013061</v>
      </c>
      <c r="FM29">
        <v>3116.8852941176469</v>
      </c>
      <c r="FN29">
        <v>10</v>
      </c>
      <c r="FO29">
        <v>1783698983.0999999</v>
      </c>
      <c r="FP29" t="s">
        <v>839</v>
      </c>
      <c r="FQ29">
        <v>1783698980.5999999</v>
      </c>
      <c r="FR29">
        <v>1783698983.0999999</v>
      </c>
      <c r="FS29">
        <v>13</v>
      </c>
      <c r="FT29">
        <v>-1E-3</v>
      </c>
      <c r="FU29">
        <v>4.0000000000000001E-3</v>
      </c>
      <c r="FV29">
        <v>-5.92</v>
      </c>
      <c r="FW29">
        <v>-0.433</v>
      </c>
      <c r="FX29">
        <v>420</v>
      </c>
      <c r="FY29">
        <v>24</v>
      </c>
      <c r="FZ29">
        <v>1.46</v>
      </c>
      <c r="GA29">
        <v>0.69</v>
      </c>
      <c r="GB29">
        <v>420.08574193548378</v>
      </c>
      <c r="GC29">
        <v>0.1649032258040716</v>
      </c>
      <c r="GD29">
        <v>4.7811435898802372E-2</v>
      </c>
      <c r="GE29">
        <v>-1</v>
      </c>
      <c r="GF29">
        <v>567.08676470588239</v>
      </c>
      <c r="GG29">
        <v>2.2009167440725581</v>
      </c>
      <c r="GH29">
        <v>4.7379927001832263</v>
      </c>
      <c r="GI29">
        <v>1</v>
      </c>
      <c r="GJ29">
        <v>9.3217218048780498E-2</v>
      </c>
      <c r="GK29">
        <v>-0.71214702439024324</v>
      </c>
      <c r="GL29">
        <v>7.9950177086136137E-2</v>
      </c>
      <c r="GM29">
        <v>0</v>
      </c>
      <c r="GN29">
        <v>1</v>
      </c>
      <c r="GO29">
        <v>2</v>
      </c>
      <c r="GP29" t="s">
        <v>410</v>
      </c>
      <c r="GQ29">
        <v>3.1315900000000001</v>
      </c>
      <c r="GR29">
        <v>2.7177899999999999</v>
      </c>
      <c r="GS29">
        <v>9.1542299999999993E-2</v>
      </c>
      <c r="GT29">
        <v>9.0663900000000006E-2</v>
      </c>
      <c r="GU29">
        <v>0.11365</v>
      </c>
      <c r="GV29">
        <v>0.112456</v>
      </c>
      <c r="GW29">
        <v>22835.9</v>
      </c>
      <c r="GX29">
        <v>30684.7</v>
      </c>
      <c r="GY29">
        <v>27261.1</v>
      </c>
      <c r="GZ29">
        <v>34689.5</v>
      </c>
      <c r="HA29">
        <v>35379.4</v>
      </c>
      <c r="HB29">
        <v>39012.1</v>
      </c>
      <c r="HC29">
        <v>40252.400000000001</v>
      </c>
      <c r="HD29">
        <v>44040.3</v>
      </c>
      <c r="HE29">
        <v>1.9534</v>
      </c>
      <c r="HF29">
        <v>1.7292000000000001</v>
      </c>
      <c r="HG29">
        <v>-3.8295999999999997E-2</v>
      </c>
      <c r="HH29">
        <v>0</v>
      </c>
      <c r="HI29">
        <v>27.866700000000002</v>
      </c>
      <c r="HJ29">
        <v>999.9</v>
      </c>
      <c r="HK29">
        <v>53.9</v>
      </c>
      <c r="HL29">
        <v>38</v>
      </c>
      <c r="HM29">
        <v>36.801900000000003</v>
      </c>
      <c r="HN29">
        <v>59.8812</v>
      </c>
      <c r="HO29">
        <v>8.8020899999999997</v>
      </c>
      <c r="HP29">
        <v>1</v>
      </c>
      <c r="HQ29">
        <v>0.41178900000000002</v>
      </c>
      <c r="HR29">
        <v>2.5819200000000002</v>
      </c>
      <c r="HS29">
        <v>20.265899999999998</v>
      </c>
      <c r="HT29">
        <v>5.2112999999999996</v>
      </c>
      <c r="HU29">
        <v>11.908099999999999</v>
      </c>
      <c r="HV29">
        <v>4.9851999999999999</v>
      </c>
      <c r="HW29">
        <v>3.2709999999999999</v>
      </c>
      <c r="HX29">
        <v>9999</v>
      </c>
      <c r="HY29">
        <v>9999</v>
      </c>
      <c r="HZ29">
        <v>9999</v>
      </c>
      <c r="IA29">
        <v>999.9</v>
      </c>
      <c r="IB29">
        <v>1.86734</v>
      </c>
      <c r="IC29">
        <v>1.8629500000000001</v>
      </c>
      <c r="ID29">
        <v>1.8624000000000001</v>
      </c>
      <c r="IE29">
        <v>1.86188</v>
      </c>
      <c r="IF29">
        <v>1.86191</v>
      </c>
      <c r="IG29">
        <v>1.8625499999999999</v>
      </c>
      <c r="IH29">
        <v>1.8633999999999999</v>
      </c>
      <c r="II29">
        <v>1.8614200000000001</v>
      </c>
      <c r="IJ29">
        <v>0</v>
      </c>
      <c r="IK29">
        <v>0</v>
      </c>
      <c r="IL29">
        <v>0</v>
      </c>
      <c r="IM29">
        <v>4.5</v>
      </c>
      <c r="IN29" t="s">
        <v>411</v>
      </c>
      <c r="IO29" t="s">
        <v>412</v>
      </c>
      <c r="IP29" t="s">
        <v>413</v>
      </c>
      <c r="IQ29" t="s">
        <v>414</v>
      </c>
      <c r="IR29" t="s">
        <v>414</v>
      </c>
      <c r="IS29" t="s">
        <v>413</v>
      </c>
      <c r="IT29">
        <v>0</v>
      </c>
      <c r="IU29">
        <v>100</v>
      </c>
      <c r="IV29">
        <v>100</v>
      </c>
      <c r="IW29">
        <v>-5.92</v>
      </c>
      <c r="IX29">
        <v>-0.4325</v>
      </c>
      <c r="IY29">
        <v>-3.9321688573215479</v>
      </c>
      <c r="IZ29">
        <v>-5.6215304933332991E-3</v>
      </c>
      <c r="JA29">
        <v>2.3979931213773931E-6</v>
      </c>
      <c r="JB29">
        <v>-3.6297174575716598E-10</v>
      </c>
      <c r="JC29">
        <v>-0.83886921612613752</v>
      </c>
      <c r="JD29">
        <v>2.7492919904454862E-4</v>
      </c>
      <c r="JE29">
        <v>8.6739513355948885E-4</v>
      </c>
      <c r="JF29">
        <v>-8.2500691715147318E-6</v>
      </c>
      <c r="JG29">
        <v>17</v>
      </c>
      <c r="JH29">
        <v>1914</v>
      </c>
      <c r="JI29">
        <v>2</v>
      </c>
      <c r="JJ29">
        <v>37</v>
      </c>
      <c r="JK29">
        <v>2.2999999999999998</v>
      </c>
      <c r="JL29">
        <v>2.2000000000000002</v>
      </c>
      <c r="JM29">
        <v>1.0534699999999999</v>
      </c>
      <c r="JN29">
        <v>2.5158700000000001</v>
      </c>
      <c r="JO29">
        <v>1.50024</v>
      </c>
      <c r="JP29">
        <v>2.2717299999999998</v>
      </c>
      <c r="JQ29">
        <v>1.4477500000000001</v>
      </c>
      <c r="JR29">
        <v>2.3120099999999999</v>
      </c>
      <c r="JS29">
        <v>41.691200000000002</v>
      </c>
      <c r="JT29">
        <v>15.3141</v>
      </c>
      <c r="JU29">
        <v>18</v>
      </c>
      <c r="JV29">
        <v>524.14099999999996</v>
      </c>
      <c r="JW29">
        <v>396.72699999999998</v>
      </c>
      <c r="JX29">
        <v>25.05</v>
      </c>
      <c r="JY29">
        <v>32.456400000000002</v>
      </c>
      <c r="JZ29">
        <v>29.999400000000001</v>
      </c>
      <c r="KA29">
        <v>32.5901</v>
      </c>
      <c r="KB29">
        <v>32.591999999999999</v>
      </c>
      <c r="KC29">
        <v>21.076699999999999</v>
      </c>
      <c r="KD29">
        <v>41.775199999999998</v>
      </c>
      <c r="KE29">
        <v>0</v>
      </c>
      <c r="KF29">
        <v>25.05</v>
      </c>
      <c r="KG29">
        <v>416.27600000000001</v>
      </c>
      <c r="KH29">
        <v>23.950900000000001</v>
      </c>
      <c r="KI29">
        <v>100.605</v>
      </c>
      <c r="KJ29">
        <v>99.058800000000005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55286-0743-4378-AF9C-E2EC7808540C}">
  <dimension ref="A2:KJ29"/>
  <sheetViews>
    <sheetView workbookViewId="0">
      <selection activeCell="L34" sqref="L34"/>
    </sheetView>
  </sheetViews>
  <sheetFormatPr defaultRowHeight="14.4" x14ac:dyDescent="0.3"/>
  <sheetData>
    <row r="2" spans="1:296" x14ac:dyDescent="0.3">
      <c r="A2" t="s">
        <v>0</v>
      </c>
      <c r="B2" t="s">
        <v>1</v>
      </c>
      <c r="C2" t="s">
        <v>2</v>
      </c>
    </row>
    <row r="3" spans="1:296" x14ac:dyDescent="0.3">
      <c r="B3" t="s">
        <v>3</v>
      </c>
      <c r="C3">
        <v>21</v>
      </c>
    </row>
    <row r="4" spans="1:296" x14ac:dyDescent="0.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</row>
    <row r="5" spans="1:296" x14ac:dyDescent="0.3">
      <c r="B5" t="s">
        <v>15</v>
      </c>
      <c r="C5" t="s">
        <v>16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96" x14ac:dyDescent="0.3">
      <c r="A6" t="s">
        <v>17</v>
      </c>
      <c r="B6" t="s">
        <v>18</v>
      </c>
      <c r="C6" t="s">
        <v>19</v>
      </c>
      <c r="D6" t="s">
        <v>20</v>
      </c>
      <c r="E6" t="s">
        <v>21</v>
      </c>
    </row>
    <row r="7" spans="1:296" x14ac:dyDescent="0.3">
      <c r="B7">
        <v>0</v>
      </c>
      <c r="C7">
        <v>1</v>
      </c>
      <c r="D7">
        <v>0</v>
      </c>
      <c r="E7">
        <v>0</v>
      </c>
    </row>
    <row r="8" spans="1:296" x14ac:dyDescent="0.3">
      <c r="A8" t="s">
        <v>22</v>
      </c>
      <c r="B8" t="s">
        <v>23</v>
      </c>
      <c r="C8" t="s">
        <v>24</v>
      </c>
      <c r="D8" t="s">
        <v>25</v>
      </c>
      <c r="E8" t="s">
        <v>26</v>
      </c>
      <c r="F8" t="s">
        <v>27</v>
      </c>
      <c r="G8" t="s">
        <v>28</v>
      </c>
      <c r="H8" t="s">
        <v>29</v>
      </c>
      <c r="I8" t="s">
        <v>30</v>
      </c>
      <c r="J8" t="s">
        <v>31</v>
      </c>
      <c r="K8" t="s">
        <v>32</v>
      </c>
      <c r="L8" t="s">
        <v>33</v>
      </c>
      <c r="M8" t="s">
        <v>34</v>
      </c>
      <c r="N8" t="s">
        <v>35</v>
      </c>
      <c r="O8" t="s">
        <v>36</v>
      </c>
      <c r="P8" t="s">
        <v>37</v>
      </c>
      <c r="Q8" t="s">
        <v>38</v>
      </c>
    </row>
    <row r="9" spans="1:296" x14ac:dyDescent="0.3">
      <c r="B9" t="s">
        <v>39</v>
      </c>
      <c r="C9" t="s">
        <v>40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96" x14ac:dyDescent="0.3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</row>
    <row r="11" spans="1:296" x14ac:dyDescent="0.3">
      <c r="B11">
        <v>0</v>
      </c>
      <c r="C11">
        <v>0</v>
      </c>
      <c r="D11">
        <v>0</v>
      </c>
      <c r="E11">
        <v>0</v>
      </c>
      <c r="F11">
        <v>1</v>
      </c>
    </row>
    <row r="12" spans="1:296" x14ac:dyDescent="0.3">
      <c r="A12" t="s">
        <v>47</v>
      </c>
      <c r="B12" t="s">
        <v>48</v>
      </c>
      <c r="C12" t="s">
        <v>49</v>
      </c>
      <c r="D12" t="s">
        <v>50</v>
      </c>
      <c r="E12" t="s">
        <v>51</v>
      </c>
      <c r="F12" t="s">
        <v>52</v>
      </c>
      <c r="G12" t="s">
        <v>53</v>
      </c>
      <c r="H12" t="s">
        <v>54</v>
      </c>
    </row>
    <row r="13" spans="1:296" x14ac:dyDescent="0.3">
      <c r="B13">
        <v>-6276</v>
      </c>
      <c r="C13">
        <v>6.6</v>
      </c>
      <c r="D13">
        <v>1.7090000000000001E-5</v>
      </c>
      <c r="E13">
        <v>3.11</v>
      </c>
      <c r="F13" t="s">
        <v>840</v>
      </c>
      <c r="G13" t="s">
        <v>841</v>
      </c>
      <c r="H13">
        <v>0</v>
      </c>
    </row>
    <row r="14" spans="1:296" x14ac:dyDescent="0.3">
      <c r="A14" t="s">
        <v>57</v>
      </c>
      <c r="B14" t="s">
        <v>57</v>
      </c>
      <c r="C14" t="s">
        <v>57</v>
      </c>
      <c r="D14" t="s">
        <v>57</v>
      </c>
      <c r="E14" t="s">
        <v>57</v>
      </c>
      <c r="F14" t="s">
        <v>57</v>
      </c>
      <c r="G14" t="s">
        <v>58</v>
      </c>
      <c r="H14" t="s">
        <v>59</v>
      </c>
      <c r="I14" t="s">
        <v>59</v>
      </c>
      <c r="J14" t="s">
        <v>59</v>
      </c>
      <c r="K14" t="s">
        <v>59</v>
      </c>
      <c r="L14" t="s">
        <v>59</v>
      </c>
      <c r="M14" t="s">
        <v>59</v>
      </c>
      <c r="N14" t="s">
        <v>59</v>
      </c>
      <c r="O14" t="s">
        <v>59</v>
      </c>
      <c r="P14" t="s">
        <v>59</v>
      </c>
      <c r="Q14" t="s">
        <v>59</v>
      </c>
      <c r="R14" t="s">
        <v>59</v>
      </c>
      <c r="S14" t="s">
        <v>59</v>
      </c>
      <c r="T14" t="s">
        <v>59</v>
      </c>
      <c r="U14" t="s">
        <v>59</v>
      </c>
      <c r="V14" t="s">
        <v>59</v>
      </c>
      <c r="W14" t="s">
        <v>59</v>
      </c>
      <c r="X14" t="s">
        <v>59</v>
      </c>
      <c r="Y14" t="s">
        <v>59</v>
      </c>
      <c r="Z14" t="s">
        <v>59</v>
      </c>
      <c r="AA14" t="s">
        <v>59</v>
      </c>
      <c r="AB14" t="s">
        <v>59</v>
      </c>
      <c r="AC14" t="s">
        <v>59</v>
      </c>
      <c r="AD14" t="s">
        <v>59</v>
      </c>
      <c r="AE14" t="s">
        <v>59</v>
      </c>
      <c r="AF14" t="s">
        <v>59</v>
      </c>
      <c r="AG14" t="s">
        <v>59</v>
      </c>
      <c r="AH14" t="s">
        <v>60</v>
      </c>
      <c r="AI14" t="s">
        <v>60</v>
      </c>
      <c r="AJ14" t="s">
        <v>60</v>
      </c>
      <c r="AK14" t="s">
        <v>60</v>
      </c>
      <c r="AL14" t="s">
        <v>60</v>
      </c>
      <c r="AM14" t="s">
        <v>60</v>
      </c>
      <c r="AN14" t="s">
        <v>60</v>
      </c>
      <c r="AO14" t="s">
        <v>60</v>
      </c>
      <c r="AP14" t="s">
        <v>60</v>
      </c>
      <c r="AQ14" t="s">
        <v>60</v>
      </c>
      <c r="AR14" t="s">
        <v>61</v>
      </c>
      <c r="AS14" t="s">
        <v>61</v>
      </c>
      <c r="AT14" t="s">
        <v>61</v>
      </c>
      <c r="AU14" t="s">
        <v>61</v>
      </c>
      <c r="AV14" t="s">
        <v>61</v>
      </c>
      <c r="AW14" t="s">
        <v>62</v>
      </c>
      <c r="AX14" t="s">
        <v>62</v>
      </c>
      <c r="AY14" t="s">
        <v>62</v>
      </c>
      <c r="AZ14" t="s">
        <v>62</v>
      </c>
      <c r="BA14" t="s">
        <v>62</v>
      </c>
      <c r="BB14" t="s">
        <v>62</v>
      </c>
      <c r="BC14" t="s">
        <v>62</v>
      </c>
      <c r="BD14" t="s">
        <v>62</v>
      </c>
      <c r="BE14" t="s">
        <v>62</v>
      </c>
      <c r="BF14" t="s">
        <v>62</v>
      </c>
      <c r="BG14" t="s">
        <v>62</v>
      </c>
      <c r="BH14" t="s">
        <v>62</v>
      </c>
      <c r="BI14" t="s">
        <v>62</v>
      </c>
      <c r="BJ14" t="s">
        <v>62</v>
      </c>
      <c r="BK14" t="s">
        <v>62</v>
      </c>
      <c r="BL14" t="s">
        <v>62</v>
      </c>
      <c r="BM14" t="s">
        <v>62</v>
      </c>
      <c r="BN14" t="s">
        <v>62</v>
      </c>
      <c r="BO14" t="s">
        <v>62</v>
      </c>
      <c r="BP14" t="s">
        <v>62</v>
      </c>
      <c r="BQ14" t="s">
        <v>62</v>
      </c>
      <c r="BR14" t="s">
        <v>62</v>
      </c>
      <c r="BS14" t="s">
        <v>62</v>
      </c>
      <c r="BT14" t="s">
        <v>62</v>
      </c>
      <c r="BU14" t="s">
        <v>62</v>
      </c>
      <c r="BV14" t="s">
        <v>62</v>
      </c>
      <c r="BW14" t="s">
        <v>62</v>
      </c>
      <c r="BX14" t="s">
        <v>62</v>
      </c>
      <c r="BY14" t="s">
        <v>63</v>
      </c>
      <c r="BZ14" t="s">
        <v>63</v>
      </c>
      <c r="CA14" t="s">
        <v>63</v>
      </c>
      <c r="CB14" t="s">
        <v>63</v>
      </c>
      <c r="CC14" t="s">
        <v>63</v>
      </c>
      <c r="CD14" t="s">
        <v>63</v>
      </c>
      <c r="CE14" t="s">
        <v>63</v>
      </c>
      <c r="CF14" t="s">
        <v>63</v>
      </c>
      <c r="CG14" t="s">
        <v>63</v>
      </c>
      <c r="CH14" t="s">
        <v>63</v>
      </c>
      <c r="CI14" t="s">
        <v>63</v>
      </c>
      <c r="CJ14" t="s">
        <v>63</v>
      </c>
      <c r="CK14" t="s">
        <v>63</v>
      </c>
      <c r="CL14" t="s">
        <v>63</v>
      </c>
      <c r="CM14" t="s">
        <v>63</v>
      </c>
      <c r="CN14" t="s">
        <v>63</v>
      </c>
      <c r="CO14" t="s">
        <v>63</v>
      </c>
      <c r="CP14" t="s">
        <v>63</v>
      </c>
      <c r="CQ14" t="s">
        <v>63</v>
      </c>
      <c r="CR14" t="s">
        <v>63</v>
      </c>
      <c r="CS14" t="s">
        <v>63</v>
      </c>
      <c r="CT14" t="s">
        <v>64</v>
      </c>
      <c r="CU14" t="s">
        <v>64</v>
      </c>
      <c r="CV14" t="s">
        <v>64</v>
      </c>
      <c r="CW14" t="s">
        <v>64</v>
      </c>
      <c r="CX14" t="s">
        <v>64</v>
      </c>
      <c r="CY14" t="s">
        <v>64</v>
      </c>
      <c r="CZ14" t="s">
        <v>64</v>
      </c>
      <c r="DA14" t="s">
        <v>64</v>
      </c>
      <c r="DB14" t="s">
        <v>64</v>
      </c>
      <c r="DC14" t="s">
        <v>64</v>
      </c>
      <c r="DD14" t="s">
        <v>64</v>
      </c>
      <c r="DE14" t="s">
        <v>64</v>
      </c>
      <c r="DF14" t="s">
        <v>64</v>
      </c>
      <c r="DG14" t="s">
        <v>65</v>
      </c>
      <c r="DH14" t="s">
        <v>65</v>
      </c>
      <c r="DI14" t="s">
        <v>65</v>
      </c>
      <c r="DJ14" t="s">
        <v>65</v>
      </c>
      <c r="DK14" t="s">
        <v>66</v>
      </c>
      <c r="DL14" t="s">
        <v>66</v>
      </c>
      <c r="DM14" t="s">
        <v>66</v>
      </c>
      <c r="DN14" t="s">
        <v>66</v>
      </c>
      <c r="DO14" t="s">
        <v>66</v>
      </c>
      <c r="DP14" t="s">
        <v>67</v>
      </c>
      <c r="DQ14" t="s">
        <v>67</v>
      </c>
      <c r="DR14" t="s">
        <v>67</v>
      </c>
      <c r="DS14" t="s">
        <v>67</v>
      </c>
      <c r="DT14" t="s">
        <v>67</v>
      </c>
      <c r="DU14" t="s">
        <v>67</v>
      </c>
      <c r="DV14" t="s">
        <v>67</v>
      </c>
      <c r="DW14" t="s">
        <v>67</v>
      </c>
      <c r="DX14" t="s">
        <v>67</v>
      </c>
      <c r="DY14" t="s">
        <v>67</v>
      </c>
      <c r="DZ14" t="s">
        <v>67</v>
      </c>
      <c r="EA14" t="s">
        <v>67</v>
      </c>
      <c r="EB14" t="s">
        <v>67</v>
      </c>
      <c r="EC14" t="s">
        <v>67</v>
      </c>
      <c r="ED14" t="s">
        <v>67</v>
      </c>
      <c r="EE14" t="s">
        <v>67</v>
      </c>
      <c r="EF14" t="s">
        <v>67</v>
      </c>
      <c r="EG14" t="s">
        <v>67</v>
      </c>
      <c r="EH14" t="s">
        <v>68</v>
      </c>
      <c r="EI14" t="s">
        <v>68</v>
      </c>
      <c r="EJ14" t="s">
        <v>68</v>
      </c>
      <c r="EK14" t="s">
        <v>68</v>
      </c>
      <c r="EL14" t="s">
        <v>68</v>
      </c>
      <c r="EM14" t="s">
        <v>68</v>
      </c>
      <c r="EN14" t="s">
        <v>68</v>
      </c>
      <c r="EO14" t="s">
        <v>68</v>
      </c>
      <c r="EP14" t="s">
        <v>68</v>
      </c>
      <c r="EQ14" t="s">
        <v>68</v>
      </c>
      <c r="ER14" t="s">
        <v>69</v>
      </c>
      <c r="ES14" t="s">
        <v>69</v>
      </c>
      <c r="ET14" t="s">
        <v>69</v>
      </c>
      <c r="EU14" t="s">
        <v>69</v>
      </c>
      <c r="EV14" t="s">
        <v>69</v>
      </c>
      <c r="EW14" t="s">
        <v>69</v>
      </c>
      <c r="EX14" t="s">
        <v>69</v>
      </c>
      <c r="EY14" t="s">
        <v>69</v>
      </c>
      <c r="EZ14" t="s">
        <v>69</v>
      </c>
      <c r="FA14" t="s">
        <v>69</v>
      </c>
      <c r="FB14" t="s">
        <v>69</v>
      </c>
      <c r="FC14" t="s">
        <v>69</v>
      </c>
      <c r="FD14" t="s">
        <v>69</v>
      </c>
      <c r="FE14" t="s">
        <v>69</v>
      </c>
      <c r="FF14" t="s">
        <v>69</v>
      </c>
      <c r="FG14" t="s">
        <v>69</v>
      </c>
      <c r="FH14" t="s">
        <v>69</v>
      </c>
      <c r="FI14" t="s">
        <v>69</v>
      </c>
      <c r="FJ14" t="s">
        <v>70</v>
      </c>
      <c r="FK14" t="s">
        <v>70</v>
      </c>
      <c r="FL14" t="s">
        <v>70</v>
      </c>
      <c r="FM14" t="s">
        <v>70</v>
      </c>
      <c r="FN14" t="s">
        <v>70</v>
      </c>
      <c r="FO14" t="s">
        <v>71</v>
      </c>
      <c r="FP14" t="s">
        <v>71</v>
      </c>
      <c r="FQ14" t="s">
        <v>71</v>
      </c>
      <c r="FR14" t="s">
        <v>71</v>
      </c>
      <c r="FS14" t="s">
        <v>71</v>
      </c>
      <c r="FT14" t="s">
        <v>71</v>
      </c>
      <c r="FU14" t="s">
        <v>71</v>
      </c>
      <c r="FV14" t="s">
        <v>71</v>
      </c>
      <c r="FW14" t="s">
        <v>71</v>
      </c>
      <c r="FX14" t="s">
        <v>71</v>
      </c>
      <c r="FY14" t="s">
        <v>71</v>
      </c>
      <c r="FZ14" t="s">
        <v>71</v>
      </c>
      <c r="GA14" t="s">
        <v>71</v>
      </c>
      <c r="GB14" t="s">
        <v>72</v>
      </c>
      <c r="GC14" t="s">
        <v>72</v>
      </c>
      <c r="GD14" t="s">
        <v>72</v>
      </c>
      <c r="GE14" t="s">
        <v>72</v>
      </c>
      <c r="GF14" t="s">
        <v>72</v>
      </c>
      <c r="GG14" t="s">
        <v>72</v>
      </c>
      <c r="GH14" t="s">
        <v>72</v>
      </c>
      <c r="GI14" t="s">
        <v>72</v>
      </c>
      <c r="GJ14" t="s">
        <v>72</v>
      </c>
      <c r="GK14" t="s">
        <v>72</v>
      </c>
      <c r="GL14" t="s">
        <v>72</v>
      </c>
      <c r="GM14" t="s">
        <v>72</v>
      </c>
      <c r="GN14" t="s">
        <v>72</v>
      </c>
      <c r="GO14" t="s">
        <v>72</v>
      </c>
      <c r="GP14" t="s">
        <v>72</v>
      </c>
      <c r="GQ14" t="s">
        <v>73</v>
      </c>
      <c r="GR14" t="s">
        <v>73</v>
      </c>
      <c r="GS14" t="s">
        <v>73</v>
      </c>
      <c r="GT14" t="s">
        <v>73</v>
      </c>
      <c r="GU14" t="s">
        <v>73</v>
      </c>
      <c r="GV14" t="s">
        <v>73</v>
      </c>
      <c r="GW14" t="s">
        <v>73</v>
      </c>
      <c r="GX14" t="s">
        <v>73</v>
      </c>
      <c r="GY14" t="s">
        <v>73</v>
      </c>
      <c r="GZ14" t="s">
        <v>73</v>
      </c>
      <c r="HA14" t="s">
        <v>73</v>
      </c>
      <c r="HB14" t="s">
        <v>73</v>
      </c>
      <c r="HC14" t="s">
        <v>73</v>
      </c>
      <c r="HD14" t="s">
        <v>73</v>
      </c>
      <c r="HE14" t="s">
        <v>73</v>
      </c>
      <c r="HF14" t="s">
        <v>73</v>
      </c>
      <c r="HG14" t="s">
        <v>73</v>
      </c>
      <c r="HH14" t="s">
        <v>73</v>
      </c>
      <c r="HI14" t="s">
        <v>74</v>
      </c>
      <c r="HJ14" t="s">
        <v>74</v>
      </c>
      <c r="HK14" t="s">
        <v>74</v>
      </c>
      <c r="HL14" t="s">
        <v>74</v>
      </c>
      <c r="HM14" t="s">
        <v>74</v>
      </c>
      <c r="HN14" t="s">
        <v>74</v>
      </c>
      <c r="HO14" t="s">
        <v>74</v>
      </c>
      <c r="HP14" t="s">
        <v>74</v>
      </c>
      <c r="HQ14" t="s">
        <v>74</v>
      </c>
      <c r="HR14" t="s">
        <v>74</v>
      </c>
      <c r="HS14" t="s">
        <v>74</v>
      </c>
      <c r="HT14" t="s">
        <v>74</v>
      </c>
      <c r="HU14" t="s">
        <v>74</v>
      </c>
      <c r="HV14" t="s">
        <v>74</v>
      </c>
      <c r="HW14" t="s">
        <v>74</v>
      </c>
      <c r="HX14" t="s">
        <v>74</v>
      </c>
      <c r="HY14" t="s">
        <v>74</v>
      </c>
      <c r="HZ14" t="s">
        <v>74</v>
      </c>
      <c r="IA14" t="s">
        <v>74</v>
      </c>
      <c r="IB14" t="s">
        <v>75</v>
      </c>
      <c r="IC14" t="s">
        <v>75</v>
      </c>
      <c r="ID14" t="s">
        <v>75</v>
      </c>
      <c r="IE14" t="s">
        <v>75</v>
      </c>
      <c r="IF14" t="s">
        <v>75</v>
      </c>
      <c r="IG14" t="s">
        <v>75</v>
      </c>
      <c r="IH14" t="s">
        <v>75</v>
      </c>
      <c r="II14" t="s">
        <v>75</v>
      </c>
      <c r="IJ14" t="s">
        <v>75</v>
      </c>
      <c r="IK14" t="s">
        <v>75</v>
      </c>
      <c r="IL14" t="s">
        <v>75</v>
      </c>
      <c r="IM14" t="s">
        <v>75</v>
      </c>
      <c r="IN14" t="s">
        <v>75</v>
      </c>
      <c r="IO14" t="s">
        <v>75</v>
      </c>
      <c r="IP14" t="s">
        <v>75</v>
      </c>
      <c r="IQ14" t="s">
        <v>75</v>
      </c>
      <c r="IR14" t="s">
        <v>75</v>
      </c>
      <c r="IS14" t="s">
        <v>75</v>
      </c>
      <c r="IT14" t="s">
        <v>75</v>
      </c>
      <c r="IU14" t="s">
        <v>76</v>
      </c>
      <c r="IV14" t="s">
        <v>76</v>
      </c>
      <c r="IW14" t="s">
        <v>76</v>
      </c>
      <c r="IX14" t="s">
        <v>76</v>
      </c>
      <c r="IY14" t="s">
        <v>76</v>
      </c>
      <c r="IZ14" t="s">
        <v>76</v>
      </c>
      <c r="JA14" t="s">
        <v>76</v>
      </c>
      <c r="JB14" t="s">
        <v>76</v>
      </c>
      <c r="JC14" t="s">
        <v>76</v>
      </c>
      <c r="JD14" t="s">
        <v>76</v>
      </c>
      <c r="JE14" t="s">
        <v>76</v>
      </c>
      <c r="JF14" t="s">
        <v>76</v>
      </c>
      <c r="JG14" t="s">
        <v>76</v>
      </c>
      <c r="JH14" t="s">
        <v>76</v>
      </c>
      <c r="JI14" t="s">
        <v>76</v>
      </c>
      <c r="JJ14" t="s">
        <v>76</v>
      </c>
      <c r="JK14" t="s">
        <v>76</v>
      </c>
      <c r="JL14" t="s">
        <v>76</v>
      </c>
      <c r="JM14" t="s">
        <v>77</v>
      </c>
      <c r="JN14" t="s">
        <v>77</v>
      </c>
      <c r="JO14" t="s">
        <v>77</v>
      </c>
      <c r="JP14" t="s">
        <v>77</v>
      </c>
      <c r="JQ14" t="s">
        <v>77</v>
      </c>
      <c r="JR14" t="s">
        <v>77</v>
      </c>
      <c r="JS14" t="s">
        <v>77</v>
      </c>
      <c r="JT14" t="s">
        <v>77</v>
      </c>
      <c r="JU14" t="s">
        <v>78</v>
      </c>
      <c r="JV14" t="s">
        <v>78</v>
      </c>
      <c r="JW14" t="s">
        <v>78</v>
      </c>
      <c r="JX14" t="s">
        <v>78</v>
      </c>
      <c r="JY14" t="s">
        <v>78</v>
      </c>
      <c r="JZ14" t="s">
        <v>78</v>
      </c>
      <c r="KA14" t="s">
        <v>78</v>
      </c>
      <c r="KB14" t="s">
        <v>78</v>
      </c>
      <c r="KC14" t="s">
        <v>78</v>
      </c>
      <c r="KD14" t="s">
        <v>78</v>
      </c>
      <c r="KE14" t="s">
        <v>78</v>
      </c>
      <c r="KF14" t="s">
        <v>78</v>
      </c>
      <c r="KG14" t="s">
        <v>78</v>
      </c>
      <c r="KH14" t="s">
        <v>78</v>
      </c>
      <c r="KI14" t="s">
        <v>78</v>
      </c>
      <c r="KJ14" t="s">
        <v>78</v>
      </c>
    </row>
    <row r="15" spans="1:296" x14ac:dyDescent="0.3">
      <c r="A15" t="s">
        <v>79</v>
      </c>
      <c r="B15" t="s">
        <v>80</v>
      </c>
      <c r="C15" t="s">
        <v>81</v>
      </c>
      <c r="D15" t="s">
        <v>82</v>
      </c>
      <c r="E15" t="s">
        <v>83</v>
      </c>
      <c r="F15" t="s">
        <v>84</v>
      </c>
      <c r="G15" t="s">
        <v>85</v>
      </c>
      <c r="H15" t="s">
        <v>86</v>
      </c>
      <c r="I15" t="s">
        <v>87</v>
      </c>
      <c r="J15" t="s">
        <v>88</v>
      </c>
      <c r="K15" t="s">
        <v>89</v>
      </c>
      <c r="L15" t="s">
        <v>90</v>
      </c>
      <c r="M15" t="s">
        <v>91</v>
      </c>
      <c r="N15" t="s">
        <v>92</v>
      </c>
      <c r="O15" t="s">
        <v>93</v>
      </c>
      <c r="P15" t="s">
        <v>94</v>
      </c>
      <c r="Q15" t="s">
        <v>95</v>
      </c>
      <c r="R15" t="s">
        <v>96</v>
      </c>
      <c r="S15" t="s">
        <v>97</v>
      </c>
      <c r="T15" t="s">
        <v>98</v>
      </c>
      <c r="U15" t="s">
        <v>99</v>
      </c>
      <c r="V15" t="s">
        <v>100</v>
      </c>
      <c r="W15" t="s">
        <v>101</v>
      </c>
      <c r="X15" t="s">
        <v>102</v>
      </c>
      <c r="Y15" t="s">
        <v>103</v>
      </c>
      <c r="Z15" t="s">
        <v>104</v>
      </c>
      <c r="AA15" t="s">
        <v>105</v>
      </c>
      <c r="AB15" t="s">
        <v>106</v>
      </c>
      <c r="AC15" t="s">
        <v>107</v>
      </c>
      <c r="AD15" t="s">
        <v>108</v>
      </c>
      <c r="AE15" t="s">
        <v>109</v>
      </c>
      <c r="AF15" t="s">
        <v>110</v>
      </c>
      <c r="AG15" t="s">
        <v>111</v>
      </c>
      <c r="AH15" t="s">
        <v>112</v>
      </c>
      <c r="AI15" t="s">
        <v>113</v>
      </c>
      <c r="AJ15" t="s">
        <v>114</v>
      </c>
      <c r="AK15" t="s">
        <v>115</v>
      </c>
      <c r="AL15" t="s">
        <v>116</v>
      </c>
      <c r="AM15" t="s">
        <v>117</v>
      </c>
      <c r="AN15" t="s">
        <v>118</v>
      </c>
      <c r="AO15" t="s">
        <v>119</v>
      </c>
      <c r="AP15" t="s">
        <v>120</v>
      </c>
      <c r="AQ15" t="s">
        <v>121</v>
      </c>
      <c r="AR15" t="s">
        <v>61</v>
      </c>
      <c r="AS15" t="s">
        <v>122</v>
      </c>
      <c r="AT15" t="s">
        <v>123</v>
      </c>
      <c r="AU15" t="s">
        <v>124</v>
      </c>
      <c r="AV15" t="s">
        <v>125</v>
      </c>
      <c r="AW15" t="s">
        <v>126</v>
      </c>
      <c r="AX15" t="s">
        <v>127</v>
      </c>
      <c r="AY15" t="s">
        <v>128</v>
      </c>
      <c r="AZ15" t="s">
        <v>129</v>
      </c>
      <c r="BA15" t="s">
        <v>130</v>
      </c>
      <c r="BB15" t="s">
        <v>131</v>
      </c>
      <c r="BC15" t="s">
        <v>132</v>
      </c>
      <c r="BD15" t="s">
        <v>133</v>
      </c>
      <c r="BE15" t="s">
        <v>134</v>
      </c>
      <c r="BF15" t="s">
        <v>135</v>
      </c>
      <c r="BG15" t="s">
        <v>136</v>
      </c>
      <c r="BH15" t="s">
        <v>137</v>
      </c>
      <c r="BI15" t="s">
        <v>138</v>
      </c>
      <c r="BJ15" t="s">
        <v>139</v>
      </c>
      <c r="BK15" t="s">
        <v>140</v>
      </c>
      <c r="BL15" t="s">
        <v>141</v>
      </c>
      <c r="BM15" t="s">
        <v>142</v>
      </c>
      <c r="BN15" t="s">
        <v>143</v>
      </c>
      <c r="BO15" t="s">
        <v>144</v>
      </c>
      <c r="BP15" t="s">
        <v>145</v>
      </c>
      <c r="BQ15" t="s">
        <v>146</v>
      </c>
      <c r="BR15" t="s">
        <v>147</v>
      </c>
      <c r="BS15" t="s">
        <v>148</v>
      </c>
      <c r="BT15" t="s">
        <v>149</v>
      </c>
      <c r="BU15" t="s">
        <v>150</v>
      </c>
      <c r="BV15" t="s">
        <v>151</v>
      </c>
      <c r="BW15" t="s">
        <v>152</v>
      </c>
      <c r="BX15" t="s">
        <v>153</v>
      </c>
      <c r="BY15" t="s">
        <v>154</v>
      </c>
      <c r="BZ15" t="s">
        <v>155</v>
      </c>
      <c r="CA15" t="s">
        <v>156</v>
      </c>
      <c r="CB15" t="s">
        <v>157</v>
      </c>
      <c r="CC15" t="s">
        <v>158</v>
      </c>
      <c r="CD15" t="s">
        <v>159</v>
      </c>
      <c r="CE15" t="s">
        <v>160</v>
      </c>
      <c r="CF15" t="s">
        <v>161</v>
      </c>
      <c r="CG15" t="s">
        <v>162</v>
      </c>
      <c r="CH15" t="s">
        <v>163</v>
      </c>
      <c r="CI15" t="s">
        <v>164</v>
      </c>
      <c r="CJ15" t="s">
        <v>165</v>
      </c>
      <c r="CK15" t="s">
        <v>166</v>
      </c>
      <c r="CL15" t="s">
        <v>167</v>
      </c>
      <c r="CM15" t="s">
        <v>168</v>
      </c>
      <c r="CN15" t="s">
        <v>169</v>
      </c>
      <c r="CO15" t="s">
        <v>170</v>
      </c>
      <c r="CP15" t="s">
        <v>171</v>
      </c>
      <c r="CQ15" t="s">
        <v>172</v>
      </c>
      <c r="CR15" t="s">
        <v>173</v>
      </c>
      <c r="CS15" t="s">
        <v>174</v>
      </c>
      <c r="CT15" t="s">
        <v>154</v>
      </c>
      <c r="CU15" t="s">
        <v>175</v>
      </c>
      <c r="CV15" t="s">
        <v>176</v>
      </c>
      <c r="CW15" t="s">
        <v>177</v>
      </c>
      <c r="CX15" t="s">
        <v>128</v>
      </c>
      <c r="CY15" t="s">
        <v>178</v>
      </c>
      <c r="CZ15" t="s">
        <v>179</v>
      </c>
      <c r="DA15" t="s">
        <v>180</v>
      </c>
      <c r="DB15" t="s">
        <v>181</v>
      </c>
      <c r="DC15" t="s">
        <v>182</v>
      </c>
      <c r="DD15" t="s">
        <v>183</v>
      </c>
      <c r="DE15" t="s">
        <v>184</v>
      </c>
      <c r="DF15" t="s">
        <v>185</v>
      </c>
      <c r="DG15" t="s">
        <v>186</v>
      </c>
      <c r="DH15" t="s">
        <v>187</v>
      </c>
      <c r="DI15" t="s">
        <v>188</v>
      </c>
      <c r="DJ15" t="s">
        <v>189</v>
      </c>
      <c r="DK15" t="s">
        <v>190</v>
      </c>
      <c r="DL15" t="s">
        <v>191</v>
      </c>
      <c r="DM15" t="s">
        <v>192</v>
      </c>
      <c r="DN15" t="s">
        <v>193</v>
      </c>
      <c r="DO15" t="s">
        <v>194</v>
      </c>
      <c r="DP15" t="s">
        <v>86</v>
      </c>
      <c r="DQ15" t="s">
        <v>195</v>
      </c>
      <c r="DR15" t="s">
        <v>196</v>
      </c>
      <c r="DS15" t="s">
        <v>197</v>
      </c>
      <c r="DT15" t="s">
        <v>198</v>
      </c>
      <c r="DU15" t="s">
        <v>199</v>
      </c>
      <c r="DV15" t="s">
        <v>200</v>
      </c>
      <c r="DW15" t="s">
        <v>201</v>
      </c>
      <c r="DX15" t="s">
        <v>202</v>
      </c>
      <c r="DY15" t="s">
        <v>203</v>
      </c>
      <c r="DZ15" t="s">
        <v>204</v>
      </c>
      <c r="EA15" t="s">
        <v>205</v>
      </c>
      <c r="EB15" t="s">
        <v>206</v>
      </c>
      <c r="EC15" t="s">
        <v>207</v>
      </c>
      <c r="ED15" t="s">
        <v>208</v>
      </c>
      <c r="EE15" t="s">
        <v>209</v>
      </c>
      <c r="EF15" t="s">
        <v>210</v>
      </c>
      <c r="EG15" t="s">
        <v>211</v>
      </c>
      <c r="EH15" t="s">
        <v>212</v>
      </c>
      <c r="EI15" t="s">
        <v>213</v>
      </c>
      <c r="EJ15" t="s">
        <v>214</v>
      </c>
      <c r="EK15" t="s">
        <v>215</v>
      </c>
      <c r="EL15" t="s">
        <v>216</v>
      </c>
      <c r="EM15" t="s">
        <v>217</v>
      </c>
      <c r="EN15" t="s">
        <v>218</v>
      </c>
      <c r="EO15" t="s">
        <v>219</v>
      </c>
      <c r="EP15" t="s">
        <v>220</v>
      </c>
      <c r="EQ15" t="s">
        <v>221</v>
      </c>
      <c r="ER15" t="s">
        <v>222</v>
      </c>
      <c r="ES15" t="s">
        <v>223</v>
      </c>
      <c r="ET15" t="s">
        <v>224</v>
      </c>
      <c r="EU15" t="s">
        <v>225</v>
      </c>
      <c r="EV15" t="s">
        <v>226</v>
      </c>
      <c r="EW15" t="s">
        <v>227</v>
      </c>
      <c r="EX15" t="s">
        <v>228</v>
      </c>
      <c r="EY15" t="s">
        <v>229</v>
      </c>
      <c r="EZ15" t="s">
        <v>230</v>
      </c>
      <c r="FA15" t="s">
        <v>231</v>
      </c>
      <c r="FB15" t="s">
        <v>232</v>
      </c>
      <c r="FC15" t="s">
        <v>233</v>
      </c>
      <c r="FD15" t="s">
        <v>234</v>
      </c>
      <c r="FE15" t="s">
        <v>235</v>
      </c>
      <c r="FF15" t="s">
        <v>236</v>
      </c>
      <c r="FG15" t="s">
        <v>237</v>
      </c>
      <c r="FH15" t="s">
        <v>238</v>
      </c>
      <c r="FI15" t="s">
        <v>239</v>
      </c>
      <c r="FJ15" t="s">
        <v>240</v>
      </c>
      <c r="FK15" t="s">
        <v>241</v>
      </c>
      <c r="FL15" t="s">
        <v>242</v>
      </c>
      <c r="FM15" t="s">
        <v>243</v>
      </c>
      <c r="FN15" t="s">
        <v>244</v>
      </c>
      <c r="FO15" t="s">
        <v>80</v>
      </c>
      <c r="FP15" t="s">
        <v>83</v>
      </c>
      <c r="FQ15" t="s">
        <v>245</v>
      </c>
      <c r="FR15" t="s">
        <v>246</v>
      </c>
      <c r="FS15" t="s">
        <v>247</v>
      </c>
      <c r="FT15" t="s">
        <v>248</v>
      </c>
      <c r="FU15" t="s">
        <v>249</v>
      </c>
      <c r="FV15" t="s">
        <v>250</v>
      </c>
      <c r="FW15" t="s">
        <v>251</v>
      </c>
      <c r="FX15" t="s">
        <v>252</v>
      </c>
      <c r="FY15" t="s">
        <v>253</v>
      </c>
      <c r="FZ15" t="s">
        <v>254</v>
      </c>
      <c r="GA15" t="s">
        <v>255</v>
      </c>
      <c r="GB15" t="s">
        <v>256</v>
      </c>
      <c r="GC15" t="s">
        <v>257</v>
      </c>
      <c r="GD15" t="s">
        <v>258</v>
      </c>
      <c r="GE15" t="s">
        <v>259</v>
      </c>
      <c r="GF15" t="s">
        <v>260</v>
      </c>
      <c r="GG15" t="s">
        <v>261</v>
      </c>
      <c r="GH15" t="s">
        <v>262</v>
      </c>
      <c r="GI15" t="s">
        <v>263</v>
      </c>
      <c r="GJ15" t="s">
        <v>264</v>
      </c>
      <c r="GK15" t="s">
        <v>265</v>
      </c>
      <c r="GL15" t="s">
        <v>266</v>
      </c>
      <c r="GM15" t="s">
        <v>267</v>
      </c>
      <c r="GN15" t="s">
        <v>268</v>
      </c>
      <c r="GO15" t="s">
        <v>269</v>
      </c>
      <c r="GP15" t="s">
        <v>270</v>
      </c>
      <c r="GQ15" t="s">
        <v>271</v>
      </c>
      <c r="GR15" t="s">
        <v>272</v>
      </c>
      <c r="GS15" t="s">
        <v>273</v>
      </c>
      <c r="GT15" t="s">
        <v>274</v>
      </c>
      <c r="GU15" t="s">
        <v>275</v>
      </c>
      <c r="GV15" t="s">
        <v>276</v>
      </c>
      <c r="GW15" t="s">
        <v>277</v>
      </c>
      <c r="GX15" t="s">
        <v>278</v>
      </c>
      <c r="GY15" t="s">
        <v>279</v>
      </c>
      <c r="GZ15" t="s">
        <v>280</v>
      </c>
      <c r="HA15" t="s">
        <v>281</v>
      </c>
      <c r="HB15" t="s">
        <v>282</v>
      </c>
      <c r="HC15" t="s">
        <v>283</v>
      </c>
      <c r="HD15" t="s">
        <v>284</v>
      </c>
      <c r="HE15" t="s">
        <v>285</v>
      </c>
      <c r="HF15" t="s">
        <v>286</v>
      </c>
      <c r="HG15" t="s">
        <v>287</v>
      </c>
      <c r="HH15" t="s">
        <v>288</v>
      </c>
      <c r="HI15" t="s">
        <v>289</v>
      </c>
      <c r="HJ15" t="s">
        <v>290</v>
      </c>
      <c r="HK15" t="s">
        <v>291</v>
      </c>
      <c r="HL15" t="s">
        <v>292</v>
      </c>
      <c r="HM15" t="s">
        <v>293</v>
      </c>
      <c r="HN15" t="s">
        <v>294</v>
      </c>
      <c r="HO15" t="s">
        <v>295</v>
      </c>
      <c r="HP15" t="s">
        <v>296</v>
      </c>
      <c r="HQ15" t="s">
        <v>297</v>
      </c>
      <c r="HR15" t="s">
        <v>298</v>
      </c>
      <c r="HS15" t="s">
        <v>299</v>
      </c>
      <c r="HT15" t="s">
        <v>300</v>
      </c>
      <c r="HU15" t="s">
        <v>301</v>
      </c>
      <c r="HV15" t="s">
        <v>302</v>
      </c>
      <c r="HW15" t="s">
        <v>303</v>
      </c>
      <c r="HX15" t="s">
        <v>304</v>
      </c>
      <c r="HY15" t="s">
        <v>305</v>
      </c>
      <c r="HZ15" t="s">
        <v>306</v>
      </c>
      <c r="IA15" t="s">
        <v>307</v>
      </c>
      <c r="IB15" t="s">
        <v>308</v>
      </c>
      <c r="IC15" t="s">
        <v>309</v>
      </c>
      <c r="ID15" t="s">
        <v>310</v>
      </c>
      <c r="IE15" t="s">
        <v>311</v>
      </c>
      <c r="IF15" t="s">
        <v>312</v>
      </c>
      <c r="IG15" t="s">
        <v>313</v>
      </c>
      <c r="IH15" t="s">
        <v>314</v>
      </c>
      <c r="II15" t="s">
        <v>315</v>
      </c>
      <c r="IJ15" t="s">
        <v>316</v>
      </c>
      <c r="IK15" t="s">
        <v>317</v>
      </c>
      <c r="IL15" t="s">
        <v>318</v>
      </c>
      <c r="IM15" t="s">
        <v>319</v>
      </c>
      <c r="IN15" t="s">
        <v>320</v>
      </c>
      <c r="IO15" t="s">
        <v>321</v>
      </c>
      <c r="IP15" t="s">
        <v>322</v>
      </c>
      <c r="IQ15" t="s">
        <v>323</v>
      </c>
      <c r="IR15" t="s">
        <v>324</v>
      </c>
      <c r="IS15" t="s">
        <v>325</v>
      </c>
      <c r="IT15" t="s">
        <v>326</v>
      </c>
      <c r="IU15" t="s">
        <v>327</v>
      </c>
      <c r="IV15" t="s">
        <v>328</v>
      </c>
      <c r="IW15" t="s">
        <v>329</v>
      </c>
      <c r="IX15" t="s">
        <v>330</v>
      </c>
      <c r="IY15" t="s">
        <v>331</v>
      </c>
      <c r="IZ15" t="s">
        <v>332</v>
      </c>
      <c r="JA15" t="s">
        <v>333</v>
      </c>
      <c r="JB15" t="s">
        <v>334</v>
      </c>
      <c r="JC15" t="s">
        <v>335</v>
      </c>
      <c r="JD15" t="s">
        <v>336</v>
      </c>
      <c r="JE15" t="s">
        <v>337</v>
      </c>
      <c r="JF15" t="s">
        <v>338</v>
      </c>
      <c r="JG15" t="s">
        <v>339</v>
      </c>
      <c r="JH15" t="s">
        <v>340</v>
      </c>
      <c r="JI15" t="s">
        <v>341</v>
      </c>
      <c r="JJ15" t="s">
        <v>342</v>
      </c>
      <c r="JK15" t="s">
        <v>343</v>
      </c>
      <c r="JL15" t="s">
        <v>344</v>
      </c>
      <c r="JM15" t="s">
        <v>345</v>
      </c>
      <c r="JN15" t="s">
        <v>346</v>
      </c>
      <c r="JO15" t="s">
        <v>347</v>
      </c>
      <c r="JP15" t="s">
        <v>348</v>
      </c>
      <c r="JQ15" t="s">
        <v>349</v>
      </c>
      <c r="JR15" t="s">
        <v>350</v>
      </c>
      <c r="JS15" t="s">
        <v>351</v>
      </c>
      <c r="JT15" t="s">
        <v>352</v>
      </c>
      <c r="JU15" t="s">
        <v>353</v>
      </c>
      <c r="JV15" t="s">
        <v>354</v>
      </c>
      <c r="JW15" t="s">
        <v>355</v>
      </c>
      <c r="JX15" t="s">
        <v>356</v>
      </c>
      <c r="JY15" t="s">
        <v>357</v>
      </c>
      <c r="JZ15" t="s">
        <v>358</v>
      </c>
      <c r="KA15" t="s">
        <v>359</v>
      </c>
      <c r="KB15" t="s">
        <v>360</v>
      </c>
      <c r="KC15" t="s">
        <v>361</v>
      </c>
      <c r="KD15" t="s">
        <v>362</v>
      </c>
      <c r="KE15" t="s">
        <v>363</v>
      </c>
      <c r="KF15" t="s">
        <v>364</v>
      </c>
      <c r="KG15" t="s">
        <v>365</v>
      </c>
      <c r="KH15" t="s">
        <v>366</v>
      </c>
      <c r="KI15" t="s">
        <v>367</v>
      </c>
      <c r="KJ15" t="s">
        <v>368</v>
      </c>
    </row>
    <row r="16" spans="1:296" x14ac:dyDescent="0.3">
      <c r="B16" t="s">
        <v>369</v>
      </c>
      <c r="C16" t="s">
        <v>369</v>
      </c>
      <c r="F16" t="s">
        <v>369</v>
      </c>
      <c r="H16" t="s">
        <v>369</v>
      </c>
      <c r="I16" t="s">
        <v>370</v>
      </c>
      <c r="J16" t="s">
        <v>371</v>
      </c>
      <c r="K16" t="s">
        <v>372</v>
      </c>
      <c r="L16" t="s">
        <v>373</v>
      </c>
      <c r="M16" t="s">
        <v>373</v>
      </c>
      <c r="N16" t="s">
        <v>202</v>
      </c>
      <c r="O16" t="s">
        <v>202</v>
      </c>
      <c r="P16" t="s">
        <v>370</v>
      </c>
      <c r="Q16" t="s">
        <v>370</v>
      </c>
      <c r="R16" t="s">
        <v>370</v>
      </c>
      <c r="S16" t="s">
        <v>370</v>
      </c>
      <c r="T16" t="s">
        <v>374</v>
      </c>
      <c r="U16" t="s">
        <v>375</v>
      </c>
      <c r="V16" t="s">
        <v>375</v>
      </c>
      <c r="W16" t="s">
        <v>376</v>
      </c>
      <c r="X16" t="s">
        <v>377</v>
      </c>
      <c r="Y16" t="s">
        <v>376</v>
      </c>
      <c r="Z16" t="s">
        <v>376</v>
      </c>
      <c r="AA16" t="s">
        <v>376</v>
      </c>
      <c r="AB16" t="s">
        <v>374</v>
      </c>
      <c r="AC16" t="s">
        <v>374</v>
      </c>
      <c r="AD16" t="s">
        <v>374</v>
      </c>
      <c r="AE16" t="s">
        <v>374</v>
      </c>
      <c r="AF16" t="s">
        <v>372</v>
      </c>
      <c r="AG16" t="s">
        <v>371</v>
      </c>
      <c r="AH16" t="s">
        <v>372</v>
      </c>
      <c r="AI16" t="s">
        <v>373</v>
      </c>
      <c r="AJ16" t="s">
        <v>373</v>
      </c>
      <c r="AK16" t="s">
        <v>378</v>
      </c>
      <c r="AL16" t="s">
        <v>379</v>
      </c>
      <c r="AM16" t="s">
        <v>371</v>
      </c>
      <c r="AN16" t="s">
        <v>380</v>
      </c>
      <c r="AO16" t="s">
        <v>380</v>
      </c>
      <c r="AP16" t="s">
        <v>381</v>
      </c>
      <c r="AQ16" t="s">
        <v>379</v>
      </c>
      <c r="AR16" t="s">
        <v>382</v>
      </c>
      <c r="AS16" t="s">
        <v>377</v>
      </c>
      <c r="AU16" t="s">
        <v>377</v>
      </c>
      <c r="AV16" t="s">
        <v>382</v>
      </c>
      <c r="BB16" t="s">
        <v>372</v>
      </c>
      <c r="BI16" t="s">
        <v>372</v>
      </c>
      <c r="BJ16" t="s">
        <v>372</v>
      </c>
      <c r="BK16" t="s">
        <v>372</v>
      </c>
      <c r="BL16" t="s">
        <v>383</v>
      </c>
      <c r="BZ16" t="s">
        <v>384</v>
      </c>
      <c r="CB16" t="s">
        <v>384</v>
      </c>
      <c r="CC16" t="s">
        <v>372</v>
      </c>
      <c r="CF16" t="s">
        <v>384</v>
      </c>
      <c r="CG16" t="s">
        <v>377</v>
      </c>
      <c r="CJ16" t="s">
        <v>385</v>
      </c>
      <c r="CK16" t="s">
        <v>385</v>
      </c>
      <c r="CM16" t="s">
        <v>386</v>
      </c>
      <c r="CN16" t="s">
        <v>384</v>
      </c>
      <c r="CP16" t="s">
        <v>384</v>
      </c>
      <c r="CQ16" t="s">
        <v>372</v>
      </c>
      <c r="CU16" t="s">
        <v>384</v>
      </c>
      <c r="CW16" t="s">
        <v>387</v>
      </c>
      <c r="CZ16" t="s">
        <v>384</v>
      </c>
      <c r="DA16" t="s">
        <v>384</v>
      </c>
      <c r="DC16" t="s">
        <v>384</v>
      </c>
      <c r="DE16" t="s">
        <v>384</v>
      </c>
      <c r="DG16" t="s">
        <v>372</v>
      </c>
      <c r="DH16" t="s">
        <v>372</v>
      </c>
      <c r="DJ16" t="s">
        <v>388</v>
      </c>
      <c r="DK16" t="s">
        <v>389</v>
      </c>
      <c r="DN16" t="s">
        <v>370</v>
      </c>
      <c r="DP16" t="s">
        <v>369</v>
      </c>
      <c r="DQ16" t="s">
        <v>373</v>
      </c>
      <c r="DR16" t="s">
        <v>373</v>
      </c>
      <c r="DS16" t="s">
        <v>380</v>
      </c>
      <c r="DT16" t="s">
        <v>380</v>
      </c>
      <c r="DU16" t="s">
        <v>373</v>
      </c>
      <c r="DV16" t="s">
        <v>380</v>
      </c>
      <c r="DW16" t="s">
        <v>382</v>
      </c>
      <c r="DX16" t="s">
        <v>376</v>
      </c>
      <c r="DY16" t="s">
        <v>376</v>
      </c>
      <c r="DZ16" t="s">
        <v>375</v>
      </c>
      <c r="EA16" t="s">
        <v>375</v>
      </c>
      <c r="EB16" t="s">
        <v>375</v>
      </c>
      <c r="EC16" t="s">
        <v>375</v>
      </c>
      <c r="ED16" t="s">
        <v>375</v>
      </c>
      <c r="EE16" t="s">
        <v>390</v>
      </c>
      <c r="EF16" t="s">
        <v>372</v>
      </c>
      <c r="EG16" t="s">
        <v>372</v>
      </c>
      <c r="EH16" t="s">
        <v>373</v>
      </c>
      <c r="EI16" t="s">
        <v>373</v>
      </c>
      <c r="EJ16" t="s">
        <v>373</v>
      </c>
      <c r="EK16" t="s">
        <v>380</v>
      </c>
      <c r="EL16" t="s">
        <v>373</v>
      </c>
      <c r="EM16" t="s">
        <v>380</v>
      </c>
      <c r="EN16" t="s">
        <v>376</v>
      </c>
      <c r="EO16" t="s">
        <v>376</v>
      </c>
      <c r="EP16" t="s">
        <v>375</v>
      </c>
      <c r="EQ16" t="s">
        <v>375</v>
      </c>
      <c r="ER16" t="s">
        <v>372</v>
      </c>
      <c r="EW16" t="s">
        <v>372</v>
      </c>
      <c r="EZ16" t="s">
        <v>375</v>
      </c>
      <c r="FA16" t="s">
        <v>375</v>
      </c>
      <c r="FB16" t="s">
        <v>375</v>
      </c>
      <c r="FC16" t="s">
        <v>375</v>
      </c>
      <c r="FD16" t="s">
        <v>375</v>
      </c>
      <c r="FE16" t="s">
        <v>372</v>
      </c>
      <c r="FF16" t="s">
        <v>372</v>
      </c>
      <c r="FG16" t="s">
        <v>372</v>
      </c>
      <c r="FH16" t="s">
        <v>369</v>
      </c>
      <c r="FK16" t="s">
        <v>391</v>
      </c>
      <c r="FL16" t="s">
        <v>391</v>
      </c>
      <c r="FN16" t="s">
        <v>369</v>
      </c>
      <c r="FO16" t="s">
        <v>392</v>
      </c>
      <c r="FQ16" t="s">
        <v>369</v>
      </c>
      <c r="FR16" t="s">
        <v>369</v>
      </c>
      <c r="FT16" t="s">
        <v>393</v>
      </c>
      <c r="FU16" t="s">
        <v>394</v>
      </c>
      <c r="FV16" t="s">
        <v>393</v>
      </c>
      <c r="FW16" t="s">
        <v>394</v>
      </c>
      <c r="FX16" t="s">
        <v>393</v>
      </c>
      <c r="FY16" t="s">
        <v>394</v>
      </c>
      <c r="FZ16" t="s">
        <v>377</v>
      </c>
      <c r="GA16" t="s">
        <v>377</v>
      </c>
      <c r="GB16" t="s">
        <v>373</v>
      </c>
      <c r="GC16" t="s">
        <v>395</v>
      </c>
      <c r="GD16" t="s">
        <v>373</v>
      </c>
      <c r="GG16" t="s">
        <v>396</v>
      </c>
      <c r="GJ16" t="s">
        <v>380</v>
      </c>
      <c r="GK16" t="s">
        <v>397</v>
      </c>
      <c r="GL16" t="s">
        <v>380</v>
      </c>
      <c r="GQ16" t="s">
        <v>398</v>
      </c>
      <c r="GR16" t="s">
        <v>398</v>
      </c>
      <c r="HE16" t="s">
        <v>398</v>
      </c>
      <c r="HF16" t="s">
        <v>398</v>
      </c>
      <c r="HG16" t="s">
        <v>399</v>
      </c>
      <c r="HH16" t="s">
        <v>399</v>
      </c>
      <c r="HI16" t="s">
        <v>375</v>
      </c>
      <c r="HJ16" t="s">
        <v>375</v>
      </c>
      <c r="HK16" t="s">
        <v>377</v>
      </c>
      <c r="HL16" t="s">
        <v>375</v>
      </c>
      <c r="HM16" t="s">
        <v>380</v>
      </c>
      <c r="HN16" t="s">
        <v>377</v>
      </c>
      <c r="HO16" t="s">
        <v>377</v>
      </c>
      <c r="HQ16" t="s">
        <v>398</v>
      </c>
      <c r="HR16" t="s">
        <v>398</v>
      </c>
      <c r="HS16" t="s">
        <v>398</v>
      </c>
      <c r="HT16" t="s">
        <v>398</v>
      </c>
      <c r="HU16" t="s">
        <v>398</v>
      </c>
      <c r="HV16" t="s">
        <v>398</v>
      </c>
      <c r="HW16" t="s">
        <v>398</v>
      </c>
      <c r="HX16" t="s">
        <v>400</v>
      </c>
      <c r="HY16" t="s">
        <v>400</v>
      </c>
      <c r="HZ16" t="s">
        <v>400</v>
      </c>
      <c r="IA16" t="s">
        <v>401</v>
      </c>
      <c r="IB16" t="s">
        <v>398</v>
      </c>
      <c r="IC16" t="s">
        <v>398</v>
      </c>
      <c r="ID16" t="s">
        <v>398</v>
      </c>
      <c r="IE16" t="s">
        <v>398</v>
      </c>
      <c r="IF16" t="s">
        <v>398</v>
      </c>
      <c r="IG16" t="s">
        <v>398</v>
      </c>
      <c r="IH16" t="s">
        <v>398</v>
      </c>
      <c r="II16" t="s">
        <v>398</v>
      </c>
      <c r="IJ16" t="s">
        <v>398</v>
      </c>
      <c r="IK16" t="s">
        <v>398</v>
      </c>
      <c r="IL16" t="s">
        <v>398</v>
      </c>
      <c r="IM16" t="s">
        <v>398</v>
      </c>
      <c r="IT16" t="s">
        <v>398</v>
      </c>
      <c r="IU16" t="s">
        <v>377</v>
      </c>
      <c r="IV16" t="s">
        <v>377</v>
      </c>
      <c r="IW16" t="s">
        <v>393</v>
      </c>
      <c r="IX16" t="s">
        <v>394</v>
      </c>
      <c r="IY16" t="s">
        <v>393</v>
      </c>
      <c r="JC16" t="s">
        <v>394</v>
      </c>
      <c r="JG16" t="s">
        <v>373</v>
      </c>
      <c r="JH16" t="s">
        <v>373</v>
      </c>
      <c r="JI16" t="s">
        <v>380</v>
      </c>
      <c r="JJ16" t="s">
        <v>380</v>
      </c>
      <c r="JK16" t="s">
        <v>402</v>
      </c>
      <c r="JL16" t="s">
        <v>402</v>
      </c>
      <c r="JM16" t="s">
        <v>398</v>
      </c>
      <c r="JN16" t="s">
        <v>398</v>
      </c>
      <c r="JO16" t="s">
        <v>398</v>
      </c>
      <c r="JP16" t="s">
        <v>398</v>
      </c>
      <c r="JQ16" t="s">
        <v>398</v>
      </c>
      <c r="JR16" t="s">
        <v>398</v>
      </c>
      <c r="JS16" t="s">
        <v>375</v>
      </c>
      <c r="JT16" t="s">
        <v>398</v>
      </c>
      <c r="JV16" t="s">
        <v>382</v>
      </c>
      <c r="JW16" t="s">
        <v>382</v>
      </c>
      <c r="JX16" t="s">
        <v>375</v>
      </c>
      <c r="JY16" t="s">
        <v>375</v>
      </c>
      <c r="JZ16" t="s">
        <v>375</v>
      </c>
      <c r="KA16" t="s">
        <v>375</v>
      </c>
      <c r="KB16" t="s">
        <v>375</v>
      </c>
      <c r="KC16" t="s">
        <v>377</v>
      </c>
      <c r="KD16" t="s">
        <v>377</v>
      </c>
      <c r="KE16" t="s">
        <v>377</v>
      </c>
      <c r="KF16" t="s">
        <v>375</v>
      </c>
      <c r="KG16" t="s">
        <v>373</v>
      </c>
      <c r="KH16" t="s">
        <v>380</v>
      </c>
      <c r="KI16" t="s">
        <v>377</v>
      </c>
      <c r="KJ16" t="s">
        <v>377</v>
      </c>
    </row>
    <row r="17" spans="1:296" x14ac:dyDescent="0.3">
      <c r="A17">
        <v>1</v>
      </c>
      <c r="B17">
        <v>1783529759</v>
      </c>
      <c r="C17">
        <v>0</v>
      </c>
      <c r="D17" t="s">
        <v>842</v>
      </c>
      <c r="E17" t="s">
        <v>843</v>
      </c>
      <c r="F17">
        <v>15</v>
      </c>
      <c r="H17">
        <v>1783529751.25</v>
      </c>
      <c r="I17">
        <f t="shared" ref="I17:I29" si="0">(J17)/1000</f>
        <v>5.1227920525614336E-3</v>
      </c>
      <c r="J17">
        <f t="shared" ref="J17:J29" si="1">IF(DO17, AM17, AG17)</f>
        <v>5.1227920525614339</v>
      </c>
      <c r="K17">
        <f t="shared" ref="K17:K29" si="2">IF(DO17, AH17, AF17)</f>
        <v>55.069492515939828</v>
      </c>
      <c r="L17">
        <f t="shared" ref="L17:L29" si="3">DQ17 - IF(AT17&gt;1, K17*DK17*100/(AV17), 0)</f>
        <v>419.89836666666662</v>
      </c>
      <c r="M17">
        <f t="shared" ref="M17:M29" si="4">((S17-I17/2)*L17-K17)/(S17+I17/2)</f>
        <v>131.73098164099332</v>
      </c>
      <c r="N17">
        <f t="shared" ref="N17:N29" si="5">M17*(DX17+DY17)/1000</f>
        <v>12.901478399275438</v>
      </c>
      <c r="O17">
        <f t="shared" ref="O17:O29" si="6">(DQ17 - IF(AT17&gt;1, K17*DK17*100/(AV17), 0))*(DX17+DY17)/1000</f>
        <v>41.12403657785562</v>
      </c>
      <c r="P17">
        <f t="shared" ref="P17:P29" si="7">2/((1/R17-1/Q17)+SIGN(R17)*SQRT((1/R17-1/Q17)*(1/R17-1/Q17) + 4*DL17/((DL17+1)*(DL17+1))*(2*1/R17*1/Q17-1/Q17*1/Q17)))</f>
        <v>0.33058762698622185</v>
      </c>
      <c r="Q17">
        <f t="shared" ref="Q17:Q29" si="8">IF(LEFT(DM17,1)&lt;&gt;"0",IF(LEFT(DM17,1)="1",3,DN17),$D$5+$E$5*(EE17*DX17/($K$5*1000))+$F$5*(EE17*DX17/($K$5*1000))*MAX(MIN(DK17,$J$5),$I$5)*MAX(MIN(DK17,$J$5),$I$5)+$G$5*MAX(MIN(DK17,$J$5),$I$5)*(EE17*DX17/($K$5*1000))+$H$5*(EE17*DX17/($K$5*1000))*(EE17*DX17/($K$5*1000)))</f>
        <v>2.8925941307709016</v>
      </c>
      <c r="R17">
        <f t="shared" ref="R17:R29" si="9">I17*(1000-(1000*0.61365*EXP(17.502*V17/(240.97+V17))/(DX17+DY17)+DS17)/2)/(1000*0.61365*EXP(17.502*V17/(240.97+V17))/(DX17+DY17)-DS17)</f>
        <v>0.31094048307597416</v>
      </c>
      <c r="S17">
        <f t="shared" ref="S17:S29" si="10">1/((DL17+1)/(P17/1.6)+1/(Q17/1.37)) + DL17/((DL17+1)/(P17/1.6) + DL17/(Q17/1.37))</f>
        <v>0.19600564349654898</v>
      </c>
      <c r="T17">
        <f t="shared" ref="T17:T29" si="11">(DG17*DJ17)</f>
        <v>319.7719896908489</v>
      </c>
      <c r="U17">
        <f t="shared" ref="U17:U29" si="12">(DZ17+(T17+2*0.95*0.0000000567*(((DZ17+$B$7)+273)^4-(DZ17+273)^4)-44100*I17)/(1.84*29.3*Q17+8*0.95*0.0000000567*(DZ17+273)^3))</f>
        <v>30.127721795452814</v>
      </c>
      <c r="V17">
        <f t="shared" ref="V17:V29" si="13">($C$7*EA17+$D$7*EB17+$E$7*U17)</f>
        <v>30.005050000000001</v>
      </c>
      <c r="W17">
        <f t="shared" ref="W17:W29" si="14">0.61365*EXP(17.502*V17/(240.97+V17))</f>
        <v>4.2616857481900716</v>
      </c>
      <c r="X17">
        <f t="shared" ref="X17:X29" si="15">(Y17/Z17*100)</f>
        <v>65.099070721106727</v>
      </c>
      <c r="Y17">
        <f t="shared" ref="Y17:Y29" si="16">DS17*(DX17+DY17)/1000</f>
        <v>2.705534022910729</v>
      </c>
      <c r="Z17">
        <f t="shared" ref="Z17:Z29" si="17">0.61365*EXP(17.502*DZ17/(240.97+DZ17))</f>
        <v>4.1560255667882036</v>
      </c>
      <c r="AA17">
        <f t="shared" ref="AA17:AA29" si="18">(W17-DS17*(DX17+DY17)/1000)</f>
        <v>1.5561517252793426</v>
      </c>
      <c r="AB17">
        <f t="shared" ref="AB17:AB29" si="19">(-I17*44100)</f>
        <v>-225.91512951795923</v>
      </c>
      <c r="AC17">
        <f t="shared" ref="AC17:AC29" si="20">2*29.3*Q17*0.92*(DZ17-V17)</f>
        <v>-68.053591740274783</v>
      </c>
      <c r="AD17">
        <f t="shared" ref="AD17:AD29" si="21">2*0.95*0.0000000567*(((DZ17+$B$7)+273)^4-(V17+273)^4)</f>
        <v>-5.2201866064149964</v>
      </c>
      <c r="AE17">
        <f t="shared" ref="AE17:AE29" si="22">T17+AD17+AB17+AC17</f>
        <v>20.583081826199901</v>
      </c>
      <c r="AF17">
        <f t="shared" ref="AF17:AF29" si="23">DW17*AT17*(DR17-DQ17*(1000-AT17*DT17)/(1000-AT17*DS17))/(100*DK17)</f>
        <v>55.069492515939828</v>
      </c>
      <c r="AG17">
        <f t="shared" ref="AG17:AG29" si="24">1000*DW17*AT17*(DS17-DT17)/(100*DK17*(1000-AT17*DS17))</f>
        <v>5.1227920525614339</v>
      </c>
      <c r="AH17">
        <f t="shared" ref="AH17:AH29" si="25">(AI17 - AJ17 - DX17*1000/(8.314*(DZ17+273.15)) * AL17/DW17 * AK17) * DW17/(100*DK17) * (1000 - DT17)/1000</f>
        <v>54.705632560461261</v>
      </c>
      <c r="AI17">
        <v>499.24162681234333</v>
      </c>
      <c r="AJ17">
        <v>431.99463030303008</v>
      </c>
      <c r="AK17">
        <v>2.936551986088946E-2</v>
      </c>
      <c r="AL17">
        <v>66.924808856744946</v>
      </c>
      <c r="AM17">
        <f t="shared" ref="AM17:AM29" si="26">(AO17 - AN17 + DX17*1000/(8.314*(DZ17+273.15)) * AQ17/DW17 * AP17) * DW17/(100*DK17) * 1000/(1000 - AO17)</f>
        <v>5.1127270160984271</v>
      </c>
      <c r="AN17">
        <v>21.64516970770563</v>
      </c>
      <c r="AO17">
        <v>27.612095757575759</v>
      </c>
      <c r="AP17">
        <v>-2.4892424242384177E-4</v>
      </c>
      <c r="AQ17">
        <v>78.55</v>
      </c>
      <c r="AR17">
        <v>0</v>
      </c>
      <c r="AS17">
        <v>0</v>
      </c>
      <c r="AT17">
        <f t="shared" ref="AT17:AT29" si="27">IF(AR17*$H$13&gt;=AV17,1,(AV17/(AV17-AR17*$H$13)))</f>
        <v>1</v>
      </c>
      <c r="AU17">
        <f t="shared" ref="AU17:AU29" si="28">(AT17-1)*100</f>
        <v>0</v>
      </c>
      <c r="AV17">
        <f t="shared" ref="AV17:AV29" si="29">MAX(0,($B$13+$C$13*EE17)/(1+$D$13*EE17)*DX17/(DZ17+273)*$E$13)</f>
        <v>51330.934499333904</v>
      </c>
      <c r="AW17" t="s">
        <v>844</v>
      </c>
      <c r="AX17">
        <v>5087.38</v>
      </c>
      <c r="AY17">
        <v>545.02941176470586</v>
      </c>
      <c r="AZ17">
        <v>2365.36</v>
      </c>
      <c r="BA17">
        <f t="shared" ref="BA17:BA29" si="30">1-AY17/AZ17</f>
        <v>0.76957866381239814</v>
      </c>
      <c r="BB17">
        <v>-6.1128344961398691</v>
      </c>
      <c r="BC17" t="s">
        <v>845</v>
      </c>
      <c r="BD17">
        <v>5080.29</v>
      </c>
      <c r="BE17">
        <v>713.7056470588235</v>
      </c>
      <c r="BF17">
        <v>867.8</v>
      </c>
      <c r="BG17">
        <f t="shared" ref="BG17:BG29" si="31">1-BE17/BF17</f>
        <v>0.17756897089326629</v>
      </c>
      <c r="BH17">
        <v>0.5</v>
      </c>
      <c r="BI17">
        <f t="shared" ref="BI17:BI29" si="32">DH17</f>
        <v>1680.2685998398176</v>
      </c>
      <c r="BJ17">
        <f t="shared" ref="BJ17:BJ29" si="33">K17</f>
        <v>55.069492515939828</v>
      </c>
      <c r="BK17">
        <f t="shared" ref="BK17:BK29" si="34">BG17*BH17*BI17</f>
        <v>149.18178304891293</v>
      </c>
      <c r="BL17">
        <f t="shared" ref="BL17:BL29" si="35">(BJ17-BB17)/BI17</f>
        <v>3.6412230174337777E-2</v>
      </c>
      <c r="BM17">
        <f t="shared" ref="BM17:BM29" si="36">(AZ17-BF17)/BF17</f>
        <v>1.7256971652454485</v>
      </c>
      <c r="BN17">
        <f t="shared" ref="BN17:BN29" si="37">AY17/(BA17+AY17/BF17)</f>
        <v>389.96480314898093</v>
      </c>
      <c r="BO17" t="s">
        <v>407</v>
      </c>
      <c r="BP17">
        <v>0</v>
      </c>
      <c r="BQ17">
        <f t="shared" ref="BQ17:BQ29" si="38">IF(BP17&lt;&gt;0, BP17, BN17)</f>
        <v>389.96480314898093</v>
      </c>
      <c r="BR17">
        <f t="shared" ref="BR17:BR29" si="39">1-BQ17/BF17</f>
        <v>0.55062825172968322</v>
      </c>
      <c r="BS17">
        <f t="shared" ref="BS17:BS29" si="40">(BF17-BE17)/(BF17-BQ17)</f>
        <v>0.32248430830686692</v>
      </c>
      <c r="BT17">
        <f t="shared" ref="BT17:BT29" si="41">(AZ17-BF17)/(AZ17-BQ17)</f>
        <v>0.7581065309803644</v>
      </c>
      <c r="BU17">
        <f t="shared" ref="BU17:BU29" si="42">(BF17-BE17)/(BF17-AY17)</f>
        <v>0.47741138306209108</v>
      </c>
      <c r="BV17">
        <f t="shared" ref="BV17:BV29" si="43">(AZ17-BF17)/(AZ17-AY17)</f>
        <v>0.82268573064621098</v>
      </c>
      <c r="BW17">
        <f t="shared" ref="BW17:BW29" si="44">(BS17*BQ17/BE17)</f>
        <v>0.17620363566656452</v>
      </c>
      <c r="BX17">
        <f t="shared" ref="BX17:BX29" si="45">(1-BW17)</f>
        <v>0.8237963643334355</v>
      </c>
      <c r="DG17">
        <f t="shared" ref="DG17:DG29" si="46">$B$11*EF17+$C$11*EG17+$F$11*ER17*(1-EU17)</f>
        <v>1999.9633333333329</v>
      </c>
      <c r="DH17">
        <f t="shared" ref="DH17:DH29" si="47">DG17*DI17</f>
        <v>1680.2685998398176</v>
      </c>
      <c r="DI17">
        <f t="shared" ref="DI17:DI29" si="48">($B$11*$D$9+$C$11*$D$9+$F$11*((FE17+EW17)/MAX(FE17+EW17+FF17, 0.1)*$I$9+FF17/MAX(FE17+EW17+FF17, 0.1)*$J$9))/($B$11+$C$11+$F$11)</f>
        <v>0.84014970266445788</v>
      </c>
      <c r="DJ17">
        <f t="shared" ref="DJ17:DJ29" si="49">($B$11*$K$9+$C$11*$K$9+$F$11*((FE17+EW17)/MAX(FE17+EW17+FF17, 0.1)*$P$9+FF17/MAX(FE17+EW17+FF17, 0.1)*$Q$9))/($B$11+$C$11+$F$11)</f>
        <v>0.15988892614240377</v>
      </c>
      <c r="DK17">
        <v>6</v>
      </c>
      <c r="DL17">
        <v>0.5</v>
      </c>
      <c r="DM17" t="s">
        <v>408</v>
      </c>
      <c r="DN17">
        <v>2</v>
      </c>
      <c r="DO17" t="b">
        <v>0</v>
      </c>
      <c r="DP17">
        <v>1783529751.25</v>
      </c>
      <c r="DQ17">
        <v>419.89836666666662</v>
      </c>
      <c r="DR17">
        <v>488.55773333333332</v>
      </c>
      <c r="DS17">
        <v>27.62494666666667</v>
      </c>
      <c r="DT17">
        <v>21.647876666666669</v>
      </c>
      <c r="DU17">
        <v>425.84089999999998</v>
      </c>
      <c r="DV17">
        <v>27.942266666666669</v>
      </c>
      <c r="DW17">
        <v>500.0385</v>
      </c>
      <c r="DX17">
        <v>97.877249999999975</v>
      </c>
      <c r="DY17">
        <v>6.0822263333333328E-2</v>
      </c>
      <c r="DZ17">
        <v>29.568656666666659</v>
      </c>
      <c r="EA17">
        <v>30.005050000000001</v>
      </c>
      <c r="EB17">
        <v>999.9000000000002</v>
      </c>
      <c r="EC17">
        <v>0</v>
      </c>
      <c r="ED17">
        <v>0</v>
      </c>
      <c r="EE17">
        <v>10003.16666666667</v>
      </c>
      <c r="EF17">
        <v>0</v>
      </c>
      <c r="EG17">
        <v>1785.2313333333329</v>
      </c>
      <c r="EH17">
        <v>-68.659283333333335</v>
      </c>
      <c r="EI17">
        <v>431.82766666666669</v>
      </c>
      <c r="EJ17">
        <v>499.36790000000002</v>
      </c>
      <c r="EK17">
        <v>5.9770799999999999</v>
      </c>
      <c r="EL17">
        <v>488.55773333333332</v>
      </c>
      <c r="EM17">
        <v>21.647876666666669</v>
      </c>
      <c r="EN17">
        <v>2.703854999999999</v>
      </c>
      <c r="EO17">
        <v>2.1188349999999998</v>
      </c>
      <c r="EP17">
        <v>22.308553333333329</v>
      </c>
      <c r="EQ17">
        <v>18.361476666666661</v>
      </c>
      <c r="ER17">
        <v>1999.9633333333329</v>
      </c>
      <c r="ES17">
        <v>0.9949973333333334</v>
      </c>
      <c r="ET17">
        <v>5.0024056666666669E-3</v>
      </c>
      <c r="EU17">
        <v>0</v>
      </c>
      <c r="EV17">
        <v>713.80886666666652</v>
      </c>
      <c r="EW17">
        <v>5.0010700000000003</v>
      </c>
      <c r="EX17">
        <v>18748.116666666661</v>
      </c>
      <c r="EY17">
        <v>18241.28666666667</v>
      </c>
      <c r="EZ17">
        <v>44.316333333333333</v>
      </c>
      <c r="FA17">
        <v>46.291333333333313</v>
      </c>
      <c r="FB17">
        <v>44.9664</v>
      </c>
      <c r="FC17">
        <v>45.570466666666661</v>
      </c>
      <c r="FD17">
        <v>45.441199999999981</v>
      </c>
      <c r="FE17">
        <v>1984.9833333333329</v>
      </c>
      <c r="FF17">
        <v>9.9800000000000022</v>
      </c>
      <c r="FG17">
        <v>0</v>
      </c>
      <c r="FH17">
        <v>907.20000004768372</v>
      </c>
      <c r="FI17">
        <v>0</v>
      </c>
      <c r="FJ17">
        <v>713.7056470588235</v>
      </c>
      <c r="FK17">
        <v>-3.073039179329204</v>
      </c>
      <c r="FL17">
        <v>-62.549019714703718</v>
      </c>
      <c r="FM17">
        <v>18756.24705882353</v>
      </c>
      <c r="FN17">
        <v>10</v>
      </c>
      <c r="FO17">
        <v>1783529664</v>
      </c>
      <c r="FP17" t="s">
        <v>846</v>
      </c>
      <c r="FQ17">
        <v>1783529662</v>
      </c>
      <c r="FR17">
        <v>1783529663.5</v>
      </c>
      <c r="FS17">
        <v>28</v>
      </c>
      <c r="FT17">
        <v>-8.0000000000000002E-3</v>
      </c>
      <c r="FU17">
        <v>1.4999999999999999E-2</v>
      </c>
      <c r="FV17">
        <v>-5.9420000000000002</v>
      </c>
      <c r="FW17">
        <v>-0.46800000000000003</v>
      </c>
      <c r="FX17">
        <v>490</v>
      </c>
      <c r="FY17">
        <v>22</v>
      </c>
      <c r="FZ17">
        <v>0.12</v>
      </c>
      <c r="GA17">
        <v>0.06</v>
      </c>
      <c r="GB17">
        <v>419.87964516129028</v>
      </c>
      <c r="GC17">
        <v>1.034661290321186</v>
      </c>
      <c r="GD17">
        <v>9.2688360401977962E-2</v>
      </c>
      <c r="GE17">
        <v>-1</v>
      </c>
      <c r="GF17">
        <v>713.94794117647052</v>
      </c>
      <c r="GG17">
        <v>-2.372345296444859</v>
      </c>
      <c r="GH17">
        <v>0.37028692699648807</v>
      </c>
      <c r="GI17">
        <v>1</v>
      </c>
      <c r="GJ17">
        <v>5.9841953658536591</v>
      </c>
      <c r="GK17">
        <v>-0.1103107317073064</v>
      </c>
      <c r="GL17">
        <v>1.181624844462812E-2</v>
      </c>
      <c r="GM17">
        <v>1</v>
      </c>
      <c r="GN17">
        <v>2</v>
      </c>
      <c r="GO17">
        <v>2</v>
      </c>
      <c r="GP17" t="s">
        <v>423</v>
      </c>
      <c r="GQ17">
        <v>3.1305700000000001</v>
      </c>
      <c r="GR17">
        <v>2.73617</v>
      </c>
      <c r="GS17">
        <v>9.0621699999999999E-2</v>
      </c>
      <c r="GT17">
        <v>0.10111299999999999</v>
      </c>
      <c r="GU17">
        <v>0.12345100000000001</v>
      </c>
      <c r="GV17">
        <v>0.10342899999999999</v>
      </c>
      <c r="GW17">
        <v>22655.4</v>
      </c>
      <c r="GX17">
        <v>30030.400000000001</v>
      </c>
      <c r="GY17">
        <v>27044.1</v>
      </c>
      <c r="GZ17">
        <v>34383.699999999997</v>
      </c>
      <c r="HA17">
        <v>34756.199999999997</v>
      </c>
      <c r="HB17">
        <v>39169.199999999997</v>
      </c>
      <c r="HC17">
        <v>39953.1</v>
      </c>
      <c r="HD17">
        <v>43759.4</v>
      </c>
      <c r="HE17">
        <v>1.9124000000000001</v>
      </c>
      <c r="HF17">
        <v>1.5496000000000001</v>
      </c>
      <c r="HG17">
        <v>-7.1972599999999998E-2</v>
      </c>
      <c r="HH17">
        <v>0</v>
      </c>
      <c r="HI17">
        <v>31.166499999999999</v>
      </c>
      <c r="HJ17">
        <v>999.9</v>
      </c>
      <c r="HK17">
        <v>41.3</v>
      </c>
      <c r="HL17">
        <v>49.3</v>
      </c>
      <c r="HM17">
        <v>50.602200000000003</v>
      </c>
      <c r="HN17">
        <v>60.859000000000002</v>
      </c>
      <c r="HO17">
        <v>8.1009600000000006</v>
      </c>
      <c r="HP17">
        <v>1</v>
      </c>
      <c r="HQ17">
        <v>0.92386199999999996</v>
      </c>
      <c r="HR17">
        <v>6.3496699999999997</v>
      </c>
      <c r="HS17">
        <v>20.143999999999998</v>
      </c>
      <c r="HT17">
        <v>5.2053099999999999</v>
      </c>
      <c r="HU17">
        <v>11.914099999999999</v>
      </c>
      <c r="HV17">
        <v>4.9832000000000001</v>
      </c>
      <c r="HW17">
        <v>3.2709999999999999</v>
      </c>
      <c r="HX17">
        <v>9999</v>
      </c>
      <c r="HY17">
        <v>9999</v>
      </c>
      <c r="HZ17">
        <v>9999</v>
      </c>
      <c r="IA17">
        <v>999.9</v>
      </c>
      <c r="IB17">
        <v>1.8674299999999999</v>
      </c>
      <c r="IC17">
        <v>1.8632200000000001</v>
      </c>
      <c r="ID17">
        <v>1.86267</v>
      </c>
      <c r="IE17">
        <v>1.8623400000000001</v>
      </c>
      <c r="IF17">
        <v>1.8622099999999999</v>
      </c>
      <c r="IG17">
        <v>1.8626400000000001</v>
      </c>
      <c r="IH17">
        <v>1.86371</v>
      </c>
      <c r="II17">
        <v>1.8615699999999999</v>
      </c>
      <c r="IJ17">
        <v>0</v>
      </c>
      <c r="IK17">
        <v>0</v>
      </c>
      <c r="IL17">
        <v>0</v>
      </c>
      <c r="IM17">
        <v>4.5</v>
      </c>
      <c r="IN17" t="s">
        <v>411</v>
      </c>
      <c r="IO17" t="s">
        <v>412</v>
      </c>
      <c r="IP17" t="s">
        <v>413</v>
      </c>
      <c r="IQ17" t="s">
        <v>414</v>
      </c>
      <c r="IR17" t="s">
        <v>414</v>
      </c>
      <c r="IS17" t="s">
        <v>413</v>
      </c>
      <c r="IT17">
        <v>0</v>
      </c>
      <c r="IU17">
        <v>100</v>
      </c>
      <c r="IV17">
        <v>100</v>
      </c>
      <c r="IW17">
        <v>-5.9420000000000002</v>
      </c>
      <c r="IX17">
        <v>-0.31759999999999999</v>
      </c>
      <c r="IY17">
        <v>-5.9424000000000214</v>
      </c>
      <c r="IZ17">
        <v>0</v>
      </c>
      <c r="JA17">
        <v>0</v>
      </c>
      <c r="JB17">
        <v>0</v>
      </c>
      <c r="JC17">
        <v>-0.8222413170717493</v>
      </c>
      <c r="JD17">
        <v>2.7492919904454862E-4</v>
      </c>
      <c r="JE17">
        <v>8.6739513355948885E-4</v>
      </c>
      <c r="JF17">
        <v>-8.2500691715147318E-6</v>
      </c>
      <c r="JG17">
        <v>-1</v>
      </c>
      <c r="JH17">
        <v>-1</v>
      </c>
      <c r="JI17">
        <v>2</v>
      </c>
      <c r="JJ17">
        <v>37</v>
      </c>
      <c r="JK17">
        <v>1.6</v>
      </c>
      <c r="JL17">
        <v>1.6</v>
      </c>
      <c r="JM17">
        <v>1.1999500000000001</v>
      </c>
      <c r="JN17">
        <v>2.6135299999999999</v>
      </c>
      <c r="JO17">
        <v>1.50024</v>
      </c>
      <c r="JP17">
        <v>2.2644000000000002</v>
      </c>
      <c r="JQ17">
        <v>1.4477500000000001</v>
      </c>
      <c r="JR17">
        <v>2.4084500000000002</v>
      </c>
      <c r="JS17">
        <v>52.997300000000003</v>
      </c>
      <c r="JT17">
        <v>14.885</v>
      </c>
      <c r="JU17">
        <v>18</v>
      </c>
      <c r="JV17">
        <v>539.48800000000006</v>
      </c>
      <c r="JW17">
        <v>327.33100000000002</v>
      </c>
      <c r="JX17">
        <v>24.4621</v>
      </c>
      <c r="JY17">
        <v>38.159199999999998</v>
      </c>
      <c r="JZ17">
        <v>30</v>
      </c>
      <c r="KA17">
        <v>38.2502</v>
      </c>
      <c r="KB17">
        <v>38.438099999999999</v>
      </c>
      <c r="KC17">
        <v>24.008199999999999</v>
      </c>
      <c r="KD17">
        <v>56.104399999999998</v>
      </c>
      <c r="KE17">
        <v>0</v>
      </c>
      <c r="KF17">
        <v>24.5519</v>
      </c>
      <c r="KG17">
        <v>488.471</v>
      </c>
      <c r="KH17">
        <v>21.677099999999999</v>
      </c>
      <c r="KI17">
        <v>99.835999999999999</v>
      </c>
      <c r="KJ17">
        <v>98.320599999999999</v>
      </c>
    </row>
    <row r="18" spans="1:296" x14ac:dyDescent="0.3">
      <c r="A18">
        <v>2</v>
      </c>
      <c r="B18">
        <v>1783529941.5</v>
      </c>
      <c r="C18">
        <v>182.5</v>
      </c>
      <c r="D18" t="s">
        <v>847</v>
      </c>
      <c r="E18" t="s">
        <v>848</v>
      </c>
      <c r="F18">
        <v>15</v>
      </c>
      <c r="H18">
        <v>1783529933.5</v>
      </c>
      <c r="I18">
        <f t="shared" si="0"/>
        <v>4.7887587823260665E-3</v>
      </c>
      <c r="J18">
        <f t="shared" si="1"/>
        <v>4.7887587823260667</v>
      </c>
      <c r="K18">
        <f t="shared" si="2"/>
        <v>53.545173082595213</v>
      </c>
      <c r="L18">
        <f t="shared" si="3"/>
        <v>419.92770967741927</v>
      </c>
      <c r="M18">
        <f t="shared" si="4"/>
        <v>119.47234284202509</v>
      </c>
      <c r="N18">
        <f t="shared" si="5"/>
        <v>11.700674966698884</v>
      </c>
      <c r="O18">
        <f t="shared" si="6"/>
        <v>41.126151237719313</v>
      </c>
      <c r="P18">
        <f t="shared" si="7"/>
        <v>0.30669373551856105</v>
      </c>
      <c r="Q18">
        <f t="shared" si="8"/>
        <v>2.8919488532990978</v>
      </c>
      <c r="R18">
        <f t="shared" si="9"/>
        <v>0.28970213743960427</v>
      </c>
      <c r="S18">
        <f t="shared" si="10"/>
        <v>0.18251197184300108</v>
      </c>
      <c r="T18">
        <f t="shared" si="11"/>
        <v>271.90383351456165</v>
      </c>
      <c r="U18">
        <f t="shared" si="12"/>
        <v>29.986908774717204</v>
      </c>
      <c r="V18">
        <f t="shared" si="13"/>
        <v>30.039661290322581</v>
      </c>
      <c r="W18">
        <f t="shared" si="14"/>
        <v>4.2701651944025016</v>
      </c>
      <c r="X18">
        <f t="shared" si="15"/>
        <v>64.969810658052126</v>
      </c>
      <c r="Y18">
        <f t="shared" si="16"/>
        <v>2.7089669914371877</v>
      </c>
      <c r="Z18">
        <f t="shared" si="17"/>
        <v>4.1695780917308989</v>
      </c>
      <c r="AA18">
        <f t="shared" si="18"/>
        <v>1.561198202965314</v>
      </c>
      <c r="AB18">
        <f t="shared" si="19"/>
        <v>-211.18426230057952</v>
      </c>
      <c r="AC18">
        <f t="shared" si="20"/>
        <v>-64.623998581236819</v>
      </c>
      <c r="AD18">
        <f t="shared" si="21"/>
        <v>-4.960457207289962</v>
      </c>
      <c r="AE18">
        <f t="shared" si="22"/>
        <v>-8.8648845745446323</v>
      </c>
      <c r="AF18">
        <f t="shared" si="23"/>
        <v>53.545173082595213</v>
      </c>
      <c r="AG18">
        <f t="shared" si="24"/>
        <v>4.7887587823260667</v>
      </c>
      <c r="AH18">
        <f t="shared" si="25"/>
        <v>53.743188786105875</v>
      </c>
      <c r="AI18">
        <v>497.65016905240839</v>
      </c>
      <c r="AJ18">
        <v>431.83013939393942</v>
      </c>
      <c r="AK18">
        <v>-2.375970032416767E-2</v>
      </c>
      <c r="AL18">
        <v>66.991474434910572</v>
      </c>
      <c r="AM18">
        <f t="shared" si="26"/>
        <v>4.778516773387727</v>
      </c>
      <c r="AN18">
        <v>22.081012844502169</v>
      </c>
      <c r="AO18">
        <v>27.656639393939379</v>
      </c>
      <c r="AP18">
        <v>-5.0586147186023907E-5</v>
      </c>
      <c r="AQ18">
        <v>78.55</v>
      </c>
      <c r="AR18">
        <v>0</v>
      </c>
      <c r="AS18">
        <v>0</v>
      </c>
      <c r="AT18">
        <f t="shared" si="27"/>
        <v>1</v>
      </c>
      <c r="AU18">
        <f t="shared" si="28"/>
        <v>0</v>
      </c>
      <c r="AV18">
        <f t="shared" si="29"/>
        <v>51303.073042423151</v>
      </c>
      <c r="AW18" t="s">
        <v>844</v>
      </c>
      <c r="AX18">
        <v>5087.38</v>
      </c>
      <c r="AY18">
        <v>545.02941176470586</v>
      </c>
      <c r="AZ18">
        <v>2365.36</v>
      </c>
      <c r="BA18">
        <f t="shared" si="30"/>
        <v>0.76957866381239814</v>
      </c>
      <c r="BB18">
        <v>-6.1128344961398691</v>
      </c>
      <c r="BC18" t="s">
        <v>849</v>
      </c>
      <c r="BD18">
        <v>5080.12</v>
      </c>
      <c r="BE18">
        <v>712.75082352941172</v>
      </c>
      <c r="BF18">
        <v>919.28</v>
      </c>
      <c r="BG18">
        <f t="shared" si="31"/>
        <v>0.22466405934055811</v>
      </c>
      <c r="BH18">
        <v>0.5</v>
      </c>
      <c r="BI18">
        <f t="shared" si="32"/>
        <v>1428.2827167466387</v>
      </c>
      <c r="BJ18">
        <f t="shared" si="33"/>
        <v>53.545173082595213</v>
      </c>
      <c r="BK18">
        <f t="shared" si="34"/>
        <v>160.4418965151302</v>
      </c>
      <c r="BL18">
        <f t="shared" si="35"/>
        <v>4.1769046757510919E-2</v>
      </c>
      <c r="BM18">
        <f t="shared" si="36"/>
        <v>1.5730571751805764</v>
      </c>
      <c r="BN18">
        <f t="shared" si="37"/>
        <v>400.03158778632269</v>
      </c>
      <c r="BO18" t="s">
        <v>407</v>
      </c>
      <c r="BP18">
        <v>0</v>
      </c>
      <c r="BQ18">
        <f t="shared" si="38"/>
        <v>400.03158778632269</v>
      </c>
      <c r="BR18">
        <f t="shared" si="39"/>
        <v>0.56484249870950887</v>
      </c>
      <c r="BS18">
        <f t="shared" si="40"/>
        <v>0.39774638036947696</v>
      </c>
      <c r="BT18">
        <f t="shared" si="41"/>
        <v>0.7357956008844273</v>
      </c>
      <c r="BU18">
        <f t="shared" si="42"/>
        <v>0.55184729954450151</v>
      </c>
      <c r="BV18">
        <f t="shared" si="43"/>
        <v>0.79440515329794659</v>
      </c>
      <c r="BW18">
        <f t="shared" si="44"/>
        <v>0.22323526093954596</v>
      </c>
      <c r="BX18">
        <f t="shared" si="45"/>
        <v>0.77676473906045407</v>
      </c>
      <c r="DG18">
        <f t="shared" si="46"/>
        <v>1699.973870967742</v>
      </c>
      <c r="DH18">
        <f t="shared" si="47"/>
        <v>1428.2827167466387</v>
      </c>
      <c r="DI18">
        <f t="shared" si="48"/>
        <v>0.84017921753912728</v>
      </c>
      <c r="DJ18">
        <f t="shared" si="49"/>
        <v>0.15994588985051594</v>
      </c>
      <c r="DK18">
        <v>6</v>
      </c>
      <c r="DL18">
        <v>0.5</v>
      </c>
      <c r="DM18" t="s">
        <v>408</v>
      </c>
      <c r="DN18">
        <v>2</v>
      </c>
      <c r="DO18" t="b">
        <v>0</v>
      </c>
      <c r="DP18">
        <v>1783529933.5</v>
      </c>
      <c r="DQ18">
        <v>419.92770967741927</v>
      </c>
      <c r="DR18">
        <v>486.59129032258062</v>
      </c>
      <c r="DS18">
        <v>27.660509677419359</v>
      </c>
      <c r="DT18">
        <v>22.073264516129029</v>
      </c>
      <c r="DU18">
        <v>425.79612903225808</v>
      </c>
      <c r="DV18">
        <v>27.976800000000001</v>
      </c>
      <c r="DW18">
        <v>500.02809677419361</v>
      </c>
      <c r="DX18">
        <v>97.875138709677415</v>
      </c>
      <c r="DY18">
        <v>6.1125770967741952E-2</v>
      </c>
      <c r="DZ18">
        <v>29.625167741935481</v>
      </c>
      <c r="EA18">
        <v>30.039661290322581</v>
      </c>
      <c r="EB18">
        <v>999.90000000000032</v>
      </c>
      <c r="EC18">
        <v>0</v>
      </c>
      <c r="ED18">
        <v>0</v>
      </c>
      <c r="EE18">
        <v>9999.677419354839</v>
      </c>
      <c r="EF18">
        <v>0</v>
      </c>
      <c r="EG18">
        <v>1758.384193548387</v>
      </c>
      <c r="EH18">
        <v>-66.663619354838701</v>
      </c>
      <c r="EI18">
        <v>431.87354838709672</v>
      </c>
      <c r="EJ18">
        <v>497.57435483870972</v>
      </c>
      <c r="EK18">
        <v>5.5872467741935488</v>
      </c>
      <c r="EL18">
        <v>486.59129032258062</v>
      </c>
      <c r="EM18">
        <v>22.073264516129029</v>
      </c>
      <c r="EN18">
        <v>2.7072764516129029</v>
      </c>
      <c r="EO18">
        <v>2.1604235483870968</v>
      </c>
      <c r="EP18">
        <v>22.32934516129032</v>
      </c>
      <c r="EQ18">
        <v>18.671819354838711</v>
      </c>
      <c r="ER18">
        <v>1699.973870967742</v>
      </c>
      <c r="ES18">
        <v>0.99400825806451609</v>
      </c>
      <c r="ET18">
        <v>5.9912493548387093E-3</v>
      </c>
      <c r="EU18">
        <v>0</v>
      </c>
      <c r="EV18">
        <v>712.79516129032254</v>
      </c>
      <c r="EW18">
        <v>5.0010700000000003</v>
      </c>
      <c r="EX18">
        <v>16422.11290322581</v>
      </c>
      <c r="EY18">
        <v>15492.322580645159</v>
      </c>
      <c r="EZ18">
        <v>44.858741935483877</v>
      </c>
      <c r="FA18">
        <v>47.138935483870952</v>
      </c>
      <c r="FB18">
        <v>45.759999999999977</v>
      </c>
      <c r="FC18">
        <v>46.419032258064497</v>
      </c>
      <c r="FD18">
        <v>46.041999999999973</v>
      </c>
      <c r="FE18">
        <v>1684.8138709677421</v>
      </c>
      <c r="FF18">
        <v>10.155483870967741</v>
      </c>
      <c r="FG18">
        <v>0</v>
      </c>
      <c r="FH18">
        <v>182</v>
      </c>
      <c r="FI18">
        <v>0</v>
      </c>
      <c r="FJ18">
        <v>712.75082352941172</v>
      </c>
      <c r="FK18">
        <v>-0.72377453141958348</v>
      </c>
      <c r="FL18">
        <v>543.50490179400936</v>
      </c>
      <c r="FM18">
        <v>16435.364705882352</v>
      </c>
      <c r="FN18">
        <v>10</v>
      </c>
      <c r="FO18">
        <v>1783529850</v>
      </c>
      <c r="FP18" t="s">
        <v>850</v>
      </c>
      <c r="FQ18">
        <v>1783529833</v>
      </c>
      <c r="FR18">
        <v>1783529849.5</v>
      </c>
      <c r="FS18">
        <v>29</v>
      </c>
      <c r="FT18">
        <v>7.3999999999999996E-2</v>
      </c>
      <c r="FU18">
        <v>1.2E-2</v>
      </c>
      <c r="FV18">
        <v>-5.8689999999999998</v>
      </c>
      <c r="FW18">
        <v>-0.46700000000000003</v>
      </c>
      <c r="FX18">
        <v>487</v>
      </c>
      <c r="FY18">
        <v>22</v>
      </c>
      <c r="FZ18">
        <v>0.15</v>
      </c>
      <c r="GA18">
        <v>0.05</v>
      </c>
      <c r="GB18">
        <v>419.92786666666672</v>
      </c>
      <c r="GC18">
        <v>0.294193548386117</v>
      </c>
      <c r="GD18">
        <v>7.164483388369465E-2</v>
      </c>
      <c r="GE18">
        <v>-1</v>
      </c>
      <c r="GF18">
        <v>712.74217647058822</v>
      </c>
      <c r="GG18">
        <v>0.55905271283095781</v>
      </c>
      <c r="GH18">
        <v>0.26479120193624112</v>
      </c>
      <c r="GI18">
        <v>1</v>
      </c>
      <c r="GJ18">
        <v>5.5957535000000007</v>
      </c>
      <c r="GK18">
        <v>-0.1581593245778615</v>
      </c>
      <c r="GL18">
        <v>1.580033220378611E-2</v>
      </c>
      <c r="GM18">
        <v>1</v>
      </c>
      <c r="GN18">
        <v>2</v>
      </c>
      <c r="GO18">
        <v>2</v>
      </c>
      <c r="GP18" t="s">
        <v>423</v>
      </c>
      <c r="GQ18">
        <v>3.13097</v>
      </c>
      <c r="GR18">
        <v>2.7373699999999999</v>
      </c>
      <c r="GS18">
        <v>9.0592300000000001E-2</v>
      </c>
      <c r="GT18">
        <v>0.10079</v>
      </c>
      <c r="GU18">
        <v>0.12352100000000001</v>
      </c>
      <c r="GV18">
        <v>0.104878</v>
      </c>
      <c r="GW18">
        <v>22652</v>
      </c>
      <c r="GX18">
        <v>30034.1</v>
      </c>
      <c r="GY18">
        <v>27039.7</v>
      </c>
      <c r="GZ18">
        <v>34376.300000000003</v>
      </c>
      <c r="HA18">
        <v>34748.400000000001</v>
      </c>
      <c r="HB18">
        <v>39099.800000000003</v>
      </c>
      <c r="HC18">
        <v>39946.5</v>
      </c>
      <c r="HD18">
        <v>43752</v>
      </c>
      <c r="HE18">
        <v>1.91</v>
      </c>
      <c r="HF18">
        <v>1.5491999999999999</v>
      </c>
      <c r="HG18">
        <v>-8.1717999999999999E-2</v>
      </c>
      <c r="HH18">
        <v>0</v>
      </c>
      <c r="HI18">
        <v>31.355399999999999</v>
      </c>
      <c r="HJ18">
        <v>999.9</v>
      </c>
      <c r="HK18">
        <v>41.3</v>
      </c>
      <c r="HL18">
        <v>49.4</v>
      </c>
      <c r="HM18">
        <v>50.859299999999998</v>
      </c>
      <c r="HN18">
        <v>60.959099999999999</v>
      </c>
      <c r="HO18">
        <v>7.8765999999999998</v>
      </c>
      <c r="HP18">
        <v>1</v>
      </c>
      <c r="HQ18">
        <v>0.93853699999999995</v>
      </c>
      <c r="HR18">
        <v>6.99329</v>
      </c>
      <c r="HS18">
        <v>20.121600000000001</v>
      </c>
      <c r="HT18">
        <v>5.2088999999999999</v>
      </c>
      <c r="HU18">
        <v>11.914099999999999</v>
      </c>
      <c r="HV18">
        <v>4.9820000000000002</v>
      </c>
      <c r="HW18">
        <v>3.2709999999999999</v>
      </c>
      <c r="HX18">
        <v>9999</v>
      </c>
      <c r="HY18">
        <v>9999</v>
      </c>
      <c r="HZ18">
        <v>9999</v>
      </c>
      <c r="IA18">
        <v>999.9</v>
      </c>
      <c r="IB18">
        <v>1.8675200000000001</v>
      </c>
      <c r="IC18">
        <v>1.8632500000000001</v>
      </c>
      <c r="ID18">
        <v>1.86276</v>
      </c>
      <c r="IE18">
        <v>1.8623400000000001</v>
      </c>
      <c r="IF18">
        <v>1.8622399999999999</v>
      </c>
      <c r="IG18">
        <v>1.8626400000000001</v>
      </c>
      <c r="IH18">
        <v>1.86365</v>
      </c>
      <c r="II18">
        <v>1.8615699999999999</v>
      </c>
      <c r="IJ18">
        <v>0</v>
      </c>
      <c r="IK18">
        <v>0</v>
      </c>
      <c r="IL18">
        <v>0</v>
      </c>
      <c r="IM18">
        <v>4.5</v>
      </c>
      <c r="IN18" t="s">
        <v>411</v>
      </c>
      <c r="IO18" t="s">
        <v>412</v>
      </c>
      <c r="IP18" t="s">
        <v>413</v>
      </c>
      <c r="IQ18" t="s">
        <v>414</v>
      </c>
      <c r="IR18" t="s">
        <v>414</v>
      </c>
      <c r="IS18" t="s">
        <v>413</v>
      </c>
      <c r="IT18">
        <v>0</v>
      </c>
      <c r="IU18">
        <v>100</v>
      </c>
      <c r="IV18">
        <v>100</v>
      </c>
      <c r="IW18">
        <v>-5.8680000000000003</v>
      </c>
      <c r="IX18">
        <v>-0.3165</v>
      </c>
      <c r="IY18">
        <v>-5.8685714285713289</v>
      </c>
      <c r="IZ18">
        <v>0</v>
      </c>
      <c r="JA18">
        <v>0</v>
      </c>
      <c r="JB18">
        <v>0</v>
      </c>
      <c r="JC18">
        <v>-0.8222413170717493</v>
      </c>
      <c r="JD18">
        <v>2.7492919904454862E-4</v>
      </c>
      <c r="JE18">
        <v>8.6739513355948885E-4</v>
      </c>
      <c r="JF18">
        <v>-8.2500691715147318E-6</v>
      </c>
      <c r="JG18">
        <v>-1</v>
      </c>
      <c r="JH18">
        <v>-1</v>
      </c>
      <c r="JI18">
        <v>2</v>
      </c>
      <c r="JJ18">
        <v>37</v>
      </c>
      <c r="JK18">
        <v>1.8</v>
      </c>
      <c r="JL18">
        <v>1.5</v>
      </c>
      <c r="JM18">
        <v>1.1962900000000001</v>
      </c>
      <c r="JN18">
        <v>2.6037599999999999</v>
      </c>
      <c r="JO18">
        <v>1.50024</v>
      </c>
      <c r="JP18">
        <v>2.2644000000000002</v>
      </c>
      <c r="JQ18">
        <v>1.4477500000000001</v>
      </c>
      <c r="JR18">
        <v>2.3913600000000002</v>
      </c>
      <c r="JS18">
        <v>53.241700000000002</v>
      </c>
      <c r="JT18">
        <v>14.78</v>
      </c>
      <c r="JU18">
        <v>18</v>
      </c>
      <c r="JV18">
        <v>538.96600000000001</v>
      </c>
      <c r="JW18">
        <v>327.86599999999999</v>
      </c>
      <c r="JX18">
        <v>24.354500000000002</v>
      </c>
      <c r="JY18">
        <v>38.275599999999997</v>
      </c>
      <c r="JZ18">
        <v>30.001000000000001</v>
      </c>
      <c r="KA18">
        <v>38.395699999999998</v>
      </c>
      <c r="KB18">
        <v>38.5991</v>
      </c>
      <c r="KC18">
        <v>23.930499999999999</v>
      </c>
      <c r="KD18">
        <v>55.595700000000001</v>
      </c>
      <c r="KE18">
        <v>0</v>
      </c>
      <c r="KF18">
        <v>24.328099999999999</v>
      </c>
      <c r="KG18">
        <v>486.524</v>
      </c>
      <c r="KH18">
        <v>22.022400000000001</v>
      </c>
      <c r="KI18">
        <v>99.819699999999997</v>
      </c>
      <c r="KJ18">
        <v>98.302099999999996</v>
      </c>
    </row>
    <row r="19" spans="1:296" x14ac:dyDescent="0.3">
      <c r="A19">
        <v>3</v>
      </c>
      <c r="B19">
        <v>1783530124</v>
      </c>
      <c r="C19">
        <v>365</v>
      </c>
      <c r="D19" t="s">
        <v>851</v>
      </c>
      <c r="E19" t="s">
        <v>852</v>
      </c>
      <c r="F19">
        <v>15</v>
      </c>
      <c r="H19">
        <v>1783530116</v>
      </c>
      <c r="I19">
        <f t="shared" si="0"/>
        <v>4.9547619621288274E-3</v>
      </c>
      <c r="J19">
        <f t="shared" si="1"/>
        <v>4.9547619621288277</v>
      </c>
      <c r="K19">
        <f t="shared" si="2"/>
        <v>51.99867075108525</v>
      </c>
      <c r="L19">
        <f t="shared" si="3"/>
        <v>420.53132258064522</v>
      </c>
      <c r="M19">
        <f t="shared" si="4"/>
        <v>145.45263075675589</v>
      </c>
      <c r="N19">
        <f t="shared" si="5"/>
        <v>14.246219691143427</v>
      </c>
      <c r="O19">
        <f t="shared" si="6"/>
        <v>41.188540745679923</v>
      </c>
      <c r="P19">
        <f t="shared" si="7"/>
        <v>0.32725180684741634</v>
      </c>
      <c r="Q19">
        <f t="shared" si="8"/>
        <v>2.8929594914885839</v>
      </c>
      <c r="R19">
        <f t="shared" si="9"/>
        <v>0.30798904518951536</v>
      </c>
      <c r="S19">
        <f t="shared" si="10"/>
        <v>0.19412928089268078</v>
      </c>
      <c r="T19">
        <f t="shared" si="11"/>
        <v>255.91864938672612</v>
      </c>
      <c r="U19">
        <f t="shared" si="12"/>
        <v>29.712972294157481</v>
      </c>
      <c r="V19">
        <f t="shared" si="13"/>
        <v>29.833454838709681</v>
      </c>
      <c r="W19">
        <f t="shared" si="14"/>
        <v>4.2198628784453156</v>
      </c>
      <c r="X19">
        <f t="shared" si="15"/>
        <v>65.257058085970954</v>
      </c>
      <c r="Y19">
        <f t="shared" si="16"/>
        <v>2.6998520571294504</v>
      </c>
      <c r="Z19">
        <f t="shared" si="17"/>
        <v>4.1372567754626806</v>
      </c>
      <c r="AA19">
        <f t="shared" si="18"/>
        <v>1.5200108213158652</v>
      </c>
      <c r="AB19">
        <f t="shared" si="19"/>
        <v>-218.5050025298813</v>
      </c>
      <c r="AC19">
        <f t="shared" si="20"/>
        <v>-53.546889090908763</v>
      </c>
      <c r="AD19">
        <f t="shared" si="21"/>
        <v>-4.1018146966905435</v>
      </c>
      <c r="AE19">
        <f t="shared" si="22"/>
        <v>-20.235056930754496</v>
      </c>
      <c r="AF19">
        <f t="shared" si="23"/>
        <v>51.99867075108525</v>
      </c>
      <c r="AG19">
        <f t="shared" si="24"/>
        <v>4.9547619621288277</v>
      </c>
      <c r="AH19">
        <f t="shared" si="25"/>
        <v>51.752034333035766</v>
      </c>
      <c r="AI19">
        <v>495.86357898457322</v>
      </c>
      <c r="AJ19">
        <v>432.44544848484838</v>
      </c>
      <c r="AK19">
        <v>-1.149030274726002E-2</v>
      </c>
      <c r="AL19">
        <v>66.951124968839451</v>
      </c>
      <c r="AM19">
        <f t="shared" si="26"/>
        <v>4.9419359553833688</v>
      </c>
      <c r="AN19">
        <v>21.780423840519489</v>
      </c>
      <c r="AO19">
        <v>27.547408484848489</v>
      </c>
      <c r="AP19">
        <v>-1.148982837492028E-4</v>
      </c>
      <c r="AQ19">
        <v>78.55</v>
      </c>
      <c r="AR19">
        <v>0</v>
      </c>
      <c r="AS19">
        <v>0</v>
      </c>
      <c r="AT19">
        <f t="shared" si="27"/>
        <v>1</v>
      </c>
      <c r="AU19">
        <f t="shared" si="28"/>
        <v>0</v>
      </c>
      <c r="AV19">
        <f t="shared" si="29"/>
        <v>51354.711975623541</v>
      </c>
      <c r="AW19" t="s">
        <v>844</v>
      </c>
      <c r="AX19">
        <v>5087.38</v>
      </c>
      <c r="AY19">
        <v>545.02941176470586</v>
      </c>
      <c r="AZ19">
        <v>2365.36</v>
      </c>
      <c r="BA19">
        <f t="shared" si="30"/>
        <v>0.76957866381239814</v>
      </c>
      <c r="BB19">
        <v>-6.1128344961398691</v>
      </c>
      <c r="BC19" t="s">
        <v>853</v>
      </c>
      <c r="BD19">
        <v>5078.54</v>
      </c>
      <c r="BE19">
        <v>715.33282352941183</v>
      </c>
      <c r="BF19">
        <v>946.72</v>
      </c>
      <c r="BG19">
        <f t="shared" si="31"/>
        <v>0.24440930419827211</v>
      </c>
      <c r="BH19">
        <v>0.5</v>
      </c>
      <c r="BI19">
        <f t="shared" si="32"/>
        <v>1344.3151063177086</v>
      </c>
      <c r="BJ19">
        <f t="shared" si="33"/>
        <v>51.99867075108525</v>
      </c>
      <c r="BK19">
        <f t="shared" si="34"/>
        <v>164.28155987916867</v>
      </c>
      <c r="BL19">
        <f t="shared" si="35"/>
        <v>4.3227592232004078E-2</v>
      </c>
      <c r="BM19">
        <f t="shared" si="36"/>
        <v>1.4984789589318912</v>
      </c>
      <c r="BN19">
        <f t="shared" si="37"/>
        <v>405.14152766915061</v>
      </c>
      <c r="BO19" t="s">
        <v>407</v>
      </c>
      <c r="BP19">
        <v>0</v>
      </c>
      <c r="BQ19">
        <f t="shared" si="38"/>
        <v>405.14152766915061</v>
      </c>
      <c r="BR19">
        <f t="shared" si="39"/>
        <v>0.57205770695754754</v>
      </c>
      <c r="BS19">
        <f t="shared" si="40"/>
        <v>0.42724589010110087</v>
      </c>
      <c r="BT19">
        <f t="shared" si="41"/>
        <v>0.72371524910339646</v>
      </c>
      <c r="BU19">
        <f t="shared" si="42"/>
        <v>0.57603335315153292</v>
      </c>
      <c r="BV19">
        <f t="shared" si="43"/>
        <v>0.77933096832443494</v>
      </c>
      <c r="BW19">
        <f t="shared" si="44"/>
        <v>0.24197834478206215</v>
      </c>
      <c r="BX19">
        <f t="shared" si="45"/>
        <v>0.75802165521793785</v>
      </c>
      <c r="DG19">
        <f t="shared" si="46"/>
        <v>1600.0338709677419</v>
      </c>
      <c r="DH19">
        <f t="shared" si="47"/>
        <v>1344.3151063177086</v>
      </c>
      <c r="DI19">
        <f t="shared" si="48"/>
        <v>0.84017915539789922</v>
      </c>
      <c r="DJ19">
        <f t="shared" si="49"/>
        <v>0.15994576991794549</v>
      </c>
      <c r="DK19">
        <v>6</v>
      </c>
      <c r="DL19">
        <v>0.5</v>
      </c>
      <c r="DM19" t="s">
        <v>408</v>
      </c>
      <c r="DN19">
        <v>2</v>
      </c>
      <c r="DO19" t="b">
        <v>0</v>
      </c>
      <c r="DP19">
        <v>1783530116</v>
      </c>
      <c r="DQ19">
        <v>420.53132258064522</v>
      </c>
      <c r="DR19">
        <v>485.42248387096771</v>
      </c>
      <c r="DS19">
        <v>27.56524838709678</v>
      </c>
      <c r="DT19">
        <v>21.78410645161291</v>
      </c>
      <c r="DU19">
        <v>426.4367741935485</v>
      </c>
      <c r="DV19">
        <v>27.884264516129029</v>
      </c>
      <c r="DW19">
        <v>500.05858064516133</v>
      </c>
      <c r="DX19">
        <v>97.882996774193543</v>
      </c>
      <c r="DY19">
        <v>6.1052893548387097E-2</v>
      </c>
      <c r="DZ19">
        <v>29.490129032258061</v>
      </c>
      <c r="EA19">
        <v>29.833454838709681</v>
      </c>
      <c r="EB19">
        <v>999.90000000000032</v>
      </c>
      <c r="EC19">
        <v>0</v>
      </c>
      <c r="ED19">
        <v>0</v>
      </c>
      <c r="EE19">
        <v>10004.677419354841</v>
      </c>
      <c r="EF19">
        <v>0</v>
      </c>
      <c r="EG19">
        <v>962.42245161290316</v>
      </c>
      <c r="EH19">
        <v>-64.891245161290328</v>
      </c>
      <c r="EI19">
        <v>432.45203225806449</v>
      </c>
      <c r="EJ19">
        <v>496.23245161290328</v>
      </c>
      <c r="EK19">
        <v>5.7811400000000006</v>
      </c>
      <c r="EL19">
        <v>485.42248387096771</v>
      </c>
      <c r="EM19">
        <v>21.78410645161291</v>
      </c>
      <c r="EN19">
        <v>2.6981696774193549</v>
      </c>
      <c r="EO19">
        <v>2.132293225806452</v>
      </c>
      <c r="EP19">
        <v>22.273977419354839</v>
      </c>
      <c r="EQ19">
        <v>18.462499999999999</v>
      </c>
      <c r="ER19">
        <v>1600.0338709677419</v>
      </c>
      <c r="ES19">
        <v>0.99400809677419366</v>
      </c>
      <c r="ET19">
        <v>5.9923109677419376E-3</v>
      </c>
      <c r="EU19">
        <v>0</v>
      </c>
      <c r="EV19">
        <v>715.56706451612888</v>
      </c>
      <c r="EW19">
        <v>5.0010700000000003</v>
      </c>
      <c r="EX19">
        <v>14025.19677419355</v>
      </c>
      <c r="EY19">
        <v>14578.84838709677</v>
      </c>
      <c r="EZ19">
        <v>45.182999999999971</v>
      </c>
      <c r="FA19">
        <v>47.481709677419332</v>
      </c>
      <c r="FB19">
        <v>46.186999999999969</v>
      </c>
      <c r="FC19">
        <v>46.684999999999967</v>
      </c>
      <c r="FD19">
        <v>46.375</v>
      </c>
      <c r="FE19">
        <v>1585.478387096774</v>
      </c>
      <c r="FF19">
        <v>9.5551612903225838</v>
      </c>
      <c r="FG19">
        <v>0</v>
      </c>
      <c r="FH19">
        <v>181.60000014305109</v>
      </c>
      <c r="FI19">
        <v>0</v>
      </c>
      <c r="FJ19">
        <v>715.33282352941183</v>
      </c>
      <c r="FK19">
        <v>-2.474754857972437</v>
      </c>
      <c r="FL19">
        <v>-365.14705445440751</v>
      </c>
      <c r="FM19">
        <v>14166.770588235289</v>
      </c>
      <c r="FN19">
        <v>10</v>
      </c>
      <c r="FO19">
        <v>1783530005.5</v>
      </c>
      <c r="FP19" t="s">
        <v>854</v>
      </c>
      <c r="FQ19">
        <v>1783530003</v>
      </c>
      <c r="FR19">
        <v>1783530005</v>
      </c>
      <c r="FS19">
        <v>30</v>
      </c>
      <c r="FT19">
        <v>-3.6999999999999998E-2</v>
      </c>
      <c r="FU19">
        <v>-1E-3</v>
      </c>
      <c r="FV19">
        <v>-5.9050000000000002</v>
      </c>
      <c r="FW19">
        <v>-0.46800000000000003</v>
      </c>
      <c r="FX19">
        <v>487</v>
      </c>
      <c r="FY19">
        <v>22</v>
      </c>
      <c r="FZ19">
        <v>0.12</v>
      </c>
      <c r="GA19">
        <v>0.05</v>
      </c>
      <c r="GB19">
        <v>420.52638709677422</v>
      </c>
      <c r="GC19">
        <v>0.34103225806404358</v>
      </c>
      <c r="GD19">
        <v>6.2140671538964E-2</v>
      </c>
      <c r="GE19">
        <v>-1</v>
      </c>
      <c r="GF19">
        <v>715.91526470588235</v>
      </c>
      <c r="GG19">
        <v>-5.1047058804597754</v>
      </c>
      <c r="GH19">
        <v>0.57483052790640787</v>
      </c>
      <c r="GI19">
        <v>1</v>
      </c>
      <c r="GJ19">
        <v>5.7849441463414637</v>
      </c>
      <c r="GK19">
        <v>-7.0489965156785753E-2</v>
      </c>
      <c r="GL19">
        <v>8.5889909613808789E-3</v>
      </c>
      <c r="GM19">
        <v>1</v>
      </c>
      <c r="GN19">
        <v>2</v>
      </c>
      <c r="GO19">
        <v>2</v>
      </c>
      <c r="GP19" t="s">
        <v>423</v>
      </c>
      <c r="GQ19">
        <v>3.1309800000000001</v>
      </c>
      <c r="GR19">
        <v>2.73732</v>
      </c>
      <c r="GS19">
        <v>9.0624999999999997E-2</v>
      </c>
      <c r="GT19">
        <v>0.100508</v>
      </c>
      <c r="GU19">
        <v>0.123145</v>
      </c>
      <c r="GV19">
        <v>0.103811</v>
      </c>
      <c r="GW19">
        <v>22640.9</v>
      </c>
      <c r="GX19">
        <v>30029.1</v>
      </c>
      <c r="GY19">
        <v>27028.6</v>
      </c>
      <c r="GZ19">
        <v>34361.699999999997</v>
      </c>
      <c r="HA19">
        <v>34750.800000000003</v>
      </c>
      <c r="HB19">
        <v>39133.5</v>
      </c>
      <c r="HC19">
        <v>39930.699999999997</v>
      </c>
      <c r="HD19">
        <v>43737.4</v>
      </c>
      <c r="HE19">
        <v>1.9086000000000001</v>
      </c>
      <c r="HF19">
        <v>1.5431999999999999</v>
      </c>
      <c r="HG19">
        <v>-8.2254400000000005E-2</v>
      </c>
      <c r="HH19">
        <v>0</v>
      </c>
      <c r="HI19">
        <v>31.174700000000001</v>
      </c>
      <c r="HJ19">
        <v>999.9</v>
      </c>
      <c r="HK19">
        <v>41.3</v>
      </c>
      <c r="HL19">
        <v>49.6</v>
      </c>
      <c r="HM19">
        <v>51.361800000000002</v>
      </c>
      <c r="HN19">
        <v>60.749099999999999</v>
      </c>
      <c r="HO19">
        <v>7.7644200000000003</v>
      </c>
      <c r="HP19">
        <v>1</v>
      </c>
      <c r="HQ19">
        <v>0.94784599999999997</v>
      </c>
      <c r="HR19">
        <v>5.0445500000000001</v>
      </c>
      <c r="HS19">
        <v>20.190200000000001</v>
      </c>
      <c r="HT19">
        <v>5.2053099999999999</v>
      </c>
      <c r="HU19">
        <v>11.914099999999999</v>
      </c>
      <c r="HV19">
        <v>4.9832000000000001</v>
      </c>
      <c r="HW19">
        <v>3.2707999999999999</v>
      </c>
      <c r="HX19">
        <v>9999</v>
      </c>
      <c r="HY19">
        <v>9999</v>
      </c>
      <c r="HZ19">
        <v>9999</v>
      </c>
      <c r="IA19">
        <v>999.9</v>
      </c>
      <c r="IB19">
        <v>1.8675200000000001</v>
      </c>
      <c r="IC19">
        <v>1.8632500000000001</v>
      </c>
      <c r="ID19">
        <v>1.8627899999999999</v>
      </c>
      <c r="IE19">
        <v>1.8623400000000001</v>
      </c>
      <c r="IF19">
        <v>1.8623400000000001</v>
      </c>
      <c r="IG19">
        <v>1.86276</v>
      </c>
      <c r="IH19">
        <v>1.86371</v>
      </c>
      <c r="II19">
        <v>1.8616299999999999</v>
      </c>
      <c r="IJ19">
        <v>0</v>
      </c>
      <c r="IK19">
        <v>0</v>
      </c>
      <c r="IL19">
        <v>0</v>
      </c>
      <c r="IM19">
        <v>4.5</v>
      </c>
      <c r="IN19" t="s">
        <v>411</v>
      </c>
      <c r="IO19" t="s">
        <v>412</v>
      </c>
      <c r="IP19" t="s">
        <v>413</v>
      </c>
      <c r="IQ19" t="s">
        <v>414</v>
      </c>
      <c r="IR19" t="s">
        <v>414</v>
      </c>
      <c r="IS19" t="s">
        <v>413</v>
      </c>
      <c r="IT19">
        <v>0</v>
      </c>
      <c r="IU19">
        <v>100</v>
      </c>
      <c r="IV19">
        <v>100</v>
      </c>
      <c r="IW19">
        <v>-5.9050000000000002</v>
      </c>
      <c r="IX19">
        <v>-0.31950000000000001</v>
      </c>
      <c r="IY19">
        <v>-5.9054999999998472</v>
      </c>
      <c r="IZ19">
        <v>0</v>
      </c>
      <c r="JA19">
        <v>0</v>
      </c>
      <c r="JB19">
        <v>0</v>
      </c>
      <c r="JC19">
        <v>-0.8222413170717493</v>
      </c>
      <c r="JD19">
        <v>2.7492919904454862E-4</v>
      </c>
      <c r="JE19">
        <v>8.6739513355948885E-4</v>
      </c>
      <c r="JF19">
        <v>-8.2500691715147318E-6</v>
      </c>
      <c r="JG19">
        <v>-1</v>
      </c>
      <c r="JH19">
        <v>-1</v>
      </c>
      <c r="JI19">
        <v>2</v>
      </c>
      <c r="JJ19">
        <v>37</v>
      </c>
      <c r="JK19">
        <v>2</v>
      </c>
      <c r="JL19">
        <v>2</v>
      </c>
      <c r="JM19">
        <v>1.1926300000000001</v>
      </c>
      <c r="JN19">
        <v>2.6171899999999999</v>
      </c>
      <c r="JO19">
        <v>1.50024</v>
      </c>
      <c r="JP19">
        <v>2.2644000000000002</v>
      </c>
      <c r="JQ19">
        <v>1.4477500000000001</v>
      </c>
      <c r="JR19">
        <v>2.34741</v>
      </c>
      <c r="JS19">
        <v>53.276800000000001</v>
      </c>
      <c r="JT19">
        <v>14.7537</v>
      </c>
      <c r="JU19">
        <v>18</v>
      </c>
      <c r="JV19">
        <v>539.94600000000003</v>
      </c>
      <c r="JW19">
        <v>325.846</v>
      </c>
      <c r="JX19">
        <v>25.296500000000002</v>
      </c>
      <c r="JY19">
        <v>38.5533</v>
      </c>
      <c r="JZ19">
        <v>29.999500000000001</v>
      </c>
      <c r="KA19">
        <v>38.648299999999999</v>
      </c>
      <c r="KB19">
        <v>38.837299999999999</v>
      </c>
      <c r="KC19">
        <v>23.8538</v>
      </c>
      <c r="KD19">
        <v>56.164900000000003</v>
      </c>
      <c r="KE19">
        <v>0</v>
      </c>
      <c r="KF19">
        <v>25.381699999999999</v>
      </c>
      <c r="KG19">
        <v>484.92</v>
      </c>
      <c r="KH19">
        <v>21.8217</v>
      </c>
      <c r="KI19">
        <v>99.779600000000002</v>
      </c>
      <c r="KJ19">
        <v>98.265299999999996</v>
      </c>
    </row>
    <row r="20" spans="1:296" x14ac:dyDescent="0.3">
      <c r="A20">
        <v>4</v>
      </c>
      <c r="B20">
        <v>1783530306.5</v>
      </c>
      <c r="C20">
        <v>547.5</v>
      </c>
      <c r="D20" t="s">
        <v>855</v>
      </c>
      <c r="E20" t="s">
        <v>856</v>
      </c>
      <c r="F20">
        <v>15</v>
      </c>
      <c r="H20">
        <v>1783530298.75</v>
      </c>
      <c r="I20">
        <f t="shared" si="0"/>
        <v>4.5685210396802459E-3</v>
      </c>
      <c r="J20">
        <f t="shared" si="1"/>
        <v>4.5685210396802463</v>
      </c>
      <c r="K20">
        <f t="shared" si="2"/>
        <v>51.343348385075622</v>
      </c>
      <c r="L20">
        <f t="shared" si="3"/>
        <v>419.90693333333343</v>
      </c>
      <c r="M20">
        <f t="shared" si="4"/>
        <v>122.93002804236281</v>
      </c>
      <c r="N20">
        <f t="shared" si="5"/>
        <v>12.03860789373358</v>
      </c>
      <c r="O20">
        <f t="shared" si="6"/>
        <v>41.121725934351019</v>
      </c>
      <c r="P20">
        <f t="shared" si="7"/>
        <v>0.29709259223521461</v>
      </c>
      <c r="Q20">
        <f t="shared" si="8"/>
        <v>2.8917303907089669</v>
      </c>
      <c r="R20">
        <f t="shared" si="9"/>
        <v>0.2811173117164068</v>
      </c>
      <c r="S20">
        <f t="shared" si="10"/>
        <v>0.17706201555685369</v>
      </c>
      <c r="T20">
        <f t="shared" si="11"/>
        <v>224.00456536765489</v>
      </c>
      <c r="U20">
        <f t="shared" si="12"/>
        <v>29.97382307169908</v>
      </c>
      <c r="V20">
        <f t="shared" si="13"/>
        <v>30.044139999999999</v>
      </c>
      <c r="W20">
        <f t="shared" si="14"/>
        <v>4.2712635105445784</v>
      </c>
      <c r="X20">
        <f t="shared" si="15"/>
        <v>64.830141136781535</v>
      </c>
      <c r="Y20">
        <f t="shared" si="16"/>
        <v>2.7367089912125273</v>
      </c>
      <c r="Z20">
        <f t="shared" si="17"/>
        <v>4.2213528201928421</v>
      </c>
      <c r="AA20">
        <f t="shared" si="18"/>
        <v>1.5345545193320511</v>
      </c>
      <c r="AB20">
        <f t="shared" si="19"/>
        <v>-201.47177784989884</v>
      </c>
      <c r="AC20">
        <f t="shared" si="20"/>
        <v>-31.888614409700086</v>
      </c>
      <c r="AD20">
        <f t="shared" si="21"/>
        <v>-2.4505693568971965</v>
      </c>
      <c r="AE20">
        <f t="shared" si="22"/>
        <v>-11.806396248841242</v>
      </c>
      <c r="AF20">
        <f t="shared" si="23"/>
        <v>51.343348385075622</v>
      </c>
      <c r="AG20">
        <f t="shared" si="24"/>
        <v>4.5685210396802463</v>
      </c>
      <c r="AH20">
        <f t="shared" si="25"/>
        <v>51.287557018446911</v>
      </c>
      <c r="AI20">
        <v>494.8347908291002</v>
      </c>
      <c r="AJ20">
        <v>431.92110303030302</v>
      </c>
      <c r="AK20">
        <v>-8.9883712122242696E-3</v>
      </c>
      <c r="AL20">
        <v>66.950847142969351</v>
      </c>
      <c r="AM20">
        <f t="shared" si="26"/>
        <v>4.4899487063696002</v>
      </c>
      <c r="AN20">
        <v>22.6489390164935</v>
      </c>
      <c r="AO20">
        <v>27.90393818181817</v>
      </c>
      <c r="AP20">
        <v>-2.9721443001469779E-3</v>
      </c>
      <c r="AQ20">
        <v>78.55</v>
      </c>
      <c r="AR20">
        <v>0</v>
      </c>
      <c r="AS20">
        <v>0</v>
      </c>
      <c r="AT20">
        <f t="shared" si="27"/>
        <v>1</v>
      </c>
      <c r="AU20">
        <f t="shared" si="28"/>
        <v>0</v>
      </c>
      <c r="AV20">
        <f t="shared" si="29"/>
        <v>51260.459928159282</v>
      </c>
      <c r="AW20" t="s">
        <v>844</v>
      </c>
      <c r="AX20">
        <v>5087.38</v>
      </c>
      <c r="AY20">
        <v>545.02941176470586</v>
      </c>
      <c r="AZ20">
        <v>2365.36</v>
      </c>
      <c r="BA20">
        <f t="shared" si="30"/>
        <v>0.76957866381239814</v>
      </c>
      <c r="BB20">
        <v>-6.1128344961398691</v>
      </c>
      <c r="BC20" t="s">
        <v>857</v>
      </c>
      <c r="BD20">
        <v>5080.84</v>
      </c>
      <c r="BE20">
        <v>720.78152941176472</v>
      </c>
      <c r="BF20">
        <v>1014.07</v>
      </c>
      <c r="BG20">
        <f t="shared" si="31"/>
        <v>0.28921915704856205</v>
      </c>
      <c r="BH20">
        <v>0.5</v>
      </c>
      <c r="BI20">
        <f t="shared" si="32"/>
        <v>1176.2872197759878</v>
      </c>
      <c r="BJ20">
        <f t="shared" si="33"/>
        <v>51.343348385075622</v>
      </c>
      <c r="BK20">
        <f t="shared" si="34"/>
        <v>170.10239907530391</v>
      </c>
      <c r="BL20">
        <f t="shared" si="35"/>
        <v>4.8845368644026797E-2</v>
      </c>
      <c r="BM20">
        <f t="shared" si="36"/>
        <v>1.3325411460747285</v>
      </c>
      <c r="BN20">
        <f t="shared" si="37"/>
        <v>416.99331829855686</v>
      </c>
      <c r="BO20" t="s">
        <v>407</v>
      </c>
      <c r="BP20">
        <v>0</v>
      </c>
      <c r="BQ20">
        <f t="shared" si="38"/>
        <v>416.99331829855686</v>
      </c>
      <c r="BR20">
        <f t="shared" si="39"/>
        <v>0.58879237301314813</v>
      </c>
      <c r="BS20">
        <f t="shared" si="40"/>
        <v>0.49120737683554122</v>
      </c>
      <c r="BT20">
        <f t="shared" si="41"/>
        <v>0.69355014776785429</v>
      </c>
      <c r="BU20">
        <f t="shared" si="42"/>
        <v>0.6252944370799467</v>
      </c>
      <c r="BV20">
        <f t="shared" si="43"/>
        <v>0.74233219434608189</v>
      </c>
      <c r="BW20">
        <f t="shared" si="44"/>
        <v>0.28417791755366634</v>
      </c>
      <c r="BX20">
        <f t="shared" si="45"/>
        <v>0.71582208244633372</v>
      </c>
      <c r="DG20">
        <f t="shared" si="46"/>
        <v>1399.9930000000011</v>
      </c>
      <c r="DH20">
        <f t="shared" si="47"/>
        <v>1176.2872197759878</v>
      </c>
      <c r="DI20">
        <f t="shared" si="48"/>
        <v>0.84020935802963792</v>
      </c>
      <c r="DJ20">
        <f t="shared" si="49"/>
        <v>0.16000406099720121</v>
      </c>
      <c r="DK20">
        <v>6</v>
      </c>
      <c r="DL20">
        <v>0.5</v>
      </c>
      <c r="DM20" t="s">
        <v>408</v>
      </c>
      <c r="DN20">
        <v>2</v>
      </c>
      <c r="DO20" t="b">
        <v>0</v>
      </c>
      <c r="DP20">
        <v>1783530298.75</v>
      </c>
      <c r="DQ20">
        <v>419.90693333333343</v>
      </c>
      <c r="DR20">
        <v>483.81203333333332</v>
      </c>
      <c r="DS20">
        <v>27.945399999999999</v>
      </c>
      <c r="DT20">
        <v>22.617123333333328</v>
      </c>
      <c r="DU20">
        <v>425.82010000000002</v>
      </c>
      <c r="DV20">
        <v>28.253536666666658</v>
      </c>
      <c r="DW20">
        <v>500.06996666666657</v>
      </c>
      <c r="DX20">
        <v>97.869493333333338</v>
      </c>
      <c r="DY20">
        <v>6.1078109999999998E-2</v>
      </c>
      <c r="DZ20">
        <v>29.83959333333333</v>
      </c>
      <c r="EA20">
        <v>30.044139999999999</v>
      </c>
      <c r="EB20">
        <v>999.9000000000002</v>
      </c>
      <c r="EC20">
        <v>0</v>
      </c>
      <c r="ED20">
        <v>0</v>
      </c>
      <c r="EE20">
        <v>9999</v>
      </c>
      <c r="EF20">
        <v>0</v>
      </c>
      <c r="EG20">
        <v>1925.0886666666661</v>
      </c>
      <c r="EH20">
        <v>-63.905170000000012</v>
      </c>
      <c r="EI20">
        <v>431.97863333333328</v>
      </c>
      <c r="EJ20">
        <v>495.00769999999989</v>
      </c>
      <c r="EK20">
        <v>5.3282740000000013</v>
      </c>
      <c r="EL20">
        <v>483.81203333333332</v>
      </c>
      <c r="EM20">
        <v>22.617123333333328</v>
      </c>
      <c r="EN20">
        <v>2.7350026666666669</v>
      </c>
      <c r="EO20">
        <v>2.2135266666666671</v>
      </c>
      <c r="EP20">
        <v>22.496933333333331</v>
      </c>
      <c r="EQ20">
        <v>19.060479999999998</v>
      </c>
      <c r="ER20">
        <v>1399.9930000000011</v>
      </c>
      <c r="ES20">
        <v>0.99299593333333358</v>
      </c>
      <c r="ET20">
        <v>7.003909333333334E-3</v>
      </c>
      <c r="EU20">
        <v>0</v>
      </c>
      <c r="EV20">
        <v>720.74860000000012</v>
      </c>
      <c r="EW20">
        <v>5.0010700000000003</v>
      </c>
      <c r="EX20">
        <v>14699.956666666671</v>
      </c>
      <c r="EY20">
        <v>12745.44</v>
      </c>
      <c r="EZ20">
        <v>44.75</v>
      </c>
      <c r="FA20">
        <v>47.061999999999983</v>
      </c>
      <c r="FB20">
        <v>45.924599999999977</v>
      </c>
      <c r="FC20">
        <v>46.399799999999978</v>
      </c>
      <c r="FD20">
        <v>46.061999999999983</v>
      </c>
      <c r="FE20">
        <v>1385.223</v>
      </c>
      <c r="FF20">
        <v>9.77</v>
      </c>
      <c r="FG20">
        <v>0</v>
      </c>
      <c r="FH20">
        <v>182</v>
      </c>
      <c r="FI20">
        <v>0</v>
      </c>
      <c r="FJ20">
        <v>720.78152941176472</v>
      </c>
      <c r="FK20">
        <v>3.2727941210868878</v>
      </c>
      <c r="FL20">
        <v>145.22058809707761</v>
      </c>
      <c r="FM20">
        <v>14720.2</v>
      </c>
      <c r="FN20">
        <v>10</v>
      </c>
      <c r="FO20">
        <v>1783530213.5</v>
      </c>
      <c r="FP20" t="s">
        <v>858</v>
      </c>
      <c r="FQ20">
        <v>1783530211</v>
      </c>
      <c r="FR20">
        <v>1783530213</v>
      </c>
      <c r="FS20">
        <v>31</v>
      </c>
      <c r="FT20">
        <v>-8.0000000000000002E-3</v>
      </c>
      <c r="FU20">
        <v>-4.0000000000000001E-3</v>
      </c>
      <c r="FV20">
        <v>-5.9130000000000003</v>
      </c>
      <c r="FW20">
        <v>-0.47099999999999997</v>
      </c>
      <c r="FX20">
        <v>483</v>
      </c>
      <c r="FY20">
        <v>22</v>
      </c>
      <c r="FZ20">
        <v>0.17</v>
      </c>
      <c r="GA20">
        <v>7.0000000000000007E-2</v>
      </c>
      <c r="GB20">
        <v>419.90693333333343</v>
      </c>
      <c r="GC20">
        <v>8.3933259177406516E-2</v>
      </c>
      <c r="GD20">
        <v>7.4957291543624086E-2</v>
      </c>
      <c r="GE20">
        <v>-1</v>
      </c>
      <c r="GF20">
        <v>720.67494117647061</v>
      </c>
      <c r="GG20">
        <v>1.1515355236918521</v>
      </c>
      <c r="GH20">
        <v>0.27881049237329192</v>
      </c>
      <c r="GI20">
        <v>1</v>
      </c>
      <c r="GJ20">
        <v>5.2924914999999997</v>
      </c>
      <c r="GK20">
        <v>0.11348960600374521</v>
      </c>
      <c r="GL20">
        <v>0.10719709689515849</v>
      </c>
      <c r="GM20">
        <v>1</v>
      </c>
      <c r="GN20">
        <v>2</v>
      </c>
      <c r="GO20">
        <v>2</v>
      </c>
      <c r="GP20" t="s">
        <v>423</v>
      </c>
      <c r="GQ20">
        <v>3.1311399999999998</v>
      </c>
      <c r="GR20">
        <v>2.7367400000000002</v>
      </c>
      <c r="GS20">
        <v>9.0532899999999999E-2</v>
      </c>
      <c r="GT20">
        <v>0.100313</v>
      </c>
      <c r="GU20">
        <v>0.12424499999999999</v>
      </c>
      <c r="GV20">
        <v>0.107379</v>
      </c>
      <c r="GW20">
        <v>22649.599999999999</v>
      </c>
      <c r="GX20">
        <v>30044.799999999999</v>
      </c>
      <c r="GY20">
        <v>27035.200000000001</v>
      </c>
      <c r="GZ20">
        <v>34370.699999999997</v>
      </c>
      <c r="HA20">
        <v>34715</v>
      </c>
      <c r="HB20">
        <v>38986.1</v>
      </c>
      <c r="HC20">
        <v>39940.400000000001</v>
      </c>
      <c r="HD20">
        <v>43746.5</v>
      </c>
      <c r="HE20">
        <v>1.911</v>
      </c>
      <c r="HF20">
        <v>1.5468</v>
      </c>
      <c r="HG20">
        <v>-6.4998899999999998E-2</v>
      </c>
      <c r="HH20">
        <v>0</v>
      </c>
      <c r="HI20">
        <v>31.099599999999999</v>
      </c>
      <c r="HJ20">
        <v>999.9</v>
      </c>
      <c r="HK20">
        <v>41</v>
      </c>
      <c r="HL20">
        <v>49.7</v>
      </c>
      <c r="HM20">
        <v>51.252099999999999</v>
      </c>
      <c r="HN20">
        <v>60.609200000000001</v>
      </c>
      <c r="HO20">
        <v>8.0889399999999991</v>
      </c>
      <c r="HP20">
        <v>1</v>
      </c>
      <c r="HQ20">
        <v>0.93853699999999995</v>
      </c>
      <c r="HR20">
        <v>6.0494599999999998</v>
      </c>
      <c r="HS20">
        <v>20.158799999999999</v>
      </c>
      <c r="HT20">
        <v>5.2088999999999999</v>
      </c>
      <c r="HU20">
        <v>11.914099999999999</v>
      </c>
      <c r="HV20">
        <v>4.9832000000000001</v>
      </c>
      <c r="HW20">
        <v>3.2709999999999999</v>
      </c>
      <c r="HX20">
        <v>9999</v>
      </c>
      <c r="HY20">
        <v>9999</v>
      </c>
      <c r="HZ20">
        <v>9999</v>
      </c>
      <c r="IA20">
        <v>999.9</v>
      </c>
      <c r="IB20">
        <v>1.8675200000000001</v>
      </c>
      <c r="IC20">
        <v>1.8632200000000001</v>
      </c>
      <c r="ID20">
        <v>1.8627899999999999</v>
      </c>
      <c r="IE20">
        <v>1.8623400000000001</v>
      </c>
      <c r="IF20">
        <v>1.8622399999999999</v>
      </c>
      <c r="IG20">
        <v>1.86273</v>
      </c>
      <c r="IH20">
        <v>1.86371</v>
      </c>
      <c r="II20">
        <v>1.8615699999999999</v>
      </c>
      <c r="IJ20">
        <v>0</v>
      </c>
      <c r="IK20">
        <v>0</v>
      </c>
      <c r="IL20">
        <v>0</v>
      </c>
      <c r="IM20">
        <v>4.5</v>
      </c>
      <c r="IN20" t="s">
        <v>411</v>
      </c>
      <c r="IO20" t="s">
        <v>412</v>
      </c>
      <c r="IP20" t="s">
        <v>413</v>
      </c>
      <c r="IQ20" t="s">
        <v>414</v>
      </c>
      <c r="IR20" t="s">
        <v>414</v>
      </c>
      <c r="IS20" t="s">
        <v>413</v>
      </c>
      <c r="IT20">
        <v>0</v>
      </c>
      <c r="IU20">
        <v>100</v>
      </c>
      <c r="IV20">
        <v>100</v>
      </c>
      <c r="IW20">
        <v>-5.9130000000000003</v>
      </c>
      <c r="IX20">
        <v>-0.30909999999999999</v>
      </c>
      <c r="IY20">
        <v>-5.9132500000000618</v>
      </c>
      <c r="IZ20">
        <v>0</v>
      </c>
      <c r="JA20">
        <v>0</v>
      </c>
      <c r="JB20">
        <v>0</v>
      </c>
      <c r="JC20">
        <v>-0.8222413170717493</v>
      </c>
      <c r="JD20">
        <v>2.7492919904454862E-4</v>
      </c>
      <c r="JE20">
        <v>8.6739513355948885E-4</v>
      </c>
      <c r="JF20">
        <v>-8.2500691715147318E-6</v>
      </c>
      <c r="JG20">
        <v>-1</v>
      </c>
      <c r="JH20">
        <v>-1</v>
      </c>
      <c r="JI20">
        <v>2</v>
      </c>
      <c r="JJ20">
        <v>37</v>
      </c>
      <c r="JK20">
        <v>1.6</v>
      </c>
      <c r="JL20">
        <v>1.6</v>
      </c>
      <c r="JM20">
        <v>1.1901900000000001</v>
      </c>
      <c r="JN20">
        <v>2.6049799999999999</v>
      </c>
      <c r="JO20">
        <v>1.50024</v>
      </c>
      <c r="JP20">
        <v>2.2644000000000002</v>
      </c>
      <c r="JQ20">
        <v>1.4477500000000001</v>
      </c>
      <c r="JR20">
        <v>2.4670399999999999</v>
      </c>
      <c r="JS20">
        <v>53.206699999999998</v>
      </c>
      <c r="JT20">
        <v>14.7012</v>
      </c>
      <c r="JU20">
        <v>18</v>
      </c>
      <c r="JV20">
        <v>540.96500000000003</v>
      </c>
      <c r="JW20">
        <v>327.399</v>
      </c>
      <c r="JX20">
        <v>25.1538</v>
      </c>
      <c r="JY20">
        <v>38.346200000000003</v>
      </c>
      <c r="JZ20">
        <v>30.0001</v>
      </c>
      <c r="KA20">
        <v>38.566800000000001</v>
      </c>
      <c r="KB20">
        <v>38.768500000000003</v>
      </c>
      <c r="KC20">
        <v>23.821300000000001</v>
      </c>
      <c r="KD20">
        <v>54.746400000000001</v>
      </c>
      <c r="KE20">
        <v>0</v>
      </c>
      <c r="KF20">
        <v>25.1097</v>
      </c>
      <c r="KG20">
        <v>483.99599999999998</v>
      </c>
      <c r="KH20">
        <v>22.747299999999999</v>
      </c>
      <c r="KI20">
        <v>99.803899999999999</v>
      </c>
      <c r="KJ20">
        <v>98.2881</v>
      </c>
    </row>
    <row r="21" spans="1:296" x14ac:dyDescent="0.3">
      <c r="A21">
        <v>5</v>
      </c>
      <c r="B21">
        <v>1783530489</v>
      </c>
      <c r="C21">
        <v>730</v>
      </c>
      <c r="D21" t="s">
        <v>859</v>
      </c>
      <c r="E21" t="s">
        <v>860</v>
      </c>
      <c r="F21">
        <v>15</v>
      </c>
      <c r="H21">
        <v>1783530481.25</v>
      </c>
      <c r="I21">
        <f t="shared" si="0"/>
        <v>4.1621423488257293E-3</v>
      </c>
      <c r="J21">
        <f t="shared" si="1"/>
        <v>4.1621423488257294</v>
      </c>
      <c r="K21">
        <f t="shared" si="2"/>
        <v>47.290446094373259</v>
      </c>
      <c r="L21">
        <f t="shared" si="3"/>
        <v>419.96400000000011</v>
      </c>
      <c r="M21">
        <f t="shared" si="4"/>
        <v>121.18746700059657</v>
      </c>
      <c r="N21">
        <f t="shared" si="5"/>
        <v>11.868218549182131</v>
      </c>
      <c r="O21">
        <f t="shared" si="6"/>
        <v>41.128217778198049</v>
      </c>
      <c r="P21">
        <f t="shared" si="7"/>
        <v>0.27078696420031567</v>
      </c>
      <c r="Q21">
        <f t="shared" si="8"/>
        <v>2.8922966864770494</v>
      </c>
      <c r="R21">
        <f t="shared" si="9"/>
        <v>0.25744971045974335</v>
      </c>
      <c r="S21">
        <f t="shared" si="10"/>
        <v>0.16204961054768011</v>
      </c>
      <c r="T21">
        <f t="shared" si="11"/>
        <v>160.17715697479824</v>
      </c>
      <c r="U21">
        <f t="shared" si="12"/>
        <v>29.607392647956853</v>
      </c>
      <c r="V21">
        <f t="shared" si="13"/>
        <v>30.03392666666667</v>
      </c>
      <c r="W21">
        <f t="shared" si="14"/>
        <v>4.2687592492030246</v>
      </c>
      <c r="X21">
        <f t="shared" si="15"/>
        <v>65.30792308377525</v>
      </c>
      <c r="Y21">
        <f t="shared" si="16"/>
        <v>2.7421710660711414</v>
      </c>
      <c r="Z21">
        <f t="shared" si="17"/>
        <v>4.1988336737543435</v>
      </c>
      <c r="AA21">
        <f t="shared" si="18"/>
        <v>1.5265881831318833</v>
      </c>
      <c r="AB21">
        <f t="shared" si="19"/>
        <v>-183.55047758321467</v>
      </c>
      <c r="AC21">
        <f t="shared" si="20"/>
        <v>-44.800624111581683</v>
      </c>
      <c r="AD21">
        <f t="shared" si="21"/>
        <v>-3.4403964958420832</v>
      </c>
      <c r="AE21">
        <f t="shared" si="22"/>
        <v>-71.614341215840213</v>
      </c>
      <c r="AF21">
        <f t="shared" si="23"/>
        <v>47.290446094373259</v>
      </c>
      <c r="AG21">
        <f t="shared" si="24"/>
        <v>4.1621423488257294</v>
      </c>
      <c r="AH21">
        <f t="shared" si="25"/>
        <v>47.137508742998996</v>
      </c>
      <c r="AI21">
        <v>490.21198753514511</v>
      </c>
      <c r="AJ21">
        <v>432.14181212121201</v>
      </c>
      <c r="AK21">
        <v>3.2104073476818408E-2</v>
      </c>
      <c r="AL21">
        <v>66.923330215185601</v>
      </c>
      <c r="AM21">
        <f t="shared" si="26"/>
        <v>4.1477952803509188</v>
      </c>
      <c r="AN21">
        <v>23.159248735887459</v>
      </c>
      <c r="AO21">
        <v>27.99749818181818</v>
      </c>
      <c r="AP21">
        <v>-6.9557317142182089E-5</v>
      </c>
      <c r="AQ21">
        <v>78.55</v>
      </c>
      <c r="AR21">
        <v>0</v>
      </c>
      <c r="AS21">
        <v>0</v>
      </c>
      <c r="AT21">
        <f t="shared" si="27"/>
        <v>1</v>
      </c>
      <c r="AU21">
        <f t="shared" si="28"/>
        <v>0</v>
      </c>
      <c r="AV21">
        <f t="shared" si="29"/>
        <v>51292.247664608803</v>
      </c>
      <c r="AW21" t="s">
        <v>844</v>
      </c>
      <c r="AX21">
        <v>5087.38</v>
      </c>
      <c r="AY21">
        <v>545.02941176470586</v>
      </c>
      <c r="AZ21">
        <v>2365.36</v>
      </c>
      <c r="BA21">
        <f t="shared" si="30"/>
        <v>0.76957866381239814</v>
      </c>
      <c r="BB21">
        <v>-6.1128344961398691</v>
      </c>
      <c r="BC21" t="s">
        <v>861</v>
      </c>
      <c r="BD21">
        <v>5084.1400000000003</v>
      </c>
      <c r="BE21">
        <v>743.57588235294122</v>
      </c>
      <c r="BF21">
        <v>1252.32</v>
      </c>
      <c r="BG21">
        <f t="shared" si="31"/>
        <v>0.40624131024583077</v>
      </c>
      <c r="BH21">
        <v>0.5</v>
      </c>
      <c r="BI21">
        <f t="shared" si="32"/>
        <v>840.30401803875577</v>
      </c>
      <c r="BJ21">
        <f t="shared" si="33"/>
        <v>47.290446094373259</v>
      </c>
      <c r="BK21">
        <f t="shared" si="34"/>
        <v>170.68310264645018</v>
      </c>
      <c r="BL21">
        <f t="shared" si="35"/>
        <v>6.355233277969416E-2</v>
      </c>
      <c r="BM21">
        <f t="shared" si="36"/>
        <v>0.88878241982879791</v>
      </c>
      <c r="BN21">
        <f t="shared" si="37"/>
        <v>452.38374028462522</v>
      </c>
      <c r="BO21" t="s">
        <v>407</v>
      </c>
      <c r="BP21">
        <v>0</v>
      </c>
      <c r="BQ21">
        <f t="shared" si="38"/>
        <v>452.38374028462522</v>
      </c>
      <c r="BR21">
        <f t="shared" si="39"/>
        <v>0.63876346278537022</v>
      </c>
      <c r="BS21">
        <f t="shared" si="40"/>
        <v>0.635980819056852</v>
      </c>
      <c r="BT21">
        <f t="shared" si="41"/>
        <v>0.58183680761705092</v>
      </c>
      <c r="BU21">
        <f t="shared" si="42"/>
        <v>0.71928585804653034</v>
      </c>
      <c r="BV21">
        <f t="shared" si="43"/>
        <v>0.61144937474188599</v>
      </c>
      <c r="BW21">
        <f t="shared" si="44"/>
        <v>0.38692403627160232</v>
      </c>
      <c r="BX21">
        <f t="shared" si="45"/>
        <v>0.61307596372839768</v>
      </c>
      <c r="DG21">
        <f t="shared" si="46"/>
        <v>1000.006566666667</v>
      </c>
      <c r="DH21">
        <f t="shared" si="47"/>
        <v>840.30401803875577</v>
      </c>
      <c r="DI21">
        <f t="shared" si="48"/>
        <v>0.84029850007860496</v>
      </c>
      <c r="DJ21">
        <f t="shared" si="49"/>
        <v>0.16017610515170769</v>
      </c>
      <c r="DK21">
        <v>6</v>
      </c>
      <c r="DL21">
        <v>0.5</v>
      </c>
      <c r="DM21" t="s">
        <v>408</v>
      </c>
      <c r="DN21">
        <v>2</v>
      </c>
      <c r="DO21" t="b">
        <v>0</v>
      </c>
      <c r="DP21">
        <v>1783530481.25</v>
      </c>
      <c r="DQ21">
        <v>419.96400000000011</v>
      </c>
      <c r="DR21">
        <v>478.80793333333332</v>
      </c>
      <c r="DS21">
        <v>28.00056</v>
      </c>
      <c r="DT21">
        <v>23.146016666666661</v>
      </c>
      <c r="DU21">
        <v>425.79969999999997</v>
      </c>
      <c r="DV21">
        <v>28.307116666666669</v>
      </c>
      <c r="DW21">
        <v>500.01819999999998</v>
      </c>
      <c r="DX21">
        <v>97.871953333333337</v>
      </c>
      <c r="DY21">
        <v>6.0768943333333339E-2</v>
      </c>
      <c r="DZ21">
        <v>29.74661333333334</v>
      </c>
      <c r="EA21">
        <v>30.03392666666667</v>
      </c>
      <c r="EB21">
        <v>999.9000000000002</v>
      </c>
      <c r="EC21">
        <v>0</v>
      </c>
      <c r="ED21">
        <v>0</v>
      </c>
      <c r="EE21">
        <v>10002</v>
      </c>
      <c r="EF21">
        <v>0</v>
      </c>
      <c r="EG21">
        <v>1882.288</v>
      </c>
      <c r="EH21">
        <v>-58.84396666666666</v>
      </c>
      <c r="EI21">
        <v>432.06206666666668</v>
      </c>
      <c r="EJ21">
        <v>490.15310000000011</v>
      </c>
      <c r="EK21">
        <v>4.8545483333333346</v>
      </c>
      <c r="EL21">
        <v>478.80793333333332</v>
      </c>
      <c r="EM21">
        <v>23.146016666666661</v>
      </c>
      <c r="EN21">
        <v>2.740469333333333</v>
      </c>
      <c r="EO21">
        <v>2.265346333333333</v>
      </c>
      <c r="EP21">
        <v>22.529816666666669</v>
      </c>
      <c r="EQ21">
        <v>19.432066666666671</v>
      </c>
      <c r="ER21">
        <v>1000.006566666667</v>
      </c>
      <c r="ES21">
        <v>0.98999549999999981</v>
      </c>
      <c r="ET21">
        <v>1.0004203333333329E-2</v>
      </c>
      <c r="EU21">
        <v>0</v>
      </c>
      <c r="EV21">
        <v>743.44619999999998</v>
      </c>
      <c r="EW21">
        <v>5.0010700000000003</v>
      </c>
      <c r="EX21">
        <v>11708.68</v>
      </c>
      <c r="EY21">
        <v>9080.3186666666679</v>
      </c>
      <c r="EZ21">
        <v>44.405999999999992</v>
      </c>
      <c r="FA21">
        <v>47.50826666666665</v>
      </c>
      <c r="FB21">
        <v>45.879133333333343</v>
      </c>
      <c r="FC21">
        <v>46.816199999999981</v>
      </c>
      <c r="FD21">
        <v>45.936999999999983</v>
      </c>
      <c r="FE21">
        <v>985.04866666666669</v>
      </c>
      <c r="FF21">
        <v>9.9499999999999975</v>
      </c>
      <c r="FG21">
        <v>0</v>
      </c>
      <c r="FH21">
        <v>182.20000004768369</v>
      </c>
      <c r="FI21">
        <v>0</v>
      </c>
      <c r="FJ21">
        <v>743.57588235294122</v>
      </c>
      <c r="FK21">
        <v>5.4683824003321302</v>
      </c>
      <c r="FL21">
        <v>294.38724901952622</v>
      </c>
      <c r="FM21">
        <v>11722.89411764706</v>
      </c>
      <c r="FN21">
        <v>10</v>
      </c>
      <c r="FO21">
        <v>1783530410</v>
      </c>
      <c r="FP21" t="s">
        <v>862</v>
      </c>
      <c r="FQ21">
        <v>1783530407.5</v>
      </c>
      <c r="FR21">
        <v>1783530409.5</v>
      </c>
      <c r="FS21">
        <v>32</v>
      </c>
      <c r="FT21">
        <v>7.8E-2</v>
      </c>
      <c r="FU21">
        <v>-1.7000000000000001E-2</v>
      </c>
      <c r="FV21">
        <v>-5.8360000000000003</v>
      </c>
      <c r="FW21">
        <v>-0.46400000000000002</v>
      </c>
      <c r="FX21">
        <v>479</v>
      </c>
      <c r="FY21">
        <v>23</v>
      </c>
      <c r="FZ21">
        <v>0.13</v>
      </c>
      <c r="GA21">
        <v>0.04</v>
      </c>
      <c r="GB21">
        <v>419.964870967742</v>
      </c>
      <c r="GC21">
        <v>1.727419354694992E-2</v>
      </c>
      <c r="GD21">
        <v>6.2064348467346382E-2</v>
      </c>
      <c r="GE21">
        <v>-1</v>
      </c>
      <c r="GF21">
        <v>743.35779411764725</v>
      </c>
      <c r="GG21">
        <v>0.86042781225732257</v>
      </c>
      <c r="GH21">
        <v>0.23217662893630381</v>
      </c>
      <c r="GI21">
        <v>1</v>
      </c>
      <c r="GJ21">
        <v>4.8634478048780494</v>
      </c>
      <c r="GK21">
        <v>-0.1445977003484398</v>
      </c>
      <c r="GL21">
        <v>1.5278477211854149E-2</v>
      </c>
      <c r="GM21">
        <v>1</v>
      </c>
      <c r="GN21">
        <v>2</v>
      </c>
      <c r="GO21">
        <v>2</v>
      </c>
      <c r="GP21" t="s">
        <v>423</v>
      </c>
      <c r="GQ21">
        <v>3.1308099999999999</v>
      </c>
      <c r="GR21">
        <v>2.7362199999999999</v>
      </c>
      <c r="GS21">
        <v>9.0529399999999996E-2</v>
      </c>
      <c r="GT21">
        <v>9.9538699999999994E-2</v>
      </c>
      <c r="GU21">
        <v>0.124486</v>
      </c>
      <c r="GV21">
        <v>0.10838200000000001</v>
      </c>
      <c r="GW21">
        <v>22645.5</v>
      </c>
      <c r="GX21">
        <v>30065.8</v>
      </c>
      <c r="GY21">
        <v>27030.7</v>
      </c>
      <c r="GZ21">
        <v>34365.699999999997</v>
      </c>
      <c r="HA21">
        <v>34700.6</v>
      </c>
      <c r="HB21">
        <v>38937.599999999999</v>
      </c>
      <c r="HC21">
        <v>39934.199999999997</v>
      </c>
      <c r="HD21">
        <v>43741</v>
      </c>
      <c r="HE21">
        <v>1.9092</v>
      </c>
      <c r="HF21">
        <v>1.5442</v>
      </c>
      <c r="HG21">
        <v>-9.9539799999999998E-2</v>
      </c>
      <c r="HH21">
        <v>0</v>
      </c>
      <c r="HI21">
        <v>31.637499999999999</v>
      </c>
      <c r="HJ21">
        <v>999.9</v>
      </c>
      <c r="HK21">
        <v>41</v>
      </c>
      <c r="HL21">
        <v>49.8</v>
      </c>
      <c r="HM21">
        <v>51.504600000000003</v>
      </c>
      <c r="HN21">
        <v>60.909199999999998</v>
      </c>
      <c r="HO21">
        <v>8.0809300000000004</v>
      </c>
      <c r="HP21">
        <v>1</v>
      </c>
      <c r="HQ21">
        <v>0.955793</v>
      </c>
      <c r="HR21">
        <v>7.0519999999999996</v>
      </c>
      <c r="HS21">
        <v>20.1252</v>
      </c>
      <c r="HT21">
        <v>5.2065099999999997</v>
      </c>
      <c r="HU21">
        <v>11.914099999999999</v>
      </c>
      <c r="HV21">
        <v>4.9824000000000002</v>
      </c>
      <c r="HW21">
        <v>3.2707999999999999</v>
      </c>
      <c r="HX21">
        <v>9999</v>
      </c>
      <c r="HY21">
        <v>9999</v>
      </c>
      <c r="HZ21">
        <v>9999</v>
      </c>
      <c r="IA21">
        <v>999.9</v>
      </c>
      <c r="IB21">
        <v>1.8674599999999999</v>
      </c>
      <c r="IC21">
        <v>1.8632500000000001</v>
      </c>
      <c r="ID21">
        <v>1.86276</v>
      </c>
      <c r="IE21">
        <v>1.8623400000000001</v>
      </c>
      <c r="IF21">
        <v>1.8623099999999999</v>
      </c>
      <c r="IG21">
        <v>1.86267</v>
      </c>
      <c r="IH21">
        <v>1.86368</v>
      </c>
      <c r="II21">
        <v>1.8615699999999999</v>
      </c>
      <c r="IJ21">
        <v>0</v>
      </c>
      <c r="IK21">
        <v>0</v>
      </c>
      <c r="IL21">
        <v>0</v>
      </c>
      <c r="IM21">
        <v>4.5</v>
      </c>
      <c r="IN21" t="s">
        <v>411</v>
      </c>
      <c r="IO21" t="s">
        <v>412</v>
      </c>
      <c r="IP21" t="s">
        <v>413</v>
      </c>
      <c r="IQ21" t="s">
        <v>414</v>
      </c>
      <c r="IR21" t="s">
        <v>414</v>
      </c>
      <c r="IS21" t="s">
        <v>413</v>
      </c>
      <c r="IT21">
        <v>0</v>
      </c>
      <c r="IU21">
        <v>100</v>
      </c>
      <c r="IV21">
        <v>100</v>
      </c>
      <c r="IW21">
        <v>-5.8360000000000003</v>
      </c>
      <c r="IX21">
        <v>-0.30649999999999999</v>
      </c>
      <c r="IY21">
        <v>-5.8356190476191054</v>
      </c>
      <c r="IZ21">
        <v>0</v>
      </c>
      <c r="JA21">
        <v>0</v>
      </c>
      <c r="JB21">
        <v>0</v>
      </c>
      <c r="JC21">
        <v>-0.8222413170717493</v>
      </c>
      <c r="JD21">
        <v>2.7492919904454862E-4</v>
      </c>
      <c r="JE21">
        <v>8.6739513355948885E-4</v>
      </c>
      <c r="JF21">
        <v>-8.2500691715147318E-6</v>
      </c>
      <c r="JG21">
        <v>-1</v>
      </c>
      <c r="JH21">
        <v>-1</v>
      </c>
      <c r="JI21">
        <v>2</v>
      </c>
      <c r="JJ21">
        <v>37</v>
      </c>
      <c r="JK21">
        <v>1.4</v>
      </c>
      <c r="JL21">
        <v>1.3</v>
      </c>
      <c r="JM21">
        <v>1.18164</v>
      </c>
      <c r="JN21">
        <v>2.6159699999999999</v>
      </c>
      <c r="JO21">
        <v>1.50024</v>
      </c>
      <c r="JP21">
        <v>2.2644000000000002</v>
      </c>
      <c r="JQ21">
        <v>1.4477500000000001</v>
      </c>
      <c r="JR21">
        <v>2.47437</v>
      </c>
      <c r="JS21">
        <v>53.4878</v>
      </c>
      <c r="JT21">
        <v>14.6311</v>
      </c>
      <c r="JU21">
        <v>18</v>
      </c>
      <c r="JV21">
        <v>540.22</v>
      </c>
      <c r="JW21">
        <v>326.40800000000002</v>
      </c>
      <c r="JX21">
        <v>24.4435</v>
      </c>
      <c r="JY21">
        <v>38.442100000000003</v>
      </c>
      <c r="JZ21">
        <v>30.001100000000001</v>
      </c>
      <c r="KA21">
        <v>38.630099999999999</v>
      </c>
      <c r="KB21">
        <v>38.847499999999997</v>
      </c>
      <c r="KC21">
        <v>23.6252</v>
      </c>
      <c r="KD21">
        <v>54.507899999999999</v>
      </c>
      <c r="KE21">
        <v>0</v>
      </c>
      <c r="KF21">
        <v>24.426200000000001</v>
      </c>
      <c r="KG21">
        <v>478.77300000000002</v>
      </c>
      <c r="KH21">
        <v>22.9909</v>
      </c>
      <c r="KI21">
        <v>99.787999999999997</v>
      </c>
      <c r="KJ21">
        <v>98.274799999999999</v>
      </c>
    </row>
    <row r="22" spans="1:296" x14ac:dyDescent="0.3">
      <c r="A22">
        <v>6</v>
      </c>
      <c r="B22">
        <v>1783530671.5</v>
      </c>
      <c r="C22">
        <v>912.5</v>
      </c>
      <c r="D22" t="s">
        <v>863</v>
      </c>
      <c r="E22" t="s">
        <v>864</v>
      </c>
      <c r="F22">
        <v>15</v>
      </c>
      <c r="H22">
        <v>1783530663.75</v>
      </c>
      <c r="I22">
        <f t="shared" si="0"/>
        <v>3.6642657374147945E-3</v>
      </c>
      <c r="J22">
        <f t="shared" si="1"/>
        <v>3.6642657374147944</v>
      </c>
      <c r="K22">
        <f t="shared" si="2"/>
        <v>41.438307465605476</v>
      </c>
      <c r="L22">
        <f t="shared" si="3"/>
        <v>420.06176666666659</v>
      </c>
      <c r="M22">
        <f t="shared" si="4"/>
        <v>116.17721294412418</v>
      </c>
      <c r="N22">
        <f t="shared" si="5"/>
        <v>11.377433481767229</v>
      </c>
      <c r="O22">
        <f t="shared" si="6"/>
        <v>41.137368399276447</v>
      </c>
      <c r="P22">
        <f t="shared" si="7"/>
        <v>0.23184128129209558</v>
      </c>
      <c r="Q22">
        <f t="shared" si="8"/>
        <v>2.8930222965710475</v>
      </c>
      <c r="R22">
        <f t="shared" si="9"/>
        <v>0.22199193342387763</v>
      </c>
      <c r="S22">
        <f t="shared" si="10"/>
        <v>0.13959501398140894</v>
      </c>
      <c r="T22">
        <f t="shared" si="11"/>
        <v>128.27409926840502</v>
      </c>
      <c r="U22">
        <f t="shared" si="12"/>
        <v>29.529109760521031</v>
      </c>
      <c r="V22">
        <f t="shared" si="13"/>
        <v>29.99325666666666</v>
      </c>
      <c r="W22">
        <f t="shared" si="14"/>
        <v>4.258799844345849</v>
      </c>
      <c r="X22">
        <f t="shared" si="15"/>
        <v>64.3680053678424</v>
      </c>
      <c r="Y22">
        <f t="shared" si="16"/>
        <v>2.699739354909573</v>
      </c>
      <c r="Z22">
        <f t="shared" si="17"/>
        <v>4.1942255931055081</v>
      </c>
      <c r="AA22">
        <f t="shared" si="18"/>
        <v>1.5590604894362761</v>
      </c>
      <c r="AB22">
        <f t="shared" si="19"/>
        <v>-161.59411901999243</v>
      </c>
      <c r="AC22">
        <f t="shared" si="20"/>
        <v>-41.444501084364987</v>
      </c>
      <c r="AD22">
        <f t="shared" si="21"/>
        <v>-3.180928298880227</v>
      </c>
      <c r="AE22">
        <f t="shared" si="22"/>
        <v>-77.945449134832629</v>
      </c>
      <c r="AF22">
        <f t="shared" si="23"/>
        <v>41.438307465605476</v>
      </c>
      <c r="AG22">
        <f t="shared" si="24"/>
        <v>3.6642657374147944</v>
      </c>
      <c r="AH22">
        <f t="shared" si="25"/>
        <v>41.524959907921172</v>
      </c>
      <c r="AI22">
        <v>482.88933651299487</v>
      </c>
      <c r="AJ22">
        <v>431.99746666666658</v>
      </c>
      <c r="AK22">
        <v>-2.3608624910650369E-2</v>
      </c>
      <c r="AL22">
        <v>66.923330215185601</v>
      </c>
      <c r="AM22">
        <f t="shared" si="26"/>
        <v>3.7949683090096173</v>
      </c>
      <c r="AN22">
        <v>23.294260310735918</v>
      </c>
      <c r="AO22">
        <v>27.722665454545449</v>
      </c>
      <c r="AP22">
        <v>-1.6425029515960331E-4</v>
      </c>
      <c r="AQ22">
        <v>78.55</v>
      </c>
      <c r="AR22">
        <v>0</v>
      </c>
      <c r="AS22">
        <v>0</v>
      </c>
      <c r="AT22">
        <f t="shared" si="27"/>
        <v>1</v>
      </c>
      <c r="AU22">
        <f t="shared" si="28"/>
        <v>0</v>
      </c>
      <c r="AV22">
        <f t="shared" si="29"/>
        <v>51315.940396336446</v>
      </c>
      <c r="AW22" t="s">
        <v>844</v>
      </c>
      <c r="AX22">
        <v>5087.38</v>
      </c>
      <c r="AY22">
        <v>545.02941176470586</v>
      </c>
      <c r="AZ22">
        <v>2365.36</v>
      </c>
      <c r="BA22">
        <f t="shared" si="30"/>
        <v>0.76957866381239814</v>
      </c>
      <c r="BB22">
        <v>-6.1128344961398691</v>
      </c>
      <c r="BC22" t="s">
        <v>865</v>
      </c>
      <c r="BD22">
        <v>5086.6099999999997</v>
      </c>
      <c r="BE22">
        <v>747.7346470588235</v>
      </c>
      <c r="BF22">
        <v>1408.19</v>
      </c>
      <c r="BG22">
        <f t="shared" si="31"/>
        <v>0.46901011436040341</v>
      </c>
      <c r="BH22">
        <v>0.5</v>
      </c>
      <c r="BI22">
        <f t="shared" si="32"/>
        <v>672.29429292663485</v>
      </c>
      <c r="BJ22">
        <f t="shared" si="33"/>
        <v>41.438307465605476</v>
      </c>
      <c r="BK22">
        <f t="shared" si="34"/>
        <v>157.65641160468377</v>
      </c>
      <c r="BL22">
        <f t="shared" si="35"/>
        <v>7.0729652864886708E-2</v>
      </c>
      <c r="BM22">
        <f t="shared" si="36"/>
        <v>0.67971651552702406</v>
      </c>
      <c r="BN22">
        <f t="shared" si="37"/>
        <v>471.22551233158413</v>
      </c>
      <c r="BO22" t="s">
        <v>407</v>
      </c>
      <c r="BP22">
        <v>0</v>
      </c>
      <c r="BQ22">
        <f t="shared" si="38"/>
        <v>471.22551233158413</v>
      </c>
      <c r="BR22">
        <f t="shared" si="39"/>
        <v>0.66536794585135239</v>
      </c>
      <c r="BS22">
        <f t="shared" si="40"/>
        <v>0.70488835130206806</v>
      </c>
      <c r="BT22">
        <f t="shared" si="41"/>
        <v>0.50533370583322623</v>
      </c>
      <c r="BU22">
        <f t="shared" si="42"/>
        <v>0.76515930169084478</v>
      </c>
      <c r="BV22">
        <f t="shared" si="43"/>
        <v>0.52582207110408519</v>
      </c>
      <c r="BW22">
        <f t="shared" si="44"/>
        <v>0.44422359694769087</v>
      </c>
      <c r="BX22">
        <f t="shared" si="45"/>
        <v>0.55577640305230913</v>
      </c>
      <c r="DG22">
        <f t="shared" si="46"/>
        <v>799.98213333333342</v>
      </c>
      <c r="DH22">
        <f t="shared" si="47"/>
        <v>672.29429292663485</v>
      </c>
      <c r="DI22">
        <f t="shared" si="48"/>
        <v>0.84038663479313713</v>
      </c>
      <c r="DJ22">
        <f t="shared" si="49"/>
        <v>0.16034620515075462</v>
      </c>
      <c r="DK22">
        <v>6</v>
      </c>
      <c r="DL22">
        <v>0.5</v>
      </c>
      <c r="DM22" t="s">
        <v>408</v>
      </c>
      <c r="DN22">
        <v>2</v>
      </c>
      <c r="DO22" t="b">
        <v>0</v>
      </c>
      <c r="DP22">
        <v>1783530663.75</v>
      </c>
      <c r="DQ22">
        <v>420.06176666666659</v>
      </c>
      <c r="DR22">
        <v>471.63116666666667</v>
      </c>
      <c r="DS22">
        <v>27.567570000000011</v>
      </c>
      <c r="DT22">
        <v>23.291969999999999</v>
      </c>
      <c r="DU22">
        <v>425.89743333333342</v>
      </c>
      <c r="DV22">
        <v>28.037570000000009</v>
      </c>
      <c r="DW22">
        <v>500.03520000000009</v>
      </c>
      <c r="DX22">
        <v>97.870326666666656</v>
      </c>
      <c r="DY22">
        <v>6.1386389999999999E-2</v>
      </c>
      <c r="DZ22">
        <v>29.727533333333341</v>
      </c>
      <c r="EA22">
        <v>29.99325666666666</v>
      </c>
      <c r="EB22">
        <v>999.9000000000002</v>
      </c>
      <c r="EC22">
        <v>0</v>
      </c>
      <c r="ED22">
        <v>0</v>
      </c>
      <c r="EE22">
        <v>10006.33333333333</v>
      </c>
      <c r="EF22">
        <v>0</v>
      </c>
      <c r="EG22">
        <v>1830.7049999999999</v>
      </c>
      <c r="EH22">
        <v>-51.569436666666668</v>
      </c>
      <c r="EI22">
        <v>432.0392333333333</v>
      </c>
      <c r="EJ22">
        <v>482.87843333333331</v>
      </c>
      <c r="EK22">
        <v>4.4311096666666678</v>
      </c>
      <c r="EL22">
        <v>471.63116666666667</v>
      </c>
      <c r="EM22">
        <v>23.291969999999999</v>
      </c>
      <c r="EN22">
        <v>2.7132656666666661</v>
      </c>
      <c r="EO22">
        <v>2.2795913333333329</v>
      </c>
      <c r="EP22">
        <v>22.365676666666669</v>
      </c>
      <c r="EQ22">
        <v>19.532900000000001</v>
      </c>
      <c r="ER22">
        <v>799.98213333333342</v>
      </c>
      <c r="ES22">
        <v>0.98702750000000017</v>
      </c>
      <c r="ET22">
        <v>1.297240333333333E-2</v>
      </c>
      <c r="EU22">
        <v>0</v>
      </c>
      <c r="EV22">
        <v>747.77346666666665</v>
      </c>
      <c r="EW22">
        <v>5.0010700000000003</v>
      </c>
      <c r="EX22">
        <v>10093.236000000001</v>
      </c>
      <c r="EY22">
        <v>7246.5346666666683</v>
      </c>
      <c r="EZ22">
        <v>44.091399999999993</v>
      </c>
      <c r="FA22">
        <v>47.691199999999967</v>
      </c>
      <c r="FB22">
        <v>45.82879999999998</v>
      </c>
      <c r="FC22">
        <v>46.875</v>
      </c>
      <c r="FD22">
        <v>45.820466666666647</v>
      </c>
      <c r="FE22">
        <v>784.6686666666667</v>
      </c>
      <c r="FF22">
        <v>10.31</v>
      </c>
      <c r="FG22">
        <v>0</v>
      </c>
      <c r="FH22">
        <v>181.79999995231631</v>
      </c>
      <c r="FI22">
        <v>0</v>
      </c>
      <c r="FJ22">
        <v>747.7346470588235</v>
      </c>
      <c r="FK22">
        <v>1.149999967737023</v>
      </c>
      <c r="FL22">
        <v>1011.299024979873</v>
      </c>
      <c r="FM22">
        <v>10118.917647058821</v>
      </c>
      <c r="FN22">
        <v>10</v>
      </c>
      <c r="FO22">
        <v>1783530697.5</v>
      </c>
      <c r="FP22" t="s">
        <v>866</v>
      </c>
      <c r="FQ22">
        <v>1783530407.5</v>
      </c>
      <c r="FR22">
        <v>1783530697</v>
      </c>
      <c r="FS22">
        <v>33</v>
      </c>
      <c r="FT22">
        <v>7.8E-2</v>
      </c>
      <c r="FU22">
        <v>-3.3000000000000002E-2</v>
      </c>
      <c r="FV22">
        <v>-5.8360000000000003</v>
      </c>
      <c r="FW22">
        <v>-0.47</v>
      </c>
      <c r="FX22">
        <v>479</v>
      </c>
      <c r="FY22">
        <v>23</v>
      </c>
      <c r="FZ22">
        <v>0.13</v>
      </c>
      <c r="GA22">
        <v>0.08</v>
      </c>
      <c r="GB22">
        <v>420.06176666666659</v>
      </c>
      <c r="GC22">
        <v>-0.14947274749759851</v>
      </c>
      <c r="GD22">
        <v>7.0264112856814151E-2</v>
      </c>
      <c r="GE22">
        <v>-1</v>
      </c>
      <c r="GF22">
        <v>747.74314705882341</v>
      </c>
      <c r="GG22">
        <v>-1.370512751253425E-2</v>
      </c>
      <c r="GH22">
        <v>0.29407563376400542</v>
      </c>
      <c r="GI22">
        <v>1</v>
      </c>
      <c r="GJ22">
        <v>4.4109720000000001</v>
      </c>
      <c r="GK22">
        <v>0.26921898686678741</v>
      </c>
      <c r="GL22">
        <v>3.8699135726783331E-2</v>
      </c>
      <c r="GM22">
        <v>1</v>
      </c>
      <c r="GN22">
        <v>2</v>
      </c>
      <c r="GO22">
        <v>2</v>
      </c>
      <c r="GP22" t="s">
        <v>423</v>
      </c>
      <c r="GQ22">
        <v>3.1320299999999999</v>
      </c>
      <c r="GR22">
        <v>2.7375099999999999</v>
      </c>
      <c r="GS22">
        <v>9.0486700000000003E-2</v>
      </c>
      <c r="GT22">
        <v>9.8411100000000001E-2</v>
      </c>
      <c r="GU22">
        <v>0.123587</v>
      </c>
      <c r="GV22">
        <v>0.108782</v>
      </c>
      <c r="GW22">
        <v>22638.2</v>
      </c>
      <c r="GX22">
        <v>30088</v>
      </c>
      <c r="GY22">
        <v>27022.1</v>
      </c>
      <c r="GZ22">
        <v>34349.9</v>
      </c>
      <c r="HA22">
        <v>34726.400000000001</v>
      </c>
      <c r="HB22">
        <v>38905.4</v>
      </c>
      <c r="HC22">
        <v>39921.599999999999</v>
      </c>
      <c r="HD22">
        <v>43723.8</v>
      </c>
      <c r="HE22">
        <v>1.9081999999999999</v>
      </c>
      <c r="HF22">
        <v>1.5402</v>
      </c>
      <c r="HG22">
        <v>-0.10100000000000001</v>
      </c>
      <c r="HH22">
        <v>0</v>
      </c>
      <c r="HI22">
        <v>31.637</v>
      </c>
      <c r="HJ22">
        <v>999.9</v>
      </c>
      <c r="HK22">
        <v>40.9</v>
      </c>
      <c r="HL22">
        <v>50</v>
      </c>
      <c r="HM22">
        <v>51.895299999999999</v>
      </c>
      <c r="HN22">
        <v>60.949199999999998</v>
      </c>
      <c r="HO22">
        <v>7.9968000000000004</v>
      </c>
      <c r="HP22">
        <v>1</v>
      </c>
      <c r="HQ22">
        <v>0.96938999999999997</v>
      </c>
      <c r="HR22">
        <v>6.1255800000000002</v>
      </c>
      <c r="HS22">
        <v>20.1614</v>
      </c>
      <c r="HT22">
        <v>5.2077099999999996</v>
      </c>
      <c r="HU22">
        <v>11.914099999999999</v>
      </c>
      <c r="HV22">
        <v>4.9808000000000003</v>
      </c>
      <c r="HW22">
        <v>3.2709999999999999</v>
      </c>
      <c r="HX22">
        <v>9999</v>
      </c>
      <c r="HY22">
        <v>9999</v>
      </c>
      <c r="HZ22">
        <v>9999</v>
      </c>
      <c r="IA22">
        <v>999.9</v>
      </c>
      <c r="IB22">
        <v>1.8675200000000001</v>
      </c>
      <c r="IC22">
        <v>1.8632500000000001</v>
      </c>
      <c r="ID22">
        <v>1.8627899999999999</v>
      </c>
      <c r="IE22">
        <v>1.8623400000000001</v>
      </c>
      <c r="IF22">
        <v>1.8623400000000001</v>
      </c>
      <c r="IG22">
        <v>1.86276</v>
      </c>
      <c r="IH22">
        <v>1.86371</v>
      </c>
      <c r="II22">
        <v>1.8616600000000001</v>
      </c>
      <c r="IJ22">
        <v>0</v>
      </c>
      <c r="IK22">
        <v>0</v>
      </c>
      <c r="IL22">
        <v>0</v>
      </c>
      <c r="IM22">
        <v>4.5</v>
      </c>
      <c r="IN22" t="s">
        <v>411</v>
      </c>
      <c r="IO22" t="s">
        <v>412</v>
      </c>
      <c r="IP22" t="s">
        <v>413</v>
      </c>
      <c r="IQ22" t="s">
        <v>414</v>
      </c>
      <c r="IR22" t="s">
        <v>414</v>
      </c>
      <c r="IS22" t="s">
        <v>413</v>
      </c>
      <c r="IT22">
        <v>0</v>
      </c>
      <c r="IU22">
        <v>100</v>
      </c>
      <c r="IV22">
        <v>100</v>
      </c>
      <c r="IW22">
        <v>-5.8360000000000003</v>
      </c>
      <c r="IX22">
        <v>-0.47</v>
      </c>
      <c r="IY22">
        <v>-5.8356190476191054</v>
      </c>
      <c r="IZ22">
        <v>0</v>
      </c>
      <c r="JA22">
        <v>0</v>
      </c>
      <c r="JB22">
        <v>0</v>
      </c>
      <c r="JC22">
        <v>-0.8222413170717493</v>
      </c>
      <c r="JD22">
        <v>2.7492919904454862E-4</v>
      </c>
      <c r="JE22">
        <v>8.6739513355948885E-4</v>
      </c>
      <c r="JF22">
        <v>-8.2500691715147318E-6</v>
      </c>
      <c r="JG22">
        <v>-1</v>
      </c>
      <c r="JH22">
        <v>-1</v>
      </c>
      <c r="JI22">
        <v>2</v>
      </c>
      <c r="JJ22">
        <v>37</v>
      </c>
      <c r="JK22">
        <v>4.4000000000000004</v>
      </c>
      <c r="JL22">
        <v>4.4000000000000004</v>
      </c>
      <c r="JM22">
        <v>1.16577</v>
      </c>
      <c r="JN22">
        <v>2.6049799999999999</v>
      </c>
      <c r="JO22">
        <v>1.50024</v>
      </c>
      <c r="JP22">
        <v>2.2644000000000002</v>
      </c>
      <c r="JQ22">
        <v>1.4477500000000001</v>
      </c>
      <c r="JR22">
        <v>2.4267599999999998</v>
      </c>
      <c r="JS22">
        <v>53.877899999999997</v>
      </c>
      <c r="JT22">
        <v>14.6136</v>
      </c>
      <c r="JU22">
        <v>18</v>
      </c>
      <c r="JV22">
        <v>541.06799999999998</v>
      </c>
      <c r="JW22">
        <v>325.18700000000001</v>
      </c>
      <c r="JX22">
        <v>25.087399999999999</v>
      </c>
      <c r="JY22">
        <v>38.717199999999998</v>
      </c>
      <c r="JZ22">
        <v>30.000299999999999</v>
      </c>
      <c r="KA22">
        <v>38.832299999999996</v>
      </c>
      <c r="KB22">
        <v>39.033900000000003</v>
      </c>
      <c r="KC22">
        <v>23.329899999999999</v>
      </c>
      <c r="KD22">
        <v>54.793900000000001</v>
      </c>
      <c r="KE22">
        <v>0</v>
      </c>
      <c r="KF22">
        <v>25.087199999999999</v>
      </c>
      <c r="KG22">
        <v>471.55599999999998</v>
      </c>
      <c r="KH22">
        <v>23.271799999999999</v>
      </c>
      <c r="KI22">
        <v>99.756399999999999</v>
      </c>
      <c r="KJ22">
        <v>98.233400000000003</v>
      </c>
    </row>
    <row r="23" spans="1:296" x14ac:dyDescent="0.3">
      <c r="A23">
        <v>7</v>
      </c>
      <c r="B23">
        <v>1783530878.5</v>
      </c>
      <c r="C23">
        <v>1119.5</v>
      </c>
      <c r="D23" t="s">
        <v>867</v>
      </c>
      <c r="E23" t="s">
        <v>868</v>
      </c>
      <c r="F23">
        <v>15</v>
      </c>
      <c r="H23">
        <v>1783530870.5</v>
      </c>
      <c r="I23">
        <f t="shared" si="0"/>
        <v>2.9479984922209284E-3</v>
      </c>
      <c r="J23">
        <f t="shared" si="1"/>
        <v>2.9479984922209286</v>
      </c>
      <c r="K23">
        <f t="shared" si="2"/>
        <v>32.709199336649093</v>
      </c>
      <c r="L23">
        <f t="shared" si="3"/>
        <v>420.17158064516133</v>
      </c>
      <c r="M23">
        <f t="shared" si="4"/>
        <v>121.77624625012416</v>
      </c>
      <c r="N23">
        <f t="shared" si="5"/>
        <v>11.925305758700011</v>
      </c>
      <c r="O23">
        <f t="shared" si="6"/>
        <v>41.146567779877842</v>
      </c>
      <c r="P23">
        <f t="shared" si="7"/>
        <v>0.18512920571505465</v>
      </c>
      <c r="Q23">
        <f t="shared" si="8"/>
        <v>2.8917348514321111</v>
      </c>
      <c r="R23">
        <f t="shared" si="9"/>
        <v>0.17878789713342447</v>
      </c>
      <c r="S23">
        <f t="shared" si="10"/>
        <v>0.11229408158427709</v>
      </c>
      <c r="T23">
        <f t="shared" si="11"/>
        <v>96.342794851020969</v>
      </c>
      <c r="U23">
        <f t="shared" si="12"/>
        <v>29.492834180627757</v>
      </c>
      <c r="V23">
        <f t="shared" si="13"/>
        <v>30.018874193548381</v>
      </c>
      <c r="W23">
        <f t="shared" si="14"/>
        <v>4.2650707861338848</v>
      </c>
      <c r="X23">
        <f t="shared" si="15"/>
        <v>64.688201642386915</v>
      </c>
      <c r="Y23">
        <f t="shared" si="16"/>
        <v>2.7078425367567434</v>
      </c>
      <c r="Z23">
        <f t="shared" si="17"/>
        <v>4.1859913678330347</v>
      </c>
      <c r="AA23">
        <f t="shared" si="18"/>
        <v>1.5572282493771414</v>
      </c>
      <c r="AB23">
        <f t="shared" si="19"/>
        <v>-130.00673350694294</v>
      </c>
      <c r="AC23">
        <f t="shared" si="20"/>
        <v>-50.742175226485251</v>
      </c>
      <c r="AD23">
        <f t="shared" si="21"/>
        <v>-3.8961087163415984</v>
      </c>
      <c r="AE23">
        <f t="shared" si="22"/>
        <v>-88.302222598748813</v>
      </c>
      <c r="AF23">
        <f t="shared" si="23"/>
        <v>32.709199336649093</v>
      </c>
      <c r="AG23">
        <f t="shared" si="24"/>
        <v>2.9479984922209286</v>
      </c>
      <c r="AH23">
        <f t="shared" si="25"/>
        <v>32.878160480617517</v>
      </c>
      <c r="AI23">
        <v>472.34131331319969</v>
      </c>
      <c r="AJ23">
        <v>432.05183636363631</v>
      </c>
      <c r="AK23">
        <v>-2.7371136870691658E-2</v>
      </c>
      <c r="AL23">
        <v>66.929488603612</v>
      </c>
      <c r="AM23">
        <f t="shared" si="26"/>
        <v>2.8958067029272851</v>
      </c>
      <c r="AN23">
        <v>24.249781801861481</v>
      </c>
      <c r="AO23">
        <v>27.62949333333334</v>
      </c>
      <c r="AP23">
        <v>-1.3529824561297229E-4</v>
      </c>
      <c r="AQ23">
        <v>78.55</v>
      </c>
      <c r="AR23">
        <v>0</v>
      </c>
      <c r="AS23">
        <v>0</v>
      </c>
      <c r="AT23">
        <f t="shared" si="27"/>
        <v>1</v>
      </c>
      <c r="AU23">
        <f t="shared" si="28"/>
        <v>0</v>
      </c>
      <c r="AV23">
        <f t="shared" si="29"/>
        <v>51285.275537401285</v>
      </c>
      <c r="AW23" t="s">
        <v>844</v>
      </c>
      <c r="AX23">
        <v>5087.38</v>
      </c>
      <c r="AY23">
        <v>545.02941176470586</v>
      </c>
      <c r="AZ23">
        <v>2365.36</v>
      </c>
      <c r="BA23">
        <f t="shared" si="30"/>
        <v>0.76957866381239814</v>
      </c>
      <c r="BB23">
        <v>-6.1128344961398691</v>
      </c>
      <c r="BC23" t="s">
        <v>869</v>
      </c>
      <c r="BD23">
        <v>5087.71</v>
      </c>
      <c r="BE23">
        <v>735.14905882352946</v>
      </c>
      <c r="BF23">
        <v>1559.96</v>
      </c>
      <c r="BG23">
        <f t="shared" si="31"/>
        <v>0.52873851969055008</v>
      </c>
      <c r="BH23">
        <v>0.5</v>
      </c>
      <c r="BI23">
        <f t="shared" si="32"/>
        <v>504.28977606521221</v>
      </c>
      <c r="BJ23">
        <f t="shared" si="33"/>
        <v>32.709199336649093</v>
      </c>
      <c r="BK23">
        <f t="shared" si="34"/>
        <v>133.31871484589965</v>
      </c>
      <c r="BL23">
        <f t="shared" si="35"/>
        <v>7.6983583002025194E-2</v>
      </c>
      <c r="BM23">
        <f t="shared" si="36"/>
        <v>0.5162952896228109</v>
      </c>
      <c r="BN23">
        <f t="shared" si="37"/>
        <v>487.08332461924249</v>
      </c>
      <c r="BO23" t="s">
        <v>407</v>
      </c>
      <c r="BP23">
        <v>0</v>
      </c>
      <c r="BQ23">
        <f t="shared" si="38"/>
        <v>487.08332461924249</v>
      </c>
      <c r="BR23">
        <f t="shared" si="39"/>
        <v>0.68775909342595809</v>
      </c>
      <c r="BS23">
        <f t="shared" si="40"/>
        <v>0.76878448390515153</v>
      </c>
      <c r="BT23">
        <f t="shared" si="41"/>
        <v>0.42879731753935141</v>
      </c>
      <c r="BU23">
        <f t="shared" si="42"/>
        <v>0.81267719264487515</v>
      </c>
      <c r="BV23">
        <f t="shared" si="43"/>
        <v>0.44244710560008171</v>
      </c>
      <c r="BW23">
        <f t="shared" si="44"/>
        <v>0.50936894748320471</v>
      </c>
      <c r="BX23">
        <f t="shared" si="45"/>
        <v>0.49063105251679529</v>
      </c>
      <c r="DG23">
        <f t="shared" si="46"/>
        <v>599.98390322580644</v>
      </c>
      <c r="DH23">
        <f t="shared" si="47"/>
        <v>504.28977606521221</v>
      </c>
      <c r="DI23">
        <f t="shared" si="48"/>
        <v>0.84050550915433586</v>
      </c>
      <c r="DJ23">
        <f t="shared" si="49"/>
        <v>0.16057563266786834</v>
      </c>
      <c r="DK23">
        <v>6</v>
      </c>
      <c r="DL23">
        <v>0.5</v>
      </c>
      <c r="DM23" t="s">
        <v>408</v>
      </c>
      <c r="DN23">
        <v>2</v>
      </c>
      <c r="DO23" t="b">
        <v>0</v>
      </c>
      <c r="DP23">
        <v>1783530870.5</v>
      </c>
      <c r="DQ23">
        <v>420.17158064516133</v>
      </c>
      <c r="DR23">
        <v>460.90816129032271</v>
      </c>
      <c r="DS23">
        <v>27.651358064516121</v>
      </c>
      <c r="DT23">
        <v>24.211651612903228</v>
      </c>
      <c r="DU23">
        <v>425.97</v>
      </c>
      <c r="DV23">
        <v>27.967912903225809</v>
      </c>
      <c r="DW23">
        <v>500.01051612903228</v>
      </c>
      <c r="DX23">
        <v>97.866270967741926</v>
      </c>
      <c r="DY23">
        <v>6.1741480645161301E-2</v>
      </c>
      <c r="DZ23">
        <v>29.6933935483871</v>
      </c>
      <c r="EA23">
        <v>30.018874193548381</v>
      </c>
      <c r="EB23">
        <v>999.90000000000032</v>
      </c>
      <c r="EC23">
        <v>0</v>
      </c>
      <c r="ED23">
        <v>0</v>
      </c>
      <c r="EE23">
        <v>9999.354838709678</v>
      </c>
      <c r="EF23">
        <v>0</v>
      </c>
      <c r="EG23">
        <v>1809.310322580646</v>
      </c>
      <c r="EH23">
        <v>-40.736648387096778</v>
      </c>
      <c r="EI23">
        <v>432.12022580645157</v>
      </c>
      <c r="EJ23">
        <v>472.34445161290319</v>
      </c>
      <c r="EK23">
        <v>3.4397122580645152</v>
      </c>
      <c r="EL23">
        <v>460.90816129032271</v>
      </c>
      <c r="EM23">
        <v>24.211651612903228</v>
      </c>
      <c r="EN23">
        <v>2.7061351612903231</v>
      </c>
      <c r="EO23">
        <v>2.3695032258064521</v>
      </c>
      <c r="EP23">
        <v>22.322419354838711</v>
      </c>
      <c r="EQ23">
        <v>20.156809677419361</v>
      </c>
      <c r="ER23">
        <v>599.98390322580644</v>
      </c>
      <c r="ES23">
        <v>0.98301538709677416</v>
      </c>
      <c r="ET23">
        <v>1.698473870967742E-2</v>
      </c>
      <c r="EU23">
        <v>0</v>
      </c>
      <c r="EV23">
        <v>735.30512903225804</v>
      </c>
      <c r="EW23">
        <v>5.0010700000000003</v>
      </c>
      <c r="EX23">
        <v>8382.2812903225804</v>
      </c>
      <c r="EY23">
        <v>5414.9977419354827</v>
      </c>
      <c r="EZ23">
        <v>43.807999999999979</v>
      </c>
      <c r="FA23">
        <v>47.686999999999969</v>
      </c>
      <c r="FB23">
        <v>45.686999999999969</v>
      </c>
      <c r="FC23">
        <v>47</v>
      </c>
      <c r="FD23">
        <v>45.61280645161289</v>
      </c>
      <c r="FE23">
        <v>584.87806451612903</v>
      </c>
      <c r="FF23">
        <v>10.11</v>
      </c>
      <c r="FG23">
        <v>0</v>
      </c>
      <c r="FH23">
        <v>206.20000004768369</v>
      </c>
      <c r="FI23">
        <v>0</v>
      </c>
      <c r="FJ23">
        <v>735.14905882352946</v>
      </c>
      <c r="FK23">
        <v>0.1164215678954237</v>
      </c>
      <c r="FL23">
        <v>-302.12009905260868</v>
      </c>
      <c r="FM23">
        <v>8337.0152941176457</v>
      </c>
      <c r="FN23">
        <v>10</v>
      </c>
      <c r="FO23">
        <v>1783530769</v>
      </c>
      <c r="FP23" t="s">
        <v>870</v>
      </c>
      <c r="FQ23">
        <v>1783530769</v>
      </c>
      <c r="FR23">
        <v>1783530767.5</v>
      </c>
      <c r="FS23">
        <v>34</v>
      </c>
      <c r="FT23">
        <v>3.6999999999999998E-2</v>
      </c>
      <c r="FU23">
        <v>-0.04</v>
      </c>
      <c r="FV23">
        <v>-5.7990000000000004</v>
      </c>
      <c r="FW23">
        <v>-0.46500000000000002</v>
      </c>
      <c r="FX23">
        <v>465</v>
      </c>
      <c r="FY23">
        <v>24</v>
      </c>
      <c r="FZ23">
        <v>0.21</v>
      </c>
      <c r="GA23">
        <v>0.08</v>
      </c>
      <c r="GB23">
        <v>420.17800000000011</v>
      </c>
      <c r="GC23">
        <v>-0.49575083426098249</v>
      </c>
      <c r="GD23">
        <v>7.5172690076469692E-2</v>
      </c>
      <c r="GE23">
        <v>-1</v>
      </c>
      <c r="GF23">
        <v>735.5740588235293</v>
      </c>
      <c r="GG23">
        <v>-4.3336592818754154</v>
      </c>
      <c r="GH23">
        <v>0.53253483405404234</v>
      </c>
      <c r="GI23">
        <v>1</v>
      </c>
      <c r="GJ23">
        <v>3.4850702500000001</v>
      </c>
      <c r="GK23">
        <v>-0.84060033771107889</v>
      </c>
      <c r="GL23">
        <v>8.3411180710007304E-2</v>
      </c>
      <c r="GM23">
        <v>0</v>
      </c>
      <c r="GN23">
        <v>1</v>
      </c>
      <c r="GO23">
        <v>2</v>
      </c>
      <c r="GP23" t="s">
        <v>410</v>
      </c>
      <c r="GQ23">
        <v>3.13184</v>
      </c>
      <c r="GR23">
        <v>2.7385899999999999</v>
      </c>
      <c r="GS23">
        <v>9.0444800000000006E-2</v>
      </c>
      <c r="GT23">
        <v>9.6651299999999996E-2</v>
      </c>
      <c r="GU23">
        <v>0.123261</v>
      </c>
      <c r="GV23">
        <v>0.11222</v>
      </c>
      <c r="GW23">
        <v>22627.5</v>
      </c>
      <c r="GX23">
        <v>30129.4</v>
      </c>
      <c r="GY23">
        <v>27009.200000000001</v>
      </c>
      <c r="GZ23">
        <v>34331.9</v>
      </c>
      <c r="HA23">
        <v>34725.4</v>
      </c>
      <c r="HB23">
        <v>38738.800000000003</v>
      </c>
      <c r="HC23">
        <v>39904.1</v>
      </c>
      <c r="HD23">
        <v>43703.9</v>
      </c>
      <c r="HE23">
        <v>1.9034</v>
      </c>
      <c r="HF23">
        <v>1.5364</v>
      </c>
      <c r="HG23">
        <v>-0.113249</v>
      </c>
      <c r="HH23">
        <v>0</v>
      </c>
      <c r="HI23">
        <v>31.819600000000001</v>
      </c>
      <c r="HJ23">
        <v>999.9</v>
      </c>
      <c r="HK23">
        <v>40.700000000000003</v>
      </c>
      <c r="HL23">
        <v>50.3</v>
      </c>
      <c r="HM23">
        <v>52.4236</v>
      </c>
      <c r="HN23">
        <v>60.979199999999999</v>
      </c>
      <c r="HO23">
        <v>7.7203499999999998</v>
      </c>
      <c r="HP23">
        <v>1</v>
      </c>
      <c r="HQ23">
        <v>0.99981699999999996</v>
      </c>
      <c r="HR23">
        <v>6.7988499999999998</v>
      </c>
      <c r="HS23">
        <v>20.137499999999999</v>
      </c>
      <c r="HT23">
        <v>5.2100999999999997</v>
      </c>
      <c r="HU23">
        <v>11.914099999999999</v>
      </c>
      <c r="HV23">
        <v>4.9836</v>
      </c>
      <c r="HW23">
        <v>3.2706</v>
      </c>
      <c r="HX23">
        <v>9999</v>
      </c>
      <c r="HY23">
        <v>9999</v>
      </c>
      <c r="HZ23">
        <v>9999</v>
      </c>
      <c r="IA23">
        <v>999.9</v>
      </c>
      <c r="IB23">
        <v>1.8675200000000001</v>
      </c>
      <c r="IC23">
        <v>1.8632500000000001</v>
      </c>
      <c r="ID23">
        <v>1.8627899999999999</v>
      </c>
      <c r="IE23">
        <v>1.8623700000000001</v>
      </c>
      <c r="IF23">
        <v>1.8623400000000001</v>
      </c>
      <c r="IG23">
        <v>1.8627</v>
      </c>
      <c r="IH23">
        <v>1.86371</v>
      </c>
      <c r="II23">
        <v>1.8615999999999999</v>
      </c>
      <c r="IJ23">
        <v>0</v>
      </c>
      <c r="IK23">
        <v>0</v>
      </c>
      <c r="IL23">
        <v>0</v>
      </c>
      <c r="IM23">
        <v>4.5</v>
      </c>
      <c r="IN23" t="s">
        <v>411</v>
      </c>
      <c r="IO23" t="s">
        <v>412</v>
      </c>
      <c r="IP23" t="s">
        <v>413</v>
      </c>
      <c r="IQ23" t="s">
        <v>414</v>
      </c>
      <c r="IR23" t="s">
        <v>414</v>
      </c>
      <c r="IS23" t="s">
        <v>413</v>
      </c>
      <c r="IT23">
        <v>0</v>
      </c>
      <c r="IU23">
        <v>100</v>
      </c>
      <c r="IV23">
        <v>100</v>
      </c>
      <c r="IW23">
        <v>-5.798</v>
      </c>
      <c r="IX23">
        <v>-0.31709999999999999</v>
      </c>
      <c r="IY23">
        <v>-5.798523809523715</v>
      </c>
      <c r="IZ23">
        <v>0</v>
      </c>
      <c r="JA23">
        <v>0</v>
      </c>
      <c r="JB23">
        <v>0</v>
      </c>
      <c r="JC23">
        <v>-0.8222413170717493</v>
      </c>
      <c r="JD23">
        <v>2.7492919904454862E-4</v>
      </c>
      <c r="JE23">
        <v>8.6739513355948885E-4</v>
      </c>
      <c r="JF23">
        <v>-8.2500691715147318E-6</v>
      </c>
      <c r="JG23">
        <v>-1</v>
      </c>
      <c r="JH23">
        <v>-1</v>
      </c>
      <c r="JI23">
        <v>2</v>
      </c>
      <c r="JJ23">
        <v>37</v>
      </c>
      <c r="JK23">
        <v>1.8</v>
      </c>
      <c r="JL23">
        <v>1.9</v>
      </c>
      <c r="JM23">
        <v>1.1450199999999999</v>
      </c>
      <c r="JN23">
        <v>2.6220699999999999</v>
      </c>
      <c r="JO23">
        <v>1.50024</v>
      </c>
      <c r="JP23">
        <v>2.2644000000000002</v>
      </c>
      <c r="JQ23">
        <v>1.4477500000000001</v>
      </c>
      <c r="JR23">
        <v>2.34009</v>
      </c>
      <c r="JS23">
        <v>54.272399999999998</v>
      </c>
      <c r="JT23">
        <v>14.534800000000001</v>
      </c>
      <c r="JU23">
        <v>18</v>
      </c>
      <c r="JV23">
        <v>539.64099999999996</v>
      </c>
      <c r="JW23">
        <v>324.303</v>
      </c>
      <c r="JX23">
        <v>24.783899999999999</v>
      </c>
      <c r="JY23">
        <v>38.991700000000002</v>
      </c>
      <c r="JZ23">
        <v>30.0002</v>
      </c>
      <c r="KA23">
        <v>39.075600000000001</v>
      </c>
      <c r="KB23">
        <v>39.274299999999997</v>
      </c>
      <c r="KC23">
        <v>22.903400000000001</v>
      </c>
      <c r="KD23">
        <v>53.2577</v>
      </c>
      <c r="KE23">
        <v>0</v>
      </c>
      <c r="KF23">
        <v>24.799499999999998</v>
      </c>
      <c r="KG23">
        <v>460.851</v>
      </c>
      <c r="KH23">
        <v>24.4818</v>
      </c>
      <c r="KI23">
        <v>99.711200000000005</v>
      </c>
      <c r="KJ23">
        <v>98.185699999999997</v>
      </c>
    </row>
    <row r="24" spans="1:296" x14ac:dyDescent="0.3">
      <c r="A24">
        <v>8</v>
      </c>
      <c r="B24">
        <v>1783531061</v>
      </c>
      <c r="C24">
        <v>1302</v>
      </c>
      <c r="D24" t="s">
        <v>871</v>
      </c>
      <c r="E24" t="s">
        <v>872</v>
      </c>
      <c r="F24">
        <v>15</v>
      </c>
      <c r="H24">
        <v>1783531053.25</v>
      </c>
      <c r="I24">
        <f t="shared" si="0"/>
        <v>1.5190576344601202E-3</v>
      </c>
      <c r="J24">
        <f t="shared" si="1"/>
        <v>1.5190576344601201</v>
      </c>
      <c r="K24">
        <f t="shared" si="2"/>
        <v>20.402024307208936</v>
      </c>
      <c r="L24">
        <f t="shared" si="3"/>
        <v>420.23390000000012</v>
      </c>
      <c r="M24">
        <f t="shared" si="4"/>
        <v>54.07816515928937</v>
      </c>
      <c r="N24">
        <f t="shared" si="5"/>
        <v>5.2957665027394212</v>
      </c>
      <c r="O24">
        <f t="shared" si="6"/>
        <v>41.152664931962214</v>
      </c>
      <c r="P24">
        <f t="shared" si="7"/>
        <v>9.2097925413301918E-2</v>
      </c>
      <c r="Q24">
        <f t="shared" si="8"/>
        <v>2.8925648261836181</v>
      </c>
      <c r="R24">
        <f t="shared" si="9"/>
        <v>9.0499349426701764E-2</v>
      </c>
      <c r="S24">
        <f t="shared" si="10"/>
        <v>5.6703407903988069E-2</v>
      </c>
      <c r="T24">
        <f t="shared" si="11"/>
        <v>64.411927463217964</v>
      </c>
      <c r="U24">
        <f t="shared" si="12"/>
        <v>29.674065391700079</v>
      </c>
      <c r="V24">
        <f t="shared" si="13"/>
        <v>30.036416666666661</v>
      </c>
      <c r="W24">
        <f t="shared" si="14"/>
        <v>4.2693696675216977</v>
      </c>
      <c r="X24">
        <f t="shared" si="15"/>
        <v>64.132729258808624</v>
      </c>
      <c r="Y24">
        <f t="shared" si="16"/>
        <v>2.6839769741888819</v>
      </c>
      <c r="Z24">
        <f t="shared" si="17"/>
        <v>4.1850347010145956</v>
      </c>
      <c r="AA24">
        <f t="shared" si="18"/>
        <v>1.5853926933328157</v>
      </c>
      <c r="AB24">
        <f t="shared" si="19"/>
        <v>-66.990441679691301</v>
      </c>
      <c r="AC24">
        <f t="shared" si="20"/>
        <v>-54.111512727129742</v>
      </c>
      <c r="AD24">
        <f t="shared" si="21"/>
        <v>-4.1539019417286394</v>
      </c>
      <c r="AE24">
        <f t="shared" si="22"/>
        <v>-60.843928885331721</v>
      </c>
      <c r="AF24">
        <f t="shared" si="23"/>
        <v>20.402024307208936</v>
      </c>
      <c r="AG24">
        <f t="shared" si="24"/>
        <v>1.5190576344601201</v>
      </c>
      <c r="AH24">
        <f t="shared" si="25"/>
        <v>20.527825283752325</v>
      </c>
      <c r="AI24">
        <v>457.36969254126677</v>
      </c>
      <c r="AJ24">
        <v>432.12433939393918</v>
      </c>
      <c r="AK24">
        <v>-6.6366180844069488E-3</v>
      </c>
      <c r="AL24">
        <v>66.929488603612</v>
      </c>
      <c r="AM24">
        <f t="shared" si="26"/>
        <v>1.6691368824142305</v>
      </c>
      <c r="AN24">
        <v>25.698204482510821</v>
      </c>
      <c r="AO24">
        <v>27.60940787878787</v>
      </c>
      <c r="AP24">
        <v>5.9510649350707203E-3</v>
      </c>
      <c r="AQ24">
        <v>78.55</v>
      </c>
      <c r="AR24">
        <v>0</v>
      </c>
      <c r="AS24">
        <v>0</v>
      </c>
      <c r="AT24">
        <f t="shared" si="27"/>
        <v>1</v>
      </c>
      <c r="AU24">
        <f t="shared" si="28"/>
        <v>0</v>
      </c>
      <c r="AV24">
        <f t="shared" si="29"/>
        <v>51309.38129479847</v>
      </c>
      <c r="AW24" t="s">
        <v>844</v>
      </c>
      <c r="AX24">
        <v>5087.38</v>
      </c>
      <c r="AY24">
        <v>545.02941176470586</v>
      </c>
      <c r="AZ24">
        <v>2365.36</v>
      </c>
      <c r="BA24">
        <f t="shared" si="30"/>
        <v>0.76957866381239814</v>
      </c>
      <c r="BB24">
        <v>-6.1128344961398691</v>
      </c>
      <c r="BC24" t="s">
        <v>873</v>
      </c>
      <c r="BD24">
        <v>5089.43</v>
      </c>
      <c r="BE24">
        <v>712.48323529411766</v>
      </c>
      <c r="BF24">
        <v>1656.07</v>
      </c>
      <c r="BG24">
        <f t="shared" si="31"/>
        <v>0.56977468627889061</v>
      </c>
      <c r="BH24">
        <v>0.5</v>
      </c>
      <c r="BI24">
        <f t="shared" si="32"/>
        <v>336.30120747317</v>
      </c>
      <c r="BJ24">
        <f t="shared" si="33"/>
        <v>20.402024307208936</v>
      </c>
      <c r="BK24">
        <f t="shared" si="34"/>
        <v>95.807957491618765</v>
      </c>
      <c r="BL24">
        <f t="shared" si="35"/>
        <v>7.8842591742594781E-2</v>
      </c>
      <c r="BM24">
        <f t="shared" si="36"/>
        <v>0.42829711304473855</v>
      </c>
      <c r="BN24">
        <f t="shared" si="37"/>
        <v>496.07260509160608</v>
      </c>
      <c r="BO24" t="s">
        <v>407</v>
      </c>
      <c r="BP24">
        <v>0</v>
      </c>
      <c r="BQ24">
        <f t="shared" si="38"/>
        <v>496.07260509160608</v>
      </c>
      <c r="BR24">
        <f t="shared" si="39"/>
        <v>0.70045191019002451</v>
      </c>
      <c r="BS24">
        <f t="shared" si="40"/>
        <v>0.81343869292085635</v>
      </c>
      <c r="BT24">
        <f t="shared" si="41"/>
        <v>0.37944406083942994</v>
      </c>
      <c r="BU24">
        <f t="shared" si="42"/>
        <v>0.84928199266294602</v>
      </c>
      <c r="BV24">
        <f t="shared" si="43"/>
        <v>0.38964900363928734</v>
      </c>
      <c r="BW24">
        <f t="shared" si="44"/>
        <v>0.56636371424652909</v>
      </c>
      <c r="BX24">
        <f t="shared" si="45"/>
        <v>0.43363628575347091</v>
      </c>
      <c r="DG24">
        <f t="shared" si="46"/>
        <v>400.0064333333334</v>
      </c>
      <c r="DH24">
        <f t="shared" si="47"/>
        <v>336.30120747317</v>
      </c>
      <c r="DI24">
        <f t="shared" si="48"/>
        <v>0.84073949678935145</v>
      </c>
      <c r="DJ24">
        <f t="shared" si="49"/>
        <v>0.16102722880344827</v>
      </c>
      <c r="DK24">
        <v>6</v>
      </c>
      <c r="DL24">
        <v>0.5</v>
      </c>
      <c r="DM24" t="s">
        <v>408</v>
      </c>
      <c r="DN24">
        <v>2</v>
      </c>
      <c r="DO24" t="b">
        <v>0</v>
      </c>
      <c r="DP24">
        <v>1783531053.25</v>
      </c>
      <c r="DQ24">
        <v>420.23390000000012</v>
      </c>
      <c r="DR24">
        <v>445.48076666666668</v>
      </c>
      <c r="DS24">
        <v>27.407656666666661</v>
      </c>
      <c r="DT24">
        <v>25.63486</v>
      </c>
      <c r="DU24">
        <v>426.03236666666658</v>
      </c>
      <c r="DV24">
        <v>27.868656666666659</v>
      </c>
      <c r="DW24">
        <v>500.03156666666661</v>
      </c>
      <c r="DX24">
        <v>97.865819999999999</v>
      </c>
      <c r="DY24">
        <v>6.217898333333334E-2</v>
      </c>
      <c r="DZ24">
        <v>29.68942333333333</v>
      </c>
      <c r="EA24">
        <v>30.036416666666661</v>
      </c>
      <c r="EB24">
        <v>999.9000000000002</v>
      </c>
      <c r="EC24">
        <v>0</v>
      </c>
      <c r="ED24">
        <v>0</v>
      </c>
      <c r="EE24">
        <v>10004.16666666667</v>
      </c>
      <c r="EF24">
        <v>0</v>
      </c>
      <c r="EG24">
        <v>1791.4026666666659</v>
      </c>
      <c r="EH24">
        <v>-25.24687333333333</v>
      </c>
      <c r="EI24">
        <v>432.13900000000012</v>
      </c>
      <c r="EJ24">
        <v>457.20100000000002</v>
      </c>
      <c r="EK24">
        <v>1.91432</v>
      </c>
      <c r="EL24">
        <v>445.48076666666668</v>
      </c>
      <c r="EM24">
        <v>25.63486</v>
      </c>
      <c r="EN24">
        <v>2.696123</v>
      </c>
      <c r="EO24">
        <v>2.5087773333333341</v>
      </c>
      <c r="EP24">
        <v>22.261486666666659</v>
      </c>
      <c r="EQ24">
        <v>21.083443333333332</v>
      </c>
      <c r="ER24">
        <v>400.0064333333334</v>
      </c>
      <c r="ES24">
        <v>0.9750274000000001</v>
      </c>
      <c r="ET24">
        <v>2.497243E-2</v>
      </c>
      <c r="EU24">
        <v>0</v>
      </c>
      <c r="EV24">
        <v>712.71273333333329</v>
      </c>
      <c r="EW24">
        <v>5.0010700000000003</v>
      </c>
      <c r="EX24">
        <v>6658.0766666666668</v>
      </c>
      <c r="EY24">
        <v>3583.7710000000002</v>
      </c>
      <c r="EZ24">
        <v>43.375</v>
      </c>
      <c r="FA24">
        <v>47.5</v>
      </c>
      <c r="FB24">
        <v>45.424599999999977</v>
      </c>
      <c r="FC24">
        <v>46.86869999999999</v>
      </c>
      <c r="FD24">
        <v>45.25</v>
      </c>
      <c r="FE24">
        <v>385.14066666666662</v>
      </c>
      <c r="FF24">
        <v>9.860000000000003</v>
      </c>
      <c r="FG24">
        <v>0</v>
      </c>
      <c r="FH24">
        <v>182</v>
      </c>
      <c r="FI24">
        <v>0</v>
      </c>
      <c r="FJ24">
        <v>712.48323529411766</v>
      </c>
      <c r="FK24">
        <v>-6.4083333509545746</v>
      </c>
      <c r="FL24">
        <v>73.497553282564709</v>
      </c>
      <c r="FM24">
        <v>6649.7117647058822</v>
      </c>
      <c r="FN24">
        <v>10</v>
      </c>
      <c r="FO24">
        <v>1783531084.5</v>
      </c>
      <c r="FP24" t="s">
        <v>874</v>
      </c>
      <c r="FQ24">
        <v>1783530769</v>
      </c>
      <c r="FR24">
        <v>1783531084</v>
      </c>
      <c r="FS24">
        <v>35</v>
      </c>
      <c r="FT24">
        <v>3.6999999999999998E-2</v>
      </c>
      <c r="FU24">
        <v>-9.1999999999999998E-2</v>
      </c>
      <c r="FV24">
        <v>-5.7990000000000004</v>
      </c>
      <c r="FW24">
        <v>-0.46100000000000002</v>
      </c>
      <c r="FX24">
        <v>465</v>
      </c>
      <c r="FY24">
        <v>26</v>
      </c>
      <c r="FZ24">
        <v>0.21</v>
      </c>
      <c r="GA24">
        <v>0.23</v>
      </c>
      <c r="GB24">
        <v>420.24851612903223</v>
      </c>
      <c r="GC24">
        <v>-0.56840322580751867</v>
      </c>
      <c r="GD24">
        <v>7.4267550751944453E-2</v>
      </c>
      <c r="GE24">
        <v>-1</v>
      </c>
      <c r="GF24">
        <v>713.06679411764696</v>
      </c>
      <c r="GG24">
        <v>-5.4255003824713199</v>
      </c>
      <c r="GH24">
        <v>0.57644135355041004</v>
      </c>
      <c r="GI24">
        <v>1</v>
      </c>
      <c r="GJ24">
        <v>1.968348780487805</v>
      </c>
      <c r="GK24">
        <v>-0.84597240418118502</v>
      </c>
      <c r="GL24">
        <v>9.9008724971408488E-2</v>
      </c>
      <c r="GM24">
        <v>0</v>
      </c>
      <c r="GN24">
        <v>1</v>
      </c>
      <c r="GO24">
        <v>2</v>
      </c>
      <c r="GP24" t="s">
        <v>410</v>
      </c>
      <c r="GQ24">
        <v>3.1314299999999999</v>
      </c>
      <c r="GR24">
        <v>2.7382200000000001</v>
      </c>
      <c r="GS24">
        <v>9.0426400000000004E-2</v>
      </c>
      <c r="GT24">
        <v>9.4177399999999994E-2</v>
      </c>
      <c r="GU24">
        <v>0.123143</v>
      </c>
      <c r="GV24">
        <v>0.116435</v>
      </c>
      <c r="GW24">
        <v>22620.7</v>
      </c>
      <c r="GX24">
        <v>30200.5</v>
      </c>
      <c r="GY24">
        <v>27001.599999999999</v>
      </c>
      <c r="GZ24">
        <v>34320.1</v>
      </c>
      <c r="HA24">
        <v>34721.199999999997</v>
      </c>
      <c r="HB24">
        <v>38546.1</v>
      </c>
      <c r="HC24">
        <v>39892.800000000003</v>
      </c>
      <c r="HD24">
        <v>43692.800000000003</v>
      </c>
      <c r="HE24">
        <v>1.8986000000000001</v>
      </c>
      <c r="HF24">
        <v>1.5344</v>
      </c>
      <c r="HG24">
        <v>-0.10857</v>
      </c>
      <c r="HH24">
        <v>0</v>
      </c>
      <c r="HI24">
        <v>31.810600000000001</v>
      </c>
      <c r="HJ24">
        <v>999.9</v>
      </c>
      <c r="HK24">
        <v>40.4</v>
      </c>
      <c r="HL24">
        <v>50.6</v>
      </c>
      <c r="HM24">
        <v>52.815300000000001</v>
      </c>
      <c r="HN24">
        <v>61.039299999999997</v>
      </c>
      <c r="HO24">
        <v>8.0648999999999997</v>
      </c>
      <c r="HP24">
        <v>1</v>
      </c>
      <c r="HQ24">
        <v>1.0178</v>
      </c>
      <c r="HR24">
        <v>6.6267300000000002</v>
      </c>
      <c r="HS24">
        <v>20.145</v>
      </c>
      <c r="HT24">
        <v>5.2088999999999999</v>
      </c>
      <c r="HU24">
        <v>11.914099999999999</v>
      </c>
      <c r="HV24">
        <v>4.9828000000000001</v>
      </c>
      <c r="HW24">
        <v>3.2709999999999999</v>
      </c>
      <c r="HX24">
        <v>9999</v>
      </c>
      <c r="HY24">
        <v>9999</v>
      </c>
      <c r="HZ24">
        <v>9999</v>
      </c>
      <c r="IA24">
        <v>999.9</v>
      </c>
      <c r="IB24">
        <v>1.8674900000000001</v>
      </c>
      <c r="IC24">
        <v>1.8632500000000001</v>
      </c>
      <c r="ID24">
        <v>1.8627899999999999</v>
      </c>
      <c r="IE24">
        <v>1.8623400000000001</v>
      </c>
      <c r="IF24">
        <v>1.8623400000000001</v>
      </c>
      <c r="IG24">
        <v>1.86276</v>
      </c>
      <c r="IH24">
        <v>1.86371</v>
      </c>
      <c r="II24">
        <v>1.8616299999999999</v>
      </c>
      <c r="IJ24">
        <v>0</v>
      </c>
      <c r="IK24">
        <v>0</v>
      </c>
      <c r="IL24">
        <v>0</v>
      </c>
      <c r="IM24">
        <v>4.5</v>
      </c>
      <c r="IN24" t="s">
        <v>411</v>
      </c>
      <c r="IO24" t="s">
        <v>412</v>
      </c>
      <c r="IP24" t="s">
        <v>413</v>
      </c>
      <c r="IQ24" t="s">
        <v>414</v>
      </c>
      <c r="IR24" t="s">
        <v>414</v>
      </c>
      <c r="IS24" t="s">
        <v>413</v>
      </c>
      <c r="IT24">
        <v>0</v>
      </c>
      <c r="IU24">
        <v>100</v>
      </c>
      <c r="IV24">
        <v>100</v>
      </c>
      <c r="IW24">
        <v>-5.798</v>
      </c>
      <c r="IX24">
        <v>-0.46100000000000002</v>
      </c>
      <c r="IY24">
        <v>-5.798523809523715</v>
      </c>
      <c r="IZ24">
        <v>0</v>
      </c>
      <c r="JA24">
        <v>0</v>
      </c>
      <c r="JB24">
        <v>0</v>
      </c>
      <c r="JC24">
        <v>-0.8222413170717493</v>
      </c>
      <c r="JD24">
        <v>2.7492919904454862E-4</v>
      </c>
      <c r="JE24">
        <v>8.6739513355948885E-4</v>
      </c>
      <c r="JF24">
        <v>-8.2500691715147318E-6</v>
      </c>
      <c r="JG24">
        <v>-1</v>
      </c>
      <c r="JH24">
        <v>-1</v>
      </c>
      <c r="JI24">
        <v>2</v>
      </c>
      <c r="JJ24">
        <v>37</v>
      </c>
      <c r="JK24">
        <v>4.9000000000000004</v>
      </c>
      <c r="JL24">
        <v>4.9000000000000004</v>
      </c>
      <c r="JM24">
        <v>1.1145</v>
      </c>
      <c r="JN24">
        <v>2.6086399999999998</v>
      </c>
      <c r="JO24">
        <v>1.50024</v>
      </c>
      <c r="JP24">
        <v>2.2644000000000002</v>
      </c>
      <c r="JQ24">
        <v>1.4477500000000001</v>
      </c>
      <c r="JR24">
        <v>2.4841299999999999</v>
      </c>
      <c r="JS24">
        <v>54.598500000000001</v>
      </c>
      <c r="JT24">
        <v>14.517300000000001</v>
      </c>
      <c r="JU24">
        <v>18</v>
      </c>
      <c r="JV24">
        <v>538.02300000000002</v>
      </c>
      <c r="JW24">
        <v>324.24700000000001</v>
      </c>
      <c r="JX24">
        <v>25.0276</v>
      </c>
      <c r="JY24">
        <v>39.2121</v>
      </c>
      <c r="JZ24">
        <v>30.001000000000001</v>
      </c>
      <c r="KA24">
        <v>39.2958</v>
      </c>
      <c r="KB24">
        <v>39.491799999999998</v>
      </c>
      <c r="KC24">
        <v>22.302399999999999</v>
      </c>
      <c r="KD24">
        <v>51.847700000000003</v>
      </c>
      <c r="KE24">
        <v>0</v>
      </c>
      <c r="KF24">
        <v>24.9863</v>
      </c>
      <c r="KG24">
        <v>445.36200000000002</v>
      </c>
      <c r="KH24">
        <v>25.6081</v>
      </c>
      <c r="KI24">
        <v>99.6828</v>
      </c>
      <c r="KJ24">
        <v>98.156800000000004</v>
      </c>
    </row>
    <row r="25" spans="1:296" x14ac:dyDescent="0.3">
      <c r="A25">
        <v>9</v>
      </c>
      <c r="B25">
        <v>1783531265.5999999</v>
      </c>
      <c r="C25">
        <v>1506.599999904633</v>
      </c>
      <c r="D25" t="s">
        <v>875</v>
      </c>
      <c r="E25" t="s">
        <v>876</v>
      </c>
      <c r="F25">
        <v>15</v>
      </c>
      <c r="H25">
        <v>1783531257.599999</v>
      </c>
      <c r="I25">
        <f t="shared" si="0"/>
        <v>1.5148396084635096E-3</v>
      </c>
      <c r="J25">
        <f t="shared" si="1"/>
        <v>1.5148396084635096</v>
      </c>
      <c r="K25">
        <f t="shared" si="2"/>
        <v>15.256456704494621</v>
      </c>
      <c r="L25">
        <f t="shared" si="3"/>
        <v>420.38716129032258</v>
      </c>
      <c r="M25">
        <f t="shared" si="4"/>
        <v>147.65578786179861</v>
      </c>
      <c r="N25">
        <f t="shared" si="5"/>
        <v>14.458060922291484</v>
      </c>
      <c r="O25">
        <f t="shared" si="6"/>
        <v>41.163189583692244</v>
      </c>
      <c r="P25">
        <f t="shared" si="7"/>
        <v>9.3440224347374937E-2</v>
      </c>
      <c r="Q25">
        <f t="shared" si="8"/>
        <v>2.8915113880883254</v>
      </c>
      <c r="R25">
        <f t="shared" si="9"/>
        <v>9.1794571949319587E-2</v>
      </c>
      <c r="S25">
        <f t="shared" si="10"/>
        <v>5.7517048686544815E-2</v>
      </c>
      <c r="T25">
        <f t="shared" si="11"/>
        <v>48.442443246925095</v>
      </c>
      <c r="U25">
        <f t="shared" si="12"/>
        <v>29.497496886770932</v>
      </c>
      <c r="V25">
        <f t="shared" si="13"/>
        <v>29.972322580645159</v>
      </c>
      <c r="W25">
        <f t="shared" si="14"/>
        <v>4.2536813347060924</v>
      </c>
      <c r="X25">
        <f t="shared" si="15"/>
        <v>64.706158295313216</v>
      </c>
      <c r="Y25">
        <f t="shared" si="16"/>
        <v>2.6951373140050094</v>
      </c>
      <c r="Z25">
        <f t="shared" si="17"/>
        <v>4.1651944498151785</v>
      </c>
      <c r="AA25">
        <f t="shared" si="18"/>
        <v>1.558544020701083</v>
      </c>
      <c r="AB25">
        <f t="shared" si="19"/>
        <v>-66.804426733240774</v>
      </c>
      <c r="AC25">
        <f t="shared" si="20"/>
        <v>-56.963683287281178</v>
      </c>
      <c r="AD25">
        <f t="shared" si="21"/>
        <v>-4.3712681362385633</v>
      </c>
      <c r="AE25">
        <f t="shared" si="22"/>
        <v>-79.69693490983542</v>
      </c>
      <c r="AF25">
        <f t="shared" si="23"/>
        <v>15.256456704494621</v>
      </c>
      <c r="AG25">
        <f t="shared" si="24"/>
        <v>1.5148396084635096</v>
      </c>
      <c r="AH25">
        <f t="shared" si="25"/>
        <v>15.285425785758955</v>
      </c>
      <c r="AI25">
        <v>450.88337325844731</v>
      </c>
      <c r="AJ25">
        <v>432.08172727272739</v>
      </c>
      <c r="AK25">
        <v>-4.9404840687087056E-3</v>
      </c>
      <c r="AL25">
        <v>66.929697569539172</v>
      </c>
      <c r="AM25">
        <f t="shared" si="26"/>
        <v>1.5117117204092978</v>
      </c>
      <c r="AN25">
        <v>25.757410636147181</v>
      </c>
      <c r="AO25">
        <v>27.522337575757561</v>
      </c>
      <c r="AP25">
        <v>-1.3236783418554181E-4</v>
      </c>
      <c r="AQ25">
        <v>78.55</v>
      </c>
      <c r="AR25">
        <v>0</v>
      </c>
      <c r="AS25">
        <v>0</v>
      </c>
      <c r="AT25">
        <f t="shared" si="27"/>
        <v>1</v>
      </c>
      <c r="AU25">
        <f t="shared" si="28"/>
        <v>0</v>
      </c>
      <c r="AV25">
        <f t="shared" si="29"/>
        <v>51293.385451464164</v>
      </c>
      <c r="AW25" t="s">
        <v>844</v>
      </c>
      <c r="AX25">
        <v>5087.38</v>
      </c>
      <c r="AY25">
        <v>545.02941176470586</v>
      </c>
      <c r="AZ25">
        <v>2365.36</v>
      </c>
      <c r="BA25">
        <f t="shared" si="30"/>
        <v>0.76957866381239814</v>
      </c>
      <c r="BB25">
        <v>-6.1128344961398691</v>
      </c>
      <c r="BC25" t="s">
        <v>877</v>
      </c>
      <c r="BD25">
        <v>5090.92</v>
      </c>
      <c r="BE25">
        <v>699.54741176470588</v>
      </c>
      <c r="BF25">
        <v>1742.77</v>
      </c>
      <c r="BG25">
        <f t="shared" si="31"/>
        <v>0.59860026752543027</v>
      </c>
      <c r="BH25">
        <v>0.5</v>
      </c>
      <c r="BI25">
        <f t="shared" si="32"/>
        <v>252.28707297099572</v>
      </c>
      <c r="BJ25">
        <f t="shared" si="33"/>
        <v>15.256456704494621</v>
      </c>
      <c r="BK25">
        <f t="shared" si="34"/>
        <v>75.509554686822895</v>
      </c>
      <c r="BL25">
        <f t="shared" si="35"/>
        <v>8.4702283589025651E-2</v>
      </c>
      <c r="BM25">
        <f t="shared" si="36"/>
        <v>0.35724163257343206</v>
      </c>
      <c r="BN25">
        <f t="shared" si="37"/>
        <v>503.57692602495666</v>
      </c>
      <c r="BO25" t="s">
        <v>407</v>
      </c>
      <c r="BP25">
        <v>0</v>
      </c>
      <c r="BQ25">
        <f t="shared" si="38"/>
        <v>503.57692602495666</v>
      </c>
      <c r="BR25">
        <f t="shared" si="39"/>
        <v>0.71104797189247193</v>
      </c>
      <c r="BS25">
        <f t="shared" si="40"/>
        <v>0.84185637423624282</v>
      </c>
      <c r="BT25">
        <f t="shared" si="41"/>
        <v>0.33440523157766433</v>
      </c>
      <c r="BU25">
        <f t="shared" si="42"/>
        <v>0.87099209835774116</v>
      </c>
      <c r="BV25">
        <f t="shared" si="43"/>
        <v>0.34202029237093978</v>
      </c>
      <c r="BW25">
        <f t="shared" si="44"/>
        <v>0.60601960347899275</v>
      </c>
      <c r="BX25">
        <f t="shared" si="45"/>
        <v>0.39398039652100725</v>
      </c>
      <c r="DG25">
        <f t="shared" si="46"/>
        <v>299.99425806451609</v>
      </c>
      <c r="DH25">
        <f t="shared" si="47"/>
        <v>252.28707297099572</v>
      </c>
      <c r="DI25">
        <f t="shared" si="48"/>
        <v>0.8409730059457986</v>
      </c>
      <c r="DJ25">
        <f t="shared" si="49"/>
        <v>0.16147790147539148</v>
      </c>
      <c r="DK25">
        <v>6</v>
      </c>
      <c r="DL25">
        <v>0.5</v>
      </c>
      <c r="DM25" t="s">
        <v>408</v>
      </c>
      <c r="DN25">
        <v>2</v>
      </c>
      <c r="DO25" t="b">
        <v>0</v>
      </c>
      <c r="DP25">
        <v>1783531257.599999</v>
      </c>
      <c r="DQ25">
        <v>420.38716129032258</v>
      </c>
      <c r="DR25">
        <v>439.45900000000012</v>
      </c>
      <c r="DS25">
        <v>27.524619354838709</v>
      </c>
      <c r="DT25">
        <v>25.756854838709678</v>
      </c>
      <c r="DU25">
        <v>426.07009677419347</v>
      </c>
      <c r="DV25">
        <v>27.844796774193551</v>
      </c>
      <c r="DW25">
        <v>500.00241935483871</v>
      </c>
      <c r="DX25">
        <v>97.855293548387124</v>
      </c>
      <c r="DY25">
        <v>6.2039267741935487E-2</v>
      </c>
      <c r="DZ25">
        <v>29.6069064516129</v>
      </c>
      <c r="EA25">
        <v>29.972322580645159</v>
      </c>
      <c r="EB25">
        <v>999.90000000000032</v>
      </c>
      <c r="EC25">
        <v>0</v>
      </c>
      <c r="ED25">
        <v>0</v>
      </c>
      <c r="EE25">
        <v>9999.1935483870966</v>
      </c>
      <c r="EF25">
        <v>0</v>
      </c>
      <c r="EG25">
        <v>1800.11</v>
      </c>
      <c r="EH25">
        <v>-19.0719064516129</v>
      </c>
      <c r="EI25">
        <v>432.28561290322591</v>
      </c>
      <c r="EJ25">
        <v>451.07748387096768</v>
      </c>
      <c r="EK25">
        <v>1.7677667741935481</v>
      </c>
      <c r="EL25">
        <v>439.45900000000012</v>
      </c>
      <c r="EM25">
        <v>25.756854838709678</v>
      </c>
      <c r="EN25">
        <v>2.69342935483871</v>
      </c>
      <c r="EO25">
        <v>2.5204445161290319</v>
      </c>
      <c r="EP25">
        <v>22.245083870967751</v>
      </c>
      <c r="EQ25">
        <v>21.159119354838712</v>
      </c>
      <c r="ER25">
        <v>299.99425806451609</v>
      </c>
      <c r="ES25">
        <v>0.96702980645161285</v>
      </c>
      <c r="ET25">
        <v>3.2970261290322572E-2</v>
      </c>
      <c r="EU25">
        <v>0</v>
      </c>
      <c r="EV25">
        <v>699.59970967741936</v>
      </c>
      <c r="EW25">
        <v>5.0010700000000003</v>
      </c>
      <c r="EX25">
        <v>5756.2516129032247</v>
      </c>
      <c r="EY25">
        <v>2668.0058064516129</v>
      </c>
      <c r="EZ25">
        <v>42.870935483870973</v>
      </c>
      <c r="FA25">
        <v>47.053999999999967</v>
      </c>
      <c r="FB25">
        <v>44.971548387096767</v>
      </c>
      <c r="FC25">
        <v>46.436999999999969</v>
      </c>
      <c r="FD25">
        <v>44.781999999999989</v>
      </c>
      <c r="FE25">
        <v>285.26709677419359</v>
      </c>
      <c r="FF25">
        <v>9.7300000000000022</v>
      </c>
      <c r="FG25">
        <v>0</v>
      </c>
      <c r="FH25">
        <v>203.80000019073489</v>
      </c>
      <c r="FI25">
        <v>0</v>
      </c>
      <c r="FJ25">
        <v>699.54741176470588</v>
      </c>
      <c r="FK25">
        <v>8.382352243239688E-2</v>
      </c>
      <c r="FL25">
        <v>-85.556373080375124</v>
      </c>
      <c r="FM25">
        <v>5735.2576470588237</v>
      </c>
      <c r="FN25">
        <v>10</v>
      </c>
      <c r="FO25">
        <v>1783531151.0999999</v>
      </c>
      <c r="FP25" t="s">
        <v>878</v>
      </c>
      <c r="FQ25">
        <v>1783531151.0999999</v>
      </c>
      <c r="FR25">
        <v>1783531147.5999999</v>
      </c>
      <c r="FS25">
        <v>36</v>
      </c>
      <c r="FT25">
        <v>0.11600000000000001</v>
      </c>
      <c r="FU25">
        <v>-8.7999999999999995E-2</v>
      </c>
      <c r="FV25">
        <v>-5.6829999999999998</v>
      </c>
      <c r="FW25">
        <v>-0.46100000000000002</v>
      </c>
      <c r="FX25">
        <v>444</v>
      </c>
      <c r="FY25">
        <v>26</v>
      </c>
      <c r="FZ25">
        <v>0.42</v>
      </c>
      <c r="GA25">
        <v>0.16</v>
      </c>
      <c r="GB25">
        <v>420.40280000000001</v>
      </c>
      <c r="GC25">
        <v>-1.38420467185731</v>
      </c>
      <c r="GD25">
        <v>0.12561486111656631</v>
      </c>
      <c r="GE25">
        <v>-1</v>
      </c>
      <c r="GF25">
        <v>699.5900294117647</v>
      </c>
      <c r="GG25">
        <v>-0.18785332700262319</v>
      </c>
      <c r="GH25">
        <v>0.17585245909636379</v>
      </c>
      <c r="GI25">
        <v>1</v>
      </c>
      <c r="GJ25">
        <v>1.7632702499999999</v>
      </c>
      <c r="GK25">
        <v>7.8004165103185155E-2</v>
      </c>
      <c r="GL25">
        <v>9.9709499265365938E-3</v>
      </c>
      <c r="GM25">
        <v>1</v>
      </c>
      <c r="GN25">
        <v>2</v>
      </c>
      <c r="GO25">
        <v>2</v>
      </c>
      <c r="GP25" t="s">
        <v>423</v>
      </c>
      <c r="GQ25">
        <v>3.1323699999999999</v>
      </c>
      <c r="GR25">
        <v>2.7376900000000002</v>
      </c>
      <c r="GS25">
        <v>9.0342599999999995E-2</v>
      </c>
      <c r="GT25">
        <v>9.3152299999999993E-2</v>
      </c>
      <c r="GU25">
        <v>0.12282899999999999</v>
      </c>
      <c r="GV25">
        <v>0.116554</v>
      </c>
      <c r="GW25">
        <v>22619.4</v>
      </c>
      <c r="GX25">
        <v>30230.6</v>
      </c>
      <c r="GY25">
        <v>26998</v>
      </c>
      <c r="GZ25">
        <v>34316</v>
      </c>
      <c r="HA25">
        <v>34730.1</v>
      </c>
      <c r="HB25">
        <v>38536.6</v>
      </c>
      <c r="HC25">
        <v>39888.300000000003</v>
      </c>
      <c r="HD25">
        <v>43687.7</v>
      </c>
      <c r="HE25">
        <v>1.9001999999999999</v>
      </c>
      <c r="HF25">
        <v>1.5304</v>
      </c>
      <c r="HG25">
        <v>-0.107735</v>
      </c>
      <c r="HH25">
        <v>0</v>
      </c>
      <c r="HI25">
        <v>31.735099999999999</v>
      </c>
      <c r="HJ25">
        <v>999.9</v>
      </c>
      <c r="HK25">
        <v>40.1</v>
      </c>
      <c r="HL25">
        <v>50.8</v>
      </c>
      <c r="HM25">
        <v>52.956299999999999</v>
      </c>
      <c r="HN25">
        <v>60.758400000000002</v>
      </c>
      <c r="HO25">
        <v>7.8125</v>
      </c>
      <c r="HP25">
        <v>1</v>
      </c>
      <c r="HQ25">
        <v>1.0191699999999999</v>
      </c>
      <c r="HR25">
        <v>5.7702799999999996</v>
      </c>
      <c r="HS25">
        <v>20.177099999999999</v>
      </c>
      <c r="HT25">
        <v>5.2100999999999997</v>
      </c>
      <c r="HU25">
        <v>11.914099999999999</v>
      </c>
      <c r="HV25">
        <v>4.9836</v>
      </c>
      <c r="HW25">
        <v>3.2709999999999999</v>
      </c>
      <c r="HX25">
        <v>9999</v>
      </c>
      <c r="HY25">
        <v>9999</v>
      </c>
      <c r="HZ25">
        <v>9999</v>
      </c>
      <c r="IA25">
        <v>999.9</v>
      </c>
      <c r="IB25">
        <v>1.8675200000000001</v>
      </c>
      <c r="IC25">
        <v>1.86328</v>
      </c>
      <c r="ID25">
        <v>1.8627899999999999</v>
      </c>
      <c r="IE25">
        <v>1.86243</v>
      </c>
      <c r="IF25">
        <v>1.8623400000000001</v>
      </c>
      <c r="IG25">
        <v>1.86276</v>
      </c>
      <c r="IH25">
        <v>1.86371</v>
      </c>
      <c r="II25">
        <v>1.8616299999999999</v>
      </c>
      <c r="IJ25">
        <v>0</v>
      </c>
      <c r="IK25">
        <v>0</v>
      </c>
      <c r="IL25">
        <v>0</v>
      </c>
      <c r="IM25">
        <v>4.5</v>
      </c>
      <c r="IN25" t="s">
        <v>411</v>
      </c>
      <c r="IO25" t="s">
        <v>412</v>
      </c>
      <c r="IP25" t="s">
        <v>413</v>
      </c>
      <c r="IQ25" t="s">
        <v>414</v>
      </c>
      <c r="IR25" t="s">
        <v>414</v>
      </c>
      <c r="IS25" t="s">
        <v>413</v>
      </c>
      <c r="IT25">
        <v>0</v>
      </c>
      <c r="IU25">
        <v>100</v>
      </c>
      <c r="IV25">
        <v>100</v>
      </c>
      <c r="IW25">
        <v>-5.6829999999999998</v>
      </c>
      <c r="IX25">
        <v>-0.3201</v>
      </c>
      <c r="IY25">
        <v>-5.6829523809524289</v>
      </c>
      <c r="IZ25">
        <v>0</v>
      </c>
      <c r="JA25">
        <v>0</v>
      </c>
      <c r="JB25">
        <v>0</v>
      </c>
      <c r="JC25">
        <v>-0.8222413170717493</v>
      </c>
      <c r="JD25">
        <v>2.7492919904454862E-4</v>
      </c>
      <c r="JE25">
        <v>8.6739513355948885E-4</v>
      </c>
      <c r="JF25">
        <v>-8.2500691715147318E-6</v>
      </c>
      <c r="JG25">
        <v>-1</v>
      </c>
      <c r="JH25">
        <v>-1</v>
      </c>
      <c r="JI25">
        <v>2</v>
      </c>
      <c r="JJ25">
        <v>37</v>
      </c>
      <c r="JK25">
        <v>1.9</v>
      </c>
      <c r="JL25">
        <v>2</v>
      </c>
      <c r="JM25">
        <v>1.1035200000000001</v>
      </c>
      <c r="JN25">
        <v>2.6098599999999998</v>
      </c>
      <c r="JO25">
        <v>1.50024</v>
      </c>
      <c r="JP25">
        <v>2.2644000000000002</v>
      </c>
      <c r="JQ25">
        <v>1.4477500000000001</v>
      </c>
      <c r="JR25">
        <v>2.49756</v>
      </c>
      <c r="JS25">
        <v>54.598500000000001</v>
      </c>
      <c r="JT25">
        <v>14.491</v>
      </c>
      <c r="JU25">
        <v>18</v>
      </c>
      <c r="JV25">
        <v>540.15899999999999</v>
      </c>
      <c r="JW25">
        <v>322.81299999999999</v>
      </c>
      <c r="JX25">
        <v>25.5078</v>
      </c>
      <c r="JY25">
        <v>39.303899999999999</v>
      </c>
      <c r="JZ25">
        <v>30.001000000000001</v>
      </c>
      <c r="KA25">
        <v>39.435000000000002</v>
      </c>
      <c r="KB25">
        <v>39.633899999999997</v>
      </c>
      <c r="KC25">
        <v>22.061599999999999</v>
      </c>
      <c r="KD25">
        <v>51.809899999999999</v>
      </c>
      <c r="KE25">
        <v>0</v>
      </c>
      <c r="KF25">
        <v>25.498000000000001</v>
      </c>
      <c r="KG25">
        <v>439.34500000000003</v>
      </c>
      <c r="KH25">
        <v>25.898099999999999</v>
      </c>
      <c r="KI25">
        <v>99.670699999999997</v>
      </c>
      <c r="KJ25">
        <v>98.145300000000006</v>
      </c>
    </row>
    <row r="26" spans="1:296" x14ac:dyDescent="0.3">
      <c r="A26">
        <v>10</v>
      </c>
      <c r="B26">
        <v>1783531448.0999999</v>
      </c>
      <c r="C26">
        <v>1689.099999904633</v>
      </c>
      <c r="D26" t="s">
        <v>879</v>
      </c>
      <c r="E26" t="s">
        <v>880</v>
      </c>
      <c r="F26">
        <v>15</v>
      </c>
      <c r="H26">
        <v>1783531440.349999</v>
      </c>
      <c r="I26">
        <f t="shared" si="0"/>
        <v>6.6682678446390619E-4</v>
      </c>
      <c r="J26">
        <f t="shared" si="1"/>
        <v>0.6668267844639062</v>
      </c>
      <c r="K26">
        <f t="shared" si="2"/>
        <v>7.8867933986511387</v>
      </c>
      <c r="L26">
        <f t="shared" si="3"/>
        <v>420.2056</v>
      </c>
      <c r="M26">
        <f t="shared" si="4"/>
        <v>101.15219915795733</v>
      </c>
      <c r="N26">
        <f t="shared" si="5"/>
        <v>9.9040804511367746</v>
      </c>
      <c r="O26">
        <f t="shared" si="6"/>
        <v>41.14344624301534</v>
      </c>
      <c r="P26">
        <f t="shared" si="7"/>
        <v>4.0693063293508018E-2</v>
      </c>
      <c r="Q26">
        <f t="shared" si="8"/>
        <v>2.8924331184092038</v>
      </c>
      <c r="R26">
        <f t="shared" si="9"/>
        <v>4.0377667549159744E-2</v>
      </c>
      <c r="S26">
        <f t="shared" si="10"/>
        <v>2.5264175369268796E-2</v>
      </c>
      <c r="T26">
        <f t="shared" si="11"/>
        <v>32.483590144560445</v>
      </c>
      <c r="U26">
        <f t="shared" si="12"/>
        <v>29.646112415834338</v>
      </c>
      <c r="V26">
        <f t="shared" si="13"/>
        <v>29.992023333333339</v>
      </c>
      <c r="W26">
        <f t="shared" si="14"/>
        <v>4.2584981382102676</v>
      </c>
      <c r="X26">
        <f t="shared" si="15"/>
        <v>64.719712313872108</v>
      </c>
      <c r="Y26">
        <f t="shared" si="16"/>
        <v>2.6989460360539632</v>
      </c>
      <c r="Z26">
        <f t="shared" si="17"/>
        <v>4.1702070969735567</v>
      </c>
      <c r="AA26">
        <f t="shared" si="18"/>
        <v>1.5595521021563044</v>
      </c>
      <c r="AB26">
        <f t="shared" si="19"/>
        <v>-29.407061194858262</v>
      </c>
      <c r="AC26">
        <f t="shared" si="20"/>
        <v>-56.79792001331586</v>
      </c>
      <c r="AD26">
        <f t="shared" si="21"/>
        <v>-4.358034881426363</v>
      </c>
      <c r="AE26">
        <f t="shared" si="22"/>
        <v>-58.079425945040043</v>
      </c>
      <c r="AF26">
        <f t="shared" si="23"/>
        <v>7.8867933986511387</v>
      </c>
      <c r="AG26">
        <f t="shared" si="24"/>
        <v>0.6668267844639062</v>
      </c>
      <c r="AH26">
        <f t="shared" si="25"/>
        <v>7.7079072252654264</v>
      </c>
      <c r="AI26">
        <v>441.73107613317183</v>
      </c>
      <c r="AJ26">
        <v>432.20854545454557</v>
      </c>
      <c r="AK26">
        <v>3.5906674762931981E-3</v>
      </c>
      <c r="AL26">
        <v>66.929697569539172</v>
      </c>
      <c r="AM26">
        <f t="shared" si="26"/>
        <v>0.81393527836185797</v>
      </c>
      <c r="AN26">
        <v>26.784174711471859</v>
      </c>
      <c r="AO26">
        <v>27.729310303030299</v>
      </c>
      <c r="AP26">
        <v>7.3373317591662044E-4</v>
      </c>
      <c r="AQ26">
        <v>78.55</v>
      </c>
      <c r="AR26">
        <v>0</v>
      </c>
      <c r="AS26">
        <v>0</v>
      </c>
      <c r="AT26">
        <f t="shared" si="27"/>
        <v>1</v>
      </c>
      <c r="AU26">
        <f t="shared" si="28"/>
        <v>0</v>
      </c>
      <c r="AV26">
        <f t="shared" si="29"/>
        <v>51315.776310773545</v>
      </c>
      <c r="AW26" t="s">
        <v>844</v>
      </c>
      <c r="AX26">
        <v>5087.38</v>
      </c>
      <c r="AY26">
        <v>545.02941176470586</v>
      </c>
      <c r="AZ26">
        <v>2365.36</v>
      </c>
      <c r="BA26">
        <f t="shared" si="30"/>
        <v>0.76957866381239814</v>
      </c>
      <c r="BB26">
        <v>-6.1128344961398691</v>
      </c>
      <c r="BC26" t="s">
        <v>881</v>
      </c>
      <c r="BD26">
        <v>5092.21</v>
      </c>
      <c r="BE26">
        <v>691.87494117647054</v>
      </c>
      <c r="BF26">
        <v>1778.59</v>
      </c>
      <c r="BG26">
        <f t="shared" si="31"/>
        <v>0.6109980708446181</v>
      </c>
      <c r="BH26">
        <v>0.5</v>
      </c>
      <c r="BI26">
        <f t="shared" si="32"/>
        <v>168.29133404381372</v>
      </c>
      <c r="BJ26">
        <f t="shared" si="33"/>
        <v>7.8867933986511387</v>
      </c>
      <c r="BK26">
        <f t="shared" si="34"/>
        <v>51.412840220318692</v>
      </c>
      <c r="BL26">
        <f t="shared" si="35"/>
        <v>8.3186861488341896E-2</v>
      </c>
      <c r="BM26">
        <f t="shared" si="36"/>
        <v>0.32990739855728429</v>
      </c>
      <c r="BN26">
        <f t="shared" si="37"/>
        <v>506.5245766351108</v>
      </c>
      <c r="BO26" t="s">
        <v>407</v>
      </c>
      <c r="BP26">
        <v>0</v>
      </c>
      <c r="BQ26">
        <f t="shared" si="38"/>
        <v>506.5245766351108</v>
      </c>
      <c r="BR26">
        <f t="shared" si="39"/>
        <v>0.71521003905615643</v>
      </c>
      <c r="BS26">
        <f t="shared" si="40"/>
        <v>0.85429179888321494</v>
      </c>
      <c r="BT26">
        <f t="shared" si="41"/>
        <v>0.31566538523234139</v>
      </c>
      <c r="BU26">
        <f t="shared" si="42"/>
        <v>0.88095799200115599</v>
      </c>
      <c r="BV26">
        <f t="shared" si="43"/>
        <v>0.32234254799225232</v>
      </c>
      <c r="BW26">
        <f t="shared" si="44"/>
        <v>0.62543064649279967</v>
      </c>
      <c r="BX26">
        <f t="shared" si="45"/>
        <v>0.37456935350720033</v>
      </c>
      <c r="DG26">
        <f t="shared" si="46"/>
        <v>199.9991</v>
      </c>
      <c r="DH26">
        <f t="shared" si="47"/>
        <v>168.29133404381372</v>
      </c>
      <c r="DI26">
        <f t="shared" si="48"/>
        <v>0.84146045679112413</v>
      </c>
      <c r="DJ26">
        <f t="shared" si="49"/>
        <v>0.16241868160686945</v>
      </c>
      <c r="DK26">
        <v>6</v>
      </c>
      <c r="DL26">
        <v>0.5</v>
      </c>
      <c r="DM26" t="s">
        <v>408</v>
      </c>
      <c r="DN26">
        <v>2</v>
      </c>
      <c r="DO26" t="b">
        <v>0</v>
      </c>
      <c r="DP26">
        <v>1783531440.349999</v>
      </c>
      <c r="DQ26">
        <v>420.2056</v>
      </c>
      <c r="DR26">
        <v>430.0057666666666</v>
      </c>
      <c r="DS26">
        <v>27.564833333333329</v>
      </c>
      <c r="DT26">
        <v>26.786716666666671</v>
      </c>
      <c r="DU26">
        <v>425.88856666666669</v>
      </c>
      <c r="DV26">
        <v>28.01883333333333</v>
      </c>
      <c r="DW26">
        <v>500.01176666666657</v>
      </c>
      <c r="DX26">
        <v>97.850269999999995</v>
      </c>
      <c r="DY26">
        <v>6.2385716666666653E-2</v>
      </c>
      <c r="DZ26">
        <v>29.627786666666669</v>
      </c>
      <c r="EA26">
        <v>29.992023333333339</v>
      </c>
      <c r="EB26">
        <v>999.9000000000002</v>
      </c>
      <c r="EC26">
        <v>0</v>
      </c>
      <c r="ED26">
        <v>0</v>
      </c>
      <c r="EE26">
        <v>10005</v>
      </c>
      <c r="EF26">
        <v>0</v>
      </c>
      <c r="EG26">
        <v>1771.4580000000001</v>
      </c>
      <c r="EH26">
        <v>-9.8001733333333334</v>
      </c>
      <c r="EI26">
        <v>432.17863333333332</v>
      </c>
      <c r="EJ26">
        <v>441.84123333333332</v>
      </c>
      <c r="EK26">
        <v>0.91705310000000018</v>
      </c>
      <c r="EL26">
        <v>430.0057666666666</v>
      </c>
      <c r="EM26">
        <v>26.786716666666671</v>
      </c>
      <c r="EN26">
        <v>2.7108206666666659</v>
      </c>
      <c r="EO26">
        <v>2.6210886666666671</v>
      </c>
      <c r="EP26">
        <v>22.35085333333333</v>
      </c>
      <c r="EQ26">
        <v>21.798600000000011</v>
      </c>
      <c r="ER26">
        <v>199.9991</v>
      </c>
      <c r="ES26">
        <v>0.95006819999999981</v>
      </c>
      <c r="ET26">
        <v>4.9931686666666648E-2</v>
      </c>
      <c r="EU26">
        <v>0</v>
      </c>
      <c r="EV26">
        <v>691.78933333333339</v>
      </c>
      <c r="EW26">
        <v>5.0010700000000003</v>
      </c>
      <c r="EX26">
        <v>4955.1656666666677</v>
      </c>
      <c r="EY26">
        <v>1751.8673333333329</v>
      </c>
      <c r="EZ26">
        <v>42.430799999999991</v>
      </c>
      <c r="FA26">
        <v>46.75</v>
      </c>
      <c r="FB26">
        <v>44.65186666666667</v>
      </c>
      <c r="FC26">
        <v>46.125</v>
      </c>
      <c r="FD26">
        <v>44.489499999999992</v>
      </c>
      <c r="FE26">
        <v>185.26166666666671</v>
      </c>
      <c r="FF26">
        <v>9.7363333333333362</v>
      </c>
      <c r="FG26">
        <v>0</v>
      </c>
      <c r="FH26">
        <v>182</v>
      </c>
      <c r="FI26">
        <v>0</v>
      </c>
      <c r="FJ26">
        <v>691.87494117647054</v>
      </c>
      <c r="FK26">
        <v>0.32230394669847667</v>
      </c>
      <c r="FL26">
        <v>399.71078442774848</v>
      </c>
      <c r="FM26">
        <v>4967.2511764705878</v>
      </c>
      <c r="FN26">
        <v>10</v>
      </c>
      <c r="FO26">
        <v>1783531466.5999999</v>
      </c>
      <c r="FP26" t="s">
        <v>882</v>
      </c>
      <c r="FQ26">
        <v>1783531151.0999999</v>
      </c>
      <c r="FR26">
        <v>1783531466.0999999</v>
      </c>
      <c r="FS26">
        <v>37</v>
      </c>
      <c r="FT26">
        <v>0.11600000000000001</v>
      </c>
      <c r="FU26">
        <v>-0.11600000000000001</v>
      </c>
      <c r="FV26">
        <v>-5.6829999999999998</v>
      </c>
      <c r="FW26">
        <v>-0.45400000000000001</v>
      </c>
      <c r="FX26">
        <v>444</v>
      </c>
      <c r="FY26">
        <v>27</v>
      </c>
      <c r="FZ26">
        <v>0.42</v>
      </c>
      <c r="GA26">
        <v>0.41</v>
      </c>
      <c r="GB26">
        <v>420.20866666666672</v>
      </c>
      <c r="GC26">
        <v>-0.26173081201306642</v>
      </c>
      <c r="GD26">
        <v>5.4632306274661389E-2</v>
      </c>
      <c r="GE26">
        <v>-1</v>
      </c>
      <c r="GF26">
        <v>691.65950000000009</v>
      </c>
      <c r="GG26">
        <v>2.2291673127359992</v>
      </c>
      <c r="GH26">
        <v>0.32973851048083652</v>
      </c>
      <c r="GI26">
        <v>1</v>
      </c>
      <c r="GJ26">
        <v>0.90383867500000004</v>
      </c>
      <c r="GK26">
        <v>0.30681423264540358</v>
      </c>
      <c r="GL26">
        <v>3.074768145680867E-2</v>
      </c>
      <c r="GM26">
        <v>1</v>
      </c>
      <c r="GN26">
        <v>2</v>
      </c>
      <c r="GO26">
        <v>2</v>
      </c>
      <c r="GP26" t="s">
        <v>423</v>
      </c>
      <c r="GQ26">
        <v>3.1320299999999999</v>
      </c>
      <c r="GR26">
        <v>2.7368299999999999</v>
      </c>
      <c r="GS26">
        <v>9.0312699999999996E-2</v>
      </c>
      <c r="GT26">
        <v>9.1623599999999999E-2</v>
      </c>
      <c r="GU26">
        <v>0.123409</v>
      </c>
      <c r="GV26">
        <v>0.11973200000000001</v>
      </c>
      <c r="GW26">
        <v>22617.7</v>
      </c>
      <c r="GX26">
        <v>30276.400000000001</v>
      </c>
      <c r="GY26">
        <v>26995.4</v>
      </c>
      <c r="GZ26">
        <v>34310.5</v>
      </c>
      <c r="HA26">
        <v>34704.6</v>
      </c>
      <c r="HB26">
        <v>38393.300000000003</v>
      </c>
      <c r="HC26">
        <v>39884.699999999997</v>
      </c>
      <c r="HD26">
        <v>43681.5</v>
      </c>
      <c r="HE26">
        <v>1.8994</v>
      </c>
      <c r="HF26">
        <v>1.5304</v>
      </c>
      <c r="HG26">
        <v>-0.103742</v>
      </c>
      <c r="HH26">
        <v>0</v>
      </c>
      <c r="HI26">
        <v>31.6709</v>
      </c>
      <c r="HJ26">
        <v>999.9</v>
      </c>
      <c r="HK26">
        <v>40</v>
      </c>
      <c r="HL26">
        <v>50.9</v>
      </c>
      <c r="HM26">
        <v>53.087699999999998</v>
      </c>
      <c r="HN26">
        <v>60.9084</v>
      </c>
      <c r="HO26">
        <v>8.0088100000000004</v>
      </c>
      <c r="HP26">
        <v>1</v>
      </c>
      <c r="HQ26">
        <v>1.02691</v>
      </c>
      <c r="HR26">
        <v>6.0381299999999998</v>
      </c>
      <c r="HS26">
        <v>20.1693</v>
      </c>
      <c r="HT26">
        <v>5.2088999999999999</v>
      </c>
      <c r="HU26">
        <v>11.914099999999999</v>
      </c>
      <c r="HV26">
        <v>4.9820000000000002</v>
      </c>
      <c r="HW26">
        <v>3.2709999999999999</v>
      </c>
      <c r="HX26">
        <v>9999</v>
      </c>
      <c r="HY26">
        <v>9999</v>
      </c>
      <c r="HZ26">
        <v>9999</v>
      </c>
      <c r="IA26">
        <v>999.9</v>
      </c>
      <c r="IB26">
        <v>1.8675200000000001</v>
      </c>
      <c r="IC26">
        <v>1.8632500000000001</v>
      </c>
      <c r="ID26">
        <v>1.8627899999999999</v>
      </c>
      <c r="IE26">
        <v>1.8624000000000001</v>
      </c>
      <c r="IF26">
        <v>1.8623400000000001</v>
      </c>
      <c r="IG26">
        <v>1.86273</v>
      </c>
      <c r="IH26">
        <v>1.86371</v>
      </c>
      <c r="II26">
        <v>1.8615999999999999</v>
      </c>
      <c r="IJ26">
        <v>0</v>
      </c>
      <c r="IK26">
        <v>0</v>
      </c>
      <c r="IL26">
        <v>0</v>
      </c>
      <c r="IM26">
        <v>4.5</v>
      </c>
      <c r="IN26" t="s">
        <v>411</v>
      </c>
      <c r="IO26" t="s">
        <v>412</v>
      </c>
      <c r="IP26" t="s">
        <v>413</v>
      </c>
      <c r="IQ26" t="s">
        <v>414</v>
      </c>
      <c r="IR26" t="s">
        <v>414</v>
      </c>
      <c r="IS26" t="s">
        <v>413</v>
      </c>
      <c r="IT26">
        <v>0</v>
      </c>
      <c r="IU26">
        <v>100</v>
      </c>
      <c r="IV26">
        <v>100</v>
      </c>
      <c r="IW26">
        <v>-5.6829999999999998</v>
      </c>
      <c r="IX26">
        <v>-0.45400000000000001</v>
      </c>
      <c r="IY26">
        <v>-5.6829523809524289</v>
      </c>
      <c r="IZ26">
        <v>0</v>
      </c>
      <c r="JA26">
        <v>0</v>
      </c>
      <c r="JB26">
        <v>0</v>
      </c>
      <c r="JC26">
        <v>-0.8222413170717493</v>
      </c>
      <c r="JD26">
        <v>2.7492919904454862E-4</v>
      </c>
      <c r="JE26">
        <v>8.6739513355948885E-4</v>
      </c>
      <c r="JF26">
        <v>-8.2500691715147318E-6</v>
      </c>
      <c r="JG26">
        <v>-1</v>
      </c>
      <c r="JH26">
        <v>-1</v>
      </c>
      <c r="JI26">
        <v>2</v>
      </c>
      <c r="JJ26">
        <v>37</v>
      </c>
      <c r="JK26">
        <v>5</v>
      </c>
      <c r="JL26">
        <v>5</v>
      </c>
      <c r="JM26">
        <v>1.08521</v>
      </c>
      <c r="JN26">
        <v>2.6232899999999999</v>
      </c>
      <c r="JO26">
        <v>1.50024</v>
      </c>
      <c r="JP26">
        <v>2.2644000000000002</v>
      </c>
      <c r="JQ26">
        <v>1.4477500000000001</v>
      </c>
      <c r="JR26">
        <v>2.4182100000000002</v>
      </c>
      <c r="JS26">
        <v>54.308500000000002</v>
      </c>
      <c r="JT26">
        <v>14.4472</v>
      </c>
      <c r="JU26">
        <v>18</v>
      </c>
      <c r="JV26">
        <v>540.32600000000002</v>
      </c>
      <c r="JW26">
        <v>323.21300000000002</v>
      </c>
      <c r="JX26">
        <v>25.262899999999998</v>
      </c>
      <c r="JY26">
        <v>39.372900000000001</v>
      </c>
      <c r="JZ26">
        <v>30</v>
      </c>
      <c r="KA26">
        <v>39.529499999999999</v>
      </c>
      <c r="KB26">
        <v>39.723999999999997</v>
      </c>
      <c r="KC26">
        <v>21.703800000000001</v>
      </c>
      <c r="KD26">
        <v>50.61</v>
      </c>
      <c r="KE26">
        <v>0</v>
      </c>
      <c r="KF26">
        <v>25.259799999999998</v>
      </c>
      <c r="KG26">
        <v>429.858</v>
      </c>
      <c r="KH26">
        <v>26.8171</v>
      </c>
      <c r="KI26">
        <v>99.661500000000004</v>
      </c>
      <c r="KJ26">
        <v>98.130600000000001</v>
      </c>
    </row>
    <row r="27" spans="1:296" x14ac:dyDescent="0.3">
      <c r="A27">
        <v>11</v>
      </c>
      <c r="B27">
        <v>1783531647.5999999</v>
      </c>
      <c r="C27">
        <v>1888.599999904633</v>
      </c>
      <c r="D27" t="s">
        <v>883</v>
      </c>
      <c r="E27" t="s">
        <v>884</v>
      </c>
      <c r="F27">
        <v>15</v>
      </c>
      <c r="H27">
        <v>1783531639.849999</v>
      </c>
      <c r="I27">
        <f t="shared" si="0"/>
        <v>3.8296130540015674E-4</v>
      </c>
      <c r="J27">
        <f t="shared" si="1"/>
        <v>0.38296130540015672</v>
      </c>
      <c r="K27">
        <f t="shared" si="2"/>
        <v>1.7407324356666869</v>
      </c>
      <c r="L27">
        <f t="shared" si="3"/>
        <v>420.1930000000001</v>
      </c>
      <c r="M27">
        <f t="shared" si="4"/>
        <v>289.92523224032703</v>
      </c>
      <c r="N27">
        <f t="shared" si="5"/>
        <v>28.387403700664063</v>
      </c>
      <c r="O27">
        <f t="shared" si="6"/>
        <v>41.142291172868774</v>
      </c>
      <c r="P27">
        <f t="shared" si="7"/>
        <v>2.3138187451762583E-2</v>
      </c>
      <c r="Q27">
        <f t="shared" si="8"/>
        <v>2.8906787446024023</v>
      </c>
      <c r="R27">
        <f t="shared" si="9"/>
        <v>2.3035786013626085E-2</v>
      </c>
      <c r="S27">
        <f t="shared" si="10"/>
        <v>1.4406528725759458E-2</v>
      </c>
      <c r="T27">
        <f t="shared" si="11"/>
        <v>16.508742336410947</v>
      </c>
      <c r="U27">
        <f t="shared" si="12"/>
        <v>29.653569468877834</v>
      </c>
      <c r="V27">
        <f t="shared" si="13"/>
        <v>30.01835333333333</v>
      </c>
      <c r="W27">
        <f t="shared" si="14"/>
        <v>4.2649432041050286</v>
      </c>
      <c r="X27">
        <f t="shared" si="15"/>
        <v>64.521562342436297</v>
      </c>
      <c r="Y27">
        <f t="shared" si="16"/>
        <v>2.6950323958226101</v>
      </c>
      <c r="Z27">
        <f t="shared" si="17"/>
        <v>4.1769484463491793</v>
      </c>
      <c r="AA27">
        <f t="shared" si="18"/>
        <v>1.5699108082824185</v>
      </c>
      <c r="AB27">
        <f t="shared" si="19"/>
        <v>-16.888593568146913</v>
      </c>
      <c r="AC27">
        <f t="shared" si="20"/>
        <v>-56.495940619088785</v>
      </c>
      <c r="AD27">
        <f t="shared" si="21"/>
        <v>-4.3386636719877663</v>
      </c>
      <c r="AE27">
        <f t="shared" si="22"/>
        <v>-61.214455522812514</v>
      </c>
      <c r="AF27">
        <f t="shared" si="23"/>
        <v>1.7407324356666869</v>
      </c>
      <c r="AG27">
        <f t="shared" si="24"/>
        <v>0.38296130540015672</v>
      </c>
      <c r="AH27">
        <f t="shared" si="25"/>
        <v>1.7791542348309495</v>
      </c>
      <c r="AI27">
        <v>434.06331205080642</v>
      </c>
      <c r="AJ27">
        <v>432.04421212121213</v>
      </c>
      <c r="AK27">
        <v>-3.3613142302416583E-2</v>
      </c>
      <c r="AL27">
        <v>66.96220332666546</v>
      </c>
      <c r="AM27">
        <f t="shared" si="26"/>
        <v>0.37096898666826245</v>
      </c>
      <c r="AN27">
        <v>27.074595924675329</v>
      </c>
      <c r="AO27">
        <v>27.507249090909092</v>
      </c>
      <c r="AP27">
        <v>3.1498394079463163E-5</v>
      </c>
      <c r="AQ27">
        <v>78.55</v>
      </c>
      <c r="AR27">
        <v>0</v>
      </c>
      <c r="AS27">
        <v>0</v>
      </c>
      <c r="AT27">
        <f t="shared" si="27"/>
        <v>1</v>
      </c>
      <c r="AU27">
        <f t="shared" si="28"/>
        <v>0</v>
      </c>
      <c r="AV27">
        <f t="shared" si="29"/>
        <v>51261.490999211645</v>
      </c>
      <c r="AW27" t="s">
        <v>844</v>
      </c>
      <c r="AX27">
        <v>5087.38</v>
      </c>
      <c r="AY27">
        <v>545.02941176470586</v>
      </c>
      <c r="AZ27">
        <v>2365.36</v>
      </c>
      <c r="BA27">
        <f t="shared" si="30"/>
        <v>0.76957866381239814</v>
      </c>
      <c r="BB27">
        <v>-6.1128344961398691</v>
      </c>
      <c r="BC27" t="s">
        <v>885</v>
      </c>
      <c r="BD27">
        <v>5091.82</v>
      </c>
      <c r="BE27">
        <v>683.9027647058823</v>
      </c>
      <c r="BF27">
        <v>1866.39</v>
      </c>
      <c r="BG27">
        <f t="shared" si="31"/>
        <v>0.63356920862955635</v>
      </c>
      <c r="BH27">
        <v>0.5</v>
      </c>
      <c r="BI27">
        <f t="shared" si="32"/>
        <v>84.277276986741427</v>
      </c>
      <c r="BJ27">
        <f t="shared" si="33"/>
        <v>1.7407324356666869</v>
      </c>
      <c r="BK27">
        <f t="shared" si="34"/>
        <v>26.697743842971843</v>
      </c>
      <c r="BL27">
        <f t="shared" si="35"/>
        <v>9.318724112363154E-2</v>
      </c>
      <c r="BM27">
        <f t="shared" si="36"/>
        <v>0.26734498148832775</v>
      </c>
      <c r="BN27">
        <f t="shared" si="37"/>
        <v>513.40277994827898</v>
      </c>
      <c r="BO27" t="s">
        <v>407</v>
      </c>
      <c r="BP27">
        <v>0</v>
      </c>
      <c r="BQ27">
        <f t="shared" si="38"/>
        <v>513.40277994827898</v>
      </c>
      <c r="BR27">
        <f t="shared" si="39"/>
        <v>0.72492202597084265</v>
      </c>
      <c r="BS27">
        <f t="shared" si="40"/>
        <v>0.87398256078790937</v>
      </c>
      <c r="BT27">
        <f t="shared" si="41"/>
        <v>0.26942846983585556</v>
      </c>
      <c r="BU27">
        <f t="shared" si="42"/>
        <v>0.89490124483987776</v>
      </c>
      <c r="BV27">
        <f t="shared" si="43"/>
        <v>0.27410955088312983</v>
      </c>
      <c r="BW27">
        <f t="shared" si="44"/>
        <v>0.65609484197332857</v>
      </c>
      <c r="BX27">
        <f t="shared" si="45"/>
        <v>0.34390515802667143</v>
      </c>
      <c r="DG27">
        <f t="shared" si="46"/>
        <v>99.990696666666665</v>
      </c>
      <c r="DH27">
        <f t="shared" si="47"/>
        <v>84.277276986741427</v>
      </c>
      <c r="DI27">
        <f t="shared" si="48"/>
        <v>0.84285118312248408</v>
      </c>
      <c r="DJ27">
        <f t="shared" si="49"/>
        <v>0.16510278342639423</v>
      </c>
      <c r="DK27">
        <v>6</v>
      </c>
      <c r="DL27">
        <v>0.5</v>
      </c>
      <c r="DM27" t="s">
        <v>408</v>
      </c>
      <c r="DN27">
        <v>2</v>
      </c>
      <c r="DO27" t="b">
        <v>0</v>
      </c>
      <c r="DP27">
        <v>1783531639.849999</v>
      </c>
      <c r="DQ27">
        <v>420.1930000000001</v>
      </c>
      <c r="DR27">
        <v>422.47460000000012</v>
      </c>
      <c r="DS27">
        <v>27.524809999999999</v>
      </c>
      <c r="DT27">
        <v>27.07798</v>
      </c>
      <c r="DU27">
        <v>425.77380000000011</v>
      </c>
      <c r="DV27">
        <v>27.84498</v>
      </c>
      <c r="DW27">
        <v>500.08330000000001</v>
      </c>
      <c r="DX27">
        <v>97.851186666666663</v>
      </c>
      <c r="DY27">
        <v>6.1656176666666673E-2</v>
      </c>
      <c r="DZ27">
        <v>29.65583333333333</v>
      </c>
      <c r="EA27">
        <v>30.01835333333333</v>
      </c>
      <c r="EB27">
        <v>999.9000000000002</v>
      </c>
      <c r="EC27">
        <v>0</v>
      </c>
      <c r="ED27">
        <v>0</v>
      </c>
      <c r="EE27">
        <v>9994.8333333333339</v>
      </c>
      <c r="EF27">
        <v>0</v>
      </c>
      <c r="EG27">
        <v>1634.7187333333329</v>
      </c>
      <c r="EH27">
        <v>-2.2816103333333331</v>
      </c>
      <c r="EI27">
        <v>432.08606666666662</v>
      </c>
      <c r="EJ27">
        <v>434.23276666666669</v>
      </c>
      <c r="EK27">
        <v>0.44682736666666673</v>
      </c>
      <c r="EL27">
        <v>422.47460000000012</v>
      </c>
      <c r="EM27">
        <v>27.07798</v>
      </c>
      <c r="EN27">
        <v>2.693335666666667</v>
      </c>
      <c r="EO27">
        <v>2.6496133333333338</v>
      </c>
      <c r="EP27">
        <v>22.24451333333333</v>
      </c>
      <c r="EQ27">
        <v>21.97592666666667</v>
      </c>
      <c r="ER27">
        <v>99.990696666666665</v>
      </c>
      <c r="ES27">
        <v>0.89994963333333367</v>
      </c>
      <c r="ET27">
        <v>0.10005047</v>
      </c>
      <c r="EU27">
        <v>0</v>
      </c>
      <c r="EV27">
        <v>683.97190000000001</v>
      </c>
      <c r="EW27">
        <v>5.0010700000000003</v>
      </c>
      <c r="EX27">
        <v>3760.650666666666</v>
      </c>
      <c r="EY27">
        <v>836.47266666666667</v>
      </c>
      <c r="EZ27">
        <v>41.83929999999998</v>
      </c>
      <c r="FA27">
        <v>46.160133333333327</v>
      </c>
      <c r="FB27">
        <v>44.120800000000003</v>
      </c>
      <c r="FC27">
        <v>45.033066666666663</v>
      </c>
      <c r="FD27">
        <v>44.024699999999982</v>
      </c>
      <c r="FE27">
        <v>85.486000000000018</v>
      </c>
      <c r="FF27">
        <v>9.5029999999999983</v>
      </c>
      <c r="FG27">
        <v>0</v>
      </c>
      <c r="FH27">
        <v>199</v>
      </c>
      <c r="FI27">
        <v>0</v>
      </c>
      <c r="FJ27">
        <v>683.9027647058823</v>
      </c>
      <c r="FK27">
        <v>6.794117688821812</v>
      </c>
      <c r="FL27">
        <v>-1113.2671632386509</v>
      </c>
      <c r="FM27">
        <v>3802.9435294117652</v>
      </c>
      <c r="FN27">
        <v>10</v>
      </c>
      <c r="FO27">
        <v>1783531596.5999999</v>
      </c>
      <c r="FP27" t="s">
        <v>886</v>
      </c>
      <c r="FQ27">
        <v>1783531590.0999999</v>
      </c>
      <c r="FR27">
        <v>1783531596.0999999</v>
      </c>
      <c r="FS27">
        <v>38</v>
      </c>
      <c r="FT27">
        <v>0.10199999999999999</v>
      </c>
      <c r="FU27">
        <v>-0.106</v>
      </c>
      <c r="FV27">
        <v>-5.5810000000000004</v>
      </c>
      <c r="FW27">
        <v>-0.45100000000000001</v>
      </c>
      <c r="FX27">
        <v>423</v>
      </c>
      <c r="FY27">
        <v>27</v>
      </c>
      <c r="FZ27">
        <v>1.62</v>
      </c>
      <c r="GA27">
        <v>0.45</v>
      </c>
      <c r="GB27">
        <v>420.18938709677423</v>
      </c>
      <c r="GC27">
        <v>0.4279354838711989</v>
      </c>
      <c r="GD27">
        <v>7.1556734729299867E-2</v>
      </c>
      <c r="GE27">
        <v>-1</v>
      </c>
      <c r="GF27">
        <v>684.11649999999997</v>
      </c>
      <c r="GG27">
        <v>-2.6403208484509659</v>
      </c>
      <c r="GH27">
        <v>0.51546907535472308</v>
      </c>
      <c r="GI27">
        <v>1</v>
      </c>
      <c r="GJ27">
        <v>0.45175856097560979</v>
      </c>
      <c r="GK27">
        <v>-8.4151944250871247E-2</v>
      </c>
      <c r="GL27">
        <v>9.1083458326557606E-3</v>
      </c>
      <c r="GM27">
        <v>1</v>
      </c>
      <c r="GN27">
        <v>2</v>
      </c>
      <c r="GO27">
        <v>2</v>
      </c>
      <c r="GP27" t="s">
        <v>423</v>
      </c>
      <c r="GQ27">
        <v>3.1316600000000001</v>
      </c>
      <c r="GR27">
        <v>2.73895</v>
      </c>
      <c r="GS27">
        <v>9.0303999999999995E-2</v>
      </c>
      <c r="GT27">
        <v>9.0397199999999997E-2</v>
      </c>
      <c r="GU27">
        <v>0.122755</v>
      </c>
      <c r="GV27">
        <v>0.120628</v>
      </c>
      <c r="GW27">
        <v>22618.400000000001</v>
      </c>
      <c r="GX27">
        <v>30317.7</v>
      </c>
      <c r="GY27">
        <v>26995.599999999999</v>
      </c>
      <c r="GZ27">
        <v>34310.400000000001</v>
      </c>
      <c r="HA27">
        <v>34729.9</v>
      </c>
      <c r="HB27">
        <v>38354.800000000003</v>
      </c>
      <c r="HC27">
        <v>39884.699999999997</v>
      </c>
      <c r="HD27">
        <v>43682.2</v>
      </c>
      <c r="HE27">
        <v>1.8972</v>
      </c>
      <c r="HF27">
        <v>1.5329999999999999</v>
      </c>
      <c r="HG27">
        <v>-0.10117900000000001</v>
      </c>
      <c r="HH27">
        <v>0</v>
      </c>
      <c r="HI27">
        <v>31.651399999999999</v>
      </c>
      <c r="HJ27">
        <v>999.9</v>
      </c>
      <c r="HK27">
        <v>40</v>
      </c>
      <c r="HL27">
        <v>50.8</v>
      </c>
      <c r="HM27">
        <v>52.821399999999997</v>
      </c>
      <c r="HN27">
        <v>61.018500000000003</v>
      </c>
      <c r="HO27">
        <v>7.4479100000000003</v>
      </c>
      <c r="HP27">
        <v>1</v>
      </c>
      <c r="HQ27">
        <v>1.02894</v>
      </c>
      <c r="HR27">
        <v>6.6347300000000002</v>
      </c>
      <c r="HS27">
        <v>20.148599999999998</v>
      </c>
      <c r="HT27">
        <v>5.2112999999999996</v>
      </c>
      <c r="HU27">
        <v>11.914099999999999</v>
      </c>
      <c r="HV27">
        <v>4.9828000000000001</v>
      </c>
      <c r="HW27">
        <v>3.2709999999999999</v>
      </c>
      <c r="HX27">
        <v>9999</v>
      </c>
      <c r="HY27">
        <v>9999</v>
      </c>
      <c r="HZ27">
        <v>9999</v>
      </c>
      <c r="IA27">
        <v>999.9</v>
      </c>
      <c r="IB27">
        <v>1.8674900000000001</v>
      </c>
      <c r="IC27">
        <v>1.8632500000000001</v>
      </c>
      <c r="ID27">
        <v>1.8627899999999999</v>
      </c>
      <c r="IE27">
        <v>1.8623400000000001</v>
      </c>
      <c r="IF27">
        <v>1.8623400000000001</v>
      </c>
      <c r="IG27">
        <v>1.8627</v>
      </c>
      <c r="IH27">
        <v>1.86371</v>
      </c>
      <c r="II27">
        <v>1.8615699999999999</v>
      </c>
      <c r="IJ27">
        <v>0</v>
      </c>
      <c r="IK27">
        <v>0</v>
      </c>
      <c r="IL27">
        <v>0</v>
      </c>
      <c r="IM27">
        <v>4.5</v>
      </c>
      <c r="IN27" t="s">
        <v>411</v>
      </c>
      <c r="IO27" t="s">
        <v>412</v>
      </c>
      <c r="IP27" t="s">
        <v>413</v>
      </c>
      <c r="IQ27" t="s">
        <v>414</v>
      </c>
      <c r="IR27" t="s">
        <v>414</v>
      </c>
      <c r="IS27" t="s">
        <v>413</v>
      </c>
      <c r="IT27">
        <v>0</v>
      </c>
      <c r="IU27">
        <v>100</v>
      </c>
      <c r="IV27">
        <v>100</v>
      </c>
      <c r="IW27">
        <v>-5.5810000000000004</v>
      </c>
      <c r="IX27">
        <v>-0.3206</v>
      </c>
      <c r="IY27">
        <v>-5.5808571428570994</v>
      </c>
      <c r="IZ27">
        <v>0</v>
      </c>
      <c r="JA27">
        <v>0</v>
      </c>
      <c r="JB27">
        <v>0</v>
      </c>
      <c r="JC27">
        <v>-0.8222413170717493</v>
      </c>
      <c r="JD27">
        <v>2.7492919904454862E-4</v>
      </c>
      <c r="JE27">
        <v>8.6739513355948885E-4</v>
      </c>
      <c r="JF27">
        <v>-8.2500691715147318E-6</v>
      </c>
      <c r="JG27">
        <v>-1</v>
      </c>
      <c r="JH27">
        <v>-1</v>
      </c>
      <c r="JI27">
        <v>2</v>
      </c>
      <c r="JJ27">
        <v>37</v>
      </c>
      <c r="JK27">
        <v>1</v>
      </c>
      <c r="JL27">
        <v>0.9</v>
      </c>
      <c r="JM27">
        <v>1.07056</v>
      </c>
      <c r="JN27">
        <v>2.6049799999999999</v>
      </c>
      <c r="JO27">
        <v>1.50024</v>
      </c>
      <c r="JP27">
        <v>2.2644000000000002</v>
      </c>
      <c r="JQ27">
        <v>1.4477500000000001</v>
      </c>
      <c r="JR27">
        <v>2.3999000000000001</v>
      </c>
      <c r="JS27">
        <v>53.949300000000001</v>
      </c>
      <c r="JT27">
        <v>14.3947</v>
      </c>
      <c r="JU27">
        <v>18</v>
      </c>
      <c r="JV27">
        <v>538.76800000000003</v>
      </c>
      <c r="JW27">
        <v>324.54300000000001</v>
      </c>
      <c r="JX27">
        <v>24.880500000000001</v>
      </c>
      <c r="JY27">
        <v>39.311500000000002</v>
      </c>
      <c r="JZ27">
        <v>29.999400000000001</v>
      </c>
      <c r="KA27">
        <v>39.521900000000002</v>
      </c>
      <c r="KB27">
        <v>39.718800000000002</v>
      </c>
      <c r="KC27">
        <v>21.412299999999998</v>
      </c>
      <c r="KD27">
        <v>50.113399999999999</v>
      </c>
      <c r="KE27">
        <v>0</v>
      </c>
      <c r="KF27">
        <v>24.882899999999999</v>
      </c>
      <c r="KG27">
        <v>422.35300000000001</v>
      </c>
      <c r="KH27">
        <v>27.282800000000002</v>
      </c>
      <c r="KI27">
        <v>99.662000000000006</v>
      </c>
      <c r="KJ27">
        <v>98.131399999999999</v>
      </c>
    </row>
    <row r="28" spans="1:296" x14ac:dyDescent="0.3">
      <c r="A28">
        <v>12</v>
      </c>
      <c r="B28">
        <v>1783531830.0999999</v>
      </c>
      <c r="C28">
        <v>2071.099999904633</v>
      </c>
      <c r="D28" t="s">
        <v>887</v>
      </c>
      <c r="E28" t="s">
        <v>888</v>
      </c>
      <c r="F28">
        <v>15</v>
      </c>
      <c r="H28">
        <v>1783531822.349999</v>
      </c>
      <c r="I28">
        <f t="shared" si="0"/>
        <v>2.8302108563946844E-4</v>
      </c>
      <c r="J28">
        <f t="shared" si="1"/>
        <v>0.28302108563946843</v>
      </c>
      <c r="K28">
        <f t="shared" si="2"/>
        <v>-1.1055551308352969</v>
      </c>
      <c r="L28">
        <f t="shared" si="3"/>
        <v>419.98050000000012</v>
      </c>
      <c r="M28">
        <f t="shared" si="4"/>
        <v>511.37400202037998</v>
      </c>
      <c r="N28">
        <f t="shared" si="5"/>
        <v>50.071187235135277</v>
      </c>
      <c r="O28">
        <f t="shared" si="6"/>
        <v>41.12239215823034</v>
      </c>
      <c r="P28">
        <f t="shared" si="7"/>
        <v>1.7095232771705715E-2</v>
      </c>
      <c r="Q28">
        <f t="shared" si="8"/>
        <v>2.8924585718108777</v>
      </c>
      <c r="R28">
        <f t="shared" si="9"/>
        <v>1.7039299104182278E-2</v>
      </c>
      <c r="S28">
        <f t="shared" si="10"/>
        <v>1.0654572022851812E-2</v>
      </c>
      <c r="T28">
        <f t="shared" si="11"/>
        <v>8.2416002201251359</v>
      </c>
      <c r="U28">
        <f t="shared" si="12"/>
        <v>29.478404085027169</v>
      </c>
      <c r="V28">
        <f t="shared" si="13"/>
        <v>29.984643333333331</v>
      </c>
      <c r="W28">
        <f t="shared" si="14"/>
        <v>4.2566931831116745</v>
      </c>
      <c r="X28">
        <f t="shared" si="15"/>
        <v>64.920164390733319</v>
      </c>
      <c r="Y28">
        <f t="shared" si="16"/>
        <v>2.6880100036802084</v>
      </c>
      <c r="Z28">
        <f t="shared" si="17"/>
        <v>4.1404855161825402</v>
      </c>
      <c r="AA28">
        <f t="shared" si="18"/>
        <v>1.5686831794314662</v>
      </c>
      <c r="AB28">
        <f t="shared" si="19"/>
        <v>-12.481229876700558</v>
      </c>
      <c r="AC28">
        <f t="shared" si="20"/>
        <v>-75.003687987345685</v>
      </c>
      <c r="AD28">
        <f t="shared" si="21"/>
        <v>-5.7511439752025986</v>
      </c>
      <c r="AE28">
        <f t="shared" si="22"/>
        <v>-84.994461619123712</v>
      </c>
      <c r="AF28">
        <f t="shared" si="23"/>
        <v>-1.1055551308352969</v>
      </c>
      <c r="AG28">
        <f t="shared" si="24"/>
        <v>0.28302108563946843</v>
      </c>
      <c r="AH28">
        <f t="shared" si="25"/>
        <v>-1.075119857600412</v>
      </c>
      <c r="AI28">
        <v>430.50129806561898</v>
      </c>
      <c r="AJ28">
        <v>431.85673333333312</v>
      </c>
      <c r="AK28">
        <v>-5.638559269827273E-3</v>
      </c>
      <c r="AL28">
        <v>66.944535107795673</v>
      </c>
      <c r="AM28">
        <f t="shared" si="26"/>
        <v>0.29700428697104625</v>
      </c>
      <c r="AN28">
        <v>27.12307882181819</v>
      </c>
      <c r="AO28">
        <v>27.469374545454539</v>
      </c>
      <c r="AP28">
        <v>5.0802386801908759E-5</v>
      </c>
      <c r="AQ28">
        <v>78.55</v>
      </c>
      <c r="AR28">
        <v>0</v>
      </c>
      <c r="AS28">
        <v>0</v>
      </c>
      <c r="AT28">
        <f t="shared" si="27"/>
        <v>1</v>
      </c>
      <c r="AU28">
        <f t="shared" si="28"/>
        <v>0</v>
      </c>
      <c r="AV28">
        <f t="shared" si="29"/>
        <v>51337.653018748933</v>
      </c>
      <c r="AW28" t="s">
        <v>844</v>
      </c>
      <c r="AX28">
        <v>5087.38</v>
      </c>
      <c r="AY28">
        <v>545.02941176470586</v>
      </c>
      <c r="AZ28">
        <v>2365.36</v>
      </c>
      <c r="BA28">
        <f t="shared" si="30"/>
        <v>0.76957866381239814</v>
      </c>
      <c r="BB28">
        <v>-6.1128344961398691</v>
      </c>
      <c r="BC28" t="s">
        <v>889</v>
      </c>
      <c r="BD28">
        <v>5095.82</v>
      </c>
      <c r="BE28">
        <v>669.82829411764703</v>
      </c>
      <c r="BF28">
        <v>1948.5</v>
      </c>
      <c r="BG28">
        <f t="shared" si="31"/>
        <v>0.65623387522830534</v>
      </c>
      <c r="BH28">
        <v>0.5</v>
      </c>
      <c r="BI28">
        <f t="shared" si="32"/>
        <v>42.139499815608886</v>
      </c>
      <c r="BJ28">
        <f t="shared" si="33"/>
        <v>-1.1055551308352969</v>
      </c>
      <c r="BK28">
        <f t="shared" si="34"/>
        <v>13.826683632089738</v>
      </c>
      <c r="BL28">
        <f t="shared" si="35"/>
        <v>0.1188262648397603</v>
      </c>
      <c r="BM28">
        <f t="shared" si="36"/>
        <v>0.213938927380036</v>
      </c>
      <c r="BN28">
        <f t="shared" si="37"/>
        <v>519.42384531501853</v>
      </c>
      <c r="BO28" t="s">
        <v>407</v>
      </c>
      <c r="BP28">
        <v>0</v>
      </c>
      <c r="BQ28">
        <f t="shared" si="38"/>
        <v>519.42384531501853</v>
      </c>
      <c r="BR28">
        <f t="shared" si="39"/>
        <v>0.73342373861174315</v>
      </c>
      <c r="BS28">
        <f t="shared" si="40"/>
        <v>0.89475407009657715</v>
      </c>
      <c r="BT28">
        <f t="shared" si="41"/>
        <v>0.22582579518907545</v>
      </c>
      <c r="BU28">
        <f t="shared" si="42"/>
        <v>0.91107837713231898</v>
      </c>
      <c r="BV28">
        <f t="shared" si="43"/>
        <v>0.22900235962310664</v>
      </c>
      <c r="BW28">
        <f t="shared" si="44"/>
        <v>0.69384438337744958</v>
      </c>
      <c r="BX28">
        <f t="shared" si="45"/>
        <v>0.30615561662255042</v>
      </c>
      <c r="DG28">
        <f t="shared" si="46"/>
        <v>50.00522333333334</v>
      </c>
      <c r="DH28">
        <f t="shared" si="47"/>
        <v>42.139499815608886</v>
      </c>
      <c r="DI28">
        <f t="shared" si="48"/>
        <v>0.84270196204720904</v>
      </c>
      <c r="DJ28">
        <f t="shared" si="49"/>
        <v>0.16481478675111344</v>
      </c>
      <c r="DK28">
        <v>6</v>
      </c>
      <c r="DL28">
        <v>0.5</v>
      </c>
      <c r="DM28" t="s">
        <v>408</v>
      </c>
      <c r="DN28">
        <v>2</v>
      </c>
      <c r="DO28" t="b">
        <v>0</v>
      </c>
      <c r="DP28">
        <v>1783531822.349999</v>
      </c>
      <c r="DQ28">
        <v>419.98050000000012</v>
      </c>
      <c r="DR28">
        <v>418.79649999999998</v>
      </c>
      <c r="DS28">
        <v>27.45248333333334</v>
      </c>
      <c r="DT28">
        <v>27.12219</v>
      </c>
      <c r="DU28">
        <v>425.57216666666659</v>
      </c>
      <c r="DV28">
        <v>27.774709999999999</v>
      </c>
      <c r="DW28">
        <v>500.0127333333333</v>
      </c>
      <c r="DX28">
        <v>97.85496000000002</v>
      </c>
      <c r="DY28">
        <v>6.0043573333333329E-2</v>
      </c>
      <c r="DZ28">
        <v>29.50366</v>
      </c>
      <c r="EA28">
        <v>29.984643333333331</v>
      </c>
      <c r="EB28">
        <v>999.9000000000002</v>
      </c>
      <c r="EC28">
        <v>0</v>
      </c>
      <c r="ED28">
        <v>0</v>
      </c>
      <c r="EE28">
        <v>10004.66666666667</v>
      </c>
      <c r="EF28">
        <v>0</v>
      </c>
      <c r="EG28">
        <v>1778.3773333333329</v>
      </c>
      <c r="EH28">
        <v>1.183926</v>
      </c>
      <c r="EI28">
        <v>431.83546666666672</v>
      </c>
      <c r="EJ28">
        <v>430.47179999999997</v>
      </c>
      <c r="EK28">
        <v>0.33028926666666669</v>
      </c>
      <c r="EL28">
        <v>418.79649999999998</v>
      </c>
      <c r="EM28">
        <v>27.12219</v>
      </c>
      <c r="EN28">
        <v>2.6863609999999989</v>
      </c>
      <c r="EO28">
        <v>2.654042</v>
      </c>
      <c r="EP28">
        <v>22.201926666666669</v>
      </c>
      <c r="EQ28">
        <v>22.003293333333328</v>
      </c>
      <c r="ER28">
        <v>50.00522333333334</v>
      </c>
      <c r="ES28">
        <v>0.89990333333333328</v>
      </c>
      <c r="ET28">
        <v>0.1000969</v>
      </c>
      <c r="EU28">
        <v>0</v>
      </c>
      <c r="EV28">
        <v>670.05616666666685</v>
      </c>
      <c r="EW28">
        <v>5.0010700000000003</v>
      </c>
      <c r="EX28">
        <v>3996.213333333334</v>
      </c>
      <c r="EY28">
        <v>396.29626666666661</v>
      </c>
      <c r="EZ28">
        <v>41.316199999999981</v>
      </c>
      <c r="FA28">
        <v>45.758266666666671</v>
      </c>
      <c r="FB28">
        <v>43.625</v>
      </c>
      <c r="FC28">
        <v>45.216399999999993</v>
      </c>
      <c r="FD28">
        <v>43.508266666666671</v>
      </c>
      <c r="FE28">
        <v>40.49966666666667</v>
      </c>
      <c r="FF28">
        <v>4.5036666666666667</v>
      </c>
      <c r="FG28">
        <v>0</v>
      </c>
      <c r="FH28">
        <v>181.5999999046326</v>
      </c>
      <c r="FI28">
        <v>0</v>
      </c>
      <c r="FJ28">
        <v>669.82829411764703</v>
      </c>
      <c r="FK28">
        <v>-2.2058832819291212E-2</v>
      </c>
      <c r="FL28">
        <v>-127.96076976778819</v>
      </c>
      <c r="FM28">
        <v>3992.5317647058819</v>
      </c>
      <c r="FN28">
        <v>10</v>
      </c>
      <c r="FO28">
        <v>1783531758.0999999</v>
      </c>
      <c r="FP28" t="s">
        <v>890</v>
      </c>
      <c r="FQ28">
        <v>1783531755.0999999</v>
      </c>
      <c r="FR28">
        <v>1783531757.5999999</v>
      </c>
      <c r="FS28">
        <v>39</v>
      </c>
      <c r="FT28">
        <v>-1.0999999999999999E-2</v>
      </c>
      <c r="FU28">
        <v>-0.11799999999999999</v>
      </c>
      <c r="FV28">
        <v>-5.5919999999999996</v>
      </c>
      <c r="FW28">
        <v>-0.44600000000000001</v>
      </c>
      <c r="FX28">
        <v>419</v>
      </c>
      <c r="FY28">
        <v>27</v>
      </c>
      <c r="FZ28">
        <v>1.87</v>
      </c>
      <c r="GA28">
        <v>0.48</v>
      </c>
      <c r="GB28">
        <v>419.98270967741939</v>
      </c>
      <c r="GC28">
        <v>0.26124193548377</v>
      </c>
      <c r="GD28">
        <v>6.8693425307966988E-2</v>
      </c>
      <c r="GE28">
        <v>-1</v>
      </c>
      <c r="GF28">
        <v>670.23732352941181</v>
      </c>
      <c r="GG28">
        <v>-4.2508632568899767</v>
      </c>
      <c r="GH28">
        <v>0.5129176473623932</v>
      </c>
      <c r="GI28">
        <v>1</v>
      </c>
      <c r="GJ28">
        <v>0.3233676341463414</v>
      </c>
      <c r="GK28">
        <v>0.14575436236933739</v>
      </c>
      <c r="GL28">
        <v>1.4884154192861709E-2</v>
      </c>
      <c r="GM28">
        <v>1</v>
      </c>
      <c r="GN28">
        <v>2</v>
      </c>
      <c r="GO28">
        <v>2</v>
      </c>
      <c r="GP28" t="s">
        <v>423</v>
      </c>
      <c r="GQ28">
        <v>3.1317300000000001</v>
      </c>
      <c r="GR28">
        <v>2.7383299999999999</v>
      </c>
      <c r="GS28">
        <v>9.0315400000000004E-2</v>
      </c>
      <c r="GT28">
        <v>8.9823799999999995E-2</v>
      </c>
      <c r="GU28">
        <v>0.12266299999999999</v>
      </c>
      <c r="GV28">
        <v>0.12083199999999999</v>
      </c>
      <c r="GW28">
        <v>22625.3</v>
      </c>
      <c r="GX28">
        <v>30348.2</v>
      </c>
      <c r="GY28">
        <v>27003.599999999999</v>
      </c>
      <c r="GZ28">
        <v>34322.199999999997</v>
      </c>
      <c r="HA28">
        <v>34743</v>
      </c>
      <c r="HB28">
        <v>38356</v>
      </c>
      <c r="HC28">
        <v>39896.5</v>
      </c>
      <c r="HD28">
        <v>43694.2</v>
      </c>
      <c r="HE28">
        <v>1.9004000000000001</v>
      </c>
      <c r="HF28">
        <v>1.5338000000000001</v>
      </c>
      <c r="HG28">
        <v>-0.104874</v>
      </c>
      <c r="HH28">
        <v>0</v>
      </c>
      <c r="HI28">
        <v>31.701599999999999</v>
      </c>
      <c r="HJ28">
        <v>999.9</v>
      </c>
      <c r="HK28">
        <v>40</v>
      </c>
      <c r="HL28">
        <v>50.7</v>
      </c>
      <c r="HM28">
        <v>52.555</v>
      </c>
      <c r="HN28">
        <v>60.868499999999997</v>
      </c>
      <c r="HO28">
        <v>8.0288500000000003</v>
      </c>
      <c r="HP28">
        <v>1</v>
      </c>
      <c r="HQ28">
        <v>1.0076400000000001</v>
      </c>
      <c r="HR28">
        <v>6.0235099999999999</v>
      </c>
      <c r="HS28">
        <v>20.172000000000001</v>
      </c>
      <c r="HT28">
        <v>5.2112999999999996</v>
      </c>
      <c r="HU28">
        <v>11.914099999999999</v>
      </c>
      <c r="HV28">
        <v>4.984</v>
      </c>
      <c r="HW28">
        <v>3.2709999999999999</v>
      </c>
      <c r="HX28">
        <v>9999</v>
      </c>
      <c r="HY28">
        <v>9999</v>
      </c>
      <c r="HZ28">
        <v>9999</v>
      </c>
      <c r="IA28">
        <v>999.9</v>
      </c>
      <c r="IB28">
        <v>1.8675200000000001</v>
      </c>
      <c r="IC28">
        <v>1.8632500000000001</v>
      </c>
      <c r="ID28">
        <v>1.8627899999999999</v>
      </c>
      <c r="IE28">
        <v>1.8623400000000001</v>
      </c>
      <c r="IF28">
        <v>1.8623400000000001</v>
      </c>
      <c r="IG28">
        <v>1.86273</v>
      </c>
      <c r="IH28">
        <v>1.86371</v>
      </c>
      <c r="II28">
        <v>1.8615699999999999</v>
      </c>
      <c r="IJ28">
        <v>0</v>
      </c>
      <c r="IK28">
        <v>0</v>
      </c>
      <c r="IL28">
        <v>0</v>
      </c>
      <c r="IM28">
        <v>4.5</v>
      </c>
      <c r="IN28" t="s">
        <v>411</v>
      </c>
      <c r="IO28" t="s">
        <v>412</v>
      </c>
      <c r="IP28" t="s">
        <v>413</v>
      </c>
      <c r="IQ28" t="s">
        <v>414</v>
      </c>
      <c r="IR28" t="s">
        <v>414</v>
      </c>
      <c r="IS28" t="s">
        <v>413</v>
      </c>
      <c r="IT28">
        <v>0</v>
      </c>
      <c r="IU28">
        <v>100</v>
      </c>
      <c r="IV28">
        <v>100</v>
      </c>
      <c r="IW28">
        <v>-5.5910000000000002</v>
      </c>
      <c r="IX28">
        <v>-0.32190000000000002</v>
      </c>
      <c r="IY28">
        <v>-5.5917000000000598</v>
      </c>
      <c r="IZ28">
        <v>0</v>
      </c>
      <c r="JA28">
        <v>0</v>
      </c>
      <c r="JB28">
        <v>0</v>
      </c>
      <c r="JC28">
        <v>-0.8222413170717493</v>
      </c>
      <c r="JD28">
        <v>2.7492919904454862E-4</v>
      </c>
      <c r="JE28">
        <v>8.6739513355948885E-4</v>
      </c>
      <c r="JF28">
        <v>-8.2500691715147318E-6</v>
      </c>
      <c r="JG28">
        <v>-1</v>
      </c>
      <c r="JH28">
        <v>-1</v>
      </c>
      <c r="JI28">
        <v>2</v>
      </c>
      <c r="JJ28">
        <v>37</v>
      </c>
      <c r="JK28">
        <v>1.2</v>
      </c>
      <c r="JL28">
        <v>1.2</v>
      </c>
      <c r="JM28">
        <v>1.0644499999999999</v>
      </c>
      <c r="JN28">
        <v>2.6208499999999999</v>
      </c>
      <c r="JO28">
        <v>1.50024</v>
      </c>
      <c r="JP28">
        <v>2.2631800000000002</v>
      </c>
      <c r="JQ28">
        <v>1.4477500000000001</v>
      </c>
      <c r="JR28">
        <v>2.34863</v>
      </c>
      <c r="JS28">
        <v>53.417299999999997</v>
      </c>
      <c r="JT28">
        <v>14.368399999999999</v>
      </c>
      <c r="JU28">
        <v>18</v>
      </c>
      <c r="JV28">
        <v>539.90499999999997</v>
      </c>
      <c r="JW28">
        <v>324.37099999999998</v>
      </c>
      <c r="JX28">
        <v>25.177900000000001</v>
      </c>
      <c r="JY28">
        <v>39.154800000000002</v>
      </c>
      <c r="JZ28">
        <v>29.999600000000001</v>
      </c>
      <c r="KA28">
        <v>39.382300000000001</v>
      </c>
      <c r="KB28">
        <v>39.588900000000002</v>
      </c>
      <c r="KC28">
        <v>21.288</v>
      </c>
      <c r="KD28">
        <v>50.097200000000001</v>
      </c>
      <c r="KE28">
        <v>0</v>
      </c>
      <c r="KF28">
        <v>25.180599999999998</v>
      </c>
      <c r="KG28">
        <v>418.74700000000001</v>
      </c>
      <c r="KH28">
        <v>27.037299999999998</v>
      </c>
      <c r="KI28">
        <v>99.691400000000002</v>
      </c>
      <c r="KJ28">
        <v>98.1614</v>
      </c>
    </row>
    <row r="29" spans="1:296" x14ac:dyDescent="0.3">
      <c r="A29">
        <v>13</v>
      </c>
      <c r="B29">
        <v>1783532012.5999999</v>
      </c>
      <c r="C29">
        <v>2253.599999904633</v>
      </c>
      <c r="D29" t="s">
        <v>891</v>
      </c>
      <c r="E29" t="s">
        <v>892</v>
      </c>
      <c r="F29">
        <v>15</v>
      </c>
      <c r="H29">
        <v>1783532004.849999</v>
      </c>
      <c r="I29">
        <f t="shared" si="0"/>
        <v>1.0998644524967139E-4</v>
      </c>
      <c r="J29">
        <f t="shared" si="1"/>
        <v>0.10998644524967138</v>
      </c>
      <c r="K29">
        <f t="shared" si="2"/>
        <v>-5.4766429144179707</v>
      </c>
      <c r="L29">
        <f t="shared" si="3"/>
        <v>420.03126666666662</v>
      </c>
      <c r="M29">
        <f t="shared" si="4"/>
        <v>1706.4919935147361</v>
      </c>
      <c r="N29">
        <f t="shared" si="5"/>
        <v>167.08379729596786</v>
      </c>
      <c r="O29">
        <f t="shared" si="6"/>
        <v>41.125548367300865</v>
      </c>
      <c r="P29">
        <f t="shared" si="7"/>
        <v>6.6732962426863862E-3</v>
      </c>
      <c r="Q29">
        <f t="shared" si="8"/>
        <v>2.8908846353859481</v>
      </c>
      <c r="R29">
        <f t="shared" si="9"/>
        <v>6.6647499750895354E-3</v>
      </c>
      <c r="S29">
        <f t="shared" si="10"/>
        <v>4.1662356537580502E-3</v>
      </c>
      <c r="T29">
        <f t="shared" si="11"/>
        <v>1.5966703903835998E-4</v>
      </c>
      <c r="U29">
        <f t="shared" si="12"/>
        <v>29.486175554002688</v>
      </c>
      <c r="V29">
        <f t="shared" si="13"/>
        <v>30.003789999999999</v>
      </c>
      <c r="W29">
        <f t="shared" si="14"/>
        <v>4.2613773368640322</v>
      </c>
      <c r="X29">
        <f t="shared" si="15"/>
        <v>65.240467676435841</v>
      </c>
      <c r="Y29">
        <f t="shared" si="16"/>
        <v>2.7030515679504634</v>
      </c>
      <c r="Z29">
        <f t="shared" si="17"/>
        <v>4.1432130458604552</v>
      </c>
      <c r="AA29">
        <f t="shared" si="18"/>
        <v>1.5583257689135688</v>
      </c>
      <c r="AB29">
        <f t="shared" si="19"/>
        <v>-4.8504022355105079</v>
      </c>
      <c r="AC29">
        <f t="shared" si="20"/>
        <v>-76.166582145115996</v>
      </c>
      <c r="AD29">
        <f t="shared" si="21"/>
        <v>-5.8443775390051336</v>
      </c>
      <c r="AE29">
        <f t="shared" si="22"/>
        <v>-86.861202252592591</v>
      </c>
      <c r="AF29">
        <f t="shared" si="23"/>
        <v>-5.4766429144179707</v>
      </c>
      <c r="AG29">
        <f t="shared" si="24"/>
        <v>0.10998644524967138</v>
      </c>
      <c r="AH29">
        <f t="shared" si="25"/>
        <v>-5.681324408377991</v>
      </c>
      <c r="AI29">
        <v>425.21449703931711</v>
      </c>
      <c r="AJ29">
        <v>432.08329090909092</v>
      </c>
      <c r="AK29">
        <v>2.7164641318125949E-2</v>
      </c>
      <c r="AL29">
        <v>66.944535107795673</v>
      </c>
      <c r="AM29">
        <f t="shared" si="26"/>
        <v>0.2294010478972035</v>
      </c>
      <c r="AN29">
        <v>27.47812370285715</v>
      </c>
      <c r="AO29">
        <v>27.745974545454541</v>
      </c>
      <c r="AP29">
        <v>-3.3977873977881477E-5</v>
      </c>
      <c r="AQ29">
        <v>78.55</v>
      </c>
      <c r="AR29">
        <v>0</v>
      </c>
      <c r="AS29">
        <v>0</v>
      </c>
      <c r="AT29">
        <f t="shared" si="27"/>
        <v>1</v>
      </c>
      <c r="AU29">
        <f t="shared" si="28"/>
        <v>0</v>
      </c>
      <c r="AV29">
        <f t="shared" si="29"/>
        <v>51291.12636324059</v>
      </c>
      <c r="AW29" t="s">
        <v>790</v>
      </c>
      <c r="AX29">
        <v>5089.3599999999997</v>
      </c>
      <c r="AY29">
        <v>541.23823529411766</v>
      </c>
      <c r="AZ29">
        <v>2342.2399999999998</v>
      </c>
      <c r="BA29">
        <f t="shared" si="30"/>
        <v>0.76892281094417414</v>
      </c>
      <c r="BB29">
        <v>-5.4766429144180178</v>
      </c>
      <c r="BC29" t="s">
        <v>407</v>
      </c>
      <c r="BD29" t="s">
        <v>407</v>
      </c>
      <c r="BE29">
        <v>0</v>
      </c>
      <c r="BF29">
        <v>0</v>
      </c>
      <c r="BG29" t="e">
        <f t="shared" si="31"/>
        <v>#DIV/0!</v>
      </c>
      <c r="BH29">
        <v>0.5</v>
      </c>
      <c r="BI29">
        <f t="shared" si="32"/>
        <v>8.4035283704399992E-4</v>
      </c>
      <c r="BJ29">
        <f t="shared" si="33"/>
        <v>-5.4766429144179707</v>
      </c>
      <c r="BK29" t="e">
        <f t="shared" si="34"/>
        <v>#DIV/0!</v>
      </c>
      <c r="BL29">
        <f t="shared" si="35"/>
        <v>5.6016299545903629E-11</v>
      </c>
      <c r="BM29" t="e">
        <f t="shared" si="36"/>
        <v>#DIV/0!</v>
      </c>
      <c r="BN29" t="e">
        <f t="shared" si="37"/>
        <v>#DIV/0!</v>
      </c>
      <c r="BO29" t="s">
        <v>407</v>
      </c>
      <c r="BP29">
        <v>0</v>
      </c>
      <c r="BQ29" t="e">
        <f t="shared" si="38"/>
        <v>#DIV/0!</v>
      </c>
      <c r="BR29" t="e">
        <f t="shared" si="39"/>
        <v>#DIV/0!</v>
      </c>
      <c r="BS29" t="e">
        <f t="shared" si="40"/>
        <v>#DIV/0!</v>
      </c>
      <c r="BT29" t="e">
        <f t="shared" si="41"/>
        <v>#DIV/0!</v>
      </c>
      <c r="BU29">
        <f t="shared" si="42"/>
        <v>0</v>
      </c>
      <c r="BV29">
        <f t="shared" si="43"/>
        <v>1.3005206579475541</v>
      </c>
      <c r="BW29" t="e">
        <f t="shared" si="44"/>
        <v>#DIV/0!</v>
      </c>
      <c r="BX29" t="e">
        <f t="shared" si="45"/>
        <v>#DIV/0!</v>
      </c>
      <c r="DG29">
        <f t="shared" si="46"/>
        <v>1.00021E-2</v>
      </c>
      <c r="DH29">
        <f t="shared" si="47"/>
        <v>8.4035283704399992E-4</v>
      </c>
      <c r="DI29">
        <f t="shared" si="48"/>
        <v>8.4017639999999991E-2</v>
      </c>
      <c r="DJ29">
        <f t="shared" si="49"/>
        <v>1.5963351599999998E-2</v>
      </c>
      <c r="DK29">
        <v>6</v>
      </c>
      <c r="DL29">
        <v>0.5</v>
      </c>
      <c r="DM29" t="s">
        <v>408</v>
      </c>
      <c r="DN29">
        <v>2</v>
      </c>
      <c r="DO29" t="b">
        <v>0</v>
      </c>
      <c r="DP29">
        <v>1783532004.849999</v>
      </c>
      <c r="DQ29">
        <v>420.03126666666662</v>
      </c>
      <c r="DR29">
        <v>413.51473333333342</v>
      </c>
      <c r="DS29">
        <v>27.607320000000001</v>
      </c>
      <c r="DT29">
        <v>27.47898</v>
      </c>
      <c r="DU29">
        <v>425.62299999999988</v>
      </c>
      <c r="DV29">
        <v>28.047319999999999</v>
      </c>
      <c r="DW29">
        <v>500.00006666666673</v>
      </c>
      <c r="DX29">
        <v>97.849703333333323</v>
      </c>
      <c r="DY29">
        <v>6.0980063333333327E-2</v>
      </c>
      <c r="DZ29">
        <v>29.51508333333333</v>
      </c>
      <c r="EA29">
        <v>30.003789999999999</v>
      </c>
      <c r="EB29">
        <v>999.9000000000002</v>
      </c>
      <c r="EC29">
        <v>0</v>
      </c>
      <c r="ED29">
        <v>0</v>
      </c>
      <c r="EE29">
        <v>9996.1666666666661</v>
      </c>
      <c r="EF29">
        <v>0</v>
      </c>
      <c r="EG29">
        <v>1780.7833333333331</v>
      </c>
      <c r="EH29">
        <v>6.5165386666666656</v>
      </c>
      <c r="EI29">
        <v>432.01229999999998</v>
      </c>
      <c r="EJ29">
        <v>425.1987666666667</v>
      </c>
      <c r="EK29">
        <v>0.2541343333333333</v>
      </c>
      <c r="EL29">
        <v>413.51473333333342</v>
      </c>
      <c r="EM29">
        <v>27.47898</v>
      </c>
      <c r="EN29">
        <v>2.7136756666666662</v>
      </c>
      <c r="EO29">
        <v>2.6888089999999991</v>
      </c>
      <c r="EP29">
        <v>22.368166666666671</v>
      </c>
      <c r="EQ29">
        <v>22.216883333333332</v>
      </c>
      <c r="ER29">
        <v>1.00021E-2</v>
      </c>
      <c r="ES29">
        <v>0</v>
      </c>
      <c r="ET29">
        <v>0</v>
      </c>
      <c r="EU29">
        <v>0</v>
      </c>
      <c r="EV29">
        <v>542.98166666666668</v>
      </c>
      <c r="EW29">
        <v>1.00021E-2</v>
      </c>
      <c r="EX29">
        <v>3415.5983333333329</v>
      </c>
      <c r="EY29">
        <v>3.023333333333333</v>
      </c>
      <c r="EZ29">
        <v>40.991599999999998</v>
      </c>
      <c r="FA29">
        <v>45.520666666666649</v>
      </c>
      <c r="FB29">
        <v>43.320399999999971</v>
      </c>
      <c r="FC29">
        <v>44.866599999999998</v>
      </c>
      <c r="FD29">
        <v>42.936999999999983</v>
      </c>
      <c r="FE29">
        <v>0</v>
      </c>
      <c r="FF29">
        <v>0</v>
      </c>
      <c r="FG29">
        <v>0</v>
      </c>
      <c r="FH29">
        <v>181.89999985694891</v>
      </c>
      <c r="FI29">
        <v>0</v>
      </c>
      <c r="FJ29">
        <v>541.23823529411766</v>
      </c>
      <c r="FK29">
        <v>-49.889706251888718</v>
      </c>
      <c r="FL29">
        <v>-51.482845194037253</v>
      </c>
      <c r="FM29">
        <v>3430.2441176470579</v>
      </c>
      <c r="FN29">
        <v>10</v>
      </c>
      <c r="FO29">
        <v>1783532028.0999999</v>
      </c>
      <c r="FP29" t="s">
        <v>893</v>
      </c>
      <c r="FQ29">
        <v>1783531755.0999999</v>
      </c>
      <c r="FR29">
        <v>1783532027.5999999</v>
      </c>
      <c r="FS29">
        <v>40</v>
      </c>
      <c r="FT29">
        <v>-1.0999999999999999E-2</v>
      </c>
      <c r="FU29">
        <v>-0.114</v>
      </c>
      <c r="FV29">
        <v>-5.5919999999999996</v>
      </c>
      <c r="FW29">
        <v>-0.44</v>
      </c>
      <c r="FX29">
        <v>419</v>
      </c>
      <c r="FY29">
        <v>27</v>
      </c>
      <c r="FZ29">
        <v>1.87</v>
      </c>
      <c r="GA29">
        <v>0.36</v>
      </c>
      <c r="GB29">
        <v>420.02966666666663</v>
      </c>
      <c r="GC29">
        <v>8.9646273637340249E-2</v>
      </c>
      <c r="GD29">
        <v>4.3178955779664838E-2</v>
      </c>
      <c r="GE29">
        <v>-1</v>
      </c>
      <c r="GF29">
        <v>542.92205882352937</v>
      </c>
      <c r="GG29">
        <v>-2.665393434972664</v>
      </c>
      <c r="GH29">
        <v>4.5320621065599092</v>
      </c>
      <c r="GI29">
        <v>1</v>
      </c>
      <c r="GJ29">
        <v>0.25166495</v>
      </c>
      <c r="GK29">
        <v>4.5496457786116343E-2</v>
      </c>
      <c r="GL29">
        <v>6.4370621402546693E-3</v>
      </c>
      <c r="GM29">
        <v>1</v>
      </c>
      <c r="GN29">
        <v>2</v>
      </c>
      <c r="GO29">
        <v>2</v>
      </c>
      <c r="GP29" t="s">
        <v>423</v>
      </c>
      <c r="GQ29">
        <v>3.1321599999999998</v>
      </c>
      <c r="GR29">
        <v>2.7365499999999998</v>
      </c>
      <c r="GS29">
        <v>9.03442E-2</v>
      </c>
      <c r="GT29">
        <v>8.8985099999999998E-2</v>
      </c>
      <c r="GU29">
        <v>0.12350999999999999</v>
      </c>
      <c r="GV29">
        <v>0.121931</v>
      </c>
      <c r="GW29">
        <v>22627.3</v>
      </c>
      <c r="GX29">
        <v>30379.599999999999</v>
      </c>
      <c r="GY29">
        <v>27006.3</v>
      </c>
      <c r="GZ29">
        <v>34325.5</v>
      </c>
      <c r="HA29">
        <v>34712.699999999997</v>
      </c>
      <c r="HB29">
        <v>38310.9</v>
      </c>
      <c r="HC29">
        <v>39900.400000000001</v>
      </c>
      <c r="HD29">
        <v>43697.599999999999</v>
      </c>
      <c r="HE29">
        <v>1.9019999999999999</v>
      </c>
      <c r="HF29">
        <v>1.5354000000000001</v>
      </c>
      <c r="HG29">
        <v>-0.107139</v>
      </c>
      <c r="HH29">
        <v>0</v>
      </c>
      <c r="HI29">
        <v>31.7546</v>
      </c>
      <c r="HJ29">
        <v>999.9</v>
      </c>
      <c r="HK29">
        <v>40.1</v>
      </c>
      <c r="HL29">
        <v>50.5</v>
      </c>
      <c r="HM29">
        <v>52.174599999999998</v>
      </c>
      <c r="HN29">
        <v>60.878599999999999</v>
      </c>
      <c r="HO29">
        <v>8.0088100000000004</v>
      </c>
      <c r="HP29">
        <v>1</v>
      </c>
      <c r="HQ29">
        <v>1.0004299999999999</v>
      </c>
      <c r="HR29">
        <v>6.0169300000000003</v>
      </c>
      <c r="HS29">
        <v>20.1736</v>
      </c>
      <c r="HT29">
        <v>5.2065099999999997</v>
      </c>
      <c r="HU29">
        <v>11.914099999999999</v>
      </c>
      <c r="HV29">
        <v>4.9828000000000001</v>
      </c>
      <c r="HW29">
        <v>3.2707999999999999</v>
      </c>
      <c r="HX29">
        <v>9999</v>
      </c>
      <c r="HY29">
        <v>9999</v>
      </c>
      <c r="HZ29">
        <v>9999</v>
      </c>
      <c r="IA29">
        <v>999.9</v>
      </c>
      <c r="IB29">
        <v>1.8674900000000001</v>
      </c>
      <c r="IC29">
        <v>1.8632500000000001</v>
      </c>
      <c r="ID29">
        <v>1.8627899999999999</v>
      </c>
      <c r="IE29">
        <v>1.8623700000000001</v>
      </c>
      <c r="IF29">
        <v>1.8623400000000001</v>
      </c>
      <c r="IG29">
        <v>1.86273</v>
      </c>
      <c r="IH29">
        <v>1.86371</v>
      </c>
      <c r="II29">
        <v>1.8615999999999999</v>
      </c>
      <c r="IJ29">
        <v>0</v>
      </c>
      <c r="IK29">
        <v>0</v>
      </c>
      <c r="IL29">
        <v>0</v>
      </c>
      <c r="IM29">
        <v>4.5</v>
      </c>
      <c r="IN29" t="s">
        <v>411</v>
      </c>
      <c r="IO29" t="s">
        <v>412</v>
      </c>
      <c r="IP29" t="s">
        <v>413</v>
      </c>
      <c r="IQ29" t="s">
        <v>414</v>
      </c>
      <c r="IR29" t="s">
        <v>414</v>
      </c>
      <c r="IS29" t="s">
        <v>413</v>
      </c>
      <c r="IT29">
        <v>0</v>
      </c>
      <c r="IU29">
        <v>100</v>
      </c>
      <c r="IV29">
        <v>100</v>
      </c>
      <c r="IW29">
        <v>-5.5919999999999996</v>
      </c>
      <c r="IX29">
        <v>-0.44</v>
      </c>
      <c r="IY29">
        <v>-5.5917000000000598</v>
      </c>
      <c r="IZ29">
        <v>0</v>
      </c>
      <c r="JA29">
        <v>0</v>
      </c>
      <c r="JB29">
        <v>0</v>
      </c>
      <c r="JC29">
        <v>-0.8222413170717493</v>
      </c>
      <c r="JD29">
        <v>2.7492919904454862E-4</v>
      </c>
      <c r="JE29">
        <v>8.6739513355948885E-4</v>
      </c>
      <c r="JF29">
        <v>-8.2500691715147318E-6</v>
      </c>
      <c r="JG29">
        <v>-1</v>
      </c>
      <c r="JH29">
        <v>-1</v>
      </c>
      <c r="JI29">
        <v>2</v>
      </c>
      <c r="JJ29">
        <v>37</v>
      </c>
      <c r="JK29">
        <v>4.3</v>
      </c>
      <c r="JL29">
        <v>4.2</v>
      </c>
      <c r="JM29">
        <v>1.0546899999999999</v>
      </c>
      <c r="JN29">
        <v>2.6184099999999999</v>
      </c>
      <c r="JO29">
        <v>1.50024</v>
      </c>
      <c r="JP29">
        <v>2.2631800000000002</v>
      </c>
      <c r="JQ29">
        <v>1.4477500000000001</v>
      </c>
      <c r="JR29">
        <v>2.4352999999999998</v>
      </c>
      <c r="JS29">
        <v>53.0321</v>
      </c>
      <c r="JT29">
        <v>14.3422</v>
      </c>
      <c r="JU29">
        <v>18</v>
      </c>
      <c r="JV29">
        <v>540.375</v>
      </c>
      <c r="JW29">
        <v>324.88299999999998</v>
      </c>
      <c r="JX29">
        <v>25.331</v>
      </c>
      <c r="JY29">
        <v>39.059800000000003</v>
      </c>
      <c r="JZ29">
        <v>30.0002</v>
      </c>
      <c r="KA29">
        <v>39.299599999999998</v>
      </c>
      <c r="KB29">
        <v>39.517899999999997</v>
      </c>
      <c r="KC29">
        <v>21.0899</v>
      </c>
      <c r="KD29">
        <v>49.816699999999997</v>
      </c>
      <c r="KE29">
        <v>0</v>
      </c>
      <c r="KF29">
        <v>25.330100000000002</v>
      </c>
      <c r="KG29">
        <v>413.49700000000001</v>
      </c>
      <c r="KH29">
        <v>27.209599999999998</v>
      </c>
      <c r="KI29">
        <v>99.7012</v>
      </c>
      <c r="KJ29">
        <v>98.169600000000003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3B6B0-A88F-41BF-BF8A-390C83E68AC5}">
  <dimension ref="A2:KJ29"/>
  <sheetViews>
    <sheetView workbookViewId="0">
      <selection activeCell="L33" sqref="L33"/>
    </sheetView>
  </sheetViews>
  <sheetFormatPr defaultRowHeight="14.4" x14ac:dyDescent="0.3"/>
  <sheetData>
    <row r="2" spans="1:296" x14ac:dyDescent="0.3">
      <c r="A2" t="s">
        <v>0</v>
      </c>
      <c r="B2" t="s">
        <v>1</v>
      </c>
      <c r="C2" t="s">
        <v>2</v>
      </c>
    </row>
    <row r="3" spans="1:296" x14ac:dyDescent="0.3">
      <c r="B3" t="s">
        <v>3</v>
      </c>
      <c r="C3">
        <v>21</v>
      </c>
    </row>
    <row r="4" spans="1:296" x14ac:dyDescent="0.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</row>
    <row r="5" spans="1:296" x14ac:dyDescent="0.3">
      <c r="B5" t="s">
        <v>15</v>
      </c>
      <c r="C5" t="s">
        <v>16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96" x14ac:dyDescent="0.3">
      <c r="A6" t="s">
        <v>17</v>
      </c>
      <c r="B6" t="s">
        <v>18</v>
      </c>
      <c r="C6" t="s">
        <v>19</v>
      </c>
      <c r="D6" t="s">
        <v>20</v>
      </c>
      <c r="E6" t="s">
        <v>21</v>
      </c>
    </row>
    <row r="7" spans="1:296" x14ac:dyDescent="0.3">
      <c r="B7">
        <v>0</v>
      </c>
      <c r="C7">
        <v>1</v>
      </c>
      <c r="D7">
        <v>0</v>
      </c>
      <c r="E7">
        <v>0</v>
      </c>
    </row>
    <row r="8" spans="1:296" x14ac:dyDescent="0.3">
      <c r="A8" t="s">
        <v>22</v>
      </c>
      <c r="B8" t="s">
        <v>23</v>
      </c>
      <c r="C8" t="s">
        <v>24</v>
      </c>
      <c r="D8" t="s">
        <v>25</v>
      </c>
      <c r="E8" t="s">
        <v>26</v>
      </c>
      <c r="F8" t="s">
        <v>27</v>
      </c>
      <c r="G8" t="s">
        <v>28</v>
      </c>
      <c r="H8" t="s">
        <v>29</v>
      </c>
      <c r="I8" t="s">
        <v>30</v>
      </c>
      <c r="J8" t="s">
        <v>31</v>
      </c>
      <c r="K8" t="s">
        <v>32</v>
      </c>
      <c r="L8" t="s">
        <v>33</v>
      </c>
      <c r="M8" t="s">
        <v>34</v>
      </c>
      <c r="N8" t="s">
        <v>35</v>
      </c>
      <c r="O8" t="s">
        <v>36</v>
      </c>
      <c r="P8" t="s">
        <v>37</v>
      </c>
      <c r="Q8" t="s">
        <v>38</v>
      </c>
    </row>
    <row r="9" spans="1:296" x14ac:dyDescent="0.3">
      <c r="B9" t="s">
        <v>39</v>
      </c>
      <c r="C9" t="s">
        <v>40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96" x14ac:dyDescent="0.3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</row>
    <row r="11" spans="1:296" x14ac:dyDescent="0.3">
      <c r="B11">
        <v>0</v>
      </c>
      <c r="C11">
        <v>0</v>
      </c>
      <c r="D11">
        <v>0</v>
      </c>
      <c r="E11">
        <v>0</v>
      </c>
      <c r="F11">
        <v>1</v>
      </c>
    </row>
    <row r="12" spans="1:296" x14ac:dyDescent="0.3">
      <c r="A12" t="s">
        <v>47</v>
      </c>
      <c r="B12" t="s">
        <v>48</v>
      </c>
      <c r="C12" t="s">
        <v>49</v>
      </c>
      <c r="D12" t="s">
        <v>50</v>
      </c>
      <c r="E12" t="s">
        <v>51</v>
      </c>
      <c r="F12" t="s">
        <v>52</v>
      </c>
      <c r="G12" t="s">
        <v>53</v>
      </c>
      <c r="H12" t="s">
        <v>54</v>
      </c>
    </row>
    <row r="13" spans="1:296" x14ac:dyDescent="0.3">
      <c r="B13">
        <v>-6276</v>
      </c>
      <c r="C13">
        <v>6.6</v>
      </c>
      <c r="D13">
        <v>1.7090000000000001E-5</v>
      </c>
      <c r="E13">
        <v>3.11</v>
      </c>
      <c r="F13" t="s">
        <v>840</v>
      </c>
      <c r="G13" t="s">
        <v>841</v>
      </c>
      <c r="H13">
        <v>0</v>
      </c>
    </row>
    <row r="14" spans="1:296" x14ac:dyDescent="0.3">
      <c r="A14" t="s">
        <v>57</v>
      </c>
      <c r="B14" t="s">
        <v>57</v>
      </c>
      <c r="C14" t="s">
        <v>57</v>
      </c>
      <c r="D14" t="s">
        <v>57</v>
      </c>
      <c r="E14" t="s">
        <v>57</v>
      </c>
      <c r="F14" t="s">
        <v>57</v>
      </c>
      <c r="G14" t="s">
        <v>58</v>
      </c>
      <c r="H14" t="s">
        <v>59</v>
      </c>
      <c r="I14" t="s">
        <v>59</v>
      </c>
      <c r="J14" t="s">
        <v>59</v>
      </c>
      <c r="K14" t="s">
        <v>59</v>
      </c>
      <c r="L14" t="s">
        <v>59</v>
      </c>
      <c r="M14" t="s">
        <v>59</v>
      </c>
      <c r="N14" t="s">
        <v>59</v>
      </c>
      <c r="O14" t="s">
        <v>59</v>
      </c>
      <c r="P14" t="s">
        <v>59</v>
      </c>
      <c r="Q14" t="s">
        <v>59</v>
      </c>
      <c r="R14" t="s">
        <v>59</v>
      </c>
      <c r="S14" t="s">
        <v>59</v>
      </c>
      <c r="T14" t="s">
        <v>59</v>
      </c>
      <c r="U14" t="s">
        <v>59</v>
      </c>
      <c r="V14" t="s">
        <v>59</v>
      </c>
      <c r="W14" t="s">
        <v>59</v>
      </c>
      <c r="X14" t="s">
        <v>59</v>
      </c>
      <c r="Y14" t="s">
        <v>59</v>
      </c>
      <c r="Z14" t="s">
        <v>59</v>
      </c>
      <c r="AA14" t="s">
        <v>59</v>
      </c>
      <c r="AB14" t="s">
        <v>59</v>
      </c>
      <c r="AC14" t="s">
        <v>59</v>
      </c>
      <c r="AD14" t="s">
        <v>59</v>
      </c>
      <c r="AE14" t="s">
        <v>59</v>
      </c>
      <c r="AF14" t="s">
        <v>59</v>
      </c>
      <c r="AG14" t="s">
        <v>59</v>
      </c>
      <c r="AH14" t="s">
        <v>60</v>
      </c>
      <c r="AI14" t="s">
        <v>60</v>
      </c>
      <c r="AJ14" t="s">
        <v>60</v>
      </c>
      <c r="AK14" t="s">
        <v>60</v>
      </c>
      <c r="AL14" t="s">
        <v>60</v>
      </c>
      <c r="AM14" t="s">
        <v>60</v>
      </c>
      <c r="AN14" t="s">
        <v>60</v>
      </c>
      <c r="AO14" t="s">
        <v>60</v>
      </c>
      <c r="AP14" t="s">
        <v>60</v>
      </c>
      <c r="AQ14" t="s">
        <v>60</v>
      </c>
      <c r="AR14" t="s">
        <v>61</v>
      </c>
      <c r="AS14" t="s">
        <v>61</v>
      </c>
      <c r="AT14" t="s">
        <v>61</v>
      </c>
      <c r="AU14" t="s">
        <v>61</v>
      </c>
      <c r="AV14" t="s">
        <v>61</v>
      </c>
      <c r="AW14" t="s">
        <v>62</v>
      </c>
      <c r="AX14" t="s">
        <v>62</v>
      </c>
      <c r="AY14" t="s">
        <v>62</v>
      </c>
      <c r="AZ14" t="s">
        <v>62</v>
      </c>
      <c r="BA14" t="s">
        <v>62</v>
      </c>
      <c r="BB14" t="s">
        <v>62</v>
      </c>
      <c r="BC14" t="s">
        <v>62</v>
      </c>
      <c r="BD14" t="s">
        <v>62</v>
      </c>
      <c r="BE14" t="s">
        <v>62</v>
      </c>
      <c r="BF14" t="s">
        <v>62</v>
      </c>
      <c r="BG14" t="s">
        <v>62</v>
      </c>
      <c r="BH14" t="s">
        <v>62</v>
      </c>
      <c r="BI14" t="s">
        <v>62</v>
      </c>
      <c r="BJ14" t="s">
        <v>62</v>
      </c>
      <c r="BK14" t="s">
        <v>62</v>
      </c>
      <c r="BL14" t="s">
        <v>62</v>
      </c>
      <c r="BM14" t="s">
        <v>62</v>
      </c>
      <c r="BN14" t="s">
        <v>62</v>
      </c>
      <c r="BO14" t="s">
        <v>62</v>
      </c>
      <c r="BP14" t="s">
        <v>62</v>
      </c>
      <c r="BQ14" t="s">
        <v>62</v>
      </c>
      <c r="BR14" t="s">
        <v>62</v>
      </c>
      <c r="BS14" t="s">
        <v>62</v>
      </c>
      <c r="BT14" t="s">
        <v>62</v>
      </c>
      <c r="BU14" t="s">
        <v>62</v>
      </c>
      <c r="BV14" t="s">
        <v>62</v>
      </c>
      <c r="BW14" t="s">
        <v>62</v>
      </c>
      <c r="BX14" t="s">
        <v>62</v>
      </c>
      <c r="BY14" t="s">
        <v>63</v>
      </c>
      <c r="BZ14" t="s">
        <v>63</v>
      </c>
      <c r="CA14" t="s">
        <v>63</v>
      </c>
      <c r="CB14" t="s">
        <v>63</v>
      </c>
      <c r="CC14" t="s">
        <v>63</v>
      </c>
      <c r="CD14" t="s">
        <v>63</v>
      </c>
      <c r="CE14" t="s">
        <v>63</v>
      </c>
      <c r="CF14" t="s">
        <v>63</v>
      </c>
      <c r="CG14" t="s">
        <v>63</v>
      </c>
      <c r="CH14" t="s">
        <v>63</v>
      </c>
      <c r="CI14" t="s">
        <v>63</v>
      </c>
      <c r="CJ14" t="s">
        <v>63</v>
      </c>
      <c r="CK14" t="s">
        <v>63</v>
      </c>
      <c r="CL14" t="s">
        <v>63</v>
      </c>
      <c r="CM14" t="s">
        <v>63</v>
      </c>
      <c r="CN14" t="s">
        <v>63</v>
      </c>
      <c r="CO14" t="s">
        <v>63</v>
      </c>
      <c r="CP14" t="s">
        <v>63</v>
      </c>
      <c r="CQ14" t="s">
        <v>63</v>
      </c>
      <c r="CR14" t="s">
        <v>63</v>
      </c>
      <c r="CS14" t="s">
        <v>63</v>
      </c>
      <c r="CT14" t="s">
        <v>64</v>
      </c>
      <c r="CU14" t="s">
        <v>64</v>
      </c>
      <c r="CV14" t="s">
        <v>64</v>
      </c>
      <c r="CW14" t="s">
        <v>64</v>
      </c>
      <c r="CX14" t="s">
        <v>64</v>
      </c>
      <c r="CY14" t="s">
        <v>64</v>
      </c>
      <c r="CZ14" t="s">
        <v>64</v>
      </c>
      <c r="DA14" t="s">
        <v>64</v>
      </c>
      <c r="DB14" t="s">
        <v>64</v>
      </c>
      <c r="DC14" t="s">
        <v>64</v>
      </c>
      <c r="DD14" t="s">
        <v>64</v>
      </c>
      <c r="DE14" t="s">
        <v>64</v>
      </c>
      <c r="DF14" t="s">
        <v>64</v>
      </c>
      <c r="DG14" t="s">
        <v>65</v>
      </c>
      <c r="DH14" t="s">
        <v>65</v>
      </c>
      <c r="DI14" t="s">
        <v>65</v>
      </c>
      <c r="DJ14" t="s">
        <v>65</v>
      </c>
      <c r="DK14" t="s">
        <v>66</v>
      </c>
      <c r="DL14" t="s">
        <v>66</v>
      </c>
      <c r="DM14" t="s">
        <v>66</v>
      </c>
      <c r="DN14" t="s">
        <v>66</v>
      </c>
      <c r="DO14" t="s">
        <v>66</v>
      </c>
      <c r="DP14" t="s">
        <v>67</v>
      </c>
      <c r="DQ14" t="s">
        <v>67</v>
      </c>
      <c r="DR14" t="s">
        <v>67</v>
      </c>
      <c r="DS14" t="s">
        <v>67</v>
      </c>
      <c r="DT14" t="s">
        <v>67</v>
      </c>
      <c r="DU14" t="s">
        <v>67</v>
      </c>
      <c r="DV14" t="s">
        <v>67</v>
      </c>
      <c r="DW14" t="s">
        <v>67</v>
      </c>
      <c r="DX14" t="s">
        <v>67</v>
      </c>
      <c r="DY14" t="s">
        <v>67</v>
      </c>
      <c r="DZ14" t="s">
        <v>67</v>
      </c>
      <c r="EA14" t="s">
        <v>67</v>
      </c>
      <c r="EB14" t="s">
        <v>67</v>
      </c>
      <c r="EC14" t="s">
        <v>67</v>
      </c>
      <c r="ED14" t="s">
        <v>67</v>
      </c>
      <c r="EE14" t="s">
        <v>67</v>
      </c>
      <c r="EF14" t="s">
        <v>67</v>
      </c>
      <c r="EG14" t="s">
        <v>67</v>
      </c>
      <c r="EH14" t="s">
        <v>68</v>
      </c>
      <c r="EI14" t="s">
        <v>68</v>
      </c>
      <c r="EJ14" t="s">
        <v>68</v>
      </c>
      <c r="EK14" t="s">
        <v>68</v>
      </c>
      <c r="EL14" t="s">
        <v>68</v>
      </c>
      <c r="EM14" t="s">
        <v>68</v>
      </c>
      <c r="EN14" t="s">
        <v>68</v>
      </c>
      <c r="EO14" t="s">
        <v>68</v>
      </c>
      <c r="EP14" t="s">
        <v>68</v>
      </c>
      <c r="EQ14" t="s">
        <v>68</v>
      </c>
      <c r="ER14" t="s">
        <v>69</v>
      </c>
      <c r="ES14" t="s">
        <v>69</v>
      </c>
      <c r="ET14" t="s">
        <v>69</v>
      </c>
      <c r="EU14" t="s">
        <v>69</v>
      </c>
      <c r="EV14" t="s">
        <v>69</v>
      </c>
      <c r="EW14" t="s">
        <v>69</v>
      </c>
      <c r="EX14" t="s">
        <v>69</v>
      </c>
      <c r="EY14" t="s">
        <v>69</v>
      </c>
      <c r="EZ14" t="s">
        <v>69</v>
      </c>
      <c r="FA14" t="s">
        <v>69</v>
      </c>
      <c r="FB14" t="s">
        <v>69</v>
      </c>
      <c r="FC14" t="s">
        <v>69</v>
      </c>
      <c r="FD14" t="s">
        <v>69</v>
      </c>
      <c r="FE14" t="s">
        <v>69</v>
      </c>
      <c r="FF14" t="s">
        <v>69</v>
      </c>
      <c r="FG14" t="s">
        <v>69</v>
      </c>
      <c r="FH14" t="s">
        <v>69</v>
      </c>
      <c r="FI14" t="s">
        <v>69</v>
      </c>
      <c r="FJ14" t="s">
        <v>70</v>
      </c>
      <c r="FK14" t="s">
        <v>70</v>
      </c>
      <c r="FL14" t="s">
        <v>70</v>
      </c>
      <c r="FM14" t="s">
        <v>70</v>
      </c>
      <c r="FN14" t="s">
        <v>70</v>
      </c>
      <c r="FO14" t="s">
        <v>71</v>
      </c>
      <c r="FP14" t="s">
        <v>71</v>
      </c>
      <c r="FQ14" t="s">
        <v>71</v>
      </c>
      <c r="FR14" t="s">
        <v>71</v>
      </c>
      <c r="FS14" t="s">
        <v>71</v>
      </c>
      <c r="FT14" t="s">
        <v>71</v>
      </c>
      <c r="FU14" t="s">
        <v>71</v>
      </c>
      <c r="FV14" t="s">
        <v>71</v>
      </c>
      <c r="FW14" t="s">
        <v>71</v>
      </c>
      <c r="FX14" t="s">
        <v>71</v>
      </c>
      <c r="FY14" t="s">
        <v>71</v>
      </c>
      <c r="FZ14" t="s">
        <v>71</v>
      </c>
      <c r="GA14" t="s">
        <v>71</v>
      </c>
      <c r="GB14" t="s">
        <v>72</v>
      </c>
      <c r="GC14" t="s">
        <v>72</v>
      </c>
      <c r="GD14" t="s">
        <v>72</v>
      </c>
      <c r="GE14" t="s">
        <v>72</v>
      </c>
      <c r="GF14" t="s">
        <v>72</v>
      </c>
      <c r="GG14" t="s">
        <v>72</v>
      </c>
      <c r="GH14" t="s">
        <v>72</v>
      </c>
      <c r="GI14" t="s">
        <v>72</v>
      </c>
      <c r="GJ14" t="s">
        <v>72</v>
      </c>
      <c r="GK14" t="s">
        <v>72</v>
      </c>
      <c r="GL14" t="s">
        <v>72</v>
      </c>
      <c r="GM14" t="s">
        <v>72</v>
      </c>
      <c r="GN14" t="s">
        <v>72</v>
      </c>
      <c r="GO14" t="s">
        <v>72</v>
      </c>
      <c r="GP14" t="s">
        <v>72</v>
      </c>
      <c r="GQ14" t="s">
        <v>73</v>
      </c>
      <c r="GR14" t="s">
        <v>73</v>
      </c>
      <c r="GS14" t="s">
        <v>73</v>
      </c>
      <c r="GT14" t="s">
        <v>73</v>
      </c>
      <c r="GU14" t="s">
        <v>73</v>
      </c>
      <c r="GV14" t="s">
        <v>73</v>
      </c>
      <c r="GW14" t="s">
        <v>73</v>
      </c>
      <c r="GX14" t="s">
        <v>73</v>
      </c>
      <c r="GY14" t="s">
        <v>73</v>
      </c>
      <c r="GZ14" t="s">
        <v>73</v>
      </c>
      <c r="HA14" t="s">
        <v>73</v>
      </c>
      <c r="HB14" t="s">
        <v>73</v>
      </c>
      <c r="HC14" t="s">
        <v>73</v>
      </c>
      <c r="HD14" t="s">
        <v>73</v>
      </c>
      <c r="HE14" t="s">
        <v>73</v>
      </c>
      <c r="HF14" t="s">
        <v>73</v>
      </c>
      <c r="HG14" t="s">
        <v>73</v>
      </c>
      <c r="HH14" t="s">
        <v>73</v>
      </c>
      <c r="HI14" t="s">
        <v>74</v>
      </c>
      <c r="HJ14" t="s">
        <v>74</v>
      </c>
      <c r="HK14" t="s">
        <v>74</v>
      </c>
      <c r="HL14" t="s">
        <v>74</v>
      </c>
      <c r="HM14" t="s">
        <v>74</v>
      </c>
      <c r="HN14" t="s">
        <v>74</v>
      </c>
      <c r="HO14" t="s">
        <v>74</v>
      </c>
      <c r="HP14" t="s">
        <v>74</v>
      </c>
      <c r="HQ14" t="s">
        <v>74</v>
      </c>
      <c r="HR14" t="s">
        <v>74</v>
      </c>
      <c r="HS14" t="s">
        <v>74</v>
      </c>
      <c r="HT14" t="s">
        <v>74</v>
      </c>
      <c r="HU14" t="s">
        <v>74</v>
      </c>
      <c r="HV14" t="s">
        <v>74</v>
      </c>
      <c r="HW14" t="s">
        <v>74</v>
      </c>
      <c r="HX14" t="s">
        <v>74</v>
      </c>
      <c r="HY14" t="s">
        <v>74</v>
      </c>
      <c r="HZ14" t="s">
        <v>74</v>
      </c>
      <c r="IA14" t="s">
        <v>74</v>
      </c>
      <c r="IB14" t="s">
        <v>75</v>
      </c>
      <c r="IC14" t="s">
        <v>75</v>
      </c>
      <c r="ID14" t="s">
        <v>75</v>
      </c>
      <c r="IE14" t="s">
        <v>75</v>
      </c>
      <c r="IF14" t="s">
        <v>75</v>
      </c>
      <c r="IG14" t="s">
        <v>75</v>
      </c>
      <c r="IH14" t="s">
        <v>75</v>
      </c>
      <c r="II14" t="s">
        <v>75</v>
      </c>
      <c r="IJ14" t="s">
        <v>75</v>
      </c>
      <c r="IK14" t="s">
        <v>75</v>
      </c>
      <c r="IL14" t="s">
        <v>75</v>
      </c>
      <c r="IM14" t="s">
        <v>75</v>
      </c>
      <c r="IN14" t="s">
        <v>75</v>
      </c>
      <c r="IO14" t="s">
        <v>75</v>
      </c>
      <c r="IP14" t="s">
        <v>75</v>
      </c>
      <c r="IQ14" t="s">
        <v>75</v>
      </c>
      <c r="IR14" t="s">
        <v>75</v>
      </c>
      <c r="IS14" t="s">
        <v>75</v>
      </c>
      <c r="IT14" t="s">
        <v>75</v>
      </c>
      <c r="IU14" t="s">
        <v>76</v>
      </c>
      <c r="IV14" t="s">
        <v>76</v>
      </c>
      <c r="IW14" t="s">
        <v>76</v>
      </c>
      <c r="IX14" t="s">
        <v>76</v>
      </c>
      <c r="IY14" t="s">
        <v>76</v>
      </c>
      <c r="IZ14" t="s">
        <v>76</v>
      </c>
      <c r="JA14" t="s">
        <v>76</v>
      </c>
      <c r="JB14" t="s">
        <v>76</v>
      </c>
      <c r="JC14" t="s">
        <v>76</v>
      </c>
      <c r="JD14" t="s">
        <v>76</v>
      </c>
      <c r="JE14" t="s">
        <v>76</v>
      </c>
      <c r="JF14" t="s">
        <v>76</v>
      </c>
      <c r="JG14" t="s">
        <v>76</v>
      </c>
      <c r="JH14" t="s">
        <v>76</v>
      </c>
      <c r="JI14" t="s">
        <v>76</v>
      </c>
      <c r="JJ14" t="s">
        <v>76</v>
      </c>
      <c r="JK14" t="s">
        <v>76</v>
      </c>
      <c r="JL14" t="s">
        <v>76</v>
      </c>
      <c r="JM14" t="s">
        <v>77</v>
      </c>
      <c r="JN14" t="s">
        <v>77</v>
      </c>
      <c r="JO14" t="s">
        <v>77</v>
      </c>
      <c r="JP14" t="s">
        <v>77</v>
      </c>
      <c r="JQ14" t="s">
        <v>77</v>
      </c>
      <c r="JR14" t="s">
        <v>77</v>
      </c>
      <c r="JS14" t="s">
        <v>77</v>
      </c>
      <c r="JT14" t="s">
        <v>77</v>
      </c>
      <c r="JU14" t="s">
        <v>78</v>
      </c>
      <c r="JV14" t="s">
        <v>78</v>
      </c>
      <c r="JW14" t="s">
        <v>78</v>
      </c>
      <c r="JX14" t="s">
        <v>78</v>
      </c>
      <c r="JY14" t="s">
        <v>78</v>
      </c>
      <c r="JZ14" t="s">
        <v>78</v>
      </c>
      <c r="KA14" t="s">
        <v>78</v>
      </c>
      <c r="KB14" t="s">
        <v>78</v>
      </c>
      <c r="KC14" t="s">
        <v>78</v>
      </c>
      <c r="KD14" t="s">
        <v>78</v>
      </c>
      <c r="KE14" t="s">
        <v>78</v>
      </c>
      <c r="KF14" t="s">
        <v>78</v>
      </c>
      <c r="KG14" t="s">
        <v>78</v>
      </c>
      <c r="KH14" t="s">
        <v>78</v>
      </c>
      <c r="KI14" t="s">
        <v>78</v>
      </c>
      <c r="KJ14" t="s">
        <v>78</v>
      </c>
    </row>
    <row r="15" spans="1:296" x14ac:dyDescent="0.3">
      <c r="A15" t="s">
        <v>79</v>
      </c>
      <c r="B15" t="s">
        <v>80</v>
      </c>
      <c r="C15" t="s">
        <v>81</v>
      </c>
      <c r="D15" t="s">
        <v>82</v>
      </c>
      <c r="E15" t="s">
        <v>83</v>
      </c>
      <c r="F15" t="s">
        <v>84</v>
      </c>
      <c r="G15" t="s">
        <v>85</v>
      </c>
      <c r="H15" t="s">
        <v>86</v>
      </c>
      <c r="I15" t="s">
        <v>87</v>
      </c>
      <c r="J15" t="s">
        <v>88</v>
      </c>
      <c r="K15" t="s">
        <v>89</v>
      </c>
      <c r="L15" t="s">
        <v>90</v>
      </c>
      <c r="M15" t="s">
        <v>91</v>
      </c>
      <c r="N15" t="s">
        <v>92</v>
      </c>
      <c r="O15" t="s">
        <v>93</v>
      </c>
      <c r="P15" t="s">
        <v>94</v>
      </c>
      <c r="Q15" t="s">
        <v>95</v>
      </c>
      <c r="R15" t="s">
        <v>96</v>
      </c>
      <c r="S15" t="s">
        <v>97</v>
      </c>
      <c r="T15" t="s">
        <v>98</v>
      </c>
      <c r="U15" t="s">
        <v>99</v>
      </c>
      <c r="V15" t="s">
        <v>100</v>
      </c>
      <c r="W15" t="s">
        <v>101</v>
      </c>
      <c r="X15" t="s">
        <v>102</v>
      </c>
      <c r="Y15" t="s">
        <v>103</v>
      </c>
      <c r="Z15" t="s">
        <v>104</v>
      </c>
      <c r="AA15" t="s">
        <v>105</v>
      </c>
      <c r="AB15" t="s">
        <v>106</v>
      </c>
      <c r="AC15" t="s">
        <v>107</v>
      </c>
      <c r="AD15" t="s">
        <v>108</v>
      </c>
      <c r="AE15" t="s">
        <v>109</v>
      </c>
      <c r="AF15" t="s">
        <v>110</v>
      </c>
      <c r="AG15" t="s">
        <v>111</v>
      </c>
      <c r="AH15" t="s">
        <v>112</v>
      </c>
      <c r="AI15" t="s">
        <v>113</v>
      </c>
      <c r="AJ15" t="s">
        <v>114</v>
      </c>
      <c r="AK15" t="s">
        <v>115</v>
      </c>
      <c r="AL15" t="s">
        <v>116</v>
      </c>
      <c r="AM15" t="s">
        <v>117</v>
      </c>
      <c r="AN15" t="s">
        <v>118</v>
      </c>
      <c r="AO15" t="s">
        <v>119</v>
      </c>
      <c r="AP15" t="s">
        <v>120</v>
      </c>
      <c r="AQ15" t="s">
        <v>121</v>
      </c>
      <c r="AR15" t="s">
        <v>61</v>
      </c>
      <c r="AS15" t="s">
        <v>122</v>
      </c>
      <c r="AT15" t="s">
        <v>123</v>
      </c>
      <c r="AU15" t="s">
        <v>124</v>
      </c>
      <c r="AV15" t="s">
        <v>125</v>
      </c>
      <c r="AW15" t="s">
        <v>126</v>
      </c>
      <c r="AX15" t="s">
        <v>127</v>
      </c>
      <c r="AY15" t="s">
        <v>128</v>
      </c>
      <c r="AZ15" t="s">
        <v>129</v>
      </c>
      <c r="BA15" t="s">
        <v>130</v>
      </c>
      <c r="BB15" t="s">
        <v>131</v>
      </c>
      <c r="BC15" t="s">
        <v>132</v>
      </c>
      <c r="BD15" t="s">
        <v>133</v>
      </c>
      <c r="BE15" t="s">
        <v>134</v>
      </c>
      <c r="BF15" t="s">
        <v>135</v>
      </c>
      <c r="BG15" t="s">
        <v>136</v>
      </c>
      <c r="BH15" t="s">
        <v>137</v>
      </c>
      <c r="BI15" t="s">
        <v>138</v>
      </c>
      <c r="BJ15" t="s">
        <v>139</v>
      </c>
      <c r="BK15" t="s">
        <v>140</v>
      </c>
      <c r="BL15" t="s">
        <v>141</v>
      </c>
      <c r="BM15" t="s">
        <v>142</v>
      </c>
      <c r="BN15" t="s">
        <v>143</v>
      </c>
      <c r="BO15" t="s">
        <v>144</v>
      </c>
      <c r="BP15" t="s">
        <v>145</v>
      </c>
      <c r="BQ15" t="s">
        <v>146</v>
      </c>
      <c r="BR15" t="s">
        <v>147</v>
      </c>
      <c r="BS15" t="s">
        <v>148</v>
      </c>
      <c r="BT15" t="s">
        <v>149</v>
      </c>
      <c r="BU15" t="s">
        <v>150</v>
      </c>
      <c r="BV15" t="s">
        <v>151</v>
      </c>
      <c r="BW15" t="s">
        <v>152</v>
      </c>
      <c r="BX15" t="s">
        <v>153</v>
      </c>
      <c r="BY15" t="s">
        <v>154</v>
      </c>
      <c r="BZ15" t="s">
        <v>155</v>
      </c>
      <c r="CA15" t="s">
        <v>156</v>
      </c>
      <c r="CB15" t="s">
        <v>157</v>
      </c>
      <c r="CC15" t="s">
        <v>158</v>
      </c>
      <c r="CD15" t="s">
        <v>159</v>
      </c>
      <c r="CE15" t="s">
        <v>160</v>
      </c>
      <c r="CF15" t="s">
        <v>161</v>
      </c>
      <c r="CG15" t="s">
        <v>162</v>
      </c>
      <c r="CH15" t="s">
        <v>163</v>
      </c>
      <c r="CI15" t="s">
        <v>164</v>
      </c>
      <c r="CJ15" t="s">
        <v>165</v>
      </c>
      <c r="CK15" t="s">
        <v>166</v>
      </c>
      <c r="CL15" t="s">
        <v>167</v>
      </c>
      <c r="CM15" t="s">
        <v>168</v>
      </c>
      <c r="CN15" t="s">
        <v>169</v>
      </c>
      <c r="CO15" t="s">
        <v>170</v>
      </c>
      <c r="CP15" t="s">
        <v>171</v>
      </c>
      <c r="CQ15" t="s">
        <v>172</v>
      </c>
      <c r="CR15" t="s">
        <v>173</v>
      </c>
      <c r="CS15" t="s">
        <v>174</v>
      </c>
      <c r="CT15" t="s">
        <v>154</v>
      </c>
      <c r="CU15" t="s">
        <v>175</v>
      </c>
      <c r="CV15" t="s">
        <v>176</v>
      </c>
      <c r="CW15" t="s">
        <v>177</v>
      </c>
      <c r="CX15" t="s">
        <v>128</v>
      </c>
      <c r="CY15" t="s">
        <v>178</v>
      </c>
      <c r="CZ15" t="s">
        <v>179</v>
      </c>
      <c r="DA15" t="s">
        <v>180</v>
      </c>
      <c r="DB15" t="s">
        <v>181</v>
      </c>
      <c r="DC15" t="s">
        <v>182</v>
      </c>
      <c r="DD15" t="s">
        <v>183</v>
      </c>
      <c r="DE15" t="s">
        <v>184</v>
      </c>
      <c r="DF15" t="s">
        <v>185</v>
      </c>
      <c r="DG15" t="s">
        <v>186</v>
      </c>
      <c r="DH15" t="s">
        <v>187</v>
      </c>
      <c r="DI15" t="s">
        <v>188</v>
      </c>
      <c r="DJ15" t="s">
        <v>189</v>
      </c>
      <c r="DK15" t="s">
        <v>190</v>
      </c>
      <c r="DL15" t="s">
        <v>191</v>
      </c>
      <c r="DM15" t="s">
        <v>192</v>
      </c>
      <c r="DN15" t="s">
        <v>193</v>
      </c>
      <c r="DO15" t="s">
        <v>194</v>
      </c>
      <c r="DP15" t="s">
        <v>86</v>
      </c>
      <c r="DQ15" t="s">
        <v>195</v>
      </c>
      <c r="DR15" t="s">
        <v>196</v>
      </c>
      <c r="DS15" t="s">
        <v>197</v>
      </c>
      <c r="DT15" t="s">
        <v>198</v>
      </c>
      <c r="DU15" t="s">
        <v>199</v>
      </c>
      <c r="DV15" t="s">
        <v>200</v>
      </c>
      <c r="DW15" t="s">
        <v>201</v>
      </c>
      <c r="DX15" t="s">
        <v>202</v>
      </c>
      <c r="DY15" t="s">
        <v>203</v>
      </c>
      <c r="DZ15" t="s">
        <v>204</v>
      </c>
      <c r="EA15" t="s">
        <v>205</v>
      </c>
      <c r="EB15" t="s">
        <v>206</v>
      </c>
      <c r="EC15" t="s">
        <v>207</v>
      </c>
      <c r="ED15" t="s">
        <v>208</v>
      </c>
      <c r="EE15" t="s">
        <v>209</v>
      </c>
      <c r="EF15" t="s">
        <v>210</v>
      </c>
      <c r="EG15" t="s">
        <v>211</v>
      </c>
      <c r="EH15" t="s">
        <v>212</v>
      </c>
      <c r="EI15" t="s">
        <v>213</v>
      </c>
      <c r="EJ15" t="s">
        <v>214</v>
      </c>
      <c r="EK15" t="s">
        <v>215</v>
      </c>
      <c r="EL15" t="s">
        <v>216</v>
      </c>
      <c r="EM15" t="s">
        <v>217</v>
      </c>
      <c r="EN15" t="s">
        <v>218</v>
      </c>
      <c r="EO15" t="s">
        <v>219</v>
      </c>
      <c r="EP15" t="s">
        <v>220</v>
      </c>
      <c r="EQ15" t="s">
        <v>221</v>
      </c>
      <c r="ER15" t="s">
        <v>222</v>
      </c>
      <c r="ES15" t="s">
        <v>223</v>
      </c>
      <c r="ET15" t="s">
        <v>224</v>
      </c>
      <c r="EU15" t="s">
        <v>225</v>
      </c>
      <c r="EV15" t="s">
        <v>226</v>
      </c>
      <c r="EW15" t="s">
        <v>227</v>
      </c>
      <c r="EX15" t="s">
        <v>228</v>
      </c>
      <c r="EY15" t="s">
        <v>229</v>
      </c>
      <c r="EZ15" t="s">
        <v>230</v>
      </c>
      <c r="FA15" t="s">
        <v>231</v>
      </c>
      <c r="FB15" t="s">
        <v>232</v>
      </c>
      <c r="FC15" t="s">
        <v>233</v>
      </c>
      <c r="FD15" t="s">
        <v>234</v>
      </c>
      <c r="FE15" t="s">
        <v>235</v>
      </c>
      <c r="FF15" t="s">
        <v>236</v>
      </c>
      <c r="FG15" t="s">
        <v>237</v>
      </c>
      <c r="FH15" t="s">
        <v>238</v>
      </c>
      <c r="FI15" t="s">
        <v>239</v>
      </c>
      <c r="FJ15" t="s">
        <v>240</v>
      </c>
      <c r="FK15" t="s">
        <v>241</v>
      </c>
      <c r="FL15" t="s">
        <v>242</v>
      </c>
      <c r="FM15" t="s">
        <v>243</v>
      </c>
      <c r="FN15" t="s">
        <v>244</v>
      </c>
      <c r="FO15" t="s">
        <v>80</v>
      </c>
      <c r="FP15" t="s">
        <v>83</v>
      </c>
      <c r="FQ15" t="s">
        <v>245</v>
      </c>
      <c r="FR15" t="s">
        <v>246</v>
      </c>
      <c r="FS15" t="s">
        <v>247</v>
      </c>
      <c r="FT15" t="s">
        <v>248</v>
      </c>
      <c r="FU15" t="s">
        <v>249</v>
      </c>
      <c r="FV15" t="s">
        <v>250</v>
      </c>
      <c r="FW15" t="s">
        <v>251</v>
      </c>
      <c r="FX15" t="s">
        <v>252</v>
      </c>
      <c r="FY15" t="s">
        <v>253</v>
      </c>
      <c r="FZ15" t="s">
        <v>254</v>
      </c>
      <c r="GA15" t="s">
        <v>255</v>
      </c>
      <c r="GB15" t="s">
        <v>256</v>
      </c>
      <c r="GC15" t="s">
        <v>257</v>
      </c>
      <c r="GD15" t="s">
        <v>258</v>
      </c>
      <c r="GE15" t="s">
        <v>259</v>
      </c>
      <c r="GF15" t="s">
        <v>260</v>
      </c>
      <c r="GG15" t="s">
        <v>261</v>
      </c>
      <c r="GH15" t="s">
        <v>262</v>
      </c>
      <c r="GI15" t="s">
        <v>263</v>
      </c>
      <c r="GJ15" t="s">
        <v>264</v>
      </c>
      <c r="GK15" t="s">
        <v>265</v>
      </c>
      <c r="GL15" t="s">
        <v>266</v>
      </c>
      <c r="GM15" t="s">
        <v>267</v>
      </c>
      <c r="GN15" t="s">
        <v>268</v>
      </c>
      <c r="GO15" t="s">
        <v>269</v>
      </c>
      <c r="GP15" t="s">
        <v>270</v>
      </c>
      <c r="GQ15" t="s">
        <v>271</v>
      </c>
      <c r="GR15" t="s">
        <v>272</v>
      </c>
      <c r="GS15" t="s">
        <v>273</v>
      </c>
      <c r="GT15" t="s">
        <v>274</v>
      </c>
      <c r="GU15" t="s">
        <v>275</v>
      </c>
      <c r="GV15" t="s">
        <v>276</v>
      </c>
      <c r="GW15" t="s">
        <v>277</v>
      </c>
      <c r="GX15" t="s">
        <v>278</v>
      </c>
      <c r="GY15" t="s">
        <v>279</v>
      </c>
      <c r="GZ15" t="s">
        <v>280</v>
      </c>
      <c r="HA15" t="s">
        <v>281</v>
      </c>
      <c r="HB15" t="s">
        <v>282</v>
      </c>
      <c r="HC15" t="s">
        <v>283</v>
      </c>
      <c r="HD15" t="s">
        <v>284</v>
      </c>
      <c r="HE15" t="s">
        <v>285</v>
      </c>
      <c r="HF15" t="s">
        <v>286</v>
      </c>
      <c r="HG15" t="s">
        <v>287</v>
      </c>
      <c r="HH15" t="s">
        <v>288</v>
      </c>
      <c r="HI15" t="s">
        <v>289</v>
      </c>
      <c r="HJ15" t="s">
        <v>290</v>
      </c>
      <c r="HK15" t="s">
        <v>291</v>
      </c>
      <c r="HL15" t="s">
        <v>292</v>
      </c>
      <c r="HM15" t="s">
        <v>293</v>
      </c>
      <c r="HN15" t="s">
        <v>294</v>
      </c>
      <c r="HO15" t="s">
        <v>295</v>
      </c>
      <c r="HP15" t="s">
        <v>296</v>
      </c>
      <c r="HQ15" t="s">
        <v>297</v>
      </c>
      <c r="HR15" t="s">
        <v>298</v>
      </c>
      <c r="HS15" t="s">
        <v>299</v>
      </c>
      <c r="HT15" t="s">
        <v>300</v>
      </c>
      <c r="HU15" t="s">
        <v>301</v>
      </c>
      <c r="HV15" t="s">
        <v>302</v>
      </c>
      <c r="HW15" t="s">
        <v>303</v>
      </c>
      <c r="HX15" t="s">
        <v>304</v>
      </c>
      <c r="HY15" t="s">
        <v>305</v>
      </c>
      <c r="HZ15" t="s">
        <v>306</v>
      </c>
      <c r="IA15" t="s">
        <v>307</v>
      </c>
      <c r="IB15" t="s">
        <v>308</v>
      </c>
      <c r="IC15" t="s">
        <v>309</v>
      </c>
      <c r="ID15" t="s">
        <v>310</v>
      </c>
      <c r="IE15" t="s">
        <v>311</v>
      </c>
      <c r="IF15" t="s">
        <v>312</v>
      </c>
      <c r="IG15" t="s">
        <v>313</v>
      </c>
      <c r="IH15" t="s">
        <v>314</v>
      </c>
      <c r="II15" t="s">
        <v>315</v>
      </c>
      <c r="IJ15" t="s">
        <v>316</v>
      </c>
      <c r="IK15" t="s">
        <v>317</v>
      </c>
      <c r="IL15" t="s">
        <v>318</v>
      </c>
      <c r="IM15" t="s">
        <v>319</v>
      </c>
      <c r="IN15" t="s">
        <v>320</v>
      </c>
      <c r="IO15" t="s">
        <v>321</v>
      </c>
      <c r="IP15" t="s">
        <v>322</v>
      </c>
      <c r="IQ15" t="s">
        <v>323</v>
      </c>
      <c r="IR15" t="s">
        <v>324</v>
      </c>
      <c r="IS15" t="s">
        <v>325</v>
      </c>
      <c r="IT15" t="s">
        <v>326</v>
      </c>
      <c r="IU15" t="s">
        <v>327</v>
      </c>
      <c r="IV15" t="s">
        <v>328</v>
      </c>
      <c r="IW15" t="s">
        <v>329</v>
      </c>
      <c r="IX15" t="s">
        <v>330</v>
      </c>
      <c r="IY15" t="s">
        <v>331</v>
      </c>
      <c r="IZ15" t="s">
        <v>332</v>
      </c>
      <c r="JA15" t="s">
        <v>333</v>
      </c>
      <c r="JB15" t="s">
        <v>334</v>
      </c>
      <c r="JC15" t="s">
        <v>335</v>
      </c>
      <c r="JD15" t="s">
        <v>336</v>
      </c>
      <c r="JE15" t="s">
        <v>337</v>
      </c>
      <c r="JF15" t="s">
        <v>338</v>
      </c>
      <c r="JG15" t="s">
        <v>339</v>
      </c>
      <c r="JH15" t="s">
        <v>340</v>
      </c>
      <c r="JI15" t="s">
        <v>341</v>
      </c>
      <c r="JJ15" t="s">
        <v>342</v>
      </c>
      <c r="JK15" t="s">
        <v>343</v>
      </c>
      <c r="JL15" t="s">
        <v>344</v>
      </c>
      <c r="JM15" t="s">
        <v>345</v>
      </c>
      <c r="JN15" t="s">
        <v>346</v>
      </c>
      <c r="JO15" t="s">
        <v>347</v>
      </c>
      <c r="JP15" t="s">
        <v>348</v>
      </c>
      <c r="JQ15" t="s">
        <v>349</v>
      </c>
      <c r="JR15" t="s">
        <v>350</v>
      </c>
      <c r="JS15" t="s">
        <v>351</v>
      </c>
      <c r="JT15" t="s">
        <v>352</v>
      </c>
      <c r="JU15" t="s">
        <v>353</v>
      </c>
      <c r="JV15" t="s">
        <v>354</v>
      </c>
      <c r="JW15" t="s">
        <v>355</v>
      </c>
      <c r="JX15" t="s">
        <v>356</v>
      </c>
      <c r="JY15" t="s">
        <v>357</v>
      </c>
      <c r="JZ15" t="s">
        <v>358</v>
      </c>
      <c r="KA15" t="s">
        <v>359</v>
      </c>
      <c r="KB15" t="s">
        <v>360</v>
      </c>
      <c r="KC15" t="s">
        <v>361</v>
      </c>
      <c r="KD15" t="s">
        <v>362</v>
      </c>
      <c r="KE15" t="s">
        <v>363</v>
      </c>
      <c r="KF15" t="s">
        <v>364</v>
      </c>
      <c r="KG15" t="s">
        <v>365</v>
      </c>
      <c r="KH15" t="s">
        <v>366</v>
      </c>
      <c r="KI15" t="s">
        <v>367</v>
      </c>
      <c r="KJ15" t="s">
        <v>368</v>
      </c>
    </row>
    <row r="16" spans="1:296" x14ac:dyDescent="0.3">
      <c r="B16" t="s">
        <v>369</v>
      </c>
      <c r="C16" t="s">
        <v>369</v>
      </c>
      <c r="F16" t="s">
        <v>369</v>
      </c>
      <c r="H16" t="s">
        <v>369</v>
      </c>
      <c r="I16" t="s">
        <v>370</v>
      </c>
      <c r="J16" t="s">
        <v>371</v>
      </c>
      <c r="K16" t="s">
        <v>372</v>
      </c>
      <c r="L16" t="s">
        <v>373</v>
      </c>
      <c r="M16" t="s">
        <v>373</v>
      </c>
      <c r="N16" t="s">
        <v>202</v>
      </c>
      <c r="O16" t="s">
        <v>202</v>
      </c>
      <c r="P16" t="s">
        <v>370</v>
      </c>
      <c r="Q16" t="s">
        <v>370</v>
      </c>
      <c r="R16" t="s">
        <v>370</v>
      </c>
      <c r="S16" t="s">
        <v>370</v>
      </c>
      <c r="T16" t="s">
        <v>374</v>
      </c>
      <c r="U16" t="s">
        <v>375</v>
      </c>
      <c r="V16" t="s">
        <v>375</v>
      </c>
      <c r="W16" t="s">
        <v>376</v>
      </c>
      <c r="X16" t="s">
        <v>377</v>
      </c>
      <c r="Y16" t="s">
        <v>376</v>
      </c>
      <c r="Z16" t="s">
        <v>376</v>
      </c>
      <c r="AA16" t="s">
        <v>376</v>
      </c>
      <c r="AB16" t="s">
        <v>374</v>
      </c>
      <c r="AC16" t="s">
        <v>374</v>
      </c>
      <c r="AD16" t="s">
        <v>374</v>
      </c>
      <c r="AE16" t="s">
        <v>374</v>
      </c>
      <c r="AF16" t="s">
        <v>372</v>
      </c>
      <c r="AG16" t="s">
        <v>371</v>
      </c>
      <c r="AH16" t="s">
        <v>372</v>
      </c>
      <c r="AI16" t="s">
        <v>373</v>
      </c>
      <c r="AJ16" t="s">
        <v>373</v>
      </c>
      <c r="AK16" t="s">
        <v>378</v>
      </c>
      <c r="AL16" t="s">
        <v>379</v>
      </c>
      <c r="AM16" t="s">
        <v>371</v>
      </c>
      <c r="AN16" t="s">
        <v>380</v>
      </c>
      <c r="AO16" t="s">
        <v>380</v>
      </c>
      <c r="AP16" t="s">
        <v>381</v>
      </c>
      <c r="AQ16" t="s">
        <v>379</v>
      </c>
      <c r="AR16" t="s">
        <v>382</v>
      </c>
      <c r="AS16" t="s">
        <v>377</v>
      </c>
      <c r="AU16" t="s">
        <v>377</v>
      </c>
      <c r="AV16" t="s">
        <v>382</v>
      </c>
      <c r="BB16" t="s">
        <v>372</v>
      </c>
      <c r="BI16" t="s">
        <v>372</v>
      </c>
      <c r="BJ16" t="s">
        <v>372</v>
      </c>
      <c r="BK16" t="s">
        <v>372</v>
      </c>
      <c r="BL16" t="s">
        <v>383</v>
      </c>
      <c r="BZ16" t="s">
        <v>384</v>
      </c>
      <c r="CB16" t="s">
        <v>384</v>
      </c>
      <c r="CC16" t="s">
        <v>372</v>
      </c>
      <c r="CF16" t="s">
        <v>384</v>
      </c>
      <c r="CG16" t="s">
        <v>377</v>
      </c>
      <c r="CJ16" t="s">
        <v>385</v>
      </c>
      <c r="CK16" t="s">
        <v>385</v>
      </c>
      <c r="CM16" t="s">
        <v>386</v>
      </c>
      <c r="CN16" t="s">
        <v>384</v>
      </c>
      <c r="CP16" t="s">
        <v>384</v>
      </c>
      <c r="CQ16" t="s">
        <v>372</v>
      </c>
      <c r="CU16" t="s">
        <v>384</v>
      </c>
      <c r="CW16" t="s">
        <v>387</v>
      </c>
      <c r="CZ16" t="s">
        <v>384</v>
      </c>
      <c r="DA16" t="s">
        <v>384</v>
      </c>
      <c r="DC16" t="s">
        <v>384</v>
      </c>
      <c r="DE16" t="s">
        <v>384</v>
      </c>
      <c r="DG16" t="s">
        <v>372</v>
      </c>
      <c r="DH16" t="s">
        <v>372</v>
      </c>
      <c r="DJ16" t="s">
        <v>388</v>
      </c>
      <c r="DK16" t="s">
        <v>389</v>
      </c>
      <c r="DN16" t="s">
        <v>370</v>
      </c>
      <c r="DP16" t="s">
        <v>369</v>
      </c>
      <c r="DQ16" t="s">
        <v>373</v>
      </c>
      <c r="DR16" t="s">
        <v>373</v>
      </c>
      <c r="DS16" t="s">
        <v>380</v>
      </c>
      <c r="DT16" t="s">
        <v>380</v>
      </c>
      <c r="DU16" t="s">
        <v>373</v>
      </c>
      <c r="DV16" t="s">
        <v>380</v>
      </c>
      <c r="DW16" t="s">
        <v>382</v>
      </c>
      <c r="DX16" t="s">
        <v>376</v>
      </c>
      <c r="DY16" t="s">
        <v>376</v>
      </c>
      <c r="DZ16" t="s">
        <v>375</v>
      </c>
      <c r="EA16" t="s">
        <v>375</v>
      </c>
      <c r="EB16" t="s">
        <v>375</v>
      </c>
      <c r="EC16" t="s">
        <v>375</v>
      </c>
      <c r="ED16" t="s">
        <v>375</v>
      </c>
      <c r="EE16" t="s">
        <v>390</v>
      </c>
      <c r="EF16" t="s">
        <v>372</v>
      </c>
      <c r="EG16" t="s">
        <v>372</v>
      </c>
      <c r="EH16" t="s">
        <v>373</v>
      </c>
      <c r="EI16" t="s">
        <v>373</v>
      </c>
      <c r="EJ16" t="s">
        <v>373</v>
      </c>
      <c r="EK16" t="s">
        <v>380</v>
      </c>
      <c r="EL16" t="s">
        <v>373</v>
      </c>
      <c r="EM16" t="s">
        <v>380</v>
      </c>
      <c r="EN16" t="s">
        <v>376</v>
      </c>
      <c r="EO16" t="s">
        <v>376</v>
      </c>
      <c r="EP16" t="s">
        <v>375</v>
      </c>
      <c r="EQ16" t="s">
        <v>375</v>
      </c>
      <c r="ER16" t="s">
        <v>372</v>
      </c>
      <c r="EW16" t="s">
        <v>372</v>
      </c>
      <c r="EZ16" t="s">
        <v>375</v>
      </c>
      <c r="FA16" t="s">
        <v>375</v>
      </c>
      <c r="FB16" t="s">
        <v>375</v>
      </c>
      <c r="FC16" t="s">
        <v>375</v>
      </c>
      <c r="FD16" t="s">
        <v>375</v>
      </c>
      <c r="FE16" t="s">
        <v>372</v>
      </c>
      <c r="FF16" t="s">
        <v>372</v>
      </c>
      <c r="FG16" t="s">
        <v>372</v>
      </c>
      <c r="FH16" t="s">
        <v>369</v>
      </c>
      <c r="FK16" t="s">
        <v>391</v>
      </c>
      <c r="FL16" t="s">
        <v>391</v>
      </c>
      <c r="FN16" t="s">
        <v>369</v>
      </c>
      <c r="FO16" t="s">
        <v>392</v>
      </c>
      <c r="FQ16" t="s">
        <v>369</v>
      </c>
      <c r="FR16" t="s">
        <v>369</v>
      </c>
      <c r="FT16" t="s">
        <v>393</v>
      </c>
      <c r="FU16" t="s">
        <v>394</v>
      </c>
      <c r="FV16" t="s">
        <v>393</v>
      </c>
      <c r="FW16" t="s">
        <v>394</v>
      </c>
      <c r="FX16" t="s">
        <v>393</v>
      </c>
      <c r="FY16" t="s">
        <v>394</v>
      </c>
      <c r="FZ16" t="s">
        <v>377</v>
      </c>
      <c r="GA16" t="s">
        <v>377</v>
      </c>
      <c r="GB16" t="s">
        <v>373</v>
      </c>
      <c r="GC16" t="s">
        <v>395</v>
      </c>
      <c r="GD16" t="s">
        <v>373</v>
      </c>
      <c r="GG16" t="s">
        <v>396</v>
      </c>
      <c r="GJ16" t="s">
        <v>380</v>
      </c>
      <c r="GK16" t="s">
        <v>397</v>
      </c>
      <c r="GL16" t="s">
        <v>380</v>
      </c>
      <c r="GQ16" t="s">
        <v>398</v>
      </c>
      <c r="GR16" t="s">
        <v>398</v>
      </c>
      <c r="HE16" t="s">
        <v>398</v>
      </c>
      <c r="HF16" t="s">
        <v>398</v>
      </c>
      <c r="HG16" t="s">
        <v>399</v>
      </c>
      <c r="HH16" t="s">
        <v>399</v>
      </c>
      <c r="HI16" t="s">
        <v>375</v>
      </c>
      <c r="HJ16" t="s">
        <v>375</v>
      </c>
      <c r="HK16" t="s">
        <v>377</v>
      </c>
      <c r="HL16" t="s">
        <v>375</v>
      </c>
      <c r="HM16" t="s">
        <v>380</v>
      </c>
      <c r="HN16" t="s">
        <v>377</v>
      </c>
      <c r="HO16" t="s">
        <v>377</v>
      </c>
      <c r="HQ16" t="s">
        <v>398</v>
      </c>
      <c r="HR16" t="s">
        <v>398</v>
      </c>
      <c r="HS16" t="s">
        <v>398</v>
      </c>
      <c r="HT16" t="s">
        <v>398</v>
      </c>
      <c r="HU16" t="s">
        <v>398</v>
      </c>
      <c r="HV16" t="s">
        <v>398</v>
      </c>
      <c r="HW16" t="s">
        <v>398</v>
      </c>
      <c r="HX16" t="s">
        <v>400</v>
      </c>
      <c r="HY16" t="s">
        <v>400</v>
      </c>
      <c r="HZ16" t="s">
        <v>400</v>
      </c>
      <c r="IA16" t="s">
        <v>401</v>
      </c>
      <c r="IB16" t="s">
        <v>398</v>
      </c>
      <c r="IC16" t="s">
        <v>398</v>
      </c>
      <c r="ID16" t="s">
        <v>398</v>
      </c>
      <c r="IE16" t="s">
        <v>398</v>
      </c>
      <c r="IF16" t="s">
        <v>398</v>
      </c>
      <c r="IG16" t="s">
        <v>398</v>
      </c>
      <c r="IH16" t="s">
        <v>398</v>
      </c>
      <c r="II16" t="s">
        <v>398</v>
      </c>
      <c r="IJ16" t="s">
        <v>398</v>
      </c>
      <c r="IK16" t="s">
        <v>398</v>
      </c>
      <c r="IL16" t="s">
        <v>398</v>
      </c>
      <c r="IM16" t="s">
        <v>398</v>
      </c>
      <c r="IT16" t="s">
        <v>398</v>
      </c>
      <c r="IU16" t="s">
        <v>377</v>
      </c>
      <c r="IV16" t="s">
        <v>377</v>
      </c>
      <c r="IW16" t="s">
        <v>393</v>
      </c>
      <c r="IX16" t="s">
        <v>394</v>
      </c>
      <c r="IY16" t="s">
        <v>393</v>
      </c>
      <c r="JC16" t="s">
        <v>394</v>
      </c>
      <c r="JG16" t="s">
        <v>373</v>
      </c>
      <c r="JH16" t="s">
        <v>373</v>
      </c>
      <c r="JI16" t="s">
        <v>380</v>
      </c>
      <c r="JJ16" t="s">
        <v>380</v>
      </c>
      <c r="JK16" t="s">
        <v>402</v>
      </c>
      <c r="JL16" t="s">
        <v>402</v>
      </c>
      <c r="JM16" t="s">
        <v>398</v>
      </c>
      <c r="JN16" t="s">
        <v>398</v>
      </c>
      <c r="JO16" t="s">
        <v>398</v>
      </c>
      <c r="JP16" t="s">
        <v>398</v>
      </c>
      <c r="JQ16" t="s">
        <v>398</v>
      </c>
      <c r="JR16" t="s">
        <v>398</v>
      </c>
      <c r="JS16" t="s">
        <v>375</v>
      </c>
      <c r="JT16" t="s">
        <v>398</v>
      </c>
      <c r="JV16" t="s">
        <v>382</v>
      </c>
      <c r="JW16" t="s">
        <v>382</v>
      </c>
      <c r="JX16" t="s">
        <v>375</v>
      </c>
      <c r="JY16" t="s">
        <v>375</v>
      </c>
      <c r="JZ16" t="s">
        <v>375</v>
      </c>
      <c r="KA16" t="s">
        <v>375</v>
      </c>
      <c r="KB16" t="s">
        <v>375</v>
      </c>
      <c r="KC16" t="s">
        <v>377</v>
      </c>
      <c r="KD16" t="s">
        <v>377</v>
      </c>
      <c r="KE16" t="s">
        <v>377</v>
      </c>
      <c r="KF16" t="s">
        <v>375</v>
      </c>
      <c r="KG16" t="s">
        <v>373</v>
      </c>
      <c r="KH16" t="s">
        <v>380</v>
      </c>
      <c r="KI16" t="s">
        <v>377</v>
      </c>
      <c r="KJ16" t="s">
        <v>377</v>
      </c>
    </row>
    <row r="17" spans="1:296" x14ac:dyDescent="0.3">
      <c r="A17">
        <v>1</v>
      </c>
      <c r="B17">
        <v>1783526602.5</v>
      </c>
      <c r="C17">
        <v>0</v>
      </c>
      <c r="D17" t="s">
        <v>894</v>
      </c>
      <c r="E17" t="s">
        <v>895</v>
      </c>
      <c r="F17">
        <v>15</v>
      </c>
      <c r="H17">
        <v>1783526594.5</v>
      </c>
      <c r="I17">
        <f t="shared" ref="I17:I29" si="0">(J17)/1000</f>
        <v>5.4035667630928938E-3</v>
      </c>
      <c r="J17">
        <f t="shared" ref="J17:J29" si="1">IF(DO17, AM17, AG17)</f>
        <v>5.4035667630928934</v>
      </c>
      <c r="K17">
        <f t="shared" ref="K17:K29" si="2">IF(DO17, AH17, AF17)</f>
        <v>60.660102081130205</v>
      </c>
      <c r="L17">
        <f t="shared" ref="L17:L29" si="3">DQ17 - IF(AT17&gt;1, K17*DK17*100/(AV17), 0)</f>
        <v>419.67548387096781</v>
      </c>
      <c r="M17">
        <f t="shared" ref="M17:M29" si="4">((S17-I17/2)*L17-K17)/(S17+I17/2)</f>
        <v>123.77946319550531</v>
      </c>
      <c r="N17">
        <f t="shared" ref="N17:N29" si="5">M17*(DX17+DY17)/1000</f>
        <v>12.123465000327263</v>
      </c>
      <c r="O17">
        <f t="shared" ref="O17:O29" si="6">(DQ17 - IF(AT17&gt;1, K17*DK17*100/(AV17), 0))*(DX17+DY17)/1000</f>
        <v>41.104726978569097</v>
      </c>
      <c r="P17">
        <f t="shared" ref="P17:P29" si="7">2/((1/R17-1/Q17)+SIGN(R17)*SQRT((1/R17-1/Q17)*(1/R17-1/Q17) + 4*DL17/((DL17+1)*(DL17+1))*(2*1/R17*1/Q17-1/Q17*1/Q17)))</f>
        <v>0.35548695573720601</v>
      </c>
      <c r="Q17">
        <f t="shared" ref="Q17:Q29" si="8">IF(LEFT(DM17,1)&lt;&gt;"0",IF(LEFT(DM17,1)="1",3,DN17),$D$5+$E$5*(EE17*DX17/($K$5*1000))+$F$5*(EE17*DX17/($K$5*1000))*MAX(MIN(DK17,$J$5),$I$5)*MAX(MIN(DK17,$J$5),$I$5)+$G$5*MAX(MIN(DK17,$J$5),$I$5)*(EE17*DX17/($K$5*1000))+$H$5*(EE17*DX17/($K$5*1000))*(EE17*DX17/($K$5*1000)))</f>
        <v>2.8944100741607262</v>
      </c>
      <c r="R17">
        <f t="shared" ref="R17:R29" si="9">I17*(1000-(1000*0.61365*EXP(17.502*V17/(240.97+V17))/(DX17+DY17)+DS17)/2)/(1000*0.61365*EXP(17.502*V17/(240.97+V17))/(DX17+DY17)-DS17)</f>
        <v>0.33289057755454393</v>
      </c>
      <c r="S17">
        <f t="shared" ref="S17:S29" si="10">1/((DL17+1)/(P17/1.6)+1/(Q17/1.37)) + DL17/((DL17+1)/(P17/1.6) + DL17/(Q17/1.37))</f>
        <v>0.20996699950174652</v>
      </c>
      <c r="T17">
        <f t="shared" ref="T17:T29" si="11">(DG17*DJ17)</f>
        <v>319.77201133632053</v>
      </c>
      <c r="U17">
        <f t="shared" ref="U17:U29" si="12">(DZ17+(T17+2*0.95*0.0000000567*(((DZ17+$B$7)+273)^4-(DZ17+273)^4)-44100*I17)/(1.84*29.3*Q17+8*0.95*0.0000000567*(DZ17+273)^3))</f>
        <v>30.231817849306665</v>
      </c>
      <c r="V17">
        <f t="shared" ref="V17:V29" si="13">($C$7*EA17+$D$7*EB17+$E$7*U17)</f>
        <v>29.969019354838711</v>
      </c>
      <c r="W17">
        <f t="shared" ref="W17:W29" si="14">0.61365*EXP(17.502*V17/(240.97+V17))</f>
        <v>4.2528741661059533</v>
      </c>
      <c r="X17">
        <f t="shared" ref="X17:X29" si="15">(Y17/Z17*100)</f>
        <v>64.769716660493387</v>
      </c>
      <c r="Y17">
        <f t="shared" ref="Y17:Y29" si="16">DS17*(DX17+DY17)/1000</f>
        <v>2.7196099651270322</v>
      </c>
      <c r="Z17">
        <f t="shared" ref="Z17:Z29" si="17">0.61365*EXP(17.502*DZ17/(240.97+DZ17))</f>
        <v>4.1988912494129718</v>
      </c>
      <c r="AA17">
        <f t="shared" ref="AA17:AA29" si="18">(W17-DS17*(DX17+DY17)/1000)</f>
        <v>1.533264200978921</v>
      </c>
      <c r="AB17">
        <f t="shared" ref="AB17:AB29" si="19">(-I17*44100)</f>
        <v>-238.29729425239663</v>
      </c>
      <c r="AC17">
        <f t="shared" ref="AC17:AC29" si="20">2*29.3*Q17*0.92*(DZ17-V17)</f>
        <v>-34.667817801791358</v>
      </c>
      <c r="AD17">
        <f t="shared" ref="AD17:AD29" si="21">2*0.95*0.0000000567*(((DZ17+$B$7)+273)^4-(V17+273)^4)</f>
        <v>-2.6594668617737924</v>
      </c>
      <c r="AE17">
        <f t="shared" ref="AE17:AE29" si="22">T17+AD17+AB17+AC17</f>
        <v>44.14743242035874</v>
      </c>
      <c r="AF17">
        <f t="shared" ref="AF17:AF29" si="23">DW17*AT17*(DR17-DQ17*(1000-AT17*DT17)/(1000-AT17*DS17))/(100*DK17)</f>
        <v>60.660102081130205</v>
      </c>
      <c r="AG17">
        <f t="shared" ref="AG17:AG29" si="24">1000*DW17*AT17*(DS17-DT17)/(100*DK17*(1000-AT17*DS17))</f>
        <v>5.4035667630928934</v>
      </c>
      <c r="AH17">
        <f t="shared" ref="AH17:AH29" si="25">(AI17 - AJ17 - DX17*1000/(8.314*(DZ17+273.15)) * AL17/DW17 * AK17) * DW17/(100*DK17) * (1000 - DT17)/1000</f>
        <v>60.553197122204821</v>
      </c>
      <c r="AI17">
        <v>506.34175980458338</v>
      </c>
      <c r="AJ17">
        <v>431.86911515151502</v>
      </c>
      <c r="AK17">
        <v>4.1144512775922938E-2</v>
      </c>
      <c r="AL17">
        <v>66.996298855037807</v>
      </c>
      <c r="AM17">
        <f t="shared" ref="AM17:AM29" si="26">(AO17 - AN17 + DX17*1000/(8.314*(DZ17+273.15)) * AQ17/DW17 * AP17) * DW17/(100*DK17) * 1000/(1000 - AO17)</f>
        <v>5.5194184782286646</v>
      </c>
      <c r="AN17">
        <v>21.49235031296136</v>
      </c>
      <c r="AO17">
        <v>27.91239696969696</v>
      </c>
      <c r="AP17">
        <v>3.0362324917901219E-3</v>
      </c>
      <c r="AQ17">
        <v>78.146654091898</v>
      </c>
      <c r="AR17">
        <v>0</v>
      </c>
      <c r="AS17">
        <v>0</v>
      </c>
      <c r="AT17">
        <f t="shared" ref="AT17:AT29" si="27">IF(AR17*$H$13&gt;=AV17,1,(AV17/(AV17-AR17*$H$13)))</f>
        <v>1</v>
      </c>
      <c r="AU17">
        <f t="shared" ref="AU17:AU29" si="28">(AT17-1)*100</f>
        <v>0</v>
      </c>
      <c r="AV17">
        <f t="shared" ref="AV17:AV29" si="29">MAX(0,($B$13+$C$13*EE17)/(1+$D$13*EE17)*DX17/(DZ17+273)*$E$13)</f>
        <v>51352.336594189896</v>
      </c>
      <c r="AW17" t="s">
        <v>896</v>
      </c>
      <c r="AX17">
        <v>5088.1000000000004</v>
      </c>
      <c r="AY17">
        <v>575.46470588235297</v>
      </c>
      <c r="AZ17">
        <v>2514.35</v>
      </c>
      <c r="BA17">
        <f t="shared" ref="BA17:BA29" si="30">1-AY17/AZ17</f>
        <v>0.77112784382351185</v>
      </c>
      <c r="BB17">
        <v>-4.3047851237252033</v>
      </c>
      <c r="BC17" t="s">
        <v>897</v>
      </c>
      <c r="BD17">
        <v>5073.8100000000004</v>
      </c>
      <c r="BE17">
        <v>729.23858823529417</v>
      </c>
      <c r="BF17">
        <v>901.66</v>
      </c>
      <c r="BG17">
        <f t="shared" ref="BG17:BG29" si="31">1-BE17/BF17</f>
        <v>0.19122663949238716</v>
      </c>
      <c r="BH17">
        <v>0.5</v>
      </c>
      <c r="BI17">
        <f t="shared" ref="BI17:BI29" si="32">DH17</f>
        <v>1680.2714611303011</v>
      </c>
      <c r="BJ17">
        <f t="shared" ref="BJ17:BJ29" si="33">K17</f>
        <v>60.660102081130205</v>
      </c>
      <c r="BK17">
        <f t="shared" ref="BK17:BK29" si="34">BG17*BH17*BI17</f>
        <v>160.65633247345536</v>
      </c>
      <c r="BL17">
        <f t="shared" ref="BL17:BL29" si="35">(BJ17-BB17)/BI17</f>
        <v>3.8663328341692012E-2</v>
      </c>
      <c r="BM17">
        <f t="shared" ref="BM17:BM29" si="36">(AZ17-BF17)/BF17</f>
        <v>1.7885788434664953</v>
      </c>
      <c r="BN17">
        <f t="shared" ref="BN17:BN29" si="37">AY17/(BA17+AY17/BF17)</f>
        <v>408.31752104205924</v>
      </c>
      <c r="BO17" t="s">
        <v>407</v>
      </c>
      <c r="BP17">
        <v>0</v>
      </c>
      <c r="BQ17">
        <f t="shared" ref="BQ17:BQ29" si="38">IF(BP17&lt;&gt;0, BP17, BN17)</f>
        <v>408.31752104205924</v>
      </c>
      <c r="BR17">
        <f t="shared" ref="BR17:BR29" si="39">1-BQ17/BF17</f>
        <v>0.54714912379160741</v>
      </c>
      <c r="BS17">
        <f t="shared" ref="BS17:BS29" si="40">(BF17-BE17)/(BF17-BQ17)</f>
        <v>0.34949638257159965</v>
      </c>
      <c r="BT17">
        <f t="shared" ref="BT17:BT29" si="41">(AZ17-BF17)/(AZ17-BQ17)</f>
        <v>0.76574792464642083</v>
      </c>
      <c r="BU17">
        <f t="shared" ref="BU17:BU29" si="42">(BF17-BE17)/(BF17-AY17)</f>
        <v>0.52858338202303912</v>
      </c>
      <c r="BV17">
        <f t="shared" ref="BV17:BV29" si="43">(AZ17-BF17)/(AZ17-AY17)</f>
        <v>0.83176142750306814</v>
      </c>
      <c r="BW17">
        <f t="shared" ref="BW17:BW29" si="44">(BS17*BQ17/BE17)</f>
        <v>0.19569109321290845</v>
      </c>
      <c r="BX17">
        <f t="shared" ref="BX17:BX29" si="45">(1-BW17)</f>
        <v>0.80430890678709155</v>
      </c>
      <c r="DG17">
        <f t="shared" ref="DG17:DG29" si="46">$B$11*EF17+$C$11*EG17+$F$11*ER17*(1-EU17)</f>
        <v>1999.9670967741929</v>
      </c>
      <c r="DH17">
        <f t="shared" ref="DH17:DH29" si="47">DG17*DI17</f>
        <v>1680.2714611303011</v>
      </c>
      <c r="DI17">
        <f t="shared" ref="DI17:DI29" si="48">($B$11*$D$9+$C$11*$D$9+$F$11*((FE17+EW17)/MAX(FE17+EW17+FF17, 0.1)*$I$9+FF17/MAX(FE17+EW17+FF17, 0.1)*$J$9))/($B$11+$C$11+$F$11)</f>
        <v>0.84014955238036737</v>
      </c>
      <c r="DJ17">
        <f t="shared" ref="DJ17:DJ29" si="49">($B$11*$K$9+$C$11*$K$9+$F$11*((FE17+EW17)/MAX(FE17+EW17+FF17, 0.1)*$P$9+FF17/MAX(FE17+EW17+FF17, 0.1)*$Q$9))/($B$11+$C$11+$F$11)</f>
        <v>0.15988863609410897</v>
      </c>
      <c r="DK17">
        <v>6</v>
      </c>
      <c r="DL17">
        <v>0.5</v>
      </c>
      <c r="DM17" t="s">
        <v>408</v>
      </c>
      <c r="DN17">
        <v>2</v>
      </c>
      <c r="DO17" t="b">
        <v>0</v>
      </c>
      <c r="DP17">
        <v>1783526594.5</v>
      </c>
      <c r="DQ17">
        <v>419.67548387096781</v>
      </c>
      <c r="DR17">
        <v>495.18964516129029</v>
      </c>
      <c r="DS17">
        <v>27.766967741935481</v>
      </c>
      <c r="DT17">
        <v>21.462674193548391</v>
      </c>
      <c r="DU17">
        <v>425.1477096774193</v>
      </c>
      <c r="DV17">
        <v>28.20796774193548</v>
      </c>
      <c r="DW17">
        <v>499.99506451612899</v>
      </c>
      <c r="DX17">
        <v>97.89192580645161</v>
      </c>
      <c r="DY17">
        <v>5.214898064516129E-2</v>
      </c>
      <c r="DZ17">
        <v>29.746851612903221</v>
      </c>
      <c r="EA17">
        <v>29.969019354838711</v>
      </c>
      <c r="EB17">
        <v>999.90000000000032</v>
      </c>
      <c r="EC17">
        <v>0</v>
      </c>
      <c r="ED17">
        <v>0</v>
      </c>
      <c r="EE17">
        <v>10012.096774193549</v>
      </c>
      <c r="EF17">
        <v>0</v>
      </c>
      <c r="EG17">
        <v>1266.3589354838709</v>
      </c>
      <c r="EH17">
        <v>-75.514158064516138</v>
      </c>
      <c r="EI17">
        <v>431.71970967741942</v>
      </c>
      <c r="EJ17">
        <v>506.05093548387089</v>
      </c>
      <c r="EK17">
        <v>6.4358145161290317</v>
      </c>
      <c r="EL17">
        <v>495.18964516129029</v>
      </c>
      <c r="EM17">
        <v>21.462674193548391</v>
      </c>
      <c r="EN17">
        <v>2.731035806451612</v>
      </c>
      <c r="EO17">
        <v>2.1010225806451621</v>
      </c>
      <c r="EP17">
        <v>22.47306129032258</v>
      </c>
      <c r="EQ17">
        <v>18.226906451612901</v>
      </c>
      <c r="ER17">
        <v>1999.9670967741929</v>
      </c>
      <c r="ES17">
        <v>0.9950044516129033</v>
      </c>
      <c r="ET17">
        <v>4.995588064516129E-3</v>
      </c>
      <c r="EU17">
        <v>0</v>
      </c>
      <c r="EV17">
        <v>729.10093548387113</v>
      </c>
      <c r="EW17">
        <v>5.0010700000000003</v>
      </c>
      <c r="EX17">
        <v>19439.061290322581</v>
      </c>
      <c r="EY17">
        <v>18241.374193548389</v>
      </c>
      <c r="EZ17">
        <v>44.507999999999988</v>
      </c>
      <c r="FA17">
        <v>46.40499999999998</v>
      </c>
      <c r="FB17">
        <v>45.186999999999969</v>
      </c>
      <c r="FC17">
        <v>45.753999999999998</v>
      </c>
      <c r="FD17">
        <v>45.686999999999969</v>
      </c>
      <c r="FE17">
        <v>1984.997096774194</v>
      </c>
      <c r="FF17">
        <v>9.970000000000006</v>
      </c>
      <c r="FG17">
        <v>0</v>
      </c>
      <c r="FH17">
        <v>1949.3000001907351</v>
      </c>
      <c r="FI17">
        <v>0</v>
      </c>
      <c r="FJ17">
        <v>729.23858823529417</v>
      </c>
      <c r="FK17">
        <v>2.2134804253500699</v>
      </c>
      <c r="FL17">
        <v>310.83333629247471</v>
      </c>
      <c r="FM17">
        <v>19437.635294117641</v>
      </c>
      <c r="FN17">
        <v>10</v>
      </c>
      <c r="FO17">
        <v>1783526637</v>
      </c>
      <c r="FP17" t="s">
        <v>898</v>
      </c>
      <c r="FQ17">
        <v>1783524596.0999999</v>
      </c>
      <c r="FR17">
        <v>1783526636.5</v>
      </c>
      <c r="FS17">
        <v>14</v>
      </c>
      <c r="FT17">
        <v>-4.7E-2</v>
      </c>
      <c r="FU17">
        <v>4.4999999999999998E-2</v>
      </c>
      <c r="FV17">
        <v>-5.5190000000000001</v>
      </c>
      <c r="FW17">
        <v>-0.441</v>
      </c>
      <c r="FX17">
        <v>415</v>
      </c>
      <c r="FY17">
        <v>22</v>
      </c>
      <c r="FZ17">
        <v>1.1200000000000001</v>
      </c>
      <c r="GA17">
        <v>0.04</v>
      </c>
      <c r="GB17">
        <v>419.67548387096781</v>
      </c>
      <c r="GC17">
        <v>0.30367741935273129</v>
      </c>
      <c r="GD17">
        <v>7.0911062409982059E-2</v>
      </c>
      <c r="GE17">
        <v>-1</v>
      </c>
      <c r="GF17">
        <v>728.9824705882354</v>
      </c>
      <c r="GG17">
        <v>2.6694270427753</v>
      </c>
      <c r="GH17">
        <v>0.34764376926880042</v>
      </c>
      <c r="GI17">
        <v>1</v>
      </c>
      <c r="GJ17">
        <v>6.4610780487804904</v>
      </c>
      <c r="GK17">
        <v>-0.50670857142857861</v>
      </c>
      <c r="GL17">
        <v>5.6537099506279817E-2</v>
      </c>
      <c r="GM17">
        <v>0</v>
      </c>
      <c r="GN17">
        <v>1</v>
      </c>
      <c r="GO17">
        <v>2</v>
      </c>
      <c r="GP17" t="s">
        <v>410</v>
      </c>
      <c r="GQ17">
        <v>3.1308500000000001</v>
      </c>
      <c r="GR17">
        <v>2.7290700000000001</v>
      </c>
      <c r="GS17">
        <v>9.07776E-2</v>
      </c>
      <c r="GT17">
        <v>0.10244499999999999</v>
      </c>
      <c r="GU17">
        <v>0.12468</v>
      </c>
      <c r="GV17">
        <v>0.103198</v>
      </c>
      <c r="GW17">
        <v>22694.6</v>
      </c>
      <c r="GX17">
        <v>30060.400000000001</v>
      </c>
      <c r="GY17">
        <v>27089.9</v>
      </c>
      <c r="GZ17">
        <v>34460.699999999997</v>
      </c>
      <c r="HA17">
        <v>34754.9</v>
      </c>
      <c r="HB17">
        <v>39253.300000000003</v>
      </c>
      <c r="HC17">
        <v>40014.800000000003</v>
      </c>
      <c r="HD17">
        <v>43844.2</v>
      </c>
      <c r="HE17">
        <v>1.9226000000000001</v>
      </c>
      <c r="HF17">
        <v>1.615</v>
      </c>
      <c r="HG17">
        <v>-7.4505799999999997E-2</v>
      </c>
      <c r="HH17">
        <v>0</v>
      </c>
      <c r="HI17">
        <v>31.185600000000001</v>
      </c>
      <c r="HJ17">
        <v>999.9</v>
      </c>
      <c r="HK17">
        <v>50.5</v>
      </c>
      <c r="HL17">
        <v>43.2</v>
      </c>
      <c r="HM17">
        <v>45.290199999999999</v>
      </c>
      <c r="HN17">
        <v>60.045099999999998</v>
      </c>
      <c r="HO17">
        <v>7.7484000000000002</v>
      </c>
      <c r="HP17">
        <v>1</v>
      </c>
      <c r="HQ17">
        <v>0.80414600000000003</v>
      </c>
      <c r="HR17">
        <v>4.5267999999999997</v>
      </c>
      <c r="HS17">
        <v>20.167899999999999</v>
      </c>
      <c r="HT17">
        <v>5.2112999999999996</v>
      </c>
      <c r="HU17">
        <v>11.914099999999999</v>
      </c>
      <c r="HV17">
        <v>4.984</v>
      </c>
      <c r="HW17">
        <v>3.2709999999999999</v>
      </c>
      <c r="HX17">
        <v>9999</v>
      </c>
      <c r="HY17">
        <v>9999</v>
      </c>
      <c r="HZ17">
        <v>9999</v>
      </c>
      <c r="IA17">
        <v>999.9</v>
      </c>
      <c r="IB17">
        <v>1.8678300000000001</v>
      </c>
      <c r="IC17">
        <v>1.8636200000000001</v>
      </c>
      <c r="ID17">
        <v>1.8631</v>
      </c>
      <c r="IE17">
        <v>1.8626400000000001</v>
      </c>
      <c r="IF17">
        <v>1.8626400000000001</v>
      </c>
      <c r="IG17">
        <v>1.8631</v>
      </c>
      <c r="IH17">
        <v>1.8640099999999999</v>
      </c>
      <c r="II17">
        <v>1.8620300000000001</v>
      </c>
      <c r="IJ17">
        <v>0</v>
      </c>
      <c r="IK17">
        <v>0</v>
      </c>
      <c r="IL17">
        <v>0</v>
      </c>
      <c r="IM17">
        <v>4.5</v>
      </c>
      <c r="IN17" t="s">
        <v>411</v>
      </c>
      <c r="IO17" t="s">
        <v>412</v>
      </c>
      <c r="IP17" t="s">
        <v>413</v>
      </c>
      <c r="IQ17" t="s">
        <v>414</v>
      </c>
      <c r="IR17" t="s">
        <v>414</v>
      </c>
      <c r="IS17" t="s">
        <v>413</v>
      </c>
      <c r="IT17">
        <v>0</v>
      </c>
      <c r="IU17">
        <v>100</v>
      </c>
      <c r="IV17">
        <v>100</v>
      </c>
      <c r="IW17">
        <v>-5.4729999999999999</v>
      </c>
      <c r="IX17">
        <v>-0.441</v>
      </c>
      <c r="IY17">
        <v>-5.47223809523814</v>
      </c>
      <c r="IZ17">
        <v>0</v>
      </c>
      <c r="JA17">
        <v>0</v>
      </c>
      <c r="JB17">
        <v>0</v>
      </c>
      <c r="JC17">
        <v>-0.8222413170717493</v>
      </c>
      <c r="JD17">
        <v>2.7492919904454862E-4</v>
      </c>
      <c r="JE17">
        <v>8.6739513355948885E-4</v>
      </c>
      <c r="JF17">
        <v>-8.2500691715147318E-6</v>
      </c>
      <c r="JG17">
        <v>-1</v>
      </c>
      <c r="JH17">
        <v>-1</v>
      </c>
      <c r="JI17">
        <v>2</v>
      </c>
      <c r="JJ17">
        <v>37</v>
      </c>
      <c r="JK17">
        <v>33.4</v>
      </c>
      <c r="JL17">
        <v>33.5</v>
      </c>
      <c r="JM17">
        <v>1.2060500000000001</v>
      </c>
      <c r="JN17">
        <v>2.5659200000000002</v>
      </c>
      <c r="JO17">
        <v>1.50024</v>
      </c>
      <c r="JP17">
        <v>2.2705099999999998</v>
      </c>
      <c r="JQ17">
        <v>1.4477500000000001</v>
      </c>
      <c r="JR17">
        <v>2.47925</v>
      </c>
      <c r="JS17">
        <v>49.738</v>
      </c>
      <c r="JT17">
        <v>23.842300000000002</v>
      </c>
      <c r="JU17">
        <v>18</v>
      </c>
      <c r="JV17">
        <v>537.70699999999999</v>
      </c>
      <c r="JW17">
        <v>356.69900000000001</v>
      </c>
      <c r="JX17">
        <v>25.761700000000001</v>
      </c>
      <c r="JY17">
        <v>36.927799999999998</v>
      </c>
      <c r="JZ17">
        <v>29.999300000000002</v>
      </c>
      <c r="KA17">
        <v>37.124899999999997</v>
      </c>
      <c r="KB17">
        <v>37.319899999999997</v>
      </c>
      <c r="KC17">
        <v>24.135300000000001</v>
      </c>
      <c r="KD17">
        <v>53.302700000000002</v>
      </c>
      <c r="KE17">
        <v>0</v>
      </c>
      <c r="KF17">
        <v>25.770600000000002</v>
      </c>
      <c r="KG17">
        <v>495.50799999999998</v>
      </c>
      <c r="KH17">
        <v>21.497599999999998</v>
      </c>
      <c r="KI17">
        <v>99.996200000000002</v>
      </c>
      <c r="KJ17">
        <v>98.524299999999997</v>
      </c>
    </row>
    <row r="18" spans="1:296" x14ac:dyDescent="0.3">
      <c r="A18">
        <v>2</v>
      </c>
      <c r="B18">
        <v>1783526818</v>
      </c>
      <c r="C18">
        <v>215.5</v>
      </c>
      <c r="D18" t="s">
        <v>899</v>
      </c>
      <c r="E18" t="s">
        <v>900</v>
      </c>
      <c r="F18">
        <v>15</v>
      </c>
      <c r="H18">
        <v>1783526810</v>
      </c>
      <c r="I18">
        <f t="shared" si="0"/>
        <v>5.4254851030926879E-3</v>
      </c>
      <c r="J18">
        <f t="shared" si="1"/>
        <v>5.4254851030926883</v>
      </c>
      <c r="K18">
        <f t="shared" si="2"/>
        <v>60.040425754025335</v>
      </c>
      <c r="L18">
        <f t="shared" si="3"/>
        <v>420.01535483870958</v>
      </c>
      <c r="M18">
        <f t="shared" si="4"/>
        <v>133.65157659885182</v>
      </c>
      <c r="N18">
        <f t="shared" si="5"/>
        <v>13.090144788329921</v>
      </c>
      <c r="O18">
        <f t="shared" si="6"/>
        <v>41.1372761030917</v>
      </c>
      <c r="P18">
        <f t="shared" si="7"/>
        <v>0.36436768367649208</v>
      </c>
      <c r="Q18">
        <f t="shared" si="8"/>
        <v>2.8923082158618865</v>
      </c>
      <c r="R18">
        <f t="shared" si="9"/>
        <v>0.34065254910581683</v>
      </c>
      <c r="S18">
        <f t="shared" si="10"/>
        <v>0.21490979751905748</v>
      </c>
      <c r="T18">
        <f t="shared" si="11"/>
        <v>271.91081169352901</v>
      </c>
      <c r="U18">
        <f t="shared" si="12"/>
        <v>30.051916135286845</v>
      </c>
      <c r="V18">
        <f t="shared" si="13"/>
        <v>29.970696774193549</v>
      </c>
      <c r="W18">
        <f t="shared" si="14"/>
        <v>4.2532840397273501</v>
      </c>
      <c r="X18">
        <f t="shared" si="15"/>
        <v>65.057812360159204</v>
      </c>
      <c r="Y18">
        <f t="shared" si="16"/>
        <v>2.7491450456313111</v>
      </c>
      <c r="Z18">
        <f t="shared" si="17"/>
        <v>4.2256954943582787</v>
      </c>
      <c r="AA18">
        <f t="shared" si="18"/>
        <v>1.504138994096039</v>
      </c>
      <c r="AB18">
        <f t="shared" si="19"/>
        <v>-239.26389304638752</v>
      </c>
      <c r="AC18">
        <f t="shared" si="20"/>
        <v>-17.654810647120165</v>
      </c>
      <c r="AD18">
        <f t="shared" si="21"/>
        <v>-1.356088775047124</v>
      </c>
      <c r="AE18">
        <f t="shared" si="22"/>
        <v>13.636019224974213</v>
      </c>
      <c r="AF18">
        <f t="shared" si="23"/>
        <v>60.040425754025335</v>
      </c>
      <c r="AG18">
        <f t="shared" si="24"/>
        <v>5.4254851030926883</v>
      </c>
      <c r="AH18">
        <f t="shared" si="25"/>
        <v>59.974166403424</v>
      </c>
      <c r="AI18">
        <v>505.67720234826737</v>
      </c>
      <c r="AJ18">
        <v>432.08355151515161</v>
      </c>
      <c r="AK18">
        <v>5.0075563958622889E-3</v>
      </c>
      <c r="AL18">
        <v>67.044018621338822</v>
      </c>
      <c r="AM18">
        <f t="shared" si="26"/>
        <v>5.3690901078629674</v>
      </c>
      <c r="AN18">
        <v>21.77828140796537</v>
      </c>
      <c r="AO18">
        <v>28.044126666666649</v>
      </c>
      <c r="AP18">
        <v>-6.0618315018440847E-4</v>
      </c>
      <c r="AQ18">
        <v>78.55</v>
      </c>
      <c r="AR18">
        <v>0</v>
      </c>
      <c r="AS18">
        <v>0</v>
      </c>
      <c r="AT18">
        <f t="shared" si="27"/>
        <v>1</v>
      </c>
      <c r="AU18">
        <f t="shared" si="28"/>
        <v>0</v>
      </c>
      <c r="AV18">
        <f t="shared" si="29"/>
        <v>51274.19707301943</v>
      </c>
      <c r="AW18" t="s">
        <v>896</v>
      </c>
      <c r="AX18">
        <v>5088.1000000000004</v>
      </c>
      <c r="AY18">
        <v>575.46470588235297</v>
      </c>
      <c r="AZ18">
        <v>2514.35</v>
      </c>
      <c r="BA18">
        <f t="shared" si="30"/>
        <v>0.77112784382351185</v>
      </c>
      <c r="BB18">
        <v>-4.3047851237252033</v>
      </c>
      <c r="BC18" t="s">
        <v>901</v>
      </c>
      <c r="BD18">
        <v>5074.75</v>
      </c>
      <c r="BE18">
        <v>742.24223529411768</v>
      </c>
      <c r="BF18">
        <v>982.92</v>
      </c>
      <c r="BG18">
        <f t="shared" si="31"/>
        <v>0.24485997304549945</v>
      </c>
      <c r="BH18">
        <v>0.5</v>
      </c>
      <c r="BI18">
        <f t="shared" si="32"/>
        <v>1428.3127159368103</v>
      </c>
      <c r="BJ18">
        <f t="shared" si="33"/>
        <v>60.040425754025335</v>
      </c>
      <c r="BK18">
        <f t="shared" si="34"/>
        <v>174.86830656241574</v>
      </c>
      <c r="BL18">
        <f t="shared" si="35"/>
        <v>4.5049806082239775E-2</v>
      </c>
      <c r="BM18">
        <f t="shared" si="36"/>
        <v>1.5580413461929759</v>
      </c>
      <c r="BN18">
        <f t="shared" si="37"/>
        <v>424.1987171710897</v>
      </c>
      <c r="BO18" t="s">
        <v>407</v>
      </c>
      <c r="BP18">
        <v>0</v>
      </c>
      <c r="BQ18">
        <f t="shared" si="38"/>
        <v>424.1987171710897</v>
      </c>
      <c r="BR18">
        <f t="shared" si="39"/>
        <v>0.56843006839713328</v>
      </c>
      <c r="BS18">
        <f t="shared" si="40"/>
        <v>0.43076534240343556</v>
      </c>
      <c r="BT18">
        <f t="shared" si="41"/>
        <v>0.73268859176896017</v>
      </c>
      <c r="BU18">
        <f t="shared" si="42"/>
        <v>0.5906850841810144</v>
      </c>
      <c r="BV18">
        <f t="shared" si="43"/>
        <v>0.78985074807993072</v>
      </c>
      <c r="BW18">
        <f t="shared" si="44"/>
        <v>0.24618661800738775</v>
      </c>
      <c r="BX18">
        <f t="shared" si="45"/>
        <v>0.75381338199261227</v>
      </c>
      <c r="DG18">
        <f t="shared" si="46"/>
        <v>1700.0087096774189</v>
      </c>
      <c r="DH18">
        <f t="shared" si="47"/>
        <v>1428.3127159368103</v>
      </c>
      <c r="DI18">
        <f t="shared" si="48"/>
        <v>0.84017964602536443</v>
      </c>
      <c r="DJ18">
        <f t="shared" si="49"/>
        <v>0.15994671682895364</v>
      </c>
      <c r="DK18">
        <v>6</v>
      </c>
      <c r="DL18">
        <v>0.5</v>
      </c>
      <c r="DM18" t="s">
        <v>408</v>
      </c>
      <c r="DN18">
        <v>2</v>
      </c>
      <c r="DO18" t="b">
        <v>0</v>
      </c>
      <c r="DP18">
        <v>1783526810</v>
      </c>
      <c r="DQ18">
        <v>420.01535483870958</v>
      </c>
      <c r="DR18">
        <v>494.79748387096782</v>
      </c>
      <c r="DS18">
        <v>28.069022580645161</v>
      </c>
      <c r="DT18">
        <v>21.741264516129039</v>
      </c>
      <c r="DU18">
        <v>425.89122580645159</v>
      </c>
      <c r="DV18">
        <v>28.373596774193551</v>
      </c>
      <c r="DW18">
        <v>500.0061935483871</v>
      </c>
      <c r="DX18">
        <v>97.890596774193526</v>
      </c>
      <c r="DY18">
        <v>5.1718022580645152E-2</v>
      </c>
      <c r="DZ18">
        <v>29.857474193548381</v>
      </c>
      <c r="EA18">
        <v>29.970696774193549</v>
      </c>
      <c r="EB18">
        <v>999.90000000000032</v>
      </c>
      <c r="EC18">
        <v>0</v>
      </c>
      <c r="ED18">
        <v>0</v>
      </c>
      <c r="EE18">
        <v>10000.16129032258</v>
      </c>
      <c r="EF18">
        <v>0</v>
      </c>
      <c r="EG18">
        <v>1135.335161290322</v>
      </c>
      <c r="EH18">
        <v>-74.782180645161276</v>
      </c>
      <c r="EI18">
        <v>432.14522580645149</v>
      </c>
      <c r="EJ18">
        <v>505.79403225806459</v>
      </c>
      <c r="EK18">
        <v>6.3277506451612906</v>
      </c>
      <c r="EL18">
        <v>494.79748387096782</v>
      </c>
      <c r="EM18">
        <v>21.741264516129039</v>
      </c>
      <c r="EN18">
        <v>2.7476916129032261</v>
      </c>
      <c r="EO18">
        <v>2.128265483870968</v>
      </c>
      <c r="EP18">
        <v>22.573151612903221</v>
      </c>
      <c r="EQ18">
        <v>18.432296774193549</v>
      </c>
      <c r="ER18">
        <v>1700.0087096774189</v>
      </c>
      <c r="ES18">
        <v>0.99399403225806471</v>
      </c>
      <c r="ET18">
        <v>6.005815806451615E-3</v>
      </c>
      <c r="EU18">
        <v>0</v>
      </c>
      <c r="EV18">
        <v>742.22487096774182</v>
      </c>
      <c r="EW18">
        <v>5.0010700000000003</v>
      </c>
      <c r="EX18">
        <v>16816.664516129029</v>
      </c>
      <c r="EY18">
        <v>15492.56451612903</v>
      </c>
      <c r="EZ18">
        <v>44.551999999999971</v>
      </c>
      <c r="FA18">
        <v>46.561999999999969</v>
      </c>
      <c r="FB18">
        <v>45.430999999999983</v>
      </c>
      <c r="FC18">
        <v>45.928999999999981</v>
      </c>
      <c r="FD18">
        <v>45.811999999999969</v>
      </c>
      <c r="FE18">
        <v>1684.82870967742</v>
      </c>
      <c r="FF18">
        <v>10.18</v>
      </c>
      <c r="FG18">
        <v>0</v>
      </c>
      <c r="FH18">
        <v>215</v>
      </c>
      <c r="FI18">
        <v>0</v>
      </c>
      <c r="FJ18">
        <v>742.24223529411768</v>
      </c>
      <c r="FK18">
        <v>-4.7499999888686171</v>
      </c>
      <c r="FL18">
        <v>1406.2009821119</v>
      </c>
      <c r="FM18">
        <v>16886.68235294117</v>
      </c>
      <c r="FN18">
        <v>10</v>
      </c>
      <c r="FO18">
        <v>1783526710.5</v>
      </c>
      <c r="FP18" t="s">
        <v>902</v>
      </c>
      <c r="FQ18">
        <v>1783526705.5</v>
      </c>
      <c r="FR18">
        <v>1783526710</v>
      </c>
      <c r="FS18">
        <v>15</v>
      </c>
      <c r="FT18">
        <v>-0.40300000000000002</v>
      </c>
      <c r="FU18">
        <v>4.3999999999999997E-2</v>
      </c>
      <c r="FV18">
        <v>-5.8760000000000003</v>
      </c>
      <c r="FW18">
        <v>-0.437</v>
      </c>
      <c r="FX18">
        <v>495</v>
      </c>
      <c r="FY18">
        <v>22</v>
      </c>
      <c r="FZ18">
        <v>0.11</v>
      </c>
      <c r="GA18">
        <v>0.03</v>
      </c>
      <c r="GB18">
        <v>420.01839999999987</v>
      </c>
      <c r="GC18">
        <v>-0.74712347052314065</v>
      </c>
      <c r="GD18">
        <v>8.228673445134628E-2</v>
      </c>
      <c r="GE18">
        <v>-1</v>
      </c>
      <c r="GF18">
        <v>742.16270588235295</v>
      </c>
      <c r="GG18">
        <v>1.673949579065664</v>
      </c>
      <c r="GH18">
        <v>0.31538674012670592</v>
      </c>
      <c r="GI18">
        <v>1</v>
      </c>
      <c r="GJ18">
        <v>6.3359907500000006</v>
      </c>
      <c r="GK18">
        <v>-0.27979103189493842</v>
      </c>
      <c r="GL18">
        <v>6.1804616429013533E-2</v>
      </c>
      <c r="GM18">
        <v>1</v>
      </c>
      <c r="GN18">
        <v>2</v>
      </c>
      <c r="GO18">
        <v>2</v>
      </c>
      <c r="GP18" t="s">
        <v>423</v>
      </c>
      <c r="GQ18">
        <v>3.1314199999999999</v>
      </c>
      <c r="GR18">
        <v>2.7267600000000001</v>
      </c>
      <c r="GS18">
        <v>9.0914900000000007E-2</v>
      </c>
      <c r="GT18">
        <v>0.10241</v>
      </c>
      <c r="GU18">
        <v>0.12509500000000001</v>
      </c>
      <c r="GV18">
        <v>0.104183</v>
      </c>
      <c r="GW18">
        <v>22695.8</v>
      </c>
      <c r="GX18">
        <v>30070</v>
      </c>
      <c r="GY18">
        <v>27094.5</v>
      </c>
      <c r="GZ18">
        <v>34469.1</v>
      </c>
      <c r="HA18">
        <v>34743</v>
      </c>
      <c r="HB18">
        <v>39216.9</v>
      </c>
      <c r="HC18">
        <v>40021.1</v>
      </c>
      <c r="HD18">
        <v>43852</v>
      </c>
      <c r="HE18">
        <v>1.923</v>
      </c>
      <c r="HF18">
        <v>1.613</v>
      </c>
      <c r="HG18">
        <v>-7.5459499999999999E-2</v>
      </c>
      <c r="HH18">
        <v>0</v>
      </c>
      <c r="HI18">
        <v>31.202000000000002</v>
      </c>
      <c r="HJ18">
        <v>999.9</v>
      </c>
      <c r="HK18">
        <v>49.6</v>
      </c>
      <c r="HL18">
        <v>43.8</v>
      </c>
      <c r="HM18">
        <v>45.892800000000001</v>
      </c>
      <c r="HN18">
        <v>60.015099999999997</v>
      </c>
      <c r="HO18">
        <v>8.0448699999999995</v>
      </c>
      <c r="HP18">
        <v>1</v>
      </c>
      <c r="HQ18">
        <v>0.78845500000000002</v>
      </c>
      <c r="HR18">
        <v>4.3620000000000001</v>
      </c>
      <c r="HS18">
        <v>20.1737</v>
      </c>
      <c r="HT18">
        <v>5.2112999999999996</v>
      </c>
      <c r="HU18">
        <v>11.914099999999999</v>
      </c>
      <c r="HV18">
        <v>4.9832000000000001</v>
      </c>
      <c r="HW18">
        <v>3.2709999999999999</v>
      </c>
      <c r="HX18">
        <v>9999</v>
      </c>
      <c r="HY18">
        <v>9999</v>
      </c>
      <c r="HZ18">
        <v>9999</v>
      </c>
      <c r="IA18">
        <v>999.9</v>
      </c>
      <c r="IB18">
        <v>1.8678300000000001</v>
      </c>
      <c r="IC18">
        <v>1.86365</v>
      </c>
      <c r="ID18">
        <v>1.8631</v>
      </c>
      <c r="IE18">
        <v>1.8627</v>
      </c>
      <c r="IF18">
        <v>1.8626400000000001</v>
      </c>
      <c r="IG18">
        <v>1.8631</v>
      </c>
      <c r="IH18">
        <v>1.8641099999999999</v>
      </c>
      <c r="II18">
        <v>1.8620300000000001</v>
      </c>
      <c r="IJ18">
        <v>0</v>
      </c>
      <c r="IK18">
        <v>0</v>
      </c>
      <c r="IL18">
        <v>0</v>
      </c>
      <c r="IM18">
        <v>4.5</v>
      </c>
      <c r="IN18" t="s">
        <v>411</v>
      </c>
      <c r="IO18" t="s">
        <v>412</v>
      </c>
      <c r="IP18" t="s">
        <v>413</v>
      </c>
      <c r="IQ18" t="s">
        <v>414</v>
      </c>
      <c r="IR18" t="s">
        <v>414</v>
      </c>
      <c r="IS18" t="s">
        <v>413</v>
      </c>
      <c r="IT18">
        <v>0</v>
      </c>
      <c r="IU18">
        <v>100</v>
      </c>
      <c r="IV18">
        <v>100</v>
      </c>
      <c r="IW18">
        <v>-5.8760000000000003</v>
      </c>
      <c r="IX18">
        <v>-0.3054</v>
      </c>
      <c r="IY18">
        <v>-5.8758571428569439</v>
      </c>
      <c r="IZ18">
        <v>0</v>
      </c>
      <c r="JA18">
        <v>0</v>
      </c>
      <c r="JB18">
        <v>0</v>
      </c>
      <c r="JC18">
        <v>-0.8222413170717493</v>
      </c>
      <c r="JD18">
        <v>2.7492919904454862E-4</v>
      </c>
      <c r="JE18">
        <v>8.6739513355948885E-4</v>
      </c>
      <c r="JF18">
        <v>-8.2500691715147318E-6</v>
      </c>
      <c r="JG18">
        <v>-1</v>
      </c>
      <c r="JH18">
        <v>-1</v>
      </c>
      <c r="JI18">
        <v>2</v>
      </c>
      <c r="JJ18">
        <v>37</v>
      </c>
      <c r="JK18">
        <v>1.9</v>
      </c>
      <c r="JL18">
        <v>1.8</v>
      </c>
      <c r="JM18">
        <v>1.2048300000000001</v>
      </c>
      <c r="JN18">
        <v>2.5793499999999998</v>
      </c>
      <c r="JO18">
        <v>1.50024</v>
      </c>
      <c r="JP18">
        <v>2.2717299999999998</v>
      </c>
      <c r="JQ18">
        <v>1.4477500000000001</v>
      </c>
      <c r="JR18">
        <v>2.3132299999999999</v>
      </c>
      <c r="JS18">
        <v>50.836399999999998</v>
      </c>
      <c r="JT18">
        <v>23.8248</v>
      </c>
      <c r="JU18">
        <v>18</v>
      </c>
      <c r="JV18">
        <v>536.94200000000001</v>
      </c>
      <c r="JW18">
        <v>354.96899999999999</v>
      </c>
      <c r="JX18">
        <v>25.9299</v>
      </c>
      <c r="JY18">
        <v>36.7378</v>
      </c>
      <c r="JZ18">
        <v>29.999199999999998</v>
      </c>
      <c r="KA18">
        <v>36.991700000000002</v>
      </c>
      <c r="KB18">
        <v>37.196300000000001</v>
      </c>
      <c r="KC18">
        <v>24.0974</v>
      </c>
      <c r="KD18">
        <v>53.108199999999997</v>
      </c>
      <c r="KE18">
        <v>0</v>
      </c>
      <c r="KF18">
        <v>25.938500000000001</v>
      </c>
      <c r="KG18">
        <v>494.80399999999997</v>
      </c>
      <c r="KH18">
        <v>21.855599999999999</v>
      </c>
      <c r="KI18">
        <v>100.01300000000001</v>
      </c>
      <c r="KJ18">
        <v>98.544600000000003</v>
      </c>
    </row>
    <row r="19" spans="1:296" x14ac:dyDescent="0.3">
      <c r="A19">
        <v>3</v>
      </c>
      <c r="B19">
        <v>1783527000.5</v>
      </c>
      <c r="C19">
        <v>398</v>
      </c>
      <c r="D19" t="s">
        <v>903</v>
      </c>
      <c r="E19" t="s">
        <v>904</v>
      </c>
      <c r="F19">
        <v>15</v>
      </c>
      <c r="H19">
        <v>1783526992.5</v>
      </c>
      <c r="I19">
        <f t="shared" si="0"/>
        <v>5.3990997245443838E-3</v>
      </c>
      <c r="J19">
        <f t="shared" si="1"/>
        <v>5.3990997245443841</v>
      </c>
      <c r="K19">
        <f t="shared" si="2"/>
        <v>60.351957639659751</v>
      </c>
      <c r="L19">
        <f t="shared" si="3"/>
        <v>419.83203225806449</v>
      </c>
      <c r="M19">
        <f t="shared" si="4"/>
        <v>131.42879981628246</v>
      </c>
      <c r="N19">
        <f t="shared" si="5"/>
        <v>12.872735764983281</v>
      </c>
      <c r="O19">
        <f t="shared" si="6"/>
        <v>41.120263020650839</v>
      </c>
      <c r="P19">
        <f t="shared" si="7"/>
        <v>0.36346282980019468</v>
      </c>
      <c r="Q19">
        <f t="shared" si="8"/>
        <v>2.8962838552614723</v>
      </c>
      <c r="R19">
        <f t="shared" si="9"/>
        <v>0.3398913874829253</v>
      </c>
      <c r="S19">
        <f t="shared" si="10"/>
        <v>0.21442240164712909</v>
      </c>
      <c r="T19">
        <f t="shared" si="11"/>
        <v>255.91056336670437</v>
      </c>
      <c r="U19">
        <f t="shared" si="12"/>
        <v>30.001270436306324</v>
      </c>
      <c r="V19">
        <f t="shared" si="13"/>
        <v>29.993703225806449</v>
      </c>
      <c r="W19">
        <f t="shared" si="14"/>
        <v>4.258909089181798</v>
      </c>
      <c r="X19">
        <f t="shared" si="15"/>
        <v>65.144798456396245</v>
      </c>
      <c r="Y19">
        <f t="shared" si="16"/>
        <v>2.7588189114335302</v>
      </c>
      <c r="Z19">
        <f t="shared" si="17"/>
        <v>4.2349028269388338</v>
      </c>
      <c r="AA19">
        <f t="shared" si="18"/>
        <v>1.5000901777482678</v>
      </c>
      <c r="AB19">
        <f t="shared" si="19"/>
        <v>-238.10029785240732</v>
      </c>
      <c r="AC19">
        <f t="shared" si="20"/>
        <v>-15.360081166037931</v>
      </c>
      <c r="AD19">
        <f t="shared" si="21"/>
        <v>-1.1785632627001088</v>
      </c>
      <c r="AE19">
        <f t="shared" si="22"/>
        <v>1.2716210855590173</v>
      </c>
      <c r="AF19">
        <f t="shared" si="23"/>
        <v>60.351957639659751</v>
      </c>
      <c r="AG19">
        <f t="shared" si="24"/>
        <v>5.3990997245443841</v>
      </c>
      <c r="AH19">
        <f t="shared" si="25"/>
        <v>60.427411884900216</v>
      </c>
      <c r="AI19">
        <v>506.09122787840562</v>
      </c>
      <c r="AJ19">
        <v>431.98038787878772</v>
      </c>
      <c r="AK19">
        <v>-4.2620563736494076E-3</v>
      </c>
      <c r="AL19">
        <v>67.040748718067178</v>
      </c>
      <c r="AM19">
        <f t="shared" si="26"/>
        <v>5.3945079858625453</v>
      </c>
      <c r="AN19">
        <v>22.023486641731608</v>
      </c>
      <c r="AO19">
        <v>28.221793939393919</v>
      </c>
      <c r="AP19">
        <v>1.5122961038958851E-2</v>
      </c>
      <c r="AQ19">
        <v>78.55</v>
      </c>
      <c r="AR19">
        <v>0</v>
      </c>
      <c r="AS19">
        <v>0</v>
      </c>
      <c r="AT19">
        <f t="shared" si="27"/>
        <v>1</v>
      </c>
      <c r="AU19">
        <f t="shared" si="28"/>
        <v>0</v>
      </c>
      <c r="AV19">
        <f t="shared" si="29"/>
        <v>51380.084430194314</v>
      </c>
      <c r="AW19" t="s">
        <v>896</v>
      </c>
      <c r="AX19">
        <v>5088.1000000000004</v>
      </c>
      <c r="AY19">
        <v>575.46470588235297</v>
      </c>
      <c r="AZ19">
        <v>2514.35</v>
      </c>
      <c r="BA19">
        <f t="shared" si="30"/>
        <v>0.77112784382351185</v>
      </c>
      <c r="BB19">
        <v>-4.3047851237252033</v>
      </c>
      <c r="BC19" t="s">
        <v>905</v>
      </c>
      <c r="BD19">
        <v>5074.75</v>
      </c>
      <c r="BE19">
        <v>750.55923529411768</v>
      </c>
      <c r="BF19">
        <v>1029.3699999999999</v>
      </c>
      <c r="BG19">
        <f t="shared" si="31"/>
        <v>0.27085573186112111</v>
      </c>
      <c r="BH19">
        <v>0.5</v>
      </c>
      <c r="BI19">
        <f t="shared" si="32"/>
        <v>1344.2657226202209</v>
      </c>
      <c r="BJ19">
        <f t="shared" si="33"/>
        <v>60.351957639659751</v>
      </c>
      <c r="BK19">
        <f t="shared" si="34"/>
        <v>182.05103805805939</v>
      </c>
      <c r="BL19">
        <f t="shared" si="35"/>
        <v>4.8098186002509299E-2</v>
      </c>
      <c r="BM19">
        <f t="shared" si="36"/>
        <v>1.4426105287700246</v>
      </c>
      <c r="BN19">
        <f t="shared" si="37"/>
        <v>432.62383202420904</v>
      </c>
      <c r="BO19" t="s">
        <v>407</v>
      </c>
      <c r="BP19">
        <v>0</v>
      </c>
      <c r="BQ19">
        <f t="shared" si="38"/>
        <v>432.62383202420904</v>
      </c>
      <c r="BR19">
        <f t="shared" si="39"/>
        <v>0.57971979752255354</v>
      </c>
      <c r="BS19">
        <f t="shared" si="40"/>
        <v>0.46721835793538463</v>
      </c>
      <c r="BT19">
        <f t="shared" si="41"/>
        <v>0.71334069910066555</v>
      </c>
      <c r="BU19">
        <f t="shared" si="42"/>
        <v>0.61424876140267648</v>
      </c>
      <c r="BV19">
        <f t="shared" si="43"/>
        <v>0.76589368360534638</v>
      </c>
      <c r="BW19">
        <f t="shared" si="44"/>
        <v>0.26930558828292489</v>
      </c>
      <c r="BX19">
        <f t="shared" si="45"/>
        <v>0.73069441171707505</v>
      </c>
      <c r="DG19">
        <f t="shared" si="46"/>
        <v>1599.9741935483869</v>
      </c>
      <c r="DH19">
        <f t="shared" si="47"/>
        <v>1344.2657226202209</v>
      </c>
      <c r="DI19">
        <f t="shared" si="48"/>
        <v>0.84017962792195955</v>
      </c>
      <c r="DJ19">
        <f t="shared" si="49"/>
        <v>0.15994668188938202</v>
      </c>
      <c r="DK19">
        <v>6</v>
      </c>
      <c r="DL19">
        <v>0.5</v>
      </c>
      <c r="DM19" t="s">
        <v>408</v>
      </c>
      <c r="DN19">
        <v>2</v>
      </c>
      <c r="DO19" t="b">
        <v>0</v>
      </c>
      <c r="DP19">
        <v>1783526992.5</v>
      </c>
      <c r="DQ19">
        <v>419.83203225806449</v>
      </c>
      <c r="DR19">
        <v>494.97319354838709</v>
      </c>
      <c r="DS19">
        <v>28.16714838709677</v>
      </c>
      <c r="DT19">
        <v>21.870825806451609</v>
      </c>
      <c r="DU19">
        <v>425.66325806451613</v>
      </c>
      <c r="DV19">
        <v>28.468916129032259</v>
      </c>
      <c r="DW19">
        <v>500.00829032258059</v>
      </c>
      <c r="DX19">
        <v>97.891564516129037</v>
      </c>
      <c r="DY19">
        <v>5.2993929032258059E-2</v>
      </c>
      <c r="DZ19">
        <v>29.895332258064521</v>
      </c>
      <c r="EA19">
        <v>29.993703225806449</v>
      </c>
      <c r="EB19">
        <v>999.90000000000032</v>
      </c>
      <c r="EC19">
        <v>0</v>
      </c>
      <c r="ED19">
        <v>0</v>
      </c>
      <c r="EE19">
        <v>10022.903225806451</v>
      </c>
      <c r="EF19">
        <v>0</v>
      </c>
      <c r="EG19">
        <v>1583.1332258064519</v>
      </c>
      <c r="EH19">
        <v>-75.14116451612901</v>
      </c>
      <c r="EI19">
        <v>432.00012903225809</v>
      </c>
      <c r="EJ19">
        <v>506.04067741935478</v>
      </c>
      <c r="EK19">
        <v>6.2963177419354848</v>
      </c>
      <c r="EL19">
        <v>494.97319354838709</v>
      </c>
      <c r="EM19">
        <v>21.870825806451609</v>
      </c>
      <c r="EN19">
        <v>2.7573261290322582</v>
      </c>
      <c r="EO19">
        <v>2.1409699999999998</v>
      </c>
      <c r="EP19">
        <v>22.630803225806449</v>
      </c>
      <c r="EQ19">
        <v>18.527096774193549</v>
      </c>
      <c r="ER19">
        <v>1599.9741935483869</v>
      </c>
      <c r="ES19">
        <v>0.9939914193548387</v>
      </c>
      <c r="ET19">
        <v>6.0086854838709691E-3</v>
      </c>
      <c r="EU19">
        <v>0</v>
      </c>
      <c r="EV19">
        <v>750.51874193548406</v>
      </c>
      <c r="EW19">
        <v>5.0010700000000003</v>
      </c>
      <c r="EX19">
        <v>17088.13870967742</v>
      </c>
      <c r="EY19">
        <v>14578.21612903226</v>
      </c>
      <c r="EZ19">
        <v>44.436999999999969</v>
      </c>
      <c r="FA19">
        <v>46.561999999999969</v>
      </c>
      <c r="FB19">
        <v>45.375</v>
      </c>
      <c r="FC19">
        <v>45.92499999999999</v>
      </c>
      <c r="FD19">
        <v>45.741870967741939</v>
      </c>
      <c r="FE19">
        <v>1585.392903225807</v>
      </c>
      <c r="FF19">
        <v>9.5799999999999983</v>
      </c>
      <c r="FG19">
        <v>0</v>
      </c>
      <c r="FH19">
        <v>182.20000004768369</v>
      </c>
      <c r="FI19">
        <v>0</v>
      </c>
      <c r="FJ19">
        <v>750.55923529411768</v>
      </c>
      <c r="FK19">
        <v>-0.62426471893889901</v>
      </c>
      <c r="FL19">
        <v>834.82842918472807</v>
      </c>
      <c r="FM19">
        <v>17133.947058823531</v>
      </c>
      <c r="FN19">
        <v>10</v>
      </c>
      <c r="FO19">
        <v>1783526913</v>
      </c>
      <c r="FP19" t="s">
        <v>906</v>
      </c>
      <c r="FQ19">
        <v>1783526910</v>
      </c>
      <c r="FR19">
        <v>1783526912.5</v>
      </c>
      <c r="FS19">
        <v>16</v>
      </c>
      <c r="FT19">
        <v>4.4999999999999998E-2</v>
      </c>
      <c r="FU19">
        <v>3.7999999999999999E-2</v>
      </c>
      <c r="FV19">
        <v>-5.8310000000000004</v>
      </c>
      <c r="FW19">
        <v>-0.438</v>
      </c>
      <c r="FX19">
        <v>495</v>
      </c>
      <c r="FY19">
        <v>22</v>
      </c>
      <c r="FZ19">
        <v>0.13</v>
      </c>
      <c r="GA19">
        <v>0.05</v>
      </c>
      <c r="GB19">
        <v>419.83203225806449</v>
      </c>
      <c r="GC19">
        <v>0.23491935483724441</v>
      </c>
      <c r="GD19">
        <v>8.2876699659876041E-2</v>
      </c>
      <c r="GE19">
        <v>-1</v>
      </c>
      <c r="GF19">
        <v>750.43052941176472</v>
      </c>
      <c r="GG19">
        <v>1.880000002589729</v>
      </c>
      <c r="GH19">
        <v>0.37196309393889782</v>
      </c>
      <c r="GI19">
        <v>1</v>
      </c>
      <c r="GJ19">
        <v>6.285520731707317</v>
      </c>
      <c r="GK19">
        <v>-0.47626494773517608</v>
      </c>
      <c r="GL19">
        <v>0.112201918778216</v>
      </c>
      <c r="GM19">
        <v>1</v>
      </c>
      <c r="GN19">
        <v>2</v>
      </c>
      <c r="GO19">
        <v>2</v>
      </c>
      <c r="GP19" t="s">
        <v>423</v>
      </c>
      <c r="GQ19">
        <v>3.1311800000000001</v>
      </c>
      <c r="GR19">
        <v>2.72966</v>
      </c>
      <c r="GS19">
        <v>9.0887200000000001E-2</v>
      </c>
      <c r="GT19">
        <v>0.102435</v>
      </c>
      <c r="GU19">
        <v>0.12570600000000001</v>
      </c>
      <c r="GV19">
        <v>0.105091</v>
      </c>
      <c r="GW19">
        <v>22700.3</v>
      </c>
      <c r="GX19">
        <v>30074.7</v>
      </c>
      <c r="GY19">
        <v>27098.5</v>
      </c>
      <c r="GZ19">
        <v>34474.699999999997</v>
      </c>
      <c r="HA19">
        <v>34724.300000000003</v>
      </c>
      <c r="HB19">
        <v>39182.5</v>
      </c>
      <c r="HC19">
        <v>40028.1</v>
      </c>
      <c r="HD19">
        <v>43858.1</v>
      </c>
      <c r="HE19">
        <v>1.9252</v>
      </c>
      <c r="HF19">
        <v>1.6106</v>
      </c>
      <c r="HG19">
        <v>-7.8380099999999994E-2</v>
      </c>
      <c r="HH19">
        <v>0</v>
      </c>
      <c r="HI19">
        <v>31.2622</v>
      </c>
      <c r="HJ19">
        <v>999.9</v>
      </c>
      <c r="HK19">
        <v>48.8</v>
      </c>
      <c r="HL19">
        <v>44.4</v>
      </c>
      <c r="HM19">
        <v>46.585099999999997</v>
      </c>
      <c r="HN19">
        <v>60.205100000000002</v>
      </c>
      <c r="HO19">
        <v>8.0368600000000008</v>
      </c>
      <c r="HP19">
        <v>1</v>
      </c>
      <c r="HQ19">
        <v>0.77843499999999999</v>
      </c>
      <c r="HR19">
        <v>4.1798000000000002</v>
      </c>
      <c r="HS19">
        <v>20.178699999999999</v>
      </c>
      <c r="HT19">
        <v>5.2112999999999996</v>
      </c>
      <c r="HU19">
        <v>11.914099999999999</v>
      </c>
      <c r="HV19">
        <v>4.984</v>
      </c>
      <c r="HW19">
        <v>3.2707999999999999</v>
      </c>
      <c r="HX19">
        <v>9999</v>
      </c>
      <c r="HY19">
        <v>9999</v>
      </c>
      <c r="HZ19">
        <v>9999</v>
      </c>
      <c r="IA19">
        <v>999.9</v>
      </c>
      <c r="IB19">
        <v>1.8678300000000001</v>
      </c>
      <c r="IC19">
        <v>1.8635600000000001</v>
      </c>
      <c r="ID19">
        <v>1.86304</v>
      </c>
      <c r="IE19">
        <v>1.8626400000000001</v>
      </c>
      <c r="IF19">
        <v>1.8626100000000001</v>
      </c>
      <c r="IG19">
        <v>1.86307</v>
      </c>
      <c r="IH19">
        <v>1.8640099999999999</v>
      </c>
      <c r="II19">
        <v>1.8619399999999999</v>
      </c>
      <c r="IJ19">
        <v>0</v>
      </c>
      <c r="IK19">
        <v>0</v>
      </c>
      <c r="IL19">
        <v>0</v>
      </c>
      <c r="IM19">
        <v>4.5</v>
      </c>
      <c r="IN19" t="s">
        <v>411</v>
      </c>
      <c r="IO19" t="s">
        <v>412</v>
      </c>
      <c r="IP19" t="s">
        <v>413</v>
      </c>
      <c r="IQ19" t="s">
        <v>414</v>
      </c>
      <c r="IR19" t="s">
        <v>414</v>
      </c>
      <c r="IS19" t="s">
        <v>413</v>
      </c>
      <c r="IT19">
        <v>0</v>
      </c>
      <c r="IU19">
        <v>100</v>
      </c>
      <c r="IV19">
        <v>100</v>
      </c>
      <c r="IW19">
        <v>-5.8310000000000004</v>
      </c>
      <c r="IX19">
        <v>-0.29980000000000001</v>
      </c>
      <c r="IY19">
        <v>-5.8312857142856274</v>
      </c>
      <c r="IZ19">
        <v>0</v>
      </c>
      <c r="JA19">
        <v>0</v>
      </c>
      <c r="JB19">
        <v>0</v>
      </c>
      <c r="JC19">
        <v>-0.8222413170717493</v>
      </c>
      <c r="JD19">
        <v>2.7492919904454862E-4</v>
      </c>
      <c r="JE19">
        <v>8.6739513355948885E-4</v>
      </c>
      <c r="JF19">
        <v>-8.2500691715147318E-6</v>
      </c>
      <c r="JG19">
        <v>-1</v>
      </c>
      <c r="JH19">
        <v>-1</v>
      </c>
      <c r="JI19">
        <v>2</v>
      </c>
      <c r="JJ19">
        <v>37</v>
      </c>
      <c r="JK19">
        <v>1.5</v>
      </c>
      <c r="JL19">
        <v>1.5</v>
      </c>
      <c r="JM19">
        <v>1.2048300000000001</v>
      </c>
      <c r="JN19">
        <v>2.5854499999999998</v>
      </c>
      <c r="JO19">
        <v>1.50024</v>
      </c>
      <c r="JP19">
        <v>2.2717299999999998</v>
      </c>
      <c r="JQ19">
        <v>1.4477500000000001</v>
      </c>
      <c r="JR19">
        <v>2.3974600000000001</v>
      </c>
      <c r="JS19">
        <v>51.431399999999996</v>
      </c>
      <c r="JT19">
        <v>23.903600000000001</v>
      </c>
      <c r="JU19">
        <v>18</v>
      </c>
      <c r="JV19">
        <v>537.654</v>
      </c>
      <c r="JW19">
        <v>353.19400000000002</v>
      </c>
      <c r="JX19">
        <v>25.778500000000001</v>
      </c>
      <c r="JY19">
        <v>36.627899999999997</v>
      </c>
      <c r="JZ19">
        <v>29.9971</v>
      </c>
      <c r="KA19">
        <v>36.8932</v>
      </c>
      <c r="KB19">
        <v>37.106400000000001</v>
      </c>
      <c r="KC19">
        <v>24.108699999999999</v>
      </c>
      <c r="KD19">
        <v>53.558300000000003</v>
      </c>
      <c r="KE19">
        <v>0</v>
      </c>
      <c r="KF19">
        <v>25.8139</v>
      </c>
      <c r="KG19">
        <v>495.25700000000001</v>
      </c>
      <c r="KH19">
        <v>21.846699999999998</v>
      </c>
      <c r="KI19">
        <v>100.029</v>
      </c>
      <c r="KJ19">
        <v>98.559299999999993</v>
      </c>
    </row>
    <row r="20" spans="1:296" x14ac:dyDescent="0.3">
      <c r="A20">
        <v>4</v>
      </c>
      <c r="B20">
        <v>1783527183</v>
      </c>
      <c r="C20">
        <v>580.5</v>
      </c>
      <c r="D20" t="s">
        <v>907</v>
      </c>
      <c r="E20" t="s">
        <v>908</v>
      </c>
      <c r="F20">
        <v>15</v>
      </c>
      <c r="H20">
        <v>1783527175</v>
      </c>
      <c r="I20">
        <f t="shared" si="0"/>
        <v>5.3795863475046262E-3</v>
      </c>
      <c r="J20">
        <f t="shared" si="1"/>
        <v>5.3795863475046266</v>
      </c>
      <c r="K20">
        <f t="shared" si="2"/>
        <v>57.61287377212016</v>
      </c>
      <c r="L20">
        <f t="shared" si="3"/>
        <v>420.06193548387103</v>
      </c>
      <c r="M20">
        <f t="shared" si="4"/>
        <v>143.00939301975592</v>
      </c>
      <c r="N20">
        <f t="shared" si="5"/>
        <v>14.006736331950847</v>
      </c>
      <c r="O20">
        <f t="shared" si="6"/>
        <v>41.142030248311947</v>
      </c>
      <c r="P20">
        <f t="shared" si="7"/>
        <v>0.36168872772277449</v>
      </c>
      <c r="Q20">
        <f t="shared" si="8"/>
        <v>2.8918821113140836</v>
      </c>
      <c r="R20">
        <f t="shared" si="9"/>
        <v>0.3383058292992121</v>
      </c>
      <c r="S20">
        <f t="shared" si="10"/>
        <v>0.21341590538019797</v>
      </c>
      <c r="T20">
        <f t="shared" si="11"/>
        <v>224.00767776165276</v>
      </c>
      <c r="U20">
        <f t="shared" si="12"/>
        <v>29.855178014425633</v>
      </c>
      <c r="V20">
        <f t="shared" si="13"/>
        <v>29.99201935483871</v>
      </c>
      <c r="W20">
        <f t="shared" si="14"/>
        <v>4.2584971649948082</v>
      </c>
      <c r="X20">
        <f t="shared" si="15"/>
        <v>64.953408009328029</v>
      </c>
      <c r="Y20">
        <f t="shared" si="16"/>
        <v>2.7568327925172533</v>
      </c>
      <c r="Z20">
        <f t="shared" si="17"/>
        <v>4.2443235497686924</v>
      </c>
      <c r="AA20">
        <f t="shared" si="18"/>
        <v>1.5016643724775549</v>
      </c>
      <c r="AB20">
        <f t="shared" si="19"/>
        <v>-237.23975792495401</v>
      </c>
      <c r="AC20">
        <f t="shared" si="20"/>
        <v>-9.046638016620042</v>
      </c>
      <c r="AD20">
        <f t="shared" si="21"/>
        <v>-0.69532308084381955</v>
      </c>
      <c r="AE20">
        <f t="shared" si="22"/>
        <v>-22.974041260765112</v>
      </c>
      <c r="AF20">
        <f t="shared" si="23"/>
        <v>57.61287377212016</v>
      </c>
      <c r="AG20">
        <f t="shared" si="24"/>
        <v>5.3795863475046266</v>
      </c>
      <c r="AH20">
        <f t="shared" si="25"/>
        <v>57.595434501355122</v>
      </c>
      <c r="AI20">
        <v>503.02718718882909</v>
      </c>
      <c r="AJ20">
        <v>432.21787272727261</v>
      </c>
      <c r="AK20">
        <v>2.7141958121974879E-2</v>
      </c>
      <c r="AL20">
        <v>67.037048076518175</v>
      </c>
      <c r="AM20">
        <f t="shared" si="26"/>
        <v>5.3466586636100502</v>
      </c>
      <c r="AN20">
        <v>21.87877875813853</v>
      </c>
      <c r="AO20">
        <v>28.136964848484851</v>
      </c>
      <c r="AP20">
        <v>-3.6089350649318131E-3</v>
      </c>
      <c r="AQ20">
        <v>78.55</v>
      </c>
      <c r="AR20">
        <v>0</v>
      </c>
      <c r="AS20">
        <v>0</v>
      </c>
      <c r="AT20">
        <f t="shared" si="27"/>
        <v>1</v>
      </c>
      <c r="AU20">
        <f t="shared" si="28"/>
        <v>0</v>
      </c>
      <c r="AV20">
        <f t="shared" si="29"/>
        <v>51249.21352128563</v>
      </c>
      <c r="AW20" t="s">
        <v>896</v>
      </c>
      <c r="AX20">
        <v>5088.1000000000004</v>
      </c>
      <c r="AY20">
        <v>575.46470588235297</v>
      </c>
      <c r="AZ20">
        <v>2514.35</v>
      </c>
      <c r="BA20">
        <f t="shared" si="30"/>
        <v>0.77112784382351185</v>
      </c>
      <c r="BB20">
        <v>-4.3047851237252033</v>
      </c>
      <c r="BC20" t="s">
        <v>909</v>
      </c>
      <c r="BD20">
        <v>5076.74</v>
      </c>
      <c r="BE20">
        <v>757.60541176470599</v>
      </c>
      <c r="BF20">
        <v>1106.6600000000001</v>
      </c>
      <c r="BG20">
        <f t="shared" si="31"/>
        <v>0.31541267257811256</v>
      </c>
      <c r="BH20">
        <v>0.5</v>
      </c>
      <c r="BI20">
        <f t="shared" si="32"/>
        <v>1176.3063481633167</v>
      </c>
      <c r="BJ20">
        <f t="shared" si="33"/>
        <v>57.61287377212016</v>
      </c>
      <c r="BK20">
        <f t="shared" si="34"/>
        <v>185.51096452239574</v>
      </c>
      <c r="BL20">
        <f t="shared" si="35"/>
        <v>5.2637358450478074E-2</v>
      </c>
      <c r="BM20">
        <f t="shared" si="36"/>
        <v>1.2720166988957762</v>
      </c>
      <c r="BN20">
        <f t="shared" si="37"/>
        <v>445.70652096321589</v>
      </c>
      <c r="BO20" t="s">
        <v>407</v>
      </c>
      <c r="BP20">
        <v>0</v>
      </c>
      <c r="BQ20">
        <f t="shared" si="38"/>
        <v>445.70652096321589</v>
      </c>
      <c r="BR20">
        <f t="shared" si="39"/>
        <v>0.59725071750744052</v>
      </c>
      <c r="BS20">
        <f t="shared" si="40"/>
        <v>0.52810764948839628</v>
      </c>
      <c r="BT20">
        <f t="shared" si="41"/>
        <v>0.68048941940225394</v>
      </c>
      <c r="BU20">
        <f t="shared" si="42"/>
        <v>0.65711159737417935</v>
      </c>
      <c r="BV20">
        <f t="shared" si="43"/>
        <v>0.72603057244838975</v>
      </c>
      <c r="BW20">
        <f t="shared" si="44"/>
        <v>0.31069078902070757</v>
      </c>
      <c r="BX20">
        <f t="shared" si="45"/>
        <v>0.68930921097929243</v>
      </c>
      <c r="DG20">
        <f t="shared" si="46"/>
        <v>1400.016129032258</v>
      </c>
      <c r="DH20">
        <f t="shared" si="47"/>
        <v>1176.3063481633167</v>
      </c>
      <c r="DI20">
        <f t="shared" si="48"/>
        <v>0.84020914028784954</v>
      </c>
      <c r="DJ20">
        <f t="shared" si="49"/>
        <v>0.16000364075554971</v>
      </c>
      <c r="DK20">
        <v>6</v>
      </c>
      <c r="DL20">
        <v>0.5</v>
      </c>
      <c r="DM20" t="s">
        <v>408</v>
      </c>
      <c r="DN20">
        <v>2</v>
      </c>
      <c r="DO20" t="b">
        <v>0</v>
      </c>
      <c r="DP20">
        <v>1783527175</v>
      </c>
      <c r="DQ20">
        <v>420.06193548387103</v>
      </c>
      <c r="DR20">
        <v>491.91709677419362</v>
      </c>
      <c r="DS20">
        <v>28.14738387096774</v>
      </c>
      <c r="DT20">
        <v>21.872887096774189</v>
      </c>
      <c r="DU20">
        <v>425.92332258064511</v>
      </c>
      <c r="DV20">
        <v>28.449716129032261</v>
      </c>
      <c r="DW20">
        <v>499.94432258064512</v>
      </c>
      <c r="DX20">
        <v>97.890335483870956</v>
      </c>
      <c r="DY20">
        <v>5.2436219354838713E-2</v>
      </c>
      <c r="DZ20">
        <v>29.9339935483871</v>
      </c>
      <c r="EA20">
        <v>29.99201935483871</v>
      </c>
      <c r="EB20">
        <v>999.90000000000032</v>
      </c>
      <c r="EC20">
        <v>0</v>
      </c>
      <c r="ED20">
        <v>0</v>
      </c>
      <c r="EE20">
        <v>9997.7419354838712</v>
      </c>
      <c r="EF20">
        <v>0</v>
      </c>
      <c r="EG20">
        <v>1677.1845161290321</v>
      </c>
      <c r="EH20">
        <v>-71.855125806451625</v>
      </c>
      <c r="EI20">
        <v>432.228064516129</v>
      </c>
      <c r="EJ20">
        <v>502.91722580645171</v>
      </c>
      <c r="EK20">
        <v>6.2744945161290326</v>
      </c>
      <c r="EL20">
        <v>491.91709677419362</v>
      </c>
      <c r="EM20">
        <v>21.872887096774189</v>
      </c>
      <c r="EN20">
        <v>2.7553561290322568</v>
      </c>
      <c r="EO20">
        <v>2.1411435483870971</v>
      </c>
      <c r="EP20">
        <v>22.61903548387096</v>
      </c>
      <c r="EQ20">
        <v>18.528622580645159</v>
      </c>
      <c r="ER20">
        <v>1400.016129032258</v>
      </c>
      <c r="ES20">
        <v>0.99300135483870966</v>
      </c>
      <c r="ET20">
        <v>6.998779677419356E-3</v>
      </c>
      <c r="EU20">
        <v>0</v>
      </c>
      <c r="EV20">
        <v>757.75229032258062</v>
      </c>
      <c r="EW20">
        <v>5.0010700000000003</v>
      </c>
      <c r="EX20">
        <v>15540.370967741939</v>
      </c>
      <c r="EY20">
        <v>12745.67419354839</v>
      </c>
      <c r="EZ20">
        <v>44.108741935483863</v>
      </c>
      <c r="FA20">
        <v>46.441064516129011</v>
      </c>
      <c r="FB20">
        <v>45.237806451612897</v>
      </c>
      <c r="FC20">
        <v>45.811999999999969</v>
      </c>
      <c r="FD20">
        <v>45.5</v>
      </c>
      <c r="FE20">
        <v>1385.256129032259</v>
      </c>
      <c r="FF20">
        <v>9.759999999999998</v>
      </c>
      <c r="FG20">
        <v>0</v>
      </c>
      <c r="FH20">
        <v>181.79999995231631</v>
      </c>
      <c r="FI20">
        <v>0</v>
      </c>
      <c r="FJ20">
        <v>757.60541176470599</v>
      </c>
      <c r="FK20">
        <v>-3.7409313954522689</v>
      </c>
      <c r="FL20">
        <v>1443.700994648307</v>
      </c>
      <c r="FM20">
        <v>15568.435294117649</v>
      </c>
      <c r="FN20">
        <v>10</v>
      </c>
      <c r="FO20">
        <v>1783527086.5</v>
      </c>
      <c r="FP20" t="s">
        <v>910</v>
      </c>
      <c r="FQ20">
        <v>1783527086</v>
      </c>
      <c r="FR20">
        <v>1783527086</v>
      </c>
      <c r="FS20">
        <v>17</v>
      </c>
      <c r="FT20">
        <v>-0.03</v>
      </c>
      <c r="FU20">
        <v>3.7999999999999999E-2</v>
      </c>
      <c r="FV20">
        <v>-5.8609999999999998</v>
      </c>
      <c r="FW20">
        <v>-0.441</v>
      </c>
      <c r="FX20">
        <v>493</v>
      </c>
      <c r="FY20">
        <v>22</v>
      </c>
      <c r="FZ20">
        <v>0.13</v>
      </c>
      <c r="GA20">
        <v>0.05</v>
      </c>
      <c r="GB20">
        <v>420.06577419354841</v>
      </c>
      <c r="GC20">
        <v>-0.90125806451670509</v>
      </c>
      <c r="GD20">
        <v>8.6282248642468598E-2</v>
      </c>
      <c r="GE20">
        <v>-1</v>
      </c>
      <c r="GF20">
        <v>757.91035294117648</v>
      </c>
      <c r="GG20">
        <v>-2.6183040467343872</v>
      </c>
      <c r="GH20">
        <v>0.36838382176529999</v>
      </c>
      <c r="GI20">
        <v>1</v>
      </c>
      <c r="GJ20">
        <v>6.2869999999999999</v>
      </c>
      <c r="GK20">
        <v>-0.24293874564459489</v>
      </c>
      <c r="GL20">
        <v>2.4986600994698991E-2</v>
      </c>
      <c r="GM20">
        <v>1</v>
      </c>
      <c r="GN20">
        <v>2</v>
      </c>
      <c r="GO20">
        <v>2</v>
      </c>
      <c r="GP20" t="s">
        <v>423</v>
      </c>
      <c r="GQ20">
        <v>3.13097</v>
      </c>
      <c r="GR20">
        <v>2.7289099999999999</v>
      </c>
      <c r="GS20">
        <v>9.0960600000000003E-2</v>
      </c>
      <c r="GT20">
        <v>0.101978</v>
      </c>
      <c r="GU20">
        <v>0.125412</v>
      </c>
      <c r="GV20">
        <v>0.10455200000000001</v>
      </c>
      <c r="GW20">
        <v>22700.1</v>
      </c>
      <c r="GX20">
        <v>30092.3</v>
      </c>
      <c r="GY20">
        <v>27100.2</v>
      </c>
      <c r="GZ20">
        <v>34477</v>
      </c>
      <c r="HA20">
        <v>34738.1</v>
      </c>
      <c r="HB20">
        <v>39208.699999999997</v>
      </c>
      <c r="HC20">
        <v>40030.9</v>
      </c>
      <c r="HD20">
        <v>43861.2</v>
      </c>
      <c r="HE20">
        <v>1.9256</v>
      </c>
      <c r="HF20">
        <v>1.6072</v>
      </c>
      <c r="HG20">
        <v>-7.71284E-2</v>
      </c>
      <c r="HH20">
        <v>0</v>
      </c>
      <c r="HI20">
        <v>31.264900000000001</v>
      </c>
      <c r="HJ20">
        <v>999.9</v>
      </c>
      <c r="HK20">
        <v>48</v>
      </c>
      <c r="HL20">
        <v>44.9</v>
      </c>
      <c r="HM20">
        <v>47.021099999999997</v>
      </c>
      <c r="HN20">
        <v>60.505099999999999</v>
      </c>
      <c r="HO20">
        <v>8.3894199999999994</v>
      </c>
      <c r="HP20">
        <v>1</v>
      </c>
      <c r="HQ20">
        <v>0.77520299999999998</v>
      </c>
      <c r="HR20">
        <v>4.2130900000000002</v>
      </c>
      <c r="HS20">
        <v>20.178799999999999</v>
      </c>
      <c r="HT20">
        <v>5.2100999999999997</v>
      </c>
      <c r="HU20">
        <v>11.914099999999999</v>
      </c>
      <c r="HV20">
        <v>4.9832000000000001</v>
      </c>
      <c r="HW20">
        <v>3.2706</v>
      </c>
      <c r="HX20">
        <v>9999</v>
      </c>
      <c r="HY20">
        <v>9999</v>
      </c>
      <c r="HZ20">
        <v>9999</v>
      </c>
      <c r="IA20">
        <v>999.9</v>
      </c>
      <c r="IB20">
        <v>1.8677999999999999</v>
      </c>
      <c r="IC20">
        <v>1.8635600000000001</v>
      </c>
      <c r="ID20">
        <v>1.8631</v>
      </c>
      <c r="IE20">
        <v>1.8626400000000001</v>
      </c>
      <c r="IF20">
        <v>1.8626100000000001</v>
      </c>
      <c r="IG20">
        <v>1.8631</v>
      </c>
      <c r="IH20">
        <v>1.8640099999999999</v>
      </c>
      <c r="II20">
        <v>1.8620000000000001</v>
      </c>
      <c r="IJ20">
        <v>0</v>
      </c>
      <c r="IK20">
        <v>0</v>
      </c>
      <c r="IL20">
        <v>0</v>
      </c>
      <c r="IM20">
        <v>4.5</v>
      </c>
      <c r="IN20" t="s">
        <v>411</v>
      </c>
      <c r="IO20" t="s">
        <v>412</v>
      </c>
      <c r="IP20" t="s">
        <v>413</v>
      </c>
      <c r="IQ20" t="s">
        <v>414</v>
      </c>
      <c r="IR20" t="s">
        <v>414</v>
      </c>
      <c r="IS20" t="s">
        <v>413</v>
      </c>
      <c r="IT20">
        <v>0</v>
      </c>
      <c r="IU20">
        <v>100</v>
      </c>
      <c r="IV20">
        <v>100</v>
      </c>
      <c r="IW20">
        <v>-5.8609999999999998</v>
      </c>
      <c r="IX20">
        <v>-0.30270000000000002</v>
      </c>
      <c r="IY20">
        <v>-5.8614000000000033</v>
      </c>
      <c r="IZ20">
        <v>0</v>
      </c>
      <c r="JA20">
        <v>0</v>
      </c>
      <c r="JB20">
        <v>0</v>
      </c>
      <c r="JC20">
        <v>-0.8222413170717493</v>
      </c>
      <c r="JD20">
        <v>2.7492919904454862E-4</v>
      </c>
      <c r="JE20">
        <v>8.6739513355948885E-4</v>
      </c>
      <c r="JF20">
        <v>-8.2500691715147318E-6</v>
      </c>
      <c r="JG20">
        <v>-1</v>
      </c>
      <c r="JH20">
        <v>-1</v>
      </c>
      <c r="JI20">
        <v>2</v>
      </c>
      <c r="JJ20">
        <v>37</v>
      </c>
      <c r="JK20">
        <v>1.6</v>
      </c>
      <c r="JL20">
        <v>1.6</v>
      </c>
      <c r="JM20">
        <v>1.1975100000000001</v>
      </c>
      <c r="JN20">
        <v>2.5793499999999998</v>
      </c>
      <c r="JO20">
        <v>1.50024</v>
      </c>
      <c r="JP20">
        <v>2.2717299999999998</v>
      </c>
      <c r="JQ20">
        <v>1.4477500000000001</v>
      </c>
      <c r="JR20">
        <v>2.36938</v>
      </c>
      <c r="JS20">
        <v>51.867100000000001</v>
      </c>
      <c r="JT20">
        <v>23.903600000000001</v>
      </c>
      <c r="JU20">
        <v>18</v>
      </c>
      <c r="JV20">
        <v>537.52599999999995</v>
      </c>
      <c r="JW20">
        <v>351.07600000000002</v>
      </c>
      <c r="JX20">
        <v>26.199300000000001</v>
      </c>
      <c r="JY20">
        <v>36.58</v>
      </c>
      <c r="JZ20">
        <v>30.0001</v>
      </c>
      <c r="KA20">
        <v>36.842399999999998</v>
      </c>
      <c r="KB20">
        <v>37.052500000000002</v>
      </c>
      <c r="KC20">
        <v>23.9681</v>
      </c>
      <c r="KD20">
        <v>53.727899999999998</v>
      </c>
      <c r="KE20">
        <v>0</v>
      </c>
      <c r="KF20">
        <v>26.193100000000001</v>
      </c>
      <c r="KG20">
        <v>491.81299999999999</v>
      </c>
      <c r="KH20">
        <v>21.942900000000002</v>
      </c>
      <c r="KI20">
        <v>100.036</v>
      </c>
      <c r="KJ20">
        <v>98.566199999999995</v>
      </c>
    </row>
    <row r="21" spans="1:296" x14ac:dyDescent="0.3">
      <c r="A21">
        <v>5</v>
      </c>
      <c r="B21">
        <v>1783527365.5</v>
      </c>
      <c r="C21">
        <v>763</v>
      </c>
      <c r="D21" t="s">
        <v>911</v>
      </c>
      <c r="E21" t="s">
        <v>912</v>
      </c>
      <c r="F21">
        <v>15</v>
      </c>
      <c r="H21">
        <v>1783527357.75</v>
      </c>
      <c r="I21">
        <f t="shared" si="0"/>
        <v>5.0485960364937887E-3</v>
      </c>
      <c r="J21">
        <f t="shared" si="1"/>
        <v>5.0485960364937883</v>
      </c>
      <c r="K21">
        <f t="shared" si="2"/>
        <v>50.971541273793804</v>
      </c>
      <c r="L21">
        <f t="shared" si="3"/>
        <v>418.97489999999999</v>
      </c>
      <c r="M21">
        <f t="shared" si="4"/>
        <v>161.36685577184807</v>
      </c>
      <c r="N21">
        <f t="shared" si="5"/>
        <v>15.804490299170135</v>
      </c>
      <c r="O21">
        <f t="shared" si="6"/>
        <v>41.034974071800626</v>
      </c>
      <c r="P21">
        <f t="shared" si="7"/>
        <v>0.34403262117238059</v>
      </c>
      <c r="Q21">
        <f t="shared" si="8"/>
        <v>2.8919751966091796</v>
      </c>
      <c r="R21">
        <f t="shared" si="9"/>
        <v>0.32280568301116463</v>
      </c>
      <c r="S21">
        <f t="shared" si="10"/>
        <v>0.20355147283892244</v>
      </c>
      <c r="T21">
        <f t="shared" si="11"/>
        <v>160.17674773870672</v>
      </c>
      <c r="U21">
        <f t="shared" si="12"/>
        <v>29.59057429206128</v>
      </c>
      <c r="V21">
        <f t="shared" si="13"/>
        <v>30.00342666666667</v>
      </c>
      <c r="W21">
        <f t="shared" si="14"/>
        <v>4.2612884070525734</v>
      </c>
      <c r="X21">
        <f t="shared" si="15"/>
        <v>65.499976329310726</v>
      </c>
      <c r="Y21">
        <f t="shared" si="16"/>
        <v>2.784609177006192</v>
      </c>
      <c r="Z21">
        <f t="shared" si="17"/>
        <v>4.2513132569791496</v>
      </c>
      <c r="AA21">
        <f t="shared" si="18"/>
        <v>1.4766792300463814</v>
      </c>
      <c r="AB21">
        <f t="shared" si="19"/>
        <v>-222.6430852093761</v>
      </c>
      <c r="AC21">
        <f t="shared" si="20"/>
        <v>-6.3606966982011084</v>
      </c>
      <c r="AD21">
        <f t="shared" si="21"/>
        <v>-0.48896327277599066</v>
      </c>
      <c r="AE21">
        <f t="shared" si="22"/>
        <v>-69.315997441646488</v>
      </c>
      <c r="AF21">
        <f t="shared" si="23"/>
        <v>50.971541273793804</v>
      </c>
      <c r="AG21">
        <f t="shared" si="24"/>
        <v>5.0485960364937883</v>
      </c>
      <c r="AH21">
        <f t="shared" si="25"/>
        <v>49.067710568092394</v>
      </c>
      <c r="AI21">
        <v>491.847553950617</v>
      </c>
      <c r="AJ21">
        <v>432.31053939393928</v>
      </c>
      <c r="AK21">
        <v>-0.1351623395158304</v>
      </c>
      <c r="AL21">
        <v>67.032470425920366</v>
      </c>
      <c r="AM21">
        <f t="shared" si="26"/>
        <v>4.9521990752164937</v>
      </c>
      <c r="AN21">
        <v>22.544745089567112</v>
      </c>
      <c r="AO21">
        <v>28.353387878787871</v>
      </c>
      <c r="AP21">
        <v>-5.6287445887346181E-3</v>
      </c>
      <c r="AQ21">
        <v>78.55</v>
      </c>
      <c r="AR21">
        <v>0</v>
      </c>
      <c r="AS21">
        <v>0</v>
      </c>
      <c r="AT21">
        <f t="shared" si="27"/>
        <v>1</v>
      </c>
      <c r="AU21">
        <f t="shared" si="28"/>
        <v>0</v>
      </c>
      <c r="AV21">
        <f t="shared" si="29"/>
        <v>51246.984332633008</v>
      </c>
      <c r="AW21" t="s">
        <v>896</v>
      </c>
      <c r="AX21">
        <v>5088.1000000000004</v>
      </c>
      <c r="AY21">
        <v>575.46470588235297</v>
      </c>
      <c r="AZ21">
        <v>2514.35</v>
      </c>
      <c r="BA21">
        <f t="shared" si="30"/>
        <v>0.77112784382351185</v>
      </c>
      <c r="BB21">
        <v>-4.3047851237252033</v>
      </c>
      <c r="BC21" t="s">
        <v>913</v>
      </c>
      <c r="BD21">
        <v>5080.55</v>
      </c>
      <c r="BE21">
        <v>754.95923529411766</v>
      </c>
      <c r="BF21">
        <v>1290.31</v>
      </c>
      <c r="BG21">
        <f t="shared" si="31"/>
        <v>0.41490088793071611</v>
      </c>
      <c r="BH21">
        <v>0.5</v>
      </c>
      <c r="BI21">
        <f t="shared" si="32"/>
        <v>840.30188749155752</v>
      </c>
      <c r="BJ21">
        <f t="shared" si="33"/>
        <v>50.971541273793804</v>
      </c>
      <c r="BK21">
        <f t="shared" si="34"/>
        <v>174.32099962505197</v>
      </c>
      <c r="BL21">
        <f t="shared" si="35"/>
        <v>6.5781509265114391E-2</v>
      </c>
      <c r="BM21">
        <f t="shared" si="36"/>
        <v>0.94864024924243018</v>
      </c>
      <c r="BN21">
        <f t="shared" si="37"/>
        <v>472.80955361527879</v>
      </c>
      <c r="BO21" t="s">
        <v>407</v>
      </c>
      <c r="BP21">
        <v>0</v>
      </c>
      <c r="BQ21">
        <f t="shared" si="38"/>
        <v>472.80955361527879</v>
      </c>
      <c r="BR21">
        <f t="shared" si="39"/>
        <v>0.63356902324613551</v>
      </c>
      <c r="BS21">
        <f t="shared" si="40"/>
        <v>0.6548629631621542</v>
      </c>
      <c r="BT21">
        <f t="shared" si="41"/>
        <v>0.59956686244820734</v>
      </c>
      <c r="BU21">
        <f t="shared" si="42"/>
        <v>0.74890437009406396</v>
      </c>
      <c r="BV21">
        <f t="shared" si="43"/>
        <v>0.63131119912745504</v>
      </c>
      <c r="BW21">
        <f t="shared" si="44"/>
        <v>0.41012209774644681</v>
      </c>
      <c r="BX21">
        <f t="shared" si="45"/>
        <v>0.58987790225355319</v>
      </c>
      <c r="DG21">
        <f t="shared" si="46"/>
        <v>1000.004033333333</v>
      </c>
      <c r="DH21">
        <f t="shared" si="47"/>
        <v>840.30188749155752</v>
      </c>
      <c r="DI21">
        <f t="shared" si="48"/>
        <v>0.84029849828761471</v>
      </c>
      <c r="DJ21">
        <f t="shared" si="49"/>
        <v>0.16017610169509661</v>
      </c>
      <c r="DK21">
        <v>6</v>
      </c>
      <c r="DL21">
        <v>0.5</v>
      </c>
      <c r="DM21" t="s">
        <v>408</v>
      </c>
      <c r="DN21">
        <v>2</v>
      </c>
      <c r="DO21" t="b">
        <v>0</v>
      </c>
      <c r="DP21">
        <v>1783527357.75</v>
      </c>
      <c r="DQ21">
        <v>418.97489999999999</v>
      </c>
      <c r="DR21">
        <v>482.68066666666681</v>
      </c>
      <c r="DS21">
        <v>28.43139</v>
      </c>
      <c r="DT21">
        <v>22.545169999999999</v>
      </c>
      <c r="DU21">
        <v>424.74489999999997</v>
      </c>
      <c r="DV21">
        <v>28.72555333333333</v>
      </c>
      <c r="DW21">
        <v>499.98716666666661</v>
      </c>
      <c r="DX21">
        <v>97.889776666666648</v>
      </c>
      <c r="DY21">
        <v>5.1589443333333311E-2</v>
      </c>
      <c r="DZ21">
        <v>29.962630000000001</v>
      </c>
      <c r="EA21">
        <v>30.00342666666667</v>
      </c>
      <c r="EB21">
        <v>999.9000000000002</v>
      </c>
      <c r="EC21">
        <v>0</v>
      </c>
      <c r="ED21">
        <v>0</v>
      </c>
      <c r="EE21">
        <v>9998.3333333333339</v>
      </c>
      <c r="EF21">
        <v>0</v>
      </c>
      <c r="EG21">
        <v>1359.454066666666</v>
      </c>
      <c r="EH21">
        <v>-63.705783333333343</v>
      </c>
      <c r="EI21">
        <v>431.23553333333331</v>
      </c>
      <c r="EJ21">
        <v>493.81376666666682</v>
      </c>
      <c r="EK21">
        <v>5.8862276666666684</v>
      </c>
      <c r="EL21">
        <v>482.68066666666681</v>
      </c>
      <c r="EM21">
        <v>22.545169999999999</v>
      </c>
      <c r="EN21">
        <v>2.783141333333333</v>
      </c>
      <c r="EO21">
        <v>2.206939666666667</v>
      </c>
      <c r="EP21">
        <v>22.78440333333333</v>
      </c>
      <c r="EQ21">
        <v>19.012779999999999</v>
      </c>
      <c r="ER21">
        <v>1000.004033333333</v>
      </c>
      <c r="ES21">
        <v>0.99000059999999979</v>
      </c>
      <c r="ET21">
        <v>9.9990806666666668E-3</v>
      </c>
      <c r="EU21">
        <v>0</v>
      </c>
      <c r="EV21">
        <v>754.51053333333334</v>
      </c>
      <c r="EW21">
        <v>5.0010700000000003</v>
      </c>
      <c r="EX21">
        <v>12230.24666666667</v>
      </c>
      <c r="EY21">
        <v>9080.3180000000011</v>
      </c>
      <c r="EZ21">
        <v>43.366599999999977</v>
      </c>
      <c r="FA21">
        <v>46.210099999999983</v>
      </c>
      <c r="FB21">
        <v>44.789266666666663</v>
      </c>
      <c r="FC21">
        <v>45.680799999999977</v>
      </c>
      <c r="FD21">
        <v>45.047533333333313</v>
      </c>
      <c r="FE21">
        <v>985.05466666666678</v>
      </c>
      <c r="FF21">
        <v>9.9499999999999975</v>
      </c>
      <c r="FG21">
        <v>0</v>
      </c>
      <c r="FH21">
        <v>181.5999999046326</v>
      </c>
      <c r="FI21">
        <v>0</v>
      </c>
      <c r="FJ21">
        <v>754.95923529411766</v>
      </c>
      <c r="FK21">
        <v>5.1409313858778116</v>
      </c>
      <c r="FL21">
        <v>267.69607713746689</v>
      </c>
      <c r="FM21">
        <v>12269.158823529409</v>
      </c>
      <c r="FN21">
        <v>10</v>
      </c>
      <c r="FO21">
        <v>1783527337.5</v>
      </c>
      <c r="FP21" t="s">
        <v>914</v>
      </c>
      <c r="FQ21">
        <v>1783527325.5</v>
      </c>
      <c r="FR21">
        <v>1783527337</v>
      </c>
      <c r="FS21">
        <v>18</v>
      </c>
      <c r="FT21">
        <v>9.0999999999999998E-2</v>
      </c>
      <c r="FU21">
        <v>2.8000000000000001E-2</v>
      </c>
      <c r="FV21">
        <v>-5.77</v>
      </c>
      <c r="FW21">
        <v>-0.43</v>
      </c>
      <c r="FX21">
        <v>482</v>
      </c>
      <c r="FY21">
        <v>23</v>
      </c>
      <c r="FZ21">
        <v>0.16</v>
      </c>
      <c r="GA21">
        <v>0.06</v>
      </c>
      <c r="GB21">
        <v>418.77986666666669</v>
      </c>
      <c r="GC21">
        <v>24.427942157953279</v>
      </c>
      <c r="GD21">
        <v>1.9670910287924059</v>
      </c>
      <c r="GE21">
        <v>-1</v>
      </c>
      <c r="GF21">
        <v>754.38855882352925</v>
      </c>
      <c r="GG21">
        <v>4.1140565383372261</v>
      </c>
      <c r="GH21">
        <v>0.61649098038231176</v>
      </c>
      <c r="GI21">
        <v>1</v>
      </c>
      <c r="GJ21">
        <v>5.8753290000000007</v>
      </c>
      <c r="GK21">
        <v>0.14339752345215989</v>
      </c>
      <c r="GL21">
        <v>0.22095002330617669</v>
      </c>
      <c r="GM21">
        <v>1</v>
      </c>
      <c r="GN21">
        <v>2</v>
      </c>
      <c r="GO21">
        <v>2</v>
      </c>
      <c r="GP21" t="s">
        <v>423</v>
      </c>
      <c r="GQ21">
        <v>3.1317599999999999</v>
      </c>
      <c r="GR21">
        <v>2.7279200000000001</v>
      </c>
      <c r="GS21">
        <v>9.0943200000000002E-2</v>
      </c>
      <c r="GT21">
        <v>0.10025199999999999</v>
      </c>
      <c r="GU21">
        <v>0.12606500000000001</v>
      </c>
      <c r="GV21">
        <v>0.106803</v>
      </c>
      <c r="GW21">
        <v>22700</v>
      </c>
      <c r="GX21">
        <v>30152.7</v>
      </c>
      <c r="GY21">
        <v>27099.4</v>
      </c>
      <c r="GZ21">
        <v>34479.4</v>
      </c>
      <c r="HA21">
        <v>34710.800000000003</v>
      </c>
      <c r="HB21">
        <v>39112.300000000003</v>
      </c>
      <c r="HC21">
        <v>40029.5</v>
      </c>
      <c r="HD21">
        <v>43863.7</v>
      </c>
      <c r="HE21">
        <v>1.925</v>
      </c>
      <c r="HF21">
        <v>1.6044</v>
      </c>
      <c r="HG21">
        <v>-8.7022799999999997E-2</v>
      </c>
      <c r="HH21">
        <v>0</v>
      </c>
      <c r="HI21">
        <v>31.4132</v>
      </c>
      <c r="HJ21">
        <v>999.9</v>
      </c>
      <c r="HK21">
        <v>47.2</v>
      </c>
      <c r="HL21">
        <v>45.4</v>
      </c>
      <c r="HM21">
        <v>47.442700000000002</v>
      </c>
      <c r="HN21">
        <v>60.365200000000002</v>
      </c>
      <c r="HO21">
        <v>8.2371800000000004</v>
      </c>
      <c r="HP21">
        <v>1</v>
      </c>
      <c r="HQ21">
        <v>0.77349599999999996</v>
      </c>
      <c r="HR21">
        <v>4.28362</v>
      </c>
      <c r="HS21">
        <v>20.180099999999999</v>
      </c>
      <c r="HT21">
        <v>5.2088999999999999</v>
      </c>
      <c r="HU21">
        <v>11.914099999999999</v>
      </c>
      <c r="HV21">
        <v>4.9832000000000001</v>
      </c>
      <c r="HW21">
        <v>3.2709999999999999</v>
      </c>
      <c r="HX21">
        <v>9999</v>
      </c>
      <c r="HY21">
        <v>9999</v>
      </c>
      <c r="HZ21">
        <v>9999</v>
      </c>
      <c r="IA21">
        <v>999.9</v>
      </c>
      <c r="IB21">
        <v>1.86774</v>
      </c>
      <c r="IC21">
        <v>1.8635600000000001</v>
      </c>
      <c r="ID21">
        <v>1.86307</v>
      </c>
      <c r="IE21">
        <v>1.8626400000000001</v>
      </c>
      <c r="IF21">
        <v>1.8626400000000001</v>
      </c>
      <c r="IG21">
        <v>1.86307</v>
      </c>
      <c r="IH21">
        <v>1.8640099999999999</v>
      </c>
      <c r="II21">
        <v>1.8619399999999999</v>
      </c>
      <c r="IJ21">
        <v>0</v>
      </c>
      <c r="IK21">
        <v>0</v>
      </c>
      <c r="IL21">
        <v>0</v>
      </c>
      <c r="IM21">
        <v>4.5</v>
      </c>
      <c r="IN21" t="s">
        <v>411</v>
      </c>
      <c r="IO21" t="s">
        <v>412</v>
      </c>
      <c r="IP21" t="s">
        <v>413</v>
      </c>
      <c r="IQ21" t="s">
        <v>414</v>
      </c>
      <c r="IR21" t="s">
        <v>414</v>
      </c>
      <c r="IS21" t="s">
        <v>413</v>
      </c>
      <c r="IT21">
        <v>0</v>
      </c>
      <c r="IU21">
        <v>100</v>
      </c>
      <c r="IV21">
        <v>100</v>
      </c>
      <c r="IW21">
        <v>-5.77</v>
      </c>
      <c r="IX21">
        <v>-0.29649999999999999</v>
      </c>
      <c r="IY21">
        <v>-5.7700000000000387</v>
      </c>
      <c r="IZ21">
        <v>0</v>
      </c>
      <c r="JA21">
        <v>0</v>
      </c>
      <c r="JB21">
        <v>0</v>
      </c>
      <c r="JC21">
        <v>-0.8222413170717493</v>
      </c>
      <c r="JD21">
        <v>2.7492919904454862E-4</v>
      </c>
      <c r="JE21">
        <v>8.6739513355948885E-4</v>
      </c>
      <c r="JF21">
        <v>-8.2500691715147318E-6</v>
      </c>
      <c r="JG21">
        <v>-1</v>
      </c>
      <c r="JH21">
        <v>-1</v>
      </c>
      <c r="JI21">
        <v>2</v>
      </c>
      <c r="JJ21">
        <v>37</v>
      </c>
      <c r="JK21">
        <v>0.7</v>
      </c>
      <c r="JL21">
        <v>0.5</v>
      </c>
      <c r="JM21">
        <v>1.17554</v>
      </c>
      <c r="JN21">
        <v>2.5927699999999998</v>
      </c>
      <c r="JO21">
        <v>1.50024</v>
      </c>
      <c r="JP21">
        <v>2.2717299999999998</v>
      </c>
      <c r="JQ21">
        <v>1.4477500000000001</v>
      </c>
      <c r="JR21">
        <v>2.3559600000000001</v>
      </c>
      <c r="JS21">
        <v>52.308100000000003</v>
      </c>
      <c r="JT21">
        <v>23.903600000000001</v>
      </c>
      <c r="JU21">
        <v>18</v>
      </c>
      <c r="JV21">
        <v>536.80600000000004</v>
      </c>
      <c r="JW21">
        <v>349.35899999999998</v>
      </c>
      <c r="JX21">
        <v>26.240100000000002</v>
      </c>
      <c r="JY21">
        <v>36.535600000000002</v>
      </c>
      <c r="JZ21">
        <v>30.000299999999999</v>
      </c>
      <c r="KA21">
        <v>36.8018</v>
      </c>
      <c r="KB21">
        <v>37.0122</v>
      </c>
      <c r="KC21">
        <v>23.5228</v>
      </c>
      <c r="KD21">
        <v>52.958199999999998</v>
      </c>
      <c r="KE21">
        <v>0</v>
      </c>
      <c r="KF21">
        <v>26.245699999999999</v>
      </c>
      <c r="KG21">
        <v>480.51299999999998</v>
      </c>
      <c r="KH21">
        <v>22.5474</v>
      </c>
      <c r="KI21">
        <v>100.032</v>
      </c>
      <c r="KJ21">
        <v>98.572299999999998</v>
      </c>
    </row>
    <row r="22" spans="1:296" x14ac:dyDescent="0.3">
      <c r="A22">
        <v>6</v>
      </c>
      <c r="B22">
        <v>1783527548</v>
      </c>
      <c r="C22">
        <v>945.5</v>
      </c>
      <c r="D22" t="s">
        <v>915</v>
      </c>
      <c r="E22" t="s">
        <v>916</v>
      </c>
      <c r="F22">
        <v>15</v>
      </c>
      <c r="H22">
        <v>1783527540.25</v>
      </c>
      <c r="I22">
        <f t="shared" si="0"/>
        <v>4.4607897074239993E-3</v>
      </c>
      <c r="J22">
        <f t="shared" si="1"/>
        <v>4.4607897074239995</v>
      </c>
      <c r="K22">
        <f t="shared" si="2"/>
        <v>41.808253025126753</v>
      </c>
      <c r="L22">
        <f t="shared" si="3"/>
        <v>419.995</v>
      </c>
      <c r="M22">
        <f t="shared" si="4"/>
        <v>172.3999812887925</v>
      </c>
      <c r="N22">
        <f t="shared" si="5"/>
        <v>16.883376051935432</v>
      </c>
      <c r="O22">
        <f t="shared" si="6"/>
        <v>41.130709365068789</v>
      </c>
      <c r="P22">
        <f t="shared" si="7"/>
        <v>0.29206602910350471</v>
      </c>
      <c r="Q22">
        <f t="shared" si="8"/>
        <v>2.888532050662985</v>
      </c>
      <c r="R22">
        <f t="shared" si="9"/>
        <v>0.27659551577191821</v>
      </c>
      <c r="S22">
        <f t="shared" si="10"/>
        <v>0.17419384270030067</v>
      </c>
      <c r="T22">
        <f t="shared" si="11"/>
        <v>128.27997612491089</v>
      </c>
      <c r="U22">
        <f t="shared" si="12"/>
        <v>29.52255241267741</v>
      </c>
      <c r="V22">
        <f t="shared" si="13"/>
        <v>30.03711333333333</v>
      </c>
      <c r="W22">
        <f t="shared" si="14"/>
        <v>4.2695404675237913</v>
      </c>
      <c r="X22">
        <f t="shared" si="15"/>
        <v>64.727809722064876</v>
      </c>
      <c r="Y22">
        <f t="shared" si="16"/>
        <v>2.7467303718075429</v>
      </c>
      <c r="Z22">
        <f t="shared" si="17"/>
        <v>4.2435089084610533</v>
      </c>
      <c r="AA22">
        <f t="shared" si="18"/>
        <v>1.5228100957162485</v>
      </c>
      <c r="AB22">
        <f t="shared" si="19"/>
        <v>-196.72082609739837</v>
      </c>
      <c r="AC22">
        <f t="shared" si="20"/>
        <v>-16.578647439386053</v>
      </c>
      <c r="AD22">
        <f t="shared" si="21"/>
        <v>-1.2759736599464879</v>
      </c>
      <c r="AE22">
        <f t="shared" si="22"/>
        <v>-86.295471071820032</v>
      </c>
      <c r="AF22">
        <f t="shared" si="23"/>
        <v>41.808253025126753</v>
      </c>
      <c r="AG22">
        <f t="shared" si="24"/>
        <v>4.4607897074239995</v>
      </c>
      <c r="AH22">
        <f t="shared" si="25"/>
        <v>41.692863732823312</v>
      </c>
      <c r="AI22">
        <v>483.38290938166529</v>
      </c>
      <c r="AJ22">
        <v>432.18007272727249</v>
      </c>
      <c r="AK22">
        <v>-3.6201205272559932E-4</v>
      </c>
      <c r="AL22">
        <v>67.032470425920366</v>
      </c>
      <c r="AM22">
        <f t="shared" si="26"/>
        <v>4.5672740370022993</v>
      </c>
      <c r="AN22">
        <v>22.777713007316009</v>
      </c>
      <c r="AO22">
        <v>28.135336969696969</v>
      </c>
      <c r="AP22">
        <v>-5.0336623376550406E-3</v>
      </c>
      <c r="AQ22">
        <v>78.55</v>
      </c>
      <c r="AR22">
        <v>0</v>
      </c>
      <c r="AS22">
        <v>0</v>
      </c>
      <c r="AT22">
        <f t="shared" si="27"/>
        <v>1</v>
      </c>
      <c r="AU22">
        <f t="shared" si="28"/>
        <v>0</v>
      </c>
      <c r="AV22">
        <f t="shared" si="29"/>
        <v>51155.026327185602</v>
      </c>
      <c r="AW22" t="s">
        <v>896</v>
      </c>
      <c r="AX22">
        <v>5088.1000000000004</v>
      </c>
      <c r="AY22">
        <v>575.46470588235297</v>
      </c>
      <c r="AZ22">
        <v>2514.35</v>
      </c>
      <c r="BA22">
        <f t="shared" si="30"/>
        <v>0.77112784382351185</v>
      </c>
      <c r="BB22">
        <v>-4.3047851237252033</v>
      </c>
      <c r="BC22" t="s">
        <v>917</v>
      </c>
      <c r="BD22">
        <v>5083.12</v>
      </c>
      <c r="BE22">
        <v>740.09070588235295</v>
      </c>
      <c r="BF22">
        <v>1390.7</v>
      </c>
      <c r="BG22">
        <f t="shared" si="31"/>
        <v>0.4678286432139549</v>
      </c>
      <c r="BH22">
        <v>0.5</v>
      </c>
      <c r="BI22">
        <f t="shared" si="32"/>
        <v>672.32083965021286</v>
      </c>
      <c r="BJ22">
        <f t="shared" si="33"/>
        <v>41.808253025126753</v>
      </c>
      <c r="BK22">
        <f t="shared" si="34"/>
        <v>157.26547310901302</v>
      </c>
      <c r="BL22">
        <f t="shared" si="35"/>
        <v>6.8587845905301856E-2</v>
      </c>
      <c r="BM22">
        <f t="shared" si="36"/>
        <v>0.80797440138059962</v>
      </c>
      <c r="BN22">
        <f t="shared" si="37"/>
        <v>485.65584594616706</v>
      </c>
      <c r="BO22" t="s">
        <v>407</v>
      </c>
      <c r="BP22">
        <v>0</v>
      </c>
      <c r="BQ22">
        <f t="shared" si="38"/>
        <v>485.65584594616706</v>
      </c>
      <c r="BR22">
        <f t="shared" si="39"/>
        <v>0.65078316966551597</v>
      </c>
      <c r="BS22">
        <f t="shared" si="40"/>
        <v>0.71887022440117132</v>
      </c>
      <c r="BT22">
        <f t="shared" si="41"/>
        <v>0.55387846302739585</v>
      </c>
      <c r="BU22">
        <f t="shared" si="42"/>
        <v>0.79806320802366693</v>
      </c>
      <c r="BV22">
        <f t="shared" si="43"/>
        <v>0.57953402576677626</v>
      </c>
      <c r="BW22">
        <f t="shared" si="44"/>
        <v>0.47173072730433607</v>
      </c>
      <c r="BX22">
        <f t="shared" si="45"/>
        <v>0.52826927269566393</v>
      </c>
      <c r="DG22">
        <f t="shared" si="46"/>
        <v>800.01316666666673</v>
      </c>
      <c r="DH22">
        <f t="shared" si="47"/>
        <v>672.32083965021286</v>
      </c>
      <c r="DI22">
        <f t="shared" si="48"/>
        <v>0.8403872181898</v>
      </c>
      <c r="DJ22">
        <f t="shared" si="49"/>
        <v>0.16034733110631413</v>
      </c>
      <c r="DK22">
        <v>6</v>
      </c>
      <c r="DL22">
        <v>0.5</v>
      </c>
      <c r="DM22" t="s">
        <v>408</v>
      </c>
      <c r="DN22">
        <v>2</v>
      </c>
      <c r="DO22" t="b">
        <v>0</v>
      </c>
      <c r="DP22">
        <v>1783527540.25</v>
      </c>
      <c r="DQ22">
        <v>419.995</v>
      </c>
      <c r="DR22">
        <v>472.41683333333339</v>
      </c>
      <c r="DS22">
        <v>28.047486666666671</v>
      </c>
      <c r="DT22">
        <v>22.844306666666672</v>
      </c>
      <c r="DU22">
        <v>425.76499999999999</v>
      </c>
      <c r="DV22">
        <v>28.474486666666671</v>
      </c>
      <c r="DW22">
        <v>499.96453333333318</v>
      </c>
      <c r="DX22">
        <v>97.879133333333343</v>
      </c>
      <c r="DY22">
        <v>5.2292910000000012E-2</v>
      </c>
      <c r="DZ22">
        <v>29.930653333333339</v>
      </c>
      <c r="EA22">
        <v>30.03711333333333</v>
      </c>
      <c r="EB22">
        <v>999.9000000000002</v>
      </c>
      <c r="EC22">
        <v>0</v>
      </c>
      <c r="ED22">
        <v>0</v>
      </c>
      <c r="EE22">
        <v>9979.6666666666661</v>
      </c>
      <c r="EF22">
        <v>0</v>
      </c>
      <c r="EG22">
        <v>1303.592366666667</v>
      </c>
      <c r="EH22">
        <v>-52.421886666666659</v>
      </c>
      <c r="EI22">
        <v>432.17046666666658</v>
      </c>
      <c r="EJ22">
        <v>483.46120000000002</v>
      </c>
      <c r="EK22">
        <v>5.3285673333333348</v>
      </c>
      <c r="EL22">
        <v>472.41683333333339</v>
      </c>
      <c r="EM22">
        <v>22.844306666666672</v>
      </c>
      <c r="EN22">
        <v>2.757536</v>
      </c>
      <c r="EO22">
        <v>2.2359813333333332</v>
      </c>
      <c r="EP22">
        <v>22.63206666666667</v>
      </c>
      <c r="EQ22">
        <v>19.222353333333331</v>
      </c>
      <c r="ER22">
        <v>800.01316666666673</v>
      </c>
      <c r="ES22">
        <v>0.9870127666666666</v>
      </c>
      <c r="ET22">
        <v>1.2987163333333329E-2</v>
      </c>
      <c r="EU22">
        <v>0</v>
      </c>
      <c r="EV22">
        <v>740.1538333333333</v>
      </c>
      <c r="EW22">
        <v>5.0010700000000003</v>
      </c>
      <c r="EX22">
        <v>10478.74</v>
      </c>
      <c r="EY22">
        <v>7246.7759999999989</v>
      </c>
      <c r="EZ22">
        <v>42.936999999999983</v>
      </c>
      <c r="FA22">
        <v>46.274799999999978</v>
      </c>
      <c r="FB22">
        <v>44.561999999999983</v>
      </c>
      <c r="FC22">
        <v>45.686999999999983</v>
      </c>
      <c r="FD22">
        <v>44.712199999999982</v>
      </c>
      <c r="FE22">
        <v>784.68700000000001</v>
      </c>
      <c r="FF22">
        <v>10.326000000000001</v>
      </c>
      <c r="FG22">
        <v>0</v>
      </c>
      <c r="FH22">
        <v>181.80000019073489</v>
      </c>
      <c r="FI22">
        <v>0</v>
      </c>
      <c r="FJ22">
        <v>740.09070588235295</v>
      </c>
      <c r="FK22">
        <v>0.54485294227008774</v>
      </c>
      <c r="FL22">
        <v>922.20587807241282</v>
      </c>
      <c r="FM22">
        <v>10471.658823529409</v>
      </c>
      <c r="FN22">
        <v>10</v>
      </c>
      <c r="FO22">
        <v>1783527575.5</v>
      </c>
      <c r="FP22" t="s">
        <v>918</v>
      </c>
      <c r="FQ22">
        <v>1783527325.5</v>
      </c>
      <c r="FR22">
        <v>1783527575</v>
      </c>
      <c r="FS22">
        <v>19</v>
      </c>
      <c r="FT22">
        <v>9.0999999999999998E-2</v>
      </c>
      <c r="FU22">
        <v>1.7999999999999999E-2</v>
      </c>
      <c r="FV22">
        <v>-5.77</v>
      </c>
      <c r="FW22">
        <v>-0.42699999999999999</v>
      </c>
      <c r="FX22">
        <v>482</v>
      </c>
      <c r="FY22">
        <v>23</v>
      </c>
      <c r="FZ22">
        <v>0.16</v>
      </c>
      <c r="GA22">
        <v>0.06</v>
      </c>
      <c r="GB22">
        <v>419.99158064516132</v>
      </c>
      <c r="GC22">
        <v>0.40649999999934611</v>
      </c>
      <c r="GD22">
        <v>6.1603191262932663E-2</v>
      </c>
      <c r="GE22">
        <v>-1</v>
      </c>
      <c r="GF22">
        <v>740.29644117647058</v>
      </c>
      <c r="GG22">
        <v>-2.067486632636045</v>
      </c>
      <c r="GH22">
        <v>0.29096504653393712</v>
      </c>
      <c r="GI22">
        <v>1</v>
      </c>
      <c r="GJ22">
        <v>5.3003343902439024</v>
      </c>
      <c r="GK22">
        <v>0.59895783972125849</v>
      </c>
      <c r="GL22">
        <v>8.4466734686091879E-2</v>
      </c>
      <c r="GM22">
        <v>0</v>
      </c>
      <c r="GN22">
        <v>1</v>
      </c>
      <c r="GO22">
        <v>2</v>
      </c>
      <c r="GP22" t="s">
        <v>410</v>
      </c>
      <c r="GQ22">
        <v>3.1307100000000001</v>
      </c>
      <c r="GR22">
        <v>2.72926</v>
      </c>
      <c r="GS22">
        <v>9.09306E-2</v>
      </c>
      <c r="GT22">
        <v>9.8971500000000004E-2</v>
      </c>
      <c r="GU22">
        <v>0.12543000000000001</v>
      </c>
      <c r="GV22">
        <v>0.108219</v>
      </c>
      <c r="GW22">
        <v>22699.1</v>
      </c>
      <c r="GX22">
        <v>30192</v>
      </c>
      <c r="GY22">
        <v>27098.2</v>
      </c>
      <c r="GZ22">
        <v>34475.5</v>
      </c>
      <c r="HA22">
        <v>34734.9</v>
      </c>
      <c r="HB22">
        <v>39046.300000000003</v>
      </c>
      <c r="HC22">
        <v>40028.1</v>
      </c>
      <c r="HD22">
        <v>43859.1</v>
      </c>
      <c r="HE22">
        <v>1.9238</v>
      </c>
      <c r="HF22">
        <v>1.6020000000000001</v>
      </c>
      <c r="HG22">
        <v>-9.9927199999999994E-2</v>
      </c>
      <c r="HH22">
        <v>0</v>
      </c>
      <c r="HI22">
        <v>31.665400000000002</v>
      </c>
      <c r="HJ22">
        <v>999.9</v>
      </c>
      <c r="HK22">
        <v>46.4</v>
      </c>
      <c r="HL22">
        <v>46</v>
      </c>
      <c r="HM22">
        <v>48.100999999999999</v>
      </c>
      <c r="HN22">
        <v>60.935200000000002</v>
      </c>
      <c r="HO22">
        <v>8.1770899999999997</v>
      </c>
      <c r="HP22">
        <v>1</v>
      </c>
      <c r="HQ22">
        <v>0.78061000000000003</v>
      </c>
      <c r="HR22">
        <v>4.8268800000000001</v>
      </c>
      <c r="HS22">
        <v>20.166899999999998</v>
      </c>
      <c r="HT22">
        <v>5.2088999999999999</v>
      </c>
      <c r="HU22">
        <v>11.914099999999999</v>
      </c>
      <c r="HV22">
        <v>4.9828000000000001</v>
      </c>
      <c r="HW22">
        <v>3.2706</v>
      </c>
      <c r="HX22">
        <v>9999</v>
      </c>
      <c r="HY22">
        <v>9999</v>
      </c>
      <c r="HZ22">
        <v>9999</v>
      </c>
      <c r="IA22">
        <v>999.9</v>
      </c>
      <c r="IB22">
        <v>1.86771</v>
      </c>
      <c r="IC22">
        <v>1.8635600000000001</v>
      </c>
      <c r="ID22">
        <v>1.86307</v>
      </c>
      <c r="IE22">
        <v>1.8626400000000001</v>
      </c>
      <c r="IF22">
        <v>1.8626100000000001</v>
      </c>
      <c r="IG22">
        <v>1.86304</v>
      </c>
      <c r="IH22">
        <v>1.8640099999999999</v>
      </c>
      <c r="II22">
        <v>1.86191</v>
      </c>
      <c r="IJ22">
        <v>0</v>
      </c>
      <c r="IK22">
        <v>0</v>
      </c>
      <c r="IL22">
        <v>0</v>
      </c>
      <c r="IM22">
        <v>4.5</v>
      </c>
      <c r="IN22" t="s">
        <v>411</v>
      </c>
      <c r="IO22" t="s">
        <v>412</v>
      </c>
      <c r="IP22" t="s">
        <v>413</v>
      </c>
      <c r="IQ22" t="s">
        <v>414</v>
      </c>
      <c r="IR22" t="s">
        <v>414</v>
      </c>
      <c r="IS22" t="s">
        <v>413</v>
      </c>
      <c r="IT22">
        <v>0</v>
      </c>
      <c r="IU22">
        <v>100</v>
      </c>
      <c r="IV22">
        <v>100</v>
      </c>
      <c r="IW22">
        <v>-5.77</v>
      </c>
      <c r="IX22">
        <v>-0.42699999999999999</v>
      </c>
      <c r="IY22">
        <v>-5.7700000000000387</v>
      </c>
      <c r="IZ22">
        <v>0</v>
      </c>
      <c r="JA22">
        <v>0</v>
      </c>
      <c r="JB22">
        <v>0</v>
      </c>
      <c r="JC22">
        <v>-0.8222413170717493</v>
      </c>
      <c r="JD22">
        <v>2.7492919904454862E-4</v>
      </c>
      <c r="JE22">
        <v>8.6739513355948885E-4</v>
      </c>
      <c r="JF22">
        <v>-8.2500691715147318E-6</v>
      </c>
      <c r="JG22">
        <v>-1</v>
      </c>
      <c r="JH22">
        <v>-1</v>
      </c>
      <c r="JI22">
        <v>2</v>
      </c>
      <c r="JJ22">
        <v>37</v>
      </c>
      <c r="JK22">
        <v>3.7</v>
      </c>
      <c r="JL22">
        <v>3.5</v>
      </c>
      <c r="JM22">
        <v>1.16089</v>
      </c>
      <c r="JN22">
        <v>2.5842299999999998</v>
      </c>
      <c r="JO22">
        <v>1.50024</v>
      </c>
      <c r="JP22">
        <v>2.2717299999999998</v>
      </c>
      <c r="JQ22">
        <v>1.4477500000000001</v>
      </c>
      <c r="JR22">
        <v>2.4670399999999999</v>
      </c>
      <c r="JS22">
        <v>52.893099999999997</v>
      </c>
      <c r="JT22">
        <v>23.8949</v>
      </c>
      <c r="JU22">
        <v>18</v>
      </c>
      <c r="JV22">
        <v>536.12</v>
      </c>
      <c r="JW22">
        <v>348.18799999999999</v>
      </c>
      <c r="JX22">
        <v>25.966899999999999</v>
      </c>
      <c r="JY22">
        <v>36.576599999999999</v>
      </c>
      <c r="JZ22">
        <v>30.000499999999999</v>
      </c>
      <c r="KA22">
        <v>36.817999999999998</v>
      </c>
      <c r="KB22">
        <v>37.035699999999999</v>
      </c>
      <c r="KC22">
        <v>23.219200000000001</v>
      </c>
      <c r="KD22">
        <v>52.663600000000002</v>
      </c>
      <c r="KE22">
        <v>0</v>
      </c>
      <c r="KF22">
        <v>25.930399999999999</v>
      </c>
      <c r="KG22">
        <v>472.46300000000002</v>
      </c>
      <c r="KH22">
        <v>22.9466</v>
      </c>
      <c r="KI22">
        <v>100.02800000000001</v>
      </c>
      <c r="KJ22">
        <v>98.561700000000002</v>
      </c>
    </row>
    <row r="23" spans="1:296" x14ac:dyDescent="0.3">
      <c r="A23">
        <v>7</v>
      </c>
      <c r="B23">
        <v>1783527756.5999999</v>
      </c>
      <c r="C23">
        <v>1154.099999904633</v>
      </c>
      <c r="D23" t="s">
        <v>919</v>
      </c>
      <c r="E23" t="s">
        <v>920</v>
      </c>
      <c r="F23">
        <v>15</v>
      </c>
      <c r="H23">
        <v>1783527748.599999</v>
      </c>
      <c r="I23">
        <f t="shared" si="0"/>
        <v>4.2069955062195583E-3</v>
      </c>
      <c r="J23">
        <f t="shared" si="1"/>
        <v>4.2069955062195579</v>
      </c>
      <c r="K23">
        <f t="shared" si="2"/>
        <v>32.140516197602331</v>
      </c>
      <c r="L23">
        <f t="shared" si="3"/>
        <v>420.01448387096781</v>
      </c>
      <c r="M23">
        <f t="shared" si="4"/>
        <v>218.43110652969568</v>
      </c>
      <c r="N23">
        <f t="shared" si="5"/>
        <v>21.391400028796809</v>
      </c>
      <c r="O23">
        <f t="shared" si="6"/>
        <v>41.132867864454234</v>
      </c>
      <c r="P23">
        <f t="shared" si="7"/>
        <v>0.27786143086537191</v>
      </c>
      <c r="Q23">
        <f t="shared" si="8"/>
        <v>2.893477794076313</v>
      </c>
      <c r="R23">
        <f t="shared" si="9"/>
        <v>0.26384298677341689</v>
      </c>
      <c r="S23">
        <f t="shared" si="10"/>
        <v>0.16610241134023096</v>
      </c>
      <c r="T23">
        <f t="shared" si="11"/>
        <v>96.345394682523931</v>
      </c>
      <c r="U23">
        <f t="shared" si="12"/>
        <v>29.329234321774546</v>
      </c>
      <c r="V23">
        <f t="shared" si="13"/>
        <v>29.984119354838711</v>
      </c>
      <c r="W23">
        <f t="shared" si="14"/>
        <v>4.2565650570208691</v>
      </c>
      <c r="X23">
        <f t="shared" si="15"/>
        <v>65.089120199243141</v>
      </c>
      <c r="Y23">
        <f t="shared" si="16"/>
        <v>2.750899137914812</v>
      </c>
      <c r="Z23">
        <f t="shared" si="17"/>
        <v>4.2263578452037507</v>
      </c>
      <c r="AA23">
        <f t="shared" si="18"/>
        <v>1.5056659191060571</v>
      </c>
      <c r="AB23">
        <f t="shared" si="19"/>
        <v>-185.52850182428253</v>
      </c>
      <c r="AC23">
        <f t="shared" si="20"/>
        <v>-19.330573584701714</v>
      </c>
      <c r="AD23">
        <f t="shared" si="21"/>
        <v>-1.4843248093323413</v>
      </c>
      <c r="AE23">
        <f t="shared" si="22"/>
        <v>-109.99800553579264</v>
      </c>
      <c r="AF23">
        <f t="shared" si="23"/>
        <v>32.140516197602331</v>
      </c>
      <c r="AG23">
        <f t="shared" si="24"/>
        <v>4.2069955062195579</v>
      </c>
      <c r="AH23">
        <f t="shared" si="25"/>
        <v>32.056968547797446</v>
      </c>
      <c r="AI23">
        <v>471.60376976015431</v>
      </c>
      <c r="AJ23">
        <v>432.21972121212121</v>
      </c>
      <c r="AK23">
        <v>1.242965370043725E-3</v>
      </c>
      <c r="AL23">
        <v>67.024832180169653</v>
      </c>
      <c r="AM23">
        <f t="shared" si="26"/>
        <v>4.1854690687785387</v>
      </c>
      <c r="AN23">
        <v>23.192227194285721</v>
      </c>
      <c r="AO23">
        <v>28.073833939393928</v>
      </c>
      <c r="AP23">
        <v>-8.4697524697608528E-5</v>
      </c>
      <c r="AQ23">
        <v>78.55</v>
      </c>
      <c r="AR23">
        <v>0</v>
      </c>
      <c r="AS23">
        <v>0</v>
      </c>
      <c r="AT23">
        <f t="shared" si="27"/>
        <v>1</v>
      </c>
      <c r="AU23">
        <f t="shared" si="28"/>
        <v>0</v>
      </c>
      <c r="AV23">
        <f t="shared" si="29"/>
        <v>51306.543494874153</v>
      </c>
      <c r="AW23" t="s">
        <v>896</v>
      </c>
      <c r="AX23">
        <v>5088.1000000000004</v>
      </c>
      <c r="AY23">
        <v>575.46470588235297</v>
      </c>
      <c r="AZ23">
        <v>2514.35</v>
      </c>
      <c r="BA23">
        <f t="shared" si="30"/>
        <v>0.77112784382351185</v>
      </c>
      <c r="BB23">
        <v>-4.3047851237252033</v>
      </c>
      <c r="BC23" t="s">
        <v>921</v>
      </c>
      <c r="BD23">
        <v>5084.88</v>
      </c>
      <c r="BE23">
        <v>716.08241176470585</v>
      </c>
      <c r="BF23">
        <v>1481.94</v>
      </c>
      <c r="BG23">
        <f t="shared" si="31"/>
        <v>0.51679392433924054</v>
      </c>
      <c r="BH23">
        <v>0.5</v>
      </c>
      <c r="BI23">
        <f t="shared" si="32"/>
        <v>504.30617152529231</v>
      </c>
      <c r="BJ23">
        <f t="shared" si="33"/>
        <v>32.140516197602331</v>
      </c>
      <c r="BK23">
        <f t="shared" si="34"/>
        <v>130.31118272552698</v>
      </c>
      <c r="BL23">
        <f t="shared" si="35"/>
        <v>7.2268204077490059E-2</v>
      </c>
      <c r="BM23">
        <f t="shared" si="36"/>
        <v>0.69666113337921898</v>
      </c>
      <c r="BN23">
        <f t="shared" si="37"/>
        <v>496.32715905266258</v>
      </c>
      <c r="BO23" t="s">
        <v>407</v>
      </c>
      <c r="BP23">
        <v>0</v>
      </c>
      <c r="BQ23">
        <f t="shared" si="38"/>
        <v>496.32715905266258</v>
      </c>
      <c r="BR23">
        <f t="shared" si="39"/>
        <v>0.66508282450526846</v>
      </c>
      <c r="BS23">
        <f t="shared" si="40"/>
        <v>0.77703694231416265</v>
      </c>
      <c r="BT23">
        <f t="shared" si="41"/>
        <v>0.51159480410803826</v>
      </c>
      <c r="BU23">
        <f t="shared" si="42"/>
        <v>0.84487419922544216</v>
      </c>
      <c r="BV23">
        <f t="shared" si="43"/>
        <v>0.53247605886341598</v>
      </c>
      <c r="BW23">
        <f t="shared" si="44"/>
        <v>0.53857563280646481</v>
      </c>
      <c r="BX23">
        <f t="shared" si="45"/>
        <v>0.46142436719353519</v>
      </c>
      <c r="DG23">
        <f t="shared" si="46"/>
        <v>600.00377419354845</v>
      </c>
      <c r="DH23">
        <f t="shared" si="47"/>
        <v>504.30617152529231</v>
      </c>
      <c r="DI23">
        <f t="shared" si="48"/>
        <v>0.84050499882791385</v>
      </c>
      <c r="DJ23">
        <f t="shared" si="49"/>
        <v>0.160574647737874</v>
      </c>
      <c r="DK23">
        <v>6</v>
      </c>
      <c r="DL23">
        <v>0.5</v>
      </c>
      <c r="DM23" t="s">
        <v>408</v>
      </c>
      <c r="DN23">
        <v>2</v>
      </c>
      <c r="DO23" t="b">
        <v>0</v>
      </c>
      <c r="DP23">
        <v>1783527748.599999</v>
      </c>
      <c r="DQ23">
        <v>420.01448387096781</v>
      </c>
      <c r="DR23">
        <v>460.69958064516129</v>
      </c>
      <c r="DS23">
        <v>28.089883870967739</v>
      </c>
      <c r="DT23">
        <v>23.183770967741928</v>
      </c>
      <c r="DU23">
        <v>425.74687096774198</v>
      </c>
      <c r="DV23">
        <v>28.393874193548381</v>
      </c>
      <c r="DW23">
        <v>500.04819354838719</v>
      </c>
      <c r="DX23">
        <v>97.880561290322589</v>
      </c>
      <c r="DY23">
        <v>5.1461161290322577E-2</v>
      </c>
      <c r="DZ23">
        <v>29.860199999999999</v>
      </c>
      <c r="EA23">
        <v>29.984119354838711</v>
      </c>
      <c r="EB23">
        <v>999.90000000000032</v>
      </c>
      <c r="EC23">
        <v>0</v>
      </c>
      <c r="ED23">
        <v>0</v>
      </c>
      <c r="EE23">
        <v>10007.903225806451</v>
      </c>
      <c r="EF23">
        <v>0</v>
      </c>
      <c r="EG23">
        <v>1479.739129032258</v>
      </c>
      <c r="EH23">
        <v>-40.685045161290333</v>
      </c>
      <c r="EI23">
        <v>432.15370967741939</v>
      </c>
      <c r="EJ23">
        <v>471.63377419354828</v>
      </c>
      <c r="EK23">
        <v>4.9061093548387102</v>
      </c>
      <c r="EL23">
        <v>460.69958064516129</v>
      </c>
      <c r="EM23">
        <v>23.183770967741928</v>
      </c>
      <c r="EN23">
        <v>2.749453548387097</v>
      </c>
      <c r="EO23">
        <v>2.269240645161291</v>
      </c>
      <c r="EP23">
        <v>22.583706451612901</v>
      </c>
      <c r="EQ23">
        <v>19.459700000000002</v>
      </c>
      <c r="ER23">
        <v>600.00377419354845</v>
      </c>
      <c r="ES23">
        <v>0.98302287096774177</v>
      </c>
      <c r="ET23">
        <v>1.6977045161290321E-2</v>
      </c>
      <c r="EU23">
        <v>0</v>
      </c>
      <c r="EV23">
        <v>716.22909677419352</v>
      </c>
      <c r="EW23">
        <v>5.0010700000000003</v>
      </c>
      <c r="EX23">
        <v>8717.6103225806455</v>
      </c>
      <c r="EY23">
        <v>5415.1945161290332</v>
      </c>
      <c r="EZ23">
        <v>42.368903225806449</v>
      </c>
      <c r="FA23">
        <v>45.949193548387072</v>
      </c>
      <c r="FB23">
        <v>44.128999999999998</v>
      </c>
      <c r="FC23">
        <v>45.441064516129003</v>
      </c>
      <c r="FD23">
        <v>44.27</v>
      </c>
      <c r="FE23">
        <v>584.90032258064514</v>
      </c>
      <c r="FF23">
        <v>10.1</v>
      </c>
      <c r="FG23">
        <v>0</v>
      </c>
      <c r="FH23">
        <v>208</v>
      </c>
      <c r="FI23">
        <v>0</v>
      </c>
      <c r="FJ23">
        <v>716.08241176470585</v>
      </c>
      <c r="FK23">
        <v>-2.3892157203221509</v>
      </c>
      <c r="FL23">
        <v>-279.07107945200949</v>
      </c>
      <c r="FM23">
        <v>8706.3623529411761</v>
      </c>
      <c r="FN23">
        <v>10</v>
      </c>
      <c r="FO23">
        <v>1783527691.0999999</v>
      </c>
      <c r="FP23" t="s">
        <v>922</v>
      </c>
      <c r="FQ23">
        <v>1783527685.5999999</v>
      </c>
      <c r="FR23">
        <v>1783527690.5999999</v>
      </c>
      <c r="FS23">
        <v>20</v>
      </c>
      <c r="FT23">
        <v>3.7999999999999999E-2</v>
      </c>
      <c r="FU23">
        <v>1.7000000000000001E-2</v>
      </c>
      <c r="FV23">
        <v>-5.7320000000000002</v>
      </c>
      <c r="FW23">
        <v>-0.43099999999999999</v>
      </c>
      <c r="FX23">
        <v>462</v>
      </c>
      <c r="FY23">
        <v>23</v>
      </c>
      <c r="FZ23">
        <v>0.22</v>
      </c>
      <c r="GA23">
        <v>0.04</v>
      </c>
      <c r="GB23">
        <v>420.01226666666668</v>
      </c>
      <c r="GC23">
        <v>0.34977530589593581</v>
      </c>
      <c r="GD23">
        <v>6.2153001178992182E-2</v>
      </c>
      <c r="GE23">
        <v>-1</v>
      </c>
      <c r="GF23">
        <v>716.33232352941172</v>
      </c>
      <c r="GG23">
        <v>-2.5345912951987168</v>
      </c>
      <c r="GH23">
        <v>0.32926055484339117</v>
      </c>
      <c r="GI23">
        <v>1</v>
      </c>
      <c r="GJ23">
        <v>4.9187972499999999</v>
      </c>
      <c r="GK23">
        <v>-0.2315550844277868</v>
      </c>
      <c r="GL23">
        <v>2.255134208727938E-2</v>
      </c>
      <c r="GM23">
        <v>1</v>
      </c>
      <c r="GN23">
        <v>2</v>
      </c>
      <c r="GO23">
        <v>2</v>
      </c>
      <c r="GP23" t="s">
        <v>423</v>
      </c>
      <c r="GQ23">
        <v>3.13144</v>
      </c>
      <c r="GR23">
        <v>2.72783</v>
      </c>
      <c r="GS23">
        <v>9.0933200000000006E-2</v>
      </c>
      <c r="GT23">
        <v>9.7115599999999996E-2</v>
      </c>
      <c r="GU23">
        <v>0.12520800000000001</v>
      </c>
      <c r="GV23">
        <v>0.108935</v>
      </c>
      <c r="GW23">
        <v>22694.799999999999</v>
      </c>
      <c r="GX23">
        <v>30248.3</v>
      </c>
      <c r="GY23">
        <v>27093.599999999999</v>
      </c>
      <c r="GZ23">
        <v>34469.5</v>
      </c>
      <c r="HA23">
        <v>34738.699999999997</v>
      </c>
      <c r="HB23">
        <v>39008.699999999997</v>
      </c>
      <c r="HC23">
        <v>40021.699999999997</v>
      </c>
      <c r="HD23">
        <v>43851.9</v>
      </c>
      <c r="HE23">
        <v>1.9216</v>
      </c>
      <c r="HF23">
        <v>1.5962000000000001</v>
      </c>
      <c r="HG23">
        <v>-9.8943699999999996E-2</v>
      </c>
      <c r="HH23">
        <v>0</v>
      </c>
      <c r="HI23">
        <v>31.598600000000001</v>
      </c>
      <c r="HJ23">
        <v>999.9</v>
      </c>
      <c r="HK23">
        <v>45.6</v>
      </c>
      <c r="HL23">
        <v>46.6</v>
      </c>
      <c r="HM23">
        <v>48.739400000000003</v>
      </c>
      <c r="HN23">
        <v>60.038800000000002</v>
      </c>
      <c r="HO23">
        <v>8.5376600000000007</v>
      </c>
      <c r="HP23">
        <v>1</v>
      </c>
      <c r="HQ23">
        <v>0.78670700000000005</v>
      </c>
      <c r="HR23">
        <v>4.3095400000000001</v>
      </c>
      <c r="HS23">
        <v>20.181999999999999</v>
      </c>
      <c r="HT23">
        <v>5.2065099999999997</v>
      </c>
      <c r="HU23">
        <v>11.914099999999999</v>
      </c>
      <c r="HV23">
        <v>4.9832000000000001</v>
      </c>
      <c r="HW23">
        <v>3.2709999999999999</v>
      </c>
      <c r="HX23">
        <v>9999</v>
      </c>
      <c r="HY23">
        <v>9999</v>
      </c>
      <c r="HZ23">
        <v>9999</v>
      </c>
      <c r="IA23">
        <v>999.9</v>
      </c>
      <c r="IB23">
        <v>1.8677699999999999</v>
      </c>
      <c r="IC23">
        <v>1.8635600000000001</v>
      </c>
      <c r="ID23">
        <v>1.8631</v>
      </c>
      <c r="IE23">
        <v>1.8626400000000001</v>
      </c>
      <c r="IF23">
        <v>1.8626400000000001</v>
      </c>
      <c r="IG23">
        <v>1.86304</v>
      </c>
      <c r="IH23">
        <v>1.8640099999999999</v>
      </c>
      <c r="II23">
        <v>1.86191</v>
      </c>
      <c r="IJ23">
        <v>0</v>
      </c>
      <c r="IK23">
        <v>0</v>
      </c>
      <c r="IL23">
        <v>0</v>
      </c>
      <c r="IM23">
        <v>4.5</v>
      </c>
      <c r="IN23" t="s">
        <v>411</v>
      </c>
      <c r="IO23" t="s">
        <v>412</v>
      </c>
      <c r="IP23" t="s">
        <v>413</v>
      </c>
      <c r="IQ23" t="s">
        <v>414</v>
      </c>
      <c r="IR23" t="s">
        <v>414</v>
      </c>
      <c r="IS23" t="s">
        <v>413</v>
      </c>
      <c r="IT23">
        <v>0</v>
      </c>
      <c r="IU23">
        <v>100</v>
      </c>
      <c r="IV23">
        <v>100</v>
      </c>
      <c r="IW23">
        <v>-5.7320000000000002</v>
      </c>
      <c r="IX23">
        <v>-0.3044</v>
      </c>
      <c r="IY23">
        <v>-5.7323809523809928</v>
      </c>
      <c r="IZ23">
        <v>0</v>
      </c>
      <c r="JA23">
        <v>0</v>
      </c>
      <c r="JB23">
        <v>0</v>
      </c>
      <c r="JC23">
        <v>-0.8222413170717493</v>
      </c>
      <c r="JD23">
        <v>2.7492919904454862E-4</v>
      </c>
      <c r="JE23">
        <v>8.6739513355948885E-4</v>
      </c>
      <c r="JF23">
        <v>-8.2500691715147318E-6</v>
      </c>
      <c r="JG23">
        <v>-1</v>
      </c>
      <c r="JH23">
        <v>-1</v>
      </c>
      <c r="JI23">
        <v>2</v>
      </c>
      <c r="JJ23">
        <v>37</v>
      </c>
      <c r="JK23">
        <v>1.2</v>
      </c>
      <c r="JL23">
        <v>1.1000000000000001</v>
      </c>
      <c r="JM23">
        <v>1.1376999999999999</v>
      </c>
      <c r="JN23">
        <v>2.5878899999999998</v>
      </c>
      <c r="JO23">
        <v>1.50024</v>
      </c>
      <c r="JP23">
        <v>2.2705099999999998</v>
      </c>
      <c r="JQ23">
        <v>1.4477500000000001</v>
      </c>
      <c r="JR23">
        <v>2.48169</v>
      </c>
      <c r="JS23">
        <v>53.4878</v>
      </c>
      <c r="JT23">
        <v>23.8949</v>
      </c>
      <c r="JU23">
        <v>18</v>
      </c>
      <c r="JV23">
        <v>535.33900000000006</v>
      </c>
      <c r="JW23">
        <v>345.47199999999998</v>
      </c>
      <c r="JX23">
        <v>26.272200000000002</v>
      </c>
      <c r="JY23">
        <v>36.696599999999997</v>
      </c>
      <c r="JZ23">
        <v>30</v>
      </c>
      <c r="KA23">
        <v>36.906799999999997</v>
      </c>
      <c r="KB23">
        <v>37.113199999999999</v>
      </c>
      <c r="KC23">
        <v>22.761900000000001</v>
      </c>
      <c r="KD23">
        <v>52.881500000000003</v>
      </c>
      <c r="KE23">
        <v>0</v>
      </c>
      <c r="KF23">
        <v>26.282299999999999</v>
      </c>
      <c r="KG23">
        <v>460.58699999999999</v>
      </c>
      <c r="KH23">
        <v>23.138500000000001</v>
      </c>
      <c r="KI23">
        <v>100.012</v>
      </c>
      <c r="KJ23">
        <v>98.545000000000002</v>
      </c>
    </row>
    <row r="24" spans="1:296" x14ac:dyDescent="0.3">
      <c r="A24">
        <v>8</v>
      </c>
      <c r="B24">
        <v>1783527939.0999999</v>
      </c>
      <c r="C24">
        <v>1336.599999904633</v>
      </c>
      <c r="D24" t="s">
        <v>923</v>
      </c>
      <c r="E24" t="s">
        <v>924</v>
      </c>
      <c r="F24">
        <v>15</v>
      </c>
      <c r="H24">
        <v>1783527931.349999</v>
      </c>
      <c r="I24">
        <f t="shared" si="0"/>
        <v>3.6175448178510806E-3</v>
      </c>
      <c r="J24">
        <f t="shared" si="1"/>
        <v>3.6175448178510807</v>
      </c>
      <c r="K24">
        <f t="shared" si="2"/>
        <v>21.027213104933633</v>
      </c>
      <c r="L24">
        <f t="shared" si="3"/>
        <v>420.05566666666658</v>
      </c>
      <c r="M24">
        <f t="shared" si="4"/>
        <v>262.61576495656033</v>
      </c>
      <c r="N24">
        <f t="shared" si="5"/>
        <v>25.717905350784875</v>
      </c>
      <c r="O24">
        <f t="shared" si="6"/>
        <v>41.135961046287932</v>
      </c>
      <c r="P24">
        <f t="shared" si="7"/>
        <v>0.23496226006688359</v>
      </c>
      <c r="Q24">
        <f t="shared" si="8"/>
        <v>2.8904519334936891</v>
      </c>
      <c r="R24">
        <f t="shared" si="9"/>
        <v>0.22484359104026758</v>
      </c>
      <c r="S24">
        <f t="shared" si="10"/>
        <v>0.14140005242004294</v>
      </c>
      <c r="T24">
        <f t="shared" si="11"/>
        <v>64.410017457358705</v>
      </c>
      <c r="U24">
        <f t="shared" si="12"/>
        <v>29.297533798155477</v>
      </c>
      <c r="V24">
        <f t="shared" si="13"/>
        <v>30.01737000000001</v>
      </c>
      <c r="W24">
        <f t="shared" si="14"/>
        <v>4.2647023507328203</v>
      </c>
      <c r="X24">
        <f t="shared" si="15"/>
        <v>64.945346021536494</v>
      </c>
      <c r="Y24">
        <f t="shared" si="16"/>
        <v>2.7454882847163162</v>
      </c>
      <c r="Z24">
        <f t="shared" si="17"/>
        <v>4.2273826423311167</v>
      </c>
      <c r="AA24">
        <f t="shared" si="18"/>
        <v>1.5192140660165041</v>
      </c>
      <c r="AB24">
        <f t="shared" si="19"/>
        <v>-159.53372646723264</v>
      </c>
      <c r="AC24">
        <f t="shared" si="20"/>
        <v>-23.834724760943502</v>
      </c>
      <c r="AD24">
        <f t="shared" si="21"/>
        <v>-1.8324381723876473</v>
      </c>
      <c r="AE24">
        <f t="shared" si="22"/>
        <v>-120.79087194320509</v>
      </c>
      <c r="AF24">
        <f t="shared" si="23"/>
        <v>21.027213104933633</v>
      </c>
      <c r="AG24">
        <f t="shared" si="24"/>
        <v>3.6175448178510807</v>
      </c>
      <c r="AH24">
        <f t="shared" si="25"/>
        <v>21.129194525152197</v>
      </c>
      <c r="AI24">
        <v>458.10863362128111</v>
      </c>
      <c r="AJ24">
        <v>432.13382424242423</v>
      </c>
      <c r="AK24">
        <v>2.848383006613942E-4</v>
      </c>
      <c r="AL24">
        <v>67.020830480009352</v>
      </c>
      <c r="AM24">
        <f t="shared" si="26"/>
        <v>3.5759837401288097</v>
      </c>
      <c r="AN24">
        <v>23.821899252727292</v>
      </c>
      <c r="AO24">
        <v>28.005191515151509</v>
      </c>
      <c r="AP24">
        <v>-2.020858379711458E-3</v>
      </c>
      <c r="AQ24">
        <v>78.55</v>
      </c>
      <c r="AR24">
        <v>0</v>
      </c>
      <c r="AS24">
        <v>0</v>
      </c>
      <c r="AT24">
        <f t="shared" si="27"/>
        <v>1</v>
      </c>
      <c r="AU24">
        <f t="shared" si="28"/>
        <v>0</v>
      </c>
      <c r="AV24">
        <f t="shared" si="29"/>
        <v>51220.349618197099</v>
      </c>
      <c r="AW24" t="s">
        <v>896</v>
      </c>
      <c r="AX24">
        <v>5088.1000000000004</v>
      </c>
      <c r="AY24">
        <v>575.46470588235297</v>
      </c>
      <c r="AZ24">
        <v>2514.35</v>
      </c>
      <c r="BA24">
        <f t="shared" si="30"/>
        <v>0.77112784382351185</v>
      </c>
      <c r="BB24">
        <v>-4.3047851237252033</v>
      </c>
      <c r="BC24" t="s">
        <v>925</v>
      </c>
      <c r="BD24">
        <v>5087.05</v>
      </c>
      <c r="BE24">
        <v>693.91</v>
      </c>
      <c r="BF24">
        <v>1564.71</v>
      </c>
      <c r="BG24">
        <f t="shared" si="31"/>
        <v>0.55652485125039153</v>
      </c>
      <c r="BH24">
        <v>0.5</v>
      </c>
      <c r="BI24">
        <f t="shared" si="32"/>
        <v>336.29044858930502</v>
      </c>
      <c r="BJ24">
        <f t="shared" si="33"/>
        <v>21.027213104933633</v>
      </c>
      <c r="BK24">
        <f t="shared" si="34"/>
        <v>93.576995939045204</v>
      </c>
      <c r="BL24">
        <f t="shared" si="35"/>
        <v>7.5327736291420991E-2</v>
      </c>
      <c r="BM24">
        <f t="shared" si="36"/>
        <v>0.60691118482019024</v>
      </c>
      <c r="BN24">
        <f t="shared" si="37"/>
        <v>505.27890365422797</v>
      </c>
      <c r="BO24" t="s">
        <v>407</v>
      </c>
      <c r="BP24">
        <v>0</v>
      </c>
      <c r="BQ24">
        <f t="shared" si="38"/>
        <v>505.27890365422797</v>
      </c>
      <c r="BR24">
        <f t="shared" si="39"/>
        <v>0.67707824219553281</v>
      </c>
      <c r="BS24">
        <f t="shared" si="40"/>
        <v>0.82195057611919731</v>
      </c>
      <c r="BT24">
        <f t="shared" si="41"/>
        <v>0.47267615453095035</v>
      </c>
      <c r="BU24">
        <f t="shared" si="42"/>
        <v>0.88026701282082542</v>
      </c>
      <c r="BV24">
        <f t="shared" si="43"/>
        <v>0.48978658143475401</v>
      </c>
      <c r="BW24">
        <f t="shared" si="44"/>
        <v>0.59851318753075922</v>
      </c>
      <c r="BX24">
        <f t="shared" si="45"/>
        <v>0.40148681246924078</v>
      </c>
      <c r="DG24">
        <f t="shared" si="46"/>
        <v>399.99353333333329</v>
      </c>
      <c r="DH24">
        <f t="shared" si="47"/>
        <v>336.29044858930502</v>
      </c>
      <c r="DI24">
        <f t="shared" si="48"/>
        <v>0.84073971343196308</v>
      </c>
      <c r="DJ24">
        <f t="shared" si="49"/>
        <v>0.16102764692368871</v>
      </c>
      <c r="DK24">
        <v>6</v>
      </c>
      <c r="DL24">
        <v>0.5</v>
      </c>
      <c r="DM24" t="s">
        <v>408</v>
      </c>
      <c r="DN24">
        <v>2</v>
      </c>
      <c r="DO24" t="b">
        <v>0</v>
      </c>
      <c r="DP24">
        <v>1783527931.349999</v>
      </c>
      <c r="DQ24">
        <v>420.05566666666658</v>
      </c>
      <c r="DR24">
        <v>447.11149999999998</v>
      </c>
      <c r="DS24">
        <v>28.03527333333334</v>
      </c>
      <c r="DT24">
        <v>23.81597</v>
      </c>
      <c r="DU24">
        <v>425.68599999999998</v>
      </c>
      <c r="DV24">
        <v>28.340836666666672</v>
      </c>
      <c r="DW24">
        <v>500.00566666666663</v>
      </c>
      <c r="DX24">
        <v>97.877613333333329</v>
      </c>
      <c r="DY24">
        <v>5.2171479999999999E-2</v>
      </c>
      <c r="DZ24">
        <v>29.864416666666671</v>
      </c>
      <c r="EA24">
        <v>30.01737000000001</v>
      </c>
      <c r="EB24">
        <v>999.9000000000002</v>
      </c>
      <c r="EC24">
        <v>0</v>
      </c>
      <c r="ED24">
        <v>0</v>
      </c>
      <c r="EE24">
        <v>9990.8333333333339</v>
      </c>
      <c r="EF24">
        <v>0</v>
      </c>
      <c r="EG24">
        <v>1390.934833333333</v>
      </c>
      <c r="EH24">
        <v>-27.055769999999999</v>
      </c>
      <c r="EI24">
        <v>432.17176666666671</v>
      </c>
      <c r="EJ24">
        <v>458.01976666666673</v>
      </c>
      <c r="EK24">
        <v>4.2193206666666656</v>
      </c>
      <c r="EL24">
        <v>447.11149999999998</v>
      </c>
      <c r="EM24">
        <v>23.81597</v>
      </c>
      <c r="EN24">
        <v>2.7440259999999999</v>
      </c>
      <c r="EO24">
        <v>2.3310486666666672</v>
      </c>
      <c r="EP24">
        <v>22.551159999999999</v>
      </c>
      <c r="EQ24">
        <v>19.892579999999999</v>
      </c>
      <c r="ER24">
        <v>399.99353333333329</v>
      </c>
      <c r="ES24">
        <v>0.97502890000000009</v>
      </c>
      <c r="ET24">
        <v>2.4970606666666669E-2</v>
      </c>
      <c r="EU24">
        <v>0</v>
      </c>
      <c r="EV24">
        <v>693.99639999999999</v>
      </c>
      <c r="EW24">
        <v>5.0010700000000003</v>
      </c>
      <c r="EX24">
        <v>6987.2316666666666</v>
      </c>
      <c r="EY24">
        <v>3583.6559999999999</v>
      </c>
      <c r="EZ24">
        <v>41.75</v>
      </c>
      <c r="FA24">
        <v>45.57879999999998</v>
      </c>
      <c r="FB24">
        <v>43.686999999999983</v>
      </c>
      <c r="FC24">
        <v>45.145666666666664</v>
      </c>
      <c r="FD24">
        <v>43.811999999999983</v>
      </c>
      <c r="FE24">
        <v>385.12900000000008</v>
      </c>
      <c r="FF24">
        <v>9.8626666666666658</v>
      </c>
      <c r="FG24">
        <v>0</v>
      </c>
      <c r="FH24">
        <v>181.60000014305109</v>
      </c>
      <c r="FI24">
        <v>0</v>
      </c>
      <c r="FJ24">
        <v>693.91</v>
      </c>
      <c r="FK24">
        <v>-2.261029429740014</v>
      </c>
      <c r="FL24">
        <v>-222.29656761481959</v>
      </c>
      <c r="FM24">
        <v>6988.152352941177</v>
      </c>
      <c r="FN24">
        <v>10</v>
      </c>
      <c r="FO24">
        <v>1783527863.0999999</v>
      </c>
      <c r="FP24" t="s">
        <v>926</v>
      </c>
      <c r="FQ24">
        <v>1783527860.5999999</v>
      </c>
      <c r="FR24">
        <v>1783527862.5999999</v>
      </c>
      <c r="FS24">
        <v>21</v>
      </c>
      <c r="FT24">
        <v>0.10199999999999999</v>
      </c>
      <c r="FU24">
        <v>7.0000000000000001E-3</v>
      </c>
      <c r="FV24">
        <v>-5.63</v>
      </c>
      <c r="FW24">
        <v>-0.42899999999999999</v>
      </c>
      <c r="FX24">
        <v>449</v>
      </c>
      <c r="FY24">
        <v>23</v>
      </c>
      <c r="FZ24">
        <v>0.28999999999999998</v>
      </c>
      <c r="GA24">
        <v>0.05</v>
      </c>
      <c r="GB24">
        <v>420.05836666666659</v>
      </c>
      <c r="GC24">
        <v>-0.62044938820917417</v>
      </c>
      <c r="GD24">
        <v>8.0113038195342989E-2</v>
      </c>
      <c r="GE24">
        <v>-1</v>
      </c>
      <c r="GF24">
        <v>694.03152941176472</v>
      </c>
      <c r="GG24">
        <v>-1.5087547768265039</v>
      </c>
      <c r="GH24">
        <v>0.28090758740974331</v>
      </c>
      <c r="GI24">
        <v>1</v>
      </c>
      <c r="GJ24">
        <v>4.2055242499999999</v>
      </c>
      <c r="GK24">
        <v>0.1002726078799157</v>
      </c>
      <c r="GL24">
        <v>3.4561990602936861E-2</v>
      </c>
      <c r="GM24">
        <v>1</v>
      </c>
      <c r="GN24">
        <v>2</v>
      </c>
      <c r="GO24">
        <v>2</v>
      </c>
      <c r="GP24" t="s">
        <v>423</v>
      </c>
      <c r="GQ24">
        <v>3.1312000000000002</v>
      </c>
      <c r="GR24">
        <v>2.7278500000000001</v>
      </c>
      <c r="GS24">
        <v>9.0896400000000002E-2</v>
      </c>
      <c r="GT24">
        <v>9.4975100000000007E-2</v>
      </c>
      <c r="GU24">
        <v>0.124987</v>
      </c>
      <c r="GV24">
        <v>0.111008</v>
      </c>
      <c r="GW24">
        <v>22695.200000000001</v>
      </c>
      <c r="GX24">
        <v>30318.5</v>
      </c>
      <c r="GY24">
        <v>27093</v>
      </c>
      <c r="GZ24">
        <v>34467.599999999999</v>
      </c>
      <c r="HA24">
        <v>34746.699999999997</v>
      </c>
      <c r="HB24">
        <v>38916.5</v>
      </c>
      <c r="HC24">
        <v>40020.699999999997</v>
      </c>
      <c r="HD24">
        <v>43850.3</v>
      </c>
      <c r="HE24">
        <v>1.9221999999999999</v>
      </c>
      <c r="HF24">
        <v>1.5928</v>
      </c>
      <c r="HG24">
        <v>-9.8943699999999996E-2</v>
      </c>
      <c r="HH24">
        <v>0</v>
      </c>
      <c r="HI24">
        <v>31.620799999999999</v>
      </c>
      <c r="HJ24">
        <v>999.9</v>
      </c>
      <c r="HK24">
        <v>45</v>
      </c>
      <c r="HL24">
        <v>47.1</v>
      </c>
      <c r="HM24">
        <v>49.345799999999997</v>
      </c>
      <c r="HN24">
        <v>60.248800000000003</v>
      </c>
      <c r="HO24">
        <v>8.6458399999999997</v>
      </c>
      <c r="HP24">
        <v>1</v>
      </c>
      <c r="HQ24">
        <v>0.78945100000000001</v>
      </c>
      <c r="HR24">
        <v>4.60222</v>
      </c>
      <c r="HS24">
        <v>20.175799999999999</v>
      </c>
      <c r="HT24">
        <v>5.2088999999999999</v>
      </c>
      <c r="HU24">
        <v>11.914099999999999</v>
      </c>
      <c r="HV24">
        <v>4.9832000000000001</v>
      </c>
      <c r="HW24">
        <v>3.2709999999999999</v>
      </c>
      <c r="HX24">
        <v>9999</v>
      </c>
      <c r="HY24">
        <v>9999</v>
      </c>
      <c r="HZ24">
        <v>9999</v>
      </c>
      <c r="IA24">
        <v>999.9</v>
      </c>
      <c r="IB24">
        <v>1.8677699999999999</v>
      </c>
      <c r="IC24">
        <v>1.8635600000000001</v>
      </c>
      <c r="ID24">
        <v>1.8631</v>
      </c>
      <c r="IE24">
        <v>1.8626400000000001</v>
      </c>
      <c r="IF24">
        <v>1.8626100000000001</v>
      </c>
      <c r="IG24">
        <v>1.8629800000000001</v>
      </c>
      <c r="IH24">
        <v>1.8640099999999999</v>
      </c>
      <c r="II24">
        <v>1.86191</v>
      </c>
      <c r="IJ24">
        <v>0</v>
      </c>
      <c r="IK24">
        <v>0</v>
      </c>
      <c r="IL24">
        <v>0</v>
      </c>
      <c r="IM24">
        <v>4.5</v>
      </c>
      <c r="IN24" t="s">
        <v>411</v>
      </c>
      <c r="IO24" t="s">
        <v>412</v>
      </c>
      <c r="IP24" t="s">
        <v>413</v>
      </c>
      <c r="IQ24" t="s">
        <v>414</v>
      </c>
      <c r="IR24" t="s">
        <v>414</v>
      </c>
      <c r="IS24" t="s">
        <v>413</v>
      </c>
      <c r="IT24">
        <v>0</v>
      </c>
      <c r="IU24">
        <v>100</v>
      </c>
      <c r="IV24">
        <v>100</v>
      </c>
      <c r="IW24">
        <v>-5.63</v>
      </c>
      <c r="IX24">
        <v>-0.30630000000000002</v>
      </c>
      <c r="IY24">
        <v>-5.6302499999998759</v>
      </c>
      <c r="IZ24">
        <v>0</v>
      </c>
      <c r="JA24">
        <v>0</v>
      </c>
      <c r="JB24">
        <v>0</v>
      </c>
      <c r="JC24">
        <v>-0.8222413170717493</v>
      </c>
      <c r="JD24">
        <v>2.7492919904454862E-4</v>
      </c>
      <c r="JE24">
        <v>8.6739513355948885E-4</v>
      </c>
      <c r="JF24">
        <v>-8.2500691715147318E-6</v>
      </c>
      <c r="JG24">
        <v>-1</v>
      </c>
      <c r="JH24">
        <v>-1</v>
      </c>
      <c r="JI24">
        <v>2</v>
      </c>
      <c r="JJ24">
        <v>37</v>
      </c>
      <c r="JK24">
        <v>1.3</v>
      </c>
      <c r="JL24">
        <v>1.3</v>
      </c>
      <c r="JM24">
        <v>1.11206</v>
      </c>
      <c r="JN24">
        <v>2.5964399999999999</v>
      </c>
      <c r="JO24">
        <v>1.50024</v>
      </c>
      <c r="JP24">
        <v>2.2705099999999998</v>
      </c>
      <c r="JQ24">
        <v>1.4477500000000001</v>
      </c>
      <c r="JR24">
        <v>2.3999000000000001</v>
      </c>
      <c r="JS24">
        <v>53.949300000000001</v>
      </c>
      <c r="JT24">
        <v>23.886099999999999</v>
      </c>
      <c r="JU24">
        <v>18</v>
      </c>
      <c r="JV24">
        <v>535.9</v>
      </c>
      <c r="JW24">
        <v>343.77699999999999</v>
      </c>
      <c r="JX24">
        <v>26.195499999999999</v>
      </c>
      <c r="JY24">
        <v>36.696599999999997</v>
      </c>
      <c r="JZ24">
        <v>30.0002</v>
      </c>
      <c r="KA24">
        <v>36.927100000000003</v>
      </c>
      <c r="KB24">
        <v>37.136800000000001</v>
      </c>
      <c r="KC24">
        <v>22.2332</v>
      </c>
      <c r="KD24">
        <v>52.381100000000004</v>
      </c>
      <c r="KE24">
        <v>0</v>
      </c>
      <c r="KF24">
        <v>26.1892</v>
      </c>
      <c r="KG24">
        <v>447.08</v>
      </c>
      <c r="KH24">
        <v>23.876200000000001</v>
      </c>
      <c r="KI24">
        <v>100.01</v>
      </c>
      <c r="KJ24">
        <v>98.540700000000001</v>
      </c>
    </row>
    <row r="25" spans="1:296" x14ac:dyDescent="0.3">
      <c r="A25">
        <v>9</v>
      </c>
      <c r="B25">
        <v>1783528121.5999999</v>
      </c>
      <c r="C25">
        <v>1519.099999904633</v>
      </c>
      <c r="D25" t="s">
        <v>927</v>
      </c>
      <c r="E25" t="s">
        <v>928</v>
      </c>
      <c r="F25">
        <v>15</v>
      </c>
      <c r="H25">
        <v>1783528113.599999</v>
      </c>
      <c r="I25">
        <f t="shared" si="0"/>
        <v>3.0250602711687207E-3</v>
      </c>
      <c r="J25">
        <f t="shared" si="1"/>
        <v>3.0250602711687207</v>
      </c>
      <c r="K25">
        <f t="shared" si="2"/>
        <v>15.632482294191954</v>
      </c>
      <c r="L25">
        <f t="shared" si="3"/>
        <v>420.02170967741932</v>
      </c>
      <c r="M25">
        <f t="shared" si="4"/>
        <v>276.93465559641061</v>
      </c>
      <c r="N25">
        <f t="shared" si="5"/>
        <v>27.121012807452349</v>
      </c>
      <c r="O25">
        <f t="shared" si="6"/>
        <v>41.133942384482729</v>
      </c>
      <c r="P25">
        <f t="shared" si="7"/>
        <v>0.19247883177199956</v>
      </c>
      <c r="Q25">
        <f t="shared" si="8"/>
        <v>2.8940820907498304</v>
      </c>
      <c r="R25">
        <f t="shared" si="9"/>
        <v>0.18563938344211231</v>
      </c>
      <c r="S25">
        <f t="shared" si="10"/>
        <v>0.11661886469763234</v>
      </c>
      <c r="T25">
        <f t="shared" si="11"/>
        <v>48.44193230492894</v>
      </c>
      <c r="U25">
        <f t="shared" si="12"/>
        <v>29.280145763725354</v>
      </c>
      <c r="V25">
        <f t="shared" si="13"/>
        <v>30.00514193548387</v>
      </c>
      <c r="W25">
        <f t="shared" si="14"/>
        <v>4.2617082520820571</v>
      </c>
      <c r="X25">
        <f t="shared" si="15"/>
        <v>64.699240663589023</v>
      </c>
      <c r="Y25">
        <f t="shared" si="16"/>
        <v>2.7227638595304815</v>
      </c>
      <c r="Z25">
        <f t="shared" si="17"/>
        <v>4.208339744955893</v>
      </c>
      <c r="AA25">
        <f t="shared" si="18"/>
        <v>1.5389443925515756</v>
      </c>
      <c r="AB25">
        <f t="shared" si="19"/>
        <v>-133.40515795854057</v>
      </c>
      <c r="AC25">
        <f t="shared" si="20"/>
        <v>-34.204871676952202</v>
      </c>
      <c r="AD25">
        <f t="shared" si="21"/>
        <v>-2.6252276694844232</v>
      </c>
      <c r="AE25">
        <f t="shared" si="22"/>
        <v>-121.79332500004824</v>
      </c>
      <c r="AF25">
        <f t="shared" si="23"/>
        <v>15.632482294191954</v>
      </c>
      <c r="AG25">
        <f t="shared" si="24"/>
        <v>3.0250602711687207</v>
      </c>
      <c r="AH25">
        <f t="shared" si="25"/>
        <v>15.608326351172328</v>
      </c>
      <c r="AI25">
        <v>451.4070722179647</v>
      </c>
      <c r="AJ25">
        <v>432.06788484848471</v>
      </c>
      <c r="AK25">
        <v>2.7790694642644279E-2</v>
      </c>
      <c r="AL25">
        <v>67.017636626074733</v>
      </c>
      <c r="AM25">
        <f t="shared" si="26"/>
        <v>3.0553234520908696</v>
      </c>
      <c r="AN25">
        <v>24.283943699393951</v>
      </c>
      <c r="AO25">
        <v>27.83872909090908</v>
      </c>
      <c r="AP25">
        <v>1.51610142238917E-3</v>
      </c>
      <c r="AQ25">
        <v>78.55</v>
      </c>
      <c r="AR25">
        <v>0</v>
      </c>
      <c r="AS25">
        <v>0</v>
      </c>
      <c r="AT25">
        <f t="shared" si="27"/>
        <v>1</v>
      </c>
      <c r="AU25">
        <f t="shared" si="28"/>
        <v>0</v>
      </c>
      <c r="AV25">
        <f t="shared" si="29"/>
        <v>51336.184123803716</v>
      </c>
      <c r="AW25" t="s">
        <v>896</v>
      </c>
      <c r="AX25">
        <v>5088.1000000000004</v>
      </c>
      <c r="AY25">
        <v>575.46470588235297</v>
      </c>
      <c r="AZ25">
        <v>2514.35</v>
      </c>
      <c r="BA25">
        <f t="shared" si="30"/>
        <v>0.77112784382351185</v>
      </c>
      <c r="BB25">
        <v>-4.3047851237252033</v>
      </c>
      <c r="BC25" t="s">
        <v>929</v>
      </c>
      <c r="BD25">
        <v>5088.96</v>
      </c>
      <c r="BE25">
        <v>688.3711176470589</v>
      </c>
      <c r="BF25">
        <v>1641.97</v>
      </c>
      <c r="BG25">
        <f t="shared" si="31"/>
        <v>0.58076510676379045</v>
      </c>
      <c r="BH25">
        <v>0.5</v>
      </c>
      <c r="BI25">
        <f t="shared" si="32"/>
        <v>252.28619750380736</v>
      </c>
      <c r="BJ25">
        <f t="shared" si="33"/>
        <v>15.632482294191954</v>
      </c>
      <c r="BK25">
        <f t="shared" si="34"/>
        <v>73.259510214164706</v>
      </c>
      <c r="BL25">
        <f t="shared" si="35"/>
        <v>7.9026389930096252E-2</v>
      </c>
      <c r="BM25">
        <f t="shared" si="36"/>
        <v>0.53130081548383945</v>
      </c>
      <c r="BN25">
        <f t="shared" si="37"/>
        <v>513.07482592208748</v>
      </c>
      <c r="BO25" t="s">
        <v>407</v>
      </c>
      <c r="BP25">
        <v>0</v>
      </c>
      <c r="BQ25">
        <f t="shared" si="38"/>
        <v>513.07482592208748</v>
      </c>
      <c r="BR25">
        <f t="shared" si="39"/>
        <v>0.68752484763906319</v>
      </c>
      <c r="BS25">
        <f t="shared" si="40"/>
        <v>0.84471871636075124</v>
      </c>
      <c r="BT25">
        <f t="shared" si="41"/>
        <v>0.43591206811524508</v>
      </c>
      <c r="BU25">
        <f t="shared" si="42"/>
        <v>0.89413422287967459</v>
      </c>
      <c r="BV25">
        <f t="shared" si="43"/>
        <v>0.44993894308585436</v>
      </c>
      <c r="BW25">
        <f t="shared" si="44"/>
        <v>0.62960792113322828</v>
      </c>
      <c r="BX25">
        <f t="shared" si="45"/>
        <v>0.37039207886677172</v>
      </c>
      <c r="DG25">
        <f t="shared" si="46"/>
        <v>299.99345161290319</v>
      </c>
      <c r="DH25">
        <f t="shared" si="47"/>
        <v>252.28619750380736</v>
      </c>
      <c r="DI25">
        <f t="shared" si="48"/>
        <v>0.8409723483876077</v>
      </c>
      <c r="DJ25">
        <f t="shared" si="49"/>
        <v>0.16147663238808302</v>
      </c>
      <c r="DK25">
        <v>6</v>
      </c>
      <c r="DL25">
        <v>0.5</v>
      </c>
      <c r="DM25" t="s">
        <v>408</v>
      </c>
      <c r="DN25">
        <v>2</v>
      </c>
      <c r="DO25" t="b">
        <v>0</v>
      </c>
      <c r="DP25">
        <v>1783528113.599999</v>
      </c>
      <c r="DQ25">
        <v>420.02170967741932</v>
      </c>
      <c r="DR25">
        <v>440.3038064516129</v>
      </c>
      <c r="DS25">
        <v>27.80234193548387</v>
      </c>
      <c r="DT25">
        <v>24.273470967741929</v>
      </c>
      <c r="DU25">
        <v>425.68116129032239</v>
      </c>
      <c r="DV25">
        <v>28.114577419354841</v>
      </c>
      <c r="DW25">
        <v>500.03922580645161</v>
      </c>
      <c r="DX25">
        <v>97.879809677419374</v>
      </c>
      <c r="DY25">
        <v>5.3086258064516133E-2</v>
      </c>
      <c r="DZ25">
        <v>29.785916129032259</v>
      </c>
      <c r="EA25">
        <v>30.00514193548387</v>
      </c>
      <c r="EB25">
        <v>999.90000000000032</v>
      </c>
      <c r="EC25">
        <v>0</v>
      </c>
      <c r="ED25">
        <v>0</v>
      </c>
      <c r="EE25">
        <v>10011.451612903231</v>
      </c>
      <c r="EF25">
        <v>0</v>
      </c>
      <c r="EG25">
        <v>1587.754709677419</v>
      </c>
      <c r="EH25">
        <v>-20.282006451612901</v>
      </c>
      <c r="EI25">
        <v>432.03329032258068</v>
      </c>
      <c r="EJ25">
        <v>451.25722580645157</v>
      </c>
      <c r="EK25">
        <v>3.5288722580645162</v>
      </c>
      <c r="EL25">
        <v>440.3038064516129</v>
      </c>
      <c r="EM25">
        <v>24.273470967741929</v>
      </c>
      <c r="EN25">
        <v>2.7212890322580652</v>
      </c>
      <c r="EO25">
        <v>2.3758825806451611</v>
      </c>
      <c r="EP25">
        <v>22.414219354838711</v>
      </c>
      <c r="EQ25">
        <v>20.200329032258072</v>
      </c>
      <c r="ER25">
        <v>299.99345161290319</v>
      </c>
      <c r="ES25">
        <v>0.96703412903225794</v>
      </c>
      <c r="ET25">
        <v>3.2965938709677407E-2</v>
      </c>
      <c r="EU25">
        <v>0</v>
      </c>
      <c r="EV25">
        <v>688.43993548387107</v>
      </c>
      <c r="EW25">
        <v>5.0010700000000003</v>
      </c>
      <c r="EX25">
        <v>6293.5335483870958</v>
      </c>
      <c r="EY25">
        <v>2668.0029032258062</v>
      </c>
      <c r="EZ25">
        <v>41.514000000000003</v>
      </c>
      <c r="FA25">
        <v>45.483741935483849</v>
      </c>
      <c r="FB25">
        <v>43.521999999999998</v>
      </c>
      <c r="FC25">
        <v>45.125</v>
      </c>
      <c r="FD25">
        <v>43.620935483870959</v>
      </c>
      <c r="FE25">
        <v>285.26774193548391</v>
      </c>
      <c r="FF25">
        <v>9.7232258064516177</v>
      </c>
      <c r="FG25">
        <v>0</v>
      </c>
      <c r="FH25">
        <v>182</v>
      </c>
      <c r="FI25">
        <v>0</v>
      </c>
      <c r="FJ25">
        <v>688.3711176470589</v>
      </c>
      <c r="FK25">
        <v>2.0990196247354338</v>
      </c>
      <c r="FL25">
        <v>736.47304090691011</v>
      </c>
      <c r="FM25">
        <v>6350.3923529411768</v>
      </c>
      <c r="FN25">
        <v>10</v>
      </c>
      <c r="FO25">
        <v>1783528031.0999999</v>
      </c>
      <c r="FP25" t="s">
        <v>930</v>
      </c>
      <c r="FQ25">
        <v>1783528027.5999999</v>
      </c>
      <c r="FR25">
        <v>1783528030.5999999</v>
      </c>
      <c r="FS25">
        <v>22</v>
      </c>
      <c r="FT25">
        <v>-2.9000000000000001E-2</v>
      </c>
      <c r="FU25">
        <v>-5.0000000000000001E-3</v>
      </c>
      <c r="FV25">
        <v>-5.66</v>
      </c>
      <c r="FW25">
        <v>-0.42299999999999999</v>
      </c>
      <c r="FX25">
        <v>441</v>
      </c>
      <c r="FY25">
        <v>24</v>
      </c>
      <c r="FZ25">
        <v>0.51</v>
      </c>
      <c r="GA25">
        <v>7.0000000000000007E-2</v>
      </c>
      <c r="GB25">
        <v>420.024</v>
      </c>
      <c r="GC25">
        <v>-0.26557508342739572</v>
      </c>
      <c r="GD25">
        <v>5.2830546719362187E-2</v>
      </c>
      <c r="GE25">
        <v>-1</v>
      </c>
      <c r="GF25">
        <v>688.50423529411773</v>
      </c>
      <c r="GG25">
        <v>-1.229702065064783</v>
      </c>
      <c r="GH25">
        <v>0.26400123204074799</v>
      </c>
      <c r="GI25">
        <v>1</v>
      </c>
      <c r="GJ25">
        <v>3.5547752500000001</v>
      </c>
      <c r="GK25">
        <v>-0.32711290806755861</v>
      </c>
      <c r="GL25">
        <v>7.1103333993122297E-2</v>
      </c>
      <c r="GM25">
        <v>1</v>
      </c>
      <c r="GN25">
        <v>2</v>
      </c>
      <c r="GO25">
        <v>2</v>
      </c>
      <c r="GP25" t="s">
        <v>423</v>
      </c>
      <c r="GQ25">
        <v>3.13198</v>
      </c>
      <c r="GR25">
        <v>2.7293400000000001</v>
      </c>
      <c r="GS25">
        <v>9.0873800000000005E-2</v>
      </c>
      <c r="GT25">
        <v>9.3864100000000006E-2</v>
      </c>
      <c r="GU25">
        <v>0.124459</v>
      </c>
      <c r="GV25">
        <v>0.112473</v>
      </c>
      <c r="GW25">
        <v>22689.5</v>
      </c>
      <c r="GX25">
        <v>30345.200000000001</v>
      </c>
      <c r="GY25">
        <v>27086.3</v>
      </c>
      <c r="GZ25">
        <v>34456.800000000003</v>
      </c>
      <c r="HA25">
        <v>34760.199999999997</v>
      </c>
      <c r="HB25">
        <v>38842.1</v>
      </c>
      <c r="HC25">
        <v>40011.300000000003</v>
      </c>
      <c r="HD25">
        <v>43838.400000000001</v>
      </c>
      <c r="HE25">
        <v>1.9214</v>
      </c>
      <c r="HF25">
        <v>1.5862000000000001</v>
      </c>
      <c r="HG25">
        <v>-0.10222199999999999</v>
      </c>
      <c r="HH25">
        <v>0</v>
      </c>
      <c r="HI25">
        <v>31.637499999999999</v>
      </c>
      <c r="HJ25">
        <v>999.9</v>
      </c>
      <c r="HK25">
        <v>44.3</v>
      </c>
      <c r="HL25">
        <v>47.7</v>
      </c>
      <c r="HM25">
        <v>50.078699999999998</v>
      </c>
      <c r="HN25">
        <v>60.168799999999997</v>
      </c>
      <c r="HO25">
        <v>8.6177899999999994</v>
      </c>
      <c r="HP25">
        <v>1</v>
      </c>
      <c r="HQ25">
        <v>0.804512</v>
      </c>
      <c r="HR25">
        <v>4.7065799999999998</v>
      </c>
      <c r="HS25">
        <v>20.1736</v>
      </c>
      <c r="HT25">
        <v>5.2088999999999999</v>
      </c>
      <c r="HU25">
        <v>11.914099999999999</v>
      </c>
      <c r="HV25">
        <v>4.9828000000000001</v>
      </c>
      <c r="HW25">
        <v>3.2709999999999999</v>
      </c>
      <c r="HX25">
        <v>9999</v>
      </c>
      <c r="HY25">
        <v>9999</v>
      </c>
      <c r="HZ25">
        <v>9999</v>
      </c>
      <c r="IA25">
        <v>999.9</v>
      </c>
      <c r="IB25">
        <v>1.8677699999999999</v>
      </c>
      <c r="IC25">
        <v>1.8635600000000001</v>
      </c>
      <c r="ID25">
        <v>1.8631</v>
      </c>
      <c r="IE25">
        <v>1.8627</v>
      </c>
      <c r="IF25">
        <v>1.8626400000000001</v>
      </c>
      <c r="IG25">
        <v>1.86304</v>
      </c>
      <c r="IH25">
        <v>1.8640099999999999</v>
      </c>
      <c r="II25">
        <v>1.8619399999999999</v>
      </c>
      <c r="IJ25">
        <v>0</v>
      </c>
      <c r="IK25">
        <v>0</v>
      </c>
      <c r="IL25">
        <v>0</v>
      </c>
      <c r="IM25">
        <v>4.5</v>
      </c>
      <c r="IN25" t="s">
        <v>411</v>
      </c>
      <c r="IO25" t="s">
        <v>412</v>
      </c>
      <c r="IP25" t="s">
        <v>413</v>
      </c>
      <c r="IQ25" t="s">
        <v>414</v>
      </c>
      <c r="IR25" t="s">
        <v>414</v>
      </c>
      <c r="IS25" t="s">
        <v>413</v>
      </c>
      <c r="IT25">
        <v>0</v>
      </c>
      <c r="IU25">
        <v>100</v>
      </c>
      <c r="IV25">
        <v>100</v>
      </c>
      <c r="IW25">
        <v>-5.6589999999999998</v>
      </c>
      <c r="IX25">
        <v>-0.31109999999999999</v>
      </c>
      <c r="IY25">
        <v>-5.6595238095237619</v>
      </c>
      <c r="IZ25">
        <v>0</v>
      </c>
      <c r="JA25">
        <v>0</v>
      </c>
      <c r="JB25">
        <v>0</v>
      </c>
      <c r="JC25">
        <v>-0.8222413170717493</v>
      </c>
      <c r="JD25">
        <v>2.7492919904454862E-4</v>
      </c>
      <c r="JE25">
        <v>8.6739513355948885E-4</v>
      </c>
      <c r="JF25">
        <v>-8.2500691715147318E-6</v>
      </c>
      <c r="JG25">
        <v>-1</v>
      </c>
      <c r="JH25">
        <v>-1</v>
      </c>
      <c r="JI25">
        <v>2</v>
      </c>
      <c r="JJ25">
        <v>37</v>
      </c>
      <c r="JK25">
        <v>1.6</v>
      </c>
      <c r="JL25">
        <v>1.5</v>
      </c>
      <c r="JM25">
        <v>1.09863</v>
      </c>
      <c r="JN25">
        <v>2.5915499999999998</v>
      </c>
      <c r="JO25">
        <v>1.50024</v>
      </c>
      <c r="JP25">
        <v>2.2692899999999998</v>
      </c>
      <c r="JQ25">
        <v>1.4477500000000001</v>
      </c>
      <c r="JR25">
        <v>2.49512</v>
      </c>
      <c r="JS25">
        <v>54.380800000000001</v>
      </c>
      <c r="JT25">
        <v>23.8949</v>
      </c>
      <c r="JU25">
        <v>18</v>
      </c>
      <c r="JV25">
        <v>536.36800000000005</v>
      </c>
      <c r="JW25">
        <v>340.91</v>
      </c>
      <c r="JX25">
        <v>26.103400000000001</v>
      </c>
      <c r="JY25">
        <v>36.8551</v>
      </c>
      <c r="JZ25">
        <v>30.0001</v>
      </c>
      <c r="KA25">
        <v>37.0565</v>
      </c>
      <c r="KB25">
        <v>37.265500000000003</v>
      </c>
      <c r="KC25">
        <v>21.969899999999999</v>
      </c>
      <c r="KD25">
        <v>52.108699999999999</v>
      </c>
      <c r="KE25">
        <v>0</v>
      </c>
      <c r="KF25">
        <v>26.110499999999998</v>
      </c>
      <c r="KG25">
        <v>440.23899999999998</v>
      </c>
      <c r="KH25">
        <v>24.1401</v>
      </c>
      <c r="KI25">
        <v>99.985699999999994</v>
      </c>
      <c r="KJ25">
        <v>98.512</v>
      </c>
    </row>
    <row r="26" spans="1:296" x14ac:dyDescent="0.3">
      <c r="A26">
        <v>10</v>
      </c>
      <c r="B26">
        <v>1783528304.0999999</v>
      </c>
      <c r="C26">
        <v>1701.599999904633</v>
      </c>
      <c r="D26" t="s">
        <v>931</v>
      </c>
      <c r="E26" t="s">
        <v>932</v>
      </c>
      <c r="F26">
        <v>15</v>
      </c>
      <c r="H26">
        <v>1783528296.099999</v>
      </c>
      <c r="I26">
        <f t="shared" si="0"/>
        <v>2.626349811400047E-3</v>
      </c>
      <c r="J26">
        <f t="shared" si="1"/>
        <v>2.626349811400047</v>
      </c>
      <c r="K26">
        <f t="shared" si="2"/>
        <v>9.7719596110635951</v>
      </c>
      <c r="L26">
        <f t="shared" si="3"/>
        <v>420.03887096774201</v>
      </c>
      <c r="M26">
        <f t="shared" si="4"/>
        <v>313.83475779991056</v>
      </c>
      <c r="N26">
        <f t="shared" si="5"/>
        <v>30.73456124172175</v>
      </c>
      <c r="O26">
        <f t="shared" si="6"/>
        <v>41.135374851922812</v>
      </c>
      <c r="P26">
        <f t="shared" si="7"/>
        <v>0.16614481523435762</v>
      </c>
      <c r="Q26">
        <f t="shared" si="8"/>
        <v>2.8933591575202202</v>
      </c>
      <c r="R26">
        <f t="shared" si="9"/>
        <v>0.1610207843194881</v>
      </c>
      <c r="S26">
        <f t="shared" si="10"/>
        <v>0.10108520022525888</v>
      </c>
      <c r="T26">
        <f t="shared" si="11"/>
        <v>32.487428687920378</v>
      </c>
      <c r="U26">
        <f t="shared" si="12"/>
        <v>29.220320627117179</v>
      </c>
      <c r="V26">
        <f t="shared" si="13"/>
        <v>29.996319354838711</v>
      </c>
      <c r="W26">
        <f t="shared" si="14"/>
        <v>4.2595491398980361</v>
      </c>
      <c r="X26">
        <f t="shared" si="15"/>
        <v>64.871259450484729</v>
      </c>
      <c r="Y26">
        <f t="shared" si="16"/>
        <v>2.7191252003786204</v>
      </c>
      <c r="Z26">
        <f t="shared" si="17"/>
        <v>4.1915714654100222</v>
      </c>
      <c r="AA26">
        <f t="shared" si="18"/>
        <v>1.5404239395194157</v>
      </c>
      <c r="AB26">
        <f t="shared" si="19"/>
        <v>-115.82202668274208</v>
      </c>
      <c r="AC26">
        <f t="shared" si="20"/>
        <v>-43.642584820495486</v>
      </c>
      <c r="AD26">
        <f t="shared" si="21"/>
        <v>-3.3491130182425519</v>
      </c>
      <c r="AE26">
        <f t="shared" si="22"/>
        <v>-130.32629583355975</v>
      </c>
      <c r="AF26">
        <f t="shared" si="23"/>
        <v>9.7719596110635951</v>
      </c>
      <c r="AG26">
        <f t="shared" si="24"/>
        <v>2.626349811400047</v>
      </c>
      <c r="AH26">
        <f t="shared" si="25"/>
        <v>9.5730937605309396</v>
      </c>
      <c r="AI26">
        <v>443.99132705766061</v>
      </c>
      <c r="AJ26">
        <v>432.07866666666661</v>
      </c>
      <c r="AK26">
        <v>2.5651362340393551E-2</v>
      </c>
      <c r="AL26">
        <v>67.014424138025859</v>
      </c>
      <c r="AM26">
        <f t="shared" si="26"/>
        <v>2.6004808675440776</v>
      </c>
      <c r="AN26">
        <v>24.698480081255418</v>
      </c>
      <c r="AO26">
        <v>27.743226666666651</v>
      </c>
      <c r="AP26">
        <v>-1.7443809523825151E-3</v>
      </c>
      <c r="AQ26">
        <v>78.55</v>
      </c>
      <c r="AR26">
        <v>0</v>
      </c>
      <c r="AS26">
        <v>0</v>
      </c>
      <c r="AT26">
        <f t="shared" si="27"/>
        <v>1</v>
      </c>
      <c r="AU26">
        <f t="shared" si="28"/>
        <v>0</v>
      </c>
      <c r="AV26">
        <f t="shared" si="29"/>
        <v>51327.53349504526</v>
      </c>
      <c r="AW26" t="s">
        <v>896</v>
      </c>
      <c r="AX26">
        <v>5088.1000000000004</v>
      </c>
      <c r="AY26">
        <v>575.46470588235297</v>
      </c>
      <c r="AZ26">
        <v>2514.35</v>
      </c>
      <c r="BA26">
        <f t="shared" si="30"/>
        <v>0.77112784382351185</v>
      </c>
      <c r="BB26">
        <v>-4.3047851237252033</v>
      </c>
      <c r="BC26" t="s">
        <v>933</v>
      </c>
      <c r="BD26">
        <v>5090.63</v>
      </c>
      <c r="BE26">
        <v>680.38623529411757</v>
      </c>
      <c r="BF26">
        <v>1766.11</v>
      </c>
      <c r="BG26">
        <f t="shared" si="31"/>
        <v>0.61475432714037193</v>
      </c>
      <c r="BH26">
        <v>0.5</v>
      </c>
      <c r="BI26">
        <f t="shared" si="32"/>
        <v>168.30499764876373</v>
      </c>
      <c r="BJ26">
        <f t="shared" si="33"/>
        <v>9.7719596110635951</v>
      </c>
      <c r="BK26">
        <f t="shared" si="34"/>
        <v>51.733112791963812</v>
      </c>
      <c r="BL26">
        <f t="shared" si="35"/>
        <v>8.3638305050011671E-2</v>
      </c>
      <c r="BM26">
        <f t="shared" si="36"/>
        <v>0.42366557009472799</v>
      </c>
      <c r="BN26">
        <f t="shared" si="37"/>
        <v>524.59702306666213</v>
      </c>
      <c r="BO26" t="s">
        <v>407</v>
      </c>
      <c r="BP26">
        <v>0</v>
      </c>
      <c r="BQ26">
        <f t="shared" si="38"/>
        <v>524.59702306666213</v>
      </c>
      <c r="BR26">
        <f t="shared" si="39"/>
        <v>0.70296469468681888</v>
      </c>
      <c r="BS26">
        <f t="shared" si="40"/>
        <v>0.87451664612296642</v>
      </c>
      <c r="BT26">
        <f t="shared" si="41"/>
        <v>0.3760466794994865</v>
      </c>
      <c r="BU26">
        <f t="shared" si="42"/>
        <v>0.91187843270357116</v>
      </c>
      <c r="BV26">
        <f t="shared" si="43"/>
        <v>0.38591246334688978</v>
      </c>
      <c r="BW26">
        <f t="shared" si="44"/>
        <v>0.67427705820655404</v>
      </c>
      <c r="BX26">
        <f t="shared" si="45"/>
        <v>0.32572294179344596</v>
      </c>
      <c r="DG26">
        <f t="shared" si="46"/>
        <v>200.0145161290323</v>
      </c>
      <c r="DH26">
        <f t="shared" si="47"/>
        <v>168.30499764876373</v>
      </c>
      <c r="DI26">
        <f t="shared" si="48"/>
        <v>0.8414639142500423</v>
      </c>
      <c r="DJ26">
        <f t="shared" si="49"/>
        <v>0.1624253545025815</v>
      </c>
      <c r="DK26">
        <v>6</v>
      </c>
      <c r="DL26">
        <v>0.5</v>
      </c>
      <c r="DM26" t="s">
        <v>408</v>
      </c>
      <c r="DN26">
        <v>2</v>
      </c>
      <c r="DO26" t="b">
        <v>0</v>
      </c>
      <c r="DP26">
        <v>1783528296.099999</v>
      </c>
      <c r="DQ26">
        <v>420.03887096774201</v>
      </c>
      <c r="DR26">
        <v>433.0894193548387</v>
      </c>
      <c r="DS26">
        <v>27.765354838709669</v>
      </c>
      <c r="DT26">
        <v>24.701148387096769</v>
      </c>
      <c r="DU26">
        <v>425.63593548387098</v>
      </c>
      <c r="DV26">
        <v>28.078651612903219</v>
      </c>
      <c r="DW26">
        <v>499.98490322580648</v>
      </c>
      <c r="DX26">
        <v>97.880206451612921</v>
      </c>
      <c r="DY26">
        <v>5.2098616129032257E-2</v>
      </c>
      <c r="DZ26">
        <v>29.71653548387097</v>
      </c>
      <c r="EA26">
        <v>29.996319354838711</v>
      </c>
      <c r="EB26">
        <v>999.90000000000032</v>
      </c>
      <c r="EC26">
        <v>0</v>
      </c>
      <c r="ED26">
        <v>0</v>
      </c>
      <c r="EE26">
        <v>10007.258064516131</v>
      </c>
      <c r="EF26">
        <v>0</v>
      </c>
      <c r="EG26">
        <v>1630.98870967742</v>
      </c>
      <c r="EH26">
        <v>-13.050451612903229</v>
      </c>
      <c r="EI26">
        <v>432.03464516129031</v>
      </c>
      <c r="EJ26">
        <v>444.05819354838712</v>
      </c>
      <c r="EK26">
        <v>3.064197419354838</v>
      </c>
      <c r="EL26">
        <v>433.0894193548387</v>
      </c>
      <c r="EM26">
        <v>24.701148387096769</v>
      </c>
      <c r="EN26">
        <v>2.7176777419354838</v>
      </c>
      <c r="EO26">
        <v>2.4177535483870969</v>
      </c>
      <c r="EP26">
        <v>22.39239677419355</v>
      </c>
      <c r="EQ26">
        <v>20.48317419354839</v>
      </c>
      <c r="ER26">
        <v>200.0145161290323</v>
      </c>
      <c r="ES26">
        <v>0.94993838709677414</v>
      </c>
      <c r="ET26">
        <v>5.0061722580645153E-2</v>
      </c>
      <c r="EU26">
        <v>0</v>
      </c>
      <c r="EV26">
        <v>680.35029032258058</v>
      </c>
      <c r="EW26">
        <v>5.0010700000000003</v>
      </c>
      <c r="EX26">
        <v>5355.6129032258077</v>
      </c>
      <c r="EY26">
        <v>1751.915806451613</v>
      </c>
      <c r="EZ26">
        <v>41.102645161290312</v>
      </c>
      <c r="FA26">
        <v>45.25</v>
      </c>
      <c r="FB26">
        <v>43.207322580645133</v>
      </c>
      <c r="FC26">
        <v>44.875</v>
      </c>
      <c r="FD26">
        <v>43.262</v>
      </c>
      <c r="FE26">
        <v>185.25064516129041</v>
      </c>
      <c r="FF26">
        <v>9.759999999999998</v>
      </c>
      <c r="FG26">
        <v>0</v>
      </c>
      <c r="FH26">
        <v>181.5999999046326</v>
      </c>
      <c r="FI26">
        <v>0</v>
      </c>
      <c r="FJ26">
        <v>680.38623529411757</v>
      </c>
      <c r="FK26">
        <v>-0.31936273089948303</v>
      </c>
      <c r="FL26">
        <v>-102.71568617241461</v>
      </c>
      <c r="FM26">
        <v>5359.2341176470591</v>
      </c>
      <c r="FN26">
        <v>10</v>
      </c>
      <c r="FO26">
        <v>1783528214.5999999</v>
      </c>
      <c r="FP26" t="s">
        <v>934</v>
      </c>
      <c r="FQ26">
        <v>1783528204.5999999</v>
      </c>
      <c r="FR26">
        <v>1783528214.0999999</v>
      </c>
      <c r="FS26">
        <v>23</v>
      </c>
      <c r="FT26">
        <v>6.2E-2</v>
      </c>
      <c r="FU26">
        <v>-8.9999999999999993E-3</v>
      </c>
      <c r="FV26">
        <v>-5.5970000000000004</v>
      </c>
      <c r="FW26">
        <v>-0.41899999999999998</v>
      </c>
      <c r="FX26">
        <v>433</v>
      </c>
      <c r="FY26">
        <v>24</v>
      </c>
      <c r="FZ26">
        <v>0.62</v>
      </c>
      <c r="GA26">
        <v>0.1</v>
      </c>
      <c r="GB26">
        <v>420.03887096774201</v>
      </c>
      <c r="GC26">
        <v>2.0129032257440699E-2</v>
      </c>
      <c r="GD26">
        <v>5.1434105626951478E-2</v>
      </c>
      <c r="GE26">
        <v>-1</v>
      </c>
      <c r="GF26">
        <v>680.26576470588236</v>
      </c>
      <c r="GG26">
        <v>1.451764710436092</v>
      </c>
      <c r="GH26">
        <v>0.25009316603118381</v>
      </c>
      <c r="GI26">
        <v>1</v>
      </c>
      <c r="GJ26">
        <v>3.0696675609756099</v>
      </c>
      <c r="GK26">
        <v>-0.15078857142856389</v>
      </c>
      <c r="GL26">
        <v>1.5411203998562399E-2</v>
      </c>
      <c r="GM26">
        <v>1</v>
      </c>
      <c r="GN26">
        <v>2</v>
      </c>
      <c r="GO26">
        <v>2</v>
      </c>
      <c r="GP26" t="s">
        <v>423</v>
      </c>
      <c r="GQ26">
        <v>3.1322399999999999</v>
      </c>
      <c r="GR26">
        <v>2.72803</v>
      </c>
      <c r="GS26">
        <v>9.0838500000000003E-2</v>
      </c>
      <c r="GT26">
        <v>9.2691899999999994E-2</v>
      </c>
      <c r="GU26">
        <v>0.124129</v>
      </c>
      <c r="GV26">
        <v>0.113789</v>
      </c>
      <c r="GW26">
        <v>22686.9</v>
      </c>
      <c r="GX26">
        <v>30380.9</v>
      </c>
      <c r="GY26">
        <v>27082.6</v>
      </c>
      <c r="GZ26">
        <v>34453.300000000003</v>
      </c>
      <c r="HA26">
        <v>34769.9</v>
      </c>
      <c r="HB26">
        <v>38781.800000000003</v>
      </c>
      <c r="HC26">
        <v>40007</v>
      </c>
      <c r="HD26">
        <v>43835</v>
      </c>
      <c r="HE26">
        <v>1.9188000000000001</v>
      </c>
      <c r="HF26">
        <v>1.5842000000000001</v>
      </c>
      <c r="HG26">
        <v>-0.101149</v>
      </c>
      <c r="HH26">
        <v>0</v>
      </c>
      <c r="HI26">
        <v>31.637499999999999</v>
      </c>
      <c r="HJ26">
        <v>999.9</v>
      </c>
      <c r="HK26">
        <v>43.6</v>
      </c>
      <c r="HL26">
        <v>48.1</v>
      </c>
      <c r="HM26">
        <v>50.2913</v>
      </c>
      <c r="HN26">
        <v>59.958799999999997</v>
      </c>
      <c r="HO26">
        <v>8.4014399999999991</v>
      </c>
      <c r="HP26">
        <v>1</v>
      </c>
      <c r="HQ26">
        <v>0.80969500000000005</v>
      </c>
      <c r="HR26">
        <v>4.4315899999999999</v>
      </c>
      <c r="HS26">
        <v>20.1816</v>
      </c>
      <c r="HT26">
        <v>5.2100999999999997</v>
      </c>
      <c r="HU26">
        <v>11.914099999999999</v>
      </c>
      <c r="HV26">
        <v>4.9828000000000001</v>
      </c>
      <c r="HW26">
        <v>3.2709999999999999</v>
      </c>
      <c r="HX26">
        <v>9999</v>
      </c>
      <c r="HY26">
        <v>9999</v>
      </c>
      <c r="HZ26">
        <v>9999</v>
      </c>
      <c r="IA26">
        <v>999.9</v>
      </c>
      <c r="IB26">
        <v>1.86768</v>
      </c>
      <c r="IC26">
        <v>1.8635600000000001</v>
      </c>
      <c r="ID26">
        <v>1.8631</v>
      </c>
      <c r="IE26">
        <v>1.8627</v>
      </c>
      <c r="IF26">
        <v>1.8626100000000001</v>
      </c>
      <c r="IG26">
        <v>1.8629800000000001</v>
      </c>
      <c r="IH26">
        <v>1.8640099999999999</v>
      </c>
      <c r="II26">
        <v>1.8619399999999999</v>
      </c>
      <c r="IJ26">
        <v>0</v>
      </c>
      <c r="IK26">
        <v>0</v>
      </c>
      <c r="IL26">
        <v>0</v>
      </c>
      <c r="IM26">
        <v>4.5</v>
      </c>
      <c r="IN26" t="s">
        <v>411</v>
      </c>
      <c r="IO26" t="s">
        <v>412</v>
      </c>
      <c r="IP26" t="s">
        <v>413</v>
      </c>
      <c r="IQ26" t="s">
        <v>414</v>
      </c>
      <c r="IR26" t="s">
        <v>414</v>
      </c>
      <c r="IS26" t="s">
        <v>413</v>
      </c>
      <c r="IT26">
        <v>0</v>
      </c>
      <c r="IU26">
        <v>100</v>
      </c>
      <c r="IV26">
        <v>100</v>
      </c>
      <c r="IW26">
        <v>-5.5970000000000004</v>
      </c>
      <c r="IX26">
        <v>-0.314</v>
      </c>
      <c r="IY26">
        <v>-5.5970476190475438</v>
      </c>
      <c r="IZ26">
        <v>0</v>
      </c>
      <c r="JA26">
        <v>0</v>
      </c>
      <c r="JB26">
        <v>0</v>
      </c>
      <c r="JC26">
        <v>-0.8222413170717493</v>
      </c>
      <c r="JD26">
        <v>2.7492919904454862E-4</v>
      </c>
      <c r="JE26">
        <v>8.6739513355948885E-4</v>
      </c>
      <c r="JF26">
        <v>-8.2500691715147318E-6</v>
      </c>
      <c r="JG26">
        <v>-1</v>
      </c>
      <c r="JH26">
        <v>-1</v>
      </c>
      <c r="JI26">
        <v>2</v>
      </c>
      <c r="JJ26">
        <v>37</v>
      </c>
      <c r="JK26">
        <v>1.7</v>
      </c>
      <c r="JL26">
        <v>1.5</v>
      </c>
      <c r="JM26">
        <v>1.0839799999999999</v>
      </c>
      <c r="JN26">
        <v>2.5915499999999998</v>
      </c>
      <c r="JO26">
        <v>1.50024</v>
      </c>
      <c r="JP26">
        <v>2.2692899999999998</v>
      </c>
      <c r="JQ26">
        <v>1.4477500000000001</v>
      </c>
      <c r="JR26">
        <v>2.4340799999999998</v>
      </c>
      <c r="JS26">
        <v>54.598500000000001</v>
      </c>
      <c r="JT26">
        <v>23.8949</v>
      </c>
      <c r="JU26">
        <v>18</v>
      </c>
      <c r="JV26">
        <v>535.33799999999997</v>
      </c>
      <c r="JW26">
        <v>340.28699999999998</v>
      </c>
      <c r="JX26">
        <v>26.306000000000001</v>
      </c>
      <c r="JY26">
        <v>36.9452</v>
      </c>
      <c r="JZ26">
        <v>30.000299999999999</v>
      </c>
      <c r="KA26">
        <v>37.148899999999998</v>
      </c>
      <c r="KB26">
        <v>37.353900000000003</v>
      </c>
      <c r="KC26">
        <v>21.698899999999998</v>
      </c>
      <c r="KD26">
        <v>51.378</v>
      </c>
      <c r="KE26">
        <v>0</v>
      </c>
      <c r="KF26">
        <v>26.308499999999999</v>
      </c>
      <c r="KG26">
        <v>433.01499999999999</v>
      </c>
      <c r="KH26">
        <v>24.7881</v>
      </c>
      <c r="KI26">
        <v>99.973699999999994</v>
      </c>
      <c r="KJ26">
        <v>98.503299999999996</v>
      </c>
    </row>
    <row r="27" spans="1:296" x14ac:dyDescent="0.3">
      <c r="A27">
        <v>11</v>
      </c>
      <c r="B27">
        <v>1783528486.0999999</v>
      </c>
      <c r="C27">
        <v>1883.599999904633</v>
      </c>
      <c r="D27" t="s">
        <v>935</v>
      </c>
      <c r="E27" t="s">
        <v>936</v>
      </c>
      <c r="F27">
        <v>15</v>
      </c>
      <c r="H27">
        <v>1783528478.349999</v>
      </c>
      <c r="I27">
        <f t="shared" si="0"/>
        <v>2.1621691307362615E-3</v>
      </c>
      <c r="J27">
        <f t="shared" si="1"/>
        <v>2.1621691307362614</v>
      </c>
      <c r="K27">
        <f t="shared" si="2"/>
        <v>2.4019864916562712</v>
      </c>
      <c r="L27">
        <f t="shared" si="3"/>
        <v>419.9974666666667</v>
      </c>
      <c r="M27">
        <f t="shared" si="4"/>
        <v>381.06594326618108</v>
      </c>
      <c r="N27">
        <f t="shared" si="5"/>
        <v>37.320215968626286</v>
      </c>
      <c r="O27">
        <f t="shared" si="6"/>
        <v>41.133028126124323</v>
      </c>
      <c r="P27">
        <f t="shared" si="7"/>
        <v>0.13733618637186026</v>
      </c>
      <c r="Q27">
        <f t="shared" si="8"/>
        <v>2.892190518368329</v>
      </c>
      <c r="R27">
        <f t="shared" si="9"/>
        <v>0.13381339734912565</v>
      </c>
      <c r="S27">
        <f t="shared" si="10"/>
        <v>8.3942355566160032E-2</v>
      </c>
      <c r="T27">
        <f t="shared" si="11"/>
        <v>16.510706061454087</v>
      </c>
      <c r="U27">
        <f t="shared" si="12"/>
        <v>29.237619906890977</v>
      </c>
      <c r="V27">
        <f t="shared" si="13"/>
        <v>29.955780000000001</v>
      </c>
      <c r="W27">
        <f t="shared" si="14"/>
        <v>4.2496403675798051</v>
      </c>
      <c r="X27">
        <f t="shared" si="15"/>
        <v>65.010628158124192</v>
      </c>
      <c r="Y27">
        <f t="shared" si="16"/>
        <v>2.7235119154826744</v>
      </c>
      <c r="Z27">
        <f t="shared" si="17"/>
        <v>4.1893333330948979</v>
      </c>
      <c r="AA27">
        <f t="shared" si="18"/>
        <v>1.5261284520971308</v>
      </c>
      <c r="AB27">
        <f t="shared" si="19"/>
        <v>-95.351658665469131</v>
      </c>
      <c r="AC27">
        <f t="shared" si="20"/>
        <v>-38.750696365150546</v>
      </c>
      <c r="AD27">
        <f t="shared" si="21"/>
        <v>-2.9741790923499298</v>
      </c>
      <c r="AE27">
        <f t="shared" si="22"/>
        <v>-120.56582806151552</v>
      </c>
      <c r="AF27">
        <f t="shared" si="23"/>
        <v>2.4019864916562712</v>
      </c>
      <c r="AG27">
        <f t="shared" si="24"/>
        <v>2.1621691307362614</v>
      </c>
      <c r="AH27">
        <f t="shared" si="25"/>
        <v>2.544226612579874</v>
      </c>
      <c r="AI27">
        <v>434.99072474191212</v>
      </c>
      <c r="AJ27">
        <v>431.92723030303023</v>
      </c>
      <c r="AK27">
        <v>-1.313216265602395E-2</v>
      </c>
      <c r="AL27">
        <v>67.007121559743908</v>
      </c>
      <c r="AM27">
        <f t="shared" si="26"/>
        <v>2.1617768754173028</v>
      </c>
      <c r="AN27">
        <v>25.27433432125542</v>
      </c>
      <c r="AO27">
        <v>27.796657575757578</v>
      </c>
      <c r="AP27">
        <v>-9.8609596975450468E-5</v>
      </c>
      <c r="AQ27">
        <v>78.55</v>
      </c>
      <c r="AR27">
        <v>0</v>
      </c>
      <c r="AS27">
        <v>0</v>
      </c>
      <c r="AT27">
        <f t="shared" si="27"/>
        <v>1</v>
      </c>
      <c r="AU27">
        <f t="shared" si="28"/>
        <v>0</v>
      </c>
      <c r="AV27">
        <f t="shared" si="29"/>
        <v>51296.174455267348</v>
      </c>
      <c r="AW27" t="s">
        <v>896</v>
      </c>
      <c r="AX27">
        <v>5088.1000000000004</v>
      </c>
      <c r="AY27">
        <v>575.46470588235297</v>
      </c>
      <c r="AZ27">
        <v>2514.35</v>
      </c>
      <c r="BA27">
        <f t="shared" si="30"/>
        <v>0.77112784382351185</v>
      </c>
      <c r="BB27">
        <v>-4.3047851237252033</v>
      </c>
      <c r="BC27" t="s">
        <v>937</v>
      </c>
      <c r="BD27">
        <v>5091.3599999999997</v>
      </c>
      <c r="BE27">
        <v>665.01164705882343</v>
      </c>
      <c r="BF27">
        <v>1854.3</v>
      </c>
      <c r="BG27">
        <f t="shared" si="31"/>
        <v>0.64136782232711886</v>
      </c>
      <c r="BH27">
        <v>0.5</v>
      </c>
      <c r="BI27">
        <f t="shared" si="32"/>
        <v>84.286074514743049</v>
      </c>
      <c r="BJ27">
        <f t="shared" si="33"/>
        <v>2.4019864916562712</v>
      </c>
      <c r="BK27">
        <f t="shared" si="34"/>
        <v>27.02918803201101</v>
      </c>
      <c r="BL27">
        <f t="shared" si="35"/>
        <v>7.9571526542125862E-2</v>
      </c>
      <c r="BM27">
        <f t="shared" si="36"/>
        <v>0.35595642560534974</v>
      </c>
      <c r="BN27">
        <f t="shared" si="37"/>
        <v>532.11415597942516</v>
      </c>
      <c r="BO27" t="s">
        <v>407</v>
      </c>
      <c r="BP27">
        <v>0</v>
      </c>
      <c r="BQ27">
        <f t="shared" si="38"/>
        <v>532.11415597942516</v>
      </c>
      <c r="BR27">
        <f t="shared" si="39"/>
        <v>0.71303771990539544</v>
      </c>
      <c r="BS27">
        <f t="shared" si="40"/>
        <v>0.89948652704125454</v>
      </c>
      <c r="BT27">
        <f t="shared" si="41"/>
        <v>0.33298257722008423</v>
      </c>
      <c r="BU27">
        <f t="shared" si="42"/>
        <v>0.92997773709533504</v>
      </c>
      <c r="BV27">
        <f t="shared" si="43"/>
        <v>0.34042756526263573</v>
      </c>
      <c r="BW27">
        <f t="shared" si="44"/>
        <v>0.7197310246644214</v>
      </c>
      <c r="BX27">
        <f t="shared" si="45"/>
        <v>0.2802689753355786</v>
      </c>
      <c r="DG27">
        <f t="shared" si="46"/>
        <v>100.00097</v>
      </c>
      <c r="DH27">
        <f t="shared" si="47"/>
        <v>84.286074514743049</v>
      </c>
      <c r="DI27">
        <f t="shared" si="48"/>
        <v>0.84285256947750664</v>
      </c>
      <c r="DJ27">
        <f t="shared" si="49"/>
        <v>0.16510545909158769</v>
      </c>
      <c r="DK27">
        <v>6</v>
      </c>
      <c r="DL27">
        <v>0.5</v>
      </c>
      <c r="DM27" t="s">
        <v>408</v>
      </c>
      <c r="DN27">
        <v>2</v>
      </c>
      <c r="DO27" t="b">
        <v>0</v>
      </c>
      <c r="DP27">
        <v>1783528478.349999</v>
      </c>
      <c r="DQ27">
        <v>419.9974666666667</v>
      </c>
      <c r="DR27">
        <v>423.96910000000003</v>
      </c>
      <c r="DS27">
        <v>27.808993333333341</v>
      </c>
      <c r="DT27">
        <v>25.286846666666669</v>
      </c>
      <c r="DU27">
        <v>425.50313333333332</v>
      </c>
      <c r="DV27">
        <v>28.121040000000001</v>
      </c>
      <c r="DW27">
        <v>500.06006666666661</v>
      </c>
      <c r="DX27">
        <v>97.883930000000007</v>
      </c>
      <c r="DY27">
        <v>5.2441979999999999E-2</v>
      </c>
      <c r="DZ27">
        <v>29.70725666666667</v>
      </c>
      <c r="EA27">
        <v>29.955780000000001</v>
      </c>
      <c r="EB27">
        <v>999.9000000000002</v>
      </c>
      <c r="EC27">
        <v>0</v>
      </c>
      <c r="ED27">
        <v>0</v>
      </c>
      <c r="EE27">
        <v>10000.16666666667</v>
      </c>
      <c r="EF27">
        <v>0</v>
      </c>
      <c r="EG27">
        <v>1034.323466666666</v>
      </c>
      <c r="EH27">
        <v>-3.9715509999999998</v>
      </c>
      <c r="EI27">
        <v>432.01140000000009</v>
      </c>
      <c r="EJ27">
        <v>434.96800000000007</v>
      </c>
      <c r="EK27">
        <v>2.5221460000000002</v>
      </c>
      <c r="EL27">
        <v>423.96910000000003</v>
      </c>
      <c r="EM27">
        <v>25.286846666666669</v>
      </c>
      <c r="EN27">
        <v>2.7220550000000001</v>
      </c>
      <c r="EO27">
        <v>2.4751759999999989</v>
      </c>
      <c r="EP27">
        <v>22.41885666666667</v>
      </c>
      <c r="EQ27">
        <v>20.86418333333334</v>
      </c>
      <c r="ER27">
        <v>100.00097</v>
      </c>
      <c r="ES27">
        <v>0.89990946666666671</v>
      </c>
      <c r="ET27">
        <v>0.10009060666666671</v>
      </c>
      <c r="EU27">
        <v>0</v>
      </c>
      <c r="EV27">
        <v>665.0839666666667</v>
      </c>
      <c r="EW27">
        <v>5.0010700000000003</v>
      </c>
      <c r="EX27">
        <v>4863.3779999999997</v>
      </c>
      <c r="EY27">
        <v>836.54896666666662</v>
      </c>
      <c r="EZ27">
        <v>40.758266666666671</v>
      </c>
      <c r="FA27">
        <v>44.791399999999989</v>
      </c>
      <c r="FB27">
        <v>42.770599999999988</v>
      </c>
      <c r="FC27">
        <v>44.687066666666652</v>
      </c>
      <c r="FD27">
        <v>43.033066666666663</v>
      </c>
      <c r="FE27">
        <v>85.491333333333344</v>
      </c>
      <c r="FF27">
        <v>9.5086666666666666</v>
      </c>
      <c r="FG27">
        <v>0</v>
      </c>
      <c r="FH27">
        <v>181.4000000953674</v>
      </c>
      <c r="FI27">
        <v>0</v>
      </c>
      <c r="FJ27">
        <v>665.01164705882343</v>
      </c>
      <c r="FK27">
        <v>-5.9612745061125594</v>
      </c>
      <c r="FL27">
        <v>-37.075988158408997</v>
      </c>
      <c r="FM27">
        <v>4861.4264705882351</v>
      </c>
      <c r="FN27">
        <v>10</v>
      </c>
      <c r="FO27">
        <v>1783528399.0999999</v>
      </c>
      <c r="FP27" t="s">
        <v>938</v>
      </c>
      <c r="FQ27">
        <v>1783528392.0999999</v>
      </c>
      <c r="FR27">
        <v>1783528398.5999999</v>
      </c>
      <c r="FS27">
        <v>24</v>
      </c>
      <c r="FT27">
        <v>9.0999999999999998E-2</v>
      </c>
      <c r="FU27">
        <v>-2.1000000000000001E-2</v>
      </c>
      <c r="FV27">
        <v>-5.5060000000000002</v>
      </c>
      <c r="FW27">
        <v>-0.41499999999999998</v>
      </c>
      <c r="FX27">
        <v>423</v>
      </c>
      <c r="FY27">
        <v>25</v>
      </c>
      <c r="FZ27">
        <v>1.33</v>
      </c>
      <c r="GA27">
        <v>0.1</v>
      </c>
      <c r="GB27">
        <v>420.00138709677429</v>
      </c>
      <c r="GC27">
        <v>-0.21014516129184829</v>
      </c>
      <c r="GD27">
        <v>5.2726731556239748E-2</v>
      </c>
      <c r="GE27">
        <v>-1</v>
      </c>
      <c r="GF27">
        <v>665.25017647058814</v>
      </c>
      <c r="GG27">
        <v>-2.5506798989820578</v>
      </c>
      <c r="GH27">
        <v>0.39808766922318473</v>
      </c>
      <c r="GI27">
        <v>1</v>
      </c>
      <c r="GJ27">
        <v>2.5195492682926832</v>
      </c>
      <c r="GK27">
        <v>4.8274076655052879E-2</v>
      </c>
      <c r="GL27">
        <v>5.9945822654939897E-3</v>
      </c>
      <c r="GM27">
        <v>1</v>
      </c>
      <c r="GN27">
        <v>2</v>
      </c>
      <c r="GO27">
        <v>2</v>
      </c>
      <c r="GP27" t="s">
        <v>423</v>
      </c>
      <c r="GQ27">
        <v>3.13124</v>
      </c>
      <c r="GR27">
        <v>2.7269700000000001</v>
      </c>
      <c r="GS27">
        <v>9.0807799999999994E-2</v>
      </c>
      <c r="GT27">
        <v>9.1237299999999993E-2</v>
      </c>
      <c r="GU27">
        <v>0.124302</v>
      </c>
      <c r="GV27">
        <v>0.115622</v>
      </c>
      <c r="GW27">
        <v>22687.8</v>
      </c>
      <c r="GX27">
        <v>30429.200000000001</v>
      </c>
      <c r="GY27">
        <v>27082.7</v>
      </c>
      <c r="GZ27">
        <v>34452.6</v>
      </c>
      <c r="HA27">
        <v>34763.199999999997</v>
      </c>
      <c r="HB27">
        <v>38701.300000000003</v>
      </c>
      <c r="HC27">
        <v>40007.1</v>
      </c>
      <c r="HD27">
        <v>43834.6</v>
      </c>
      <c r="HE27">
        <v>1.9198</v>
      </c>
      <c r="HF27">
        <v>1.5804</v>
      </c>
      <c r="HG27">
        <v>-8.7916900000000006E-2</v>
      </c>
      <c r="HH27">
        <v>0</v>
      </c>
      <c r="HI27">
        <v>31.396799999999999</v>
      </c>
      <c r="HJ27">
        <v>999.9</v>
      </c>
      <c r="HK27">
        <v>42.8</v>
      </c>
      <c r="HL27">
        <v>48.5</v>
      </c>
      <c r="HM27">
        <v>50.373699999999999</v>
      </c>
      <c r="HN27">
        <v>60.058799999999998</v>
      </c>
      <c r="HO27">
        <v>8.4615399999999994</v>
      </c>
      <c r="HP27">
        <v>1</v>
      </c>
      <c r="HQ27">
        <v>0.806585</v>
      </c>
      <c r="HR27">
        <v>3.9710700000000001</v>
      </c>
      <c r="HS27">
        <v>20.194199999999999</v>
      </c>
      <c r="HT27">
        <v>5.2100999999999997</v>
      </c>
      <c r="HU27">
        <v>11.914099999999999</v>
      </c>
      <c r="HV27">
        <v>4.9828000000000001</v>
      </c>
      <c r="HW27">
        <v>3.2707999999999999</v>
      </c>
      <c r="HX27">
        <v>9999</v>
      </c>
      <c r="HY27">
        <v>9999</v>
      </c>
      <c r="HZ27">
        <v>9999</v>
      </c>
      <c r="IA27">
        <v>999.9</v>
      </c>
      <c r="IB27">
        <v>1.86768</v>
      </c>
      <c r="IC27">
        <v>1.8635600000000001</v>
      </c>
      <c r="ID27">
        <v>1.8631</v>
      </c>
      <c r="IE27">
        <v>1.86267</v>
      </c>
      <c r="IF27">
        <v>1.8626100000000001</v>
      </c>
      <c r="IG27">
        <v>1.8629800000000001</v>
      </c>
      <c r="IH27">
        <v>1.86398</v>
      </c>
      <c r="II27">
        <v>1.86188</v>
      </c>
      <c r="IJ27">
        <v>0</v>
      </c>
      <c r="IK27">
        <v>0</v>
      </c>
      <c r="IL27">
        <v>0</v>
      </c>
      <c r="IM27">
        <v>4.5</v>
      </c>
      <c r="IN27" t="s">
        <v>411</v>
      </c>
      <c r="IO27" t="s">
        <v>412</v>
      </c>
      <c r="IP27" t="s">
        <v>413</v>
      </c>
      <c r="IQ27" t="s">
        <v>414</v>
      </c>
      <c r="IR27" t="s">
        <v>414</v>
      </c>
      <c r="IS27" t="s">
        <v>413</v>
      </c>
      <c r="IT27">
        <v>0</v>
      </c>
      <c r="IU27">
        <v>100</v>
      </c>
      <c r="IV27">
        <v>100</v>
      </c>
      <c r="IW27">
        <v>-5.5049999999999999</v>
      </c>
      <c r="IX27">
        <v>-0.31240000000000001</v>
      </c>
      <c r="IY27">
        <v>-5.5055499999999711</v>
      </c>
      <c r="IZ27">
        <v>0</v>
      </c>
      <c r="JA27">
        <v>0</v>
      </c>
      <c r="JB27">
        <v>0</v>
      </c>
      <c r="JC27">
        <v>-0.8222413170717493</v>
      </c>
      <c r="JD27">
        <v>2.7492919904454862E-4</v>
      </c>
      <c r="JE27">
        <v>8.6739513355948885E-4</v>
      </c>
      <c r="JF27">
        <v>-8.2500691715147318E-6</v>
      </c>
      <c r="JG27">
        <v>-1</v>
      </c>
      <c r="JH27">
        <v>-1</v>
      </c>
      <c r="JI27">
        <v>2</v>
      </c>
      <c r="JJ27">
        <v>37</v>
      </c>
      <c r="JK27">
        <v>1.6</v>
      </c>
      <c r="JL27">
        <v>1.5</v>
      </c>
      <c r="JM27">
        <v>1.0668899999999999</v>
      </c>
      <c r="JN27">
        <v>2.6110799999999998</v>
      </c>
      <c r="JO27">
        <v>1.50024</v>
      </c>
      <c r="JP27">
        <v>2.2680699999999998</v>
      </c>
      <c r="JQ27">
        <v>1.4477500000000001</v>
      </c>
      <c r="JR27">
        <v>2.34009</v>
      </c>
      <c r="JS27">
        <v>54.744399999999999</v>
      </c>
      <c r="JT27">
        <v>23.886099999999999</v>
      </c>
      <c r="JU27">
        <v>18</v>
      </c>
      <c r="JV27">
        <v>536.197</v>
      </c>
      <c r="JW27">
        <v>338.41300000000001</v>
      </c>
      <c r="JX27">
        <v>26.628299999999999</v>
      </c>
      <c r="JY27">
        <v>36.941699999999997</v>
      </c>
      <c r="JZ27">
        <v>29.9998</v>
      </c>
      <c r="KA27">
        <v>37.172899999999998</v>
      </c>
      <c r="KB27">
        <v>37.3812</v>
      </c>
      <c r="KC27">
        <v>21.3506</v>
      </c>
      <c r="KD27">
        <v>50.8337</v>
      </c>
      <c r="KE27">
        <v>0</v>
      </c>
      <c r="KF27">
        <v>26.648399999999999</v>
      </c>
      <c r="KG27">
        <v>424.03800000000001</v>
      </c>
      <c r="KH27">
        <v>25.237200000000001</v>
      </c>
      <c r="KI27">
        <v>99.974100000000007</v>
      </c>
      <c r="KJ27">
        <v>98.501999999999995</v>
      </c>
    </row>
    <row r="28" spans="1:296" x14ac:dyDescent="0.3">
      <c r="A28">
        <v>12</v>
      </c>
      <c r="B28">
        <v>1783528668.5999999</v>
      </c>
      <c r="C28">
        <v>2066.099999904633</v>
      </c>
      <c r="D28" t="s">
        <v>939</v>
      </c>
      <c r="E28" t="s">
        <v>940</v>
      </c>
      <c r="F28">
        <v>15</v>
      </c>
      <c r="H28">
        <v>1783528660.849999</v>
      </c>
      <c r="I28">
        <f t="shared" si="0"/>
        <v>1.7608589952323723E-3</v>
      </c>
      <c r="J28">
        <f t="shared" si="1"/>
        <v>1.7608589952323723</v>
      </c>
      <c r="K28">
        <f t="shared" si="2"/>
        <v>-1.1554173576357689</v>
      </c>
      <c r="L28">
        <f t="shared" si="3"/>
        <v>419.9649</v>
      </c>
      <c r="M28">
        <f t="shared" si="4"/>
        <v>426.02241722390386</v>
      </c>
      <c r="N28">
        <f t="shared" si="5"/>
        <v>41.720904158824375</v>
      </c>
      <c r="O28">
        <f t="shared" si="6"/>
        <v>41.127683977628855</v>
      </c>
      <c r="P28">
        <f t="shared" si="7"/>
        <v>0.11041649616772709</v>
      </c>
      <c r="Q28">
        <f t="shared" si="8"/>
        <v>2.8921542022470521</v>
      </c>
      <c r="R28">
        <f t="shared" si="9"/>
        <v>0.10812695340960829</v>
      </c>
      <c r="S28">
        <f t="shared" si="10"/>
        <v>6.7781098058199665E-2</v>
      </c>
      <c r="T28">
        <f t="shared" si="11"/>
        <v>8.2464990927568262</v>
      </c>
      <c r="U28">
        <f t="shared" si="12"/>
        <v>29.349874967230868</v>
      </c>
      <c r="V28">
        <f t="shared" si="13"/>
        <v>30.005600000000001</v>
      </c>
      <c r="W28">
        <f t="shared" si="14"/>
        <v>4.2618203782803237</v>
      </c>
      <c r="X28">
        <f t="shared" si="15"/>
        <v>64.810040883478223</v>
      </c>
      <c r="Y28">
        <f t="shared" si="16"/>
        <v>2.723881091596569</v>
      </c>
      <c r="Z28">
        <f t="shared" si="17"/>
        <v>4.202868960527006</v>
      </c>
      <c r="AA28">
        <f t="shared" si="18"/>
        <v>1.5379392866837547</v>
      </c>
      <c r="AB28">
        <f t="shared" si="19"/>
        <v>-77.653881689747621</v>
      </c>
      <c r="AC28">
        <f t="shared" si="20"/>
        <v>-37.778816865496431</v>
      </c>
      <c r="AD28">
        <f t="shared" si="21"/>
        <v>-2.9011429712423351</v>
      </c>
      <c r="AE28">
        <f t="shared" si="22"/>
        <v>-110.08734243372956</v>
      </c>
      <c r="AF28">
        <f t="shared" si="23"/>
        <v>-1.1554173576357689</v>
      </c>
      <c r="AG28">
        <f t="shared" si="24"/>
        <v>1.7608589952323723</v>
      </c>
      <c r="AH28">
        <f t="shared" si="25"/>
        <v>-1.2459682546851643</v>
      </c>
      <c r="AI28">
        <v>430.5427255466916</v>
      </c>
      <c r="AJ28">
        <v>432.02376363636358</v>
      </c>
      <c r="AK28">
        <v>1.0299994529452801E-2</v>
      </c>
      <c r="AL28">
        <v>67.012317018089746</v>
      </c>
      <c r="AM28">
        <f t="shared" si="26"/>
        <v>1.7501431016008111</v>
      </c>
      <c r="AN28">
        <v>25.754388548051949</v>
      </c>
      <c r="AO28">
        <v>27.796830303030291</v>
      </c>
      <c r="AP28">
        <v>-1.0753751103263601E-4</v>
      </c>
      <c r="AQ28">
        <v>78.55</v>
      </c>
      <c r="AR28">
        <v>0</v>
      </c>
      <c r="AS28">
        <v>0</v>
      </c>
      <c r="AT28">
        <f t="shared" si="27"/>
        <v>1</v>
      </c>
      <c r="AU28">
        <f t="shared" si="28"/>
        <v>0</v>
      </c>
      <c r="AV28">
        <f t="shared" si="29"/>
        <v>51285.538939173261</v>
      </c>
      <c r="AW28" t="s">
        <v>896</v>
      </c>
      <c r="AX28">
        <v>5088.1000000000004</v>
      </c>
      <c r="AY28">
        <v>575.46470588235297</v>
      </c>
      <c r="AZ28">
        <v>2514.35</v>
      </c>
      <c r="BA28">
        <f t="shared" si="30"/>
        <v>0.77112784382351185</v>
      </c>
      <c r="BB28">
        <v>-4.3047851237252033</v>
      </c>
      <c r="BC28" t="s">
        <v>941</v>
      </c>
      <c r="BD28">
        <v>5087.96</v>
      </c>
      <c r="BE28">
        <v>651.92747058823522</v>
      </c>
      <c r="BF28">
        <v>1916.75</v>
      </c>
      <c r="BG28">
        <f t="shared" si="31"/>
        <v>0.65987871627064809</v>
      </c>
      <c r="BH28">
        <v>0.5</v>
      </c>
      <c r="BI28">
        <f t="shared" si="32"/>
        <v>42.164815322671927</v>
      </c>
      <c r="BJ28">
        <f t="shared" si="33"/>
        <v>-1.1554173576357689</v>
      </c>
      <c r="BK28">
        <f t="shared" si="34"/>
        <v>13.911832103456852</v>
      </c>
      <c r="BL28">
        <f t="shared" si="35"/>
        <v>7.4691842997259048E-2</v>
      </c>
      <c r="BM28">
        <f t="shared" si="36"/>
        <v>0.31177774879353065</v>
      </c>
      <c r="BN28">
        <f t="shared" si="37"/>
        <v>537.1361497186025</v>
      </c>
      <c r="BO28" t="s">
        <v>407</v>
      </c>
      <c r="BP28">
        <v>0</v>
      </c>
      <c r="BQ28">
        <f t="shared" si="38"/>
        <v>537.1361497186025</v>
      </c>
      <c r="BR28">
        <f t="shared" si="39"/>
        <v>0.71976723635393114</v>
      </c>
      <c r="BS28">
        <f t="shared" si="40"/>
        <v>0.91679460100649257</v>
      </c>
      <c r="BT28">
        <f t="shared" si="41"/>
        <v>0.30224348262326273</v>
      </c>
      <c r="BU28">
        <f t="shared" si="42"/>
        <v>0.94299291504855964</v>
      </c>
      <c r="BV28">
        <f t="shared" si="43"/>
        <v>0.30821833649110081</v>
      </c>
      <c r="BW28">
        <f t="shared" si="44"/>
        <v>0.75536550350163534</v>
      </c>
      <c r="BX28">
        <f t="shared" si="45"/>
        <v>0.24463449649836466</v>
      </c>
      <c r="DG28">
        <f t="shared" si="46"/>
        <v>50.035299999999999</v>
      </c>
      <c r="DH28">
        <f t="shared" si="47"/>
        <v>42.164815322671927</v>
      </c>
      <c r="DI28">
        <f t="shared" si="48"/>
        <v>0.84270135929377721</v>
      </c>
      <c r="DJ28">
        <f t="shared" si="49"/>
        <v>0.16481362343699002</v>
      </c>
      <c r="DK28">
        <v>6</v>
      </c>
      <c r="DL28">
        <v>0.5</v>
      </c>
      <c r="DM28" t="s">
        <v>408</v>
      </c>
      <c r="DN28">
        <v>2</v>
      </c>
      <c r="DO28" t="b">
        <v>0</v>
      </c>
      <c r="DP28">
        <v>1783528660.849999</v>
      </c>
      <c r="DQ28">
        <v>419.9649</v>
      </c>
      <c r="DR28">
        <v>419.4658</v>
      </c>
      <c r="DS28">
        <v>27.814219999999999</v>
      </c>
      <c r="DT28">
        <v>25.759969999999999</v>
      </c>
      <c r="DU28">
        <v>425.51040000000012</v>
      </c>
      <c r="DV28">
        <v>28.12612</v>
      </c>
      <c r="DW28">
        <v>500.00206666666679</v>
      </c>
      <c r="DX28">
        <v>97.878626666666676</v>
      </c>
      <c r="DY28">
        <v>5.2614676666666672E-2</v>
      </c>
      <c r="DZ28">
        <v>29.763306666666669</v>
      </c>
      <c r="EA28">
        <v>30.005600000000001</v>
      </c>
      <c r="EB28">
        <v>999.9000000000002</v>
      </c>
      <c r="EC28">
        <v>0</v>
      </c>
      <c r="ED28">
        <v>0</v>
      </c>
      <c r="EE28">
        <v>10000.5</v>
      </c>
      <c r="EF28">
        <v>0</v>
      </c>
      <c r="EG28">
        <v>962.43556666666677</v>
      </c>
      <c r="EH28">
        <v>0.49919943333333339</v>
      </c>
      <c r="EI28">
        <v>431.98020000000002</v>
      </c>
      <c r="EJ28">
        <v>430.55693333333329</v>
      </c>
      <c r="EK28">
        <v>2.0542526666666672</v>
      </c>
      <c r="EL28">
        <v>419.4658</v>
      </c>
      <c r="EM28">
        <v>25.759969999999999</v>
      </c>
      <c r="EN28">
        <v>2.7224179999999998</v>
      </c>
      <c r="EO28">
        <v>2.5213503333333329</v>
      </c>
      <c r="EP28">
        <v>22.42107</v>
      </c>
      <c r="EQ28">
        <v>21.164986666666671</v>
      </c>
      <c r="ER28">
        <v>50.035299999999999</v>
      </c>
      <c r="ES28">
        <v>0.89995106666666658</v>
      </c>
      <c r="ET28">
        <v>0.1000490833333333</v>
      </c>
      <c r="EU28">
        <v>0</v>
      </c>
      <c r="EV28">
        <v>652.01319999999998</v>
      </c>
      <c r="EW28">
        <v>5.0010700000000003</v>
      </c>
      <c r="EX28">
        <v>4379.3296666666674</v>
      </c>
      <c r="EY28">
        <v>396.56876666666659</v>
      </c>
      <c r="EZ28">
        <v>40.222699999999989</v>
      </c>
      <c r="FA28">
        <v>44.197499999999977</v>
      </c>
      <c r="FB28">
        <v>42.375</v>
      </c>
      <c r="FC28">
        <v>44.080899999999971</v>
      </c>
      <c r="FD28">
        <v>42.5</v>
      </c>
      <c r="FE28">
        <v>40.527666666666669</v>
      </c>
      <c r="FF28">
        <v>4.5053333333333354</v>
      </c>
      <c r="FG28">
        <v>0</v>
      </c>
      <c r="FH28">
        <v>181.5999999046326</v>
      </c>
      <c r="FI28">
        <v>0</v>
      </c>
      <c r="FJ28">
        <v>651.92747058823522</v>
      </c>
      <c r="FK28">
        <v>-3.4017157276761791</v>
      </c>
      <c r="FL28">
        <v>-557.87254812609046</v>
      </c>
      <c r="FM28">
        <v>4333.0600000000004</v>
      </c>
      <c r="FN28">
        <v>10</v>
      </c>
      <c r="FO28">
        <v>1783528602.5999999</v>
      </c>
      <c r="FP28" t="s">
        <v>942</v>
      </c>
      <c r="FQ28">
        <v>1783528594.0999999</v>
      </c>
      <c r="FR28">
        <v>1783528602.0999999</v>
      </c>
      <c r="FS28">
        <v>25</v>
      </c>
      <c r="FT28">
        <v>-0.04</v>
      </c>
      <c r="FU28">
        <v>-3.5000000000000003E-2</v>
      </c>
      <c r="FV28">
        <v>-5.5449999999999999</v>
      </c>
      <c r="FW28">
        <v>-0.40799999999999997</v>
      </c>
      <c r="FX28">
        <v>419</v>
      </c>
      <c r="FY28">
        <v>26</v>
      </c>
      <c r="FZ28">
        <v>1.33</v>
      </c>
      <c r="GA28">
        <v>0.16</v>
      </c>
      <c r="GB28">
        <v>419.9649</v>
      </c>
      <c r="GC28">
        <v>0.1041957730808155</v>
      </c>
      <c r="GD28">
        <v>5.4790114680174848E-2</v>
      </c>
      <c r="GE28">
        <v>-1</v>
      </c>
      <c r="GF28">
        <v>652.19479411764701</v>
      </c>
      <c r="GG28">
        <v>-3.9397860979092671</v>
      </c>
      <c r="GH28">
        <v>0.48562341857789598</v>
      </c>
      <c r="GI28">
        <v>1</v>
      </c>
      <c r="GJ28">
        <v>2.05532425</v>
      </c>
      <c r="GK28">
        <v>-3.669894934333863E-2</v>
      </c>
      <c r="GL28">
        <v>5.71623078938385E-3</v>
      </c>
      <c r="GM28">
        <v>1</v>
      </c>
      <c r="GN28">
        <v>2</v>
      </c>
      <c r="GO28">
        <v>2</v>
      </c>
      <c r="GP28" t="s">
        <v>423</v>
      </c>
      <c r="GQ28">
        <v>3.1315200000000001</v>
      </c>
      <c r="GR28">
        <v>2.7288199999999998</v>
      </c>
      <c r="GS28">
        <v>9.0841500000000006E-2</v>
      </c>
      <c r="GT28">
        <v>9.0520400000000001E-2</v>
      </c>
      <c r="GU28">
        <v>0.12431399999999999</v>
      </c>
      <c r="GV28">
        <v>0.117169</v>
      </c>
      <c r="GW28">
        <v>22690.3</v>
      </c>
      <c r="GX28">
        <v>30460.6</v>
      </c>
      <c r="GY28">
        <v>27086</v>
      </c>
      <c r="GZ28">
        <v>34459.9</v>
      </c>
      <c r="HA28">
        <v>34765.9</v>
      </c>
      <c r="HB28">
        <v>38640</v>
      </c>
      <c r="HC28">
        <v>40011.699999999997</v>
      </c>
      <c r="HD28">
        <v>43842.2</v>
      </c>
      <c r="HE28">
        <v>1.9188000000000001</v>
      </c>
      <c r="HF28">
        <v>1.5838000000000001</v>
      </c>
      <c r="HG28">
        <v>-7.9870200000000002E-2</v>
      </c>
      <c r="HH28">
        <v>0</v>
      </c>
      <c r="HI28">
        <v>31.311499999999999</v>
      </c>
      <c r="HJ28">
        <v>999.9</v>
      </c>
      <c r="HK28">
        <v>42.1</v>
      </c>
      <c r="HL28">
        <v>48.8</v>
      </c>
      <c r="HM28">
        <v>50.304000000000002</v>
      </c>
      <c r="HN28">
        <v>59.768799999999999</v>
      </c>
      <c r="HO28">
        <v>8.8982399999999995</v>
      </c>
      <c r="HP28">
        <v>1</v>
      </c>
      <c r="HQ28">
        <v>0.79536600000000002</v>
      </c>
      <c r="HR28">
        <v>3.98874</v>
      </c>
      <c r="HS28">
        <v>20.194400000000002</v>
      </c>
      <c r="HT28">
        <v>5.2100999999999997</v>
      </c>
      <c r="HU28">
        <v>11.914099999999999</v>
      </c>
      <c r="HV28">
        <v>4.9836</v>
      </c>
      <c r="HW28">
        <v>3.2709999999999999</v>
      </c>
      <c r="HX28">
        <v>9999</v>
      </c>
      <c r="HY28">
        <v>9999</v>
      </c>
      <c r="HZ28">
        <v>9999</v>
      </c>
      <c r="IA28">
        <v>999.9</v>
      </c>
      <c r="IB28">
        <v>1.86771</v>
      </c>
      <c r="IC28">
        <v>1.8635600000000001</v>
      </c>
      <c r="ID28">
        <v>1.8631</v>
      </c>
      <c r="IE28">
        <v>1.8626400000000001</v>
      </c>
      <c r="IF28">
        <v>1.8626100000000001</v>
      </c>
      <c r="IG28">
        <v>1.8629500000000001</v>
      </c>
      <c r="IH28">
        <v>1.8640099999999999</v>
      </c>
      <c r="II28">
        <v>1.86188</v>
      </c>
      <c r="IJ28">
        <v>0</v>
      </c>
      <c r="IK28">
        <v>0</v>
      </c>
      <c r="IL28">
        <v>0</v>
      </c>
      <c r="IM28">
        <v>4.5</v>
      </c>
      <c r="IN28" t="s">
        <v>411</v>
      </c>
      <c r="IO28" t="s">
        <v>412</v>
      </c>
      <c r="IP28" t="s">
        <v>413</v>
      </c>
      <c r="IQ28" t="s">
        <v>414</v>
      </c>
      <c r="IR28" t="s">
        <v>414</v>
      </c>
      <c r="IS28" t="s">
        <v>413</v>
      </c>
      <c r="IT28">
        <v>0</v>
      </c>
      <c r="IU28">
        <v>100</v>
      </c>
      <c r="IV28">
        <v>100</v>
      </c>
      <c r="IW28">
        <v>-5.5460000000000003</v>
      </c>
      <c r="IX28">
        <v>-0.3125</v>
      </c>
      <c r="IY28">
        <v>-5.5454500000000726</v>
      </c>
      <c r="IZ28">
        <v>0</v>
      </c>
      <c r="JA28">
        <v>0</v>
      </c>
      <c r="JB28">
        <v>0</v>
      </c>
      <c r="JC28">
        <v>-0.8222413170717493</v>
      </c>
      <c r="JD28">
        <v>2.7492919904454862E-4</v>
      </c>
      <c r="JE28">
        <v>8.6739513355948885E-4</v>
      </c>
      <c r="JF28">
        <v>-8.2500691715147318E-6</v>
      </c>
      <c r="JG28">
        <v>-1</v>
      </c>
      <c r="JH28">
        <v>-1</v>
      </c>
      <c r="JI28">
        <v>2</v>
      </c>
      <c r="JJ28">
        <v>37</v>
      </c>
      <c r="JK28">
        <v>1.2</v>
      </c>
      <c r="JL28">
        <v>1.1000000000000001</v>
      </c>
      <c r="JM28">
        <v>1.0607899999999999</v>
      </c>
      <c r="JN28">
        <v>2.6013199999999999</v>
      </c>
      <c r="JO28">
        <v>1.50024</v>
      </c>
      <c r="JP28">
        <v>2.2680699999999998</v>
      </c>
      <c r="JQ28">
        <v>1.4477500000000001</v>
      </c>
      <c r="JR28">
        <v>2.49146</v>
      </c>
      <c r="JS28">
        <v>54.417000000000002</v>
      </c>
      <c r="JT28">
        <v>23.903600000000001</v>
      </c>
      <c r="JU28">
        <v>18</v>
      </c>
      <c r="JV28">
        <v>534.83900000000006</v>
      </c>
      <c r="JW28">
        <v>339.80799999999999</v>
      </c>
      <c r="JX28">
        <v>26.7455</v>
      </c>
      <c r="JY28">
        <v>36.792900000000003</v>
      </c>
      <c r="JZ28">
        <v>30.0002</v>
      </c>
      <c r="KA28">
        <v>37.083799999999997</v>
      </c>
      <c r="KB28">
        <v>37.299500000000002</v>
      </c>
      <c r="KC28">
        <v>21.2044</v>
      </c>
      <c r="KD28">
        <v>49.793500000000002</v>
      </c>
      <c r="KE28">
        <v>0</v>
      </c>
      <c r="KF28">
        <v>26.737400000000001</v>
      </c>
      <c r="KG28">
        <v>419.42200000000003</v>
      </c>
      <c r="KH28">
        <v>25.823</v>
      </c>
      <c r="KI28">
        <v>99.985799999999998</v>
      </c>
      <c r="KJ28">
        <v>98.520600000000002</v>
      </c>
    </row>
    <row r="29" spans="1:296" x14ac:dyDescent="0.3">
      <c r="A29">
        <v>13</v>
      </c>
      <c r="B29">
        <v>1783528851.0999999</v>
      </c>
      <c r="C29">
        <v>2248.599999904633</v>
      </c>
      <c r="D29" t="s">
        <v>943</v>
      </c>
      <c r="E29" t="s">
        <v>944</v>
      </c>
      <c r="F29">
        <v>15</v>
      </c>
      <c r="H29">
        <v>1783528843.349999</v>
      </c>
      <c r="I29">
        <f t="shared" si="0"/>
        <v>1.5183643959927346E-3</v>
      </c>
      <c r="J29">
        <f t="shared" si="1"/>
        <v>1.5183643959927347</v>
      </c>
      <c r="K29">
        <f t="shared" si="2"/>
        <v>-6.1128344961398229</v>
      </c>
      <c r="L29">
        <f t="shared" si="3"/>
        <v>420.02613333333329</v>
      </c>
      <c r="M29">
        <f t="shared" si="4"/>
        <v>512.07673155438442</v>
      </c>
      <c r="N29">
        <f t="shared" si="5"/>
        <v>50.146647095197373</v>
      </c>
      <c r="O29">
        <f t="shared" si="6"/>
        <v>41.132316664909872</v>
      </c>
      <c r="P29">
        <f t="shared" si="7"/>
        <v>9.5424474071879026E-2</v>
      </c>
      <c r="Q29">
        <f t="shared" si="8"/>
        <v>2.8922918896754233</v>
      </c>
      <c r="R29">
        <f t="shared" si="9"/>
        <v>9.3709332709210197E-2</v>
      </c>
      <c r="S29">
        <f t="shared" si="10"/>
        <v>5.8719863845268672E-2</v>
      </c>
      <c r="T29">
        <f t="shared" si="11"/>
        <v>1.5966703903835998E-4</v>
      </c>
      <c r="U29">
        <f t="shared" si="12"/>
        <v>29.268732125293258</v>
      </c>
      <c r="V29">
        <f t="shared" si="13"/>
        <v>29.983133333333338</v>
      </c>
      <c r="W29">
        <f t="shared" si="14"/>
        <v>4.2563239587563215</v>
      </c>
      <c r="X29">
        <f t="shared" si="15"/>
        <v>65.22292343716127</v>
      </c>
      <c r="Y29">
        <f t="shared" si="16"/>
        <v>2.7261733573687006</v>
      </c>
      <c r="Z29">
        <f t="shared" si="17"/>
        <v>4.1797779273037641</v>
      </c>
      <c r="AA29">
        <f t="shared" si="18"/>
        <v>1.5301506013876209</v>
      </c>
      <c r="AB29">
        <f t="shared" si="19"/>
        <v>-66.959869863279593</v>
      </c>
      <c r="AC29">
        <f t="shared" si="20"/>
        <v>-49.201912501990932</v>
      </c>
      <c r="AD29">
        <f t="shared" si="21"/>
        <v>-3.7759647482691925</v>
      </c>
      <c r="AE29">
        <f t="shared" si="22"/>
        <v>-119.93758744650069</v>
      </c>
      <c r="AF29">
        <f t="shared" si="23"/>
        <v>-6.1128344961398229</v>
      </c>
      <c r="AG29">
        <f t="shared" si="24"/>
        <v>1.5183643959927347</v>
      </c>
      <c r="AH29">
        <f t="shared" si="25"/>
        <v>-5.9831143776662072</v>
      </c>
      <c r="AI29">
        <v>424.59820006018452</v>
      </c>
      <c r="AJ29">
        <v>431.98665454545448</v>
      </c>
      <c r="AK29">
        <v>-3.047132945155291E-3</v>
      </c>
      <c r="AL29">
        <v>67.011203506927217</v>
      </c>
      <c r="AM29">
        <f t="shared" si="26"/>
        <v>1.5156928041441515</v>
      </c>
      <c r="AN29">
        <v>26.064305785021649</v>
      </c>
      <c r="AO29">
        <v>27.833459999999999</v>
      </c>
      <c r="AP29">
        <v>-1.285574912898528E-4</v>
      </c>
      <c r="AQ29">
        <v>78.55</v>
      </c>
      <c r="AR29">
        <v>0</v>
      </c>
      <c r="AS29">
        <v>0</v>
      </c>
      <c r="AT29">
        <f t="shared" si="27"/>
        <v>1</v>
      </c>
      <c r="AU29">
        <f t="shared" si="28"/>
        <v>0</v>
      </c>
      <c r="AV29">
        <f t="shared" si="29"/>
        <v>51305.602623085069</v>
      </c>
      <c r="AW29" t="s">
        <v>844</v>
      </c>
      <c r="AX29">
        <v>5087.38</v>
      </c>
      <c r="AY29">
        <v>545.02941176470586</v>
      </c>
      <c r="AZ29">
        <v>2365.36</v>
      </c>
      <c r="BA29">
        <f t="shared" si="30"/>
        <v>0.76957866381239814</v>
      </c>
      <c r="BB29">
        <v>-6.1128344961398691</v>
      </c>
      <c r="BC29" t="s">
        <v>407</v>
      </c>
      <c r="BD29" t="s">
        <v>407</v>
      </c>
      <c r="BE29">
        <v>0</v>
      </c>
      <c r="BF29">
        <v>0</v>
      </c>
      <c r="BG29" t="e">
        <f t="shared" si="31"/>
        <v>#DIV/0!</v>
      </c>
      <c r="BH29">
        <v>0.5</v>
      </c>
      <c r="BI29">
        <f t="shared" si="32"/>
        <v>8.4035283704399992E-4</v>
      </c>
      <c r="BJ29">
        <f t="shared" si="33"/>
        <v>-6.1128344961398229</v>
      </c>
      <c r="BK29" t="e">
        <f t="shared" si="34"/>
        <v>#DIV/0!</v>
      </c>
      <c r="BL29">
        <f t="shared" si="35"/>
        <v>5.4959388233716766E-11</v>
      </c>
      <c r="BM29" t="e">
        <f t="shared" si="36"/>
        <v>#DIV/0!</v>
      </c>
      <c r="BN29" t="e">
        <f t="shared" si="37"/>
        <v>#DIV/0!</v>
      </c>
      <c r="BO29" t="s">
        <v>407</v>
      </c>
      <c r="BP29">
        <v>0</v>
      </c>
      <c r="BQ29" t="e">
        <f t="shared" si="38"/>
        <v>#DIV/0!</v>
      </c>
      <c r="BR29" t="e">
        <f t="shared" si="39"/>
        <v>#DIV/0!</v>
      </c>
      <c r="BS29" t="e">
        <f t="shared" si="40"/>
        <v>#DIV/0!</v>
      </c>
      <c r="BT29" t="e">
        <f t="shared" si="41"/>
        <v>#DIV/0!</v>
      </c>
      <c r="BU29">
        <f t="shared" si="42"/>
        <v>0</v>
      </c>
      <c r="BV29">
        <f t="shared" si="43"/>
        <v>1.2994123239411586</v>
      </c>
      <c r="BW29" t="e">
        <f t="shared" si="44"/>
        <v>#DIV/0!</v>
      </c>
      <c r="BX29" t="e">
        <f t="shared" si="45"/>
        <v>#DIV/0!</v>
      </c>
      <c r="DG29">
        <f t="shared" si="46"/>
        <v>1.00021E-2</v>
      </c>
      <c r="DH29">
        <f t="shared" si="47"/>
        <v>8.4035283704399992E-4</v>
      </c>
      <c r="DI29">
        <f t="shared" si="48"/>
        <v>8.4017639999999991E-2</v>
      </c>
      <c r="DJ29">
        <f t="shared" si="49"/>
        <v>1.5963351599999998E-2</v>
      </c>
      <c r="DK29">
        <v>6</v>
      </c>
      <c r="DL29">
        <v>0.5</v>
      </c>
      <c r="DM29" t="s">
        <v>408</v>
      </c>
      <c r="DN29">
        <v>2</v>
      </c>
      <c r="DO29" t="b">
        <v>0</v>
      </c>
      <c r="DP29">
        <v>1783528843.349999</v>
      </c>
      <c r="DQ29">
        <v>420.02613333333329</v>
      </c>
      <c r="DR29">
        <v>413.4554333333333</v>
      </c>
      <c r="DS29">
        <v>27.838550000000001</v>
      </c>
      <c r="DT29">
        <v>26.06707333333333</v>
      </c>
      <c r="DU29">
        <v>425.55529999999999</v>
      </c>
      <c r="DV29">
        <v>28.149753333333329</v>
      </c>
      <c r="DW29">
        <v>499.95420000000001</v>
      </c>
      <c r="DX29">
        <v>97.876576666666679</v>
      </c>
      <c r="DY29">
        <v>5.1417333333333329E-2</v>
      </c>
      <c r="DZ29">
        <v>29.667593333333329</v>
      </c>
      <c r="EA29">
        <v>29.983133333333338</v>
      </c>
      <c r="EB29">
        <v>999.9000000000002</v>
      </c>
      <c r="EC29">
        <v>0</v>
      </c>
      <c r="ED29">
        <v>0</v>
      </c>
      <c r="EE29">
        <v>10001.5</v>
      </c>
      <c r="EF29">
        <v>0</v>
      </c>
      <c r="EG29">
        <v>434.53623333333343</v>
      </c>
      <c r="EH29">
        <v>6.570708999999999</v>
      </c>
      <c r="EI29">
        <v>432.05383333333327</v>
      </c>
      <c r="EJ29">
        <v>424.52143333333328</v>
      </c>
      <c r="EK29">
        <v>1.7714806666666669</v>
      </c>
      <c r="EL29">
        <v>413.4554333333333</v>
      </c>
      <c r="EM29">
        <v>26.06707333333333</v>
      </c>
      <c r="EN29">
        <v>2.7247423333333338</v>
      </c>
      <c r="EO29">
        <v>2.551355333333333</v>
      </c>
      <c r="EP29">
        <v>22.43509666666667</v>
      </c>
      <c r="EQ29">
        <v>21.357869999999998</v>
      </c>
      <c r="ER29">
        <v>1.00021E-2</v>
      </c>
      <c r="ES29">
        <v>0</v>
      </c>
      <c r="ET29">
        <v>0</v>
      </c>
      <c r="EU29">
        <v>0</v>
      </c>
      <c r="EV29">
        <v>546.0183333333332</v>
      </c>
      <c r="EW29">
        <v>1.00021E-2</v>
      </c>
      <c r="EX29">
        <v>3928.64</v>
      </c>
      <c r="EY29">
        <v>3.7333333333333329</v>
      </c>
      <c r="EZ29">
        <v>39.741599999999998</v>
      </c>
      <c r="FA29">
        <v>43.895666666666664</v>
      </c>
      <c r="FB29">
        <v>41.966399999999979</v>
      </c>
      <c r="FC29">
        <v>43.561999999999983</v>
      </c>
      <c r="FD29">
        <v>41.875</v>
      </c>
      <c r="FE29">
        <v>0</v>
      </c>
      <c r="FF29">
        <v>0</v>
      </c>
      <c r="FG29">
        <v>0</v>
      </c>
      <c r="FH29">
        <v>182.10000014305109</v>
      </c>
      <c r="FI29">
        <v>0</v>
      </c>
      <c r="FJ29">
        <v>545.02941176470586</v>
      </c>
      <c r="FK29">
        <v>17.75735271100319</v>
      </c>
      <c r="FL29">
        <v>-277.61029880958728</v>
      </c>
      <c r="FM29">
        <v>3911.9529411764711</v>
      </c>
      <c r="FN29">
        <v>10</v>
      </c>
      <c r="FO29">
        <v>1783528785.0999999</v>
      </c>
      <c r="FP29" t="s">
        <v>945</v>
      </c>
      <c r="FQ29">
        <v>1783528778.5999999</v>
      </c>
      <c r="FR29">
        <v>1783528784.5999999</v>
      </c>
      <c r="FS29">
        <v>26</v>
      </c>
      <c r="FT29">
        <v>1.6E-2</v>
      </c>
      <c r="FU29">
        <v>-3.7999999999999999E-2</v>
      </c>
      <c r="FV29">
        <v>-5.5289999999999999</v>
      </c>
      <c r="FW29">
        <v>-0.39900000000000002</v>
      </c>
      <c r="FX29">
        <v>414</v>
      </c>
      <c r="FY29">
        <v>26</v>
      </c>
      <c r="FZ29">
        <v>1.06</v>
      </c>
      <c r="GA29">
        <v>0.14000000000000001</v>
      </c>
      <c r="GB29">
        <v>420.03767741935479</v>
      </c>
      <c r="GC29">
        <v>-0.54677419354960299</v>
      </c>
      <c r="GD29">
        <v>5.4745385486359523E-2</v>
      </c>
      <c r="GE29">
        <v>-1</v>
      </c>
      <c r="GF29">
        <v>546.26617647058822</v>
      </c>
      <c r="GG29">
        <v>-12.16119179505082</v>
      </c>
      <c r="GH29">
        <v>4.0355173257595132</v>
      </c>
      <c r="GI29">
        <v>0</v>
      </c>
      <c r="GJ29">
        <v>1.7690587804878051</v>
      </c>
      <c r="GK29">
        <v>2.365505226480585E-2</v>
      </c>
      <c r="GL29">
        <v>5.2512415234095087E-3</v>
      </c>
      <c r="GM29">
        <v>1</v>
      </c>
      <c r="GN29">
        <v>1</v>
      </c>
      <c r="GO29">
        <v>2</v>
      </c>
      <c r="GP29" t="s">
        <v>410</v>
      </c>
      <c r="GQ29">
        <v>3.1325099999999999</v>
      </c>
      <c r="GR29">
        <v>2.7262</v>
      </c>
      <c r="GS29">
        <v>9.0851699999999994E-2</v>
      </c>
      <c r="GT29">
        <v>8.9515600000000001E-2</v>
      </c>
      <c r="GU29">
        <v>0.124441</v>
      </c>
      <c r="GV29">
        <v>0.11816</v>
      </c>
      <c r="GW29">
        <v>22691.9</v>
      </c>
      <c r="GX29">
        <v>30495.200000000001</v>
      </c>
      <c r="GY29">
        <v>27088</v>
      </c>
      <c r="GZ29">
        <v>34460.6</v>
      </c>
      <c r="HA29">
        <v>34763</v>
      </c>
      <c r="HB29">
        <v>38595.9</v>
      </c>
      <c r="HC29">
        <v>40014.400000000001</v>
      </c>
      <c r="HD29">
        <v>43841.5</v>
      </c>
      <c r="HE29">
        <v>1.921</v>
      </c>
      <c r="HF29">
        <v>1.5824</v>
      </c>
      <c r="HG29">
        <v>-9.1791200000000003E-2</v>
      </c>
      <c r="HH29">
        <v>0</v>
      </c>
      <c r="HI29">
        <v>31.449100000000001</v>
      </c>
      <c r="HJ29">
        <v>999.9</v>
      </c>
      <c r="HK29">
        <v>41.6</v>
      </c>
      <c r="HL29">
        <v>48.9</v>
      </c>
      <c r="HM29">
        <v>49.956899999999997</v>
      </c>
      <c r="HN29">
        <v>60.158799999999999</v>
      </c>
      <c r="HO29">
        <v>8.8902199999999993</v>
      </c>
      <c r="HP29">
        <v>1</v>
      </c>
      <c r="HQ29">
        <v>0.79091500000000003</v>
      </c>
      <c r="HR29">
        <v>4.0285399999999996</v>
      </c>
      <c r="HS29">
        <v>20.194700000000001</v>
      </c>
      <c r="HT29">
        <v>5.2065099999999997</v>
      </c>
      <c r="HU29">
        <v>11.914099999999999</v>
      </c>
      <c r="HV29">
        <v>4.984</v>
      </c>
      <c r="HW29">
        <v>3.2707999999999999</v>
      </c>
      <c r="HX29">
        <v>9999</v>
      </c>
      <c r="HY29">
        <v>9999</v>
      </c>
      <c r="HZ29">
        <v>9999</v>
      </c>
      <c r="IA29">
        <v>999.9</v>
      </c>
      <c r="IB29">
        <v>1.86768</v>
      </c>
      <c r="IC29">
        <v>1.8635600000000001</v>
      </c>
      <c r="ID29">
        <v>1.86304</v>
      </c>
      <c r="IE29">
        <v>1.8626400000000001</v>
      </c>
      <c r="IF29">
        <v>1.8625499999999999</v>
      </c>
      <c r="IG29">
        <v>1.8629500000000001</v>
      </c>
      <c r="IH29">
        <v>1.8640099999999999</v>
      </c>
      <c r="II29">
        <v>1.86188</v>
      </c>
      <c r="IJ29">
        <v>0</v>
      </c>
      <c r="IK29">
        <v>0</v>
      </c>
      <c r="IL29">
        <v>0</v>
      </c>
      <c r="IM29">
        <v>4.5</v>
      </c>
      <c r="IN29" t="s">
        <v>411</v>
      </c>
      <c r="IO29" t="s">
        <v>412</v>
      </c>
      <c r="IP29" t="s">
        <v>413</v>
      </c>
      <c r="IQ29" t="s">
        <v>414</v>
      </c>
      <c r="IR29" t="s">
        <v>414</v>
      </c>
      <c r="IS29" t="s">
        <v>413</v>
      </c>
      <c r="IT29">
        <v>0</v>
      </c>
      <c r="IU29">
        <v>100</v>
      </c>
      <c r="IV29">
        <v>100</v>
      </c>
      <c r="IW29">
        <v>-5.53</v>
      </c>
      <c r="IX29">
        <v>-0.31130000000000002</v>
      </c>
      <c r="IY29">
        <v>-5.5292380952379858</v>
      </c>
      <c r="IZ29">
        <v>0</v>
      </c>
      <c r="JA29">
        <v>0</v>
      </c>
      <c r="JB29">
        <v>0</v>
      </c>
      <c r="JC29">
        <v>-0.8222413170717493</v>
      </c>
      <c r="JD29">
        <v>2.7492919904454862E-4</v>
      </c>
      <c r="JE29">
        <v>8.6739513355948885E-4</v>
      </c>
      <c r="JF29">
        <v>-8.2500691715147318E-6</v>
      </c>
      <c r="JG29">
        <v>-1</v>
      </c>
      <c r="JH29">
        <v>-1</v>
      </c>
      <c r="JI29">
        <v>2</v>
      </c>
      <c r="JJ29">
        <v>37</v>
      </c>
      <c r="JK29">
        <v>1.2</v>
      </c>
      <c r="JL29">
        <v>1.1000000000000001</v>
      </c>
      <c r="JM29">
        <v>1.0498000000000001</v>
      </c>
      <c r="JN29">
        <v>2.6013199999999999</v>
      </c>
      <c r="JO29">
        <v>1.50024</v>
      </c>
      <c r="JP29">
        <v>2.2680699999999998</v>
      </c>
      <c r="JQ29">
        <v>1.4477500000000001</v>
      </c>
      <c r="JR29">
        <v>2.48169</v>
      </c>
      <c r="JS29">
        <v>54.200299999999999</v>
      </c>
      <c r="JT29">
        <v>23.903600000000001</v>
      </c>
      <c r="JU29">
        <v>18</v>
      </c>
      <c r="JV29">
        <v>535.86199999999997</v>
      </c>
      <c r="JW29">
        <v>338.803</v>
      </c>
      <c r="JX29">
        <v>26.5303</v>
      </c>
      <c r="JY29">
        <v>36.734299999999998</v>
      </c>
      <c r="JZ29">
        <v>30</v>
      </c>
      <c r="KA29">
        <v>37.025799999999997</v>
      </c>
      <c r="KB29">
        <v>37.245100000000001</v>
      </c>
      <c r="KC29">
        <v>20.997</v>
      </c>
      <c r="KD29">
        <v>49.125</v>
      </c>
      <c r="KE29">
        <v>0</v>
      </c>
      <c r="KF29">
        <v>26.530200000000001</v>
      </c>
      <c r="KG29">
        <v>413.50099999999998</v>
      </c>
      <c r="KH29">
        <v>26.095500000000001</v>
      </c>
      <c r="KI29">
        <v>99.992800000000003</v>
      </c>
      <c r="KJ29">
        <v>98.520700000000005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071FE-1D9F-4673-BE3D-559328E6703E}">
  <dimension ref="A2:KJ29"/>
  <sheetViews>
    <sheetView workbookViewId="0">
      <selection activeCell="Q35" sqref="Q35"/>
    </sheetView>
  </sheetViews>
  <sheetFormatPr defaultRowHeight="14.4" x14ac:dyDescent="0.3"/>
  <sheetData>
    <row r="2" spans="1:296" x14ac:dyDescent="0.3">
      <c r="A2" t="s">
        <v>0</v>
      </c>
      <c r="B2" t="s">
        <v>1</v>
      </c>
      <c r="C2" t="s">
        <v>2</v>
      </c>
    </row>
    <row r="3" spans="1:296" x14ac:dyDescent="0.3">
      <c r="B3" t="s">
        <v>3</v>
      </c>
      <c r="C3">
        <v>21</v>
      </c>
    </row>
    <row r="4" spans="1:296" x14ac:dyDescent="0.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</row>
    <row r="5" spans="1:296" x14ac:dyDescent="0.3">
      <c r="B5" t="s">
        <v>15</v>
      </c>
      <c r="C5" t="s">
        <v>16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96" x14ac:dyDescent="0.3">
      <c r="A6" t="s">
        <v>17</v>
      </c>
      <c r="B6" t="s">
        <v>18</v>
      </c>
      <c r="C6" t="s">
        <v>19</v>
      </c>
      <c r="D6" t="s">
        <v>20</v>
      </c>
      <c r="E6" t="s">
        <v>21</v>
      </c>
    </row>
    <row r="7" spans="1:296" x14ac:dyDescent="0.3">
      <c r="B7">
        <v>0</v>
      </c>
      <c r="C7">
        <v>1</v>
      </c>
      <c r="D7">
        <v>0</v>
      </c>
      <c r="E7">
        <v>0</v>
      </c>
    </row>
    <row r="8" spans="1:296" x14ac:dyDescent="0.3">
      <c r="A8" t="s">
        <v>22</v>
      </c>
      <c r="B8" t="s">
        <v>23</v>
      </c>
      <c r="C8" t="s">
        <v>24</v>
      </c>
      <c r="D8" t="s">
        <v>25</v>
      </c>
      <c r="E8" t="s">
        <v>26</v>
      </c>
      <c r="F8" t="s">
        <v>27</v>
      </c>
      <c r="G8" t="s">
        <v>28</v>
      </c>
      <c r="H8" t="s">
        <v>29</v>
      </c>
      <c r="I8" t="s">
        <v>30</v>
      </c>
      <c r="J8" t="s">
        <v>31</v>
      </c>
      <c r="K8" t="s">
        <v>32</v>
      </c>
      <c r="L8" t="s">
        <v>33</v>
      </c>
      <c r="M8" t="s">
        <v>34</v>
      </c>
      <c r="N8" t="s">
        <v>35</v>
      </c>
      <c r="O8" t="s">
        <v>36</v>
      </c>
      <c r="P8" t="s">
        <v>37</v>
      </c>
      <c r="Q8" t="s">
        <v>38</v>
      </c>
    </row>
    <row r="9" spans="1:296" x14ac:dyDescent="0.3">
      <c r="B9" t="s">
        <v>39</v>
      </c>
      <c r="C9" t="s">
        <v>40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96" x14ac:dyDescent="0.3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</row>
    <row r="11" spans="1:296" x14ac:dyDescent="0.3">
      <c r="B11">
        <v>0</v>
      </c>
      <c r="C11">
        <v>0</v>
      </c>
      <c r="D11">
        <v>0</v>
      </c>
      <c r="E11">
        <v>0</v>
      </c>
      <c r="F11">
        <v>1</v>
      </c>
    </row>
    <row r="12" spans="1:296" x14ac:dyDescent="0.3">
      <c r="A12" t="s">
        <v>47</v>
      </c>
      <c r="B12" t="s">
        <v>48</v>
      </c>
      <c r="C12" t="s">
        <v>49</v>
      </c>
      <c r="D12" t="s">
        <v>50</v>
      </c>
      <c r="E12" t="s">
        <v>51</v>
      </c>
      <c r="F12" t="s">
        <v>52</v>
      </c>
      <c r="G12" t="s">
        <v>53</v>
      </c>
      <c r="H12" t="s">
        <v>54</v>
      </c>
    </row>
    <row r="13" spans="1:296" x14ac:dyDescent="0.3">
      <c r="B13">
        <v>-6276</v>
      </c>
      <c r="C13">
        <v>6.6</v>
      </c>
      <c r="D13">
        <v>1.7090000000000001E-5</v>
      </c>
      <c r="E13">
        <v>3.11</v>
      </c>
      <c r="F13" t="s">
        <v>840</v>
      </c>
      <c r="G13" t="s">
        <v>841</v>
      </c>
      <c r="H13">
        <v>0</v>
      </c>
    </row>
    <row r="14" spans="1:296" x14ac:dyDescent="0.3">
      <c r="A14" t="s">
        <v>57</v>
      </c>
      <c r="B14" t="s">
        <v>57</v>
      </c>
      <c r="C14" t="s">
        <v>57</v>
      </c>
      <c r="D14" t="s">
        <v>57</v>
      </c>
      <c r="E14" t="s">
        <v>57</v>
      </c>
      <c r="F14" t="s">
        <v>57</v>
      </c>
      <c r="G14" t="s">
        <v>58</v>
      </c>
      <c r="H14" t="s">
        <v>59</v>
      </c>
      <c r="I14" t="s">
        <v>59</v>
      </c>
      <c r="J14" t="s">
        <v>59</v>
      </c>
      <c r="K14" t="s">
        <v>59</v>
      </c>
      <c r="L14" t="s">
        <v>59</v>
      </c>
      <c r="M14" t="s">
        <v>59</v>
      </c>
      <c r="N14" t="s">
        <v>59</v>
      </c>
      <c r="O14" t="s">
        <v>59</v>
      </c>
      <c r="P14" t="s">
        <v>59</v>
      </c>
      <c r="Q14" t="s">
        <v>59</v>
      </c>
      <c r="R14" t="s">
        <v>59</v>
      </c>
      <c r="S14" t="s">
        <v>59</v>
      </c>
      <c r="T14" t="s">
        <v>59</v>
      </c>
      <c r="U14" t="s">
        <v>59</v>
      </c>
      <c r="V14" t="s">
        <v>59</v>
      </c>
      <c r="W14" t="s">
        <v>59</v>
      </c>
      <c r="X14" t="s">
        <v>59</v>
      </c>
      <c r="Y14" t="s">
        <v>59</v>
      </c>
      <c r="Z14" t="s">
        <v>59</v>
      </c>
      <c r="AA14" t="s">
        <v>59</v>
      </c>
      <c r="AB14" t="s">
        <v>59</v>
      </c>
      <c r="AC14" t="s">
        <v>59</v>
      </c>
      <c r="AD14" t="s">
        <v>59</v>
      </c>
      <c r="AE14" t="s">
        <v>59</v>
      </c>
      <c r="AF14" t="s">
        <v>59</v>
      </c>
      <c r="AG14" t="s">
        <v>59</v>
      </c>
      <c r="AH14" t="s">
        <v>60</v>
      </c>
      <c r="AI14" t="s">
        <v>60</v>
      </c>
      <c r="AJ14" t="s">
        <v>60</v>
      </c>
      <c r="AK14" t="s">
        <v>60</v>
      </c>
      <c r="AL14" t="s">
        <v>60</v>
      </c>
      <c r="AM14" t="s">
        <v>60</v>
      </c>
      <c r="AN14" t="s">
        <v>60</v>
      </c>
      <c r="AO14" t="s">
        <v>60</v>
      </c>
      <c r="AP14" t="s">
        <v>60</v>
      </c>
      <c r="AQ14" t="s">
        <v>60</v>
      </c>
      <c r="AR14" t="s">
        <v>61</v>
      </c>
      <c r="AS14" t="s">
        <v>61</v>
      </c>
      <c r="AT14" t="s">
        <v>61</v>
      </c>
      <c r="AU14" t="s">
        <v>61</v>
      </c>
      <c r="AV14" t="s">
        <v>61</v>
      </c>
      <c r="AW14" t="s">
        <v>62</v>
      </c>
      <c r="AX14" t="s">
        <v>62</v>
      </c>
      <c r="AY14" t="s">
        <v>62</v>
      </c>
      <c r="AZ14" t="s">
        <v>62</v>
      </c>
      <c r="BA14" t="s">
        <v>62</v>
      </c>
      <c r="BB14" t="s">
        <v>62</v>
      </c>
      <c r="BC14" t="s">
        <v>62</v>
      </c>
      <c r="BD14" t="s">
        <v>62</v>
      </c>
      <c r="BE14" t="s">
        <v>62</v>
      </c>
      <c r="BF14" t="s">
        <v>62</v>
      </c>
      <c r="BG14" t="s">
        <v>62</v>
      </c>
      <c r="BH14" t="s">
        <v>62</v>
      </c>
      <c r="BI14" t="s">
        <v>62</v>
      </c>
      <c r="BJ14" t="s">
        <v>62</v>
      </c>
      <c r="BK14" t="s">
        <v>62</v>
      </c>
      <c r="BL14" t="s">
        <v>62</v>
      </c>
      <c r="BM14" t="s">
        <v>62</v>
      </c>
      <c r="BN14" t="s">
        <v>62</v>
      </c>
      <c r="BO14" t="s">
        <v>62</v>
      </c>
      <c r="BP14" t="s">
        <v>62</v>
      </c>
      <c r="BQ14" t="s">
        <v>62</v>
      </c>
      <c r="BR14" t="s">
        <v>62</v>
      </c>
      <c r="BS14" t="s">
        <v>62</v>
      </c>
      <c r="BT14" t="s">
        <v>62</v>
      </c>
      <c r="BU14" t="s">
        <v>62</v>
      </c>
      <c r="BV14" t="s">
        <v>62</v>
      </c>
      <c r="BW14" t="s">
        <v>62</v>
      </c>
      <c r="BX14" t="s">
        <v>62</v>
      </c>
      <c r="BY14" t="s">
        <v>63</v>
      </c>
      <c r="BZ14" t="s">
        <v>63</v>
      </c>
      <c r="CA14" t="s">
        <v>63</v>
      </c>
      <c r="CB14" t="s">
        <v>63</v>
      </c>
      <c r="CC14" t="s">
        <v>63</v>
      </c>
      <c r="CD14" t="s">
        <v>63</v>
      </c>
      <c r="CE14" t="s">
        <v>63</v>
      </c>
      <c r="CF14" t="s">
        <v>63</v>
      </c>
      <c r="CG14" t="s">
        <v>63</v>
      </c>
      <c r="CH14" t="s">
        <v>63</v>
      </c>
      <c r="CI14" t="s">
        <v>63</v>
      </c>
      <c r="CJ14" t="s">
        <v>63</v>
      </c>
      <c r="CK14" t="s">
        <v>63</v>
      </c>
      <c r="CL14" t="s">
        <v>63</v>
      </c>
      <c r="CM14" t="s">
        <v>63</v>
      </c>
      <c r="CN14" t="s">
        <v>63</v>
      </c>
      <c r="CO14" t="s">
        <v>63</v>
      </c>
      <c r="CP14" t="s">
        <v>63</v>
      </c>
      <c r="CQ14" t="s">
        <v>63</v>
      </c>
      <c r="CR14" t="s">
        <v>63</v>
      </c>
      <c r="CS14" t="s">
        <v>63</v>
      </c>
      <c r="CT14" t="s">
        <v>64</v>
      </c>
      <c r="CU14" t="s">
        <v>64</v>
      </c>
      <c r="CV14" t="s">
        <v>64</v>
      </c>
      <c r="CW14" t="s">
        <v>64</v>
      </c>
      <c r="CX14" t="s">
        <v>64</v>
      </c>
      <c r="CY14" t="s">
        <v>64</v>
      </c>
      <c r="CZ14" t="s">
        <v>64</v>
      </c>
      <c r="DA14" t="s">
        <v>64</v>
      </c>
      <c r="DB14" t="s">
        <v>64</v>
      </c>
      <c r="DC14" t="s">
        <v>64</v>
      </c>
      <c r="DD14" t="s">
        <v>64</v>
      </c>
      <c r="DE14" t="s">
        <v>64</v>
      </c>
      <c r="DF14" t="s">
        <v>64</v>
      </c>
      <c r="DG14" t="s">
        <v>65</v>
      </c>
      <c r="DH14" t="s">
        <v>65</v>
      </c>
      <c r="DI14" t="s">
        <v>65</v>
      </c>
      <c r="DJ14" t="s">
        <v>65</v>
      </c>
      <c r="DK14" t="s">
        <v>66</v>
      </c>
      <c r="DL14" t="s">
        <v>66</v>
      </c>
      <c r="DM14" t="s">
        <v>66</v>
      </c>
      <c r="DN14" t="s">
        <v>66</v>
      </c>
      <c r="DO14" t="s">
        <v>66</v>
      </c>
      <c r="DP14" t="s">
        <v>67</v>
      </c>
      <c r="DQ14" t="s">
        <v>67</v>
      </c>
      <c r="DR14" t="s">
        <v>67</v>
      </c>
      <c r="DS14" t="s">
        <v>67</v>
      </c>
      <c r="DT14" t="s">
        <v>67</v>
      </c>
      <c r="DU14" t="s">
        <v>67</v>
      </c>
      <c r="DV14" t="s">
        <v>67</v>
      </c>
      <c r="DW14" t="s">
        <v>67</v>
      </c>
      <c r="DX14" t="s">
        <v>67</v>
      </c>
      <c r="DY14" t="s">
        <v>67</v>
      </c>
      <c r="DZ14" t="s">
        <v>67</v>
      </c>
      <c r="EA14" t="s">
        <v>67</v>
      </c>
      <c r="EB14" t="s">
        <v>67</v>
      </c>
      <c r="EC14" t="s">
        <v>67</v>
      </c>
      <c r="ED14" t="s">
        <v>67</v>
      </c>
      <c r="EE14" t="s">
        <v>67</v>
      </c>
      <c r="EF14" t="s">
        <v>67</v>
      </c>
      <c r="EG14" t="s">
        <v>67</v>
      </c>
      <c r="EH14" t="s">
        <v>68</v>
      </c>
      <c r="EI14" t="s">
        <v>68</v>
      </c>
      <c r="EJ14" t="s">
        <v>68</v>
      </c>
      <c r="EK14" t="s">
        <v>68</v>
      </c>
      <c r="EL14" t="s">
        <v>68</v>
      </c>
      <c r="EM14" t="s">
        <v>68</v>
      </c>
      <c r="EN14" t="s">
        <v>68</v>
      </c>
      <c r="EO14" t="s">
        <v>68</v>
      </c>
      <c r="EP14" t="s">
        <v>68</v>
      </c>
      <c r="EQ14" t="s">
        <v>68</v>
      </c>
      <c r="ER14" t="s">
        <v>69</v>
      </c>
      <c r="ES14" t="s">
        <v>69</v>
      </c>
      <c r="ET14" t="s">
        <v>69</v>
      </c>
      <c r="EU14" t="s">
        <v>69</v>
      </c>
      <c r="EV14" t="s">
        <v>69</v>
      </c>
      <c r="EW14" t="s">
        <v>69</v>
      </c>
      <c r="EX14" t="s">
        <v>69</v>
      </c>
      <c r="EY14" t="s">
        <v>69</v>
      </c>
      <c r="EZ14" t="s">
        <v>69</v>
      </c>
      <c r="FA14" t="s">
        <v>69</v>
      </c>
      <c r="FB14" t="s">
        <v>69</v>
      </c>
      <c r="FC14" t="s">
        <v>69</v>
      </c>
      <c r="FD14" t="s">
        <v>69</v>
      </c>
      <c r="FE14" t="s">
        <v>69</v>
      </c>
      <c r="FF14" t="s">
        <v>69</v>
      </c>
      <c r="FG14" t="s">
        <v>69</v>
      </c>
      <c r="FH14" t="s">
        <v>69</v>
      </c>
      <c r="FI14" t="s">
        <v>69</v>
      </c>
      <c r="FJ14" t="s">
        <v>70</v>
      </c>
      <c r="FK14" t="s">
        <v>70</v>
      </c>
      <c r="FL14" t="s">
        <v>70</v>
      </c>
      <c r="FM14" t="s">
        <v>70</v>
      </c>
      <c r="FN14" t="s">
        <v>70</v>
      </c>
      <c r="FO14" t="s">
        <v>71</v>
      </c>
      <c r="FP14" t="s">
        <v>71</v>
      </c>
      <c r="FQ14" t="s">
        <v>71</v>
      </c>
      <c r="FR14" t="s">
        <v>71</v>
      </c>
      <c r="FS14" t="s">
        <v>71</v>
      </c>
      <c r="FT14" t="s">
        <v>71</v>
      </c>
      <c r="FU14" t="s">
        <v>71</v>
      </c>
      <c r="FV14" t="s">
        <v>71</v>
      </c>
      <c r="FW14" t="s">
        <v>71</v>
      </c>
      <c r="FX14" t="s">
        <v>71</v>
      </c>
      <c r="FY14" t="s">
        <v>71</v>
      </c>
      <c r="FZ14" t="s">
        <v>71</v>
      </c>
      <c r="GA14" t="s">
        <v>71</v>
      </c>
      <c r="GB14" t="s">
        <v>72</v>
      </c>
      <c r="GC14" t="s">
        <v>72</v>
      </c>
      <c r="GD14" t="s">
        <v>72</v>
      </c>
      <c r="GE14" t="s">
        <v>72</v>
      </c>
      <c r="GF14" t="s">
        <v>72</v>
      </c>
      <c r="GG14" t="s">
        <v>72</v>
      </c>
      <c r="GH14" t="s">
        <v>72</v>
      </c>
      <c r="GI14" t="s">
        <v>72</v>
      </c>
      <c r="GJ14" t="s">
        <v>72</v>
      </c>
      <c r="GK14" t="s">
        <v>72</v>
      </c>
      <c r="GL14" t="s">
        <v>72</v>
      </c>
      <c r="GM14" t="s">
        <v>72</v>
      </c>
      <c r="GN14" t="s">
        <v>72</v>
      </c>
      <c r="GO14" t="s">
        <v>72</v>
      </c>
      <c r="GP14" t="s">
        <v>72</v>
      </c>
      <c r="GQ14" t="s">
        <v>73</v>
      </c>
      <c r="GR14" t="s">
        <v>73</v>
      </c>
      <c r="GS14" t="s">
        <v>73</v>
      </c>
      <c r="GT14" t="s">
        <v>73</v>
      </c>
      <c r="GU14" t="s">
        <v>73</v>
      </c>
      <c r="GV14" t="s">
        <v>73</v>
      </c>
      <c r="GW14" t="s">
        <v>73</v>
      </c>
      <c r="GX14" t="s">
        <v>73</v>
      </c>
      <c r="GY14" t="s">
        <v>73</v>
      </c>
      <c r="GZ14" t="s">
        <v>73</v>
      </c>
      <c r="HA14" t="s">
        <v>73</v>
      </c>
      <c r="HB14" t="s">
        <v>73</v>
      </c>
      <c r="HC14" t="s">
        <v>73</v>
      </c>
      <c r="HD14" t="s">
        <v>73</v>
      </c>
      <c r="HE14" t="s">
        <v>73</v>
      </c>
      <c r="HF14" t="s">
        <v>73</v>
      </c>
      <c r="HG14" t="s">
        <v>73</v>
      </c>
      <c r="HH14" t="s">
        <v>73</v>
      </c>
      <c r="HI14" t="s">
        <v>74</v>
      </c>
      <c r="HJ14" t="s">
        <v>74</v>
      </c>
      <c r="HK14" t="s">
        <v>74</v>
      </c>
      <c r="HL14" t="s">
        <v>74</v>
      </c>
      <c r="HM14" t="s">
        <v>74</v>
      </c>
      <c r="HN14" t="s">
        <v>74</v>
      </c>
      <c r="HO14" t="s">
        <v>74</v>
      </c>
      <c r="HP14" t="s">
        <v>74</v>
      </c>
      <c r="HQ14" t="s">
        <v>74</v>
      </c>
      <c r="HR14" t="s">
        <v>74</v>
      </c>
      <c r="HS14" t="s">
        <v>74</v>
      </c>
      <c r="HT14" t="s">
        <v>74</v>
      </c>
      <c r="HU14" t="s">
        <v>74</v>
      </c>
      <c r="HV14" t="s">
        <v>74</v>
      </c>
      <c r="HW14" t="s">
        <v>74</v>
      </c>
      <c r="HX14" t="s">
        <v>74</v>
      </c>
      <c r="HY14" t="s">
        <v>74</v>
      </c>
      <c r="HZ14" t="s">
        <v>74</v>
      </c>
      <c r="IA14" t="s">
        <v>74</v>
      </c>
      <c r="IB14" t="s">
        <v>75</v>
      </c>
      <c r="IC14" t="s">
        <v>75</v>
      </c>
      <c r="ID14" t="s">
        <v>75</v>
      </c>
      <c r="IE14" t="s">
        <v>75</v>
      </c>
      <c r="IF14" t="s">
        <v>75</v>
      </c>
      <c r="IG14" t="s">
        <v>75</v>
      </c>
      <c r="IH14" t="s">
        <v>75</v>
      </c>
      <c r="II14" t="s">
        <v>75</v>
      </c>
      <c r="IJ14" t="s">
        <v>75</v>
      </c>
      <c r="IK14" t="s">
        <v>75</v>
      </c>
      <c r="IL14" t="s">
        <v>75</v>
      </c>
      <c r="IM14" t="s">
        <v>75</v>
      </c>
      <c r="IN14" t="s">
        <v>75</v>
      </c>
      <c r="IO14" t="s">
        <v>75</v>
      </c>
      <c r="IP14" t="s">
        <v>75</v>
      </c>
      <c r="IQ14" t="s">
        <v>75</v>
      </c>
      <c r="IR14" t="s">
        <v>75</v>
      </c>
      <c r="IS14" t="s">
        <v>75</v>
      </c>
      <c r="IT14" t="s">
        <v>75</v>
      </c>
      <c r="IU14" t="s">
        <v>76</v>
      </c>
      <c r="IV14" t="s">
        <v>76</v>
      </c>
      <c r="IW14" t="s">
        <v>76</v>
      </c>
      <c r="IX14" t="s">
        <v>76</v>
      </c>
      <c r="IY14" t="s">
        <v>76</v>
      </c>
      <c r="IZ14" t="s">
        <v>76</v>
      </c>
      <c r="JA14" t="s">
        <v>76</v>
      </c>
      <c r="JB14" t="s">
        <v>76</v>
      </c>
      <c r="JC14" t="s">
        <v>76</v>
      </c>
      <c r="JD14" t="s">
        <v>76</v>
      </c>
      <c r="JE14" t="s">
        <v>76</v>
      </c>
      <c r="JF14" t="s">
        <v>76</v>
      </c>
      <c r="JG14" t="s">
        <v>76</v>
      </c>
      <c r="JH14" t="s">
        <v>76</v>
      </c>
      <c r="JI14" t="s">
        <v>76</v>
      </c>
      <c r="JJ14" t="s">
        <v>76</v>
      </c>
      <c r="JK14" t="s">
        <v>76</v>
      </c>
      <c r="JL14" t="s">
        <v>76</v>
      </c>
      <c r="JM14" t="s">
        <v>77</v>
      </c>
      <c r="JN14" t="s">
        <v>77</v>
      </c>
      <c r="JO14" t="s">
        <v>77</v>
      </c>
      <c r="JP14" t="s">
        <v>77</v>
      </c>
      <c r="JQ14" t="s">
        <v>77</v>
      </c>
      <c r="JR14" t="s">
        <v>77</v>
      </c>
      <c r="JS14" t="s">
        <v>77</v>
      </c>
      <c r="JT14" t="s">
        <v>77</v>
      </c>
      <c r="JU14" t="s">
        <v>78</v>
      </c>
      <c r="JV14" t="s">
        <v>78</v>
      </c>
      <c r="JW14" t="s">
        <v>78</v>
      </c>
      <c r="JX14" t="s">
        <v>78</v>
      </c>
      <c r="JY14" t="s">
        <v>78</v>
      </c>
      <c r="JZ14" t="s">
        <v>78</v>
      </c>
      <c r="KA14" t="s">
        <v>78</v>
      </c>
      <c r="KB14" t="s">
        <v>78</v>
      </c>
      <c r="KC14" t="s">
        <v>78</v>
      </c>
      <c r="KD14" t="s">
        <v>78</v>
      </c>
      <c r="KE14" t="s">
        <v>78</v>
      </c>
      <c r="KF14" t="s">
        <v>78</v>
      </c>
      <c r="KG14" t="s">
        <v>78</v>
      </c>
      <c r="KH14" t="s">
        <v>78</v>
      </c>
      <c r="KI14" t="s">
        <v>78</v>
      </c>
      <c r="KJ14" t="s">
        <v>78</v>
      </c>
    </row>
    <row r="15" spans="1:296" x14ac:dyDescent="0.3">
      <c r="A15" t="s">
        <v>79</v>
      </c>
      <c r="B15" t="s">
        <v>80</v>
      </c>
      <c r="C15" t="s">
        <v>81</v>
      </c>
      <c r="D15" t="s">
        <v>82</v>
      </c>
      <c r="E15" t="s">
        <v>83</v>
      </c>
      <c r="F15" t="s">
        <v>84</v>
      </c>
      <c r="G15" t="s">
        <v>85</v>
      </c>
      <c r="H15" t="s">
        <v>86</v>
      </c>
      <c r="I15" t="s">
        <v>87</v>
      </c>
      <c r="J15" t="s">
        <v>88</v>
      </c>
      <c r="K15" t="s">
        <v>89</v>
      </c>
      <c r="L15" t="s">
        <v>90</v>
      </c>
      <c r="M15" t="s">
        <v>91</v>
      </c>
      <c r="N15" t="s">
        <v>92</v>
      </c>
      <c r="O15" t="s">
        <v>93</v>
      </c>
      <c r="P15" t="s">
        <v>94</v>
      </c>
      <c r="Q15" t="s">
        <v>95</v>
      </c>
      <c r="R15" t="s">
        <v>96</v>
      </c>
      <c r="S15" t="s">
        <v>97</v>
      </c>
      <c r="T15" t="s">
        <v>98</v>
      </c>
      <c r="U15" t="s">
        <v>99</v>
      </c>
      <c r="V15" t="s">
        <v>100</v>
      </c>
      <c r="W15" t="s">
        <v>101</v>
      </c>
      <c r="X15" t="s">
        <v>102</v>
      </c>
      <c r="Y15" t="s">
        <v>103</v>
      </c>
      <c r="Z15" t="s">
        <v>104</v>
      </c>
      <c r="AA15" t="s">
        <v>105</v>
      </c>
      <c r="AB15" t="s">
        <v>106</v>
      </c>
      <c r="AC15" t="s">
        <v>107</v>
      </c>
      <c r="AD15" t="s">
        <v>108</v>
      </c>
      <c r="AE15" t="s">
        <v>109</v>
      </c>
      <c r="AF15" t="s">
        <v>110</v>
      </c>
      <c r="AG15" t="s">
        <v>111</v>
      </c>
      <c r="AH15" t="s">
        <v>112</v>
      </c>
      <c r="AI15" t="s">
        <v>113</v>
      </c>
      <c r="AJ15" t="s">
        <v>114</v>
      </c>
      <c r="AK15" t="s">
        <v>115</v>
      </c>
      <c r="AL15" t="s">
        <v>116</v>
      </c>
      <c r="AM15" t="s">
        <v>117</v>
      </c>
      <c r="AN15" t="s">
        <v>118</v>
      </c>
      <c r="AO15" t="s">
        <v>119</v>
      </c>
      <c r="AP15" t="s">
        <v>120</v>
      </c>
      <c r="AQ15" t="s">
        <v>121</v>
      </c>
      <c r="AR15" t="s">
        <v>61</v>
      </c>
      <c r="AS15" t="s">
        <v>122</v>
      </c>
      <c r="AT15" t="s">
        <v>123</v>
      </c>
      <c r="AU15" t="s">
        <v>124</v>
      </c>
      <c r="AV15" t="s">
        <v>125</v>
      </c>
      <c r="AW15" t="s">
        <v>126</v>
      </c>
      <c r="AX15" t="s">
        <v>127</v>
      </c>
      <c r="AY15" t="s">
        <v>128</v>
      </c>
      <c r="AZ15" t="s">
        <v>129</v>
      </c>
      <c r="BA15" t="s">
        <v>130</v>
      </c>
      <c r="BB15" t="s">
        <v>131</v>
      </c>
      <c r="BC15" t="s">
        <v>132</v>
      </c>
      <c r="BD15" t="s">
        <v>133</v>
      </c>
      <c r="BE15" t="s">
        <v>134</v>
      </c>
      <c r="BF15" t="s">
        <v>135</v>
      </c>
      <c r="BG15" t="s">
        <v>136</v>
      </c>
      <c r="BH15" t="s">
        <v>137</v>
      </c>
      <c r="BI15" t="s">
        <v>138</v>
      </c>
      <c r="BJ15" t="s">
        <v>139</v>
      </c>
      <c r="BK15" t="s">
        <v>140</v>
      </c>
      <c r="BL15" t="s">
        <v>141</v>
      </c>
      <c r="BM15" t="s">
        <v>142</v>
      </c>
      <c r="BN15" t="s">
        <v>143</v>
      </c>
      <c r="BO15" t="s">
        <v>144</v>
      </c>
      <c r="BP15" t="s">
        <v>145</v>
      </c>
      <c r="BQ15" t="s">
        <v>146</v>
      </c>
      <c r="BR15" t="s">
        <v>147</v>
      </c>
      <c r="BS15" t="s">
        <v>148</v>
      </c>
      <c r="BT15" t="s">
        <v>149</v>
      </c>
      <c r="BU15" t="s">
        <v>150</v>
      </c>
      <c r="BV15" t="s">
        <v>151</v>
      </c>
      <c r="BW15" t="s">
        <v>152</v>
      </c>
      <c r="BX15" t="s">
        <v>153</v>
      </c>
      <c r="BY15" t="s">
        <v>154</v>
      </c>
      <c r="BZ15" t="s">
        <v>155</v>
      </c>
      <c r="CA15" t="s">
        <v>156</v>
      </c>
      <c r="CB15" t="s">
        <v>157</v>
      </c>
      <c r="CC15" t="s">
        <v>158</v>
      </c>
      <c r="CD15" t="s">
        <v>159</v>
      </c>
      <c r="CE15" t="s">
        <v>160</v>
      </c>
      <c r="CF15" t="s">
        <v>161</v>
      </c>
      <c r="CG15" t="s">
        <v>162</v>
      </c>
      <c r="CH15" t="s">
        <v>163</v>
      </c>
      <c r="CI15" t="s">
        <v>164</v>
      </c>
      <c r="CJ15" t="s">
        <v>165</v>
      </c>
      <c r="CK15" t="s">
        <v>166</v>
      </c>
      <c r="CL15" t="s">
        <v>167</v>
      </c>
      <c r="CM15" t="s">
        <v>168</v>
      </c>
      <c r="CN15" t="s">
        <v>169</v>
      </c>
      <c r="CO15" t="s">
        <v>170</v>
      </c>
      <c r="CP15" t="s">
        <v>171</v>
      </c>
      <c r="CQ15" t="s">
        <v>172</v>
      </c>
      <c r="CR15" t="s">
        <v>173</v>
      </c>
      <c r="CS15" t="s">
        <v>174</v>
      </c>
      <c r="CT15" t="s">
        <v>154</v>
      </c>
      <c r="CU15" t="s">
        <v>175</v>
      </c>
      <c r="CV15" t="s">
        <v>176</v>
      </c>
      <c r="CW15" t="s">
        <v>177</v>
      </c>
      <c r="CX15" t="s">
        <v>128</v>
      </c>
      <c r="CY15" t="s">
        <v>178</v>
      </c>
      <c r="CZ15" t="s">
        <v>179</v>
      </c>
      <c r="DA15" t="s">
        <v>180</v>
      </c>
      <c r="DB15" t="s">
        <v>181</v>
      </c>
      <c r="DC15" t="s">
        <v>182</v>
      </c>
      <c r="DD15" t="s">
        <v>183</v>
      </c>
      <c r="DE15" t="s">
        <v>184</v>
      </c>
      <c r="DF15" t="s">
        <v>185</v>
      </c>
      <c r="DG15" t="s">
        <v>186</v>
      </c>
      <c r="DH15" t="s">
        <v>187</v>
      </c>
      <c r="DI15" t="s">
        <v>188</v>
      </c>
      <c r="DJ15" t="s">
        <v>189</v>
      </c>
      <c r="DK15" t="s">
        <v>190</v>
      </c>
      <c r="DL15" t="s">
        <v>191</v>
      </c>
      <c r="DM15" t="s">
        <v>192</v>
      </c>
      <c r="DN15" t="s">
        <v>193</v>
      </c>
      <c r="DO15" t="s">
        <v>194</v>
      </c>
      <c r="DP15" t="s">
        <v>86</v>
      </c>
      <c r="DQ15" t="s">
        <v>195</v>
      </c>
      <c r="DR15" t="s">
        <v>196</v>
      </c>
      <c r="DS15" t="s">
        <v>197</v>
      </c>
      <c r="DT15" t="s">
        <v>198</v>
      </c>
      <c r="DU15" t="s">
        <v>199</v>
      </c>
      <c r="DV15" t="s">
        <v>200</v>
      </c>
      <c r="DW15" t="s">
        <v>201</v>
      </c>
      <c r="DX15" t="s">
        <v>202</v>
      </c>
      <c r="DY15" t="s">
        <v>203</v>
      </c>
      <c r="DZ15" t="s">
        <v>204</v>
      </c>
      <c r="EA15" t="s">
        <v>205</v>
      </c>
      <c r="EB15" t="s">
        <v>206</v>
      </c>
      <c r="EC15" t="s">
        <v>207</v>
      </c>
      <c r="ED15" t="s">
        <v>208</v>
      </c>
      <c r="EE15" t="s">
        <v>209</v>
      </c>
      <c r="EF15" t="s">
        <v>210</v>
      </c>
      <c r="EG15" t="s">
        <v>211</v>
      </c>
      <c r="EH15" t="s">
        <v>212</v>
      </c>
      <c r="EI15" t="s">
        <v>213</v>
      </c>
      <c r="EJ15" t="s">
        <v>214</v>
      </c>
      <c r="EK15" t="s">
        <v>215</v>
      </c>
      <c r="EL15" t="s">
        <v>216</v>
      </c>
      <c r="EM15" t="s">
        <v>217</v>
      </c>
      <c r="EN15" t="s">
        <v>218</v>
      </c>
      <c r="EO15" t="s">
        <v>219</v>
      </c>
      <c r="EP15" t="s">
        <v>220</v>
      </c>
      <c r="EQ15" t="s">
        <v>221</v>
      </c>
      <c r="ER15" t="s">
        <v>222</v>
      </c>
      <c r="ES15" t="s">
        <v>223</v>
      </c>
      <c r="ET15" t="s">
        <v>224</v>
      </c>
      <c r="EU15" t="s">
        <v>225</v>
      </c>
      <c r="EV15" t="s">
        <v>226</v>
      </c>
      <c r="EW15" t="s">
        <v>227</v>
      </c>
      <c r="EX15" t="s">
        <v>228</v>
      </c>
      <c r="EY15" t="s">
        <v>229</v>
      </c>
      <c r="EZ15" t="s">
        <v>230</v>
      </c>
      <c r="FA15" t="s">
        <v>231</v>
      </c>
      <c r="FB15" t="s">
        <v>232</v>
      </c>
      <c r="FC15" t="s">
        <v>233</v>
      </c>
      <c r="FD15" t="s">
        <v>234</v>
      </c>
      <c r="FE15" t="s">
        <v>235</v>
      </c>
      <c r="FF15" t="s">
        <v>236</v>
      </c>
      <c r="FG15" t="s">
        <v>237</v>
      </c>
      <c r="FH15" t="s">
        <v>238</v>
      </c>
      <c r="FI15" t="s">
        <v>239</v>
      </c>
      <c r="FJ15" t="s">
        <v>240</v>
      </c>
      <c r="FK15" t="s">
        <v>241</v>
      </c>
      <c r="FL15" t="s">
        <v>242</v>
      </c>
      <c r="FM15" t="s">
        <v>243</v>
      </c>
      <c r="FN15" t="s">
        <v>244</v>
      </c>
      <c r="FO15" t="s">
        <v>80</v>
      </c>
      <c r="FP15" t="s">
        <v>83</v>
      </c>
      <c r="FQ15" t="s">
        <v>245</v>
      </c>
      <c r="FR15" t="s">
        <v>246</v>
      </c>
      <c r="FS15" t="s">
        <v>247</v>
      </c>
      <c r="FT15" t="s">
        <v>248</v>
      </c>
      <c r="FU15" t="s">
        <v>249</v>
      </c>
      <c r="FV15" t="s">
        <v>250</v>
      </c>
      <c r="FW15" t="s">
        <v>251</v>
      </c>
      <c r="FX15" t="s">
        <v>252</v>
      </c>
      <c r="FY15" t="s">
        <v>253</v>
      </c>
      <c r="FZ15" t="s">
        <v>254</v>
      </c>
      <c r="GA15" t="s">
        <v>255</v>
      </c>
      <c r="GB15" t="s">
        <v>256</v>
      </c>
      <c r="GC15" t="s">
        <v>257</v>
      </c>
      <c r="GD15" t="s">
        <v>258</v>
      </c>
      <c r="GE15" t="s">
        <v>259</v>
      </c>
      <c r="GF15" t="s">
        <v>260</v>
      </c>
      <c r="GG15" t="s">
        <v>261</v>
      </c>
      <c r="GH15" t="s">
        <v>262</v>
      </c>
      <c r="GI15" t="s">
        <v>263</v>
      </c>
      <c r="GJ15" t="s">
        <v>264</v>
      </c>
      <c r="GK15" t="s">
        <v>265</v>
      </c>
      <c r="GL15" t="s">
        <v>266</v>
      </c>
      <c r="GM15" t="s">
        <v>267</v>
      </c>
      <c r="GN15" t="s">
        <v>268</v>
      </c>
      <c r="GO15" t="s">
        <v>269</v>
      </c>
      <c r="GP15" t="s">
        <v>270</v>
      </c>
      <c r="GQ15" t="s">
        <v>271</v>
      </c>
      <c r="GR15" t="s">
        <v>272</v>
      </c>
      <c r="GS15" t="s">
        <v>273</v>
      </c>
      <c r="GT15" t="s">
        <v>274</v>
      </c>
      <c r="GU15" t="s">
        <v>275</v>
      </c>
      <c r="GV15" t="s">
        <v>276</v>
      </c>
      <c r="GW15" t="s">
        <v>277</v>
      </c>
      <c r="GX15" t="s">
        <v>278</v>
      </c>
      <c r="GY15" t="s">
        <v>279</v>
      </c>
      <c r="GZ15" t="s">
        <v>280</v>
      </c>
      <c r="HA15" t="s">
        <v>281</v>
      </c>
      <c r="HB15" t="s">
        <v>282</v>
      </c>
      <c r="HC15" t="s">
        <v>283</v>
      </c>
      <c r="HD15" t="s">
        <v>284</v>
      </c>
      <c r="HE15" t="s">
        <v>285</v>
      </c>
      <c r="HF15" t="s">
        <v>286</v>
      </c>
      <c r="HG15" t="s">
        <v>287</v>
      </c>
      <c r="HH15" t="s">
        <v>288</v>
      </c>
      <c r="HI15" t="s">
        <v>289</v>
      </c>
      <c r="HJ15" t="s">
        <v>290</v>
      </c>
      <c r="HK15" t="s">
        <v>291</v>
      </c>
      <c r="HL15" t="s">
        <v>292</v>
      </c>
      <c r="HM15" t="s">
        <v>293</v>
      </c>
      <c r="HN15" t="s">
        <v>294</v>
      </c>
      <c r="HO15" t="s">
        <v>295</v>
      </c>
      <c r="HP15" t="s">
        <v>296</v>
      </c>
      <c r="HQ15" t="s">
        <v>297</v>
      </c>
      <c r="HR15" t="s">
        <v>298</v>
      </c>
      <c r="HS15" t="s">
        <v>299</v>
      </c>
      <c r="HT15" t="s">
        <v>300</v>
      </c>
      <c r="HU15" t="s">
        <v>301</v>
      </c>
      <c r="HV15" t="s">
        <v>302</v>
      </c>
      <c r="HW15" t="s">
        <v>303</v>
      </c>
      <c r="HX15" t="s">
        <v>304</v>
      </c>
      <c r="HY15" t="s">
        <v>305</v>
      </c>
      <c r="HZ15" t="s">
        <v>306</v>
      </c>
      <c r="IA15" t="s">
        <v>307</v>
      </c>
      <c r="IB15" t="s">
        <v>308</v>
      </c>
      <c r="IC15" t="s">
        <v>309</v>
      </c>
      <c r="ID15" t="s">
        <v>310</v>
      </c>
      <c r="IE15" t="s">
        <v>311</v>
      </c>
      <c r="IF15" t="s">
        <v>312</v>
      </c>
      <c r="IG15" t="s">
        <v>313</v>
      </c>
      <c r="IH15" t="s">
        <v>314</v>
      </c>
      <c r="II15" t="s">
        <v>315</v>
      </c>
      <c r="IJ15" t="s">
        <v>316</v>
      </c>
      <c r="IK15" t="s">
        <v>317</v>
      </c>
      <c r="IL15" t="s">
        <v>318</v>
      </c>
      <c r="IM15" t="s">
        <v>319</v>
      </c>
      <c r="IN15" t="s">
        <v>320</v>
      </c>
      <c r="IO15" t="s">
        <v>321</v>
      </c>
      <c r="IP15" t="s">
        <v>322</v>
      </c>
      <c r="IQ15" t="s">
        <v>323</v>
      </c>
      <c r="IR15" t="s">
        <v>324</v>
      </c>
      <c r="IS15" t="s">
        <v>325</v>
      </c>
      <c r="IT15" t="s">
        <v>326</v>
      </c>
      <c r="IU15" t="s">
        <v>327</v>
      </c>
      <c r="IV15" t="s">
        <v>328</v>
      </c>
      <c r="IW15" t="s">
        <v>329</v>
      </c>
      <c r="IX15" t="s">
        <v>330</v>
      </c>
      <c r="IY15" t="s">
        <v>331</v>
      </c>
      <c r="IZ15" t="s">
        <v>332</v>
      </c>
      <c r="JA15" t="s">
        <v>333</v>
      </c>
      <c r="JB15" t="s">
        <v>334</v>
      </c>
      <c r="JC15" t="s">
        <v>335</v>
      </c>
      <c r="JD15" t="s">
        <v>336</v>
      </c>
      <c r="JE15" t="s">
        <v>337</v>
      </c>
      <c r="JF15" t="s">
        <v>338</v>
      </c>
      <c r="JG15" t="s">
        <v>339</v>
      </c>
      <c r="JH15" t="s">
        <v>340</v>
      </c>
      <c r="JI15" t="s">
        <v>341</v>
      </c>
      <c r="JJ15" t="s">
        <v>342</v>
      </c>
      <c r="JK15" t="s">
        <v>343</v>
      </c>
      <c r="JL15" t="s">
        <v>344</v>
      </c>
      <c r="JM15" t="s">
        <v>345</v>
      </c>
      <c r="JN15" t="s">
        <v>346</v>
      </c>
      <c r="JO15" t="s">
        <v>347</v>
      </c>
      <c r="JP15" t="s">
        <v>348</v>
      </c>
      <c r="JQ15" t="s">
        <v>349</v>
      </c>
      <c r="JR15" t="s">
        <v>350</v>
      </c>
      <c r="JS15" t="s">
        <v>351</v>
      </c>
      <c r="JT15" t="s">
        <v>352</v>
      </c>
      <c r="JU15" t="s">
        <v>353</v>
      </c>
      <c r="JV15" t="s">
        <v>354</v>
      </c>
      <c r="JW15" t="s">
        <v>355</v>
      </c>
      <c r="JX15" t="s">
        <v>356</v>
      </c>
      <c r="JY15" t="s">
        <v>357</v>
      </c>
      <c r="JZ15" t="s">
        <v>358</v>
      </c>
      <c r="KA15" t="s">
        <v>359</v>
      </c>
      <c r="KB15" t="s">
        <v>360</v>
      </c>
      <c r="KC15" t="s">
        <v>361</v>
      </c>
      <c r="KD15" t="s">
        <v>362</v>
      </c>
      <c r="KE15" t="s">
        <v>363</v>
      </c>
      <c r="KF15" t="s">
        <v>364</v>
      </c>
      <c r="KG15" t="s">
        <v>365</v>
      </c>
      <c r="KH15" t="s">
        <v>366</v>
      </c>
      <c r="KI15" t="s">
        <v>367</v>
      </c>
      <c r="KJ15" t="s">
        <v>368</v>
      </c>
    </row>
    <row r="16" spans="1:296" x14ac:dyDescent="0.3">
      <c r="B16" t="s">
        <v>369</v>
      </c>
      <c r="C16" t="s">
        <v>369</v>
      </c>
      <c r="F16" t="s">
        <v>369</v>
      </c>
      <c r="H16" t="s">
        <v>369</v>
      </c>
      <c r="I16" t="s">
        <v>370</v>
      </c>
      <c r="J16" t="s">
        <v>371</v>
      </c>
      <c r="K16" t="s">
        <v>372</v>
      </c>
      <c r="L16" t="s">
        <v>373</v>
      </c>
      <c r="M16" t="s">
        <v>373</v>
      </c>
      <c r="N16" t="s">
        <v>202</v>
      </c>
      <c r="O16" t="s">
        <v>202</v>
      </c>
      <c r="P16" t="s">
        <v>370</v>
      </c>
      <c r="Q16" t="s">
        <v>370</v>
      </c>
      <c r="R16" t="s">
        <v>370</v>
      </c>
      <c r="S16" t="s">
        <v>370</v>
      </c>
      <c r="T16" t="s">
        <v>374</v>
      </c>
      <c r="U16" t="s">
        <v>375</v>
      </c>
      <c r="V16" t="s">
        <v>375</v>
      </c>
      <c r="W16" t="s">
        <v>376</v>
      </c>
      <c r="X16" t="s">
        <v>377</v>
      </c>
      <c r="Y16" t="s">
        <v>376</v>
      </c>
      <c r="Z16" t="s">
        <v>376</v>
      </c>
      <c r="AA16" t="s">
        <v>376</v>
      </c>
      <c r="AB16" t="s">
        <v>374</v>
      </c>
      <c r="AC16" t="s">
        <v>374</v>
      </c>
      <c r="AD16" t="s">
        <v>374</v>
      </c>
      <c r="AE16" t="s">
        <v>374</v>
      </c>
      <c r="AF16" t="s">
        <v>372</v>
      </c>
      <c r="AG16" t="s">
        <v>371</v>
      </c>
      <c r="AH16" t="s">
        <v>372</v>
      </c>
      <c r="AI16" t="s">
        <v>373</v>
      </c>
      <c r="AJ16" t="s">
        <v>373</v>
      </c>
      <c r="AK16" t="s">
        <v>378</v>
      </c>
      <c r="AL16" t="s">
        <v>379</v>
      </c>
      <c r="AM16" t="s">
        <v>371</v>
      </c>
      <c r="AN16" t="s">
        <v>380</v>
      </c>
      <c r="AO16" t="s">
        <v>380</v>
      </c>
      <c r="AP16" t="s">
        <v>381</v>
      </c>
      <c r="AQ16" t="s">
        <v>379</v>
      </c>
      <c r="AR16" t="s">
        <v>382</v>
      </c>
      <c r="AS16" t="s">
        <v>377</v>
      </c>
      <c r="AU16" t="s">
        <v>377</v>
      </c>
      <c r="AV16" t="s">
        <v>382</v>
      </c>
      <c r="BB16" t="s">
        <v>372</v>
      </c>
      <c r="BI16" t="s">
        <v>372</v>
      </c>
      <c r="BJ16" t="s">
        <v>372</v>
      </c>
      <c r="BK16" t="s">
        <v>372</v>
      </c>
      <c r="BL16" t="s">
        <v>383</v>
      </c>
      <c r="BZ16" t="s">
        <v>384</v>
      </c>
      <c r="CB16" t="s">
        <v>384</v>
      </c>
      <c r="CC16" t="s">
        <v>372</v>
      </c>
      <c r="CF16" t="s">
        <v>384</v>
      </c>
      <c r="CG16" t="s">
        <v>377</v>
      </c>
      <c r="CJ16" t="s">
        <v>385</v>
      </c>
      <c r="CK16" t="s">
        <v>385</v>
      </c>
      <c r="CM16" t="s">
        <v>386</v>
      </c>
      <c r="CN16" t="s">
        <v>384</v>
      </c>
      <c r="CP16" t="s">
        <v>384</v>
      </c>
      <c r="CQ16" t="s">
        <v>372</v>
      </c>
      <c r="CU16" t="s">
        <v>384</v>
      </c>
      <c r="CW16" t="s">
        <v>387</v>
      </c>
      <c r="CZ16" t="s">
        <v>384</v>
      </c>
      <c r="DA16" t="s">
        <v>384</v>
      </c>
      <c r="DC16" t="s">
        <v>384</v>
      </c>
      <c r="DE16" t="s">
        <v>384</v>
      </c>
      <c r="DG16" t="s">
        <v>372</v>
      </c>
      <c r="DH16" t="s">
        <v>372</v>
      </c>
      <c r="DJ16" t="s">
        <v>388</v>
      </c>
      <c r="DK16" t="s">
        <v>389</v>
      </c>
      <c r="DN16" t="s">
        <v>370</v>
      </c>
      <c r="DP16" t="s">
        <v>369</v>
      </c>
      <c r="DQ16" t="s">
        <v>373</v>
      </c>
      <c r="DR16" t="s">
        <v>373</v>
      </c>
      <c r="DS16" t="s">
        <v>380</v>
      </c>
      <c r="DT16" t="s">
        <v>380</v>
      </c>
      <c r="DU16" t="s">
        <v>373</v>
      </c>
      <c r="DV16" t="s">
        <v>380</v>
      </c>
      <c r="DW16" t="s">
        <v>382</v>
      </c>
      <c r="DX16" t="s">
        <v>376</v>
      </c>
      <c r="DY16" t="s">
        <v>376</v>
      </c>
      <c r="DZ16" t="s">
        <v>375</v>
      </c>
      <c r="EA16" t="s">
        <v>375</v>
      </c>
      <c r="EB16" t="s">
        <v>375</v>
      </c>
      <c r="EC16" t="s">
        <v>375</v>
      </c>
      <c r="ED16" t="s">
        <v>375</v>
      </c>
      <c r="EE16" t="s">
        <v>390</v>
      </c>
      <c r="EF16" t="s">
        <v>372</v>
      </c>
      <c r="EG16" t="s">
        <v>372</v>
      </c>
      <c r="EH16" t="s">
        <v>373</v>
      </c>
      <c r="EI16" t="s">
        <v>373</v>
      </c>
      <c r="EJ16" t="s">
        <v>373</v>
      </c>
      <c r="EK16" t="s">
        <v>380</v>
      </c>
      <c r="EL16" t="s">
        <v>373</v>
      </c>
      <c r="EM16" t="s">
        <v>380</v>
      </c>
      <c r="EN16" t="s">
        <v>376</v>
      </c>
      <c r="EO16" t="s">
        <v>376</v>
      </c>
      <c r="EP16" t="s">
        <v>375</v>
      </c>
      <c r="EQ16" t="s">
        <v>375</v>
      </c>
      <c r="ER16" t="s">
        <v>372</v>
      </c>
      <c r="EW16" t="s">
        <v>372</v>
      </c>
      <c r="EZ16" t="s">
        <v>375</v>
      </c>
      <c r="FA16" t="s">
        <v>375</v>
      </c>
      <c r="FB16" t="s">
        <v>375</v>
      </c>
      <c r="FC16" t="s">
        <v>375</v>
      </c>
      <c r="FD16" t="s">
        <v>375</v>
      </c>
      <c r="FE16" t="s">
        <v>372</v>
      </c>
      <c r="FF16" t="s">
        <v>372</v>
      </c>
      <c r="FG16" t="s">
        <v>372</v>
      </c>
      <c r="FH16" t="s">
        <v>369</v>
      </c>
      <c r="FK16" t="s">
        <v>391</v>
      </c>
      <c r="FL16" t="s">
        <v>391</v>
      </c>
      <c r="FN16" t="s">
        <v>369</v>
      </c>
      <c r="FO16" t="s">
        <v>392</v>
      </c>
      <c r="FQ16" t="s">
        <v>369</v>
      </c>
      <c r="FR16" t="s">
        <v>369</v>
      </c>
      <c r="FT16" t="s">
        <v>393</v>
      </c>
      <c r="FU16" t="s">
        <v>394</v>
      </c>
      <c r="FV16" t="s">
        <v>393</v>
      </c>
      <c r="FW16" t="s">
        <v>394</v>
      </c>
      <c r="FX16" t="s">
        <v>393</v>
      </c>
      <c r="FY16" t="s">
        <v>394</v>
      </c>
      <c r="FZ16" t="s">
        <v>377</v>
      </c>
      <c r="GA16" t="s">
        <v>377</v>
      </c>
      <c r="GB16" t="s">
        <v>373</v>
      </c>
      <c r="GC16" t="s">
        <v>395</v>
      </c>
      <c r="GD16" t="s">
        <v>373</v>
      </c>
      <c r="GG16" t="s">
        <v>396</v>
      </c>
      <c r="GJ16" t="s">
        <v>380</v>
      </c>
      <c r="GK16" t="s">
        <v>397</v>
      </c>
      <c r="GL16" t="s">
        <v>380</v>
      </c>
      <c r="GQ16" t="s">
        <v>398</v>
      </c>
      <c r="GR16" t="s">
        <v>398</v>
      </c>
      <c r="HE16" t="s">
        <v>398</v>
      </c>
      <c r="HF16" t="s">
        <v>398</v>
      </c>
      <c r="HG16" t="s">
        <v>399</v>
      </c>
      <c r="HH16" t="s">
        <v>399</v>
      </c>
      <c r="HI16" t="s">
        <v>375</v>
      </c>
      <c r="HJ16" t="s">
        <v>375</v>
      </c>
      <c r="HK16" t="s">
        <v>377</v>
      </c>
      <c r="HL16" t="s">
        <v>375</v>
      </c>
      <c r="HM16" t="s">
        <v>380</v>
      </c>
      <c r="HN16" t="s">
        <v>377</v>
      </c>
      <c r="HO16" t="s">
        <v>377</v>
      </c>
      <c r="HQ16" t="s">
        <v>398</v>
      </c>
      <c r="HR16" t="s">
        <v>398</v>
      </c>
      <c r="HS16" t="s">
        <v>398</v>
      </c>
      <c r="HT16" t="s">
        <v>398</v>
      </c>
      <c r="HU16" t="s">
        <v>398</v>
      </c>
      <c r="HV16" t="s">
        <v>398</v>
      </c>
      <c r="HW16" t="s">
        <v>398</v>
      </c>
      <c r="HX16" t="s">
        <v>400</v>
      </c>
      <c r="HY16" t="s">
        <v>400</v>
      </c>
      <c r="HZ16" t="s">
        <v>400</v>
      </c>
      <c r="IA16" t="s">
        <v>401</v>
      </c>
      <c r="IB16" t="s">
        <v>398</v>
      </c>
      <c r="IC16" t="s">
        <v>398</v>
      </c>
      <c r="ID16" t="s">
        <v>398</v>
      </c>
      <c r="IE16" t="s">
        <v>398</v>
      </c>
      <c r="IF16" t="s">
        <v>398</v>
      </c>
      <c r="IG16" t="s">
        <v>398</v>
      </c>
      <c r="IH16" t="s">
        <v>398</v>
      </c>
      <c r="II16" t="s">
        <v>398</v>
      </c>
      <c r="IJ16" t="s">
        <v>398</v>
      </c>
      <c r="IK16" t="s">
        <v>398</v>
      </c>
      <c r="IL16" t="s">
        <v>398</v>
      </c>
      <c r="IM16" t="s">
        <v>398</v>
      </c>
      <c r="IT16" t="s">
        <v>398</v>
      </c>
      <c r="IU16" t="s">
        <v>377</v>
      </c>
      <c r="IV16" t="s">
        <v>377</v>
      </c>
      <c r="IW16" t="s">
        <v>393</v>
      </c>
      <c r="IX16" t="s">
        <v>394</v>
      </c>
      <c r="IY16" t="s">
        <v>393</v>
      </c>
      <c r="JC16" t="s">
        <v>394</v>
      </c>
      <c r="JG16" t="s">
        <v>373</v>
      </c>
      <c r="JH16" t="s">
        <v>373</v>
      </c>
      <c r="JI16" t="s">
        <v>380</v>
      </c>
      <c r="JJ16" t="s">
        <v>380</v>
      </c>
      <c r="JK16" t="s">
        <v>402</v>
      </c>
      <c r="JL16" t="s">
        <v>402</v>
      </c>
      <c r="JM16" t="s">
        <v>398</v>
      </c>
      <c r="JN16" t="s">
        <v>398</v>
      </c>
      <c r="JO16" t="s">
        <v>398</v>
      </c>
      <c r="JP16" t="s">
        <v>398</v>
      </c>
      <c r="JQ16" t="s">
        <v>398</v>
      </c>
      <c r="JR16" t="s">
        <v>398</v>
      </c>
      <c r="JS16" t="s">
        <v>375</v>
      </c>
      <c r="JT16" t="s">
        <v>398</v>
      </c>
      <c r="JV16" t="s">
        <v>382</v>
      </c>
      <c r="JW16" t="s">
        <v>382</v>
      </c>
      <c r="JX16" t="s">
        <v>375</v>
      </c>
      <c r="JY16" t="s">
        <v>375</v>
      </c>
      <c r="JZ16" t="s">
        <v>375</v>
      </c>
      <c r="KA16" t="s">
        <v>375</v>
      </c>
      <c r="KB16" t="s">
        <v>375</v>
      </c>
      <c r="KC16" t="s">
        <v>377</v>
      </c>
      <c r="KD16" t="s">
        <v>377</v>
      </c>
      <c r="KE16" t="s">
        <v>377</v>
      </c>
      <c r="KF16" t="s">
        <v>375</v>
      </c>
      <c r="KG16" t="s">
        <v>373</v>
      </c>
      <c r="KH16" t="s">
        <v>380</v>
      </c>
      <c r="KI16" t="s">
        <v>377</v>
      </c>
      <c r="KJ16" t="s">
        <v>377</v>
      </c>
    </row>
    <row r="17" spans="1:296" x14ac:dyDescent="0.3">
      <c r="A17">
        <v>1</v>
      </c>
      <c r="B17">
        <v>1783522441.0999999</v>
      </c>
      <c r="C17">
        <v>0</v>
      </c>
      <c r="D17" t="s">
        <v>946</v>
      </c>
      <c r="E17" t="s">
        <v>947</v>
      </c>
      <c r="F17">
        <v>15</v>
      </c>
      <c r="H17">
        <v>1783522433.349999</v>
      </c>
      <c r="I17">
        <f t="shared" ref="I17:I29" si="0">(J17)/1000</f>
        <v>2.5800916348712628E-3</v>
      </c>
      <c r="J17">
        <f t="shared" ref="J17:J29" si="1">IF(DO17, AM17, AG17)</f>
        <v>2.580091634871263</v>
      </c>
      <c r="K17">
        <f t="shared" ref="K17:K29" si="2">IF(DO17, AH17, AF17)</f>
        <v>33.057349741743849</v>
      </c>
      <c r="L17">
        <f t="shared" ref="L17:L29" si="3">DQ17 - IF(AT17&gt;1, K17*DK17*100/(AV17), 0)</f>
        <v>419.83080000000001</v>
      </c>
      <c r="M17">
        <f t="shared" ref="M17:M29" si="4">((S17-I17/2)*L17-K17)/(S17+I17/2)</f>
        <v>147.83877845108989</v>
      </c>
      <c r="N17">
        <f t="shared" ref="N17:N29" si="5">M17*(DX17+DY17)/1000</f>
        <v>14.476906198441794</v>
      </c>
      <c r="O17">
        <f t="shared" ref="O17:O29" si="6">(DQ17 - IF(AT17&gt;1, K17*DK17*100/(AV17), 0))*(DX17+DY17)/1000</f>
        <v>41.111345578572525</v>
      </c>
      <c r="P17">
        <f t="shared" ref="P17:P29" si="7">2/((1/R17-1/Q17)+SIGN(R17)*SQRT((1/R17-1/Q17)*(1/R17-1/Q17) + 4*DL17/((DL17+1)*(DL17+1))*(2*1/R17*1/Q17-1/Q17*1/Q17)))</f>
        <v>0.20546845597432389</v>
      </c>
      <c r="Q17">
        <f t="shared" ref="Q17:Q29" si="8">IF(LEFT(DM17,1)&lt;&gt;"0",IF(LEFT(DM17,1)="1",3,DN17),$D$5+$E$5*(EE17*DX17/($K$5*1000))+$F$5*(EE17*DX17/($K$5*1000))*MAX(MIN(DK17,$J$5),$I$5)*MAX(MIN(DK17,$J$5),$I$5)+$G$5*MAX(MIN(DK17,$J$5),$I$5)*(EE17*DX17/($K$5*1000))+$H$5*(EE17*DX17/($K$5*1000))*(EE17*DX17/($K$5*1000)))</f>
        <v>2.8920795965856856</v>
      </c>
      <c r="R17">
        <f t="shared" ref="R17:R29" si="9">I17*(1000-(1000*0.61365*EXP(17.502*V17/(240.97+V17))/(DX17+DY17)+DS17)/2)/(1000*0.61365*EXP(17.502*V17/(240.97+V17))/(DX17+DY17)-DS17)</f>
        <v>0.19768961507052082</v>
      </c>
      <c r="S17">
        <f t="shared" ref="S17:S29" si="10">1/((DL17+1)/(P17/1.6)+1/(Q17/1.37)) + DL17/((DL17+1)/(P17/1.6) + DL17/(Q17/1.37))</f>
        <v>0.12423037012147803</v>
      </c>
      <c r="T17">
        <f t="shared" ref="T17:T29" si="11">(DG17*DJ17)</f>
        <v>319.77769990439208</v>
      </c>
      <c r="U17">
        <f t="shared" ref="U17:U29" si="12">(DZ17+(T17+2*0.95*0.0000000567*(((DZ17+$B$7)+273)^4-(DZ17+273)^4)-44100*I17)/(1.84*29.3*Q17+8*0.95*0.0000000567*(DZ17+273)^3))</f>
        <v>26.207353689454038</v>
      </c>
      <c r="V17">
        <f t="shared" ref="V17:V29" si="13">($C$7*EA17+$D$7*EB17+$E$7*U17)</f>
        <v>25.643746666666669</v>
      </c>
      <c r="W17">
        <f t="shared" ref="W17:W29" si="14">0.61365*EXP(17.502*V17/(240.97+V17))</f>
        <v>3.3037782155129163</v>
      </c>
      <c r="X17">
        <f t="shared" ref="X17:X29" si="15">(Y17/Z17*100)</f>
        <v>64.902459503125712</v>
      </c>
      <c r="Y17">
        <f t="shared" ref="Y17:Y29" si="16">DS17*(DX17+DY17)/1000</f>
        <v>2.060762126193151</v>
      </c>
      <c r="Z17">
        <f t="shared" ref="Z17:Z29" si="17">0.61365*EXP(17.502*DZ17/(240.97+DZ17))</f>
        <v>3.175168001289542</v>
      </c>
      <c r="AA17">
        <f t="shared" ref="AA17:AA29" si="18">(W17-DS17*(DX17+DY17)/1000)</f>
        <v>1.2430160893197653</v>
      </c>
      <c r="AB17">
        <f t="shared" ref="AB17:AB29" si="19">(-I17*44100)</f>
        <v>-113.78204109782268</v>
      </c>
      <c r="AC17">
        <f t="shared" ref="AC17:AC29" si="20">2*29.3*Q17*0.92*(DZ17-V17)</f>
        <v>-104.08292419318794</v>
      </c>
      <c r="AD17">
        <f t="shared" ref="AD17:AD29" si="21">2*0.95*0.0000000567*(((DZ17+$B$7)+273)^4-(V17+273)^4)</f>
        <v>-7.6363233136357733</v>
      </c>
      <c r="AE17">
        <f t="shared" ref="AE17:AE29" si="22">T17+AD17+AB17+AC17</f>
        <v>94.276411299745675</v>
      </c>
      <c r="AF17">
        <f t="shared" ref="AF17:AF29" si="23">DW17*AT17*(DR17-DQ17*(1000-AT17*DT17)/(1000-AT17*DS17))/(100*DK17)</f>
        <v>33.057349741743849</v>
      </c>
      <c r="AG17">
        <f t="shared" ref="AG17:AG29" si="24">1000*DW17*AT17*(DS17-DT17)/(100*DK17*(1000-AT17*DS17))</f>
        <v>2.580091634871263</v>
      </c>
      <c r="AH17">
        <f t="shared" ref="AH17:AH29" si="25">(AI17 - AJ17 - DX17*1000/(8.314*(DZ17+273.15)) * AL17/DW17 * AK17) * DW17/(100*DK17) * (1000 - DT17)/1000</f>
        <v>33.143451739847755</v>
      </c>
      <c r="AI17">
        <v>469.35564030530469</v>
      </c>
      <c r="AJ17">
        <v>428.89598181818172</v>
      </c>
      <c r="AK17">
        <v>-9.4311289264413789E-3</v>
      </c>
      <c r="AL17">
        <v>67.01491646192882</v>
      </c>
      <c r="AM17">
        <f t="shared" ref="AM17:AM29" si="26">(AO17 - AN17 + DX17*1000/(8.314*(DZ17+273.15)) * AQ17/DW17 * AP17) * DW17/(100*DK17) * 1000/(1000 - AO17)</f>
        <v>2.6140249945294949</v>
      </c>
      <c r="AN17">
        <v>17.96148052193503</v>
      </c>
      <c r="AO17">
        <v>21.033229696969698</v>
      </c>
      <c r="AP17">
        <v>-4.8474150938659673E-5</v>
      </c>
      <c r="AQ17">
        <v>78.180742599951756</v>
      </c>
      <c r="AR17">
        <v>0</v>
      </c>
      <c r="AS17">
        <v>0</v>
      </c>
      <c r="AT17">
        <f t="shared" ref="AT17:AT29" si="27">IF(AR17*$H$13&gt;=AV17,1,(AV17/(AV17-AR17*$H$13)))</f>
        <v>1</v>
      </c>
      <c r="AU17">
        <f t="shared" ref="AU17:AU29" si="28">(AT17-1)*100</f>
        <v>0</v>
      </c>
      <c r="AV17">
        <f t="shared" ref="AV17:AV29" si="29">MAX(0,($B$13+$C$13*EE17)/(1+$D$13*EE17)*DX17/(DZ17+273)*$E$13)</f>
        <v>52107.194802591097</v>
      </c>
      <c r="AW17" t="s">
        <v>948</v>
      </c>
      <c r="AX17">
        <v>5105.72</v>
      </c>
      <c r="AY17">
        <v>582.62941176470576</v>
      </c>
      <c r="AZ17">
        <v>2436.86</v>
      </c>
      <c r="BA17">
        <f t="shared" ref="BA17:BA29" si="30">1-AY17/AZ17</f>
        <v>0.76090977250859482</v>
      </c>
      <c r="BB17">
        <v>-2.6462146481794289</v>
      </c>
      <c r="BC17" t="s">
        <v>949</v>
      </c>
      <c r="BD17">
        <v>5077.0600000000004</v>
      </c>
      <c r="BE17">
        <v>852.86235294117648</v>
      </c>
      <c r="BF17">
        <v>954.87</v>
      </c>
      <c r="BG17">
        <f t="shared" ref="BG17:BG29" si="31">1-BE17/BF17</f>
        <v>0.10682883225865669</v>
      </c>
      <c r="BH17">
        <v>0.5</v>
      </c>
      <c r="BI17">
        <f t="shared" ref="BI17:BI29" si="32">DH17</f>
        <v>1680.3008409867316</v>
      </c>
      <c r="BJ17">
        <f t="shared" ref="BJ17:BJ29" si="33">K17</f>
        <v>33.057349741743849</v>
      </c>
      <c r="BK17">
        <f t="shared" ref="BK17:BK29" si="34">BG17*BH17*BI17</f>
        <v>89.752288342925667</v>
      </c>
      <c r="BL17">
        <f t="shared" ref="BL17:BL29" si="35">(BJ17-BB17)/BI17</f>
        <v>2.1248316681765685E-2</v>
      </c>
      <c r="BM17">
        <f t="shared" ref="BM17:BM29" si="36">(AZ17-BF17)/BF17</f>
        <v>1.5520332610721881</v>
      </c>
      <c r="BN17">
        <f t="shared" ref="BN17:BN29" si="37">AY17/(BA17+AY17/BF17)</f>
        <v>424.943196395889</v>
      </c>
      <c r="BO17" t="s">
        <v>407</v>
      </c>
      <c r="BP17">
        <v>0</v>
      </c>
      <c r="BQ17">
        <f t="shared" ref="BQ17:BQ29" si="38">IF(BP17&lt;&gt;0, BP17, BN17)</f>
        <v>424.943196395889</v>
      </c>
      <c r="BR17">
        <f t="shared" ref="BR17:BR29" si="39">1-BQ17/BF17</f>
        <v>0.55497272257386976</v>
      </c>
      <c r="BS17">
        <f t="shared" ref="BS17:BS29" si="40">(BF17-BE17)/(BF17-BQ17)</f>
        <v>0.19249384323467758</v>
      </c>
      <c r="BT17">
        <f t="shared" ref="BT17:BT29" si="41">(AZ17-BF17)/(AZ17-BQ17)</f>
        <v>0.73660600544972354</v>
      </c>
      <c r="BU17">
        <f t="shared" ref="BU17:BU29" si="42">(BF17-BE17)/(BF17-AY17)</f>
        <v>0.27403687368542473</v>
      </c>
      <c r="BV17">
        <f t="shared" ref="BV17:BV29" si="43">(AZ17-BF17)/(AZ17-AY17)</f>
        <v>0.79924795190140707</v>
      </c>
      <c r="BW17">
        <f t="shared" ref="BW17:BW29" si="44">(BS17*BQ17/BE17)</f>
        <v>9.5911079611594605E-2</v>
      </c>
      <c r="BX17">
        <f t="shared" ref="BX17:BX29" si="45">(1-BW17)</f>
        <v>0.90408892038840538</v>
      </c>
      <c r="DG17">
        <f t="shared" ref="DG17:DG29" si="46">$B$11*EF17+$C$11*EG17+$F$11*ER17*(1-EU17)</f>
        <v>2000.002</v>
      </c>
      <c r="DH17">
        <f t="shared" ref="DH17:DH29" si="47">DG17*DI17</f>
        <v>1680.3008409867316</v>
      </c>
      <c r="DI17">
        <f t="shared" ref="DI17:DI29" si="48">($B$11*$D$9+$C$11*$D$9+$F$11*((FE17+EW17)/MAX(FE17+EW17+FF17, 0.1)*$I$9+FF17/MAX(FE17+EW17+FF17, 0.1)*$J$9))/($B$11+$C$11+$F$11)</f>
        <v>0.84014958034378551</v>
      </c>
      <c r="DJ17">
        <f t="shared" ref="DJ17:DJ29" si="49">($B$11*$K$9+$C$11*$K$9+$F$11*((FE17+EW17)/MAX(FE17+EW17+FF17, 0.1)*$P$9+FF17/MAX(FE17+EW17+FF17, 0.1)*$Q$9))/($B$11+$C$11+$F$11)</f>
        <v>0.15988869006350598</v>
      </c>
      <c r="DK17">
        <v>6</v>
      </c>
      <c r="DL17">
        <v>0.5</v>
      </c>
      <c r="DM17" t="s">
        <v>408</v>
      </c>
      <c r="DN17">
        <v>2</v>
      </c>
      <c r="DO17" t="b">
        <v>0</v>
      </c>
      <c r="DP17">
        <v>1783522433.349999</v>
      </c>
      <c r="DQ17">
        <v>419.83080000000001</v>
      </c>
      <c r="DR17">
        <v>460.80743333333328</v>
      </c>
      <c r="DS17">
        <v>21.044589999999999</v>
      </c>
      <c r="DT17">
        <v>18.013046666666661</v>
      </c>
      <c r="DU17">
        <v>425.47673333333341</v>
      </c>
      <c r="DV17">
        <v>21.540893333333329</v>
      </c>
      <c r="DW17">
        <v>499.9027333333334</v>
      </c>
      <c r="DX17">
        <v>97.872803333333337</v>
      </c>
      <c r="DY17">
        <v>5.0802029999999998E-2</v>
      </c>
      <c r="DZ17">
        <v>24.97619666666667</v>
      </c>
      <c r="EA17">
        <v>25.643746666666669</v>
      </c>
      <c r="EB17">
        <v>999.9000000000002</v>
      </c>
      <c r="EC17">
        <v>0</v>
      </c>
      <c r="ED17">
        <v>0</v>
      </c>
      <c r="EE17">
        <v>10000.66666666667</v>
      </c>
      <c r="EF17">
        <v>0</v>
      </c>
      <c r="EG17">
        <v>686.34313333333341</v>
      </c>
      <c r="EH17">
        <v>-40.976643333333342</v>
      </c>
      <c r="EI17">
        <v>428.85596666666669</v>
      </c>
      <c r="EJ17">
        <v>469.2603666666667</v>
      </c>
      <c r="EK17">
        <v>3.0315453333333329</v>
      </c>
      <c r="EL17">
        <v>460.80743333333328</v>
      </c>
      <c r="EM17">
        <v>18.013046666666661</v>
      </c>
      <c r="EN17">
        <v>2.0596933333333332</v>
      </c>
      <c r="EO17">
        <v>1.762988</v>
      </c>
      <c r="EP17">
        <v>17.91085</v>
      </c>
      <c r="EQ17">
        <v>15.46230666666667</v>
      </c>
      <c r="ER17">
        <v>2000.002</v>
      </c>
      <c r="ES17">
        <v>0.99500006666666674</v>
      </c>
      <c r="ET17">
        <v>4.9997193333333346E-3</v>
      </c>
      <c r="EU17">
        <v>0</v>
      </c>
      <c r="EV17">
        <v>854.12393333333341</v>
      </c>
      <c r="EW17">
        <v>5.0010700000000003</v>
      </c>
      <c r="EX17">
        <v>23201.293333333331</v>
      </c>
      <c r="EY17">
        <v>18241.666666666672</v>
      </c>
      <c r="EZ17">
        <v>40.889466666666657</v>
      </c>
      <c r="FA17">
        <v>41.807866666666648</v>
      </c>
      <c r="FB17">
        <v>41.197499999999998</v>
      </c>
      <c r="FC17">
        <v>41.69959999999999</v>
      </c>
      <c r="FD17">
        <v>41.653966666666662</v>
      </c>
      <c r="FE17">
        <v>1985.022333333334</v>
      </c>
      <c r="FF17">
        <v>9.9720000000000031</v>
      </c>
      <c r="FG17">
        <v>0</v>
      </c>
      <c r="FH17">
        <v>1783522440.0999999</v>
      </c>
      <c r="FI17">
        <v>0</v>
      </c>
      <c r="FJ17">
        <v>852.86235294117648</v>
      </c>
      <c r="FK17">
        <v>-22.14264703572276</v>
      </c>
      <c r="FL17">
        <v>-796.15196960528374</v>
      </c>
      <c r="FM17">
        <v>23205.03529411765</v>
      </c>
      <c r="FN17">
        <v>10</v>
      </c>
      <c r="FO17">
        <v>1783522354.0999999</v>
      </c>
      <c r="FP17" t="s">
        <v>950</v>
      </c>
      <c r="FQ17">
        <v>1783522346.5999999</v>
      </c>
      <c r="FR17">
        <v>1783522353.5999999</v>
      </c>
      <c r="FS17">
        <v>1</v>
      </c>
      <c r="FT17">
        <v>-5.6459999999999999</v>
      </c>
      <c r="FU17">
        <v>0.13600000000000001</v>
      </c>
      <c r="FV17">
        <v>-5.6459999999999999</v>
      </c>
      <c r="FW17">
        <v>-0.436</v>
      </c>
      <c r="FX17">
        <v>453</v>
      </c>
      <c r="FY17">
        <v>18</v>
      </c>
      <c r="FZ17">
        <v>0.27</v>
      </c>
      <c r="GA17">
        <v>0.11</v>
      </c>
      <c r="GB17">
        <v>419.82887096774198</v>
      </c>
      <c r="GC17">
        <v>0.81561290322499091</v>
      </c>
      <c r="GD17">
        <v>7.998416856880991E-2</v>
      </c>
      <c r="GE17">
        <v>-1</v>
      </c>
      <c r="GF17">
        <v>855.08579411764697</v>
      </c>
      <c r="GG17">
        <v>-23.50800610984944</v>
      </c>
      <c r="GH17">
        <v>2.3173657938095049</v>
      </c>
      <c r="GI17">
        <v>0</v>
      </c>
      <c r="GJ17">
        <v>2.9983212195121949</v>
      </c>
      <c r="GK17">
        <v>0.75404111498258131</v>
      </c>
      <c r="GL17">
        <v>8.368299419849283E-2</v>
      </c>
      <c r="GM17">
        <v>0</v>
      </c>
      <c r="GN17">
        <v>0</v>
      </c>
      <c r="GO17">
        <v>2</v>
      </c>
      <c r="GP17" t="s">
        <v>440</v>
      </c>
      <c r="GQ17">
        <v>3.1304500000000002</v>
      </c>
      <c r="GR17">
        <v>2.7272699999999999</v>
      </c>
      <c r="GS17">
        <v>9.1151499999999996E-2</v>
      </c>
      <c r="GT17">
        <v>9.7462900000000005E-2</v>
      </c>
      <c r="GU17">
        <v>0.10330400000000001</v>
      </c>
      <c r="GV17">
        <v>9.1033600000000006E-2</v>
      </c>
      <c r="GW17">
        <v>22750.5</v>
      </c>
      <c r="GX17">
        <v>30313.4</v>
      </c>
      <c r="GY17">
        <v>27161.1</v>
      </c>
      <c r="GZ17">
        <v>34548.400000000001</v>
      </c>
      <c r="HA17">
        <v>35675.599999999999</v>
      </c>
      <c r="HB17">
        <v>39859.9</v>
      </c>
      <c r="HC17">
        <v>40107.300000000003</v>
      </c>
      <c r="HD17">
        <v>43930.1</v>
      </c>
      <c r="HE17">
        <v>1.9321999999999999</v>
      </c>
      <c r="HF17">
        <v>1.6808000000000001</v>
      </c>
      <c r="HG17">
        <v>-8.74698E-2</v>
      </c>
      <c r="HH17">
        <v>0</v>
      </c>
      <c r="HI17">
        <v>27.070699999999999</v>
      </c>
      <c r="HJ17">
        <v>999.9</v>
      </c>
      <c r="HK17">
        <v>57.2</v>
      </c>
      <c r="HL17">
        <v>37.6</v>
      </c>
      <c r="HM17">
        <v>38.073099999999997</v>
      </c>
      <c r="HN17">
        <v>61.579599999999999</v>
      </c>
      <c r="HO17">
        <v>7.2996800000000004</v>
      </c>
      <c r="HP17">
        <v>1</v>
      </c>
      <c r="HQ17">
        <v>0.69709299999999996</v>
      </c>
      <c r="HR17">
        <v>9.2810500000000005</v>
      </c>
      <c r="HS17">
        <v>20.031099999999999</v>
      </c>
      <c r="HT17">
        <v>5.2100999999999997</v>
      </c>
      <c r="HU17">
        <v>11.914099999999999</v>
      </c>
      <c r="HV17">
        <v>4.9855999999999998</v>
      </c>
      <c r="HW17">
        <v>3.2706</v>
      </c>
      <c r="HX17">
        <v>9999</v>
      </c>
      <c r="HY17">
        <v>9999</v>
      </c>
      <c r="HZ17">
        <v>9999</v>
      </c>
      <c r="IA17">
        <v>999.9</v>
      </c>
      <c r="IB17">
        <v>1.86737</v>
      </c>
      <c r="IC17">
        <v>1.8630100000000001</v>
      </c>
      <c r="ID17">
        <v>1.86249</v>
      </c>
      <c r="IE17">
        <v>1.8619699999999999</v>
      </c>
      <c r="IF17">
        <v>1.8620300000000001</v>
      </c>
      <c r="IG17">
        <v>1.8626100000000001</v>
      </c>
      <c r="IH17">
        <v>1.8634999999999999</v>
      </c>
      <c r="II17">
        <v>1.86145</v>
      </c>
      <c r="IJ17">
        <v>0</v>
      </c>
      <c r="IK17">
        <v>0</v>
      </c>
      <c r="IL17">
        <v>0</v>
      </c>
      <c r="IM17">
        <v>4.5</v>
      </c>
      <c r="IN17" t="s">
        <v>411</v>
      </c>
      <c r="IO17" t="s">
        <v>412</v>
      </c>
      <c r="IP17" t="s">
        <v>413</v>
      </c>
      <c r="IQ17" t="s">
        <v>414</v>
      </c>
      <c r="IR17" t="s">
        <v>414</v>
      </c>
      <c r="IS17" t="s">
        <v>413</v>
      </c>
      <c r="IT17">
        <v>0</v>
      </c>
      <c r="IU17">
        <v>100</v>
      </c>
      <c r="IV17">
        <v>100</v>
      </c>
      <c r="IW17">
        <v>-5.6459999999999999</v>
      </c>
      <c r="IX17">
        <v>-0.49669999999999997</v>
      </c>
      <c r="IY17">
        <v>-5.6458571428570394</v>
      </c>
      <c r="IZ17">
        <v>0</v>
      </c>
      <c r="JA17">
        <v>0</v>
      </c>
      <c r="JB17">
        <v>0</v>
      </c>
      <c r="JC17">
        <v>-0.8222413170717493</v>
      </c>
      <c r="JD17">
        <v>2.7492919904454862E-4</v>
      </c>
      <c r="JE17">
        <v>8.6739513355948885E-4</v>
      </c>
      <c r="JF17">
        <v>-8.2500691715147318E-6</v>
      </c>
      <c r="JG17">
        <v>-1</v>
      </c>
      <c r="JH17">
        <v>-1</v>
      </c>
      <c r="JI17">
        <v>2</v>
      </c>
      <c r="JJ17">
        <v>37</v>
      </c>
      <c r="JK17">
        <v>1.6</v>
      </c>
      <c r="JL17">
        <v>1.5</v>
      </c>
      <c r="JM17">
        <v>1.1389199999999999</v>
      </c>
      <c r="JN17">
        <v>2.5366200000000001</v>
      </c>
      <c r="JO17">
        <v>1.50024</v>
      </c>
      <c r="JP17">
        <v>2.2753899999999998</v>
      </c>
      <c r="JQ17">
        <v>1.4477500000000001</v>
      </c>
      <c r="JR17">
        <v>2.3901400000000002</v>
      </c>
      <c r="JS17">
        <v>43.508099999999999</v>
      </c>
      <c r="JT17">
        <v>15.4717</v>
      </c>
      <c r="JU17">
        <v>18</v>
      </c>
      <c r="JV17">
        <v>530.42100000000005</v>
      </c>
      <c r="JW17">
        <v>383.65899999999999</v>
      </c>
      <c r="JX17">
        <v>18.7149</v>
      </c>
      <c r="JY17">
        <v>35.3705</v>
      </c>
      <c r="JZ17">
        <v>30</v>
      </c>
      <c r="KA17">
        <v>35.375900000000001</v>
      </c>
      <c r="KB17">
        <v>35.5276</v>
      </c>
      <c r="KC17">
        <v>22.7788</v>
      </c>
      <c r="KD17">
        <v>53.743899999999996</v>
      </c>
      <c r="KE17">
        <v>0</v>
      </c>
      <c r="KF17">
        <v>18.416</v>
      </c>
      <c r="KG17">
        <v>460.79300000000001</v>
      </c>
      <c r="KH17">
        <v>18.006799999999998</v>
      </c>
      <c r="KI17">
        <v>100.24</v>
      </c>
      <c r="KJ17">
        <v>98.742699999999999</v>
      </c>
    </row>
    <row r="18" spans="1:296" x14ac:dyDescent="0.3">
      <c r="A18">
        <v>2</v>
      </c>
      <c r="B18">
        <v>1783522624</v>
      </c>
      <c r="C18">
        <v>182.9000000953674</v>
      </c>
      <c r="D18" t="s">
        <v>951</v>
      </c>
      <c r="E18" t="s">
        <v>952</v>
      </c>
      <c r="F18">
        <v>15</v>
      </c>
      <c r="H18">
        <v>1783522616</v>
      </c>
      <c r="I18">
        <f t="shared" si="0"/>
        <v>2.4380207187120547E-3</v>
      </c>
      <c r="J18">
        <f t="shared" si="1"/>
        <v>2.4380207187120546</v>
      </c>
      <c r="K18">
        <f t="shared" si="2"/>
        <v>33.377643613510237</v>
      </c>
      <c r="L18">
        <f t="shared" si="3"/>
        <v>419.76490322580651</v>
      </c>
      <c r="M18">
        <f t="shared" si="4"/>
        <v>130.80273886565041</v>
      </c>
      <c r="N18">
        <f t="shared" si="5"/>
        <v>12.808136522514065</v>
      </c>
      <c r="O18">
        <f t="shared" si="6"/>
        <v>41.103162170007977</v>
      </c>
      <c r="P18">
        <f t="shared" si="7"/>
        <v>0.19454815445839616</v>
      </c>
      <c r="Q18">
        <f t="shared" si="8"/>
        <v>2.8919743110589722</v>
      </c>
      <c r="R18">
        <f t="shared" si="9"/>
        <v>0.18755883191136075</v>
      </c>
      <c r="S18">
        <f t="shared" si="10"/>
        <v>0.11783131313450532</v>
      </c>
      <c r="T18">
        <f t="shared" si="11"/>
        <v>271.9138325005149</v>
      </c>
      <c r="U18">
        <f t="shared" si="12"/>
        <v>25.929520600993335</v>
      </c>
      <c r="V18">
        <f t="shared" si="13"/>
        <v>25.597232258064519</v>
      </c>
      <c r="W18">
        <f t="shared" si="14"/>
        <v>3.2946715265879822</v>
      </c>
      <c r="X18">
        <f t="shared" si="15"/>
        <v>64.885336290671532</v>
      </c>
      <c r="Y18">
        <f t="shared" si="16"/>
        <v>2.0566256372633633</v>
      </c>
      <c r="Z18">
        <f t="shared" si="17"/>
        <v>3.1696308516459695</v>
      </c>
      <c r="AA18">
        <f t="shared" si="18"/>
        <v>1.2380458893246189</v>
      </c>
      <c r="AB18">
        <f t="shared" si="19"/>
        <v>-107.51671369520162</v>
      </c>
      <c r="AC18">
        <f t="shared" si="20"/>
        <v>-101.39015396561399</v>
      </c>
      <c r="AD18">
        <f t="shared" si="21"/>
        <v>-7.4361970023713821</v>
      </c>
      <c r="AE18">
        <f t="shared" si="22"/>
        <v>55.570767837327907</v>
      </c>
      <c r="AF18">
        <f t="shared" si="23"/>
        <v>33.377643613510237</v>
      </c>
      <c r="AG18">
        <f t="shared" si="24"/>
        <v>2.4380207187120546</v>
      </c>
      <c r="AH18">
        <f t="shared" si="25"/>
        <v>33.61944595401031</v>
      </c>
      <c r="AI18">
        <v>469.68799506616318</v>
      </c>
      <c r="AJ18">
        <v>428.70554545454519</v>
      </c>
      <c r="AK18">
        <v>-2.1429873768368999E-2</v>
      </c>
      <c r="AL18">
        <v>67.013126900557126</v>
      </c>
      <c r="AM18">
        <f t="shared" si="26"/>
        <v>2.4227373722070595</v>
      </c>
      <c r="AN18">
        <v>18.1443031492066</v>
      </c>
      <c r="AO18">
        <v>20.991487878787879</v>
      </c>
      <c r="AP18">
        <v>-6.8772112004986745E-5</v>
      </c>
      <c r="AQ18">
        <v>78.177195165427619</v>
      </c>
      <c r="AR18">
        <v>0</v>
      </c>
      <c r="AS18">
        <v>0</v>
      </c>
      <c r="AT18">
        <f t="shared" si="27"/>
        <v>1</v>
      </c>
      <c r="AU18">
        <f t="shared" si="28"/>
        <v>0</v>
      </c>
      <c r="AV18">
        <f t="shared" si="29"/>
        <v>52109.236758815605</v>
      </c>
      <c r="AW18" t="s">
        <v>948</v>
      </c>
      <c r="AX18">
        <v>5105.72</v>
      </c>
      <c r="AY18">
        <v>582.62941176470576</v>
      </c>
      <c r="AZ18">
        <v>2436.86</v>
      </c>
      <c r="BA18">
        <f t="shared" si="30"/>
        <v>0.76090977250859482</v>
      </c>
      <c r="BB18">
        <v>-2.6462146481794289</v>
      </c>
      <c r="BC18" t="s">
        <v>953</v>
      </c>
      <c r="BD18">
        <v>5077.8100000000004</v>
      </c>
      <c r="BE18">
        <v>812.16041176470594</v>
      </c>
      <c r="BF18">
        <v>942.38</v>
      </c>
      <c r="BG18">
        <f t="shared" si="31"/>
        <v>0.13818161276267971</v>
      </c>
      <c r="BH18">
        <v>0.5</v>
      </c>
      <c r="BI18">
        <f t="shared" si="32"/>
        <v>1428.3326030338615</v>
      </c>
      <c r="BJ18">
        <f t="shared" si="33"/>
        <v>33.377643613510237</v>
      </c>
      <c r="BK18">
        <f t="shared" si="34"/>
        <v>98.684651324367678</v>
      </c>
      <c r="BL18">
        <f t="shared" si="35"/>
        <v>2.5220917162552266E-2</v>
      </c>
      <c r="BM18">
        <f t="shared" si="36"/>
        <v>1.5858570852522338</v>
      </c>
      <c r="BN18">
        <f t="shared" si="37"/>
        <v>422.45147295483196</v>
      </c>
      <c r="BO18" t="s">
        <v>407</v>
      </c>
      <c r="BP18">
        <v>0</v>
      </c>
      <c r="BQ18">
        <f t="shared" si="38"/>
        <v>422.45147295483196</v>
      </c>
      <c r="BR18">
        <f t="shared" si="39"/>
        <v>0.55171854988981939</v>
      </c>
      <c r="BS18">
        <f t="shared" si="40"/>
        <v>0.25045670983923801</v>
      </c>
      <c r="BT18">
        <f t="shared" si="41"/>
        <v>0.7418951915340507</v>
      </c>
      <c r="BU18">
        <f t="shared" si="42"/>
        <v>0.3619718563187565</v>
      </c>
      <c r="BV18">
        <f t="shared" si="43"/>
        <v>0.80598389945790094</v>
      </c>
      <c r="BW18">
        <f t="shared" si="44"/>
        <v>0.13027698032351329</v>
      </c>
      <c r="BX18">
        <f t="shared" si="45"/>
        <v>0.86972301967648669</v>
      </c>
      <c r="DG18">
        <f t="shared" si="46"/>
        <v>1700.032903225806</v>
      </c>
      <c r="DH18">
        <f t="shared" si="47"/>
        <v>1428.3326030338615</v>
      </c>
      <c r="DI18">
        <f t="shared" si="48"/>
        <v>0.84017938730691966</v>
      </c>
      <c r="DJ18">
        <f t="shared" si="49"/>
        <v>0.15994621750235505</v>
      </c>
      <c r="DK18">
        <v>6</v>
      </c>
      <c r="DL18">
        <v>0.5</v>
      </c>
      <c r="DM18" t="s">
        <v>408</v>
      </c>
      <c r="DN18">
        <v>2</v>
      </c>
      <c r="DO18" t="b">
        <v>0</v>
      </c>
      <c r="DP18">
        <v>1783522616</v>
      </c>
      <c r="DQ18">
        <v>419.76490322580651</v>
      </c>
      <c r="DR18">
        <v>461.05345161290319</v>
      </c>
      <c r="DS18">
        <v>21.003232258064511</v>
      </c>
      <c r="DT18">
        <v>18.138548387096769</v>
      </c>
      <c r="DU18">
        <v>425.48670967741941</v>
      </c>
      <c r="DV18">
        <v>21.50059677419355</v>
      </c>
      <c r="DW18">
        <v>499.91158064516139</v>
      </c>
      <c r="DX18">
        <v>97.870254838709684</v>
      </c>
      <c r="DY18">
        <v>4.922783870967741E-2</v>
      </c>
      <c r="DZ18">
        <v>24.946929032258069</v>
      </c>
      <c r="EA18">
        <v>25.597232258064519</v>
      </c>
      <c r="EB18">
        <v>999.90000000000032</v>
      </c>
      <c r="EC18">
        <v>0</v>
      </c>
      <c r="ED18">
        <v>0</v>
      </c>
      <c r="EE18">
        <v>10000.322580645159</v>
      </c>
      <c r="EF18">
        <v>0</v>
      </c>
      <c r="EG18">
        <v>707.69083870967734</v>
      </c>
      <c r="EH18">
        <v>-41.288674193548381</v>
      </c>
      <c r="EI18">
        <v>428.77054838709688</v>
      </c>
      <c r="EJ18">
        <v>469.57096774193548</v>
      </c>
      <c r="EK18">
        <v>2.8646838709677418</v>
      </c>
      <c r="EL18">
        <v>461.05345161290319</v>
      </c>
      <c r="EM18">
        <v>18.138548387096769</v>
      </c>
      <c r="EN18">
        <v>2.0555916129032261</v>
      </c>
      <c r="EO18">
        <v>1.775224193548387</v>
      </c>
      <c r="EP18">
        <v>17.879177419354839</v>
      </c>
      <c r="EQ18">
        <v>15.570319354838711</v>
      </c>
      <c r="ER18">
        <v>1700.032903225806</v>
      </c>
      <c r="ES18">
        <v>0.99400277419354832</v>
      </c>
      <c r="ET18">
        <v>5.9974519354838718E-3</v>
      </c>
      <c r="EU18">
        <v>0</v>
      </c>
      <c r="EV18">
        <v>812.37806451612892</v>
      </c>
      <c r="EW18">
        <v>5.0010700000000003</v>
      </c>
      <c r="EX18">
        <v>19765.416129032259</v>
      </c>
      <c r="EY18">
        <v>15492.83225806452</v>
      </c>
      <c r="EZ18">
        <v>41.128999999999998</v>
      </c>
      <c r="FA18">
        <v>42.271999999999977</v>
      </c>
      <c r="FB18">
        <v>41.737806451612897</v>
      </c>
      <c r="FC18">
        <v>42.061999999999983</v>
      </c>
      <c r="FD18">
        <v>42.080354838709667</v>
      </c>
      <c r="FE18">
        <v>1684.8674193548391</v>
      </c>
      <c r="FF18">
        <v>10.165483870967741</v>
      </c>
      <c r="FG18">
        <v>0</v>
      </c>
      <c r="FH18">
        <v>182.4000000953674</v>
      </c>
      <c r="FI18">
        <v>0</v>
      </c>
      <c r="FJ18">
        <v>812.16041176470594</v>
      </c>
      <c r="FK18">
        <v>-3.3708333379417832</v>
      </c>
      <c r="FL18">
        <v>422.64705952828501</v>
      </c>
      <c r="FM18">
        <v>19774.141176470592</v>
      </c>
      <c r="FN18">
        <v>10</v>
      </c>
      <c r="FO18">
        <v>1783522505.5</v>
      </c>
      <c r="FP18" t="s">
        <v>954</v>
      </c>
      <c r="FQ18">
        <v>1783522504</v>
      </c>
      <c r="FR18">
        <v>1783522505</v>
      </c>
      <c r="FS18">
        <v>2</v>
      </c>
      <c r="FT18">
        <v>-7.5999999999999998E-2</v>
      </c>
      <c r="FU18">
        <v>0.13600000000000001</v>
      </c>
      <c r="FV18">
        <v>-5.7220000000000004</v>
      </c>
      <c r="FW18">
        <v>-0.438</v>
      </c>
      <c r="FX18">
        <v>461</v>
      </c>
      <c r="FY18">
        <v>18</v>
      </c>
      <c r="FZ18">
        <v>0.17</v>
      </c>
      <c r="GA18">
        <v>0.11</v>
      </c>
      <c r="GB18">
        <v>419.76743333333337</v>
      </c>
      <c r="GC18">
        <v>-8.438709677345449E-2</v>
      </c>
      <c r="GD18">
        <v>5.7154575980892512E-2</v>
      </c>
      <c r="GE18">
        <v>-1</v>
      </c>
      <c r="GF18">
        <v>812.66023529411757</v>
      </c>
      <c r="GG18">
        <v>-4.8880366761490102</v>
      </c>
      <c r="GH18">
        <v>0.53187178125512025</v>
      </c>
      <c r="GI18">
        <v>1</v>
      </c>
      <c r="GJ18">
        <v>2.87010875</v>
      </c>
      <c r="GK18">
        <v>-0.1251538086304014</v>
      </c>
      <c r="GL18">
        <v>1.281095043068624E-2</v>
      </c>
      <c r="GM18">
        <v>1</v>
      </c>
      <c r="GN18">
        <v>2</v>
      </c>
      <c r="GO18">
        <v>2</v>
      </c>
      <c r="GP18" t="s">
        <v>423</v>
      </c>
      <c r="GQ18">
        <v>3.1295299999999999</v>
      </c>
      <c r="GR18">
        <v>2.7251300000000001</v>
      </c>
      <c r="GS18">
        <v>9.1101600000000005E-2</v>
      </c>
      <c r="GT18">
        <v>9.7537299999999993E-2</v>
      </c>
      <c r="GU18">
        <v>0.103149</v>
      </c>
      <c r="GV18">
        <v>9.1707200000000003E-2</v>
      </c>
      <c r="GW18">
        <v>22747.599999999999</v>
      </c>
      <c r="GX18">
        <v>30307.1</v>
      </c>
      <c r="GY18">
        <v>27156.5</v>
      </c>
      <c r="GZ18">
        <v>34544.699999999997</v>
      </c>
      <c r="HA18">
        <v>35677.1</v>
      </c>
      <c r="HB18">
        <v>39827</v>
      </c>
      <c r="HC18">
        <v>40101.699999999997</v>
      </c>
      <c r="HD18">
        <v>43926.2</v>
      </c>
      <c r="HE18">
        <v>1.9301999999999999</v>
      </c>
      <c r="HF18">
        <v>1.6786000000000001</v>
      </c>
      <c r="HG18">
        <v>-9.7155599999999995E-2</v>
      </c>
      <c r="HH18">
        <v>0</v>
      </c>
      <c r="HI18">
        <v>27.178799999999999</v>
      </c>
      <c r="HJ18">
        <v>999.9</v>
      </c>
      <c r="HK18">
        <v>56.9</v>
      </c>
      <c r="HL18">
        <v>37.9</v>
      </c>
      <c r="HM18">
        <v>38.493899999999996</v>
      </c>
      <c r="HN18">
        <v>61.339599999999997</v>
      </c>
      <c r="HO18">
        <v>7.0913500000000003</v>
      </c>
      <c r="HP18">
        <v>1</v>
      </c>
      <c r="HQ18">
        <v>0.70438999999999996</v>
      </c>
      <c r="HR18">
        <v>9.2810500000000005</v>
      </c>
      <c r="HS18">
        <v>20.0335</v>
      </c>
      <c r="HT18">
        <v>5.2112999999999996</v>
      </c>
      <c r="HU18">
        <v>11.914099999999999</v>
      </c>
      <c r="HV18">
        <v>4.9855999999999998</v>
      </c>
      <c r="HW18">
        <v>3.2709999999999999</v>
      </c>
      <c r="HX18">
        <v>9999</v>
      </c>
      <c r="HY18">
        <v>9999</v>
      </c>
      <c r="HZ18">
        <v>9999</v>
      </c>
      <c r="IA18">
        <v>999.9</v>
      </c>
      <c r="IB18">
        <v>1.86737</v>
      </c>
      <c r="IC18">
        <v>1.8629800000000001</v>
      </c>
      <c r="ID18">
        <v>1.86249</v>
      </c>
      <c r="IE18">
        <v>1.8620300000000001</v>
      </c>
      <c r="IF18">
        <v>1.8620300000000001</v>
      </c>
      <c r="IG18">
        <v>1.8626400000000001</v>
      </c>
      <c r="IH18">
        <v>1.8634999999999999</v>
      </c>
      <c r="II18">
        <v>1.8614200000000001</v>
      </c>
      <c r="IJ18">
        <v>0</v>
      </c>
      <c r="IK18">
        <v>0</v>
      </c>
      <c r="IL18">
        <v>0</v>
      </c>
      <c r="IM18">
        <v>4.5</v>
      </c>
      <c r="IN18" t="s">
        <v>411</v>
      </c>
      <c r="IO18" t="s">
        <v>412</v>
      </c>
      <c r="IP18" t="s">
        <v>413</v>
      </c>
      <c r="IQ18" t="s">
        <v>414</v>
      </c>
      <c r="IR18" t="s">
        <v>414</v>
      </c>
      <c r="IS18" t="s">
        <v>413</v>
      </c>
      <c r="IT18">
        <v>0</v>
      </c>
      <c r="IU18">
        <v>100</v>
      </c>
      <c r="IV18">
        <v>100</v>
      </c>
      <c r="IW18">
        <v>-5.7210000000000001</v>
      </c>
      <c r="IX18">
        <v>-0.49759999999999999</v>
      </c>
      <c r="IY18">
        <v>-5.7218095238094966</v>
      </c>
      <c r="IZ18">
        <v>0</v>
      </c>
      <c r="JA18">
        <v>0</v>
      </c>
      <c r="JB18">
        <v>0</v>
      </c>
      <c r="JC18">
        <v>-0.8222413170717493</v>
      </c>
      <c r="JD18">
        <v>2.7492919904454862E-4</v>
      </c>
      <c r="JE18">
        <v>8.6739513355948885E-4</v>
      </c>
      <c r="JF18">
        <v>-8.2500691715147318E-6</v>
      </c>
      <c r="JG18">
        <v>-1</v>
      </c>
      <c r="JH18">
        <v>-1</v>
      </c>
      <c r="JI18">
        <v>2</v>
      </c>
      <c r="JJ18">
        <v>37</v>
      </c>
      <c r="JK18">
        <v>2</v>
      </c>
      <c r="JL18">
        <v>2</v>
      </c>
      <c r="JM18">
        <v>1.1401399999999999</v>
      </c>
      <c r="JN18">
        <v>2.5317400000000001</v>
      </c>
      <c r="JO18">
        <v>1.50024</v>
      </c>
      <c r="JP18">
        <v>2.2753899999999998</v>
      </c>
      <c r="JQ18">
        <v>1.4477500000000001</v>
      </c>
      <c r="JR18">
        <v>2.4267599999999998</v>
      </c>
      <c r="JS18">
        <v>43.480800000000002</v>
      </c>
      <c r="JT18">
        <v>15.410399999999999</v>
      </c>
      <c r="JU18">
        <v>18</v>
      </c>
      <c r="JV18">
        <v>529.85500000000002</v>
      </c>
      <c r="JW18">
        <v>383.00799999999998</v>
      </c>
      <c r="JX18">
        <v>18.790400000000002</v>
      </c>
      <c r="JY18">
        <v>35.458399999999997</v>
      </c>
      <c r="JZ18">
        <v>30</v>
      </c>
      <c r="KA18">
        <v>35.471600000000002</v>
      </c>
      <c r="KB18">
        <v>35.631900000000002</v>
      </c>
      <c r="KC18">
        <v>22.8184</v>
      </c>
      <c r="KD18">
        <v>53.709899999999998</v>
      </c>
      <c r="KE18">
        <v>0</v>
      </c>
      <c r="KF18">
        <v>18.386900000000001</v>
      </c>
      <c r="KG18">
        <v>461.42899999999997</v>
      </c>
      <c r="KH18">
        <v>18.0669</v>
      </c>
      <c r="KI18">
        <v>100.22499999999999</v>
      </c>
      <c r="KJ18">
        <v>98.733199999999997</v>
      </c>
    </row>
    <row r="19" spans="1:296" x14ac:dyDescent="0.3">
      <c r="A19">
        <v>3</v>
      </c>
      <c r="B19">
        <v>1783522806.5</v>
      </c>
      <c r="C19">
        <v>365.40000009536737</v>
      </c>
      <c r="D19" t="s">
        <v>955</v>
      </c>
      <c r="E19" t="s">
        <v>956</v>
      </c>
      <c r="F19">
        <v>15</v>
      </c>
      <c r="H19">
        <v>1783522798.75</v>
      </c>
      <c r="I19">
        <f t="shared" si="0"/>
        <v>2.3850389811642374E-3</v>
      </c>
      <c r="J19">
        <f t="shared" si="1"/>
        <v>2.3850389811642376</v>
      </c>
      <c r="K19">
        <f t="shared" si="2"/>
        <v>35.442926830741989</v>
      </c>
      <c r="L19">
        <f t="shared" si="3"/>
        <v>419.88119999999992</v>
      </c>
      <c r="M19">
        <f t="shared" si="4"/>
        <v>114.36976119502395</v>
      </c>
      <c r="N19">
        <f t="shared" si="5"/>
        <v>11.198544348092874</v>
      </c>
      <c r="O19">
        <f t="shared" si="6"/>
        <v>41.112774827888963</v>
      </c>
      <c r="P19">
        <f t="shared" si="7"/>
        <v>0.19500129938781327</v>
      </c>
      <c r="Q19">
        <f t="shared" si="8"/>
        <v>2.8918750092007821</v>
      </c>
      <c r="R19">
        <f t="shared" si="9"/>
        <v>0.18797977996661702</v>
      </c>
      <c r="S19">
        <f t="shared" si="10"/>
        <v>0.11809715425372687</v>
      </c>
      <c r="T19">
        <f t="shared" si="11"/>
        <v>255.91310480620234</v>
      </c>
      <c r="U19">
        <f t="shared" si="12"/>
        <v>25.750756818124863</v>
      </c>
      <c r="V19">
        <f t="shared" si="13"/>
        <v>25.444176666666671</v>
      </c>
      <c r="W19">
        <f t="shared" si="14"/>
        <v>3.2648605886755151</v>
      </c>
      <c r="X19">
        <f t="shared" si="15"/>
        <v>65.252127123371523</v>
      </c>
      <c r="Y19">
        <f t="shared" si="16"/>
        <v>2.0562937944513573</v>
      </c>
      <c r="Z19">
        <f t="shared" si="17"/>
        <v>3.1513053828322621</v>
      </c>
      <c r="AA19">
        <f t="shared" si="18"/>
        <v>1.2085667942241578</v>
      </c>
      <c r="AB19">
        <f t="shared" si="19"/>
        <v>-105.18021906934287</v>
      </c>
      <c r="AC19">
        <f t="shared" si="20"/>
        <v>-92.675658613808167</v>
      </c>
      <c r="AD19">
        <f t="shared" si="21"/>
        <v>-6.788736716962565</v>
      </c>
      <c r="AE19">
        <f t="shared" si="22"/>
        <v>51.268490406088716</v>
      </c>
      <c r="AF19">
        <f t="shared" si="23"/>
        <v>35.442926830741989</v>
      </c>
      <c r="AG19">
        <f t="shared" si="24"/>
        <v>2.3850389811642376</v>
      </c>
      <c r="AH19">
        <f t="shared" si="25"/>
        <v>35.648210111218638</v>
      </c>
      <c r="AI19">
        <v>472.24082401681392</v>
      </c>
      <c r="AJ19">
        <v>428.8442303030302</v>
      </c>
      <c r="AK19">
        <v>-3.2119814528772619E-2</v>
      </c>
      <c r="AL19">
        <v>67.076453188886973</v>
      </c>
      <c r="AM19">
        <f t="shared" si="26"/>
        <v>2.3777790212462127</v>
      </c>
      <c r="AN19">
        <v>18.20262631844157</v>
      </c>
      <c r="AO19">
        <v>20.995888484848479</v>
      </c>
      <c r="AP19">
        <v>-1.5015664747688109E-5</v>
      </c>
      <c r="AQ19">
        <v>78.55</v>
      </c>
      <c r="AR19">
        <v>0</v>
      </c>
      <c r="AS19">
        <v>0</v>
      </c>
      <c r="AT19">
        <f t="shared" si="27"/>
        <v>1</v>
      </c>
      <c r="AU19">
        <f t="shared" si="28"/>
        <v>0</v>
      </c>
      <c r="AV19">
        <f t="shared" si="29"/>
        <v>52123.264928861761</v>
      </c>
      <c r="AW19" t="s">
        <v>948</v>
      </c>
      <c r="AX19">
        <v>5105.72</v>
      </c>
      <c r="AY19">
        <v>582.62941176470576</v>
      </c>
      <c r="AZ19">
        <v>2436.86</v>
      </c>
      <c r="BA19">
        <f t="shared" si="30"/>
        <v>0.76090977250859482</v>
      </c>
      <c r="BB19">
        <v>-2.6462146481794289</v>
      </c>
      <c r="BC19" t="s">
        <v>957</v>
      </c>
      <c r="BD19">
        <v>5077.1400000000003</v>
      </c>
      <c r="BE19">
        <v>804.36658823529422</v>
      </c>
      <c r="BF19">
        <v>957.44</v>
      </c>
      <c r="BG19">
        <f t="shared" si="31"/>
        <v>0.15987781141868507</v>
      </c>
      <c r="BH19">
        <v>0.5</v>
      </c>
      <c r="BI19">
        <f t="shared" si="32"/>
        <v>1344.2873401068405</v>
      </c>
      <c r="BJ19">
        <f t="shared" si="33"/>
        <v>35.442926830741989</v>
      </c>
      <c r="BK19">
        <f t="shared" si="34"/>
        <v>107.4608589270636</v>
      </c>
      <c r="BL19">
        <f t="shared" si="35"/>
        <v>2.8334077352758669E-2</v>
      </c>
      <c r="BM19">
        <f t="shared" si="36"/>
        <v>1.5451829879679144</v>
      </c>
      <c r="BN19">
        <f t="shared" si="37"/>
        <v>425.45142390504242</v>
      </c>
      <c r="BO19" t="s">
        <v>407</v>
      </c>
      <c r="BP19">
        <v>0</v>
      </c>
      <c r="BQ19">
        <f t="shared" si="38"/>
        <v>425.45142390504242</v>
      </c>
      <c r="BR19">
        <f t="shared" si="39"/>
        <v>0.55563646400292199</v>
      </c>
      <c r="BS19">
        <f t="shared" si="40"/>
        <v>0.28773815574825973</v>
      </c>
      <c r="BT19">
        <f t="shared" si="41"/>
        <v>0.73551441391992822</v>
      </c>
      <c r="BU19">
        <f t="shared" si="42"/>
        <v>0.40840204777942712</v>
      </c>
      <c r="BV19">
        <f t="shared" si="43"/>
        <v>0.79786193226808511</v>
      </c>
      <c r="BW19">
        <f t="shared" si="44"/>
        <v>0.15219255730584613</v>
      </c>
      <c r="BX19">
        <f t="shared" si="45"/>
        <v>0.84780744269415387</v>
      </c>
      <c r="DG19">
        <f t="shared" si="46"/>
        <v>1600.001</v>
      </c>
      <c r="DH19">
        <f t="shared" si="47"/>
        <v>1344.2873401068405</v>
      </c>
      <c r="DI19">
        <f t="shared" si="48"/>
        <v>0.84017906245486129</v>
      </c>
      <c r="DJ19">
        <f t="shared" si="49"/>
        <v>0.15994559053788238</v>
      </c>
      <c r="DK19">
        <v>6</v>
      </c>
      <c r="DL19">
        <v>0.5</v>
      </c>
      <c r="DM19" t="s">
        <v>408</v>
      </c>
      <c r="DN19">
        <v>2</v>
      </c>
      <c r="DO19" t="b">
        <v>0</v>
      </c>
      <c r="DP19">
        <v>1783522798.75</v>
      </c>
      <c r="DQ19">
        <v>419.88119999999992</v>
      </c>
      <c r="DR19">
        <v>463.61039999999991</v>
      </c>
      <c r="DS19">
        <v>21.00075</v>
      </c>
      <c r="DT19">
        <v>18.19906666666667</v>
      </c>
      <c r="DU19">
        <v>425.63243333333332</v>
      </c>
      <c r="DV19">
        <v>21.498173333333341</v>
      </c>
      <c r="DW19">
        <v>500.04610000000002</v>
      </c>
      <c r="DX19">
        <v>97.864569999999986</v>
      </c>
      <c r="DY19">
        <v>5.0685143333333328E-2</v>
      </c>
      <c r="DZ19">
        <v>24.849746666666661</v>
      </c>
      <c r="EA19">
        <v>25.444176666666671</v>
      </c>
      <c r="EB19">
        <v>999.9000000000002</v>
      </c>
      <c r="EC19">
        <v>0</v>
      </c>
      <c r="ED19">
        <v>0</v>
      </c>
      <c r="EE19">
        <v>10000.33333333333</v>
      </c>
      <c r="EF19">
        <v>0</v>
      </c>
      <c r="EG19">
        <v>712.00760000000014</v>
      </c>
      <c r="EH19">
        <v>-43.729146666666672</v>
      </c>
      <c r="EI19">
        <v>428.8882000000001</v>
      </c>
      <c r="EJ19">
        <v>472.20406666666662</v>
      </c>
      <c r="EK19">
        <v>2.8016913333333351</v>
      </c>
      <c r="EL19">
        <v>463.61039999999991</v>
      </c>
      <c r="EM19">
        <v>18.19906666666667</v>
      </c>
      <c r="EN19">
        <v>2.0552306666666671</v>
      </c>
      <c r="EO19">
        <v>1.7810440000000001</v>
      </c>
      <c r="EP19">
        <v>17.876370000000001</v>
      </c>
      <c r="EQ19">
        <v>15.6214</v>
      </c>
      <c r="ER19">
        <v>1600.001</v>
      </c>
      <c r="ES19">
        <v>0.99401066666666671</v>
      </c>
      <c r="ET19">
        <v>5.9896306666666682E-3</v>
      </c>
      <c r="EU19">
        <v>0</v>
      </c>
      <c r="EV19">
        <v>804.43856666666682</v>
      </c>
      <c r="EW19">
        <v>5.0010700000000003</v>
      </c>
      <c r="EX19">
        <v>18746.28666666667</v>
      </c>
      <c r="EY19">
        <v>14578.556666666669</v>
      </c>
      <c r="EZ19">
        <v>41.186999999999983</v>
      </c>
      <c r="FA19">
        <v>42.432866666666648</v>
      </c>
      <c r="FB19">
        <v>41.893599999999992</v>
      </c>
      <c r="FC19">
        <v>42.125</v>
      </c>
      <c r="FD19">
        <v>42.126866666666658</v>
      </c>
      <c r="FE19">
        <v>1585.449333333333</v>
      </c>
      <c r="FF19">
        <v>9.5500000000000025</v>
      </c>
      <c r="FG19">
        <v>0</v>
      </c>
      <c r="FH19">
        <v>181.5999999046326</v>
      </c>
      <c r="FI19">
        <v>0</v>
      </c>
      <c r="FJ19">
        <v>804.36658823529422</v>
      </c>
      <c r="FK19">
        <v>-1.0080882588228841</v>
      </c>
      <c r="FL19">
        <v>563.40686315669006</v>
      </c>
      <c r="FM19">
        <v>18749.18235294117</v>
      </c>
      <c r="FN19">
        <v>10</v>
      </c>
      <c r="FO19">
        <v>1783522700.5</v>
      </c>
      <c r="FP19" t="s">
        <v>958</v>
      </c>
      <c r="FQ19">
        <v>1783522700</v>
      </c>
      <c r="FR19">
        <v>1783522700</v>
      </c>
      <c r="FS19">
        <v>3</v>
      </c>
      <c r="FT19">
        <v>-0.03</v>
      </c>
      <c r="FU19">
        <v>0.13</v>
      </c>
      <c r="FV19">
        <v>-5.7510000000000003</v>
      </c>
      <c r="FW19">
        <v>-0.436</v>
      </c>
      <c r="FX19">
        <v>462</v>
      </c>
      <c r="FY19">
        <v>18</v>
      </c>
      <c r="FZ19">
        <v>0.19</v>
      </c>
      <c r="GA19">
        <v>0.09</v>
      </c>
      <c r="GB19">
        <v>419.88</v>
      </c>
      <c r="GC19">
        <v>0.30294994438314438</v>
      </c>
      <c r="GD19">
        <v>6.0899917898140261E-2</v>
      </c>
      <c r="GE19">
        <v>-1</v>
      </c>
      <c r="GF19">
        <v>804.3892647058824</v>
      </c>
      <c r="GG19">
        <v>0.33382734378372042</v>
      </c>
      <c r="GH19">
        <v>0.22370244270452691</v>
      </c>
      <c r="GI19">
        <v>1</v>
      </c>
      <c r="GJ19">
        <v>2.8082932500000002</v>
      </c>
      <c r="GK19">
        <v>-0.10726795497186389</v>
      </c>
      <c r="GL19">
        <v>1.0994176501107299E-2</v>
      </c>
      <c r="GM19">
        <v>1</v>
      </c>
      <c r="GN19">
        <v>2</v>
      </c>
      <c r="GO19">
        <v>2</v>
      </c>
      <c r="GP19" t="s">
        <v>423</v>
      </c>
      <c r="GQ19">
        <v>3.13008</v>
      </c>
      <c r="GR19">
        <v>2.72641</v>
      </c>
      <c r="GS19">
        <v>9.11164E-2</v>
      </c>
      <c r="GT19">
        <v>9.7836099999999995E-2</v>
      </c>
      <c r="GU19">
        <v>0.103142</v>
      </c>
      <c r="GV19">
        <v>9.1899499999999995E-2</v>
      </c>
      <c r="GW19">
        <v>22745.4</v>
      </c>
      <c r="GX19">
        <v>30294.1</v>
      </c>
      <c r="GY19">
        <v>27154.5</v>
      </c>
      <c r="GZ19">
        <v>34541.699999999997</v>
      </c>
      <c r="HA19">
        <v>35675.699999999997</v>
      </c>
      <c r="HB19">
        <v>39817.5</v>
      </c>
      <c r="HC19">
        <v>40099.699999999997</v>
      </c>
      <c r="HD19">
        <v>43924.9</v>
      </c>
      <c r="HE19">
        <v>1.9319999999999999</v>
      </c>
      <c r="HF19">
        <v>1.6739999999999999</v>
      </c>
      <c r="HG19">
        <v>-0.10079100000000001</v>
      </c>
      <c r="HH19">
        <v>0</v>
      </c>
      <c r="HI19">
        <v>27.1052</v>
      </c>
      <c r="HJ19">
        <v>999.9</v>
      </c>
      <c r="HK19">
        <v>56.6</v>
      </c>
      <c r="HL19">
        <v>38.1</v>
      </c>
      <c r="HM19">
        <v>38.711799999999997</v>
      </c>
      <c r="HN19">
        <v>61.469700000000003</v>
      </c>
      <c r="HO19">
        <v>7.0072099999999997</v>
      </c>
      <c r="HP19">
        <v>1</v>
      </c>
      <c r="HQ19">
        <v>0.70825199999999999</v>
      </c>
      <c r="HR19">
        <v>9.2810500000000005</v>
      </c>
      <c r="HS19">
        <v>20.034199999999998</v>
      </c>
      <c r="HT19">
        <v>5.2112999999999996</v>
      </c>
      <c r="HU19">
        <v>11.914099999999999</v>
      </c>
      <c r="HV19">
        <v>4.9847999999999999</v>
      </c>
      <c r="HW19">
        <v>3.2706</v>
      </c>
      <c r="HX19">
        <v>9999</v>
      </c>
      <c r="HY19">
        <v>9999</v>
      </c>
      <c r="HZ19">
        <v>9999</v>
      </c>
      <c r="IA19">
        <v>999.9</v>
      </c>
      <c r="IB19">
        <v>1.86737</v>
      </c>
      <c r="IC19">
        <v>1.8629800000000001</v>
      </c>
      <c r="ID19">
        <v>1.86249</v>
      </c>
      <c r="IE19">
        <v>1.8620000000000001</v>
      </c>
      <c r="IF19">
        <v>1.8620300000000001</v>
      </c>
      <c r="IG19">
        <v>1.8626400000000001</v>
      </c>
      <c r="IH19">
        <v>1.8634599999999999</v>
      </c>
      <c r="II19">
        <v>1.86148</v>
      </c>
      <c r="IJ19">
        <v>0</v>
      </c>
      <c r="IK19">
        <v>0</v>
      </c>
      <c r="IL19">
        <v>0</v>
      </c>
      <c r="IM19">
        <v>4.5</v>
      </c>
      <c r="IN19" t="s">
        <v>411</v>
      </c>
      <c r="IO19" t="s">
        <v>412</v>
      </c>
      <c r="IP19" t="s">
        <v>413</v>
      </c>
      <c r="IQ19" t="s">
        <v>414</v>
      </c>
      <c r="IR19" t="s">
        <v>414</v>
      </c>
      <c r="IS19" t="s">
        <v>413</v>
      </c>
      <c r="IT19">
        <v>0</v>
      </c>
      <c r="IU19">
        <v>100</v>
      </c>
      <c r="IV19">
        <v>100</v>
      </c>
      <c r="IW19">
        <v>-5.7510000000000003</v>
      </c>
      <c r="IX19">
        <v>-0.4975</v>
      </c>
      <c r="IY19">
        <v>-5.7512380952381363</v>
      </c>
      <c r="IZ19">
        <v>0</v>
      </c>
      <c r="JA19">
        <v>0</v>
      </c>
      <c r="JB19">
        <v>0</v>
      </c>
      <c r="JC19">
        <v>-0.8222413170717493</v>
      </c>
      <c r="JD19">
        <v>2.7492919904454862E-4</v>
      </c>
      <c r="JE19">
        <v>8.6739513355948885E-4</v>
      </c>
      <c r="JF19">
        <v>-8.2500691715147318E-6</v>
      </c>
      <c r="JG19">
        <v>-1</v>
      </c>
      <c r="JH19">
        <v>-1</v>
      </c>
      <c r="JI19">
        <v>2</v>
      </c>
      <c r="JJ19">
        <v>37</v>
      </c>
      <c r="JK19">
        <v>1.8</v>
      </c>
      <c r="JL19">
        <v>1.8</v>
      </c>
      <c r="JM19">
        <v>1.1450199999999999</v>
      </c>
      <c r="JN19">
        <v>2.5329600000000001</v>
      </c>
      <c r="JO19">
        <v>1.50024</v>
      </c>
      <c r="JP19">
        <v>2.2741699999999998</v>
      </c>
      <c r="JQ19">
        <v>1.4477500000000001</v>
      </c>
      <c r="JR19">
        <v>2.4096700000000002</v>
      </c>
      <c r="JS19">
        <v>43.480800000000002</v>
      </c>
      <c r="JT19">
        <v>15.357900000000001</v>
      </c>
      <c r="JU19">
        <v>18</v>
      </c>
      <c r="JV19">
        <v>531.548</v>
      </c>
      <c r="JW19">
        <v>380.77</v>
      </c>
      <c r="JX19">
        <v>18.7455</v>
      </c>
      <c r="JY19">
        <v>35.505400000000002</v>
      </c>
      <c r="JZ19">
        <v>30.000299999999999</v>
      </c>
      <c r="KA19">
        <v>35.535499999999999</v>
      </c>
      <c r="KB19">
        <v>35.698599999999999</v>
      </c>
      <c r="KC19">
        <v>22.918500000000002</v>
      </c>
      <c r="KD19">
        <v>53.982300000000002</v>
      </c>
      <c r="KE19">
        <v>0</v>
      </c>
      <c r="KF19">
        <v>18.383400000000002</v>
      </c>
      <c r="KG19">
        <v>463.72699999999998</v>
      </c>
      <c r="KH19">
        <v>18.178699999999999</v>
      </c>
      <c r="KI19">
        <v>100.21899999999999</v>
      </c>
      <c r="KJ19">
        <v>98.727699999999999</v>
      </c>
    </row>
    <row r="20" spans="1:296" x14ac:dyDescent="0.3">
      <c r="A20">
        <v>4</v>
      </c>
      <c r="B20">
        <v>1783522989</v>
      </c>
      <c r="C20">
        <v>547.90000009536743</v>
      </c>
      <c r="D20" t="s">
        <v>959</v>
      </c>
      <c r="E20" t="s">
        <v>960</v>
      </c>
      <c r="F20">
        <v>15</v>
      </c>
      <c r="H20">
        <v>1783522981</v>
      </c>
      <c r="I20">
        <f t="shared" si="0"/>
        <v>2.6840156589452179E-3</v>
      </c>
      <c r="J20">
        <f t="shared" si="1"/>
        <v>2.684015658945218</v>
      </c>
      <c r="K20">
        <f t="shared" si="2"/>
        <v>37.900705765413335</v>
      </c>
      <c r="L20">
        <f t="shared" si="3"/>
        <v>419.53561290322568</v>
      </c>
      <c r="M20">
        <f t="shared" si="4"/>
        <v>130.2356220672786</v>
      </c>
      <c r="N20">
        <f t="shared" si="5"/>
        <v>12.752531898216397</v>
      </c>
      <c r="O20">
        <f t="shared" si="6"/>
        <v>41.080475533969619</v>
      </c>
      <c r="P20">
        <f t="shared" si="7"/>
        <v>0.22145682889729473</v>
      </c>
      <c r="Q20">
        <f t="shared" si="8"/>
        <v>2.8916407057307003</v>
      </c>
      <c r="R20">
        <f t="shared" si="9"/>
        <v>0.21244751031433756</v>
      </c>
      <c r="S20">
        <f t="shared" si="10"/>
        <v>0.13355860453197613</v>
      </c>
      <c r="T20">
        <f t="shared" si="11"/>
        <v>224.00413805152485</v>
      </c>
      <c r="U20">
        <f t="shared" si="12"/>
        <v>25.335332593217249</v>
      </c>
      <c r="V20">
        <f t="shared" si="13"/>
        <v>25.32614516129032</v>
      </c>
      <c r="W20">
        <f t="shared" si="14"/>
        <v>3.2420325662502423</v>
      </c>
      <c r="X20">
        <f t="shared" si="15"/>
        <v>65.247544053943599</v>
      </c>
      <c r="Y20">
        <f t="shared" si="16"/>
        <v>2.0383014721465105</v>
      </c>
      <c r="Z20">
        <f t="shared" si="17"/>
        <v>3.1239512562516358</v>
      </c>
      <c r="AA20">
        <f t="shared" si="18"/>
        <v>1.2037310941037318</v>
      </c>
      <c r="AB20">
        <f t="shared" si="19"/>
        <v>-118.36509055948412</v>
      </c>
      <c r="AC20">
        <f t="shared" si="20"/>
        <v>-97.025994410391391</v>
      </c>
      <c r="AD20">
        <f t="shared" si="21"/>
        <v>-7.0985496059486213</v>
      </c>
      <c r="AE20">
        <f t="shared" si="22"/>
        <v>1.514503475700721</v>
      </c>
      <c r="AF20">
        <f t="shared" si="23"/>
        <v>37.900705765413335</v>
      </c>
      <c r="AG20">
        <f t="shared" si="24"/>
        <v>2.684015658945218</v>
      </c>
      <c r="AH20">
        <f t="shared" si="25"/>
        <v>38.155581352084219</v>
      </c>
      <c r="AI20">
        <v>474.91624093767859</v>
      </c>
      <c r="AJ20">
        <v>428.40971515151512</v>
      </c>
      <c r="AK20">
        <v>-2.1150935693292301E-2</v>
      </c>
      <c r="AL20">
        <v>67.053906716586411</v>
      </c>
      <c r="AM20">
        <f t="shared" si="26"/>
        <v>2.6785619255119562</v>
      </c>
      <c r="AN20">
        <v>17.636850262727279</v>
      </c>
      <c r="AO20">
        <v>20.791100606060599</v>
      </c>
      <c r="AP20">
        <v>-1.000735930735555E-3</v>
      </c>
      <c r="AQ20">
        <v>78.55</v>
      </c>
      <c r="AR20">
        <v>0</v>
      </c>
      <c r="AS20">
        <v>0</v>
      </c>
      <c r="AT20">
        <f t="shared" si="27"/>
        <v>1</v>
      </c>
      <c r="AU20">
        <f t="shared" si="28"/>
        <v>0</v>
      </c>
      <c r="AV20">
        <f t="shared" si="29"/>
        <v>52142.19016224816</v>
      </c>
      <c r="AW20" t="s">
        <v>948</v>
      </c>
      <c r="AX20">
        <v>5105.72</v>
      </c>
      <c r="AY20">
        <v>582.62941176470576</v>
      </c>
      <c r="AZ20">
        <v>2436.86</v>
      </c>
      <c r="BA20">
        <f t="shared" si="30"/>
        <v>0.76090977250859482</v>
      </c>
      <c r="BB20">
        <v>-2.6462146481794289</v>
      </c>
      <c r="BC20" t="s">
        <v>961</v>
      </c>
      <c r="BD20">
        <v>5077.96</v>
      </c>
      <c r="BE20">
        <v>808.56488235294125</v>
      </c>
      <c r="BF20">
        <v>1020.41</v>
      </c>
      <c r="BG20">
        <f t="shared" si="31"/>
        <v>0.20760784160000267</v>
      </c>
      <c r="BH20">
        <v>0.5</v>
      </c>
      <c r="BI20">
        <f t="shared" si="32"/>
        <v>1176.2849707437281</v>
      </c>
      <c r="BJ20">
        <f t="shared" si="33"/>
        <v>37.900705765413335</v>
      </c>
      <c r="BK20">
        <f t="shared" si="34"/>
        <v>122.10299194131385</v>
      </c>
      <c r="BL20">
        <f t="shared" si="35"/>
        <v>3.4470320901878244E-2</v>
      </c>
      <c r="BM20">
        <f t="shared" si="36"/>
        <v>1.3881185013866979</v>
      </c>
      <c r="BN20">
        <f t="shared" si="37"/>
        <v>437.44704923593861</v>
      </c>
      <c r="BO20" t="s">
        <v>407</v>
      </c>
      <c r="BP20">
        <v>0</v>
      </c>
      <c r="BQ20">
        <f t="shared" si="38"/>
        <v>437.44704923593861</v>
      </c>
      <c r="BR20">
        <f t="shared" si="39"/>
        <v>0.57130266340398594</v>
      </c>
      <c r="BS20">
        <f t="shared" si="40"/>
        <v>0.36339379264051613</v>
      </c>
      <c r="BT20">
        <f t="shared" si="41"/>
        <v>0.70843294250880695</v>
      </c>
      <c r="BU20">
        <f t="shared" si="42"/>
        <v>0.48390706061457023</v>
      </c>
      <c r="BV20">
        <f t="shared" si="43"/>
        <v>0.76390175471544886</v>
      </c>
      <c r="BW20">
        <f t="shared" si="44"/>
        <v>0.1966020857085175</v>
      </c>
      <c r="BX20">
        <f t="shared" si="45"/>
        <v>0.80339791429148244</v>
      </c>
      <c r="DG20">
        <f t="shared" si="46"/>
        <v>1399.9903225806449</v>
      </c>
      <c r="DH20">
        <f t="shared" si="47"/>
        <v>1176.2849707437281</v>
      </c>
      <c r="DI20">
        <f t="shared" si="48"/>
        <v>0.84020935843002553</v>
      </c>
      <c r="DJ20">
        <f t="shared" si="49"/>
        <v>0.16000406176994936</v>
      </c>
      <c r="DK20">
        <v>6</v>
      </c>
      <c r="DL20">
        <v>0.5</v>
      </c>
      <c r="DM20" t="s">
        <v>408</v>
      </c>
      <c r="DN20">
        <v>2</v>
      </c>
      <c r="DO20" t="b">
        <v>0</v>
      </c>
      <c r="DP20">
        <v>1783522981</v>
      </c>
      <c r="DQ20">
        <v>419.53561290322568</v>
      </c>
      <c r="DR20">
        <v>466.37648387096777</v>
      </c>
      <c r="DS20">
        <v>20.816216129032259</v>
      </c>
      <c r="DT20">
        <v>17.66185161290322</v>
      </c>
      <c r="DU20">
        <v>425.20451612903219</v>
      </c>
      <c r="DV20">
        <v>21.31831935483871</v>
      </c>
      <c r="DW20">
        <v>499.90632258064528</v>
      </c>
      <c r="DX20">
        <v>97.868874193548379</v>
      </c>
      <c r="DY20">
        <v>5.0049183870967739E-2</v>
      </c>
      <c r="DZ20">
        <v>24.703761290322589</v>
      </c>
      <c r="EA20">
        <v>25.32614516129032</v>
      </c>
      <c r="EB20">
        <v>999.90000000000032</v>
      </c>
      <c r="EC20">
        <v>0</v>
      </c>
      <c r="ED20">
        <v>0</v>
      </c>
      <c r="EE20">
        <v>9998.5483870967746</v>
      </c>
      <c r="EF20">
        <v>0</v>
      </c>
      <c r="EG20">
        <v>748.98935483870957</v>
      </c>
      <c r="EH20">
        <v>-46.840835483870968</v>
      </c>
      <c r="EI20">
        <v>428.45445161290331</v>
      </c>
      <c r="EJ20">
        <v>474.7616774193549</v>
      </c>
      <c r="EK20">
        <v>3.1543532258064508</v>
      </c>
      <c r="EL20">
        <v>466.37648387096777</v>
      </c>
      <c r="EM20">
        <v>17.66185161290322</v>
      </c>
      <c r="EN20">
        <v>2.03725870967742</v>
      </c>
      <c r="EO20">
        <v>1.7285461290322579</v>
      </c>
      <c r="EP20">
        <v>17.736929032258061</v>
      </c>
      <c r="EQ20">
        <v>15.15514193548387</v>
      </c>
      <c r="ER20">
        <v>1399.9903225806449</v>
      </c>
      <c r="ES20">
        <v>0.99299880645161298</v>
      </c>
      <c r="ET20">
        <v>7.0010964516129042E-3</v>
      </c>
      <c r="EU20">
        <v>0</v>
      </c>
      <c r="EV20">
        <v>808.32790322580627</v>
      </c>
      <c r="EW20">
        <v>5.0010700000000003</v>
      </c>
      <c r="EX20">
        <v>17073.212903225809</v>
      </c>
      <c r="EY20">
        <v>12745.429032258069</v>
      </c>
      <c r="EZ20">
        <v>41</v>
      </c>
      <c r="FA20">
        <v>42.75</v>
      </c>
      <c r="FB20">
        <v>41.936999999999983</v>
      </c>
      <c r="FC20">
        <v>42.436999999999983</v>
      </c>
      <c r="FD20">
        <v>42.019999999999982</v>
      </c>
      <c r="FE20">
        <v>1385.220322580645</v>
      </c>
      <c r="FF20">
        <v>9.7699999999999978</v>
      </c>
      <c r="FG20">
        <v>0</v>
      </c>
      <c r="FH20">
        <v>182</v>
      </c>
      <c r="FI20">
        <v>0</v>
      </c>
      <c r="FJ20">
        <v>808.56488235294125</v>
      </c>
      <c r="FK20">
        <v>6.7154412186335897</v>
      </c>
      <c r="FL20">
        <v>773.55392373368556</v>
      </c>
      <c r="FM20">
        <v>17126.45882352941</v>
      </c>
      <c r="FN20">
        <v>10</v>
      </c>
      <c r="FO20">
        <v>1783522862.5</v>
      </c>
      <c r="FP20" t="s">
        <v>962</v>
      </c>
      <c r="FQ20">
        <v>1783522859</v>
      </c>
      <c r="FR20">
        <v>1783522862</v>
      </c>
      <c r="FS20">
        <v>4</v>
      </c>
      <c r="FT20">
        <v>8.2000000000000003E-2</v>
      </c>
      <c r="FU20">
        <v>0.13200000000000001</v>
      </c>
      <c r="FV20">
        <v>-5.6689999999999996</v>
      </c>
      <c r="FW20">
        <v>-0.44</v>
      </c>
      <c r="FX20">
        <v>464</v>
      </c>
      <c r="FY20">
        <v>18</v>
      </c>
      <c r="FZ20">
        <v>0.22</v>
      </c>
      <c r="GA20">
        <v>0.1</v>
      </c>
      <c r="GB20">
        <v>419.53561290322568</v>
      </c>
      <c r="GC20">
        <v>0.1084354838707768</v>
      </c>
      <c r="GD20">
        <v>6.7241825222945209E-2</v>
      </c>
      <c r="GE20">
        <v>-1</v>
      </c>
      <c r="GF20">
        <v>808.11614705882346</v>
      </c>
      <c r="GG20">
        <v>5.4832543931816824</v>
      </c>
      <c r="GH20">
        <v>0.61349237170351056</v>
      </c>
      <c r="GI20">
        <v>1</v>
      </c>
      <c r="GJ20">
        <v>3.1176539024390242</v>
      </c>
      <c r="GK20">
        <v>0.52921923344948141</v>
      </c>
      <c r="GL20">
        <v>7.3592252504413827E-2</v>
      </c>
      <c r="GM20">
        <v>0</v>
      </c>
      <c r="GN20">
        <v>1</v>
      </c>
      <c r="GO20">
        <v>2</v>
      </c>
      <c r="GP20" t="s">
        <v>410</v>
      </c>
      <c r="GQ20">
        <v>3.13049</v>
      </c>
      <c r="GR20">
        <v>2.7253500000000002</v>
      </c>
      <c r="GS20">
        <v>9.1044799999999995E-2</v>
      </c>
      <c r="GT20">
        <v>9.82928E-2</v>
      </c>
      <c r="GU20">
        <v>0.10240200000000001</v>
      </c>
      <c r="GV20">
        <v>9.0011400000000005E-2</v>
      </c>
      <c r="GW20">
        <v>22739.8</v>
      </c>
      <c r="GX20">
        <v>30270.3</v>
      </c>
      <c r="GY20">
        <v>27146.6</v>
      </c>
      <c r="GZ20">
        <v>34533.199999999997</v>
      </c>
      <c r="HA20">
        <v>35695.4</v>
      </c>
      <c r="HB20">
        <v>39891.9</v>
      </c>
      <c r="HC20">
        <v>40088.1</v>
      </c>
      <c r="HD20">
        <v>43915.5</v>
      </c>
      <c r="HE20">
        <v>1.9298</v>
      </c>
      <c r="HF20">
        <v>1.6694</v>
      </c>
      <c r="HG20">
        <v>-0.112206</v>
      </c>
      <c r="HH20">
        <v>0</v>
      </c>
      <c r="HI20">
        <v>27.1374</v>
      </c>
      <c r="HJ20">
        <v>999.9</v>
      </c>
      <c r="HK20">
        <v>56.4</v>
      </c>
      <c r="HL20">
        <v>38.299999999999997</v>
      </c>
      <c r="HM20">
        <v>38.993699999999997</v>
      </c>
      <c r="HN20">
        <v>61.289700000000003</v>
      </c>
      <c r="HO20">
        <v>7.4078499999999998</v>
      </c>
      <c r="HP20">
        <v>1</v>
      </c>
      <c r="HQ20">
        <v>0.72304900000000005</v>
      </c>
      <c r="HR20">
        <v>9.2810500000000005</v>
      </c>
      <c r="HS20">
        <v>20.035599999999999</v>
      </c>
      <c r="HT20">
        <v>5.2100999999999997</v>
      </c>
      <c r="HU20">
        <v>11.914099999999999</v>
      </c>
      <c r="HV20">
        <v>4.984</v>
      </c>
      <c r="HW20">
        <v>3.2709999999999999</v>
      </c>
      <c r="HX20">
        <v>9999</v>
      </c>
      <c r="HY20">
        <v>9999</v>
      </c>
      <c r="HZ20">
        <v>9999</v>
      </c>
      <c r="IA20">
        <v>999.9</v>
      </c>
      <c r="IB20">
        <v>1.86737</v>
      </c>
      <c r="IC20">
        <v>1.8629500000000001</v>
      </c>
      <c r="ID20">
        <v>1.86249</v>
      </c>
      <c r="IE20">
        <v>1.8620000000000001</v>
      </c>
      <c r="IF20">
        <v>1.8620300000000001</v>
      </c>
      <c r="IG20">
        <v>1.8626100000000001</v>
      </c>
      <c r="IH20">
        <v>1.8634999999999999</v>
      </c>
      <c r="II20">
        <v>1.86145</v>
      </c>
      <c r="IJ20">
        <v>0</v>
      </c>
      <c r="IK20">
        <v>0</v>
      </c>
      <c r="IL20">
        <v>0</v>
      </c>
      <c r="IM20">
        <v>4.5</v>
      </c>
      <c r="IN20" t="s">
        <v>411</v>
      </c>
      <c r="IO20" t="s">
        <v>412</v>
      </c>
      <c r="IP20" t="s">
        <v>413</v>
      </c>
      <c r="IQ20" t="s">
        <v>414</v>
      </c>
      <c r="IR20" t="s">
        <v>414</v>
      </c>
      <c r="IS20" t="s">
        <v>413</v>
      </c>
      <c r="IT20">
        <v>0</v>
      </c>
      <c r="IU20">
        <v>100</v>
      </c>
      <c r="IV20">
        <v>100</v>
      </c>
      <c r="IW20">
        <v>-5.6689999999999996</v>
      </c>
      <c r="IX20">
        <v>-0.50290000000000001</v>
      </c>
      <c r="IY20">
        <v>-5.6689047619046846</v>
      </c>
      <c r="IZ20">
        <v>0</v>
      </c>
      <c r="JA20">
        <v>0</v>
      </c>
      <c r="JB20">
        <v>0</v>
      </c>
      <c r="JC20">
        <v>-0.8222413170717493</v>
      </c>
      <c r="JD20">
        <v>2.7492919904454862E-4</v>
      </c>
      <c r="JE20">
        <v>8.6739513355948885E-4</v>
      </c>
      <c r="JF20">
        <v>-8.2500691715147318E-6</v>
      </c>
      <c r="JG20">
        <v>-1</v>
      </c>
      <c r="JH20">
        <v>-1</v>
      </c>
      <c r="JI20">
        <v>2</v>
      </c>
      <c r="JJ20">
        <v>37</v>
      </c>
      <c r="JK20">
        <v>2.2000000000000002</v>
      </c>
      <c r="JL20">
        <v>2.1</v>
      </c>
      <c r="JM20">
        <v>1.1523399999999999</v>
      </c>
      <c r="JN20">
        <v>2.5390600000000001</v>
      </c>
      <c r="JO20">
        <v>1.50024</v>
      </c>
      <c r="JP20">
        <v>2.2741699999999998</v>
      </c>
      <c r="JQ20">
        <v>1.4477500000000001</v>
      </c>
      <c r="JR20">
        <v>2.3877000000000002</v>
      </c>
      <c r="JS20">
        <v>43.535400000000003</v>
      </c>
      <c r="JT20">
        <v>15.2966</v>
      </c>
      <c r="JU20">
        <v>18</v>
      </c>
      <c r="JV20">
        <v>531.23</v>
      </c>
      <c r="JW20">
        <v>378.97899999999998</v>
      </c>
      <c r="JX20">
        <v>18.761299999999999</v>
      </c>
      <c r="JY20">
        <v>35.677799999999998</v>
      </c>
      <c r="JZ20">
        <v>30.000499999999999</v>
      </c>
      <c r="KA20">
        <v>35.680100000000003</v>
      </c>
      <c r="KB20">
        <v>35.842100000000002</v>
      </c>
      <c r="KC20">
        <v>23.04</v>
      </c>
      <c r="KD20">
        <v>55.010399999999997</v>
      </c>
      <c r="KE20">
        <v>0</v>
      </c>
      <c r="KF20">
        <v>18.255199999999999</v>
      </c>
      <c r="KG20">
        <v>466.63900000000001</v>
      </c>
      <c r="KH20">
        <v>17.746400000000001</v>
      </c>
      <c r="KI20">
        <v>100.19</v>
      </c>
      <c r="KJ20">
        <v>98.705200000000005</v>
      </c>
    </row>
    <row r="21" spans="1:296" x14ac:dyDescent="0.3">
      <c r="A21">
        <v>5</v>
      </c>
      <c r="B21">
        <v>1783523171.5</v>
      </c>
      <c r="C21">
        <v>730.40000009536743</v>
      </c>
      <c r="D21" t="s">
        <v>963</v>
      </c>
      <c r="E21" t="s">
        <v>964</v>
      </c>
      <c r="F21">
        <v>15</v>
      </c>
      <c r="H21">
        <v>1783523163.5</v>
      </c>
      <c r="I21">
        <f t="shared" si="0"/>
        <v>2.4205598753559688E-3</v>
      </c>
      <c r="J21">
        <f t="shared" si="1"/>
        <v>2.4205598753559689</v>
      </c>
      <c r="K21">
        <f t="shared" si="2"/>
        <v>36.399928137934964</v>
      </c>
      <c r="L21">
        <f t="shared" si="3"/>
        <v>420.04132258064533</v>
      </c>
      <c r="M21">
        <f t="shared" si="4"/>
        <v>115.65877868319485</v>
      </c>
      <c r="N21">
        <f t="shared" si="5"/>
        <v>11.325146838105862</v>
      </c>
      <c r="O21">
        <f t="shared" si="6"/>
        <v>41.129862432043765</v>
      </c>
      <c r="P21">
        <f t="shared" si="7"/>
        <v>0.20117069668822529</v>
      </c>
      <c r="Q21">
        <f t="shared" si="8"/>
        <v>2.8931966542291323</v>
      </c>
      <c r="R21">
        <f t="shared" si="9"/>
        <v>0.1937102798288555</v>
      </c>
      <c r="S21">
        <f t="shared" si="10"/>
        <v>0.12171616265743737</v>
      </c>
      <c r="T21">
        <f t="shared" si="11"/>
        <v>160.17519336064203</v>
      </c>
      <c r="U21">
        <f t="shared" si="12"/>
        <v>24.871699437647742</v>
      </c>
      <c r="V21">
        <f t="shared" si="13"/>
        <v>25.149080645161291</v>
      </c>
      <c r="W21">
        <f t="shared" si="14"/>
        <v>3.208048724423803</v>
      </c>
      <c r="X21">
        <f t="shared" si="15"/>
        <v>65.156671472966991</v>
      </c>
      <c r="Y21">
        <f t="shared" si="16"/>
        <v>2.0171262079344823</v>
      </c>
      <c r="Z21">
        <f t="shared" si="17"/>
        <v>3.0958091663282286</v>
      </c>
      <c r="AA21">
        <f t="shared" si="18"/>
        <v>1.1909225164893207</v>
      </c>
      <c r="AB21">
        <f t="shared" si="19"/>
        <v>-106.74669050319822</v>
      </c>
      <c r="AC21">
        <f t="shared" si="20"/>
        <v>-93.069064424822926</v>
      </c>
      <c r="AD21">
        <f t="shared" si="21"/>
        <v>-6.7941493477950408</v>
      </c>
      <c r="AE21">
        <f t="shared" si="22"/>
        <v>-46.434710915174165</v>
      </c>
      <c r="AF21">
        <f t="shared" si="23"/>
        <v>36.399928137934964</v>
      </c>
      <c r="AG21">
        <f t="shared" si="24"/>
        <v>2.4205598753559689</v>
      </c>
      <c r="AH21">
        <f t="shared" si="25"/>
        <v>36.478271777901185</v>
      </c>
      <c r="AI21">
        <v>473.47160064860702</v>
      </c>
      <c r="AJ21">
        <v>428.87419999999992</v>
      </c>
      <c r="AK21">
        <v>6.6633730193165572E-3</v>
      </c>
      <c r="AL21">
        <v>67.061115356711142</v>
      </c>
      <c r="AM21">
        <f t="shared" si="26"/>
        <v>2.4117784110266194</v>
      </c>
      <c r="AN21">
        <v>17.758894847359311</v>
      </c>
      <c r="AO21">
        <v>20.5934103030303</v>
      </c>
      <c r="AP21">
        <v>-2.9102825489828671E-5</v>
      </c>
      <c r="AQ21">
        <v>78.55</v>
      </c>
      <c r="AR21">
        <v>0</v>
      </c>
      <c r="AS21">
        <v>0</v>
      </c>
      <c r="AT21">
        <f t="shared" si="27"/>
        <v>1</v>
      </c>
      <c r="AU21">
        <f t="shared" si="28"/>
        <v>0</v>
      </c>
      <c r="AV21">
        <f t="shared" si="29"/>
        <v>52213.403018417346</v>
      </c>
      <c r="AW21" t="s">
        <v>948</v>
      </c>
      <c r="AX21">
        <v>5105.72</v>
      </c>
      <c r="AY21">
        <v>582.62941176470576</v>
      </c>
      <c r="AZ21">
        <v>2436.86</v>
      </c>
      <c r="BA21">
        <f t="shared" si="30"/>
        <v>0.76090977250859482</v>
      </c>
      <c r="BB21">
        <v>-2.6462146481794289</v>
      </c>
      <c r="BC21" t="s">
        <v>965</v>
      </c>
      <c r="BD21">
        <v>5081.83</v>
      </c>
      <c r="BE21">
        <v>815.38605882352954</v>
      </c>
      <c r="BF21">
        <v>1185</v>
      </c>
      <c r="BG21">
        <f t="shared" si="31"/>
        <v>0.31191049888309741</v>
      </c>
      <c r="BH21">
        <v>0.5</v>
      </c>
      <c r="BI21">
        <f t="shared" si="32"/>
        <v>840.29370367674915</v>
      </c>
      <c r="BJ21">
        <f t="shared" si="33"/>
        <v>36.399928137934964</v>
      </c>
      <c r="BK21">
        <f t="shared" si="34"/>
        <v>131.04821416107023</v>
      </c>
      <c r="BL21">
        <f t="shared" si="35"/>
        <v>4.6467256169201256E-2</v>
      </c>
      <c r="BM21">
        <f t="shared" si="36"/>
        <v>1.0564219409282702</v>
      </c>
      <c r="BN21">
        <f t="shared" si="37"/>
        <v>465.14341305636475</v>
      </c>
      <c r="BO21" t="s">
        <v>407</v>
      </c>
      <c r="BP21">
        <v>0</v>
      </c>
      <c r="BQ21">
        <f t="shared" si="38"/>
        <v>465.14341305636475</v>
      </c>
      <c r="BR21">
        <f t="shared" si="39"/>
        <v>0.60747391303260356</v>
      </c>
      <c r="BS21">
        <f t="shared" si="40"/>
        <v>0.51345496850390182</v>
      </c>
      <c r="BT21">
        <f t="shared" si="41"/>
        <v>0.63490869240011449</v>
      </c>
      <c r="BU21">
        <f t="shared" si="42"/>
        <v>0.61359891800044886</v>
      </c>
      <c r="BV21">
        <f t="shared" si="43"/>
        <v>0.67513717438531662</v>
      </c>
      <c r="BW21">
        <f t="shared" si="44"/>
        <v>0.292904439456871</v>
      </c>
      <c r="BX21">
        <f t="shared" si="45"/>
        <v>0.70709556054312905</v>
      </c>
      <c r="DG21">
        <f t="shared" si="46"/>
        <v>999.99429032258058</v>
      </c>
      <c r="DH21">
        <f t="shared" si="47"/>
        <v>840.29370367674915</v>
      </c>
      <c r="DI21">
        <f t="shared" si="48"/>
        <v>0.84029850151012875</v>
      </c>
      <c r="DJ21">
        <f t="shared" si="49"/>
        <v>0.1601761079145485</v>
      </c>
      <c r="DK21">
        <v>6</v>
      </c>
      <c r="DL21">
        <v>0.5</v>
      </c>
      <c r="DM21" t="s">
        <v>408</v>
      </c>
      <c r="DN21">
        <v>2</v>
      </c>
      <c r="DO21" t="b">
        <v>0</v>
      </c>
      <c r="DP21">
        <v>1783523163.5</v>
      </c>
      <c r="DQ21">
        <v>420.04132258064533</v>
      </c>
      <c r="DR21">
        <v>464.93816129032251</v>
      </c>
      <c r="DS21">
        <v>20.60002903225806</v>
      </c>
      <c r="DT21">
        <v>17.755393548387101</v>
      </c>
      <c r="DU21">
        <v>425.69667741935478</v>
      </c>
      <c r="DV21">
        <v>21.107596774193549</v>
      </c>
      <c r="DW21">
        <v>500.03516129032272</v>
      </c>
      <c r="DX21">
        <v>97.867922580645157</v>
      </c>
      <c r="DY21">
        <v>5.0687377419354827E-2</v>
      </c>
      <c r="DZ21">
        <v>24.552400000000009</v>
      </c>
      <c r="EA21">
        <v>25.149080645161291</v>
      </c>
      <c r="EB21">
        <v>999.90000000000032</v>
      </c>
      <c r="EC21">
        <v>0</v>
      </c>
      <c r="ED21">
        <v>0</v>
      </c>
      <c r="EE21">
        <v>10007.58064516129</v>
      </c>
      <c r="EF21">
        <v>0</v>
      </c>
      <c r="EG21">
        <v>763.66277419354844</v>
      </c>
      <c r="EH21">
        <v>-44.896877419354837</v>
      </c>
      <c r="EI21">
        <v>428.8762258064516</v>
      </c>
      <c r="EJ21">
        <v>473.34261290322581</v>
      </c>
      <c r="EK21">
        <v>2.8446377419354838</v>
      </c>
      <c r="EL21">
        <v>464.93816129032251</v>
      </c>
      <c r="EM21">
        <v>17.755393548387101</v>
      </c>
      <c r="EN21">
        <v>2.0160806451612898</v>
      </c>
      <c r="EO21">
        <v>1.7376829032258061</v>
      </c>
      <c r="EP21">
        <v>17.57121290322581</v>
      </c>
      <c r="EQ21">
        <v>15.237216129032261</v>
      </c>
      <c r="ER21">
        <v>999.99429032258058</v>
      </c>
      <c r="ES21">
        <v>0.98999680645161281</v>
      </c>
      <c r="ET21">
        <v>1.000289032258064E-2</v>
      </c>
      <c r="EU21">
        <v>0</v>
      </c>
      <c r="EV21">
        <v>815.35116129032269</v>
      </c>
      <c r="EW21">
        <v>5.0010700000000003</v>
      </c>
      <c r="EX21">
        <v>13750.890322580641</v>
      </c>
      <c r="EY21">
        <v>9080.220967741936</v>
      </c>
      <c r="EZ21">
        <v>40.29</v>
      </c>
      <c r="FA21">
        <v>42.811999999999969</v>
      </c>
      <c r="FB21">
        <v>41.707322580645133</v>
      </c>
      <c r="FC21">
        <v>42.311999999999983</v>
      </c>
      <c r="FD21">
        <v>41.610709677419337</v>
      </c>
      <c r="FE21">
        <v>985.04387096774201</v>
      </c>
      <c r="FF21">
        <v>9.9499999999999975</v>
      </c>
      <c r="FG21">
        <v>0</v>
      </c>
      <c r="FH21">
        <v>181.5999999046326</v>
      </c>
      <c r="FI21">
        <v>0</v>
      </c>
      <c r="FJ21">
        <v>815.38605882352954</v>
      </c>
      <c r="FK21">
        <v>1.8294118179319809</v>
      </c>
      <c r="FL21">
        <v>-259.50980358132682</v>
      </c>
      <c r="FM21">
        <v>13757.12941176471</v>
      </c>
      <c r="FN21">
        <v>10</v>
      </c>
      <c r="FO21">
        <v>1783523069</v>
      </c>
      <c r="FP21" t="s">
        <v>966</v>
      </c>
      <c r="FQ21">
        <v>1783523069</v>
      </c>
      <c r="FR21">
        <v>1783523067</v>
      </c>
      <c r="FS21">
        <v>5</v>
      </c>
      <c r="FT21">
        <v>1.4E-2</v>
      </c>
      <c r="FU21">
        <v>0.13400000000000001</v>
      </c>
      <c r="FV21">
        <v>-5.6550000000000002</v>
      </c>
      <c r="FW21">
        <v>-0.44500000000000001</v>
      </c>
      <c r="FX21">
        <v>465</v>
      </c>
      <c r="FY21">
        <v>18</v>
      </c>
      <c r="FZ21">
        <v>0.22</v>
      </c>
      <c r="GA21">
        <v>0.09</v>
      </c>
      <c r="GB21">
        <v>420.04303333333343</v>
      </c>
      <c r="GC21">
        <v>-0.27911012235683469</v>
      </c>
      <c r="GD21">
        <v>7.1476095460103709E-2</v>
      </c>
      <c r="GE21">
        <v>-1</v>
      </c>
      <c r="GF21">
        <v>815.24832352941178</v>
      </c>
      <c r="GG21">
        <v>2.0147746438410001</v>
      </c>
      <c r="GH21">
        <v>0.33483461418754751</v>
      </c>
      <c r="GI21">
        <v>1</v>
      </c>
      <c r="GJ21">
        <v>2.8500695</v>
      </c>
      <c r="GK21">
        <v>-0.13521500938086881</v>
      </c>
      <c r="GL21">
        <v>1.337542783427877E-2</v>
      </c>
      <c r="GM21">
        <v>1</v>
      </c>
      <c r="GN21">
        <v>2</v>
      </c>
      <c r="GO21">
        <v>2</v>
      </c>
      <c r="GP21" t="s">
        <v>423</v>
      </c>
      <c r="GQ21">
        <v>3.1299600000000001</v>
      </c>
      <c r="GR21">
        <v>2.7272599999999998</v>
      </c>
      <c r="GS21">
        <v>9.1057899999999997E-2</v>
      </c>
      <c r="GT21">
        <v>9.79743E-2</v>
      </c>
      <c r="GU21">
        <v>0.101699</v>
      </c>
      <c r="GV21">
        <v>9.0211E-2</v>
      </c>
      <c r="GW21">
        <v>22733.1</v>
      </c>
      <c r="GX21">
        <v>30271.599999999999</v>
      </c>
      <c r="GY21">
        <v>27139.8</v>
      </c>
      <c r="GZ21">
        <v>34523.800000000003</v>
      </c>
      <c r="HA21">
        <v>35716.199999999997</v>
      </c>
      <c r="HB21">
        <v>39875.199999999997</v>
      </c>
      <c r="HC21">
        <v>40079.4</v>
      </c>
      <c r="HD21">
        <v>43906.5</v>
      </c>
      <c r="HE21">
        <v>1.9283999999999999</v>
      </c>
      <c r="HF21">
        <v>1.6648000000000001</v>
      </c>
      <c r="HG21">
        <v>-0.12502099999999999</v>
      </c>
      <c r="HH21">
        <v>0</v>
      </c>
      <c r="HI21">
        <v>27.1904</v>
      </c>
      <c r="HJ21">
        <v>999.9</v>
      </c>
      <c r="HK21">
        <v>56.3</v>
      </c>
      <c r="HL21">
        <v>38.5</v>
      </c>
      <c r="HM21">
        <v>39.348100000000002</v>
      </c>
      <c r="HN21">
        <v>61.3598</v>
      </c>
      <c r="HO21">
        <v>6.99519</v>
      </c>
      <c r="HP21">
        <v>1</v>
      </c>
      <c r="HQ21">
        <v>0.73682899999999996</v>
      </c>
      <c r="HR21">
        <v>9.2810500000000005</v>
      </c>
      <c r="HS21">
        <v>20.038599999999999</v>
      </c>
      <c r="HT21">
        <v>5.2100999999999997</v>
      </c>
      <c r="HU21">
        <v>11.914099999999999</v>
      </c>
      <c r="HV21">
        <v>4.9855999999999998</v>
      </c>
      <c r="HW21">
        <v>3.2707999999999999</v>
      </c>
      <c r="HX21">
        <v>9999</v>
      </c>
      <c r="HY21">
        <v>9999</v>
      </c>
      <c r="HZ21">
        <v>9999</v>
      </c>
      <c r="IA21">
        <v>999.9</v>
      </c>
      <c r="IB21">
        <v>1.86737</v>
      </c>
      <c r="IC21">
        <v>1.8629500000000001</v>
      </c>
      <c r="ID21">
        <v>1.86249</v>
      </c>
      <c r="IE21">
        <v>1.8620300000000001</v>
      </c>
      <c r="IF21">
        <v>1.8620300000000001</v>
      </c>
      <c r="IG21">
        <v>1.8626400000000001</v>
      </c>
      <c r="IH21">
        <v>1.8634299999999999</v>
      </c>
      <c r="II21">
        <v>1.86148</v>
      </c>
      <c r="IJ21">
        <v>0</v>
      </c>
      <c r="IK21">
        <v>0</v>
      </c>
      <c r="IL21">
        <v>0</v>
      </c>
      <c r="IM21">
        <v>4.5</v>
      </c>
      <c r="IN21" t="s">
        <v>411</v>
      </c>
      <c r="IO21" t="s">
        <v>412</v>
      </c>
      <c r="IP21" t="s">
        <v>413</v>
      </c>
      <c r="IQ21" t="s">
        <v>414</v>
      </c>
      <c r="IR21" t="s">
        <v>414</v>
      </c>
      <c r="IS21" t="s">
        <v>413</v>
      </c>
      <c r="IT21">
        <v>0</v>
      </c>
      <c r="IU21">
        <v>100</v>
      </c>
      <c r="IV21">
        <v>100</v>
      </c>
      <c r="IW21">
        <v>-5.6559999999999997</v>
      </c>
      <c r="IX21">
        <v>-0.50780000000000003</v>
      </c>
      <c r="IY21">
        <v>-5.6553000000000111</v>
      </c>
      <c r="IZ21">
        <v>0</v>
      </c>
      <c r="JA21">
        <v>0</v>
      </c>
      <c r="JB21">
        <v>0</v>
      </c>
      <c r="JC21">
        <v>-0.8222413170717493</v>
      </c>
      <c r="JD21">
        <v>2.7492919904454862E-4</v>
      </c>
      <c r="JE21">
        <v>8.6739513355948885E-4</v>
      </c>
      <c r="JF21">
        <v>-8.2500691715147318E-6</v>
      </c>
      <c r="JG21">
        <v>-1</v>
      </c>
      <c r="JH21">
        <v>-1</v>
      </c>
      <c r="JI21">
        <v>2</v>
      </c>
      <c r="JJ21">
        <v>37</v>
      </c>
      <c r="JK21">
        <v>1.7</v>
      </c>
      <c r="JL21">
        <v>1.7</v>
      </c>
      <c r="JM21">
        <v>1.1486799999999999</v>
      </c>
      <c r="JN21">
        <v>2.5354000000000001</v>
      </c>
      <c r="JO21">
        <v>1.50024</v>
      </c>
      <c r="JP21">
        <v>2.2741699999999998</v>
      </c>
      <c r="JQ21">
        <v>1.4477500000000001</v>
      </c>
      <c r="JR21">
        <v>2.4108900000000002</v>
      </c>
      <c r="JS21">
        <v>43.726900000000001</v>
      </c>
      <c r="JT21">
        <v>15.252800000000001</v>
      </c>
      <c r="JU21">
        <v>18</v>
      </c>
      <c r="JV21">
        <v>531.62</v>
      </c>
      <c r="JW21">
        <v>377.31700000000001</v>
      </c>
      <c r="JX21">
        <v>18.790299999999998</v>
      </c>
      <c r="JY21">
        <v>35.862900000000003</v>
      </c>
      <c r="JZ21">
        <v>30.0002</v>
      </c>
      <c r="KA21">
        <v>35.848300000000002</v>
      </c>
      <c r="KB21">
        <v>36.009</v>
      </c>
      <c r="KC21">
        <v>22.979399999999998</v>
      </c>
      <c r="KD21">
        <v>55.313000000000002</v>
      </c>
      <c r="KE21">
        <v>0</v>
      </c>
      <c r="KF21">
        <v>18.079899999999999</v>
      </c>
      <c r="KG21">
        <v>464.81400000000002</v>
      </c>
      <c r="KH21">
        <v>17.709099999999999</v>
      </c>
      <c r="KI21">
        <v>100.167</v>
      </c>
      <c r="KJ21">
        <v>98.682000000000002</v>
      </c>
    </row>
    <row r="22" spans="1:296" x14ac:dyDescent="0.3">
      <c r="A22">
        <v>6</v>
      </c>
      <c r="B22">
        <v>1783523354</v>
      </c>
      <c r="C22">
        <v>912.90000009536743</v>
      </c>
      <c r="D22" t="s">
        <v>967</v>
      </c>
      <c r="E22" t="s">
        <v>968</v>
      </c>
      <c r="F22">
        <v>15</v>
      </c>
      <c r="H22">
        <v>1783523346</v>
      </c>
      <c r="I22">
        <f t="shared" si="0"/>
        <v>2.3840631672700147E-3</v>
      </c>
      <c r="J22">
        <f t="shared" si="1"/>
        <v>2.3840631672700145</v>
      </c>
      <c r="K22">
        <f t="shared" si="2"/>
        <v>33.706127587619235</v>
      </c>
      <c r="L22">
        <f t="shared" si="3"/>
        <v>420.06590322580661</v>
      </c>
      <c r="M22">
        <f t="shared" si="4"/>
        <v>133.76437397000871</v>
      </c>
      <c r="N22">
        <f t="shared" si="5"/>
        <v>13.098357426568576</v>
      </c>
      <c r="O22">
        <f t="shared" si="6"/>
        <v>41.133324067285827</v>
      </c>
      <c r="P22">
        <f t="shared" si="7"/>
        <v>0.19830534648718839</v>
      </c>
      <c r="Q22">
        <f t="shared" si="8"/>
        <v>2.8919626947930102</v>
      </c>
      <c r="R22">
        <f t="shared" si="9"/>
        <v>0.19104884434197134</v>
      </c>
      <c r="S22">
        <f t="shared" si="10"/>
        <v>0.12003537270422744</v>
      </c>
      <c r="T22">
        <f t="shared" si="11"/>
        <v>128.28057913834829</v>
      </c>
      <c r="U22">
        <f t="shared" si="12"/>
        <v>24.594347886493857</v>
      </c>
      <c r="V22">
        <f t="shared" si="13"/>
        <v>25.124929032258059</v>
      </c>
      <c r="W22">
        <f t="shared" si="14"/>
        <v>3.2034375364215917</v>
      </c>
      <c r="X22">
        <f t="shared" si="15"/>
        <v>65.433856981407132</v>
      </c>
      <c r="Y22">
        <f t="shared" si="16"/>
        <v>2.0140520371391331</v>
      </c>
      <c r="Z22">
        <f t="shared" si="17"/>
        <v>3.0779968200734689</v>
      </c>
      <c r="AA22">
        <f t="shared" si="18"/>
        <v>1.1893854992824586</v>
      </c>
      <c r="AB22">
        <f t="shared" si="19"/>
        <v>-105.13718567660764</v>
      </c>
      <c r="AC22">
        <f t="shared" si="20"/>
        <v>-104.29774752013223</v>
      </c>
      <c r="AD22">
        <f t="shared" si="21"/>
        <v>-7.6124824361973298</v>
      </c>
      <c r="AE22">
        <f t="shared" si="22"/>
        <v>-88.766836494588915</v>
      </c>
      <c r="AF22">
        <f t="shared" si="23"/>
        <v>33.706127587619235</v>
      </c>
      <c r="AG22">
        <f t="shared" si="24"/>
        <v>2.3840631672700145</v>
      </c>
      <c r="AH22">
        <f t="shared" si="25"/>
        <v>33.441761304288747</v>
      </c>
      <c r="AI22">
        <v>469.96434644285671</v>
      </c>
      <c r="AJ22">
        <v>428.933806060606</v>
      </c>
      <c r="AK22">
        <v>3.3209791580591702E-2</v>
      </c>
      <c r="AL22">
        <v>67.044592543240526</v>
      </c>
      <c r="AM22">
        <f t="shared" si="26"/>
        <v>2.3662345422745612</v>
      </c>
      <c r="AN22">
        <v>17.74620888038962</v>
      </c>
      <c r="AO22">
        <v>20.535186666666661</v>
      </c>
      <c r="AP22">
        <v>-1.2732813852798391E-3</v>
      </c>
      <c r="AQ22">
        <v>78.55</v>
      </c>
      <c r="AR22">
        <v>0</v>
      </c>
      <c r="AS22">
        <v>0</v>
      </c>
      <c r="AT22">
        <f t="shared" si="27"/>
        <v>1</v>
      </c>
      <c r="AU22">
        <f t="shared" si="28"/>
        <v>0</v>
      </c>
      <c r="AV22">
        <f t="shared" si="29"/>
        <v>52194.930027322196</v>
      </c>
      <c r="AW22" t="s">
        <v>948</v>
      </c>
      <c r="AX22">
        <v>5105.72</v>
      </c>
      <c r="AY22">
        <v>582.62941176470576</v>
      </c>
      <c r="AZ22">
        <v>2436.86</v>
      </c>
      <c r="BA22">
        <f t="shared" si="30"/>
        <v>0.76090977250859482</v>
      </c>
      <c r="BB22">
        <v>-2.6462146481794289</v>
      </c>
      <c r="BC22" t="s">
        <v>969</v>
      </c>
      <c r="BD22">
        <v>5084.04</v>
      </c>
      <c r="BE22">
        <v>818.12276470588233</v>
      </c>
      <c r="BF22">
        <v>1323.99</v>
      </c>
      <c r="BG22">
        <f t="shared" si="31"/>
        <v>0.38207783691275443</v>
      </c>
      <c r="BH22">
        <v>0.5</v>
      </c>
      <c r="BI22">
        <f t="shared" si="32"/>
        <v>672.32840349805781</v>
      </c>
      <c r="BJ22">
        <f t="shared" si="33"/>
        <v>33.706127587619235</v>
      </c>
      <c r="BK22">
        <f t="shared" si="34"/>
        <v>128.44089105177176</v>
      </c>
      <c r="BL22">
        <f t="shared" si="35"/>
        <v>5.4069323929587153E-2</v>
      </c>
      <c r="BM22">
        <f t="shared" si="36"/>
        <v>0.84054260228551581</v>
      </c>
      <c r="BN22">
        <f t="shared" si="37"/>
        <v>485.13417004349714</v>
      </c>
      <c r="BO22" t="s">
        <v>407</v>
      </c>
      <c r="BP22">
        <v>0</v>
      </c>
      <c r="BQ22">
        <f t="shared" si="38"/>
        <v>485.13417004349714</v>
      </c>
      <c r="BR22">
        <f t="shared" si="39"/>
        <v>0.63358169620352334</v>
      </c>
      <c r="BS22">
        <f t="shared" si="40"/>
        <v>0.60304431015320992</v>
      </c>
      <c r="BT22">
        <f t="shared" si="41"/>
        <v>0.57019791556727106</v>
      </c>
      <c r="BU22">
        <f t="shared" si="42"/>
        <v>0.68234978136383573</v>
      </c>
      <c r="BV22">
        <f t="shared" si="43"/>
        <v>0.6001788596633707</v>
      </c>
      <c r="BW22">
        <f t="shared" si="44"/>
        <v>0.35759596667720894</v>
      </c>
      <c r="BX22">
        <f t="shared" si="45"/>
        <v>0.64240403332279106</v>
      </c>
      <c r="DG22">
        <f t="shared" si="46"/>
        <v>800.02274193548385</v>
      </c>
      <c r="DH22">
        <f t="shared" si="47"/>
        <v>672.32840349805781</v>
      </c>
      <c r="DI22">
        <f t="shared" si="48"/>
        <v>0.84038661434986595</v>
      </c>
      <c r="DJ22">
        <f t="shared" si="49"/>
        <v>0.16034616569524121</v>
      </c>
      <c r="DK22">
        <v>6</v>
      </c>
      <c r="DL22">
        <v>0.5</v>
      </c>
      <c r="DM22" t="s">
        <v>408</v>
      </c>
      <c r="DN22">
        <v>2</v>
      </c>
      <c r="DO22" t="b">
        <v>0</v>
      </c>
      <c r="DP22">
        <v>1783523346</v>
      </c>
      <c r="DQ22">
        <v>420.06590322580661</v>
      </c>
      <c r="DR22">
        <v>461.71341935483872</v>
      </c>
      <c r="DS22">
        <v>20.568106451612898</v>
      </c>
      <c r="DT22">
        <v>17.766180645161288</v>
      </c>
      <c r="DU22">
        <v>425.7210322580645</v>
      </c>
      <c r="DV22">
        <v>21.07647096774194</v>
      </c>
      <c r="DW22">
        <v>500.01912903225798</v>
      </c>
      <c r="DX22">
        <v>97.871180645161274</v>
      </c>
      <c r="DY22">
        <v>4.9940187096774197E-2</v>
      </c>
      <c r="DZ22">
        <v>24.455974193548389</v>
      </c>
      <c r="EA22">
        <v>25.124929032258059</v>
      </c>
      <c r="EB22">
        <v>999.90000000000032</v>
      </c>
      <c r="EC22">
        <v>0</v>
      </c>
      <c r="ED22">
        <v>0</v>
      </c>
      <c r="EE22">
        <v>10000.16129032258</v>
      </c>
      <c r="EF22">
        <v>0</v>
      </c>
      <c r="EG22">
        <v>801.16932258064526</v>
      </c>
      <c r="EH22">
        <v>-41.647493548387089</v>
      </c>
      <c r="EI22">
        <v>428.88745161290319</v>
      </c>
      <c r="EJ22">
        <v>470.06467741935489</v>
      </c>
      <c r="EK22">
        <v>2.8019135483870961</v>
      </c>
      <c r="EL22">
        <v>461.71341935483872</v>
      </c>
      <c r="EM22">
        <v>17.766180645161288</v>
      </c>
      <c r="EN22">
        <v>2.0130241935483868</v>
      </c>
      <c r="EO22">
        <v>1.7387970967741939</v>
      </c>
      <c r="EP22">
        <v>17.547132258064519</v>
      </c>
      <c r="EQ22">
        <v>15.247167741935479</v>
      </c>
      <c r="ER22">
        <v>800.02274193548385</v>
      </c>
      <c r="ES22">
        <v>0.98703087096774189</v>
      </c>
      <c r="ET22">
        <v>1.2969106451612899E-2</v>
      </c>
      <c r="EU22">
        <v>0</v>
      </c>
      <c r="EV22">
        <v>818.10835483870972</v>
      </c>
      <c r="EW22">
        <v>5.0010700000000003</v>
      </c>
      <c r="EX22">
        <v>12071.264516129029</v>
      </c>
      <c r="EY22">
        <v>7246.9161290322581</v>
      </c>
      <c r="EZ22">
        <v>39.75</v>
      </c>
      <c r="FA22">
        <v>42.691064516129003</v>
      </c>
      <c r="FB22">
        <v>41.375</v>
      </c>
      <c r="FC22">
        <v>42.25</v>
      </c>
      <c r="FD22">
        <v>41.311999999999983</v>
      </c>
      <c r="FE22">
        <v>784.71096774193552</v>
      </c>
      <c r="FF22">
        <v>10.31</v>
      </c>
      <c r="FG22">
        <v>0</v>
      </c>
      <c r="FH22">
        <v>182</v>
      </c>
      <c r="FI22">
        <v>0</v>
      </c>
      <c r="FJ22">
        <v>818.12276470588233</v>
      </c>
      <c r="FK22">
        <v>0.2012255435378309</v>
      </c>
      <c r="FL22">
        <v>60.098041451870877</v>
      </c>
      <c r="FM22">
        <v>12069.1</v>
      </c>
      <c r="FN22">
        <v>10</v>
      </c>
      <c r="FO22">
        <v>1783523260.5</v>
      </c>
      <c r="FP22" t="s">
        <v>970</v>
      </c>
      <c r="FQ22">
        <v>1783523256.5</v>
      </c>
      <c r="FR22">
        <v>1783523260</v>
      </c>
      <c r="FS22">
        <v>6</v>
      </c>
      <c r="FT22">
        <v>0</v>
      </c>
      <c r="FU22">
        <v>0.13100000000000001</v>
      </c>
      <c r="FV22">
        <v>-5.6550000000000002</v>
      </c>
      <c r="FW22">
        <v>-0.44700000000000001</v>
      </c>
      <c r="FX22">
        <v>463</v>
      </c>
      <c r="FY22">
        <v>18</v>
      </c>
      <c r="FZ22">
        <v>0.18</v>
      </c>
      <c r="GA22">
        <v>0.1</v>
      </c>
      <c r="GB22">
        <v>420.05835483870959</v>
      </c>
      <c r="GC22">
        <v>0.23559677419365541</v>
      </c>
      <c r="GD22">
        <v>5.774725151235955E-2</v>
      </c>
      <c r="GE22">
        <v>-1</v>
      </c>
      <c r="GF22">
        <v>818.09267647058823</v>
      </c>
      <c r="GG22">
        <v>0.60496562847122926</v>
      </c>
      <c r="GH22">
        <v>0.24059885098110359</v>
      </c>
      <c r="GI22">
        <v>1</v>
      </c>
      <c r="GJ22">
        <v>2.7525292682926832</v>
      </c>
      <c r="GK22">
        <v>0.65826564459929948</v>
      </c>
      <c r="GL22">
        <v>8.1850073063133022E-2</v>
      </c>
      <c r="GM22">
        <v>0</v>
      </c>
      <c r="GN22">
        <v>1</v>
      </c>
      <c r="GO22">
        <v>2</v>
      </c>
      <c r="GP22" t="s">
        <v>410</v>
      </c>
      <c r="GQ22">
        <v>3.1298699999999999</v>
      </c>
      <c r="GR22">
        <v>2.7255699999999998</v>
      </c>
      <c r="GS22">
        <v>9.1036400000000003E-2</v>
      </c>
      <c r="GT22">
        <v>9.7417400000000001E-2</v>
      </c>
      <c r="GU22">
        <v>0.10147399999999999</v>
      </c>
      <c r="GV22">
        <v>9.0132699999999996E-2</v>
      </c>
      <c r="GW22">
        <v>22726.2</v>
      </c>
      <c r="GX22">
        <v>30282.7</v>
      </c>
      <c r="GY22">
        <v>27131.8</v>
      </c>
      <c r="GZ22">
        <v>34516.400000000001</v>
      </c>
      <c r="HA22">
        <v>35715.5</v>
      </c>
      <c r="HB22">
        <v>39873</v>
      </c>
      <c r="HC22">
        <v>40068</v>
      </c>
      <c r="HD22">
        <v>43900.2</v>
      </c>
      <c r="HE22">
        <v>1.9258</v>
      </c>
      <c r="HF22">
        <v>1.6604000000000001</v>
      </c>
      <c r="HG22">
        <v>-0.136822</v>
      </c>
      <c r="HH22">
        <v>0</v>
      </c>
      <c r="HI22">
        <v>27.357099999999999</v>
      </c>
      <c r="HJ22">
        <v>999.9</v>
      </c>
      <c r="HK22">
        <v>56</v>
      </c>
      <c r="HL22">
        <v>38.700000000000003</v>
      </c>
      <c r="HM22">
        <v>39.559100000000001</v>
      </c>
      <c r="HN22">
        <v>61.209800000000001</v>
      </c>
      <c r="HO22">
        <v>7.5601000000000003</v>
      </c>
      <c r="HP22">
        <v>1</v>
      </c>
      <c r="HQ22">
        <v>0.75150399999999995</v>
      </c>
      <c r="HR22">
        <v>9.2810500000000005</v>
      </c>
      <c r="HS22">
        <v>20.0397</v>
      </c>
      <c r="HT22">
        <v>5.2100999999999997</v>
      </c>
      <c r="HU22">
        <v>11.914099999999999</v>
      </c>
      <c r="HV22">
        <v>4.9847999999999999</v>
      </c>
      <c r="HW22">
        <v>3.2709999999999999</v>
      </c>
      <c r="HX22">
        <v>9999</v>
      </c>
      <c r="HY22">
        <v>9999</v>
      </c>
      <c r="HZ22">
        <v>9999</v>
      </c>
      <c r="IA22">
        <v>999.9</v>
      </c>
      <c r="IB22">
        <v>1.86737</v>
      </c>
      <c r="IC22">
        <v>1.8629500000000001</v>
      </c>
      <c r="ID22">
        <v>1.86249</v>
      </c>
      <c r="IE22">
        <v>1.8620300000000001</v>
      </c>
      <c r="IF22">
        <v>1.8620300000000001</v>
      </c>
      <c r="IG22">
        <v>1.8626400000000001</v>
      </c>
      <c r="IH22">
        <v>1.8635600000000001</v>
      </c>
      <c r="II22">
        <v>1.8614200000000001</v>
      </c>
      <c r="IJ22">
        <v>0</v>
      </c>
      <c r="IK22">
        <v>0</v>
      </c>
      <c r="IL22">
        <v>0</v>
      </c>
      <c r="IM22">
        <v>4.5</v>
      </c>
      <c r="IN22" t="s">
        <v>411</v>
      </c>
      <c r="IO22" t="s">
        <v>412</v>
      </c>
      <c r="IP22" t="s">
        <v>413</v>
      </c>
      <c r="IQ22" t="s">
        <v>414</v>
      </c>
      <c r="IR22" t="s">
        <v>414</v>
      </c>
      <c r="IS22" t="s">
        <v>413</v>
      </c>
      <c r="IT22">
        <v>0</v>
      </c>
      <c r="IU22">
        <v>100</v>
      </c>
      <c r="IV22">
        <v>100</v>
      </c>
      <c r="IW22">
        <v>-5.6550000000000002</v>
      </c>
      <c r="IX22">
        <v>-0.50929999999999997</v>
      </c>
      <c r="IY22">
        <v>-5.6550952380951571</v>
      </c>
      <c r="IZ22">
        <v>0</v>
      </c>
      <c r="JA22">
        <v>0</v>
      </c>
      <c r="JB22">
        <v>0</v>
      </c>
      <c r="JC22">
        <v>-0.8222413170717493</v>
      </c>
      <c r="JD22">
        <v>2.7492919904454862E-4</v>
      </c>
      <c r="JE22">
        <v>8.6739513355948885E-4</v>
      </c>
      <c r="JF22">
        <v>-8.2500691715147318E-6</v>
      </c>
      <c r="JG22">
        <v>-1</v>
      </c>
      <c r="JH22">
        <v>-1</v>
      </c>
      <c r="JI22">
        <v>2</v>
      </c>
      <c r="JJ22">
        <v>37</v>
      </c>
      <c r="JK22">
        <v>1.6</v>
      </c>
      <c r="JL22">
        <v>1.6</v>
      </c>
      <c r="JM22">
        <v>1.1425799999999999</v>
      </c>
      <c r="JN22">
        <v>2.5439500000000002</v>
      </c>
      <c r="JO22">
        <v>1.50024</v>
      </c>
      <c r="JP22">
        <v>2.2729499999999998</v>
      </c>
      <c r="JQ22">
        <v>1.4477500000000001</v>
      </c>
      <c r="JR22">
        <v>2.35229</v>
      </c>
      <c r="JS22">
        <v>43.9467</v>
      </c>
      <c r="JT22">
        <v>15.2003</v>
      </c>
      <c r="JU22">
        <v>18</v>
      </c>
      <c r="JV22">
        <v>531.21799999999996</v>
      </c>
      <c r="JW22">
        <v>375.78100000000001</v>
      </c>
      <c r="JX22">
        <v>18.8626</v>
      </c>
      <c r="JY22">
        <v>36.052700000000002</v>
      </c>
      <c r="JZ22">
        <v>30.0002</v>
      </c>
      <c r="KA22">
        <v>36.017699999999998</v>
      </c>
      <c r="KB22">
        <v>36.177100000000003</v>
      </c>
      <c r="KC22">
        <v>22.857900000000001</v>
      </c>
      <c r="KD22">
        <v>55.462800000000001</v>
      </c>
      <c r="KE22">
        <v>0</v>
      </c>
      <c r="KF22">
        <v>18.071000000000002</v>
      </c>
      <c r="KG22">
        <v>461.69400000000002</v>
      </c>
      <c r="KH22">
        <v>17.7531</v>
      </c>
      <c r="KI22">
        <v>100.13800000000001</v>
      </c>
      <c r="KJ22">
        <v>98.664699999999996</v>
      </c>
    </row>
    <row r="23" spans="1:296" x14ac:dyDescent="0.3">
      <c r="A23">
        <v>7</v>
      </c>
      <c r="B23">
        <v>1783523536.5</v>
      </c>
      <c r="C23">
        <v>1095.400000095367</v>
      </c>
      <c r="D23" t="s">
        <v>971</v>
      </c>
      <c r="E23" t="s">
        <v>972</v>
      </c>
      <c r="F23">
        <v>15</v>
      </c>
      <c r="H23">
        <v>1783523528.75</v>
      </c>
      <c r="I23">
        <f t="shared" si="0"/>
        <v>2.1379837307587734E-3</v>
      </c>
      <c r="J23">
        <f t="shared" si="1"/>
        <v>2.1379837307587732</v>
      </c>
      <c r="K23">
        <f t="shared" si="2"/>
        <v>28.623771713975689</v>
      </c>
      <c r="L23">
        <f t="shared" si="3"/>
        <v>420.00990000000002</v>
      </c>
      <c r="M23">
        <f t="shared" si="4"/>
        <v>150.11346337741051</v>
      </c>
      <c r="N23">
        <f t="shared" si="5"/>
        <v>14.700002794983426</v>
      </c>
      <c r="O23">
        <f t="shared" si="6"/>
        <v>41.129866469057909</v>
      </c>
      <c r="P23">
        <f t="shared" si="7"/>
        <v>0.17837196813921136</v>
      </c>
      <c r="Q23">
        <f t="shared" si="8"/>
        <v>2.8927909034157397</v>
      </c>
      <c r="R23">
        <f t="shared" si="9"/>
        <v>0.17247927276228264</v>
      </c>
      <c r="S23">
        <f t="shared" si="10"/>
        <v>0.10831276365670306</v>
      </c>
      <c r="T23">
        <f t="shared" si="11"/>
        <v>96.347515786002262</v>
      </c>
      <c r="U23">
        <f t="shared" si="12"/>
        <v>24.400938506535841</v>
      </c>
      <c r="V23">
        <f t="shared" si="13"/>
        <v>25.022073333333331</v>
      </c>
      <c r="W23">
        <f t="shared" si="14"/>
        <v>3.1838644273168057</v>
      </c>
      <c r="X23">
        <f t="shared" si="15"/>
        <v>65.310271597267516</v>
      </c>
      <c r="Y23">
        <f t="shared" si="16"/>
        <v>2.0021556853265485</v>
      </c>
      <c r="Z23">
        <f t="shared" si="17"/>
        <v>3.0656061234482999</v>
      </c>
      <c r="AA23">
        <f t="shared" si="18"/>
        <v>1.1817087419902572</v>
      </c>
      <c r="AB23">
        <f t="shared" si="19"/>
        <v>-94.285082526461906</v>
      </c>
      <c r="AC23">
        <f t="shared" si="20"/>
        <v>-98.792498315748361</v>
      </c>
      <c r="AD23">
        <f t="shared" si="21"/>
        <v>-7.2024210433575835</v>
      </c>
      <c r="AE23">
        <f t="shared" si="22"/>
        <v>-103.93248609956559</v>
      </c>
      <c r="AF23">
        <f t="shared" si="23"/>
        <v>28.623771713975689</v>
      </c>
      <c r="AG23">
        <f t="shared" si="24"/>
        <v>2.1379837307587732</v>
      </c>
      <c r="AH23">
        <f t="shared" si="25"/>
        <v>28.411138916315505</v>
      </c>
      <c r="AI23">
        <v>463.82479055243908</v>
      </c>
      <c r="AJ23">
        <v>428.83019999999999</v>
      </c>
      <c r="AK23">
        <v>5.1531876949254797E-2</v>
      </c>
      <c r="AL23">
        <v>67.044592543240526</v>
      </c>
      <c r="AM23">
        <f t="shared" si="26"/>
        <v>2.086873541077372</v>
      </c>
      <c r="AN23">
        <v>17.93442267839826</v>
      </c>
      <c r="AO23">
        <v>20.38795515151515</v>
      </c>
      <c r="AP23">
        <v>5.0245045474544573E-6</v>
      </c>
      <c r="AQ23">
        <v>78.55</v>
      </c>
      <c r="AR23">
        <v>0</v>
      </c>
      <c r="AS23">
        <v>0</v>
      </c>
      <c r="AT23">
        <f t="shared" si="27"/>
        <v>1</v>
      </c>
      <c r="AU23">
        <f t="shared" si="28"/>
        <v>0</v>
      </c>
      <c r="AV23">
        <f t="shared" si="29"/>
        <v>52230.618078731997</v>
      </c>
      <c r="AW23" t="s">
        <v>948</v>
      </c>
      <c r="AX23">
        <v>5105.72</v>
      </c>
      <c r="AY23">
        <v>582.62941176470576</v>
      </c>
      <c r="AZ23">
        <v>2436.86</v>
      </c>
      <c r="BA23">
        <f t="shared" si="30"/>
        <v>0.76090977250859482</v>
      </c>
      <c r="BB23">
        <v>-2.6462146481794289</v>
      </c>
      <c r="BC23" t="s">
        <v>973</v>
      </c>
      <c r="BD23">
        <v>5086.1099999999997</v>
      </c>
      <c r="BE23">
        <v>807.82252941176466</v>
      </c>
      <c r="BF23">
        <v>1475.72</v>
      </c>
      <c r="BG23">
        <f t="shared" si="31"/>
        <v>0.45259091872999979</v>
      </c>
      <c r="BH23">
        <v>0.5</v>
      </c>
      <c r="BI23">
        <f t="shared" si="32"/>
        <v>504.31733700829125</v>
      </c>
      <c r="BJ23">
        <f t="shared" si="33"/>
        <v>28.623771713975689</v>
      </c>
      <c r="BK23">
        <f t="shared" si="34"/>
        <v>114.12472344402472</v>
      </c>
      <c r="BL23">
        <f t="shared" si="35"/>
        <v>6.2004583359467215E-2</v>
      </c>
      <c r="BM23">
        <f t="shared" si="36"/>
        <v>0.65130241509229403</v>
      </c>
      <c r="BN23">
        <f t="shared" si="37"/>
        <v>504.12676971401987</v>
      </c>
      <c r="BO23" t="s">
        <v>407</v>
      </c>
      <c r="BP23">
        <v>0</v>
      </c>
      <c r="BQ23">
        <f t="shared" si="38"/>
        <v>504.12676971401987</v>
      </c>
      <c r="BR23">
        <f t="shared" si="39"/>
        <v>0.65838589318161989</v>
      </c>
      <c r="BS23">
        <f t="shared" si="40"/>
        <v>0.68742499409104107</v>
      </c>
      <c r="BT23">
        <f t="shared" si="41"/>
        <v>0.49729573897675644</v>
      </c>
      <c r="BU23">
        <f t="shared" si="42"/>
        <v>0.74784963517303427</v>
      </c>
      <c r="BV23">
        <f t="shared" si="43"/>
        <v>0.51834977057235088</v>
      </c>
      <c r="BW23">
        <f t="shared" si="44"/>
        <v>0.42899192467947628</v>
      </c>
      <c r="BX23">
        <f t="shared" si="45"/>
        <v>0.57100807532052378</v>
      </c>
      <c r="DG23">
        <f t="shared" si="46"/>
        <v>600.01706666666655</v>
      </c>
      <c r="DH23">
        <f t="shared" si="47"/>
        <v>504.31733700829125</v>
      </c>
      <c r="DI23">
        <f t="shared" si="48"/>
        <v>0.84050498731640189</v>
      </c>
      <c r="DJ23">
        <f t="shared" si="49"/>
        <v>0.16057462552065566</v>
      </c>
      <c r="DK23">
        <v>6</v>
      </c>
      <c r="DL23">
        <v>0.5</v>
      </c>
      <c r="DM23" t="s">
        <v>408</v>
      </c>
      <c r="DN23">
        <v>2</v>
      </c>
      <c r="DO23" t="b">
        <v>0</v>
      </c>
      <c r="DP23">
        <v>1783523528.75</v>
      </c>
      <c r="DQ23">
        <v>420.00990000000002</v>
      </c>
      <c r="DR23">
        <v>455.44136666666668</v>
      </c>
      <c r="DS23">
        <v>20.445609999999999</v>
      </c>
      <c r="DT23">
        <v>17.93210333333333</v>
      </c>
      <c r="DU23">
        <v>425.66503333333333</v>
      </c>
      <c r="DV23">
        <v>20.893609999999999</v>
      </c>
      <c r="DW23">
        <v>499.92419999999998</v>
      </c>
      <c r="DX23">
        <v>97.873629999999991</v>
      </c>
      <c r="DY23">
        <v>5.2315243333333331E-2</v>
      </c>
      <c r="DZ23">
        <v>24.38861</v>
      </c>
      <c r="EA23">
        <v>25.022073333333331</v>
      </c>
      <c r="EB23">
        <v>999.9000000000002</v>
      </c>
      <c r="EC23">
        <v>0</v>
      </c>
      <c r="ED23">
        <v>0</v>
      </c>
      <c r="EE23">
        <v>10004.66666666667</v>
      </c>
      <c r="EF23">
        <v>0</v>
      </c>
      <c r="EG23">
        <v>810.59340000000009</v>
      </c>
      <c r="EH23">
        <v>-35.431383333333343</v>
      </c>
      <c r="EI23">
        <v>428.74806666666672</v>
      </c>
      <c r="EJ23">
        <v>463.75736666666671</v>
      </c>
      <c r="EK23">
        <v>2.4484066666666671</v>
      </c>
      <c r="EL23">
        <v>455.44136666666668</v>
      </c>
      <c r="EM23">
        <v>17.93210333333333</v>
      </c>
      <c r="EN23">
        <v>1.9947163333333331</v>
      </c>
      <c r="EO23">
        <v>1.755080666666667</v>
      </c>
      <c r="EP23">
        <v>17.40246333333333</v>
      </c>
      <c r="EQ23">
        <v>15.39236</v>
      </c>
      <c r="ER23">
        <v>600.01706666666655</v>
      </c>
      <c r="ES23">
        <v>0.98302156666666651</v>
      </c>
      <c r="ET23">
        <v>1.6978353333333331E-2</v>
      </c>
      <c r="EU23">
        <v>0</v>
      </c>
      <c r="EV23">
        <v>807.95420000000001</v>
      </c>
      <c r="EW23">
        <v>5.0010700000000003</v>
      </c>
      <c r="EX23">
        <v>10160.406666666669</v>
      </c>
      <c r="EY23">
        <v>5415.3126666666667</v>
      </c>
      <c r="EZ23">
        <v>39.254133333333343</v>
      </c>
      <c r="FA23">
        <v>42.5</v>
      </c>
      <c r="FB23">
        <v>41.008266666666671</v>
      </c>
      <c r="FC23">
        <v>42.125</v>
      </c>
      <c r="FD23">
        <v>40.674733333333329</v>
      </c>
      <c r="FE23">
        <v>584.91399999999999</v>
      </c>
      <c r="FF23">
        <v>10.1</v>
      </c>
      <c r="FG23">
        <v>0</v>
      </c>
      <c r="FH23">
        <v>181.5999999046326</v>
      </c>
      <c r="FI23">
        <v>0</v>
      </c>
      <c r="FJ23">
        <v>807.82252941176466</v>
      </c>
      <c r="FK23">
        <v>-6.4468137282339839</v>
      </c>
      <c r="FL23">
        <v>115.3921530650228</v>
      </c>
      <c r="FM23">
        <v>10165.01176470588</v>
      </c>
      <c r="FN23">
        <v>10</v>
      </c>
      <c r="FO23">
        <v>1783523559</v>
      </c>
      <c r="FP23" t="s">
        <v>974</v>
      </c>
      <c r="FQ23">
        <v>1783523256.5</v>
      </c>
      <c r="FR23">
        <v>1783523558.5</v>
      </c>
      <c r="FS23">
        <v>7</v>
      </c>
      <c r="FT23">
        <v>0</v>
      </c>
      <c r="FU23">
        <v>0.127</v>
      </c>
      <c r="FV23">
        <v>-5.6550000000000002</v>
      </c>
      <c r="FW23">
        <v>-0.44800000000000001</v>
      </c>
      <c r="FX23">
        <v>463</v>
      </c>
      <c r="FY23">
        <v>18</v>
      </c>
      <c r="FZ23">
        <v>0.18</v>
      </c>
      <c r="GA23">
        <v>0.06</v>
      </c>
      <c r="GB23">
        <v>420.00990000000002</v>
      </c>
      <c r="GC23">
        <v>-2.6349276975236528E-2</v>
      </c>
      <c r="GD23">
        <v>6.9405739436057309E-2</v>
      </c>
      <c r="GE23">
        <v>-1</v>
      </c>
      <c r="GF23">
        <v>808.127205882353</v>
      </c>
      <c r="GG23">
        <v>-4.3169289541074987</v>
      </c>
      <c r="GH23">
        <v>0.50482226222304494</v>
      </c>
      <c r="GI23">
        <v>1</v>
      </c>
      <c r="GJ23">
        <v>2.4473342499999999</v>
      </c>
      <c r="GK23">
        <v>1.824371482175334E-2</v>
      </c>
      <c r="GL23">
        <v>3.654409588086667E-3</v>
      </c>
      <c r="GM23">
        <v>1</v>
      </c>
      <c r="GN23">
        <v>2</v>
      </c>
      <c r="GO23">
        <v>2</v>
      </c>
      <c r="GP23" t="s">
        <v>423</v>
      </c>
      <c r="GQ23">
        <v>3.1312199999999999</v>
      </c>
      <c r="GR23">
        <v>2.7272699999999999</v>
      </c>
      <c r="GS23">
        <v>9.0970599999999999E-2</v>
      </c>
      <c r="GT23">
        <v>9.6453999999999998E-2</v>
      </c>
      <c r="GU23">
        <v>0.100949</v>
      </c>
      <c r="GV23">
        <v>9.0777899999999995E-2</v>
      </c>
      <c r="GW23">
        <v>22723</v>
      </c>
      <c r="GX23">
        <v>30307.1</v>
      </c>
      <c r="GY23">
        <v>27126.799999999999</v>
      </c>
      <c r="GZ23">
        <v>34508.400000000001</v>
      </c>
      <c r="HA23">
        <v>35731.599999999999</v>
      </c>
      <c r="HB23">
        <v>39837</v>
      </c>
      <c r="HC23">
        <v>40062.199999999997</v>
      </c>
      <c r="HD23">
        <v>43891.5</v>
      </c>
      <c r="HE23">
        <v>1.9248000000000001</v>
      </c>
      <c r="HF23">
        <v>1.6556</v>
      </c>
      <c r="HG23">
        <v>-0.13425899999999999</v>
      </c>
      <c r="HH23">
        <v>0</v>
      </c>
      <c r="HI23">
        <v>27.238900000000001</v>
      </c>
      <c r="HJ23">
        <v>999.9</v>
      </c>
      <c r="HK23">
        <v>55.8</v>
      </c>
      <c r="HL23">
        <v>38.799999999999997</v>
      </c>
      <c r="HM23">
        <v>39.633899999999997</v>
      </c>
      <c r="HN23">
        <v>61.399799999999999</v>
      </c>
      <c r="HO23">
        <v>7.3517599999999996</v>
      </c>
      <c r="HP23">
        <v>1</v>
      </c>
      <c r="HQ23">
        <v>0.76504099999999997</v>
      </c>
      <c r="HR23">
        <v>9.2810500000000005</v>
      </c>
      <c r="HS23">
        <v>20.040900000000001</v>
      </c>
      <c r="HT23">
        <v>5.2112999999999996</v>
      </c>
      <c r="HU23">
        <v>11.914099999999999</v>
      </c>
      <c r="HV23">
        <v>4.9859999999999998</v>
      </c>
      <c r="HW23">
        <v>3.2709999999999999</v>
      </c>
      <c r="HX23">
        <v>9999</v>
      </c>
      <c r="HY23">
        <v>9999</v>
      </c>
      <c r="HZ23">
        <v>9999</v>
      </c>
      <c r="IA23">
        <v>999.9</v>
      </c>
      <c r="IB23">
        <v>1.86737</v>
      </c>
      <c r="IC23">
        <v>1.86304</v>
      </c>
      <c r="ID23">
        <v>1.86249</v>
      </c>
      <c r="IE23">
        <v>1.8620300000000001</v>
      </c>
      <c r="IF23">
        <v>1.8620300000000001</v>
      </c>
      <c r="IG23">
        <v>1.8626400000000001</v>
      </c>
      <c r="IH23">
        <v>1.8635600000000001</v>
      </c>
      <c r="II23">
        <v>1.86154</v>
      </c>
      <c r="IJ23">
        <v>0</v>
      </c>
      <c r="IK23">
        <v>0</v>
      </c>
      <c r="IL23">
        <v>0</v>
      </c>
      <c r="IM23">
        <v>4.5</v>
      </c>
      <c r="IN23" t="s">
        <v>411</v>
      </c>
      <c r="IO23" t="s">
        <v>412</v>
      </c>
      <c r="IP23" t="s">
        <v>413</v>
      </c>
      <c r="IQ23" t="s">
        <v>414</v>
      </c>
      <c r="IR23" t="s">
        <v>414</v>
      </c>
      <c r="IS23" t="s">
        <v>413</v>
      </c>
      <c r="IT23">
        <v>0</v>
      </c>
      <c r="IU23">
        <v>100</v>
      </c>
      <c r="IV23">
        <v>100</v>
      </c>
      <c r="IW23">
        <v>-5.6550000000000002</v>
      </c>
      <c r="IX23">
        <v>-0.44800000000000001</v>
      </c>
      <c r="IY23">
        <v>-5.6550952380951571</v>
      </c>
      <c r="IZ23">
        <v>0</v>
      </c>
      <c r="JA23">
        <v>0</v>
      </c>
      <c r="JB23">
        <v>0</v>
      </c>
      <c r="JC23">
        <v>-0.8222413170717493</v>
      </c>
      <c r="JD23">
        <v>2.7492919904454862E-4</v>
      </c>
      <c r="JE23">
        <v>8.6739513355948885E-4</v>
      </c>
      <c r="JF23">
        <v>-8.2500691715147318E-6</v>
      </c>
      <c r="JG23">
        <v>-1</v>
      </c>
      <c r="JH23">
        <v>-1</v>
      </c>
      <c r="JI23">
        <v>2</v>
      </c>
      <c r="JJ23">
        <v>37</v>
      </c>
      <c r="JK23">
        <v>4.7</v>
      </c>
      <c r="JL23">
        <v>4.5999999999999996</v>
      </c>
      <c r="JM23">
        <v>1.1303700000000001</v>
      </c>
      <c r="JN23">
        <v>2.5439500000000002</v>
      </c>
      <c r="JO23">
        <v>1.50024</v>
      </c>
      <c r="JP23">
        <v>2.2729499999999998</v>
      </c>
      <c r="JQ23">
        <v>1.4477500000000001</v>
      </c>
      <c r="JR23">
        <v>2.4194300000000002</v>
      </c>
      <c r="JS23">
        <v>44.167700000000004</v>
      </c>
      <c r="JT23">
        <v>15.156499999999999</v>
      </c>
      <c r="JU23">
        <v>18</v>
      </c>
      <c r="JV23">
        <v>531.80799999999999</v>
      </c>
      <c r="JW23">
        <v>373.96499999999997</v>
      </c>
      <c r="JX23">
        <v>18.900700000000001</v>
      </c>
      <c r="JY23">
        <v>36.207000000000001</v>
      </c>
      <c r="JZ23">
        <v>30.000399999999999</v>
      </c>
      <c r="KA23">
        <v>36.1783</v>
      </c>
      <c r="KB23">
        <v>36.336500000000001</v>
      </c>
      <c r="KC23">
        <v>22.616499999999998</v>
      </c>
      <c r="KD23">
        <v>55.180199999999999</v>
      </c>
      <c r="KE23">
        <v>0</v>
      </c>
      <c r="KF23">
        <v>18.813199999999998</v>
      </c>
      <c r="KG23">
        <v>455.55200000000002</v>
      </c>
      <c r="KH23">
        <v>17.9053</v>
      </c>
      <c r="KI23">
        <v>100.122</v>
      </c>
      <c r="KJ23">
        <v>98.643699999999995</v>
      </c>
    </row>
    <row r="24" spans="1:296" x14ac:dyDescent="0.3">
      <c r="A24">
        <v>8</v>
      </c>
      <c r="B24">
        <v>1783523740</v>
      </c>
      <c r="C24">
        <v>1298.900000095367</v>
      </c>
      <c r="D24" t="s">
        <v>975</v>
      </c>
      <c r="E24" t="s">
        <v>976</v>
      </c>
      <c r="F24">
        <v>15</v>
      </c>
      <c r="H24">
        <v>1783523732.25</v>
      </c>
      <c r="I24">
        <f t="shared" si="0"/>
        <v>1.9051041542394048E-3</v>
      </c>
      <c r="J24">
        <f t="shared" si="1"/>
        <v>1.9051041542394047</v>
      </c>
      <c r="K24">
        <f t="shared" si="2"/>
        <v>19.906947778420012</v>
      </c>
      <c r="L24">
        <f t="shared" si="3"/>
        <v>420.04373333333331</v>
      </c>
      <c r="M24">
        <f t="shared" si="4"/>
        <v>203.60430048593227</v>
      </c>
      <c r="N24">
        <f t="shared" si="5"/>
        <v>19.939328848196883</v>
      </c>
      <c r="O24">
        <f t="shared" si="6"/>
        <v>41.135624883995696</v>
      </c>
      <c r="P24">
        <f t="shared" si="7"/>
        <v>0.15541744665723303</v>
      </c>
      <c r="Q24">
        <f t="shared" si="8"/>
        <v>2.8920180426194659</v>
      </c>
      <c r="R24">
        <f t="shared" si="9"/>
        <v>0.15092208350476918</v>
      </c>
      <c r="S24">
        <f t="shared" si="10"/>
        <v>9.4719362080754738E-2</v>
      </c>
      <c r="T24">
        <f t="shared" si="11"/>
        <v>64.410666290320009</v>
      </c>
      <c r="U24">
        <f t="shared" si="12"/>
        <v>24.358376017685622</v>
      </c>
      <c r="V24">
        <f t="shared" si="13"/>
        <v>25.130050000000001</v>
      </c>
      <c r="W24">
        <f t="shared" si="14"/>
        <v>3.2044147818283193</v>
      </c>
      <c r="X24">
        <f t="shared" si="15"/>
        <v>64.935718693693687</v>
      </c>
      <c r="Y24">
        <f t="shared" si="16"/>
        <v>2.0010672092627773</v>
      </c>
      <c r="Z24">
        <f t="shared" si="17"/>
        <v>3.081612476951169</v>
      </c>
      <c r="AA24">
        <f t="shared" si="18"/>
        <v>1.203347572565542</v>
      </c>
      <c r="AB24">
        <f t="shared" si="19"/>
        <v>-84.015093201957754</v>
      </c>
      <c r="AC24">
        <f t="shared" si="20"/>
        <v>-102.04030814497185</v>
      </c>
      <c r="AD24">
        <f t="shared" si="21"/>
        <v>-7.4485014389711051</v>
      </c>
      <c r="AE24">
        <f t="shared" si="22"/>
        <v>-129.0932364955807</v>
      </c>
      <c r="AF24">
        <f t="shared" si="23"/>
        <v>19.906947778420012</v>
      </c>
      <c r="AG24">
        <f t="shared" si="24"/>
        <v>1.9051041542394047</v>
      </c>
      <c r="AH24">
        <f t="shared" si="25"/>
        <v>19.807427241036699</v>
      </c>
      <c r="AI24">
        <v>453.07109684779459</v>
      </c>
      <c r="AJ24">
        <v>428.88583636363637</v>
      </c>
      <c r="AK24">
        <v>-4.4393115696773292E-3</v>
      </c>
      <c r="AL24">
        <v>67.067529256201496</v>
      </c>
      <c r="AM24">
        <f t="shared" si="26"/>
        <v>1.8940820851924329</v>
      </c>
      <c r="AN24">
        <v>18.199814289134199</v>
      </c>
      <c r="AO24">
        <v>20.426403636363641</v>
      </c>
      <c r="AP24">
        <v>-2.729892329884062E-5</v>
      </c>
      <c r="AQ24">
        <v>78.55</v>
      </c>
      <c r="AR24">
        <v>0</v>
      </c>
      <c r="AS24">
        <v>0</v>
      </c>
      <c r="AT24">
        <f t="shared" si="27"/>
        <v>1</v>
      </c>
      <c r="AU24">
        <f t="shared" si="28"/>
        <v>0</v>
      </c>
      <c r="AV24">
        <f t="shared" si="29"/>
        <v>52193.288369978109</v>
      </c>
      <c r="AW24" t="s">
        <v>948</v>
      </c>
      <c r="AX24">
        <v>5105.72</v>
      </c>
      <c r="AY24">
        <v>582.62941176470576</v>
      </c>
      <c r="AZ24">
        <v>2436.86</v>
      </c>
      <c r="BA24">
        <f t="shared" si="30"/>
        <v>0.76090977250859482</v>
      </c>
      <c r="BB24">
        <v>-2.6462146481794289</v>
      </c>
      <c r="BC24" t="s">
        <v>977</v>
      </c>
      <c r="BD24">
        <v>5088.55</v>
      </c>
      <c r="BE24">
        <v>774.65594117647061</v>
      </c>
      <c r="BF24">
        <v>1597.79</v>
      </c>
      <c r="BG24">
        <f t="shared" si="31"/>
        <v>0.51517036583251197</v>
      </c>
      <c r="BH24">
        <v>0.5</v>
      </c>
      <c r="BI24">
        <f t="shared" si="32"/>
        <v>336.29457130068403</v>
      </c>
      <c r="BJ24">
        <f t="shared" si="33"/>
        <v>19.906947778420012</v>
      </c>
      <c r="BK24">
        <f t="shared" si="34"/>
        <v>86.624498662230579</v>
      </c>
      <c r="BL24">
        <f t="shared" si="35"/>
        <v>6.7063712445225451E-2</v>
      </c>
      <c r="BM24">
        <f t="shared" si="36"/>
        <v>0.52514410529543942</v>
      </c>
      <c r="BN24">
        <f t="shared" si="37"/>
        <v>517.63660398838886</v>
      </c>
      <c r="BO24" t="s">
        <v>407</v>
      </c>
      <c r="BP24">
        <v>0</v>
      </c>
      <c r="BQ24">
        <f t="shared" si="38"/>
        <v>517.63660398838886</v>
      </c>
      <c r="BR24">
        <f t="shared" si="39"/>
        <v>0.67602963844535968</v>
      </c>
      <c r="BS24">
        <f t="shared" si="40"/>
        <v>0.7620529286515163</v>
      </c>
      <c r="BT24">
        <f t="shared" si="41"/>
        <v>0.43719246115053284</v>
      </c>
      <c r="BU24">
        <f t="shared" si="42"/>
        <v>0.81084122882905219</v>
      </c>
      <c r="BV24">
        <f t="shared" si="43"/>
        <v>0.45251653452581569</v>
      </c>
      <c r="BW24">
        <f t="shared" si="44"/>
        <v>0.50921508385709957</v>
      </c>
      <c r="BX24">
        <f t="shared" si="45"/>
        <v>0.49078491614290043</v>
      </c>
      <c r="DG24">
        <f t="shared" si="46"/>
        <v>399.9985333333334</v>
      </c>
      <c r="DH24">
        <f t="shared" si="47"/>
        <v>336.29457130068403</v>
      </c>
      <c r="DI24">
        <f t="shared" si="48"/>
        <v>0.84073951096325006</v>
      </c>
      <c r="DJ24">
        <f t="shared" si="49"/>
        <v>0.16102725615907257</v>
      </c>
      <c r="DK24">
        <v>6</v>
      </c>
      <c r="DL24">
        <v>0.5</v>
      </c>
      <c r="DM24" t="s">
        <v>408</v>
      </c>
      <c r="DN24">
        <v>2</v>
      </c>
      <c r="DO24" t="b">
        <v>0</v>
      </c>
      <c r="DP24">
        <v>1783523732.25</v>
      </c>
      <c r="DQ24">
        <v>420.04373333333331</v>
      </c>
      <c r="DR24">
        <v>444.89176666666663</v>
      </c>
      <c r="DS24">
        <v>20.43328</v>
      </c>
      <c r="DT24">
        <v>18.193919999999999</v>
      </c>
      <c r="DU24">
        <v>425.63896666666648</v>
      </c>
      <c r="DV24">
        <v>20.945046666666659</v>
      </c>
      <c r="DW24">
        <v>500.01159999999999</v>
      </c>
      <c r="DX24">
        <v>97.88076333333332</v>
      </c>
      <c r="DY24">
        <v>5.1003336666666663E-2</v>
      </c>
      <c r="DZ24">
        <v>24.475586666666661</v>
      </c>
      <c r="EA24">
        <v>25.130050000000001</v>
      </c>
      <c r="EB24">
        <v>999.9000000000002</v>
      </c>
      <c r="EC24">
        <v>0</v>
      </c>
      <c r="ED24">
        <v>0</v>
      </c>
      <c r="EE24">
        <v>9999.5</v>
      </c>
      <c r="EF24">
        <v>0</v>
      </c>
      <c r="EG24">
        <v>825.98296666666647</v>
      </c>
      <c r="EH24">
        <v>-24.848093333333331</v>
      </c>
      <c r="EI24">
        <v>428.80553333333341</v>
      </c>
      <c r="EJ24">
        <v>453.13606666666658</v>
      </c>
      <c r="EK24">
        <v>2.2393559999999999</v>
      </c>
      <c r="EL24">
        <v>444.89176666666663</v>
      </c>
      <c r="EM24">
        <v>18.193919999999999</v>
      </c>
      <c r="EN24">
        <v>2.0000239999999998</v>
      </c>
      <c r="EO24">
        <v>1.7808336666666671</v>
      </c>
      <c r="EP24">
        <v>17.444536666666671</v>
      </c>
      <c r="EQ24">
        <v>15.619566666666669</v>
      </c>
      <c r="ER24">
        <v>399.9985333333334</v>
      </c>
      <c r="ES24">
        <v>0.9750274000000001</v>
      </c>
      <c r="ET24">
        <v>2.497243E-2</v>
      </c>
      <c r="EU24">
        <v>0</v>
      </c>
      <c r="EV24">
        <v>775.03693333333331</v>
      </c>
      <c r="EW24">
        <v>5.0010700000000003</v>
      </c>
      <c r="EX24">
        <v>8186.2079999999996</v>
      </c>
      <c r="EY24">
        <v>3583.7003333333332</v>
      </c>
      <c r="EZ24">
        <v>38.686999999999991</v>
      </c>
      <c r="FA24">
        <v>42.25</v>
      </c>
      <c r="FB24">
        <v>40.639466666666657</v>
      </c>
      <c r="FC24">
        <v>41.811999999999983</v>
      </c>
      <c r="FD24">
        <v>40.370733333333327</v>
      </c>
      <c r="FE24">
        <v>385.13299999999998</v>
      </c>
      <c r="FF24">
        <v>9.860000000000003</v>
      </c>
      <c r="FG24">
        <v>0</v>
      </c>
      <c r="FH24">
        <v>202.79999995231631</v>
      </c>
      <c r="FI24">
        <v>0</v>
      </c>
      <c r="FJ24">
        <v>774.65594117647061</v>
      </c>
      <c r="FK24">
        <v>-5.731372589846762</v>
      </c>
      <c r="FL24">
        <v>-772.79412128649426</v>
      </c>
      <c r="FM24">
        <v>8168.9941176470584</v>
      </c>
      <c r="FN24">
        <v>10</v>
      </c>
      <c r="FO24">
        <v>1783523691</v>
      </c>
      <c r="FP24" t="s">
        <v>978</v>
      </c>
      <c r="FQ24">
        <v>1783523680</v>
      </c>
      <c r="FR24">
        <v>1783523690.5</v>
      </c>
      <c r="FS24">
        <v>8</v>
      </c>
      <c r="FT24">
        <v>0.06</v>
      </c>
      <c r="FU24">
        <v>0.126</v>
      </c>
      <c r="FV24">
        <v>-5.5949999999999998</v>
      </c>
      <c r="FW24">
        <v>-0.44600000000000001</v>
      </c>
      <c r="FX24">
        <v>446</v>
      </c>
      <c r="FY24">
        <v>18</v>
      </c>
      <c r="FZ24">
        <v>0.32</v>
      </c>
      <c r="GA24">
        <v>0.16</v>
      </c>
      <c r="GB24">
        <v>420.04500000000002</v>
      </c>
      <c r="GC24">
        <v>0.60662903225737619</v>
      </c>
      <c r="GD24">
        <v>8.1148211675087983E-2</v>
      </c>
      <c r="GE24">
        <v>-1</v>
      </c>
      <c r="GF24">
        <v>775.383911764706</v>
      </c>
      <c r="GG24">
        <v>-7.7195569146800711</v>
      </c>
      <c r="GH24">
        <v>0.78898931505652592</v>
      </c>
      <c r="GI24">
        <v>1</v>
      </c>
      <c r="GJ24">
        <v>2.244276829268292</v>
      </c>
      <c r="GK24">
        <v>-0.1073395818815269</v>
      </c>
      <c r="GL24">
        <v>1.1022453898586301E-2</v>
      </c>
      <c r="GM24">
        <v>1</v>
      </c>
      <c r="GN24">
        <v>2</v>
      </c>
      <c r="GO24">
        <v>2</v>
      </c>
      <c r="GP24" t="s">
        <v>423</v>
      </c>
      <c r="GQ24">
        <v>3.1301600000000001</v>
      </c>
      <c r="GR24">
        <v>2.7280099999999998</v>
      </c>
      <c r="GS24">
        <v>9.0960899999999997E-2</v>
      </c>
      <c r="GT24">
        <v>9.4730400000000006E-2</v>
      </c>
      <c r="GU24">
        <v>0.101024</v>
      </c>
      <c r="GV24">
        <v>9.1722899999999996E-2</v>
      </c>
      <c r="GW24">
        <v>22714.3</v>
      </c>
      <c r="GX24">
        <v>30353</v>
      </c>
      <c r="GY24">
        <v>27116.799999999999</v>
      </c>
      <c r="GZ24">
        <v>34495.800000000003</v>
      </c>
      <c r="HA24">
        <v>35716.800000000003</v>
      </c>
      <c r="HB24">
        <v>39782.699999999997</v>
      </c>
      <c r="HC24">
        <v>40048.300000000003</v>
      </c>
      <c r="HD24">
        <v>43877.1</v>
      </c>
      <c r="HE24">
        <v>1.9228000000000001</v>
      </c>
      <c r="HF24">
        <v>1.6521999999999999</v>
      </c>
      <c r="HG24">
        <v>-0.13795499999999999</v>
      </c>
      <c r="HH24">
        <v>0</v>
      </c>
      <c r="HI24">
        <v>27.3827</v>
      </c>
      <c r="HJ24">
        <v>999.9</v>
      </c>
      <c r="HK24">
        <v>55.6</v>
      </c>
      <c r="HL24">
        <v>39</v>
      </c>
      <c r="HM24">
        <v>39.913699999999999</v>
      </c>
      <c r="HN24">
        <v>61.309899999999999</v>
      </c>
      <c r="HO24">
        <v>7.4479100000000003</v>
      </c>
      <c r="HP24">
        <v>1</v>
      </c>
      <c r="HQ24">
        <v>0.78064999999999996</v>
      </c>
      <c r="HR24">
        <v>9.2810500000000005</v>
      </c>
      <c r="HS24">
        <v>20.0426</v>
      </c>
      <c r="HT24">
        <v>5.2100999999999997</v>
      </c>
      <c r="HU24">
        <v>11.914099999999999</v>
      </c>
      <c r="HV24">
        <v>4.9847999999999999</v>
      </c>
      <c r="HW24">
        <v>3.2709999999999999</v>
      </c>
      <c r="HX24">
        <v>9999</v>
      </c>
      <c r="HY24">
        <v>9999</v>
      </c>
      <c r="HZ24">
        <v>9999</v>
      </c>
      <c r="IA24">
        <v>999.9</v>
      </c>
      <c r="IB24">
        <v>1.86737</v>
      </c>
      <c r="IC24">
        <v>1.8630100000000001</v>
      </c>
      <c r="ID24">
        <v>1.86252</v>
      </c>
      <c r="IE24">
        <v>1.8620300000000001</v>
      </c>
      <c r="IF24">
        <v>1.8620300000000001</v>
      </c>
      <c r="IG24">
        <v>1.8626400000000001</v>
      </c>
      <c r="IH24">
        <v>1.8635600000000001</v>
      </c>
      <c r="II24">
        <v>1.8615699999999999</v>
      </c>
      <c r="IJ24">
        <v>0</v>
      </c>
      <c r="IK24">
        <v>0</v>
      </c>
      <c r="IL24">
        <v>0</v>
      </c>
      <c r="IM24">
        <v>4.5</v>
      </c>
      <c r="IN24" t="s">
        <v>411</v>
      </c>
      <c r="IO24" t="s">
        <v>412</v>
      </c>
      <c r="IP24" t="s">
        <v>413</v>
      </c>
      <c r="IQ24" t="s">
        <v>414</v>
      </c>
      <c r="IR24" t="s">
        <v>414</v>
      </c>
      <c r="IS24" t="s">
        <v>413</v>
      </c>
      <c r="IT24">
        <v>0</v>
      </c>
      <c r="IU24">
        <v>100</v>
      </c>
      <c r="IV24">
        <v>100</v>
      </c>
      <c r="IW24">
        <v>-5.5949999999999998</v>
      </c>
      <c r="IX24">
        <v>-0.51200000000000001</v>
      </c>
      <c r="IY24">
        <v>-5.5952857142857511</v>
      </c>
      <c r="IZ24">
        <v>0</v>
      </c>
      <c r="JA24">
        <v>0</v>
      </c>
      <c r="JB24">
        <v>0</v>
      </c>
      <c r="JC24">
        <v>-0.8222413170717493</v>
      </c>
      <c r="JD24">
        <v>2.7492919904454862E-4</v>
      </c>
      <c r="JE24">
        <v>8.6739513355948885E-4</v>
      </c>
      <c r="JF24">
        <v>-8.2500691715147318E-6</v>
      </c>
      <c r="JG24">
        <v>-1</v>
      </c>
      <c r="JH24">
        <v>-1</v>
      </c>
      <c r="JI24">
        <v>2</v>
      </c>
      <c r="JJ24">
        <v>37</v>
      </c>
      <c r="JK24">
        <v>1</v>
      </c>
      <c r="JL24">
        <v>0.8</v>
      </c>
      <c r="JM24">
        <v>1.1096200000000001</v>
      </c>
      <c r="JN24">
        <v>2.5476100000000002</v>
      </c>
      <c r="JO24">
        <v>1.50024</v>
      </c>
      <c r="JP24">
        <v>2.2717299999999998</v>
      </c>
      <c r="JQ24">
        <v>1.4477500000000001</v>
      </c>
      <c r="JR24">
        <v>2.3571800000000001</v>
      </c>
      <c r="JS24">
        <v>44.278700000000001</v>
      </c>
      <c r="JT24">
        <v>15.1127</v>
      </c>
      <c r="JU24">
        <v>18</v>
      </c>
      <c r="JV24">
        <v>531.89499999999998</v>
      </c>
      <c r="JW24">
        <v>373.07</v>
      </c>
      <c r="JX24">
        <v>19.0167</v>
      </c>
      <c r="JY24">
        <v>36.372500000000002</v>
      </c>
      <c r="JZ24">
        <v>30.0001</v>
      </c>
      <c r="KA24">
        <v>36.360700000000001</v>
      </c>
      <c r="KB24">
        <v>36.520099999999999</v>
      </c>
      <c r="KC24">
        <v>22.196300000000001</v>
      </c>
      <c r="KD24">
        <v>55.1188</v>
      </c>
      <c r="KE24">
        <v>0</v>
      </c>
      <c r="KF24">
        <v>17.9499</v>
      </c>
      <c r="KG24">
        <v>444.798</v>
      </c>
      <c r="KH24">
        <v>18.2164</v>
      </c>
      <c r="KI24">
        <v>100.086</v>
      </c>
      <c r="KJ24">
        <v>98.609899999999996</v>
      </c>
    </row>
    <row r="25" spans="1:296" x14ac:dyDescent="0.3">
      <c r="A25">
        <v>9</v>
      </c>
      <c r="B25">
        <v>1783523922.5</v>
      </c>
      <c r="C25">
        <v>1481.400000095367</v>
      </c>
      <c r="D25" t="s">
        <v>979</v>
      </c>
      <c r="E25" t="s">
        <v>980</v>
      </c>
      <c r="F25">
        <v>15</v>
      </c>
      <c r="H25">
        <v>1783523914.75</v>
      </c>
      <c r="I25">
        <f t="shared" si="0"/>
        <v>1.428220903479946E-3</v>
      </c>
      <c r="J25">
        <f t="shared" si="1"/>
        <v>1.428220903479946</v>
      </c>
      <c r="K25">
        <f t="shared" si="2"/>
        <v>14.858256973052351</v>
      </c>
      <c r="L25">
        <f t="shared" si="3"/>
        <v>420.04996666666682</v>
      </c>
      <c r="M25">
        <f t="shared" si="4"/>
        <v>197.20296739901812</v>
      </c>
      <c r="N25">
        <f t="shared" si="5"/>
        <v>19.313486801559328</v>
      </c>
      <c r="O25">
        <f t="shared" si="6"/>
        <v>41.138475724846003</v>
      </c>
      <c r="P25">
        <f t="shared" si="7"/>
        <v>0.11186271055783543</v>
      </c>
      <c r="Q25">
        <f t="shared" si="8"/>
        <v>2.8916671114323149</v>
      </c>
      <c r="R25">
        <f t="shared" si="9"/>
        <v>0.10951309979838708</v>
      </c>
      <c r="S25">
        <f t="shared" si="10"/>
        <v>6.8652680067102984E-2</v>
      </c>
      <c r="T25">
        <f t="shared" si="11"/>
        <v>48.444448704269035</v>
      </c>
      <c r="U25">
        <f t="shared" si="12"/>
        <v>24.390074829905025</v>
      </c>
      <c r="V25">
        <f t="shared" si="13"/>
        <v>25.161549999999998</v>
      </c>
      <c r="W25">
        <f t="shared" si="14"/>
        <v>3.2104317267720508</v>
      </c>
      <c r="X25">
        <f t="shared" si="15"/>
        <v>63.822819662238992</v>
      </c>
      <c r="Y25">
        <f t="shared" si="16"/>
        <v>1.9669403210677872</v>
      </c>
      <c r="Z25">
        <f t="shared" si="17"/>
        <v>3.0818762497131331</v>
      </c>
      <c r="AA25">
        <f t="shared" si="18"/>
        <v>1.2434914057042636</v>
      </c>
      <c r="AB25">
        <f t="shared" si="19"/>
        <v>-62.984541843465621</v>
      </c>
      <c r="AC25">
        <f t="shared" si="20"/>
        <v>-106.71570549832452</v>
      </c>
      <c r="AD25">
        <f t="shared" si="21"/>
        <v>-7.7920237637348988</v>
      </c>
      <c r="AE25">
        <f t="shared" si="22"/>
        <v>-129.04782240125601</v>
      </c>
      <c r="AF25">
        <f t="shared" si="23"/>
        <v>14.858256973052351</v>
      </c>
      <c r="AG25">
        <f t="shared" si="24"/>
        <v>1.428220903479946</v>
      </c>
      <c r="AH25">
        <f t="shared" si="25"/>
        <v>14.827650058114921</v>
      </c>
      <c r="AI25">
        <v>446.76409718648608</v>
      </c>
      <c r="AJ25">
        <v>428.67322424242423</v>
      </c>
      <c r="AK25">
        <v>-6.6317098263933786E-3</v>
      </c>
      <c r="AL25">
        <v>67.001407171530204</v>
      </c>
      <c r="AM25">
        <f t="shared" si="26"/>
        <v>1.48271106263164</v>
      </c>
      <c r="AN25">
        <v>18.463965951708779</v>
      </c>
      <c r="AO25">
        <v>20.146916969696971</v>
      </c>
      <c r="AP25">
        <v>9.7656832445705624E-3</v>
      </c>
      <c r="AQ25">
        <v>78.155204580922145</v>
      </c>
      <c r="AR25">
        <v>0</v>
      </c>
      <c r="AS25">
        <v>0</v>
      </c>
      <c r="AT25">
        <f t="shared" si="27"/>
        <v>1</v>
      </c>
      <c r="AU25">
        <f t="shared" si="28"/>
        <v>0</v>
      </c>
      <c r="AV25">
        <f t="shared" si="29"/>
        <v>52183.055306718154</v>
      </c>
      <c r="AW25" t="s">
        <v>948</v>
      </c>
      <c r="AX25">
        <v>5105.72</v>
      </c>
      <c r="AY25">
        <v>582.62941176470576</v>
      </c>
      <c r="AZ25">
        <v>2436.86</v>
      </c>
      <c r="BA25">
        <f t="shared" si="30"/>
        <v>0.76090977250859482</v>
      </c>
      <c r="BB25">
        <v>-2.6462146481794289</v>
      </c>
      <c r="BC25" t="s">
        <v>981</v>
      </c>
      <c r="BD25">
        <v>5090.13</v>
      </c>
      <c r="BE25">
        <v>751.7792352941176</v>
      </c>
      <c r="BF25">
        <v>1665.98</v>
      </c>
      <c r="BG25">
        <f t="shared" si="31"/>
        <v>0.54874654239899789</v>
      </c>
      <c r="BH25">
        <v>0.5</v>
      </c>
      <c r="BI25">
        <f t="shared" si="32"/>
        <v>252.30031120428438</v>
      </c>
      <c r="BJ25">
        <f t="shared" si="33"/>
        <v>14.858256973052351</v>
      </c>
      <c r="BK25">
        <f t="shared" si="34"/>
        <v>69.224461709771106</v>
      </c>
      <c r="BL25">
        <f t="shared" si="35"/>
        <v>6.9379508640631957E-2</v>
      </c>
      <c r="BM25">
        <f t="shared" si="36"/>
        <v>0.46271864007971292</v>
      </c>
      <c r="BN25">
        <f t="shared" si="37"/>
        <v>524.59290879386526</v>
      </c>
      <c r="BO25" t="s">
        <v>407</v>
      </c>
      <c r="BP25">
        <v>0</v>
      </c>
      <c r="BQ25">
        <f t="shared" si="38"/>
        <v>524.59290879386526</v>
      </c>
      <c r="BR25">
        <f t="shared" si="39"/>
        <v>0.68511452190670641</v>
      </c>
      <c r="BS25">
        <f t="shared" si="40"/>
        <v>0.80095593488780537</v>
      </c>
      <c r="BT25">
        <f t="shared" si="41"/>
        <v>0.40312360315408591</v>
      </c>
      <c r="BU25">
        <f t="shared" si="42"/>
        <v>0.84386418822650422</v>
      </c>
      <c r="BV25">
        <f t="shared" si="43"/>
        <v>0.41574117312651004</v>
      </c>
      <c r="BW25">
        <f t="shared" si="44"/>
        <v>0.55890849862874803</v>
      </c>
      <c r="BX25">
        <f t="shared" si="45"/>
        <v>0.44109150137125197</v>
      </c>
      <c r="DG25">
        <f t="shared" si="46"/>
        <v>300.01036666666658</v>
      </c>
      <c r="DH25">
        <f t="shared" si="47"/>
        <v>252.30031120428438</v>
      </c>
      <c r="DI25">
        <f t="shared" si="48"/>
        <v>0.84097197709373972</v>
      </c>
      <c r="DJ25">
        <f t="shared" si="49"/>
        <v>0.16147591579091783</v>
      </c>
      <c r="DK25">
        <v>6</v>
      </c>
      <c r="DL25">
        <v>0.5</v>
      </c>
      <c r="DM25" t="s">
        <v>408</v>
      </c>
      <c r="DN25">
        <v>2</v>
      </c>
      <c r="DO25" t="b">
        <v>0</v>
      </c>
      <c r="DP25">
        <v>1783523914.75</v>
      </c>
      <c r="DQ25">
        <v>420.04996666666682</v>
      </c>
      <c r="DR25">
        <v>438.59899999999999</v>
      </c>
      <c r="DS25">
        <v>20.08371</v>
      </c>
      <c r="DT25">
        <v>18.404336666666669</v>
      </c>
      <c r="DU25">
        <v>425.61416666666668</v>
      </c>
      <c r="DV25">
        <v>20.604209999999998</v>
      </c>
      <c r="DW25">
        <v>500.02113333333341</v>
      </c>
      <c r="DX25">
        <v>97.885516666666661</v>
      </c>
      <c r="DY25">
        <v>5.158365333333334E-2</v>
      </c>
      <c r="DZ25">
        <v>24.477016666666671</v>
      </c>
      <c r="EA25">
        <v>25.161549999999998</v>
      </c>
      <c r="EB25">
        <v>999.9000000000002</v>
      </c>
      <c r="EC25">
        <v>0</v>
      </c>
      <c r="ED25">
        <v>0</v>
      </c>
      <c r="EE25">
        <v>9997</v>
      </c>
      <c r="EF25">
        <v>0</v>
      </c>
      <c r="EG25">
        <v>846.29576666666651</v>
      </c>
      <c r="EH25">
        <v>-18.549019999999999</v>
      </c>
      <c r="EI25">
        <v>428.65910000000002</v>
      </c>
      <c r="EJ25">
        <v>446.82240000000002</v>
      </c>
      <c r="EK25">
        <v>1.6793709999999999</v>
      </c>
      <c r="EL25">
        <v>438.59899999999999</v>
      </c>
      <c r="EM25">
        <v>18.404336666666669</v>
      </c>
      <c r="EN25">
        <v>1.965903333333334</v>
      </c>
      <c r="EO25">
        <v>1.8015176666666659</v>
      </c>
      <c r="EP25">
        <v>17.172333333333331</v>
      </c>
      <c r="EQ25">
        <v>15.79991666666667</v>
      </c>
      <c r="ER25">
        <v>300.01036666666658</v>
      </c>
      <c r="ES25">
        <v>0.96704079999999992</v>
      </c>
      <c r="ET25">
        <v>3.2959153333333331E-2</v>
      </c>
      <c r="EU25">
        <v>0</v>
      </c>
      <c r="EV25">
        <v>751.99586666666687</v>
      </c>
      <c r="EW25">
        <v>5.0010700000000003</v>
      </c>
      <c r="EX25">
        <v>6924.2633333333333</v>
      </c>
      <c r="EY25">
        <v>2668.161333333333</v>
      </c>
      <c r="EZ25">
        <v>38.436999999999991</v>
      </c>
      <c r="FA25">
        <v>42.182866666666648</v>
      </c>
      <c r="FB25">
        <v>40.375</v>
      </c>
      <c r="FC25">
        <v>41.936999999999983</v>
      </c>
      <c r="FD25">
        <v>40.066399999999987</v>
      </c>
      <c r="FE25">
        <v>285.286</v>
      </c>
      <c r="FF25">
        <v>9.7200000000000042</v>
      </c>
      <c r="FG25">
        <v>0</v>
      </c>
      <c r="FH25">
        <v>182.19999980926511</v>
      </c>
      <c r="FI25">
        <v>0</v>
      </c>
      <c r="FJ25">
        <v>751.7792352941176</v>
      </c>
      <c r="FK25">
        <v>-0.83161761499830944</v>
      </c>
      <c r="FL25">
        <v>577.03186237406203</v>
      </c>
      <c r="FM25">
        <v>6914.6305882352945</v>
      </c>
      <c r="FN25">
        <v>10</v>
      </c>
      <c r="FO25">
        <v>1783523840.5</v>
      </c>
      <c r="FP25" t="s">
        <v>982</v>
      </c>
      <c r="FQ25">
        <v>1783523837.5</v>
      </c>
      <c r="FR25">
        <v>1783523840</v>
      </c>
      <c r="FS25">
        <v>9</v>
      </c>
      <c r="FT25">
        <v>3.1E-2</v>
      </c>
      <c r="FU25">
        <v>0.121</v>
      </c>
      <c r="FV25">
        <v>-5.5640000000000001</v>
      </c>
      <c r="FW25">
        <v>-0.44700000000000001</v>
      </c>
      <c r="FX25">
        <v>439</v>
      </c>
      <c r="FY25">
        <v>18</v>
      </c>
      <c r="FZ25">
        <v>0.56000000000000005</v>
      </c>
      <c r="GA25">
        <v>0.18</v>
      </c>
      <c r="GB25">
        <v>420.04996666666682</v>
      </c>
      <c r="GC25">
        <v>0.17264516129076449</v>
      </c>
      <c r="GD25">
        <v>5.4209767467578787E-2</v>
      </c>
      <c r="GE25">
        <v>-1</v>
      </c>
      <c r="GF25">
        <v>752.26376470588241</v>
      </c>
      <c r="GG25">
        <v>-4.9713674564540984</v>
      </c>
      <c r="GH25">
        <v>0.60860771963668581</v>
      </c>
      <c r="GI25">
        <v>1</v>
      </c>
      <c r="GJ25">
        <v>1.7108684999999999</v>
      </c>
      <c r="GK25">
        <v>-0.45703024390244101</v>
      </c>
      <c r="GL25">
        <v>6.0931983495944073E-2</v>
      </c>
      <c r="GM25">
        <v>1</v>
      </c>
      <c r="GN25">
        <v>2</v>
      </c>
      <c r="GO25">
        <v>2</v>
      </c>
      <c r="GP25" t="s">
        <v>423</v>
      </c>
      <c r="GQ25">
        <v>3.1307900000000002</v>
      </c>
      <c r="GR25">
        <v>2.7278799999999999</v>
      </c>
      <c r="GS25">
        <v>9.0917300000000006E-2</v>
      </c>
      <c r="GT25">
        <v>9.3652799999999994E-2</v>
      </c>
      <c r="GU25">
        <v>0.10007000000000001</v>
      </c>
      <c r="GV25">
        <v>9.27148E-2</v>
      </c>
      <c r="GW25">
        <v>22709.9</v>
      </c>
      <c r="GX25">
        <v>30382.9</v>
      </c>
      <c r="GY25">
        <v>27110.9</v>
      </c>
      <c r="GZ25">
        <v>34489.800000000003</v>
      </c>
      <c r="HA25">
        <v>35747.599999999999</v>
      </c>
      <c r="HB25">
        <v>39735</v>
      </c>
      <c r="HC25">
        <v>40040</v>
      </c>
      <c r="HD25">
        <v>43872.3</v>
      </c>
      <c r="HE25">
        <v>1.9196</v>
      </c>
      <c r="HF25">
        <v>1.6497999999999999</v>
      </c>
      <c r="HG25">
        <v>-0.133663</v>
      </c>
      <c r="HH25">
        <v>0</v>
      </c>
      <c r="HI25">
        <v>27.3385</v>
      </c>
      <c r="HJ25">
        <v>999.9</v>
      </c>
      <c r="HK25">
        <v>55.4</v>
      </c>
      <c r="HL25">
        <v>39.200000000000003</v>
      </c>
      <c r="HM25">
        <v>40.202800000000003</v>
      </c>
      <c r="HN25">
        <v>61.26</v>
      </c>
      <c r="HO25">
        <v>7.0873400000000002</v>
      </c>
      <c r="HP25">
        <v>1</v>
      </c>
      <c r="HQ25">
        <v>0.792439</v>
      </c>
      <c r="HR25">
        <v>9.2810500000000005</v>
      </c>
      <c r="HS25">
        <v>20.0413</v>
      </c>
      <c r="HT25">
        <v>5.2100999999999997</v>
      </c>
      <c r="HU25">
        <v>11.914099999999999</v>
      </c>
      <c r="HV25">
        <v>4.9855999999999998</v>
      </c>
      <c r="HW25">
        <v>3.2709999999999999</v>
      </c>
      <c r="HX25">
        <v>9999</v>
      </c>
      <c r="HY25">
        <v>9999</v>
      </c>
      <c r="HZ25">
        <v>9999</v>
      </c>
      <c r="IA25">
        <v>999.9</v>
      </c>
      <c r="IB25">
        <v>1.86737</v>
      </c>
      <c r="IC25">
        <v>1.86304</v>
      </c>
      <c r="ID25">
        <v>1.86252</v>
      </c>
      <c r="IE25">
        <v>1.86206</v>
      </c>
      <c r="IF25">
        <v>1.8620300000000001</v>
      </c>
      <c r="IG25">
        <v>1.8626400000000001</v>
      </c>
      <c r="IH25">
        <v>1.8635600000000001</v>
      </c>
      <c r="II25">
        <v>1.86154</v>
      </c>
      <c r="IJ25">
        <v>0</v>
      </c>
      <c r="IK25">
        <v>0</v>
      </c>
      <c r="IL25">
        <v>0</v>
      </c>
      <c r="IM25">
        <v>4.5</v>
      </c>
      <c r="IN25" t="s">
        <v>411</v>
      </c>
      <c r="IO25" t="s">
        <v>412</v>
      </c>
      <c r="IP25" t="s">
        <v>413</v>
      </c>
      <c r="IQ25" t="s">
        <v>414</v>
      </c>
      <c r="IR25" t="s">
        <v>414</v>
      </c>
      <c r="IS25" t="s">
        <v>413</v>
      </c>
      <c r="IT25">
        <v>0</v>
      </c>
      <c r="IU25">
        <v>100</v>
      </c>
      <c r="IV25">
        <v>100</v>
      </c>
      <c r="IW25">
        <v>-5.5640000000000001</v>
      </c>
      <c r="IX25">
        <v>-0.51870000000000005</v>
      </c>
      <c r="IY25">
        <v>-5.5642380952380108</v>
      </c>
      <c r="IZ25">
        <v>0</v>
      </c>
      <c r="JA25">
        <v>0</v>
      </c>
      <c r="JB25">
        <v>0</v>
      </c>
      <c r="JC25">
        <v>-0.8222413170717493</v>
      </c>
      <c r="JD25">
        <v>2.7492919904454862E-4</v>
      </c>
      <c r="JE25">
        <v>8.6739513355948885E-4</v>
      </c>
      <c r="JF25">
        <v>-8.2500691715147318E-6</v>
      </c>
      <c r="JG25">
        <v>-1</v>
      </c>
      <c r="JH25">
        <v>-1</v>
      </c>
      <c r="JI25">
        <v>2</v>
      </c>
      <c r="JJ25">
        <v>37</v>
      </c>
      <c r="JK25">
        <v>1.4</v>
      </c>
      <c r="JL25">
        <v>1.4</v>
      </c>
      <c r="JM25">
        <v>1.09741</v>
      </c>
      <c r="JN25">
        <v>2.5341800000000001</v>
      </c>
      <c r="JO25">
        <v>1.50024</v>
      </c>
      <c r="JP25">
        <v>2.2717299999999998</v>
      </c>
      <c r="JQ25">
        <v>1.4477500000000001</v>
      </c>
      <c r="JR25">
        <v>2.4450699999999999</v>
      </c>
      <c r="JS25">
        <v>44.417700000000004</v>
      </c>
      <c r="JT25">
        <v>15.0777</v>
      </c>
      <c r="JU25">
        <v>18</v>
      </c>
      <c r="JV25">
        <v>530.92700000000002</v>
      </c>
      <c r="JW25">
        <v>372.55099999999999</v>
      </c>
      <c r="JX25">
        <v>19.156600000000001</v>
      </c>
      <c r="JY25">
        <v>36.518599999999999</v>
      </c>
      <c r="JZ25">
        <v>30.0002</v>
      </c>
      <c r="KA25">
        <v>36.509700000000002</v>
      </c>
      <c r="KB25">
        <v>36.671300000000002</v>
      </c>
      <c r="KC25">
        <v>21.945599999999999</v>
      </c>
      <c r="KD25">
        <v>54.612900000000003</v>
      </c>
      <c r="KE25">
        <v>0</v>
      </c>
      <c r="KF25">
        <v>18.464700000000001</v>
      </c>
      <c r="KG25">
        <v>438.49299999999999</v>
      </c>
      <c r="KH25">
        <v>18.5731</v>
      </c>
      <c r="KI25">
        <v>100.065</v>
      </c>
      <c r="KJ25">
        <v>98.596100000000007</v>
      </c>
    </row>
    <row r="26" spans="1:296" x14ac:dyDescent="0.3">
      <c r="A26">
        <v>10</v>
      </c>
      <c r="B26">
        <v>1783524105</v>
      </c>
      <c r="C26">
        <v>1663.900000095367</v>
      </c>
      <c r="D26" t="s">
        <v>983</v>
      </c>
      <c r="E26" t="s">
        <v>984</v>
      </c>
      <c r="F26">
        <v>15</v>
      </c>
      <c r="H26">
        <v>1783524097.25</v>
      </c>
      <c r="I26">
        <f t="shared" si="0"/>
        <v>1.8422619206575825E-3</v>
      </c>
      <c r="J26">
        <f t="shared" si="1"/>
        <v>1.8422619206575825</v>
      </c>
      <c r="K26">
        <f t="shared" si="2"/>
        <v>9.5765965529973958</v>
      </c>
      <c r="L26">
        <f t="shared" si="3"/>
        <v>420.03126666666662</v>
      </c>
      <c r="M26">
        <f t="shared" si="4"/>
        <v>310.59263137318806</v>
      </c>
      <c r="N26">
        <f t="shared" si="5"/>
        <v>30.416922088360302</v>
      </c>
      <c r="O26">
        <f t="shared" si="6"/>
        <v>41.134454015827572</v>
      </c>
      <c r="P26">
        <f t="shared" si="7"/>
        <v>0.15362793233956112</v>
      </c>
      <c r="Q26">
        <f t="shared" si="8"/>
        <v>2.8927653858077154</v>
      </c>
      <c r="R26">
        <f t="shared" si="9"/>
        <v>0.14923501923313606</v>
      </c>
      <c r="S26">
        <f t="shared" si="10"/>
        <v>9.3656109822202682E-2</v>
      </c>
      <c r="T26">
        <f t="shared" si="11"/>
        <v>32.482994632282917</v>
      </c>
      <c r="U26">
        <f t="shared" si="12"/>
        <v>23.942205303275557</v>
      </c>
      <c r="V26">
        <f t="shared" si="13"/>
        <v>24.94323</v>
      </c>
      <c r="W26">
        <f t="shared" si="14"/>
        <v>3.1689316319998726</v>
      </c>
      <c r="X26">
        <f t="shared" si="15"/>
        <v>65.579911946887009</v>
      </c>
      <c r="Y26">
        <f t="shared" si="16"/>
        <v>1.9918457644429926</v>
      </c>
      <c r="Z26">
        <f t="shared" si="17"/>
        <v>3.0372803276347535</v>
      </c>
      <c r="AA26">
        <f t="shared" si="18"/>
        <v>1.17708586755688</v>
      </c>
      <c r="AB26">
        <f t="shared" si="19"/>
        <v>-81.243750700999385</v>
      </c>
      <c r="AC26">
        <f t="shared" si="20"/>
        <v>-110.65250677294779</v>
      </c>
      <c r="AD26">
        <f t="shared" si="21"/>
        <v>-8.0576459157960176</v>
      </c>
      <c r="AE26">
        <f t="shared" si="22"/>
        <v>-167.47090875746028</v>
      </c>
      <c r="AF26">
        <f t="shared" si="23"/>
        <v>9.5765965529973958</v>
      </c>
      <c r="AG26">
        <f t="shared" si="24"/>
        <v>1.8422619206575825</v>
      </c>
      <c r="AH26">
        <f t="shared" si="25"/>
        <v>9.8331777640661553</v>
      </c>
      <c r="AI26">
        <v>440.4720304849659</v>
      </c>
      <c r="AJ26">
        <v>428.6496848484847</v>
      </c>
      <c r="AK26">
        <v>-3.6812608310101441E-2</v>
      </c>
      <c r="AL26">
        <v>67.033656323629543</v>
      </c>
      <c r="AM26">
        <f t="shared" si="26"/>
        <v>1.7261799835301559</v>
      </c>
      <c r="AN26">
        <v>18.171633239437242</v>
      </c>
      <c r="AO26">
        <v>20.257856969696959</v>
      </c>
      <c r="AP26">
        <v>-9.1418528138457848E-3</v>
      </c>
      <c r="AQ26">
        <v>78.55</v>
      </c>
      <c r="AR26">
        <v>0</v>
      </c>
      <c r="AS26">
        <v>0</v>
      </c>
      <c r="AT26">
        <f t="shared" si="27"/>
        <v>1</v>
      </c>
      <c r="AU26">
        <f t="shared" si="28"/>
        <v>0</v>
      </c>
      <c r="AV26">
        <f t="shared" si="29"/>
        <v>52257.285453454526</v>
      </c>
      <c r="AW26" t="s">
        <v>948</v>
      </c>
      <c r="AX26">
        <v>5105.72</v>
      </c>
      <c r="AY26">
        <v>582.62941176470576</v>
      </c>
      <c r="AZ26">
        <v>2436.86</v>
      </c>
      <c r="BA26">
        <f t="shared" si="30"/>
        <v>0.76090977250859482</v>
      </c>
      <c r="BB26">
        <v>-2.6462146481794289</v>
      </c>
      <c r="BC26" t="s">
        <v>985</v>
      </c>
      <c r="BD26">
        <v>5091.6899999999996</v>
      </c>
      <c r="BE26">
        <v>738.39358823529403</v>
      </c>
      <c r="BF26">
        <v>1806.53</v>
      </c>
      <c r="BG26">
        <f t="shared" si="31"/>
        <v>0.59126414272926886</v>
      </c>
      <c r="BH26">
        <v>0.5</v>
      </c>
      <c r="BI26">
        <f t="shared" si="32"/>
        <v>168.2894099027373</v>
      </c>
      <c r="BJ26">
        <f t="shared" si="33"/>
        <v>9.5765965529973958</v>
      </c>
      <c r="BK26">
        <f t="shared" si="34"/>
        <v>49.751746838278251</v>
      </c>
      <c r="BL26">
        <f t="shared" si="35"/>
        <v>7.2629710973738548E-2</v>
      </c>
      <c r="BM26">
        <f t="shared" si="36"/>
        <v>0.34891753804254577</v>
      </c>
      <c r="BN26">
        <f t="shared" si="37"/>
        <v>537.76736652636851</v>
      </c>
      <c r="BO26" t="s">
        <v>407</v>
      </c>
      <c r="BP26">
        <v>0</v>
      </c>
      <c r="BQ26">
        <f t="shared" si="38"/>
        <v>537.76736652636851</v>
      </c>
      <c r="BR26">
        <f t="shared" si="39"/>
        <v>0.70232026784699486</v>
      </c>
      <c r="BS26">
        <f t="shared" si="40"/>
        <v>0.84187253280020624</v>
      </c>
      <c r="BT26">
        <f t="shared" si="41"/>
        <v>0.33191113950406048</v>
      </c>
      <c r="BU26">
        <f t="shared" si="42"/>
        <v>0.87273134928778806</v>
      </c>
      <c r="BV26">
        <f t="shared" si="43"/>
        <v>0.33994153909406538</v>
      </c>
      <c r="BW26">
        <f t="shared" si="44"/>
        <v>0.61313042546434571</v>
      </c>
      <c r="BX26">
        <f t="shared" si="45"/>
        <v>0.38686957453565429</v>
      </c>
      <c r="DG26">
        <f t="shared" si="46"/>
        <v>199.99696666666671</v>
      </c>
      <c r="DH26">
        <f t="shared" si="47"/>
        <v>168.2894099027373</v>
      </c>
      <c r="DI26">
        <f t="shared" si="48"/>
        <v>0.84145981165416306</v>
      </c>
      <c r="DJ26">
        <f t="shared" si="49"/>
        <v>0.16241743649253468</v>
      </c>
      <c r="DK26">
        <v>6</v>
      </c>
      <c r="DL26">
        <v>0.5</v>
      </c>
      <c r="DM26" t="s">
        <v>408</v>
      </c>
      <c r="DN26">
        <v>2</v>
      </c>
      <c r="DO26" t="b">
        <v>0</v>
      </c>
      <c r="DP26">
        <v>1783524097.25</v>
      </c>
      <c r="DQ26">
        <v>420.03126666666662</v>
      </c>
      <c r="DR26">
        <v>432.45123333333328</v>
      </c>
      <c r="DS26">
        <v>20.339093333333331</v>
      </c>
      <c r="DT26">
        <v>18.173433333333339</v>
      </c>
      <c r="DU26">
        <v>425.55866666666662</v>
      </c>
      <c r="DV26">
        <v>20.85322</v>
      </c>
      <c r="DW26">
        <v>500.02086666666668</v>
      </c>
      <c r="DX26">
        <v>97.881980000000013</v>
      </c>
      <c r="DY26">
        <v>4.9905743333333343E-2</v>
      </c>
      <c r="DZ26">
        <v>24.233713333333331</v>
      </c>
      <c r="EA26">
        <v>24.94323</v>
      </c>
      <c r="EB26">
        <v>999.9000000000002</v>
      </c>
      <c r="EC26">
        <v>0</v>
      </c>
      <c r="ED26">
        <v>0</v>
      </c>
      <c r="EE26">
        <v>10003.66666666667</v>
      </c>
      <c r="EF26">
        <v>0</v>
      </c>
      <c r="EG26">
        <v>867.75496666666663</v>
      </c>
      <c r="EH26">
        <v>-12.41997666666667</v>
      </c>
      <c r="EI26">
        <v>428.75160000000011</v>
      </c>
      <c r="EJ26">
        <v>440.4557333333334</v>
      </c>
      <c r="EK26">
        <v>2.1656529999999998</v>
      </c>
      <c r="EL26">
        <v>432.45123333333328</v>
      </c>
      <c r="EM26">
        <v>18.173433333333339</v>
      </c>
      <c r="EN26">
        <v>1.9908296666666661</v>
      </c>
      <c r="EO26">
        <v>1.7788516666666669</v>
      </c>
      <c r="EP26">
        <v>17.371546666666671</v>
      </c>
      <c r="EQ26">
        <v>15.602183333333331</v>
      </c>
      <c r="ER26">
        <v>199.99696666666671</v>
      </c>
      <c r="ES26">
        <v>0.95009153333333329</v>
      </c>
      <c r="ET26">
        <v>4.9908193333333323E-2</v>
      </c>
      <c r="EU26">
        <v>0</v>
      </c>
      <c r="EV26">
        <v>738.50396666666666</v>
      </c>
      <c r="EW26">
        <v>5.0010700000000003</v>
      </c>
      <c r="EX26">
        <v>6185.6863333333313</v>
      </c>
      <c r="EY26">
        <v>1751.862666666666</v>
      </c>
      <c r="EZ26">
        <v>38.061999999999991</v>
      </c>
      <c r="FA26">
        <v>42.057866666666648</v>
      </c>
      <c r="FB26">
        <v>40.19959999999999</v>
      </c>
      <c r="FC26">
        <v>41.686999999999983</v>
      </c>
      <c r="FD26">
        <v>39.941199999999988</v>
      </c>
      <c r="FE26">
        <v>185.26533333333339</v>
      </c>
      <c r="FF26">
        <v>9.7320000000000011</v>
      </c>
      <c r="FG26">
        <v>0</v>
      </c>
      <c r="FH26">
        <v>181.79999995231631</v>
      </c>
      <c r="FI26">
        <v>0</v>
      </c>
      <c r="FJ26">
        <v>738.39358823529403</v>
      </c>
      <c r="FK26">
        <v>-1.922794122229013</v>
      </c>
      <c r="FL26">
        <v>-214.72549103757751</v>
      </c>
      <c r="FM26">
        <v>6177.115294117647</v>
      </c>
      <c r="FN26">
        <v>10</v>
      </c>
      <c r="FO26">
        <v>1783524016</v>
      </c>
      <c r="FP26" t="s">
        <v>986</v>
      </c>
      <c r="FQ26">
        <v>1783524010.5</v>
      </c>
      <c r="FR26">
        <v>1783524015.5</v>
      </c>
      <c r="FS26">
        <v>10</v>
      </c>
      <c r="FT26">
        <v>3.6999999999999998E-2</v>
      </c>
      <c r="FU26">
        <v>0.11</v>
      </c>
      <c r="FV26">
        <v>-5.5270000000000001</v>
      </c>
      <c r="FW26">
        <v>-0.44500000000000001</v>
      </c>
      <c r="FX26">
        <v>433</v>
      </c>
      <c r="FY26">
        <v>19</v>
      </c>
      <c r="FZ26">
        <v>0.77</v>
      </c>
      <c r="GA26">
        <v>0.17</v>
      </c>
      <c r="GB26">
        <v>420.03019354838699</v>
      </c>
      <c r="GC26">
        <v>-0.2811774193554285</v>
      </c>
      <c r="GD26">
        <v>7.1049015046108402E-2</v>
      </c>
      <c r="GE26">
        <v>-1</v>
      </c>
      <c r="GF26">
        <v>738.65776470588241</v>
      </c>
      <c r="GG26">
        <v>-3.1790374316397241</v>
      </c>
      <c r="GH26">
        <v>0.34468425951053688</v>
      </c>
      <c r="GI26">
        <v>1</v>
      </c>
      <c r="GJ26">
        <v>2.1711595121951222</v>
      </c>
      <c r="GK26">
        <v>-0.28346216027874449</v>
      </c>
      <c r="GL26">
        <v>5.7795442556051541E-2</v>
      </c>
      <c r="GM26">
        <v>1</v>
      </c>
      <c r="GN26">
        <v>2</v>
      </c>
      <c r="GO26">
        <v>2</v>
      </c>
      <c r="GP26" t="s">
        <v>423</v>
      </c>
      <c r="GQ26">
        <v>3.1305700000000001</v>
      </c>
      <c r="GR26">
        <v>2.72662</v>
      </c>
      <c r="GS26">
        <v>9.0881799999999999E-2</v>
      </c>
      <c r="GT26">
        <v>9.2643000000000003E-2</v>
      </c>
      <c r="GU26">
        <v>0.10040399999999999</v>
      </c>
      <c r="GV26">
        <v>9.1579099999999997E-2</v>
      </c>
      <c r="GW26">
        <v>22708.5</v>
      </c>
      <c r="GX26">
        <v>30414.2</v>
      </c>
      <c r="GY26">
        <v>27108.400000000001</v>
      </c>
      <c r="GZ26">
        <v>34487.199999999997</v>
      </c>
      <c r="HA26">
        <v>35732.300000000003</v>
      </c>
      <c r="HB26">
        <v>39781.9</v>
      </c>
      <c r="HC26">
        <v>40037.5</v>
      </c>
      <c r="HD26">
        <v>43869.4</v>
      </c>
      <c r="HE26">
        <v>1.9206000000000001</v>
      </c>
      <c r="HF26">
        <v>1.6464000000000001</v>
      </c>
      <c r="HG26">
        <v>-0.144094</v>
      </c>
      <c r="HH26">
        <v>0</v>
      </c>
      <c r="HI26">
        <v>27.301400000000001</v>
      </c>
      <c r="HJ26">
        <v>999.9</v>
      </c>
      <c r="HK26">
        <v>55.2</v>
      </c>
      <c r="HL26">
        <v>39.299999999999997</v>
      </c>
      <c r="HM26">
        <v>40.271999999999998</v>
      </c>
      <c r="HN26">
        <v>61.2</v>
      </c>
      <c r="HO26">
        <v>7.4879800000000003</v>
      </c>
      <c r="HP26">
        <v>1</v>
      </c>
      <c r="HQ26">
        <v>0.78928900000000002</v>
      </c>
      <c r="HR26">
        <v>7.9233099999999999</v>
      </c>
      <c r="HS26">
        <v>20.107199999999999</v>
      </c>
      <c r="HT26">
        <v>5.2077099999999996</v>
      </c>
      <c r="HU26">
        <v>11.914099999999999</v>
      </c>
      <c r="HV26">
        <v>4.9836</v>
      </c>
      <c r="HW26">
        <v>3.2709999999999999</v>
      </c>
      <c r="HX26">
        <v>9999</v>
      </c>
      <c r="HY26">
        <v>9999</v>
      </c>
      <c r="HZ26">
        <v>9999</v>
      </c>
      <c r="IA26">
        <v>999.9</v>
      </c>
      <c r="IB26">
        <v>1.86737</v>
      </c>
      <c r="IC26">
        <v>1.8631</v>
      </c>
      <c r="ID26">
        <v>1.8625799999999999</v>
      </c>
      <c r="IE26">
        <v>1.86206</v>
      </c>
      <c r="IF26">
        <v>1.8620300000000001</v>
      </c>
      <c r="IG26">
        <v>1.8626400000000001</v>
      </c>
      <c r="IH26">
        <v>1.8635600000000001</v>
      </c>
      <c r="II26">
        <v>1.8615699999999999</v>
      </c>
      <c r="IJ26">
        <v>0</v>
      </c>
      <c r="IK26">
        <v>0</v>
      </c>
      <c r="IL26">
        <v>0</v>
      </c>
      <c r="IM26">
        <v>4.5</v>
      </c>
      <c r="IN26" t="s">
        <v>411</v>
      </c>
      <c r="IO26" t="s">
        <v>412</v>
      </c>
      <c r="IP26" t="s">
        <v>413</v>
      </c>
      <c r="IQ26" t="s">
        <v>414</v>
      </c>
      <c r="IR26" t="s">
        <v>414</v>
      </c>
      <c r="IS26" t="s">
        <v>413</v>
      </c>
      <c r="IT26">
        <v>0</v>
      </c>
      <c r="IU26">
        <v>100</v>
      </c>
      <c r="IV26">
        <v>100</v>
      </c>
      <c r="IW26">
        <v>-5.5270000000000001</v>
      </c>
      <c r="IX26">
        <v>-0.51619999999999999</v>
      </c>
      <c r="IY26">
        <v>-5.5273999999999432</v>
      </c>
      <c r="IZ26">
        <v>0</v>
      </c>
      <c r="JA26">
        <v>0</v>
      </c>
      <c r="JB26">
        <v>0</v>
      </c>
      <c r="JC26">
        <v>-0.8222413170717493</v>
      </c>
      <c r="JD26">
        <v>2.7492919904454862E-4</v>
      </c>
      <c r="JE26">
        <v>8.6739513355948885E-4</v>
      </c>
      <c r="JF26">
        <v>-8.2500691715147318E-6</v>
      </c>
      <c r="JG26">
        <v>-1</v>
      </c>
      <c r="JH26">
        <v>-1</v>
      </c>
      <c r="JI26">
        <v>2</v>
      </c>
      <c r="JJ26">
        <v>37</v>
      </c>
      <c r="JK26">
        <v>1.6</v>
      </c>
      <c r="JL26">
        <v>1.5</v>
      </c>
      <c r="JM26">
        <v>1.08521</v>
      </c>
      <c r="JN26">
        <v>2.5427200000000001</v>
      </c>
      <c r="JO26">
        <v>1.50024</v>
      </c>
      <c r="JP26">
        <v>2.2717299999999998</v>
      </c>
      <c r="JQ26">
        <v>1.4477500000000001</v>
      </c>
      <c r="JR26">
        <v>2.4316399999999998</v>
      </c>
      <c r="JS26">
        <v>44.473500000000001</v>
      </c>
      <c r="JT26">
        <v>15.0777</v>
      </c>
      <c r="JU26">
        <v>18</v>
      </c>
      <c r="JV26">
        <v>532.16200000000003</v>
      </c>
      <c r="JW26">
        <v>371.084</v>
      </c>
      <c r="JX26">
        <v>19.7182</v>
      </c>
      <c r="JY26">
        <v>36.569800000000001</v>
      </c>
      <c r="JZ26">
        <v>30.000699999999998</v>
      </c>
      <c r="KA26">
        <v>36.583199999999998</v>
      </c>
      <c r="KB26">
        <v>36.751600000000003</v>
      </c>
      <c r="KC26">
        <v>21.696000000000002</v>
      </c>
      <c r="KD26">
        <v>55.405200000000001</v>
      </c>
      <c r="KE26">
        <v>0</v>
      </c>
      <c r="KF26">
        <v>19.7425</v>
      </c>
      <c r="KG26">
        <v>432.37700000000001</v>
      </c>
      <c r="KH26">
        <v>18.116599999999998</v>
      </c>
      <c r="KI26">
        <v>100.05800000000001</v>
      </c>
      <c r="KJ26">
        <v>98.589299999999994</v>
      </c>
    </row>
    <row r="27" spans="1:296" x14ac:dyDescent="0.3">
      <c r="A27">
        <v>11</v>
      </c>
      <c r="B27">
        <v>1783524287.5</v>
      </c>
      <c r="C27">
        <v>1846.400000095367</v>
      </c>
      <c r="D27" t="s">
        <v>987</v>
      </c>
      <c r="E27" t="s">
        <v>988</v>
      </c>
      <c r="F27">
        <v>15</v>
      </c>
      <c r="H27">
        <v>1783524279.5</v>
      </c>
      <c r="I27">
        <f t="shared" si="0"/>
        <v>1.0458279394523517E-3</v>
      </c>
      <c r="J27">
        <f t="shared" si="1"/>
        <v>1.0458279394523518</v>
      </c>
      <c r="K27">
        <f t="shared" si="2"/>
        <v>4.27973867729128</v>
      </c>
      <c r="L27">
        <f t="shared" si="3"/>
        <v>420.08093548387092</v>
      </c>
      <c r="M27">
        <f t="shared" si="4"/>
        <v>329.02989681087439</v>
      </c>
      <c r="N27">
        <f t="shared" si="5"/>
        <v>32.221657617723672</v>
      </c>
      <c r="O27">
        <f t="shared" si="6"/>
        <v>41.138219371823979</v>
      </c>
      <c r="P27">
        <f t="shared" si="7"/>
        <v>8.3211807565751403E-2</v>
      </c>
      <c r="Q27">
        <f t="shared" si="8"/>
        <v>2.8921457724536568</v>
      </c>
      <c r="R27">
        <f t="shared" si="9"/>
        <v>8.1904281982407734E-2</v>
      </c>
      <c r="S27">
        <f t="shared" si="10"/>
        <v>5.1305940760858586E-2</v>
      </c>
      <c r="T27">
        <f t="shared" si="11"/>
        <v>16.509029513112278</v>
      </c>
      <c r="U27">
        <f t="shared" si="12"/>
        <v>24.21086590820849</v>
      </c>
      <c r="V27">
        <f t="shared" si="13"/>
        <v>25.08550967741936</v>
      </c>
      <c r="W27">
        <f t="shared" si="14"/>
        <v>3.1959237689710935</v>
      </c>
      <c r="X27">
        <f t="shared" si="15"/>
        <v>64.541651653426797</v>
      </c>
      <c r="Y27">
        <f t="shared" si="16"/>
        <v>1.978510216546963</v>
      </c>
      <c r="Z27">
        <f t="shared" si="17"/>
        <v>3.0654781305738634</v>
      </c>
      <c r="AA27">
        <f t="shared" si="18"/>
        <v>1.2174135524241305</v>
      </c>
      <c r="AB27">
        <f t="shared" si="19"/>
        <v>-46.121012129848708</v>
      </c>
      <c r="AC27">
        <f t="shared" si="20"/>
        <v>-108.77023977610402</v>
      </c>
      <c r="AD27">
        <f t="shared" si="21"/>
        <v>-7.9341219567292907</v>
      </c>
      <c r="AE27">
        <f t="shared" si="22"/>
        <v>-146.31634434956973</v>
      </c>
      <c r="AF27">
        <f t="shared" si="23"/>
        <v>4.27973867729128</v>
      </c>
      <c r="AG27">
        <f t="shared" si="24"/>
        <v>1.0458279394523518</v>
      </c>
      <c r="AH27">
        <f t="shared" si="25"/>
        <v>4.2244220722963544</v>
      </c>
      <c r="AI27">
        <v>433.84550217323891</v>
      </c>
      <c r="AJ27">
        <v>428.67549696969672</v>
      </c>
      <c r="AK27">
        <v>4.0304075134218559E-4</v>
      </c>
      <c r="AL27">
        <v>67.033840873612277</v>
      </c>
      <c r="AM27">
        <f t="shared" si="26"/>
        <v>1.0431083389947295</v>
      </c>
      <c r="AN27">
        <v>18.97231706129871</v>
      </c>
      <c r="AO27">
        <v>20.19955696969696</v>
      </c>
      <c r="AP27">
        <v>-1.080407160407104E-4</v>
      </c>
      <c r="AQ27">
        <v>78.55</v>
      </c>
      <c r="AR27">
        <v>0</v>
      </c>
      <c r="AS27">
        <v>0</v>
      </c>
      <c r="AT27">
        <f t="shared" si="27"/>
        <v>1</v>
      </c>
      <c r="AU27">
        <f t="shared" si="28"/>
        <v>0</v>
      </c>
      <c r="AV27">
        <f t="shared" si="29"/>
        <v>52212.259876932294</v>
      </c>
      <c r="AW27" t="s">
        <v>948</v>
      </c>
      <c r="AX27">
        <v>5105.72</v>
      </c>
      <c r="AY27">
        <v>582.62941176470576</v>
      </c>
      <c r="AZ27">
        <v>2436.86</v>
      </c>
      <c r="BA27">
        <f t="shared" si="30"/>
        <v>0.76090977250859482</v>
      </c>
      <c r="BB27">
        <v>-2.6462146481794289</v>
      </c>
      <c r="BC27" t="s">
        <v>989</v>
      </c>
      <c r="BD27">
        <v>5092.1499999999996</v>
      </c>
      <c r="BE27">
        <v>726.73664705882345</v>
      </c>
      <c r="BF27">
        <v>2078.58</v>
      </c>
      <c r="BG27">
        <f t="shared" si="31"/>
        <v>0.65036869061627489</v>
      </c>
      <c r="BH27">
        <v>0.5</v>
      </c>
      <c r="BI27">
        <f t="shared" si="32"/>
        <v>84.277904677026243</v>
      </c>
      <c r="BJ27">
        <f t="shared" si="33"/>
        <v>4.27973867729128</v>
      </c>
      <c r="BK27">
        <f t="shared" si="34"/>
        <v>27.405855256340395</v>
      </c>
      <c r="BL27">
        <f t="shared" si="35"/>
        <v>8.2179942085801413E-2</v>
      </c>
      <c r="BM27">
        <f t="shared" si="36"/>
        <v>0.17236767408519288</v>
      </c>
      <c r="BN27">
        <f t="shared" si="37"/>
        <v>559.56878400192852</v>
      </c>
      <c r="BO27" t="s">
        <v>407</v>
      </c>
      <c r="BP27">
        <v>0</v>
      </c>
      <c r="BQ27">
        <f t="shared" si="38"/>
        <v>559.56878400192852</v>
      </c>
      <c r="BR27">
        <f t="shared" si="39"/>
        <v>0.73079276044129715</v>
      </c>
      <c r="BS27">
        <f t="shared" si="40"/>
        <v>0.8899495531722873</v>
      </c>
      <c r="BT27">
        <f t="shared" si="41"/>
        <v>0.19084945209713711</v>
      </c>
      <c r="BU27">
        <f t="shared" si="42"/>
        <v>0.90366845240248572</v>
      </c>
      <c r="BV27">
        <f t="shared" si="43"/>
        <v>0.19322300164456996</v>
      </c>
      <c r="BW27">
        <f t="shared" si="44"/>
        <v>0.68523858168854446</v>
      </c>
      <c r="BX27">
        <f t="shared" si="45"/>
        <v>0.31476141831145554</v>
      </c>
      <c r="DG27">
        <f t="shared" si="46"/>
        <v>99.991329032258051</v>
      </c>
      <c r="DH27">
        <f t="shared" si="47"/>
        <v>84.277904677026243</v>
      </c>
      <c r="DI27">
        <f t="shared" si="48"/>
        <v>0.842852130206585</v>
      </c>
      <c r="DJ27">
        <f t="shared" si="49"/>
        <v>0.16510461129870896</v>
      </c>
      <c r="DK27">
        <v>6</v>
      </c>
      <c r="DL27">
        <v>0.5</v>
      </c>
      <c r="DM27" t="s">
        <v>408</v>
      </c>
      <c r="DN27">
        <v>2</v>
      </c>
      <c r="DO27" t="b">
        <v>0</v>
      </c>
      <c r="DP27">
        <v>1783524279.5</v>
      </c>
      <c r="DQ27">
        <v>420.08093548387092</v>
      </c>
      <c r="DR27">
        <v>425.74438709677412</v>
      </c>
      <c r="DS27">
        <v>20.203461290322579</v>
      </c>
      <c r="DT27">
        <v>18.973700000000001</v>
      </c>
      <c r="DU27">
        <v>425.6833870967742</v>
      </c>
      <c r="DV27">
        <v>20.72096451612903</v>
      </c>
      <c r="DW27">
        <v>499.95</v>
      </c>
      <c r="DX27">
        <v>97.876732258064536</v>
      </c>
      <c r="DY27">
        <v>5.2537787096774202E-2</v>
      </c>
      <c r="DZ27">
        <v>24.387912903225811</v>
      </c>
      <c r="EA27">
        <v>25.08550967741936</v>
      </c>
      <c r="EB27">
        <v>999.90000000000032</v>
      </c>
      <c r="EC27">
        <v>0</v>
      </c>
      <c r="ED27">
        <v>0</v>
      </c>
      <c r="EE27">
        <v>10000.64516129032</v>
      </c>
      <c r="EF27">
        <v>0</v>
      </c>
      <c r="EG27">
        <v>896.93722580645169</v>
      </c>
      <c r="EH27">
        <v>-5.6633670967741931</v>
      </c>
      <c r="EI27">
        <v>428.74319354838713</v>
      </c>
      <c r="EJ27">
        <v>433.97848387096769</v>
      </c>
      <c r="EK27">
        <v>1.229764516129032</v>
      </c>
      <c r="EL27">
        <v>425.74438709677412</v>
      </c>
      <c r="EM27">
        <v>18.973700000000001</v>
      </c>
      <c r="EN27">
        <v>1.9774487096774189</v>
      </c>
      <c r="EO27">
        <v>1.857083225806452</v>
      </c>
      <c r="EP27">
        <v>17.264896774193549</v>
      </c>
      <c r="EQ27">
        <v>16.275729032258059</v>
      </c>
      <c r="ER27">
        <v>99.991329032258051</v>
      </c>
      <c r="ES27">
        <v>0.89991567741935496</v>
      </c>
      <c r="ET27">
        <v>0.1000844096774194</v>
      </c>
      <c r="EU27">
        <v>0</v>
      </c>
      <c r="EV27">
        <v>726.95964516129027</v>
      </c>
      <c r="EW27">
        <v>5.0010700000000003</v>
      </c>
      <c r="EX27">
        <v>5225.5535483870972</v>
      </c>
      <c r="EY27">
        <v>836.46654838709674</v>
      </c>
      <c r="EZ27">
        <v>37.875</v>
      </c>
      <c r="FA27">
        <v>42.122967741935483</v>
      </c>
      <c r="FB27">
        <v>40.102645161290319</v>
      </c>
      <c r="FC27">
        <v>41.811999999999983</v>
      </c>
      <c r="FD27">
        <v>39.644935483870967</v>
      </c>
      <c r="FE27">
        <v>85.482580645161292</v>
      </c>
      <c r="FF27">
        <v>9.5061290322580643</v>
      </c>
      <c r="FG27">
        <v>0</v>
      </c>
      <c r="FH27">
        <v>182.19999980926511</v>
      </c>
      <c r="FI27">
        <v>0</v>
      </c>
      <c r="FJ27">
        <v>726.73664705882345</v>
      </c>
      <c r="FK27">
        <v>-5.8188725763678546</v>
      </c>
      <c r="FL27">
        <v>-176.4264733532471</v>
      </c>
      <c r="FM27">
        <v>5198.6341176470578</v>
      </c>
      <c r="FN27">
        <v>10</v>
      </c>
      <c r="FO27">
        <v>1783524197</v>
      </c>
      <c r="FP27" t="s">
        <v>990</v>
      </c>
      <c r="FQ27">
        <v>1783524192.5</v>
      </c>
      <c r="FR27">
        <v>1783524196.5</v>
      </c>
      <c r="FS27">
        <v>11</v>
      </c>
      <c r="FT27">
        <v>-7.4999999999999997E-2</v>
      </c>
      <c r="FU27">
        <v>0.109</v>
      </c>
      <c r="FV27">
        <v>-5.6020000000000003</v>
      </c>
      <c r="FW27">
        <v>-0.44700000000000001</v>
      </c>
      <c r="FX27">
        <v>425</v>
      </c>
      <c r="FY27">
        <v>19</v>
      </c>
      <c r="FZ27">
        <v>1.63</v>
      </c>
      <c r="GA27">
        <v>0.19</v>
      </c>
      <c r="GB27">
        <v>420.08249999999992</v>
      </c>
      <c r="GC27">
        <v>-0.53293882091181677</v>
      </c>
      <c r="GD27">
        <v>6.664920604678326E-2</v>
      </c>
      <c r="GE27">
        <v>-1</v>
      </c>
      <c r="GF27">
        <v>727.15441176470597</v>
      </c>
      <c r="GG27">
        <v>-4.7718563841239314</v>
      </c>
      <c r="GH27">
        <v>0.54591424222270701</v>
      </c>
      <c r="GI27">
        <v>1</v>
      </c>
      <c r="GJ27">
        <v>1.2348725</v>
      </c>
      <c r="GK27">
        <v>-0.1077478424015042</v>
      </c>
      <c r="GL27">
        <v>1.1625355209626931E-2</v>
      </c>
      <c r="GM27">
        <v>1</v>
      </c>
      <c r="GN27">
        <v>2</v>
      </c>
      <c r="GO27">
        <v>2</v>
      </c>
      <c r="GP27" t="s">
        <v>423</v>
      </c>
      <c r="GQ27">
        <v>3.1310099999999998</v>
      </c>
      <c r="GR27">
        <v>2.72628</v>
      </c>
      <c r="GS27">
        <v>9.0873700000000002E-2</v>
      </c>
      <c r="GT27">
        <v>9.1528600000000002E-2</v>
      </c>
      <c r="GU27">
        <v>0.10016600000000001</v>
      </c>
      <c r="GV27">
        <v>9.4473799999999997E-2</v>
      </c>
      <c r="GW27">
        <v>22707</v>
      </c>
      <c r="GX27">
        <v>30450.5</v>
      </c>
      <c r="GY27">
        <v>27106.6</v>
      </c>
      <c r="GZ27">
        <v>34486.199999999997</v>
      </c>
      <c r="HA27">
        <v>35739.699999999997</v>
      </c>
      <c r="HB27">
        <v>39655.699999999997</v>
      </c>
      <c r="HC27">
        <v>40035</v>
      </c>
      <c r="HD27">
        <v>43869.7</v>
      </c>
      <c r="HE27">
        <v>1.9188000000000001</v>
      </c>
      <c r="HF27">
        <v>1.6452</v>
      </c>
      <c r="HG27">
        <v>-0.136793</v>
      </c>
      <c r="HH27">
        <v>0</v>
      </c>
      <c r="HI27">
        <v>27.357099999999999</v>
      </c>
      <c r="HJ27">
        <v>999.9</v>
      </c>
      <c r="HK27">
        <v>55</v>
      </c>
      <c r="HL27">
        <v>39.5</v>
      </c>
      <c r="HM27">
        <v>40.557899999999997</v>
      </c>
      <c r="HN27">
        <v>61.150100000000002</v>
      </c>
      <c r="HO27">
        <v>7.1915100000000001</v>
      </c>
      <c r="HP27">
        <v>1</v>
      </c>
      <c r="HQ27">
        <v>0.80109799999999998</v>
      </c>
      <c r="HR27">
        <v>9.2810500000000005</v>
      </c>
      <c r="HS27">
        <v>20.041899999999998</v>
      </c>
      <c r="HT27">
        <v>5.2112999999999996</v>
      </c>
      <c r="HU27">
        <v>11.914099999999999</v>
      </c>
      <c r="HV27">
        <v>4.9847999999999999</v>
      </c>
      <c r="HW27">
        <v>3.2709999999999999</v>
      </c>
      <c r="HX27">
        <v>9999</v>
      </c>
      <c r="HY27">
        <v>9999</v>
      </c>
      <c r="HZ27">
        <v>9999</v>
      </c>
      <c r="IA27">
        <v>999.9</v>
      </c>
      <c r="IB27">
        <v>1.86737</v>
      </c>
      <c r="IC27">
        <v>1.86304</v>
      </c>
      <c r="ID27">
        <v>1.86252</v>
      </c>
      <c r="IE27">
        <v>1.86206</v>
      </c>
      <c r="IF27">
        <v>1.8620300000000001</v>
      </c>
      <c r="IG27">
        <v>1.8626400000000001</v>
      </c>
      <c r="IH27">
        <v>1.8635600000000001</v>
      </c>
      <c r="II27">
        <v>1.8615699999999999</v>
      </c>
      <c r="IJ27">
        <v>0</v>
      </c>
      <c r="IK27">
        <v>0</v>
      </c>
      <c r="IL27">
        <v>0</v>
      </c>
      <c r="IM27">
        <v>4.5</v>
      </c>
      <c r="IN27" t="s">
        <v>411</v>
      </c>
      <c r="IO27" t="s">
        <v>412</v>
      </c>
      <c r="IP27" t="s">
        <v>413</v>
      </c>
      <c r="IQ27" t="s">
        <v>414</v>
      </c>
      <c r="IR27" t="s">
        <v>414</v>
      </c>
      <c r="IS27" t="s">
        <v>413</v>
      </c>
      <c r="IT27">
        <v>0</v>
      </c>
      <c r="IU27">
        <v>100</v>
      </c>
      <c r="IV27">
        <v>100</v>
      </c>
      <c r="IW27">
        <v>-5.6020000000000003</v>
      </c>
      <c r="IX27">
        <v>-0.51770000000000005</v>
      </c>
      <c r="IY27">
        <v>-5.6024000000000456</v>
      </c>
      <c r="IZ27">
        <v>0</v>
      </c>
      <c r="JA27">
        <v>0</v>
      </c>
      <c r="JB27">
        <v>0</v>
      </c>
      <c r="JC27">
        <v>-0.8222413170717493</v>
      </c>
      <c r="JD27">
        <v>2.7492919904454862E-4</v>
      </c>
      <c r="JE27">
        <v>8.6739513355948885E-4</v>
      </c>
      <c r="JF27">
        <v>-8.2500691715147318E-6</v>
      </c>
      <c r="JG27">
        <v>-1</v>
      </c>
      <c r="JH27">
        <v>-1</v>
      </c>
      <c r="JI27">
        <v>2</v>
      </c>
      <c r="JJ27">
        <v>37</v>
      </c>
      <c r="JK27">
        <v>1.6</v>
      </c>
      <c r="JL27">
        <v>1.5</v>
      </c>
      <c r="JM27">
        <v>1.07178</v>
      </c>
      <c r="JN27">
        <v>2.5354000000000001</v>
      </c>
      <c r="JO27">
        <v>1.50024</v>
      </c>
      <c r="JP27">
        <v>2.2717299999999998</v>
      </c>
      <c r="JQ27">
        <v>1.4477500000000001</v>
      </c>
      <c r="JR27">
        <v>2.4584999999999999</v>
      </c>
      <c r="JS27">
        <v>44.641199999999998</v>
      </c>
      <c r="JT27">
        <v>14.998900000000001</v>
      </c>
      <c r="JU27">
        <v>18</v>
      </c>
      <c r="JV27">
        <v>531.58299999999997</v>
      </c>
      <c r="JW27">
        <v>370.86700000000002</v>
      </c>
      <c r="JX27">
        <v>19.183399999999999</v>
      </c>
      <c r="JY27">
        <v>36.624499999999998</v>
      </c>
      <c r="JZ27">
        <v>30.000299999999999</v>
      </c>
      <c r="KA27">
        <v>36.663699999999999</v>
      </c>
      <c r="KB27">
        <v>36.834800000000001</v>
      </c>
      <c r="KC27">
        <v>21.4407</v>
      </c>
      <c r="KD27">
        <v>54.193600000000004</v>
      </c>
      <c r="KE27">
        <v>0</v>
      </c>
      <c r="KF27">
        <v>19.064900000000002</v>
      </c>
      <c r="KG27">
        <v>425.714</v>
      </c>
      <c r="KH27">
        <v>19.0169</v>
      </c>
      <c r="KI27">
        <v>100.051</v>
      </c>
      <c r="KJ27">
        <v>98.588499999999996</v>
      </c>
    </row>
    <row r="28" spans="1:296" x14ac:dyDescent="0.3">
      <c r="A28">
        <v>12</v>
      </c>
      <c r="B28">
        <v>1783524470.0999999</v>
      </c>
      <c r="C28">
        <v>2029</v>
      </c>
      <c r="D28" t="s">
        <v>991</v>
      </c>
      <c r="E28" t="s">
        <v>992</v>
      </c>
      <c r="F28">
        <v>15</v>
      </c>
      <c r="H28">
        <v>1783524462.099999</v>
      </c>
      <c r="I28">
        <f t="shared" si="0"/>
        <v>8.3475605930473037E-4</v>
      </c>
      <c r="J28">
        <f t="shared" si="1"/>
        <v>0.8347560593047304</v>
      </c>
      <c r="K28">
        <f t="shared" si="2"/>
        <v>0.39323209179376872</v>
      </c>
      <c r="L28">
        <f t="shared" si="3"/>
        <v>420.05735483870973</v>
      </c>
      <c r="M28">
        <f t="shared" si="4"/>
        <v>401.98167491443303</v>
      </c>
      <c r="N28">
        <f t="shared" si="5"/>
        <v>39.366823298576158</v>
      </c>
      <c r="O28">
        <f t="shared" si="6"/>
        <v>41.137008712456257</v>
      </c>
      <c r="P28">
        <f t="shared" si="7"/>
        <v>6.5883520562018683E-2</v>
      </c>
      <c r="Q28">
        <f t="shared" si="8"/>
        <v>2.8919878412963178</v>
      </c>
      <c r="R28">
        <f t="shared" si="9"/>
        <v>6.5060913468499737E-2</v>
      </c>
      <c r="S28">
        <f t="shared" si="10"/>
        <v>4.0736123089928113E-2</v>
      </c>
      <c r="T28">
        <f t="shared" si="11"/>
        <v>8.2405208310100999</v>
      </c>
      <c r="U28">
        <f t="shared" si="12"/>
        <v>24.187634915430454</v>
      </c>
      <c r="V28">
        <f t="shared" si="13"/>
        <v>25.14722903225806</v>
      </c>
      <c r="W28">
        <f t="shared" si="14"/>
        <v>3.2076949968949311</v>
      </c>
      <c r="X28">
        <f t="shared" si="15"/>
        <v>64.851321555948658</v>
      </c>
      <c r="Y28">
        <f t="shared" si="16"/>
        <v>1.9845008860042677</v>
      </c>
      <c r="Z28">
        <f t="shared" si="17"/>
        <v>3.0600777877628835</v>
      </c>
      <c r="AA28">
        <f t="shared" si="18"/>
        <v>1.2231941108906634</v>
      </c>
      <c r="AB28">
        <f t="shared" si="19"/>
        <v>-36.812742215338609</v>
      </c>
      <c r="AC28">
        <f t="shared" si="20"/>
        <v>-122.97651072668432</v>
      </c>
      <c r="AD28">
        <f t="shared" si="21"/>
        <v>-8.972334759922223</v>
      </c>
      <c r="AE28">
        <f t="shared" si="22"/>
        <v>-160.52106687093504</v>
      </c>
      <c r="AF28">
        <f t="shared" si="23"/>
        <v>0.39323209179376872</v>
      </c>
      <c r="AG28">
        <f t="shared" si="24"/>
        <v>0.8347560593047304</v>
      </c>
      <c r="AH28">
        <f t="shared" si="25"/>
        <v>0.31587278434644078</v>
      </c>
      <c r="AI28">
        <v>429.22377590602582</v>
      </c>
      <c r="AJ28">
        <v>428.82106666666658</v>
      </c>
      <c r="AK28">
        <v>3.0657281428787368E-3</v>
      </c>
      <c r="AL28">
        <v>66.999465853998004</v>
      </c>
      <c r="AM28">
        <f t="shared" si="26"/>
        <v>0.81475819241573333</v>
      </c>
      <c r="AN28">
        <v>19.288709519872189</v>
      </c>
      <c r="AO28">
        <v>20.246817575757571</v>
      </c>
      <c r="AP28">
        <v>-4.9481070295649601E-5</v>
      </c>
      <c r="AQ28">
        <v>78.152015993478315</v>
      </c>
      <c r="AR28">
        <v>0</v>
      </c>
      <c r="AS28">
        <v>0</v>
      </c>
      <c r="AT28">
        <f t="shared" si="27"/>
        <v>1</v>
      </c>
      <c r="AU28">
        <f t="shared" si="28"/>
        <v>0</v>
      </c>
      <c r="AV28">
        <f t="shared" si="29"/>
        <v>52212.969385474731</v>
      </c>
      <c r="AW28" t="s">
        <v>948</v>
      </c>
      <c r="AX28">
        <v>5105.72</v>
      </c>
      <c r="AY28">
        <v>582.62941176470576</v>
      </c>
      <c r="AZ28">
        <v>2436.86</v>
      </c>
      <c r="BA28">
        <f t="shared" si="30"/>
        <v>0.76090977250859482</v>
      </c>
      <c r="BB28">
        <v>-2.6462146481794289</v>
      </c>
      <c r="BC28" t="s">
        <v>993</v>
      </c>
      <c r="BD28">
        <v>5088.1899999999996</v>
      </c>
      <c r="BE28">
        <v>680.14929411764695</v>
      </c>
      <c r="BF28">
        <v>2179.71</v>
      </c>
      <c r="BG28">
        <f t="shared" si="31"/>
        <v>0.68796340149944402</v>
      </c>
      <c r="BH28">
        <v>0.5</v>
      </c>
      <c r="BI28">
        <f t="shared" si="32"/>
        <v>42.133589978293713</v>
      </c>
      <c r="BJ28">
        <f t="shared" si="33"/>
        <v>0.39323209179376872</v>
      </c>
      <c r="BK28">
        <f t="shared" si="34"/>
        <v>14.493183939424915</v>
      </c>
      <c r="BL28">
        <f t="shared" si="35"/>
        <v>7.2138328149560782E-2</v>
      </c>
      <c r="BM28">
        <f t="shared" si="36"/>
        <v>0.1179744094397879</v>
      </c>
      <c r="BN28">
        <f t="shared" si="37"/>
        <v>566.64628717770347</v>
      </c>
      <c r="BO28" t="s">
        <v>407</v>
      </c>
      <c r="BP28">
        <v>0</v>
      </c>
      <c r="BQ28">
        <f t="shared" si="38"/>
        <v>566.64628717770347</v>
      </c>
      <c r="BR28">
        <f t="shared" si="39"/>
        <v>0.74003592809240515</v>
      </c>
      <c r="BS28">
        <f t="shared" si="40"/>
        <v>0.92963513713828883</v>
      </c>
      <c r="BT28">
        <f t="shared" si="41"/>
        <v>0.13749765507383693</v>
      </c>
      <c r="BU28">
        <f t="shared" si="42"/>
        <v>0.93893865903116602</v>
      </c>
      <c r="BV28">
        <f t="shared" si="43"/>
        <v>0.1386828594197308</v>
      </c>
      <c r="BW28">
        <f t="shared" si="44"/>
        <v>0.77449804542211176</v>
      </c>
      <c r="BX28">
        <f t="shared" si="45"/>
        <v>0.22550195457788824</v>
      </c>
      <c r="DG28">
        <f t="shared" si="46"/>
        <v>49.998158064516133</v>
      </c>
      <c r="DH28">
        <f t="shared" si="47"/>
        <v>42.133589978293713</v>
      </c>
      <c r="DI28">
        <f t="shared" si="48"/>
        <v>0.84270284365127579</v>
      </c>
      <c r="DJ28">
        <f t="shared" si="49"/>
        <v>0.16481648824696257</v>
      </c>
      <c r="DK28">
        <v>6</v>
      </c>
      <c r="DL28">
        <v>0.5</v>
      </c>
      <c r="DM28" t="s">
        <v>408</v>
      </c>
      <c r="DN28">
        <v>2</v>
      </c>
      <c r="DO28" t="b">
        <v>0</v>
      </c>
      <c r="DP28">
        <v>1783524462.099999</v>
      </c>
      <c r="DQ28">
        <v>420.05735483870973</v>
      </c>
      <c r="DR28">
        <v>420.94990322580639</v>
      </c>
      <c r="DS28">
        <v>20.264093548387091</v>
      </c>
      <c r="DT28">
        <v>19.282799999999991</v>
      </c>
      <c r="DU28">
        <v>425.52961290322588</v>
      </c>
      <c r="DV28">
        <v>20.780090322580641</v>
      </c>
      <c r="DW28">
        <v>500.05861290322582</v>
      </c>
      <c r="DX28">
        <v>97.880487096774203</v>
      </c>
      <c r="DY28">
        <v>5.1398248387096779E-2</v>
      </c>
      <c r="DZ28">
        <v>24.358477419354841</v>
      </c>
      <c r="EA28">
        <v>25.14722903225806</v>
      </c>
      <c r="EB28">
        <v>999.90000000000032</v>
      </c>
      <c r="EC28">
        <v>0</v>
      </c>
      <c r="ED28">
        <v>0</v>
      </c>
      <c r="EE28">
        <v>9999.354838709678</v>
      </c>
      <c r="EF28">
        <v>0</v>
      </c>
      <c r="EG28">
        <v>917.15232258064509</v>
      </c>
      <c r="EH28">
        <v>-0.8926056774193547</v>
      </c>
      <c r="EI28">
        <v>428.74558064516128</v>
      </c>
      <c r="EJ28">
        <v>429.2267419354838</v>
      </c>
      <c r="EK28">
        <v>0.98128896774193541</v>
      </c>
      <c r="EL28">
        <v>420.94990322580639</v>
      </c>
      <c r="EM28">
        <v>19.282799999999991</v>
      </c>
      <c r="EN28">
        <v>1.9834583870967739</v>
      </c>
      <c r="EO28">
        <v>1.8874090322580639</v>
      </c>
      <c r="EP28">
        <v>17.312903225806451</v>
      </c>
      <c r="EQ28">
        <v>16.530154838709681</v>
      </c>
      <c r="ER28">
        <v>49.998158064516133</v>
      </c>
      <c r="ES28">
        <v>0.89989277419354818</v>
      </c>
      <c r="ET28">
        <v>0.10010743548387099</v>
      </c>
      <c r="EU28">
        <v>0</v>
      </c>
      <c r="EV28">
        <v>680.35064516129046</v>
      </c>
      <c r="EW28">
        <v>5.0010700000000003</v>
      </c>
      <c r="EX28">
        <v>4790.945806451612</v>
      </c>
      <c r="EY28">
        <v>396.23232258064508</v>
      </c>
      <c r="EZ28">
        <v>37.662999999999997</v>
      </c>
      <c r="FA28">
        <v>41.805999999999983</v>
      </c>
      <c r="FB28">
        <v>39.889000000000003</v>
      </c>
      <c r="FC28">
        <v>41.52</v>
      </c>
      <c r="FD28">
        <v>39.604806451612887</v>
      </c>
      <c r="FE28">
        <v>40.491935483870982</v>
      </c>
      <c r="FF28">
        <v>4.5045161290322584</v>
      </c>
      <c r="FG28">
        <v>0</v>
      </c>
      <c r="FH28">
        <v>181.79999995231631</v>
      </c>
      <c r="FI28">
        <v>0</v>
      </c>
      <c r="FJ28">
        <v>680.14929411764695</v>
      </c>
      <c r="FK28">
        <v>-3.5169117607560239</v>
      </c>
      <c r="FL28">
        <v>789.15441641484961</v>
      </c>
      <c r="FM28">
        <v>4806.3664705882347</v>
      </c>
      <c r="FN28">
        <v>10</v>
      </c>
      <c r="FO28">
        <v>1783524383.5999999</v>
      </c>
      <c r="FP28" t="s">
        <v>994</v>
      </c>
      <c r="FQ28">
        <v>1783524381.5999999</v>
      </c>
      <c r="FR28">
        <v>1783524383.0999999</v>
      </c>
      <c r="FS28">
        <v>12</v>
      </c>
      <c r="FT28">
        <v>0.13</v>
      </c>
      <c r="FU28">
        <v>9.8000000000000004E-2</v>
      </c>
      <c r="FV28">
        <v>-5.4720000000000004</v>
      </c>
      <c r="FW28">
        <v>-0.443</v>
      </c>
      <c r="FX28">
        <v>420</v>
      </c>
      <c r="FY28">
        <v>19</v>
      </c>
      <c r="FZ28">
        <v>2.06</v>
      </c>
      <c r="GA28">
        <v>0.4</v>
      </c>
      <c r="GB28">
        <v>420.05735483870973</v>
      </c>
      <c r="GC28">
        <v>0.55988709677249182</v>
      </c>
      <c r="GD28">
        <v>7.3666882473477774E-2</v>
      </c>
      <c r="GE28">
        <v>-1</v>
      </c>
      <c r="GF28">
        <v>680.59067647058816</v>
      </c>
      <c r="GG28">
        <v>-4.3502368236839652</v>
      </c>
      <c r="GH28">
        <v>0.4764206446228299</v>
      </c>
      <c r="GI28">
        <v>1</v>
      </c>
      <c r="GJ28">
        <v>0.98652141463414633</v>
      </c>
      <c r="GK28">
        <v>-0.1376170871080151</v>
      </c>
      <c r="GL28">
        <v>1.399758427760184E-2</v>
      </c>
      <c r="GM28">
        <v>1</v>
      </c>
      <c r="GN28">
        <v>2</v>
      </c>
      <c r="GO28">
        <v>2</v>
      </c>
      <c r="GP28" t="s">
        <v>423</v>
      </c>
      <c r="GQ28">
        <v>3.1289500000000001</v>
      </c>
      <c r="GR28">
        <v>2.7254800000000001</v>
      </c>
      <c r="GS28">
        <v>9.0867900000000001E-2</v>
      </c>
      <c r="GT28">
        <v>9.0718699999999999E-2</v>
      </c>
      <c r="GU28">
        <v>0.100354</v>
      </c>
      <c r="GV28">
        <v>9.5551399999999995E-2</v>
      </c>
      <c r="GW28">
        <v>22703.8</v>
      </c>
      <c r="GX28">
        <v>30472.2</v>
      </c>
      <c r="GY28">
        <v>27102.799999999999</v>
      </c>
      <c r="GZ28">
        <v>34480.300000000003</v>
      </c>
      <c r="HA28">
        <v>35728.400000000001</v>
      </c>
      <c r="HB28">
        <v>39602.300000000003</v>
      </c>
      <c r="HC28">
        <v>40030.400000000001</v>
      </c>
      <c r="HD28">
        <v>43862.8</v>
      </c>
      <c r="HE28">
        <v>1.9164000000000001</v>
      </c>
      <c r="HF28">
        <v>1.6472</v>
      </c>
      <c r="HG28">
        <v>-0.13792499999999999</v>
      </c>
      <c r="HH28">
        <v>0</v>
      </c>
      <c r="HI28">
        <v>27.403600000000001</v>
      </c>
      <c r="HJ28">
        <v>999.9</v>
      </c>
      <c r="HK28">
        <v>54.8</v>
      </c>
      <c r="HL28">
        <v>39.6</v>
      </c>
      <c r="HM28">
        <v>40.631700000000002</v>
      </c>
      <c r="HN28">
        <v>61.264699999999998</v>
      </c>
      <c r="HO28">
        <v>7.4799699999999998</v>
      </c>
      <c r="HP28">
        <v>1</v>
      </c>
      <c r="HQ28">
        <v>0.80707300000000004</v>
      </c>
      <c r="HR28">
        <v>9.2810500000000005</v>
      </c>
      <c r="HS28">
        <v>20.044899999999998</v>
      </c>
      <c r="HT28">
        <v>5.2088999999999999</v>
      </c>
      <c r="HU28">
        <v>11.914099999999999</v>
      </c>
      <c r="HV28">
        <v>4.9836</v>
      </c>
      <c r="HW28">
        <v>3.2707999999999999</v>
      </c>
      <c r="HX28">
        <v>9999</v>
      </c>
      <c r="HY28">
        <v>9999</v>
      </c>
      <c r="HZ28">
        <v>9999</v>
      </c>
      <c r="IA28">
        <v>999.9</v>
      </c>
      <c r="IB28">
        <v>1.86737</v>
      </c>
      <c r="IC28">
        <v>1.86307</v>
      </c>
      <c r="ID28">
        <v>1.8625799999999999</v>
      </c>
      <c r="IE28">
        <v>1.8620300000000001</v>
      </c>
      <c r="IF28">
        <v>1.8620300000000001</v>
      </c>
      <c r="IG28">
        <v>1.8626400000000001</v>
      </c>
      <c r="IH28">
        <v>1.8635600000000001</v>
      </c>
      <c r="II28">
        <v>1.8615699999999999</v>
      </c>
      <c r="IJ28">
        <v>0</v>
      </c>
      <c r="IK28">
        <v>0</v>
      </c>
      <c r="IL28">
        <v>0</v>
      </c>
      <c r="IM28">
        <v>4.5</v>
      </c>
      <c r="IN28" t="s">
        <v>411</v>
      </c>
      <c r="IO28" t="s">
        <v>412</v>
      </c>
      <c r="IP28" t="s">
        <v>413</v>
      </c>
      <c r="IQ28" t="s">
        <v>414</v>
      </c>
      <c r="IR28" t="s">
        <v>414</v>
      </c>
      <c r="IS28" t="s">
        <v>413</v>
      </c>
      <c r="IT28">
        <v>0</v>
      </c>
      <c r="IU28">
        <v>100</v>
      </c>
      <c r="IV28">
        <v>100</v>
      </c>
      <c r="IW28">
        <v>-5.4729999999999999</v>
      </c>
      <c r="IX28">
        <v>-0.51629999999999998</v>
      </c>
      <c r="IY28">
        <v>-5.47223809523814</v>
      </c>
      <c r="IZ28">
        <v>0</v>
      </c>
      <c r="JA28">
        <v>0</v>
      </c>
      <c r="JB28">
        <v>0</v>
      </c>
      <c r="JC28">
        <v>-0.8222413170717493</v>
      </c>
      <c r="JD28">
        <v>2.7492919904454862E-4</v>
      </c>
      <c r="JE28">
        <v>8.6739513355948885E-4</v>
      </c>
      <c r="JF28">
        <v>-8.2500691715147318E-6</v>
      </c>
      <c r="JG28">
        <v>-1</v>
      </c>
      <c r="JH28">
        <v>-1</v>
      </c>
      <c r="JI28">
        <v>2</v>
      </c>
      <c r="JJ28">
        <v>37</v>
      </c>
      <c r="JK28">
        <v>1.5</v>
      </c>
      <c r="JL28">
        <v>1.4</v>
      </c>
      <c r="JM28">
        <v>1.0620099999999999</v>
      </c>
      <c r="JN28">
        <v>2.5366200000000001</v>
      </c>
      <c r="JO28">
        <v>1.50024</v>
      </c>
      <c r="JP28">
        <v>2.2705099999999998</v>
      </c>
      <c r="JQ28">
        <v>1.4477500000000001</v>
      </c>
      <c r="JR28">
        <v>2.4584999999999999</v>
      </c>
      <c r="JS28">
        <v>44.5852</v>
      </c>
      <c r="JT28">
        <v>14.9376</v>
      </c>
      <c r="JU28">
        <v>18</v>
      </c>
      <c r="JV28">
        <v>530.32399999999996</v>
      </c>
      <c r="JW28">
        <v>372.23099999999999</v>
      </c>
      <c r="JX28">
        <v>19.096</v>
      </c>
      <c r="JY28">
        <v>36.665599999999998</v>
      </c>
      <c r="JZ28">
        <v>30.000299999999999</v>
      </c>
      <c r="KA28">
        <v>36.708100000000002</v>
      </c>
      <c r="KB28">
        <v>36.8782</v>
      </c>
      <c r="KC28">
        <v>21.242999999999999</v>
      </c>
      <c r="KD28">
        <v>53.834699999999998</v>
      </c>
      <c r="KE28">
        <v>0</v>
      </c>
      <c r="KF28">
        <v>17.827100000000002</v>
      </c>
      <c r="KG28">
        <v>420.76799999999997</v>
      </c>
      <c r="KH28">
        <v>19.319299999999998</v>
      </c>
      <c r="KI28">
        <v>100.039</v>
      </c>
      <c r="KJ28">
        <v>98.572299999999998</v>
      </c>
    </row>
    <row r="29" spans="1:296" x14ac:dyDescent="0.3">
      <c r="A29">
        <v>13</v>
      </c>
      <c r="B29">
        <v>1783524652.5999999</v>
      </c>
      <c r="C29">
        <v>2211.5</v>
      </c>
      <c r="D29" t="s">
        <v>995</v>
      </c>
      <c r="E29" t="s">
        <v>996</v>
      </c>
      <c r="F29">
        <v>15</v>
      </c>
      <c r="H29">
        <v>1783524644.599999</v>
      </c>
      <c r="I29">
        <f t="shared" si="0"/>
        <v>4.401141958830605E-4</v>
      </c>
      <c r="J29">
        <f t="shared" si="1"/>
        <v>0.4401141958830605</v>
      </c>
      <c r="K29">
        <f t="shared" si="2"/>
        <v>-4.3047851237252033</v>
      </c>
      <c r="L29">
        <f t="shared" si="3"/>
        <v>420.0261290322581</v>
      </c>
      <c r="M29">
        <f t="shared" si="4"/>
        <v>612.26923819838316</v>
      </c>
      <c r="N29">
        <f t="shared" si="5"/>
        <v>59.957952866072397</v>
      </c>
      <c r="O29">
        <f t="shared" si="6"/>
        <v>41.132079281231277</v>
      </c>
      <c r="P29">
        <f t="shared" si="7"/>
        <v>3.4127617823541415E-2</v>
      </c>
      <c r="Q29">
        <f t="shared" si="8"/>
        <v>2.8921520497372422</v>
      </c>
      <c r="R29">
        <f t="shared" si="9"/>
        <v>3.3905463180686303E-2</v>
      </c>
      <c r="S29">
        <f t="shared" si="10"/>
        <v>2.1210753502068594E-2</v>
      </c>
      <c r="T29">
        <f t="shared" si="11"/>
        <v>1.5966703903835998E-4</v>
      </c>
      <c r="U29">
        <f t="shared" si="12"/>
        <v>24.177471656552122</v>
      </c>
      <c r="V29">
        <f t="shared" si="13"/>
        <v>25.08937741935484</v>
      </c>
      <c r="W29">
        <f t="shared" si="14"/>
        <v>3.196660321577903</v>
      </c>
      <c r="X29">
        <f t="shared" si="15"/>
        <v>64.266407123167227</v>
      </c>
      <c r="Y29">
        <f t="shared" si="16"/>
        <v>1.9589624191389958</v>
      </c>
      <c r="Z29">
        <f t="shared" si="17"/>
        <v>3.0481903483177835</v>
      </c>
      <c r="AA29">
        <f t="shared" si="18"/>
        <v>1.2376979024389072</v>
      </c>
      <c r="AB29">
        <f t="shared" si="19"/>
        <v>-19.409036038442967</v>
      </c>
      <c r="AC29">
        <f t="shared" si="20"/>
        <v>-124.0910404437752</v>
      </c>
      <c r="AD29">
        <f t="shared" si="21"/>
        <v>-9.0475370992037512</v>
      </c>
      <c r="AE29">
        <f t="shared" si="22"/>
        <v>-152.54745391438288</v>
      </c>
      <c r="AF29">
        <f t="shared" si="23"/>
        <v>-4.3047851237252033</v>
      </c>
      <c r="AG29">
        <f t="shared" si="24"/>
        <v>0.4401141958830605</v>
      </c>
      <c r="AH29">
        <f t="shared" si="25"/>
        <v>-4.3020832749190401</v>
      </c>
      <c r="AI29">
        <v>423.30554679969032</v>
      </c>
      <c r="AJ29">
        <v>428.61167878787882</v>
      </c>
      <c r="AK29">
        <v>-7.7517343341142689E-3</v>
      </c>
      <c r="AL29">
        <v>66.997940984066105</v>
      </c>
      <c r="AM29">
        <f t="shared" si="26"/>
        <v>0.46526579213396962</v>
      </c>
      <c r="AN29">
        <v>19.560052829079549</v>
      </c>
      <c r="AO29">
        <v>20.051364848484841</v>
      </c>
      <c r="AP29">
        <v>9.0209950491125408E-3</v>
      </c>
      <c r="AQ29">
        <v>78.149631257442834</v>
      </c>
      <c r="AR29">
        <v>0</v>
      </c>
      <c r="AS29">
        <v>0</v>
      </c>
      <c r="AT29">
        <f t="shared" si="27"/>
        <v>1</v>
      </c>
      <c r="AU29">
        <f t="shared" si="28"/>
        <v>0</v>
      </c>
      <c r="AV29">
        <f t="shared" si="29"/>
        <v>52228.990983456679</v>
      </c>
      <c r="AW29" t="s">
        <v>896</v>
      </c>
      <c r="AX29">
        <v>5088.1000000000004</v>
      </c>
      <c r="AY29">
        <v>575.46470588235297</v>
      </c>
      <c r="AZ29">
        <v>2514.35</v>
      </c>
      <c r="BA29">
        <f t="shared" si="30"/>
        <v>0.77112784382351185</v>
      </c>
      <c r="BB29">
        <v>-4.3047851237252033</v>
      </c>
      <c r="BC29" t="s">
        <v>407</v>
      </c>
      <c r="BD29" t="s">
        <v>407</v>
      </c>
      <c r="BE29">
        <v>0</v>
      </c>
      <c r="BF29">
        <v>0</v>
      </c>
      <c r="BG29" t="e">
        <f t="shared" si="31"/>
        <v>#DIV/0!</v>
      </c>
      <c r="BH29">
        <v>0.5</v>
      </c>
      <c r="BI29">
        <f t="shared" si="32"/>
        <v>8.4035283704399992E-4</v>
      </c>
      <c r="BJ29">
        <f t="shared" si="33"/>
        <v>-4.3047851237252033</v>
      </c>
      <c r="BK29" t="e">
        <f t="shared" si="34"/>
        <v>#DIV/0!</v>
      </c>
      <c r="BL29">
        <f t="shared" si="35"/>
        <v>0</v>
      </c>
      <c r="BM29" t="e">
        <f t="shared" si="36"/>
        <v>#DIV/0!</v>
      </c>
      <c r="BN29" t="e">
        <f t="shared" si="37"/>
        <v>#DIV/0!</v>
      </c>
      <c r="BO29" t="s">
        <v>407</v>
      </c>
      <c r="BP29">
        <v>0</v>
      </c>
      <c r="BQ29" t="e">
        <f t="shared" si="38"/>
        <v>#DIV/0!</v>
      </c>
      <c r="BR29" t="e">
        <f t="shared" si="39"/>
        <v>#DIV/0!</v>
      </c>
      <c r="BS29" t="e">
        <f t="shared" si="40"/>
        <v>#DIV/0!</v>
      </c>
      <c r="BT29" t="e">
        <f t="shared" si="41"/>
        <v>#DIV/0!</v>
      </c>
      <c r="BU29">
        <f t="shared" si="42"/>
        <v>0</v>
      </c>
      <c r="BV29">
        <f t="shared" si="43"/>
        <v>1.2968018312523417</v>
      </c>
      <c r="BW29" t="e">
        <f t="shared" si="44"/>
        <v>#DIV/0!</v>
      </c>
      <c r="BX29" t="e">
        <f t="shared" si="45"/>
        <v>#DIV/0!</v>
      </c>
      <c r="DG29">
        <f t="shared" si="46"/>
        <v>1.00021E-2</v>
      </c>
      <c r="DH29">
        <f t="shared" si="47"/>
        <v>8.4035283704399992E-4</v>
      </c>
      <c r="DI29">
        <f t="shared" si="48"/>
        <v>8.4017639999999991E-2</v>
      </c>
      <c r="DJ29">
        <f t="shared" si="49"/>
        <v>1.5963351599999998E-2</v>
      </c>
      <c r="DK29">
        <v>6</v>
      </c>
      <c r="DL29">
        <v>0.5</v>
      </c>
      <c r="DM29" t="s">
        <v>408</v>
      </c>
      <c r="DN29">
        <v>2</v>
      </c>
      <c r="DO29" t="b">
        <v>0</v>
      </c>
      <c r="DP29">
        <v>1783524644.599999</v>
      </c>
      <c r="DQ29">
        <v>420.0261290322581</v>
      </c>
      <c r="DR29">
        <v>415.08229032258049</v>
      </c>
      <c r="DS29">
        <v>20.004225806451611</v>
      </c>
      <c r="DT29">
        <v>19.48666129032258</v>
      </c>
      <c r="DU29">
        <v>425.54558064516129</v>
      </c>
      <c r="DV29">
        <v>20.52670645161291</v>
      </c>
      <c r="DW29">
        <v>500.00729032258067</v>
      </c>
      <c r="DX29">
        <v>97.875506451612907</v>
      </c>
      <c r="DY29">
        <v>5.1923387096774187E-2</v>
      </c>
      <c r="DZ29">
        <v>24.29352258064516</v>
      </c>
      <c r="EA29">
        <v>25.08937741935484</v>
      </c>
      <c r="EB29">
        <v>999.90000000000032</v>
      </c>
      <c r="EC29">
        <v>0</v>
      </c>
      <c r="ED29">
        <v>0</v>
      </c>
      <c r="EE29">
        <v>10000.8064516129</v>
      </c>
      <c r="EF29">
        <v>0</v>
      </c>
      <c r="EG29">
        <v>942.5529677419355</v>
      </c>
      <c r="EH29">
        <v>4.943847419354837</v>
      </c>
      <c r="EI29">
        <v>428.59999999999991</v>
      </c>
      <c r="EJ29">
        <v>423.33170967741933</v>
      </c>
      <c r="EK29">
        <v>0.51755854838709692</v>
      </c>
      <c r="EL29">
        <v>415.08229032258049</v>
      </c>
      <c r="EM29">
        <v>19.48666129032258</v>
      </c>
      <c r="EN29">
        <v>1.9579229032258061</v>
      </c>
      <c r="EO29">
        <v>1.907266774193549</v>
      </c>
      <c r="EP29">
        <v>17.1081</v>
      </c>
      <c r="EQ29">
        <v>16.69463870967742</v>
      </c>
      <c r="ER29">
        <v>1.00021E-2</v>
      </c>
      <c r="ES29">
        <v>0</v>
      </c>
      <c r="ET29">
        <v>0</v>
      </c>
      <c r="EU29">
        <v>0</v>
      </c>
      <c r="EV29">
        <v>574.53709677419363</v>
      </c>
      <c r="EW29">
        <v>1.00021E-2</v>
      </c>
      <c r="EX29">
        <v>4397.2870967741937</v>
      </c>
      <c r="EY29">
        <v>3.8870967741935489</v>
      </c>
      <c r="EZ29">
        <v>37.393000000000001</v>
      </c>
      <c r="FA29">
        <v>41.682999999999993</v>
      </c>
      <c r="FB29">
        <v>39.686999999999983</v>
      </c>
      <c r="FC29">
        <v>41.291999999999987</v>
      </c>
      <c r="FD29">
        <v>39.070322580645147</v>
      </c>
      <c r="FE29">
        <v>0</v>
      </c>
      <c r="FF29">
        <v>0</v>
      </c>
      <c r="FG29">
        <v>0</v>
      </c>
      <c r="FH29">
        <v>182.10000014305109</v>
      </c>
      <c r="FI29">
        <v>0</v>
      </c>
      <c r="FJ29">
        <v>575.46470588235297</v>
      </c>
      <c r="FK29">
        <v>-13.21078402266189</v>
      </c>
      <c r="FL29">
        <v>-402.20588431510788</v>
      </c>
      <c r="FM29">
        <v>4400.1176470588234</v>
      </c>
      <c r="FN29">
        <v>10</v>
      </c>
      <c r="FO29">
        <v>1783524596.0999999</v>
      </c>
      <c r="FP29" t="s">
        <v>997</v>
      </c>
      <c r="FQ29">
        <v>1783524596.0999999</v>
      </c>
      <c r="FR29">
        <v>1783524591.5999999</v>
      </c>
      <c r="FS29">
        <v>13</v>
      </c>
      <c r="FT29">
        <v>-4.7E-2</v>
      </c>
      <c r="FU29">
        <v>9.9000000000000005E-2</v>
      </c>
      <c r="FV29">
        <v>-5.5190000000000001</v>
      </c>
      <c r="FW29">
        <v>-0.443</v>
      </c>
      <c r="FX29">
        <v>415</v>
      </c>
      <c r="FY29">
        <v>19</v>
      </c>
      <c r="FZ29">
        <v>1.1200000000000001</v>
      </c>
      <c r="GA29">
        <v>0.43</v>
      </c>
      <c r="GB29">
        <v>420.02726666666678</v>
      </c>
      <c r="GC29">
        <v>0.47476751946714718</v>
      </c>
      <c r="GD29">
        <v>6.559925473830773E-2</v>
      </c>
      <c r="GE29">
        <v>-1</v>
      </c>
      <c r="GF29">
        <v>574.875</v>
      </c>
      <c r="GG29">
        <v>-2.8686019331364609</v>
      </c>
      <c r="GH29">
        <v>4.1200415831710728</v>
      </c>
      <c r="GI29">
        <v>1</v>
      </c>
      <c r="GJ29">
        <v>0.55134572500000001</v>
      </c>
      <c r="GK29">
        <v>-0.84682251782364049</v>
      </c>
      <c r="GL29">
        <v>9.2474813163365588E-2</v>
      </c>
      <c r="GM29">
        <v>0</v>
      </c>
      <c r="GN29">
        <v>1</v>
      </c>
      <c r="GO29">
        <v>2</v>
      </c>
      <c r="GP29" t="s">
        <v>410</v>
      </c>
      <c r="GQ29">
        <v>3.1301600000000001</v>
      </c>
      <c r="GR29">
        <v>2.7265700000000002</v>
      </c>
      <c r="GS29">
        <v>9.0840000000000004E-2</v>
      </c>
      <c r="GT29">
        <v>8.9760999999999994E-2</v>
      </c>
      <c r="GU29">
        <v>9.9662700000000007E-2</v>
      </c>
      <c r="GV29">
        <v>9.6543599999999993E-2</v>
      </c>
      <c r="GW29">
        <v>22701.9</v>
      </c>
      <c r="GX29">
        <v>30500.5</v>
      </c>
      <c r="GY29">
        <v>27100.2</v>
      </c>
      <c r="GZ29">
        <v>34476.400000000001</v>
      </c>
      <c r="HA29">
        <v>35752.1</v>
      </c>
      <c r="HB29">
        <v>39555.300000000003</v>
      </c>
      <c r="HC29">
        <v>40026.1</v>
      </c>
      <c r="HD29">
        <v>43858.7</v>
      </c>
      <c r="HE29">
        <v>1.9166000000000001</v>
      </c>
      <c r="HF29">
        <v>1.6424000000000001</v>
      </c>
      <c r="HG29">
        <v>-0.13470599999999999</v>
      </c>
      <c r="HH29">
        <v>0</v>
      </c>
      <c r="HI29">
        <v>27.3125</v>
      </c>
      <c r="HJ29">
        <v>999.9</v>
      </c>
      <c r="HK29">
        <v>54.6</v>
      </c>
      <c r="HL29">
        <v>39.700000000000003</v>
      </c>
      <c r="HM29">
        <v>40.698900000000002</v>
      </c>
      <c r="HN29">
        <v>61.124699999999997</v>
      </c>
      <c r="HO29">
        <v>7.4238799999999996</v>
      </c>
      <c r="HP29">
        <v>1</v>
      </c>
      <c r="HQ29">
        <v>0.81353699999999995</v>
      </c>
      <c r="HR29">
        <v>9.2810500000000005</v>
      </c>
      <c r="HS29">
        <v>20.045300000000001</v>
      </c>
      <c r="HT29">
        <v>5.2077099999999996</v>
      </c>
      <c r="HU29">
        <v>11.914099999999999</v>
      </c>
      <c r="HV29">
        <v>4.9843999999999999</v>
      </c>
      <c r="HW29">
        <v>3.2709999999999999</v>
      </c>
      <c r="HX29">
        <v>9999</v>
      </c>
      <c r="HY29">
        <v>9999</v>
      </c>
      <c r="HZ29">
        <v>9999</v>
      </c>
      <c r="IA29">
        <v>999.9</v>
      </c>
      <c r="IB29">
        <v>1.86737</v>
      </c>
      <c r="IC29">
        <v>1.86307</v>
      </c>
      <c r="ID29">
        <v>1.86252</v>
      </c>
      <c r="IE29">
        <v>1.8620300000000001</v>
      </c>
      <c r="IF29">
        <v>1.86206</v>
      </c>
      <c r="IG29">
        <v>1.8626400000000001</v>
      </c>
      <c r="IH29">
        <v>1.8635600000000001</v>
      </c>
      <c r="II29">
        <v>1.86154</v>
      </c>
      <c r="IJ29">
        <v>0</v>
      </c>
      <c r="IK29">
        <v>0</v>
      </c>
      <c r="IL29">
        <v>0</v>
      </c>
      <c r="IM29">
        <v>4.5</v>
      </c>
      <c r="IN29" t="s">
        <v>411</v>
      </c>
      <c r="IO29" t="s">
        <v>412</v>
      </c>
      <c r="IP29" t="s">
        <v>413</v>
      </c>
      <c r="IQ29" t="s">
        <v>414</v>
      </c>
      <c r="IR29" t="s">
        <v>414</v>
      </c>
      <c r="IS29" t="s">
        <v>413</v>
      </c>
      <c r="IT29">
        <v>0</v>
      </c>
      <c r="IU29">
        <v>100</v>
      </c>
      <c r="IV29">
        <v>100</v>
      </c>
      <c r="IW29">
        <v>-5.5190000000000001</v>
      </c>
      <c r="IX29">
        <v>-0.52129999999999999</v>
      </c>
      <c r="IY29">
        <v>-5.5193333333334067</v>
      </c>
      <c r="IZ29">
        <v>0</v>
      </c>
      <c r="JA29">
        <v>0</v>
      </c>
      <c r="JB29">
        <v>0</v>
      </c>
      <c r="JC29">
        <v>-0.8222413170717493</v>
      </c>
      <c r="JD29">
        <v>2.7492919904454862E-4</v>
      </c>
      <c r="JE29">
        <v>8.6739513355948885E-4</v>
      </c>
      <c r="JF29">
        <v>-8.2500691715147318E-6</v>
      </c>
      <c r="JG29">
        <v>-1</v>
      </c>
      <c r="JH29">
        <v>-1</v>
      </c>
      <c r="JI29">
        <v>2</v>
      </c>
      <c r="JJ29">
        <v>37</v>
      </c>
      <c r="JK29">
        <v>0.9</v>
      </c>
      <c r="JL29">
        <v>1</v>
      </c>
      <c r="JM29">
        <v>1.0510299999999999</v>
      </c>
      <c r="JN29">
        <v>2.5415000000000001</v>
      </c>
      <c r="JO29">
        <v>1.50024</v>
      </c>
      <c r="JP29">
        <v>2.2705099999999998</v>
      </c>
      <c r="JQ29">
        <v>1.4477500000000001</v>
      </c>
      <c r="JR29">
        <v>2.4548299999999998</v>
      </c>
      <c r="JS29">
        <v>44.557299999999998</v>
      </c>
      <c r="JT29">
        <v>14.9026</v>
      </c>
      <c r="JU29">
        <v>18</v>
      </c>
      <c r="JV29">
        <v>531.02700000000004</v>
      </c>
      <c r="JW29">
        <v>369.91399999999999</v>
      </c>
      <c r="JX29">
        <v>19.121500000000001</v>
      </c>
      <c r="JY29">
        <v>36.744700000000002</v>
      </c>
      <c r="JZ29">
        <v>30.0001</v>
      </c>
      <c r="KA29">
        <v>36.781500000000001</v>
      </c>
      <c r="KB29">
        <v>36.948399999999999</v>
      </c>
      <c r="KC29">
        <v>21.019200000000001</v>
      </c>
      <c r="KD29">
        <v>53.3553</v>
      </c>
      <c r="KE29">
        <v>0</v>
      </c>
      <c r="KF29">
        <v>18.7041</v>
      </c>
      <c r="KG29">
        <v>415.06299999999999</v>
      </c>
      <c r="KH29">
        <v>19.5215</v>
      </c>
      <c r="KI29">
        <v>100.029</v>
      </c>
      <c r="KJ29">
        <v>98.562299999999993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56AC2-EE65-447A-8876-6E209769920D}">
  <dimension ref="A2:KJ22"/>
  <sheetViews>
    <sheetView workbookViewId="0">
      <selection activeCell="M32" sqref="M32"/>
    </sheetView>
  </sheetViews>
  <sheetFormatPr defaultRowHeight="14.4" x14ac:dyDescent="0.3"/>
  <sheetData>
    <row r="2" spans="1:296" x14ac:dyDescent="0.3">
      <c r="A2" t="s">
        <v>0</v>
      </c>
      <c r="B2" t="s">
        <v>1</v>
      </c>
      <c r="C2" t="s">
        <v>2</v>
      </c>
    </row>
    <row r="3" spans="1:296" x14ac:dyDescent="0.3">
      <c r="B3" t="s">
        <v>3</v>
      </c>
      <c r="C3">
        <v>21</v>
      </c>
    </row>
    <row r="4" spans="1:296" x14ac:dyDescent="0.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</row>
    <row r="5" spans="1:296" x14ac:dyDescent="0.3">
      <c r="B5" t="s">
        <v>15</v>
      </c>
      <c r="C5" t="s">
        <v>16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96" x14ac:dyDescent="0.3">
      <c r="A6" t="s">
        <v>17</v>
      </c>
      <c r="B6" t="s">
        <v>18</v>
      </c>
      <c r="C6" t="s">
        <v>19</v>
      </c>
      <c r="D6" t="s">
        <v>20</v>
      </c>
      <c r="E6" t="s">
        <v>21</v>
      </c>
    </row>
    <row r="7" spans="1:296" x14ac:dyDescent="0.3">
      <c r="B7">
        <v>0</v>
      </c>
      <c r="C7">
        <v>1</v>
      </c>
      <c r="D7">
        <v>0</v>
      </c>
      <c r="E7">
        <v>0</v>
      </c>
    </row>
    <row r="8" spans="1:296" x14ac:dyDescent="0.3">
      <c r="A8" t="s">
        <v>22</v>
      </c>
      <c r="B8" t="s">
        <v>23</v>
      </c>
      <c r="C8" t="s">
        <v>24</v>
      </c>
      <c r="D8" t="s">
        <v>25</v>
      </c>
      <c r="E8" t="s">
        <v>26</v>
      </c>
      <c r="F8" t="s">
        <v>27</v>
      </c>
      <c r="G8" t="s">
        <v>28</v>
      </c>
      <c r="H8" t="s">
        <v>29</v>
      </c>
      <c r="I8" t="s">
        <v>30</v>
      </c>
      <c r="J8" t="s">
        <v>31</v>
      </c>
      <c r="K8" t="s">
        <v>32</v>
      </c>
      <c r="L8" t="s">
        <v>33</v>
      </c>
      <c r="M8" t="s">
        <v>34</v>
      </c>
      <c r="N8" t="s">
        <v>35</v>
      </c>
      <c r="O8" t="s">
        <v>36</v>
      </c>
      <c r="P8" t="s">
        <v>37</v>
      </c>
      <c r="Q8" t="s">
        <v>38</v>
      </c>
    </row>
    <row r="9" spans="1:296" x14ac:dyDescent="0.3">
      <c r="B9" t="s">
        <v>39</v>
      </c>
      <c r="C9" t="s">
        <v>40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96" x14ac:dyDescent="0.3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</row>
    <row r="11" spans="1:296" x14ac:dyDescent="0.3">
      <c r="B11">
        <v>0</v>
      </c>
      <c r="C11">
        <v>1</v>
      </c>
      <c r="D11">
        <v>0</v>
      </c>
      <c r="E11">
        <v>0</v>
      </c>
      <c r="F11">
        <v>1</v>
      </c>
    </row>
    <row r="12" spans="1:296" x14ac:dyDescent="0.3">
      <c r="A12" t="s">
        <v>47</v>
      </c>
      <c r="B12" t="s">
        <v>48</v>
      </c>
      <c r="C12" t="s">
        <v>49</v>
      </c>
      <c r="D12" t="s">
        <v>50</v>
      </c>
      <c r="E12" t="s">
        <v>51</v>
      </c>
      <c r="F12" t="s">
        <v>52</v>
      </c>
      <c r="G12" t="s">
        <v>53</v>
      </c>
      <c r="H12" t="s">
        <v>54</v>
      </c>
    </row>
    <row r="13" spans="1:296" x14ac:dyDescent="0.3">
      <c r="B13">
        <v>-6276</v>
      </c>
      <c r="C13">
        <v>6.6</v>
      </c>
      <c r="D13">
        <v>1.7090000000000001E-5</v>
      </c>
      <c r="E13">
        <v>3.11</v>
      </c>
      <c r="F13" t="s">
        <v>998</v>
      </c>
      <c r="G13" t="s">
        <v>999</v>
      </c>
      <c r="H13">
        <v>0</v>
      </c>
    </row>
    <row r="14" spans="1:296" x14ac:dyDescent="0.3">
      <c r="A14" t="s">
        <v>57</v>
      </c>
      <c r="B14" t="s">
        <v>57</v>
      </c>
      <c r="C14" t="s">
        <v>57</v>
      </c>
      <c r="D14" t="s">
        <v>57</v>
      </c>
      <c r="E14" t="s">
        <v>57</v>
      </c>
      <c r="F14" t="s">
        <v>57</v>
      </c>
      <c r="G14" t="s">
        <v>58</v>
      </c>
      <c r="H14" t="s">
        <v>59</v>
      </c>
      <c r="I14" t="s">
        <v>59</v>
      </c>
      <c r="J14" t="s">
        <v>59</v>
      </c>
      <c r="K14" t="s">
        <v>59</v>
      </c>
      <c r="L14" t="s">
        <v>59</v>
      </c>
      <c r="M14" t="s">
        <v>59</v>
      </c>
      <c r="N14" t="s">
        <v>59</v>
      </c>
      <c r="O14" t="s">
        <v>59</v>
      </c>
      <c r="P14" t="s">
        <v>59</v>
      </c>
      <c r="Q14" t="s">
        <v>59</v>
      </c>
      <c r="R14" t="s">
        <v>59</v>
      </c>
      <c r="S14" t="s">
        <v>59</v>
      </c>
      <c r="T14" t="s">
        <v>59</v>
      </c>
      <c r="U14" t="s">
        <v>59</v>
      </c>
      <c r="V14" t="s">
        <v>59</v>
      </c>
      <c r="W14" t="s">
        <v>59</v>
      </c>
      <c r="X14" t="s">
        <v>59</v>
      </c>
      <c r="Y14" t="s">
        <v>59</v>
      </c>
      <c r="Z14" t="s">
        <v>59</v>
      </c>
      <c r="AA14" t="s">
        <v>59</v>
      </c>
      <c r="AB14" t="s">
        <v>59</v>
      </c>
      <c r="AC14" t="s">
        <v>59</v>
      </c>
      <c r="AD14" t="s">
        <v>59</v>
      </c>
      <c r="AE14" t="s">
        <v>59</v>
      </c>
      <c r="AF14" t="s">
        <v>59</v>
      </c>
      <c r="AG14" t="s">
        <v>59</v>
      </c>
      <c r="AH14" t="s">
        <v>60</v>
      </c>
      <c r="AI14" t="s">
        <v>60</v>
      </c>
      <c r="AJ14" t="s">
        <v>60</v>
      </c>
      <c r="AK14" t="s">
        <v>60</v>
      </c>
      <c r="AL14" t="s">
        <v>60</v>
      </c>
      <c r="AM14" t="s">
        <v>60</v>
      </c>
      <c r="AN14" t="s">
        <v>60</v>
      </c>
      <c r="AO14" t="s">
        <v>60</v>
      </c>
      <c r="AP14" t="s">
        <v>60</v>
      </c>
      <c r="AQ14" t="s">
        <v>60</v>
      </c>
      <c r="AR14" t="s">
        <v>61</v>
      </c>
      <c r="AS14" t="s">
        <v>61</v>
      </c>
      <c r="AT14" t="s">
        <v>61</v>
      </c>
      <c r="AU14" t="s">
        <v>61</v>
      </c>
      <c r="AV14" t="s">
        <v>61</v>
      </c>
      <c r="AW14" t="s">
        <v>62</v>
      </c>
      <c r="AX14" t="s">
        <v>62</v>
      </c>
      <c r="AY14" t="s">
        <v>62</v>
      </c>
      <c r="AZ14" t="s">
        <v>62</v>
      </c>
      <c r="BA14" t="s">
        <v>62</v>
      </c>
      <c r="BB14" t="s">
        <v>62</v>
      </c>
      <c r="BC14" t="s">
        <v>62</v>
      </c>
      <c r="BD14" t="s">
        <v>62</v>
      </c>
      <c r="BE14" t="s">
        <v>62</v>
      </c>
      <c r="BF14" t="s">
        <v>62</v>
      </c>
      <c r="BG14" t="s">
        <v>62</v>
      </c>
      <c r="BH14" t="s">
        <v>62</v>
      </c>
      <c r="BI14" t="s">
        <v>62</v>
      </c>
      <c r="BJ14" t="s">
        <v>62</v>
      </c>
      <c r="BK14" t="s">
        <v>62</v>
      </c>
      <c r="BL14" t="s">
        <v>62</v>
      </c>
      <c r="BM14" t="s">
        <v>62</v>
      </c>
      <c r="BN14" t="s">
        <v>62</v>
      </c>
      <c r="BO14" t="s">
        <v>62</v>
      </c>
      <c r="BP14" t="s">
        <v>62</v>
      </c>
      <c r="BQ14" t="s">
        <v>62</v>
      </c>
      <c r="BR14" t="s">
        <v>62</v>
      </c>
      <c r="BS14" t="s">
        <v>62</v>
      </c>
      <c r="BT14" t="s">
        <v>62</v>
      </c>
      <c r="BU14" t="s">
        <v>62</v>
      </c>
      <c r="BV14" t="s">
        <v>62</v>
      </c>
      <c r="BW14" t="s">
        <v>62</v>
      </c>
      <c r="BX14" t="s">
        <v>62</v>
      </c>
      <c r="BY14" t="s">
        <v>63</v>
      </c>
      <c r="BZ14" t="s">
        <v>63</v>
      </c>
      <c r="CA14" t="s">
        <v>63</v>
      </c>
      <c r="CB14" t="s">
        <v>63</v>
      </c>
      <c r="CC14" t="s">
        <v>63</v>
      </c>
      <c r="CD14" t="s">
        <v>63</v>
      </c>
      <c r="CE14" t="s">
        <v>63</v>
      </c>
      <c r="CF14" t="s">
        <v>63</v>
      </c>
      <c r="CG14" t="s">
        <v>63</v>
      </c>
      <c r="CH14" t="s">
        <v>63</v>
      </c>
      <c r="CI14" t="s">
        <v>63</v>
      </c>
      <c r="CJ14" t="s">
        <v>63</v>
      </c>
      <c r="CK14" t="s">
        <v>63</v>
      </c>
      <c r="CL14" t="s">
        <v>63</v>
      </c>
      <c r="CM14" t="s">
        <v>63</v>
      </c>
      <c r="CN14" t="s">
        <v>63</v>
      </c>
      <c r="CO14" t="s">
        <v>63</v>
      </c>
      <c r="CP14" t="s">
        <v>63</v>
      </c>
      <c r="CQ14" t="s">
        <v>63</v>
      </c>
      <c r="CR14" t="s">
        <v>63</v>
      </c>
      <c r="CS14" t="s">
        <v>63</v>
      </c>
      <c r="CT14" t="s">
        <v>64</v>
      </c>
      <c r="CU14" t="s">
        <v>64</v>
      </c>
      <c r="CV14" t="s">
        <v>64</v>
      </c>
      <c r="CW14" t="s">
        <v>64</v>
      </c>
      <c r="CX14" t="s">
        <v>64</v>
      </c>
      <c r="CY14" t="s">
        <v>64</v>
      </c>
      <c r="CZ14" t="s">
        <v>64</v>
      </c>
      <c r="DA14" t="s">
        <v>64</v>
      </c>
      <c r="DB14" t="s">
        <v>64</v>
      </c>
      <c r="DC14" t="s">
        <v>64</v>
      </c>
      <c r="DD14" t="s">
        <v>64</v>
      </c>
      <c r="DE14" t="s">
        <v>64</v>
      </c>
      <c r="DF14" t="s">
        <v>64</v>
      </c>
      <c r="DG14" t="s">
        <v>65</v>
      </c>
      <c r="DH14" t="s">
        <v>65</v>
      </c>
      <c r="DI14" t="s">
        <v>65</v>
      </c>
      <c r="DJ14" t="s">
        <v>65</v>
      </c>
      <c r="DK14" t="s">
        <v>66</v>
      </c>
      <c r="DL14" t="s">
        <v>66</v>
      </c>
      <c r="DM14" t="s">
        <v>66</v>
      </c>
      <c r="DN14" t="s">
        <v>66</v>
      </c>
      <c r="DO14" t="s">
        <v>66</v>
      </c>
      <c r="DP14" t="s">
        <v>67</v>
      </c>
      <c r="DQ14" t="s">
        <v>67</v>
      </c>
      <c r="DR14" t="s">
        <v>67</v>
      </c>
      <c r="DS14" t="s">
        <v>67</v>
      </c>
      <c r="DT14" t="s">
        <v>67</v>
      </c>
      <c r="DU14" t="s">
        <v>67</v>
      </c>
      <c r="DV14" t="s">
        <v>67</v>
      </c>
      <c r="DW14" t="s">
        <v>67</v>
      </c>
      <c r="DX14" t="s">
        <v>67</v>
      </c>
      <c r="DY14" t="s">
        <v>67</v>
      </c>
      <c r="DZ14" t="s">
        <v>67</v>
      </c>
      <c r="EA14" t="s">
        <v>67</v>
      </c>
      <c r="EB14" t="s">
        <v>67</v>
      </c>
      <c r="EC14" t="s">
        <v>67</v>
      </c>
      <c r="ED14" t="s">
        <v>67</v>
      </c>
      <c r="EE14" t="s">
        <v>67</v>
      </c>
      <c r="EF14" t="s">
        <v>67</v>
      </c>
      <c r="EG14" t="s">
        <v>67</v>
      </c>
      <c r="EH14" t="s">
        <v>68</v>
      </c>
      <c r="EI14" t="s">
        <v>68</v>
      </c>
      <c r="EJ14" t="s">
        <v>68</v>
      </c>
      <c r="EK14" t="s">
        <v>68</v>
      </c>
      <c r="EL14" t="s">
        <v>68</v>
      </c>
      <c r="EM14" t="s">
        <v>68</v>
      </c>
      <c r="EN14" t="s">
        <v>68</v>
      </c>
      <c r="EO14" t="s">
        <v>68</v>
      </c>
      <c r="EP14" t="s">
        <v>68</v>
      </c>
      <c r="EQ14" t="s">
        <v>68</v>
      </c>
      <c r="ER14" t="s">
        <v>69</v>
      </c>
      <c r="ES14" t="s">
        <v>69</v>
      </c>
      <c r="ET14" t="s">
        <v>69</v>
      </c>
      <c r="EU14" t="s">
        <v>69</v>
      </c>
      <c r="EV14" t="s">
        <v>69</v>
      </c>
      <c r="EW14" t="s">
        <v>69</v>
      </c>
      <c r="EX14" t="s">
        <v>69</v>
      </c>
      <c r="EY14" t="s">
        <v>69</v>
      </c>
      <c r="EZ14" t="s">
        <v>69</v>
      </c>
      <c r="FA14" t="s">
        <v>69</v>
      </c>
      <c r="FB14" t="s">
        <v>69</v>
      </c>
      <c r="FC14" t="s">
        <v>69</v>
      </c>
      <c r="FD14" t="s">
        <v>69</v>
      </c>
      <c r="FE14" t="s">
        <v>69</v>
      </c>
      <c r="FF14" t="s">
        <v>69</v>
      </c>
      <c r="FG14" t="s">
        <v>69</v>
      </c>
      <c r="FH14" t="s">
        <v>69</v>
      </c>
      <c r="FI14" t="s">
        <v>69</v>
      </c>
      <c r="FJ14" t="s">
        <v>70</v>
      </c>
      <c r="FK14" t="s">
        <v>70</v>
      </c>
      <c r="FL14" t="s">
        <v>70</v>
      </c>
      <c r="FM14" t="s">
        <v>70</v>
      </c>
      <c r="FN14" t="s">
        <v>70</v>
      </c>
      <c r="FO14" t="s">
        <v>71</v>
      </c>
      <c r="FP14" t="s">
        <v>71</v>
      </c>
      <c r="FQ14" t="s">
        <v>71</v>
      </c>
      <c r="FR14" t="s">
        <v>71</v>
      </c>
      <c r="FS14" t="s">
        <v>71</v>
      </c>
      <c r="FT14" t="s">
        <v>71</v>
      </c>
      <c r="FU14" t="s">
        <v>71</v>
      </c>
      <c r="FV14" t="s">
        <v>71</v>
      </c>
      <c r="FW14" t="s">
        <v>71</v>
      </c>
      <c r="FX14" t="s">
        <v>71</v>
      </c>
      <c r="FY14" t="s">
        <v>71</v>
      </c>
      <c r="FZ14" t="s">
        <v>71</v>
      </c>
      <c r="GA14" t="s">
        <v>71</v>
      </c>
      <c r="GB14" t="s">
        <v>72</v>
      </c>
      <c r="GC14" t="s">
        <v>72</v>
      </c>
      <c r="GD14" t="s">
        <v>72</v>
      </c>
      <c r="GE14" t="s">
        <v>72</v>
      </c>
      <c r="GF14" t="s">
        <v>72</v>
      </c>
      <c r="GG14" t="s">
        <v>72</v>
      </c>
      <c r="GH14" t="s">
        <v>72</v>
      </c>
      <c r="GI14" t="s">
        <v>72</v>
      </c>
      <c r="GJ14" t="s">
        <v>72</v>
      </c>
      <c r="GK14" t="s">
        <v>72</v>
      </c>
      <c r="GL14" t="s">
        <v>72</v>
      </c>
      <c r="GM14" t="s">
        <v>72</v>
      </c>
      <c r="GN14" t="s">
        <v>72</v>
      </c>
      <c r="GO14" t="s">
        <v>72</v>
      </c>
      <c r="GP14" t="s">
        <v>72</v>
      </c>
      <c r="GQ14" t="s">
        <v>73</v>
      </c>
      <c r="GR14" t="s">
        <v>73</v>
      </c>
      <c r="GS14" t="s">
        <v>73</v>
      </c>
      <c r="GT14" t="s">
        <v>73</v>
      </c>
      <c r="GU14" t="s">
        <v>73</v>
      </c>
      <c r="GV14" t="s">
        <v>73</v>
      </c>
      <c r="GW14" t="s">
        <v>73</v>
      </c>
      <c r="GX14" t="s">
        <v>73</v>
      </c>
      <c r="GY14" t="s">
        <v>73</v>
      </c>
      <c r="GZ14" t="s">
        <v>73</v>
      </c>
      <c r="HA14" t="s">
        <v>73</v>
      </c>
      <c r="HB14" t="s">
        <v>73</v>
      </c>
      <c r="HC14" t="s">
        <v>73</v>
      </c>
      <c r="HD14" t="s">
        <v>73</v>
      </c>
      <c r="HE14" t="s">
        <v>73</v>
      </c>
      <c r="HF14" t="s">
        <v>73</v>
      </c>
      <c r="HG14" t="s">
        <v>73</v>
      </c>
      <c r="HH14" t="s">
        <v>73</v>
      </c>
      <c r="HI14" t="s">
        <v>74</v>
      </c>
      <c r="HJ14" t="s">
        <v>74</v>
      </c>
      <c r="HK14" t="s">
        <v>74</v>
      </c>
      <c r="HL14" t="s">
        <v>74</v>
      </c>
      <c r="HM14" t="s">
        <v>74</v>
      </c>
      <c r="HN14" t="s">
        <v>74</v>
      </c>
      <c r="HO14" t="s">
        <v>74</v>
      </c>
      <c r="HP14" t="s">
        <v>74</v>
      </c>
      <c r="HQ14" t="s">
        <v>74</v>
      </c>
      <c r="HR14" t="s">
        <v>74</v>
      </c>
      <c r="HS14" t="s">
        <v>74</v>
      </c>
      <c r="HT14" t="s">
        <v>74</v>
      </c>
      <c r="HU14" t="s">
        <v>74</v>
      </c>
      <c r="HV14" t="s">
        <v>74</v>
      </c>
      <c r="HW14" t="s">
        <v>74</v>
      </c>
      <c r="HX14" t="s">
        <v>74</v>
      </c>
      <c r="HY14" t="s">
        <v>74</v>
      </c>
      <c r="HZ14" t="s">
        <v>74</v>
      </c>
      <c r="IA14" t="s">
        <v>74</v>
      </c>
      <c r="IB14" t="s">
        <v>75</v>
      </c>
      <c r="IC14" t="s">
        <v>75</v>
      </c>
      <c r="ID14" t="s">
        <v>75</v>
      </c>
      <c r="IE14" t="s">
        <v>75</v>
      </c>
      <c r="IF14" t="s">
        <v>75</v>
      </c>
      <c r="IG14" t="s">
        <v>75</v>
      </c>
      <c r="IH14" t="s">
        <v>75</v>
      </c>
      <c r="II14" t="s">
        <v>75</v>
      </c>
      <c r="IJ14" t="s">
        <v>75</v>
      </c>
      <c r="IK14" t="s">
        <v>75</v>
      </c>
      <c r="IL14" t="s">
        <v>75</v>
      </c>
      <c r="IM14" t="s">
        <v>75</v>
      </c>
      <c r="IN14" t="s">
        <v>75</v>
      </c>
      <c r="IO14" t="s">
        <v>75</v>
      </c>
      <c r="IP14" t="s">
        <v>75</v>
      </c>
      <c r="IQ14" t="s">
        <v>75</v>
      </c>
      <c r="IR14" t="s">
        <v>75</v>
      </c>
      <c r="IS14" t="s">
        <v>75</v>
      </c>
      <c r="IT14" t="s">
        <v>75</v>
      </c>
      <c r="IU14" t="s">
        <v>76</v>
      </c>
      <c r="IV14" t="s">
        <v>76</v>
      </c>
      <c r="IW14" t="s">
        <v>76</v>
      </c>
      <c r="IX14" t="s">
        <v>76</v>
      </c>
      <c r="IY14" t="s">
        <v>76</v>
      </c>
      <c r="IZ14" t="s">
        <v>76</v>
      </c>
      <c r="JA14" t="s">
        <v>76</v>
      </c>
      <c r="JB14" t="s">
        <v>76</v>
      </c>
      <c r="JC14" t="s">
        <v>76</v>
      </c>
      <c r="JD14" t="s">
        <v>76</v>
      </c>
      <c r="JE14" t="s">
        <v>76</v>
      </c>
      <c r="JF14" t="s">
        <v>76</v>
      </c>
      <c r="JG14" t="s">
        <v>76</v>
      </c>
      <c r="JH14" t="s">
        <v>76</v>
      </c>
      <c r="JI14" t="s">
        <v>76</v>
      </c>
      <c r="JJ14" t="s">
        <v>76</v>
      </c>
      <c r="JK14" t="s">
        <v>76</v>
      </c>
      <c r="JL14" t="s">
        <v>76</v>
      </c>
      <c r="JM14" t="s">
        <v>77</v>
      </c>
      <c r="JN14" t="s">
        <v>77</v>
      </c>
      <c r="JO14" t="s">
        <v>77</v>
      </c>
      <c r="JP14" t="s">
        <v>77</v>
      </c>
      <c r="JQ14" t="s">
        <v>77</v>
      </c>
      <c r="JR14" t="s">
        <v>77</v>
      </c>
      <c r="JS14" t="s">
        <v>77</v>
      </c>
      <c r="JT14" t="s">
        <v>77</v>
      </c>
      <c r="JU14" t="s">
        <v>78</v>
      </c>
      <c r="JV14" t="s">
        <v>78</v>
      </c>
      <c r="JW14" t="s">
        <v>78</v>
      </c>
      <c r="JX14" t="s">
        <v>78</v>
      </c>
      <c r="JY14" t="s">
        <v>78</v>
      </c>
      <c r="JZ14" t="s">
        <v>78</v>
      </c>
      <c r="KA14" t="s">
        <v>78</v>
      </c>
      <c r="KB14" t="s">
        <v>78</v>
      </c>
      <c r="KC14" t="s">
        <v>78</v>
      </c>
      <c r="KD14" t="s">
        <v>78</v>
      </c>
      <c r="KE14" t="s">
        <v>78</v>
      </c>
      <c r="KF14" t="s">
        <v>78</v>
      </c>
      <c r="KG14" t="s">
        <v>78</v>
      </c>
      <c r="KH14" t="s">
        <v>78</v>
      </c>
      <c r="KI14" t="s">
        <v>78</v>
      </c>
      <c r="KJ14" t="s">
        <v>78</v>
      </c>
    </row>
    <row r="15" spans="1:296" x14ac:dyDescent="0.3">
      <c r="A15" t="s">
        <v>79</v>
      </c>
      <c r="B15" t="s">
        <v>80</v>
      </c>
      <c r="C15" t="s">
        <v>81</v>
      </c>
      <c r="D15" t="s">
        <v>82</v>
      </c>
      <c r="E15" t="s">
        <v>83</v>
      </c>
      <c r="F15" t="s">
        <v>84</v>
      </c>
      <c r="G15" t="s">
        <v>85</v>
      </c>
      <c r="H15" t="s">
        <v>86</v>
      </c>
      <c r="I15" t="s">
        <v>87</v>
      </c>
      <c r="J15" t="s">
        <v>88</v>
      </c>
      <c r="K15" t="s">
        <v>89</v>
      </c>
      <c r="L15" t="s">
        <v>90</v>
      </c>
      <c r="M15" t="s">
        <v>91</v>
      </c>
      <c r="N15" t="s">
        <v>92</v>
      </c>
      <c r="O15" t="s">
        <v>93</v>
      </c>
      <c r="P15" t="s">
        <v>94</v>
      </c>
      <c r="Q15" t="s">
        <v>95</v>
      </c>
      <c r="R15" t="s">
        <v>96</v>
      </c>
      <c r="S15" t="s">
        <v>97</v>
      </c>
      <c r="T15" t="s">
        <v>98</v>
      </c>
      <c r="U15" t="s">
        <v>99</v>
      </c>
      <c r="V15" t="s">
        <v>100</v>
      </c>
      <c r="W15" t="s">
        <v>101</v>
      </c>
      <c r="X15" t="s">
        <v>102</v>
      </c>
      <c r="Y15" t="s">
        <v>103</v>
      </c>
      <c r="Z15" t="s">
        <v>104</v>
      </c>
      <c r="AA15" t="s">
        <v>105</v>
      </c>
      <c r="AB15" t="s">
        <v>106</v>
      </c>
      <c r="AC15" t="s">
        <v>107</v>
      </c>
      <c r="AD15" t="s">
        <v>108</v>
      </c>
      <c r="AE15" t="s">
        <v>109</v>
      </c>
      <c r="AF15" t="s">
        <v>110</v>
      </c>
      <c r="AG15" t="s">
        <v>111</v>
      </c>
      <c r="AH15" t="s">
        <v>112</v>
      </c>
      <c r="AI15" t="s">
        <v>113</v>
      </c>
      <c r="AJ15" t="s">
        <v>114</v>
      </c>
      <c r="AK15" t="s">
        <v>115</v>
      </c>
      <c r="AL15" t="s">
        <v>116</v>
      </c>
      <c r="AM15" t="s">
        <v>117</v>
      </c>
      <c r="AN15" t="s">
        <v>118</v>
      </c>
      <c r="AO15" t="s">
        <v>119</v>
      </c>
      <c r="AP15" t="s">
        <v>120</v>
      </c>
      <c r="AQ15" t="s">
        <v>121</v>
      </c>
      <c r="AR15" t="s">
        <v>61</v>
      </c>
      <c r="AS15" t="s">
        <v>122</v>
      </c>
      <c r="AT15" t="s">
        <v>123</v>
      </c>
      <c r="AU15" t="s">
        <v>124</v>
      </c>
      <c r="AV15" t="s">
        <v>125</v>
      </c>
      <c r="AW15" t="s">
        <v>126</v>
      </c>
      <c r="AX15" t="s">
        <v>127</v>
      </c>
      <c r="AY15" t="s">
        <v>128</v>
      </c>
      <c r="AZ15" t="s">
        <v>129</v>
      </c>
      <c r="BA15" t="s">
        <v>130</v>
      </c>
      <c r="BB15" t="s">
        <v>131</v>
      </c>
      <c r="BC15" t="s">
        <v>132</v>
      </c>
      <c r="BD15" t="s">
        <v>133</v>
      </c>
      <c r="BE15" t="s">
        <v>134</v>
      </c>
      <c r="BF15" t="s">
        <v>135</v>
      </c>
      <c r="BG15" t="s">
        <v>136</v>
      </c>
      <c r="BH15" t="s">
        <v>137</v>
      </c>
      <c r="BI15" t="s">
        <v>138</v>
      </c>
      <c r="BJ15" t="s">
        <v>139</v>
      </c>
      <c r="BK15" t="s">
        <v>140</v>
      </c>
      <c r="BL15" t="s">
        <v>141</v>
      </c>
      <c r="BM15" t="s">
        <v>142</v>
      </c>
      <c r="BN15" t="s">
        <v>143</v>
      </c>
      <c r="BO15" t="s">
        <v>144</v>
      </c>
      <c r="BP15" t="s">
        <v>145</v>
      </c>
      <c r="BQ15" t="s">
        <v>146</v>
      </c>
      <c r="BR15" t="s">
        <v>147</v>
      </c>
      <c r="BS15" t="s">
        <v>148</v>
      </c>
      <c r="BT15" t="s">
        <v>149</v>
      </c>
      <c r="BU15" t="s">
        <v>150</v>
      </c>
      <c r="BV15" t="s">
        <v>151</v>
      </c>
      <c r="BW15" t="s">
        <v>152</v>
      </c>
      <c r="BX15" t="s">
        <v>153</v>
      </c>
      <c r="BY15" t="s">
        <v>154</v>
      </c>
      <c r="BZ15" t="s">
        <v>155</v>
      </c>
      <c r="CA15" t="s">
        <v>156</v>
      </c>
      <c r="CB15" t="s">
        <v>157</v>
      </c>
      <c r="CC15" t="s">
        <v>158</v>
      </c>
      <c r="CD15" t="s">
        <v>159</v>
      </c>
      <c r="CE15" t="s">
        <v>160</v>
      </c>
      <c r="CF15" t="s">
        <v>161</v>
      </c>
      <c r="CG15" t="s">
        <v>162</v>
      </c>
      <c r="CH15" t="s">
        <v>163</v>
      </c>
      <c r="CI15" t="s">
        <v>164</v>
      </c>
      <c r="CJ15" t="s">
        <v>165</v>
      </c>
      <c r="CK15" t="s">
        <v>166</v>
      </c>
      <c r="CL15" t="s">
        <v>167</v>
      </c>
      <c r="CM15" t="s">
        <v>168</v>
      </c>
      <c r="CN15" t="s">
        <v>169</v>
      </c>
      <c r="CO15" t="s">
        <v>170</v>
      </c>
      <c r="CP15" t="s">
        <v>171</v>
      </c>
      <c r="CQ15" t="s">
        <v>172</v>
      </c>
      <c r="CR15" t="s">
        <v>173</v>
      </c>
      <c r="CS15" t="s">
        <v>174</v>
      </c>
      <c r="CT15" t="s">
        <v>154</v>
      </c>
      <c r="CU15" t="s">
        <v>175</v>
      </c>
      <c r="CV15" t="s">
        <v>176</v>
      </c>
      <c r="CW15" t="s">
        <v>177</v>
      </c>
      <c r="CX15" t="s">
        <v>128</v>
      </c>
      <c r="CY15" t="s">
        <v>178</v>
      </c>
      <c r="CZ15" t="s">
        <v>179</v>
      </c>
      <c r="DA15" t="s">
        <v>180</v>
      </c>
      <c r="DB15" t="s">
        <v>181</v>
      </c>
      <c r="DC15" t="s">
        <v>182</v>
      </c>
      <c r="DD15" t="s">
        <v>183</v>
      </c>
      <c r="DE15" t="s">
        <v>184</v>
      </c>
      <c r="DF15" t="s">
        <v>185</v>
      </c>
      <c r="DG15" t="s">
        <v>186</v>
      </c>
      <c r="DH15" t="s">
        <v>187</v>
      </c>
      <c r="DI15" t="s">
        <v>188</v>
      </c>
      <c r="DJ15" t="s">
        <v>189</v>
      </c>
      <c r="DK15" t="s">
        <v>190</v>
      </c>
      <c r="DL15" t="s">
        <v>191</v>
      </c>
      <c r="DM15" t="s">
        <v>192</v>
      </c>
      <c r="DN15" t="s">
        <v>193</v>
      </c>
      <c r="DO15" t="s">
        <v>194</v>
      </c>
      <c r="DP15" t="s">
        <v>86</v>
      </c>
      <c r="DQ15" t="s">
        <v>195</v>
      </c>
      <c r="DR15" t="s">
        <v>196</v>
      </c>
      <c r="DS15" t="s">
        <v>197</v>
      </c>
      <c r="DT15" t="s">
        <v>198</v>
      </c>
      <c r="DU15" t="s">
        <v>199</v>
      </c>
      <c r="DV15" t="s">
        <v>200</v>
      </c>
      <c r="DW15" t="s">
        <v>201</v>
      </c>
      <c r="DX15" t="s">
        <v>202</v>
      </c>
      <c r="DY15" t="s">
        <v>203</v>
      </c>
      <c r="DZ15" t="s">
        <v>204</v>
      </c>
      <c r="EA15" t="s">
        <v>205</v>
      </c>
      <c r="EB15" t="s">
        <v>206</v>
      </c>
      <c r="EC15" t="s">
        <v>207</v>
      </c>
      <c r="ED15" t="s">
        <v>208</v>
      </c>
      <c r="EE15" t="s">
        <v>209</v>
      </c>
      <c r="EF15" t="s">
        <v>210</v>
      </c>
      <c r="EG15" t="s">
        <v>211</v>
      </c>
      <c r="EH15" t="s">
        <v>212</v>
      </c>
      <c r="EI15" t="s">
        <v>213</v>
      </c>
      <c r="EJ15" t="s">
        <v>214</v>
      </c>
      <c r="EK15" t="s">
        <v>215</v>
      </c>
      <c r="EL15" t="s">
        <v>216</v>
      </c>
      <c r="EM15" t="s">
        <v>217</v>
      </c>
      <c r="EN15" t="s">
        <v>218</v>
      </c>
      <c r="EO15" t="s">
        <v>219</v>
      </c>
      <c r="EP15" t="s">
        <v>220</v>
      </c>
      <c r="EQ15" t="s">
        <v>221</v>
      </c>
      <c r="ER15" t="s">
        <v>222</v>
      </c>
      <c r="ES15" t="s">
        <v>223</v>
      </c>
      <c r="ET15" t="s">
        <v>224</v>
      </c>
      <c r="EU15" t="s">
        <v>225</v>
      </c>
      <c r="EV15" t="s">
        <v>226</v>
      </c>
      <c r="EW15" t="s">
        <v>227</v>
      </c>
      <c r="EX15" t="s">
        <v>228</v>
      </c>
      <c r="EY15" t="s">
        <v>229</v>
      </c>
      <c r="EZ15" t="s">
        <v>230</v>
      </c>
      <c r="FA15" t="s">
        <v>231</v>
      </c>
      <c r="FB15" t="s">
        <v>232</v>
      </c>
      <c r="FC15" t="s">
        <v>233</v>
      </c>
      <c r="FD15" t="s">
        <v>234</v>
      </c>
      <c r="FE15" t="s">
        <v>235</v>
      </c>
      <c r="FF15" t="s">
        <v>236</v>
      </c>
      <c r="FG15" t="s">
        <v>237</v>
      </c>
      <c r="FH15" t="s">
        <v>238</v>
      </c>
      <c r="FI15" t="s">
        <v>239</v>
      </c>
      <c r="FJ15" t="s">
        <v>240</v>
      </c>
      <c r="FK15" t="s">
        <v>241</v>
      </c>
      <c r="FL15" t="s">
        <v>242</v>
      </c>
      <c r="FM15" t="s">
        <v>243</v>
      </c>
      <c r="FN15" t="s">
        <v>244</v>
      </c>
      <c r="FO15" t="s">
        <v>80</v>
      </c>
      <c r="FP15" t="s">
        <v>83</v>
      </c>
      <c r="FQ15" t="s">
        <v>245</v>
      </c>
      <c r="FR15" t="s">
        <v>246</v>
      </c>
      <c r="FS15" t="s">
        <v>247</v>
      </c>
      <c r="FT15" t="s">
        <v>248</v>
      </c>
      <c r="FU15" t="s">
        <v>249</v>
      </c>
      <c r="FV15" t="s">
        <v>250</v>
      </c>
      <c r="FW15" t="s">
        <v>251</v>
      </c>
      <c r="FX15" t="s">
        <v>252</v>
      </c>
      <c r="FY15" t="s">
        <v>253</v>
      </c>
      <c r="FZ15" t="s">
        <v>254</v>
      </c>
      <c r="GA15" t="s">
        <v>255</v>
      </c>
      <c r="GB15" t="s">
        <v>256</v>
      </c>
      <c r="GC15" t="s">
        <v>257</v>
      </c>
      <c r="GD15" t="s">
        <v>258</v>
      </c>
      <c r="GE15" t="s">
        <v>259</v>
      </c>
      <c r="GF15" t="s">
        <v>260</v>
      </c>
      <c r="GG15" t="s">
        <v>261</v>
      </c>
      <c r="GH15" t="s">
        <v>262</v>
      </c>
      <c r="GI15" t="s">
        <v>263</v>
      </c>
      <c r="GJ15" t="s">
        <v>264</v>
      </c>
      <c r="GK15" t="s">
        <v>265</v>
      </c>
      <c r="GL15" t="s">
        <v>266</v>
      </c>
      <c r="GM15" t="s">
        <v>267</v>
      </c>
      <c r="GN15" t="s">
        <v>268</v>
      </c>
      <c r="GO15" t="s">
        <v>269</v>
      </c>
      <c r="GP15" t="s">
        <v>270</v>
      </c>
      <c r="GQ15" t="s">
        <v>271</v>
      </c>
      <c r="GR15" t="s">
        <v>272</v>
      </c>
      <c r="GS15" t="s">
        <v>273</v>
      </c>
      <c r="GT15" t="s">
        <v>274</v>
      </c>
      <c r="GU15" t="s">
        <v>275</v>
      </c>
      <c r="GV15" t="s">
        <v>276</v>
      </c>
      <c r="GW15" t="s">
        <v>277</v>
      </c>
      <c r="GX15" t="s">
        <v>278</v>
      </c>
      <c r="GY15" t="s">
        <v>279</v>
      </c>
      <c r="GZ15" t="s">
        <v>280</v>
      </c>
      <c r="HA15" t="s">
        <v>281</v>
      </c>
      <c r="HB15" t="s">
        <v>282</v>
      </c>
      <c r="HC15" t="s">
        <v>283</v>
      </c>
      <c r="HD15" t="s">
        <v>284</v>
      </c>
      <c r="HE15" t="s">
        <v>285</v>
      </c>
      <c r="HF15" t="s">
        <v>286</v>
      </c>
      <c r="HG15" t="s">
        <v>287</v>
      </c>
      <c r="HH15" t="s">
        <v>288</v>
      </c>
      <c r="HI15" t="s">
        <v>289</v>
      </c>
      <c r="HJ15" t="s">
        <v>290</v>
      </c>
      <c r="HK15" t="s">
        <v>291</v>
      </c>
      <c r="HL15" t="s">
        <v>292</v>
      </c>
      <c r="HM15" t="s">
        <v>293</v>
      </c>
      <c r="HN15" t="s">
        <v>294</v>
      </c>
      <c r="HO15" t="s">
        <v>295</v>
      </c>
      <c r="HP15" t="s">
        <v>296</v>
      </c>
      <c r="HQ15" t="s">
        <v>297</v>
      </c>
      <c r="HR15" t="s">
        <v>298</v>
      </c>
      <c r="HS15" t="s">
        <v>299</v>
      </c>
      <c r="HT15" t="s">
        <v>300</v>
      </c>
      <c r="HU15" t="s">
        <v>301</v>
      </c>
      <c r="HV15" t="s">
        <v>302</v>
      </c>
      <c r="HW15" t="s">
        <v>303</v>
      </c>
      <c r="HX15" t="s">
        <v>304</v>
      </c>
      <c r="HY15" t="s">
        <v>305</v>
      </c>
      <c r="HZ15" t="s">
        <v>306</v>
      </c>
      <c r="IA15" t="s">
        <v>307</v>
      </c>
      <c r="IB15" t="s">
        <v>308</v>
      </c>
      <c r="IC15" t="s">
        <v>309</v>
      </c>
      <c r="ID15" t="s">
        <v>310</v>
      </c>
      <c r="IE15" t="s">
        <v>311</v>
      </c>
      <c r="IF15" t="s">
        <v>312</v>
      </c>
      <c r="IG15" t="s">
        <v>313</v>
      </c>
      <c r="IH15" t="s">
        <v>314</v>
      </c>
      <c r="II15" t="s">
        <v>315</v>
      </c>
      <c r="IJ15" t="s">
        <v>316</v>
      </c>
      <c r="IK15" t="s">
        <v>317</v>
      </c>
      <c r="IL15" t="s">
        <v>318</v>
      </c>
      <c r="IM15" t="s">
        <v>319</v>
      </c>
      <c r="IN15" t="s">
        <v>320</v>
      </c>
      <c r="IO15" t="s">
        <v>321</v>
      </c>
      <c r="IP15" t="s">
        <v>322</v>
      </c>
      <c r="IQ15" t="s">
        <v>323</v>
      </c>
      <c r="IR15" t="s">
        <v>324</v>
      </c>
      <c r="IS15" t="s">
        <v>325</v>
      </c>
      <c r="IT15" t="s">
        <v>326</v>
      </c>
      <c r="IU15" t="s">
        <v>327</v>
      </c>
      <c r="IV15" t="s">
        <v>328</v>
      </c>
      <c r="IW15" t="s">
        <v>329</v>
      </c>
      <c r="IX15" t="s">
        <v>330</v>
      </c>
      <c r="IY15" t="s">
        <v>331</v>
      </c>
      <c r="IZ15" t="s">
        <v>332</v>
      </c>
      <c r="JA15" t="s">
        <v>333</v>
      </c>
      <c r="JB15" t="s">
        <v>334</v>
      </c>
      <c r="JC15" t="s">
        <v>335</v>
      </c>
      <c r="JD15" t="s">
        <v>336</v>
      </c>
      <c r="JE15" t="s">
        <v>337</v>
      </c>
      <c r="JF15" t="s">
        <v>338</v>
      </c>
      <c r="JG15" t="s">
        <v>339</v>
      </c>
      <c r="JH15" t="s">
        <v>340</v>
      </c>
      <c r="JI15" t="s">
        <v>341</v>
      </c>
      <c r="JJ15" t="s">
        <v>342</v>
      </c>
      <c r="JK15" t="s">
        <v>343</v>
      </c>
      <c r="JL15" t="s">
        <v>344</v>
      </c>
      <c r="JM15" t="s">
        <v>345</v>
      </c>
      <c r="JN15" t="s">
        <v>346</v>
      </c>
      <c r="JO15" t="s">
        <v>347</v>
      </c>
      <c r="JP15" t="s">
        <v>348</v>
      </c>
      <c r="JQ15" t="s">
        <v>349</v>
      </c>
      <c r="JR15" t="s">
        <v>350</v>
      </c>
      <c r="JS15" t="s">
        <v>351</v>
      </c>
      <c r="JT15" t="s">
        <v>352</v>
      </c>
      <c r="JU15" t="s">
        <v>353</v>
      </c>
      <c r="JV15" t="s">
        <v>354</v>
      </c>
      <c r="JW15" t="s">
        <v>355</v>
      </c>
      <c r="JX15" t="s">
        <v>356</v>
      </c>
      <c r="JY15" t="s">
        <v>357</v>
      </c>
      <c r="JZ15" t="s">
        <v>358</v>
      </c>
      <c r="KA15" t="s">
        <v>359</v>
      </c>
      <c r="KB15" t="s">
        <v>360</v>
      </c>
      <c r="KC15" t="s">
        <v>361</v>
      </c>
      <c r="KD15" t="s">
        <v>362</v>
      </c>
      <c r="KE15" t="s">
        <v>363</v>
      </c>
      <c r="KF15" t="s">
        <v>364</v>
      </c>
      <c r="KG15" t="s">
        <v>365</v>
      </c>
      <c r="KH15" t="s">
        <v>366</v>
      </c>
      <c r="KI15" t="s">
        <v>367</v>
      </c>
      <c r="KJ15" t="s">
        <v>368</v>
      </c>
    </row>
    <row r="16" spans="1:296" x14ac:dyDescent="0.3">
      <c r="B16" t="s">
        <v>369</v>
      </c>
      <c r="C16" t="s">
        <v>369</v>
      </c>
      <c r="F16" t="s">
        <v>369</v>
      </c>
      <c r="H16" t="s">
        <v>369</v>
      </c>
      <c r="I16" t="s">
        <v>370</v>
      </c>
      <c r="J16" t="s">
        <v>371</v>
      </c>
      <c r="K16" t="s">
        <v>372</v>
      </c>
      <c r="L16" t="s">
        <v>373</v>
      </c>
      <c r="M16" t="s">
        <v>373</v>
      </c>
      <c r="N16" t="s">
        <v>202</v>
      </c>
      <c r="O16" t="s">
        <v>202</v>
      </c>
      <c r="P16" t="s">
        <v>370</v>
      </c>
      <c r="Q16" t="s">
        <v>370</v>
      </c>
      <c r="R16" t="s">
        <v>370</v>
      </c>
      <c r="S16" t="s">
        <v>370</v>
      </c>
      <c r="T16" t="s">
        <v>374</v>
      </c>
      <c r="U16" t="s">
        <v>375</v>
      </c>
      <c r="V16" t="s">
        <v>375</v>
      </c>
      <c r="W16" t="s">
        <v>376</v>
      </c>
      <c r="X16" t="s">
        <v>377</v>
      </c>
      <c r="Y16" t="s">
        <v>376</v>
      </c>
      <c r="Z16" t="s">
        <v>376</v>
      </c>
      <c r="AA16" t="s">
        <v>376</v>
      </c>
      <c r="AB16" t="s">
        <v>374</v>
      </c>
      <c r="AC16" t="s">
        <v>374</v>
      </c>
      <c r="AD16" t="s">
        <v>374</v>
      </c>
      <c r="AE16" t="s">
        <v>374</v>
      </c>
      <c r="AF16" t="s">
        <v>372</v>
      </c>
      <c r="AG16" t="s">
        <v>371</v>
      </c>
      <c r="AH16" t="s">
        <v>372</v>
      </c>
      <c r="AI16" t="s">
        <v>373</v>
      </c>
      <c r="AJ16" t="s">
        <v>373</v>
      </c>
      <c r="AK16" t="s">
        <v>378</v>
      </c>
      <c r="AL16" t="s">
        <v>379</v>
      </c>
      <c r="AM16" t="s">
        <v>371</v>
      </c>
      <c r="AN16" t="s">
        <v>380</v>
      </c>
      <c r="AO16" t="s">
        <v>380</v>
      </c>
      <c r="AP16" t="s">
        <v>381</v>
      </c>
      <c r="AQ16" t="s">
        <v>379</v>
      </c>
      <c r="AR16" t="s">
        <v>382</v>
      </c>
      <c r="AS16" t="s">
        <v>377</v>
      </c>
      <c r="AU16" t="s">
        <v>377</v>
      </c>
      <c r="AV16" t="s">
        <v>382</v>
      </c>
      <c r="BB16" t="s">
        <v>372</v>
      </c>
      <c r="BI16" t="s">
        <v>372</v>
      </c>
      <c r="BJ16" t="s">
        <v>372</v>
      </c>
      <c r="BK16" t="s">
        <v>372</v>
      </c>
      <c r="BL16" t="s">
        <v>383</v>
      </c>
      <c r="BZ16" t="s">
        <v>384</v>
      </c>
      <c r="CB16" t="s">
        <v>384</v>
      </c>
      <c r="CC16" t="s">
        <v>372</v>
      </c>
      <c r="CF16" t="s">
        <v>384</v>
      </c>
      <c r="CG16" t="s">
        <v>377</v>
      </c>
      <c r="CJ16" t="s">
        <v>385</v>
      </c>
      <c r="CK16" t="s">
        <v>385</v>
      </c>
      <c r="CM16" t="s">
        <v>386</v>
      </c>
      <c r="CN16" t="s">
        <v>384</v>
      </c>
      <c r="CP16" t="s">
        <v>384</v>
      </c>
      <c r="CQ16" t="s">
        <v>372</v>
      </c>
      <c r="CU16" t="s">
        <v>384</v>
      </c>
      <c r="CW16" t="s">
        <v>387</v>
      </c>
      <c r="CZ16" t="s">
        <v>384</v>
      </c>
      <c r="DA16" t="s">
        <v>384</v>
      </c>
      <c r="DC16" t="s">
        <v>384</v>
      </c>
      <c r="DE16" t="s">
        <v>384</v>
      </c>
      <c r="DG16" t="s">
        <v>372</v>
      </c>
      <c r="DH16" t="s">
        <v>372</v>
      </c>
      <c r="DJ16" t="s">
        <v>388</v>
      </c>
      <c r="DK16" t="s">
        <v>389</v>
      </c>
      <c r="DN16" t="s">
        <v>370</v>
      </c>
      <c r="DP16" t="s">
        <v>369</v>
      </c>
      <c r="DQ16" t="s">
        <v>373</v>
      </c>
      <c r="DR16" t="s">
        <v>373</v>
      </c>
      <c r="DS16" t="s">
        <v>380</v>
      </c>
      <c r="DT16" t="s">
        <v>380</v>
      </c>
      <c r="DU16" t="s">
        <v>373</v>
      </c>
      <c r="DV16" t="s">
        <v>380</v>
      </c>
      <c r="DW16" t="s">
        <v>382</v>
      </c>
      <c r="DX16" t="s">
        <v>376</v>
      </c>
      <c r="DY16" t="s">
        <v>376</v>
      </c>
      <c r="DZ16" t="s">
        <v>375</v>
      </c>
      <c r="EA16" t="s">
        <v>375</v>
      </c>
      <c r="EB16" t="s">
        <v>375</v>
      </c>
      <c r="EC16" t="s">
        <v>375</v>
      </c>
      <c r="ED16" t="s">
        <v>375</v>
      </c>
      <c r="EE16" t="s">
        <v>390</v>
      </c>
      <c r="EF16" t="s">
        <v>372</v>
      </c>
      <c r="EG16" t="s">
        <v>372</v>
      </c>
      <c r="EH16" t="s">
        <v>373</v>
      </c>
      <c r="EI16" t="s">
        <v>373</v>
      </c>
      <c r="EJ16" t="s">
        <v>373</v>
      </c>
      <c r="EK16" t="s">
        <v>380</v>
      </c>
      <c r="EL16" t="s">
        <v>373</v>
      </c>
      <c r="EM16" t="s">
        <v>380</v>
      </c>
      <c r="EN16" t="s">
        <v>376</v>
      </c>
      <c r="EO16" t="s">
        <v>376</v>
      </c>
      <c r="EP16" t="s">
        <v>375</v>
      </c>
      <c r="EQ16" t="s">
        <v>375</v>
      </c>
      <c r="ER16" t="s">
        <v>372</v>
      </c>
      <c r="EW16" t="s">
        <v>372</v>
      </c>
      <c r="EZ16" t="s">
        <v>375</v>
      </c>
      <c r="FA16" t="s">
        <v>375</v>
      </c>
      <c r="FB16" t="s">
        <v>375</v>
      </c>
      <c r="FC16" t="s">
        <v>375</v>
      </c>
      <c r="FD16" t="s">
        <v>375</v>
      </c>
      <c r="FE16" t="s">
        <v>372</v>
      </c>
      <c r="FF16" t="s">
        <v>372</v>
      </c>
      <c r="FG16" t="s">
        <v>372</v>
      </c>
      <c r="FH16" t="s">
        <v>369</v>
      </c>
      <c r="FK16" t="s">
        <v>391</v>
      </c>
      <c r="FL16" t="s">
        <v>391</v>
      </c>
      <c r="FN16" t="s">
        <v>369</v>
      </c>
      <c r="FO16" t="s">
        <v>392</v>
      </c>
      <c r="FQ16" t="s">
        <v>369</v>
      </c>
      <c r="FR16" t="s">
        <v>369</v>
      </c>
      <c r="FT16" t="s">
        <v>393</v>
      </c>
      <c r="FU16" t="s">
        <v>394</v>
      </c>
      <c r="FV16" t="s">
        <v>393</v>
      </c>
      <c r="FW16" t="s">
        <v>394</v>
      </c>
      <c r="FX16" t="s">
        <v>393</v>
      </c>
      <c r="FY16" t="s">
        <v>394</v>
      </c>
      <c r="FZ16" t="s">
        <v>377</v>
      </c>
      <c r="GA16" t="s">
        <v>377</v>
      </c>
      <c r="GB16" t="s">
        <v>373</v>
      </c>
      <c r="GC16" t="s">
        <v>395</v>
      </c>
      <c r="GD16" t="s">
        <v>373</v>
      </c>
      <c r="GG16" t="s">
        <v>396</v>
      </c>
      <c r="GJ16" t="s">
        <v>380</v>
      </c>
      <c r="GK16" t="s">
        <v>397</v>
      </c>
      <c r="GL16" t="s">
        <v>380</v>
      </c>
      <c r="GQ16" t="s">
        <v>398</v>
      </c>
      <c r="GR16" t="s">
        <v>398</v>
      </c>
      <c r="HE16" t="s">
        <v>398</v>
      </c>
      <c r="HF16" t="s">
        <v>398</v>
      </c>
      <c r="HG16" t="s">
        <v>399</v>
      </c>
      <c r="HH16" t="s">
        <v>399</v>
      </c>
      <c r="HI16" t="s">
        <v>375</v>
      </c>
      <c r="HJ16" t="s">
        <v>375</v>
      </c>
      <c r="HK16" t="s">
        <v>377</v>
      </c>
      <c r="HL16" t="s">
        <v>375</v>
      </c>
      <c r="HM16" t="s">
        <v>380</v>
      </c>
      <c r="HN16" t="s">
        <v>377</v>
      </c>
      <c r="HO16" t="s">
        <v>377</v>
      </c>
      <c r="HQ16" t="s">
        <v>398</v>
      </c>
      <c r="HR16" t="s">
        <v>398</v>
      </c>
      <c r="HS16" t="s">
        <v>398</v>
      </c>
      <c r="HT16" t="s">
        <v>398</v>
      </c>
      <c r="HU16" t="s">
        <v>398</v>
      </c>
      <c r="HV16" t="s">
        <v>398</v>
      </c>
      <c r="HW16" t="s">
        <v>398</v>
      </c>
      <c r="HX16" t="s">
        <v>400</v>
      </c>
      <c r="HY16" t="s">
        <v>400</v>
      </c>
      <c r="HZ16" t="s">
        <v>400</v>
      </c>
      <c r="IA16" t="s">
        <v>401</v>
      </c>
      <c r="IB16" t="s">
        <v>398</v>
      </c>
      <c r="IC16" t="s">
        <v>398</v>
      </c>
      <c r="ID16" t="s">
        <v>398</v>
      </c>
      <c r="IE16" t="s">
        <v>398</v>
      </c>
      <c r="IF16" t="s">
        <v>398</v>
      </c>
      <c r="IG16" t="s">
        <v>398</v>
      </c>
      <c r="IH16" t="s">
        <v>398</v>
      </c>
      <c r="II16" t="s">
        <v>398</v>
      </c>
      <c r="IJ16" t="s">
        <v>398</v>
      </c>
      <c r="IK16" t="s">
        <v>398</v>
      </c>
      <c r="IL16" t="s">
        <v>398</v>
      </c>
      <c r="IM16" t="s">
        <v>398</v>
      </c>
      <c r="IT16" t="s">
        <v>398</v>
      </c>
      <c r="IU16" t="s">
        <v>377</v>
      </c>
      <c r="IV16" t="s">
        <v>377</v>
      </c>
      <c r="IW16" t="s">
        <v>393</v>
      </c>
      <c r="IX16" t="s">
        <v>394</v>
      </c>
      <c r="IY16" t="s">
        <v>393</v>
      </c>
      <c r="JC16" t="s">
        <v>394</v>
      </c>
      <c r="JG16" t="s">
        <v>373</v>
      </c>
      <c r="JH16" t="s">
        <v>373</v>
      </c>
      <c r="JI16" t="s">
        <v>380</v>
      </c>
      <c r="JJ16" t="s">
        <v>380</v>
      </c>
      <c r="JK16" t="s">
        <v>402</v>
      </c>
      <c r="JL16" t="s">
        <v>402</v>
      </c>
      <c r="JM16" t="s">
        <v>398</v>
      </c>
      <c r="JN16" t="s">
        <v>398</v>
      </c>
      <c r="JO16" t="s">
        <v>398</v>
      </c>
      <c r="JP16" t="s">
        <v>398</v>
      </c>
      <c r="JQ16" t="s">
        <v>398</v>
      </c>
      <c r="JR16" t="s">
        <v>398</v>
      </c>
      <c r="JS16" t="s">
        <v>375</v>
      </c>
      <c r="JT16" t="s">
        <v>398</v>
      </c>
      <c r="JV16" t="s">
        <v>382</v>
      </c>
      <c r="JW16" t="s">
        <v>382</v>
      </c>
      <c r="JX16" t="s">
        <v>375</v>
      </c>
      <c r="JY16" t="s">
        <v>375</v>
      </c>
      <c r="JZ16" t="s">
        <v>375</v>
      </c>
      <c r="KA16" t="s">
        <v>375</v>
      </c>
      <c r="KB16" t="s">
        <v>375</v>
      </c>
      <c r="KC16" t="s">
        <v>377</v>
      </c>
      <c r="KD16" t="s">
        <v>377</v>
      </c>
      <c r="KE16" t="s">
        <v>377</v>
      </c>
      <c r="KF16" t="s">
        <v>375</v>
      </c>
      <c r="KG16" t="s">
        <v>373</v>
      </c>
      <c r="KH16" t="s">
        <v>380</v>
      </c>
      <c r="KI16" t="s">
        <v>377</v>
      </c>
      <c r="KJ16" t="s">
        <v>377</v>
      </c>
    </row>
    <row r="17" spans="1:296" x14ac:dyDescent="0.3">
      <c r="A17">
        <v>1</v>
      </c>
      <c r="B17">
        <v>1783445353</v>
      </c>
      <c r="C17">
        <v>0</v>
      </c>
      <c r="D17" t="s">
        <v>1000</v>
      </c>
      <c r="E17" t="s">
        <v>1001</v>
      </c>
      <c r="F17">
        <v>15</v>
      </c>
      <c r="H17">
        <v>1783445345.25</v>
      </c>
      <c r="I17">
        <f t="shared" ref="I17:I22" si="0">(J17)/1000</f>
        <v>6.9122503697528195E-3</v>
      </c>
      <c r="J17">
        <f t="shared" ref="J17:J22" si="1">IF(DO17, AM17, AG17)</f>
        <v>6.9122503697528197</v>
      </c>
      <c r="K17">
        <f t="shared" ref="K17:K22" si="2">IF(DO17, AH17, AF17)</f>
        <v>67.266859287976047</v>
      </c>
      <c r="L17">
        <f t="shared" ref="L17:L22" si="3">DQ17 - IF(AT17&gt;1, K17*DK17*100/(AV17), 0)</f>
        <v>419.99243333333328</v>
      </c>
      <c r="M17">
        <f t="shared" ref="M17:M22" si="4">((S17-I17/2)*L17-K17)/(S17+I17/2)</f>
        <v>104.04903404122669</v>
      </c>
      <c r="N17">
        <f t="shared" ref="N17:N22" si="5">M17*(DX17+DY17)/1000</f>
        <v>10.220877317991109</v>
      </c>
      <c r="O17">
        <f t="shared" ref="O17:O22" si="6">(DQ17 - IF(AT17&gt;1, K17*DK17*100/(AV17), 0))*(DX17+DY17)/1000</f>
        <v>41.25642467650102</v>
      </c>
      <c r="P17">
        <f t="shared" ref="P17:P22" si="7">2/((1/R17-1/Q17)+SIGN(R17)*SQRT((1/R17-1/Q17)*(1/R17-1/Q17) + 4*DL17/((DL17+1)*(DL17+1))*(2*1/R17*1/Q17-1/Q17*1/Q17)))</f>
        <v>0.37103742502624337</v>
      </c>
      <c r="Q17">
        <f t="shared" ref="Q17:Q22" si="8">IF(LEFT(DM17,1)&lt;&gt;"0",IF(LEFT(DM17,1)="1",3,DN17),$D$5+$E$5*(EE17*DX17/($K$5*1000))+$F$5*(EE17*DX17/($K$5*1000))*MAX(MIN(DK17,$J$5),$I$5)*MAX(MIN(DK17,$J$5),$I$5)+$G$5*MAX(MIN(DK17,$J$5),$I$5)*(EE17*DX17/($K$5*1000))+$H$5*(EE17*DX17/($K$5*1000))*(EE17*DX17/($K$5*1000)))</f>
        <v>2.8971958461957605</v>
      </c>
      <c r="R17">
        <f t="shared" ref="R17:R22" si="9">I17*(1000-(1000*0.61365*EXP(17.502*V17/(240.97+V17))/(DX17+DY17)+DS17)/2)/(1000*0.61365*EXP(17.502*V17/(240.97+V17))/(DX17+DY17)-DS17)</f>
        <v>0.34651601115364777</v>
      </c>
      <c r="S17">
        <f t="shared" ref="S17:S22" si="10">1/((DL17+1)/(P17/1.6)+1/(Q17/1.37)) + DL17/((DL17+1)/(P17/1.6) + DL17/(Q17/1.37))</f>
        <v>0.21864046647615676</v>
      </c>
      <c r="T17">
        <f t="shared" ref="T17:T22" si="11">(DG17*DJ17)</f>
        <v>757.78899622902543</v>
      </c>
      <c r="U17">
        <f t="shared" ref="U17:U22" si="12">(DZ17+(T17+2*0.95*0.0000000567*(((DZ17+$B$7)+273)^4-(DZ17+273)^4)-44100*I17)/(1.84*29.3*Q17+8*0.95*0.0000000567*(DZ17+273)^3))</f>
        <v>37.178477069173816</v>
      </c>
      <c r="V17">
        <f t="shared" ref="V17:V22" si="13">($C$7*EA17+$D$7*EB17+$E$7*U17)</f>
        <v>34.023060000000001</v>
      </c>
      <c r="W17">
        <f t="shared" ref="W17:W22" si="14">0.61365*EXP(17.502*V17/(240.97+V17))</f>
        <v>5.3498865744747626</v>
      </c>
      <c r="X17">
        <f t="shared" ref="X17:X22" si="15">(Y17/Z17*100)</f>
        <v>63.336804046614617</v>
      </c>
      <c r="Y17">
        <f t="shared" ref="Y17:Y22" si="16">DS17*(DX17+DY17)/1000</f>
        <v>3.4784350525363297</v>
      </c>
      <c r="Z17">
        <f t="shared" ref="Z17:Z22" si="17">0.61365*EXP(17.502*DZ17/(240.97+DZ17))</f>
        <v>5.4919649087065894</v>
      </c>
      <c r="AA17">
        <f t="shared" ref="AA17:AA22" si="18">(W17-DS17*(DX17+DY17)/1000)</f>
        <v>1.8714515219384329</v>
      </c>
      <c r="AB17">
        <f t="shared" ref="AB17:AB22" si="19">(-I17*44100)</f>
        <v>-304.83024130609937</v>
      </c>
      <c r="AC17">
        <f t="shared" ref="AC17:AC22" si="20">2*29.3*Q17*0.92*(DZ17-V17)</f>
        <v>73.532312936360285</v>
      </c>
      <c r="AD17">
        <f t="shared" ref="AD17:AD22" si="21">2*0.95*0.0000000567*(((DZ17+$B$7)+273)^4-(V17+273)^4)</f>
        <v>5.884686546429907</v>
      </c>
      <c r="AE17">
        <f t="shared" ref="AE17:AE22" si="22">T17+AD17+AB17+AC17</f>
        <v>532.37575440571618</v>
      </c>
      <c r="AF17">
        <f t="shared" ref="AF17:AF22" si="23">DW17*AT17*(DR17-DQ17*(1000-AT17*DT17)/(1000-AT17*DS17))/(100*DK17)</f>
        <v>67.266859287976047</v>
      </c>
      <c r="AG17">
        <f t="shared" ref="AG17:AG22" si="24">1000*DW17*AT17*(DS17-DT17)/(100*DK17*(1000-AT17*DS17))</f>
        <v>6.9122503697528197</v>
      </c>
      <c r="AH17">
        <f t="shared" ref="AH17:AH22" si="25">(AI17 - AJ17 - DX17*1000/(8.314*(DZ17+273.15)) * AL17/DW17 * AK17) * DW17/(100*DK17) * (1000 - DT17)/1000</f>
        <v>67.037883950436751</v>
      </c>
      <c r="AI17">
        <v>518.48606113255767</v>
      </c>
      <c r="AJ17">
        <v>435.7081575757573</v>
      </c>
      <c r="AK17">
        <v>1.18495212856198E-2</v>
      </c>
      <c r="AL17">
        <v>67.024859091071448</v>
      </c>
      <c r="AM17">
        <f t="shared" ref="AM17:AM22" si="26">(AO17 - AN17 + DX17*1000/(8.314*(DZ17+273.15)) * AQ17/DW17 * AP17) * DW17/(100*DK17) * 1000/(1000 - AO17)</f>
        <v>7.5289725058933969</v>
      </c>
      <c r="AN17">
        <v>27.549761199513132</v>
      </c>
      <c r="AO17">
        <v>36.028135151515137</v>
      </c>
      <c r="AP17">
        <v>3.8611241818910361E-2</v>
      </c>
      <c r="AQ17">
        <v>78.041683177528469</v>
      </c>
      <c r="AR17">
        <v>0</v>
      </c>
      <c r="AS17">
        <v>0</v>
      </c>
      <c r="AT17">
        <f t="shared" ref="AT17:AT22" si="27">IF(AR17*$H$13&gt;=AV17,1,(AV17/(AV17-AR17*$H$13)))</f>
        <v>1</v>
      </c>
      <c r="AU17">
        <f t="shared" ref="AU17:AU22" si="28">(AT17-1)*100</f>
        <v>0</v>
      </c>
      <c r="AV17">
        <f t="shared" ref="AV17:AV22" si="29">MAX(0,($B$13+$C$13*EE17)/(1+$D$13*EE17)*DX17/(DZ17+273)*$E$13)</f>
        <v>50643.265854093348</v>
      </c>
      <c r="AW17" t="s">
        <v>948</v>
      </c>
      <c r="AX17">
        <v>5105.72</v>
      </c>
      <c r="AY17">
        <v>582.62941176470576</v>
      </c>
      <c r="AZ17">
        <v>2436.86</v>
      </c>
      <c r="BA17">
        <f t="shared" ref="BA17:BA22" si="30">1-AY17/AZ17</f>
        <v>0.76090977250859482</v>
      </c>
      <c r="BB17">
        <v>-2.6462146481794289</v>
      </c>
      <c r="BC17" t="s">
        <v>1002</v>
      </c>
      <c r="BD17">
        <v>5085.41</v>
      </c>
      <c r="BE17">
        <v>735.36400000000015</v>
      </c>
      <c r="BF17">
        <v>939.51</v>
      </c>
      <c r="BG17">
        <f t="shared" ref="BG17:BG22" si="31">1-BE17/BF17</f>
        <v>0.21728986386520621</v>
      </c>
      <c r="BH17">
        <v>0.5</v>
      </c>
      <c r="BI17">
        <f t="shared" ref="BI17:BI22" si="32">DH17</f>
        <v>3541.0988419148662</v>
      </c>
      <c r="BJ17">
        <f t="shared" ref="BJ17:BJ22" si="33">K17</f>
        <v>67.266859287976047</v>
      </c>
      <c r="BK17">
        <f t="shared" ref="BK17:BK22" si="34">BG17*BH17*BI17</f>
        <v>384.72244264646031</v>
      </c>
      <c r="BL17">
        <f t="shared" ref="BL17:BL22" si="35">(BJ17-BB17)/BI17</f>
        <v>1.9743327440797907E-2</v>
      </c>
      <c r="BM17">
        <f t="shared" ref="BM17:BM22" si="36">(AZ17-BF17)/BF17</f>
        <v>1.5937563197837172</v>
      </c>
      <c r="BN17">
        <f t="shared" ref="BN17:BN22" si="37">AY17/(BA17+AY17/BF17)</f>
        <v>421.87375778806802</v>
      </c>
      <c r="BO17" t="s">
        <v>407</v>
      </c>
      <c r="BP17">
        <v>0</v>
      </c>
      <c r="BQ17">
        <f t="shared" ref="BQ17:BQ22" si="38">IF(BP17&lt;&gt;0, BP17, BN17)</f>
        <v>421.87375778806802</v>
      </c>
      <c r="BR17">
        <f t="shared" ref="BR17:BR22" si="39">1-BQ17/BF17</f>
        <v>0.5509640580855254</v>
      </c>
      <c r="BS17">
        <f t="shared" ref="BS17:BS22" si="40">(BF17-BE17)/(BF17-BQ17)</f>
        <v>0.39438119542722794</v>
      </c>
      <c r="BT17">
        <f t="shared" ref="BT17:BT22" si="41">(AZ17-BF17)/(AZ17-BQ17)</f>
        <v>0.74310681067295936</v>
      </c>
      <c r="BU17">
        <f t="shared" ref="BU17:BU22" si="42">(BF17-BE17)/(BF17-AY17)</f>
        <v>0.57202887108391776</v>
      </c>
      <c r="BV17">
        <f t="shared" ref="BV17:BV22" si="43">(AZ17-BF17)/(AZ17-AY17)</f>
        <v>0.80753171126631873</v>
      </c>
      <c r="BW17">
        <f t="shared" ref="BW17:BW22" si="44">(BS17*BQ17/BE17)</f>
        <v>0.22625404142143896</v>
      </c>
      <c r="BX17">
        <f t="shared" ref="BX17:BX22" si="45">(1-BW17)</f>
        <v>0.7737459585785611</v>
      </c>
      <c r="DG17">
        <f t="shared" ref="DG17:DG22" si="46">$B$11*EF17+$C$11*EG17+$F$11*ER17*(1-EU17)</f>
        <v>4318.0186666666668</v>
      </c>
      <c r="DH17">
        <f t="shared" ref="DH17:DH22" si="47">DG17*DI17</f>
        <v>3541.0988419148662</v>
      </c>
      <c r="DI17">
        <f t="shared" ref="DI17:DI22" si="48">($B$11*$D$9+$C$11*$D$9+$F$11*((FE17+EW17)/MAX(FE17+EW17+FF17, 0.1)*$I$9+FF17/MAX(FE17+EW17+FF17, 0.1)*$J$9))/($B$11+$C$11+$F$11)</f>
        <v>0.82007492678313254</v>
      </c>
      <c r="DJ17">
        <f t="shared" ref="DJ17:DJ22" si="49">($B$11*$K$9+$C$11*$K$9+$F$11*((FE17+EW17)/MAX(FE17+EW17+FF17, 0.1)*$P$9+FF17/MAX(FE17+EW17+FF17, 0.1)*$Q$9))/($B$11+$C$11+$F$11)</f>
        <v>0.17549460869144584</v>
      </c>
      <c r="DK17">
        <v>6</v>
      </c>
      <c r="DL17">
        <v>0.5</v>
      </c>
      <c r="DM17" t="s">
        <v>408</v>
      </c>
      <c r="DN17">
        <v>2</v>
      </c>
      <c r="DO17" t="b">
        <v>0</v>
      </c>
      <c r="DP17">
        <v>1783445345.25</v>
      </c>
      <c r="DQ17">
        <v>419.99243333333328</v>
      </c>
      <c r="DR17">
        <v>504.20083333333332</v>
      </c>
      <c r="DS17">
        <v>35.410640000000001</v>
      </c>
      <c r="DT17">
        <v>27.409236666666661</v>
      </c>
      <c r="DU17">
        <v>425.43020000000001</v>
      </c>
      <c r="DV17">
        <v>35.733640000000001</v>
      </c>
      <c r="DW17">
        <v>499.97353333333331</v>
      </c>
      <c r="DX17">
        <v>98.181833333333316</v>
      </c>
      <c r="DY17">
        <v>4.9518953333333317E-2</v>
      </c>
      <c r="DZ17">
        <v>34.493836666666667</v>
      </c>
      <c r="EA17">
        <v>34.023060000000001</v>
      </c>
      <c r="EB17">
        <v>999.9000000000002</v>
      </c>
      <c r="EC17">
        <v>0</v>
      </c>
      <c r="ED17">
        <v>0</v>
      </c>
      <c r="EE17">
        <v>9998.5</v>
      </c>
      <c r="EF17">
        <v>0</v>
      </c>
      <c r="EG17">
        <v>2318.067333333333</v>
      </c>
      <c r="EH17">
        <v>-84.208470000000005</v>
      </c>
      <c r="EI17">
        <v>435.60029999999989</v>
      </c>
      <c r="EJ17">
        <v>518.41003333333333</v>
      </c>
      <c r="EK17">
        <v>8.4215696666666666</v>
      </c>
      <c r="EL17">
        <v>504.20083333333332</v>
      </c>
      <c r="EM17">
        <v>27.409236666666661</v>
      </c>
      <c r="EN17">
        <v>3.517933999999999</v>
      </c>
      <c r="EO17">
        <v>2.691088333333334</v>
      </c>
      <c r="EP17">
        <v>26.706463333333328</v>
      </c>
      <c r="EQ17">
        <v>22.23065333333334</v>
      </c>
      <c r="ER17">
        <v>1999.9513333333341</v>
      </c>
      <c r="ES17">
        <v>0.99499389999999965</v>
      </c>
      <c r="ET17">
        <v>5.0064586666666664E-3</v>
      </c>
      <c r="EU17">
        <v>0</v>
      </c>
      <c r="EV17">
        <v>735.74220000000014</v>
      </c>
      <c r="EW17">
        <v>5.0010700000000003</v>
      </c>
      <c r="EX17">
        <v>20374.69666666667</v>
      </c>
      <c r="EY17">
        <v>18241.153333333328</v>
      </c>
      <c r="EZ17">
        <v>43.729000000000013</v>
      </c>
      <c r="FA17">
        <v>45.553733333333312</v>
      </c>
      <c r="FB17">
        <v>44.220599999999997</v>
      </c>
      <c r="FC17">
        <v>45.099800000000002</v>
      </c>
      <c r="FD17">
        <v>45.324599999999997</v>
      </c>
      <c r="FE17">
        <v>1984.961333333333</v>
      </c>
      <c r="FF17">
        <v>9.990000000000002</v>
      </c>
      <c r="FG17">
        <v>0</v>
      </c>
      <c r="FH17">
        <v>2434.7999999523158</v>
      </c>
      <c r="FI17">
        <v>0</v>
      </c>
      <c r="FJ17">
        <v>735.36400000000015</v>
      </c>
      <c r="FK17">
        <v>-5.3845588310207999</v>
      </c>
      <c r="FL17">
        <v>-85.147058972919268</v>
      </c>
      <c r="FM17">
        <v>20370.417647058821</v>
      </c>
      <c r="FN17">
        <v>10</v>
      </c>
      <c r="FO17">
        <v>1783445388</v>
      </c>
      <c r="FP17" t="s">
        <v>1003</v>
      </c>
      <c r="FQ17">
        <v>1783442648.0999999</v>
      </c>
      <c r="FR17">
        <v>1783445388</v>
      </c>
      <c r="FS17">
        <v>28</v>
      </c>
      <c r="FT17">
        <v>0.126</v>
      </c>
      <c r="FU17">
        <v>-0.188</v>
      </c>
      <c r="FV17">
        <v>-5.4379999999999997</v>
      </c>
      <c r="FW17">
        <v>-0.32300000000000001</v>
      </c>
      <c r="FX17">
        <v>422</v>
      </c>
      <c r="FY17">
        <v>28</v>
      </c>
      <c r="FZ17">
        <v>1.74</v>
      </c>
      <c r="GA17">
        <v>0.04</v>
      </c>
      <c r="GB17">
        <v>419.99243333333328</v>
      </c>
      <c r="GC17">
        <v>-0.1087341490545698</v>
      </c>
      <c r="GD17">
        <v>8.6567000384423137E-2</v>
      </c>
      <c r="GE17">
        <v>-1</v>
      </c>
      <c r="GF17">
        <v>736.10844117647071</v>
      </c>
      <c r="GG17">
        <v>-7.7200152776026414</v>
      </c>
      <c r="GH17">
        <v>0.78452260459978607</v>
      </c>
      <c r="GI17">
        <v>1</v>
      </c>
      <c r="GJ17">
        <v>8.4110727499999989</v>
      </c>
      <c r="GK17">
        <v>0.13483598499060159</v>
      </c>
      <c r="GL17">
        <v>3.7233396634439593E-2</v>
      </c>
      <c r="GM17">
        <v>1</v>
      </c>
      <c r="GN17">
        <v>2</v>
      </c>
      <c r="GO17">
        <v>2</v>
      </c>
      <c r="GP17" t="s">
        <v>423</v>
      </c>
      <c r="GQ17">
        <v>3.1318000000000001</v>
      </c>
      <c r="GR17">
        <v>2.72675</v>
      </c>
      <c r="GS17">
        <v>9.1334700000000005E-2</v>
      </c>
      <c r="GT17">
        <v>0.10440099999999999</v>
      </c>
      <c r="GU17">
        <v>0.14785999999999999</v>
      </c>
      <c r="GV17">
        <v>0.123459</v>
      </c>
      <c r="GW17">
        <v>22711.4</v>
      </c>
      <c r="GX17">
        <v>30036.6</v>
      </c>
      <c r="GY17">
        <v>27124.2</v>
      </c>
      <c r="GZ17">
        <v>34505.5</v>
      </c>
      <c r="HA17">
        <v>33879.4</v>
      </c>
      <c r="HB17">
        <v>38439.9</v>
      </c>
      <c r="HC17">
        <v>40064.199999999997</v>
      </c>
      <c r="HD17">
        <v>43926.400000000001</v>
      </c>
      <c r="HE17">
        <v>1.9436</v>
      </c>
      <c r="HF17">
        <v>1.7118</v>
      </c>
      <c r="HG17">
        <v>3.9935100000000001E-2</v>
      </c>
      <c r="HH17">
        <v>0</v>
      </c>
      <c r="HI17">
        <v>33.4694</v>
      </c>
      <c r="HJ17">
        <v>999.9</v>
      </c>
      <c r="HK17">
        <v>52.6</v>
      </c>
      <c r="HL17">
        <v>42</v>
      </c>
      <c r="HM17">
        <v>44.162199999999999</v>
      </c>
      <c r="HN17">
        <v>59.878799999999998</v>
      </c>
      <c r="HO17">
        <v>6.1898999999999997</v>
      </c>
      <c r="HP17">
        <v>1</v>
      </c>
      <c r="HQ17">
        <v>0.74134100000000003</v>
      </c>
      <c r="HR17">
        <v>0</v>
      </c>
      <c r="HS17">
        <v>20.274899999999999</v>
      </c>
      <c r="HT17">
        <v>5.2088999999999999</v>
      </c>
      <c r="HU17">
        <v>11.908099999999999</v>
      </c>
      <c r="HV17">
        <v>4.9820000000000002</v>
      </c>
      <c r="HW17">
        <v>3.2709999999999999</v>
      </c>
      <c r="HX17">
        <v>9999</v>
      </c>
      <c r="HY17">
        <v>9999</v>
      </c>
      <c r="HZ17">
        <v>9999</v>
      </c>
      <c r="IA17">
        <v>999.9</v>
      </c>
      <c r="IB17">
        <v>1.8674599999999999</v>
      </c>
      <c r="IC17">
        <v>1.8631</v>
      </c>
      <c r="ID17">
        <v>1.8626400000000001</v>
      </c>
      <c r="IE17">
        <v>1.8621799999999999</v>
      </c>
      <c r="IF17">
        <v>1.8621799999999999</v>
      </c>
      <c r="IG17">
        <v>1.8626400000000001</v>
      </c>
      <c r="IH17">
        <v>1.86365</v>
      </c>
      <c r="II17">
        <v>1.8615699999999999</v>
      </c>
      <c r="IJ17">
        <v>0</v>
      </c>
      <c r="IK17">
        <v>0</v>
      </c>
      <c r="IL17">
        <v>0</v>
      </c>
      <c r="IM17">
        <v>4.5</v>
      </c>
      <c r="IN17" t="s">
        <v>411</v>
      </c>
      <c r="IO17" t="s">
        <v>412</v>
      </c>
      <c r="IP17" t="s">
        <v>413</v>
      </c>
      <c r="IQ17" t="s">
        <v>414</v>
      </c>
      <c r="IR17" t="s">
        <v>414</v>
      </c>
      <c r="IS17" t="s">
        <v>413</v>
      </c>
      <c r="IT17">
        <v>0</v>
      </c>
      <c r="IU17">
        <v>100</v>
      </c>
      <c r="IV17">
        <v>100</v>
      </c>
      <c r="IW17">
        <v>-5.4379999999999997</v>
      </c>
      <c r="IX17">
        <v>-0.32300000000000001</v>
      </c>
      <c r="IY17">
        <v>-5.4377500000000509</v>
      </c>
      <c r="IZ17">
        <v>0</v>
      </c>
      <c r="JA17">
        <v>0</v>
      </c>
      <c r="JB17">
        <v>0</v>
      </c>
      <c r="JC17">
        <v>-0.64380099962060444</v>
      </c>
      <c r="JD17">
        <v>2.7492919904454862E-4</v>
      </c>
      <c r="JE17">
        <v>8.6739513355948885E-4</v>
      </c>
      <c r="JF17">
        <v>-8.2500691715147318E-6</v>
      </c>
      <c r="JG17">
        <v>-1</v>
      </c>
      <c r="JH17">
        <v>-1</v>
      </c>
      <c r="JI17">
        <v>2</v>
      </c>
      <c r="JJ17">
        <v>37</v>
      </c>
      <c r="JK17">
        <v>45.1</v>
      </c>
      <c r="JL17">
        <v>40.299999999999997</v>
      </c>
      <c r="JM17">
        <v>1.26831</v>
      </c>
      <c r="JN17">
        <v>2.5439500000000002</v>
      </c>
      <c r="JO17">
        <v>1.50024</v>
      </c>
      <c r="JP17">
        <v>2.2692899999999998</v>
      </c>
      <c r="JQ17">
        <v>1.4477500000000001</v>
      </c>
      <c r="JR17">
        <v>2.4731399999999999</v>
      </c>
      <c r="JS17">
        <v>46.152700000000003</v>
      </c>
      <c r="JT17">
        <v>13.834300000000001</v>
      </c>
      <c r="JU17">
        <v>18</v>
      </c>
      <c r="JV17">
        <v>549.44100000000003</v>
      </c>
      <c r="JW17">
        <v>410.78399999999999</v>
      </c>
      <c r="JX17">
        <v>34.132399999999997</v>
      </c>
      <c r="JY17">
        <v>36.535600000000002</v>
      </c>
      <c r="JZ17">
        <v>29.9998</v>
      </c>
      <c r="KA17">
        <v>36.412500000000001</v>
      </c>
      <c r="KB17">
        <v>36.351300000000002</v>
      </c>
      <c r="KC17">
        <v>25.380099999999999</v>
      </c>
      <c r="KD17">
        <v>42.429299999999998</v>
      </c>
      <c r="KE17">
        <v>0</v>
      </c>
      <c r="KF17">
        <v>-999.9</v>
      </c>
      <c r="KG17">
        <v>504.07499999999999</v>
      </c>
      <c r="KH17">
        <v>27.796900000000001</v>
      </c>
      <c r="KI17">
        <v>100.121</v>
      </c>
      <c r="KJ17">
        <v>98.683999999999997</v>
      </c>
    </row>
    <row r="18" spans="1:296" x14ac:dyDescent="0.3">
      <c r="A18">
        <v>2</v>
      </c>
      <c r="B18">
        <v>1783445569</v>
      </c>
      <c r="C18">
        <v>216</v>
      </c>
      <c r="D18" t="s">
        <v>1004</v>
      </c>
      <c r="E18" t="s">
        <v>1005</v>
      </c>
      <c r="F18">
        <v>15</v>
      </c>
      <c r="H18">
        <v>1783445561.25</v>
      </c>
      <c r="I18">
        <f t="shared" si="0"/>
        <v>7.8284722486593079E-3</v>
      </c>
      <c r="J18">
        <f t="shared" si="1"/>
        <v>7.8284722486593088</v>
      </c>
      <c r="K18">
        <f t="shared" si="2"/>
        <v>66.609790557890918</v>
      </c>
      <c r="L18">
        <f t="shared" si="3"/>
        <v>419.61149999999998</v>
      </c>
      <c r="M18">
        <f t="shared" si="4"/>
        <v>137.38661211636423</v>
      </c>
      <c r="N18">
        <f t="shared" si="5"/>
        <v>13.495434995285205</v>
      </c>
      <c r="O18">
        <f t="shared" si="6"/>
        <v>41.218279090598614</v>
      </c>
      <c r="P18">
        <f t="shared" si="7"/>
        <v>0.41651258076687742</v>
      </c>
      <c r="Q18">
        <f t="shared" si="8"/>
        <v>2.897892327616657</v>
      </c>
      <c r="R18">
        <f t="shared" si="9"/>
        <v>0.38588480191363067</v>
      </c>
      <c r="S18">
        <f t="shared" si="10"/>
        <v>0.24374183724676701</v>
      </c>
      <c r="T18">
        <f t="shared" si="11"/>
        <v>390.94138508773921</v>
      </c>
      <c r="U18">
        <f t="shared" si="12"/>
        <v>36.352643619824256</v>
      </c>
      <c r="V18">
        <f t="shared" si="13"/>
        <v>35.39697000000001</v>
      </c>
      <c r="W18">
        <f t="shared" si="14"/>
        <v>5.7737313451495655</v>
      </c>
      <c r="X18">
        <f t="shared" si="15"/>
        <v>64.692913642835563</v>
      </c>
      <c r="Y18">
        <f t="shared" si="16"/>
        <v>3.8788513723513161</v>
      </c>
      <c r="Z18">
        <f t="shared" si="17"/>
        <v>5.9957901939092535</v>
      </c>
      <c r="AA18">
        <f t="shared" si="18"/>
        <v>1.8948799727982495</v>
      </c>
      <c r="AB18">
        <f t="shared" si="19"/>
        <v>-345.23562616587549</v>
      </c>
      <c r="AC18">
        <f t="shared" si="20"/>
        <v>107.04230769527675</v>
      </c>
      <c r="AD18">
        <f t="shared" si="21"/>
        <v>8.6888389439132609</v>
      </c>
      <c r="AE18">
        <f t="shared" si="22"/>
        <v>161.43690556105372</v>
      </c>
      <c r="AF18">
        <f t="shared" si="23"/>
        <v>66.609790557890918</v>
      </c>
      <c r="AG18">
        <f t="shared" si="24"/>
        <v>7.8284722486593088</v>
      </c>
      <c r="AH18">
        <f t="shared" si="25"/>
        <v>66.327714696425588</v>
      </c>
      <c r="AI18">
        <v>519.3184950909191</v>
      </c>
      <c r="AJ18">
        <v>437.16162424242452</v>
      </c>
      <c r="AK18">
        <v>1.237539096331816E-2</v>
      </c>
      <c r="AL18">
        <v>67.032926236338511</v>
      </c>
      <c r="AM18">
        <f t="shared" si="26"/>
        <v>7.7925736845347169</v>
      </c>
      <c r="AN18">
        <v>30.516183056213549</v>
      </c>
      <c r="AO18">
        <v>39.48484606060606</v>
      </c>
      <c r="AP18">
        <v>2.201076624287542E-3</v>
      </c>
      <c r="AQ18">
        <v>78.059473282852935</v>
      </c>
      <c r="AR18">
        <v>0</v>
      </c>
      <c r="AS18">
        <v>0</v>
      </c>
      <c r="AT18">
        <f t="shared" si="27"/>
        <v>1</v>
      </c>
      <c r="AU18">
        <f t="shared" si="28"/>
        <v>0</v>
      </c>
      <c r="AV18">
        <f t="shared" si="29"/>
        <v>50402.294117389305</v>
      </c>
      <c r="AW18" t="s">
        <v>948</v>
      </c>
      <c r="AX18">
        <v>5105.72</v>
      </c>
      <c r="AY18">
        <v>582.62941176470576</v>
      </c>
      <c r="AZ18">
        <v>2436.86</v>
      </c>
      <c r="BA18">
        <f t="shared" si="30"/>
        <v>0.76090977250859482</v>
      </c>
      <c r="BB18">
        <v>-2.6462146481794289</v>
      </c>
      <c r="BC18" t="s">
        <v>1006</v>
      </c>
      <c r="BD18">
        <v>5085.17</v>
      </c>
      <c r="BE18">
        <v>739.00017647058826</v>
      </c>
      <c r="BF18">
        <v>1017.03</v>
      </c>
      <c r="BG18">
        <f t="shared" si="31"/>
        <v>0.2733742598835941</v>
      </c>
      <c r="BH18">
        <v>0.5</v>
      </c>
      <c r="BI18">
        <f t="shared" si="32"/>
        <v>1826.5808571093639</v>
      </c>
      <c r="BJ18">
        <f t="shared" si="33"/>
        <v>66.609790557890918</v>
      </c>
      <c r="BK18">
        <f t="shared" si="34"/>
        <v>249.67009496490667</v>
      </c>
      <c r="BL18">
        <f t="shared" si="35"/>
        <v>3.791565259020107E-2</v>
      </c>
      <c r="BM18">
        <f t="shared" si="36"/>
        <v>1.3960551802798347</v>
      </c>
      <c r="BN18">
        <f t="shared" si="37"/>
        <v>436.82469034305842</v>
      </c>
      <c r="BO18" t="s">
        <v>407</v>
      </c>
      <c r="BP18">
        <v>0</v>
      </c>
      <c r="BQ18">
        <f t="shared" si="38"/>
        <v>436.82469034305842</v>
      </c>
      <c r="BR18">
        <f t="shared" si="39"/>
        <v>0.57048986721821537</v>
      </c>
      <c r="BS18">
        <f t="shared" si="40"/>
        <v>0.47919213923395942</v>
      </c>
      <c r="BT18">
        <f t="shared" si="41"/>
        <v>0.70990246679371782</v>
      </c>
      <c r="BU18">
        <f t="shared" si="42"/>
        <v>0.64003095543419508</v>
      </c>
      <c r="BV18">
        <f t="shared" si="43"/>
        <v>0.76572461322152963</v>
      </c>
      <c r="BW18">
        <f t="shared" si="44"/>
        <v>0.28325156677960955</v>
      </c>
      <c r="BX18">
        <f t="shared" si="45"/>
        <v>0.71674843322039039</v>
      </c>
      <c r="DG18">
        <f t="shared" si="46"/>
        <v>2227.2941333333333</v>
      </c>
      <c r="DH18">
        <f t="shared" si="47"/>
        <v>1826.5808571093639</v>
      </c>
      <c r="DI18">
        <f t="shared" si="48"/>
        <v>0.82008964589500888</v>
      </c>
      <c r="DJ18">
        <f t="shared" si="49"/>
        <v>0.17552301657736713</v>
      </c>
      <c r="DK18">
        <v>6</v>
      </c>
      <c r="DL18">
        <v>0.5</v>
      </c>
      <c r="DM18" t="s">
        <v>408</v>
      </c>
      <c r="DN18">
        <v>2</v>
      </c>
      <c r="DO18" t="b">
        <v>0</v>
      </c>
      <c r="DP18">
        <v>1783445561.25</v>
      </c>
      <c r="DQ18">
        <v>419.61149999999998</v>
      </c>
      <c r="DR18">
        <v>503.4844333333333</v>
      </c>
      <c r="DS18">
        <v>39.487593333333329</v>
      </c>
      <c r="DT18">
        <v>30.46445666666666</v>
      </c>
      <c r="DU18">
        <v>425.74273333333338</v>
      </c>
      <c r="DV18">
        <v>39.496043333333333</v>
      </c>
      <c r="DW18">
        <v>500.00426666666658</v>
      </c>
      <c r="DX18">
        <v>98.180143333333334</v>
      </c>
      <c r="DY18">
        <v>4.9478806666666673E-2</v>
      </c>
      <c r="DZ18">
        <v>36.082123333333342</v>
      </c>
      <c r="EA18">
        <v>35.39697000000001</v>
      </c>
      <c r="EB18">
        <v>999.9000000000002</v>
      </c>
      <c r="EC18">
        <v>0</v>
      </c>
      <c r="ED18">
        <v>0</v>
      </c>
      <c r="EE18">
        <v>10002.66666666667</v>
      </c>
      <c r="EF18">
        <v>0</v>
      </c>
      <c r="EG18">
        <v>527.27313333333336</v>
      </c>
      <c r="EH18">
        <v>-83.873013333333333</v>
      </c>
      <c r="EI18">
        <v>436.86196666666672</v>
      </c>
      <c r="EJ18">
        <v>519.30473333333327</v>
      </c>
      <c r="EK18">
        <v>9.0231353333333324</v>
      </c>
      <c r="EL18">
        <v>503.4844333333333</v>
      </c>
      <c r="EM18">
        <v>30.46445666666666</v>
      </c>
      <c r="EN18">
        <v>3.8768976666666668</v>
      </c>
      <c r="EO18">
        <v>2.991004666666667</v>
      </c>
      <c r="EP18">
        <v>28.367466666666669</v>
      </c>
      <c r="EQ18">
        <v>23.977910000000001</v>
      </c>
      <c r="ER18">
        <v>1700.021</v>
      </c>
      <c r="ES18">
        <v>0.99400483333333356</v>
      </c>
      <c r="ET18">
        <v>5.9948756666666648E-3</v>
      </c>
      <c r="EU18">
        <v>0</v>
      </c>
      <c r="EV18">
        <v>739.16079999999999</v>
      </c>
      <c r="EW18">
        <v>5.0010700000000003</v>
      </c>
      <c r="EX18">
        <v>15298.556666666669</v>
      </c>
      <c r="EY18">
        <v>15492.74</v>
      </c>
      <c r="EZ18">
        <v>44.307866666666648</v>
      </c>
      <c r="FA18">
        <v>46.436999999999983</v>
      </c>
      <c r="FB18">
        <v>45.028933333333327</v>
      </c>
      <c r="FC18">
        <v>45.995800000000003</v>
      </c>
      <c r="FD18">
        <v>46.186999999999983</v>
      </c>
      <c r="FE18">
        <v>1684.8610000000001</v>
      </c>
      <c r="FF18">
        <v>10.16</v>
      </c>
      <c r="FG18">
        <v>0</v>
      </c>
      <c r="FH18">
        <v>215.5999999046326</v>
      </c>
      <c r="FI18">
        <v>0</v>
      </c>
      <c r="FJ18">
        <v>739.00017647058826</v>
      </c>
      <c r="FK18">
        <v>-3.9068626864782461</v>
      </c>
      <c r="FL18">
        <v>-123.16176482262</v>
      </c>
      <c r="FM18">
        <v>15291.36470588235</v>
      </c>
      <c r="FN18">
        <v>10</v>
      </c>
      <c r="FO18">
        <v>1783445518</v>
      </c>
      <c r="FP18" t="s">
        <v>1007</v>
      </c>
      <c r="FQ18">
        <v>1783445510</v>
      </c>
      <c r="FR18">
        <v>1783445518</v>
      </c>
      <c r="FS18">
        <v>29</v>
      </c>
      <c r="FT18">
        <v>-0.69399999999999995</v>
      </c>
      <c r="FU18">
        <v>-3.3000000000000002E-2</v>
      </c>
      <c r="FV18">
        <v>-6.1310000000000002</v>
      </c>
      <c r="FW18">
        <v>-0.28999999999999998</v>
      </c>
      <c r="FX18">
        <v>503</v>
      </c>
      <c r="FY18">
        <v>30</v>
      </c>
      <c r="FZ18">
        <v>0.06</v>
      </c>
      <c r="GA18">
        <v>0.04</v>
      </c>
      <c r="GB18">
        <v>419.61149999999998</v>
      </c>
      <c r="GC18">
        <v>3.2228075639602531</v>
      </c>
      <c r="GD18">
        <v>0.24657152444405711</v>
      </c>
      <c r="GE18">
        <v>-1</v>
      </c>
      <c r="GF18">
        <v>739.29005882352942</v>
      </c>
      <c r="GG18">
        <v>-2.9020626274732639</v>
      </c>
      <c r="GH18">
        <v>0.38747523193530969</v>
      </c>
      <c r="GI18">
        <v>1</v>
      </c>
      <c r="GJ18">
        <v>9.0296892500000006</v>
      </c>
      <c r="GK18">
        <v>-0.30422037523456452</v>
      </c>
      <c r="GL18">
        <v>4.1396678211391598E-2</v>
      </c>
      <c r="GM18">
        <v>1</v>
      </c>
      <c r="GN18">
        <v>2</v>
      </c>
      <c r="GO18">
        <v>2</v>
      </c>
      <c r="GP18" t="s">
        <v>423</v>
      </c>
      <c r="GQ18">
        <v>3.13388</v>
      </c>
      <c r="GR18">
        <v>2.7257400000000001</v>
      </c>
      <c r="GS18">
        <v>9.1441900000000007E-2</v>
      </c>
      <c r="GT18">
        <v>0.104319</v>
      </c>
      <c r="GU18">
        <v>0.157606</v>
      </c>
      <c r="GV18">
        <v>0.132463</v>
      </c>
      <c r="GW18">
        <v>22706.2</v>
      </c>
      <c r="GX18">
        <v>30033.1</v>
      </c>
      <c r="GY18">
        <v>27120.799999999999</v>
      </c>
      <c r="GZ18">
        <v>34497.9</v>
      </c>
      <c r="HA18">
        <v>33489</v>
      </c>
      <c r="HB18">
        <v>38037.699999999997</v>
      </c>
      <c r="HC18">
        <v>40058.1</v>
      </c>
      <c r="HD18">
        <v>43917.1</v>
      </c>
      <c r="HE18">
        <v>1.9461999999999999</v>
      </c>
      <c r="HF18">
        <v>1.7132000000000001</v>
      </c>
      <c r="HG18">
        <v>2.2441099999999999E-2</v>
      </c>
      <c r="HH18">
        <v>0</v>
      </c>
      <c r="HI18">
        <v>35.050699999999999</v>
      </c>
      <c r="HJ18">
        <v>999.9</v>
      </c>
      <c r="HK18">
        <v>52.6</v>
      </c>
      <c r="HL18">
        <v>42.2</v>
      </c>
      <c r="HM18">
        <v>44.6297</v>
      </c>
      <c r="HN18">
        <v>59.968800000000002</v>
      </c>
      <c r="HO18">
        <v>5.7892599999999996</v>
      </c>
      <c r="HP18">
        <v>1</v>
      </c>
      <c r="HQ18">
        <v>0.74219500000000005</v>
      </c>
      <c r="HR18">
        <v>0</v>
      </c>
      <c r="HS18">
        <v>20.2773</v>
      </c>
      <c r="HT18">
        <v>5.2088999999999999</v>
      </c>
      <c r="HU18">
        <v>11.908099999999999</v>
      </c>
      <c r="HV18">
        <v>4.9820000000000002</v>
      </c>
      <c r="HW18">
        <v>3.2709999999999999</v>
      </c>
      <c r="HX18">
        <v>9999</v>
      </c>
      <c r="HY18">
        <v>9999</v>
      </c>
      <c r="HZ18">
        <v>9999</v>
      </c>
      <c r="IA18">
        <v>999.9</v>
      </c>
      <c r="IB18">
        <v>1.8674599999999999</v>
      </c>
      <c r="IC18">
        <v>1.8631</v>
      </c>
      <c r="ID18">
        <v>1.8626400000000001</v>
      </c>
      <c r="IE18">
        <v>1.8621799999999999</v>
      </c>
      <c r="IF18">
        <v>1.8621799999999999</v>
      </c>
      <c r="IG18">
        <v>1.8626400000000001</v>
      </c>
      <c r="IH18">
        <v>1.86371</v>
      </c>
      <c r="II18">
        <v>1.8615699999999999</v>
      </c>
      <c r="IJ18">
        <v>0</v>
      </c>
      <c r="IK18">
        <v>0</v>
      </c>
      <c r="IL18">
        <v>0</v>
      </c>
      <c r="IM18">
        <v>4.5</v>
      </c>
      <c r="IN18" t="s">
        <v>411</v>
      </c>
      <c r="IO18" t="s">
        <v>412</v>
      </c>
      <c r="IP18" t="s">
        <v>413</v>
      </c>
      <c r="IQ18" t="s">
        <v>414</v>
      </c>
      <c r="IR18" t="s">
        <v>414</v>
      </c>
      <c r="IS18" t="s">
        <v>413</v>
      </c>
      <c r="IT18">
        <v>0</v>
      </c>
      <c r="IU18">
        <v>100</v>
      </c>
      <c r="IV18">
        <v>100</v>
      </c>
      <c r="IW18">
        <v>-6.1310000000000002</v>
      </c>
      <c r="IX18">
        <v>-8.5000000000000006E-3</v>
      </c>
      <c r="IY18">
        <v>-6.1313999999998714</v>
      </c>
      <c r="IZ18">
        <v>0</v>
      </c>
      <c r="JA18">
        <v>0</v>
      </c>
      <c r="JB18">
        <v>0</v>
      </c>
      <c r="JC18">
        <v>-0.86409874045529156</v>
      </c>
      <c r="JD18">
        <v>2.7492919904454862E-4</v>
      </c>
      <c r="JE18">
        <v>8.6739513355948885E-4</v>
      </c>
      <c r="JF18">
        <v>-8.2500691715147318E-6</v>
      </c>
      <c r="JG18">
        <v>-1</v>
      </c>
      <c r="JH18">
        <v>-1</v>
      </c>
      <c r="JI18">
        <v>2</v>
      </c>
      <c r="JJ18">
        <v>37</v>
      </c>
      <c r="JK18">
        <v>1</v>
      </c>
      <c r="JL18">
        <v>0.8</v>
      </c>
      <c r="JM18">
        <v>1.26953</v>
      </c>
      <c r="JN18">
        <v>2.5585900000000001</v>
      </c>
      <c r="JO18">
        <v>1.50024</v>
      </c>
      <c r="JP18">
        <v>2.2692899999999998</v>
      </c>
      <c r="JQ18">
        <v>1.4477500000000001</v>
      </c>
      <c r="JR18">
        <v>2.4218799999999998</v>
      </c>
      <c r="JS18">
        <v>46.444200000000002</v>
      </c>
      <c r="JT18">
        <v>13.8081</v>
      </c>
      <c r="JU18">
        <v>18</v>
      </c>
      <c r="JV18">
        <v>551.37</v>
      </c>
      <c r="JW18">
        <v>411.84100000000001</v>
      </c>
      <c r="JX18">
        <v>35.426000000000002</v>
      </c>
      <c r="JY18">
        <v>36.508400000000002</v>
      </c>
      <c r="JZ18">
        <v>30</v>
      </c>
      <c r="KA18">
        <v>36.430199999999999</v>
      </c>
      <c r="KB18">
        <v>36.384900000000002</v>
      </c>
      <c r="KC18">
        <v>25.385999999999999</v>
      </c>
      <c r="KD18">
        <v>38.466299999999997</v>
      </c>
      <c r="KE18">
        <v>0</v>
      </c>
      <c r="KF18">
        <v>-999.9</v>
      </c>
      <c r="KG18">
        <v>503.30799999999999</v>
      </c>
      <c r="KH18">
        <v>30.696999999999999</v>
      </c>
      <c r="KI18">
        <v>100.107</v>
      </c>
      <c r="KJ18">
        <v>98.662700000000001</v>
      </c>
    </row>
    <row r="19" spans="1:296" x14ac:dyDescent="0.3">
      <c r="A19">
        <v>3</v>
      </c>
      <c r="B19">
        <v>1783445751.5999999</v>
      </c>
      <c r="C19">
        <v>398.59999990463263</v>
      </c>
      <c r="D19" t="s">
        <v>1008</v>
      </c>
      <c r="E19" t="s">
        <v>1009</v>
      </c>
      <c r="F19">
        <v>15</v>
      </c>
      <c r="H19">
        <v>1783445743.849999</v>
      </c>
      <c r="I19">
        <f t="shared" si="0"/>
        <v>7.1080551140276513E-3</v>
      </c>
      <c r="J19">
        <f t="shared" si="1"/>
        <v>7.1080551140276516</v>
      </c>
      <c r="K19">
        <f t="shared" si="2"/>
        <v>64.370527984620963</v>
      </c>
      <c r="L19">
        <f t="shared" si="3"/>
        <v>419.69706666666667</v>
      </c>
      <c r="M19">
        <f t="shared" si="4"/>
        <v>140.27753611571234</v>
      </c>
      <c r="N19">
        <f t="shared" si="5"/>
        <v>13.779216922495197</v>
      </c>
      <c r="O19">
        <f t="shared" si="6"/>
        <v>41.226108495123256</v>
      </c>
      <c r="P19">
        <f t="shared" si="7"/>
        <v>0.40515974311322817</v>
      </c>
      <c r="Q19">
        <f t="shared" si="8"/>
        <v>2.895196010004339</v>
      </c>
      <c r="R19">
        <f t="shared" si="9"/>
        <v>0.37609149522568419</v>
      </c>
      <c r="S19">
        <f t="shared" si="10"/>
        <v>0.23749482730605342</v>
      </c>
      <c r="T19">
        <f t="shared" si="11"/>
        <v>367.47354534775735</v>
      </c>
      <c r="U19">
        <f t="shared" si="12"/>
        <v>36.281877641848595</v>
      </c>
      <c r="V19">
        <f t="shared" si="13"/>
        <v>35.021076666666673</v>
      </c>
      <c r="W19">
        <f t="shared" si="14"/>
        <v>5.6549672260421922</v>
      </c>
      <c r="X19">
        <f t="shared" si="15"/>
        <v>65.286466307188661</v>
      </c>
      <c r="Y19">
        <f t="shared" si="16"/>
        <v>3.8886589887464571</v>
      </c>
      <c r="Z19">
        <f t="shared" si="17"/>
        <v>5.9563018320663472</v>
      </c>
      <c r="AA19">
        <f t="shared" si="18"/>
        <v>1.7663082372957351</v>
      </c>
      <c r="AB19">
        <f t="shared" si="19"/>
        <v>-313.46523052861943</v>
      </c>
      <c r="AC19">
        <f t="shared" si="20"/>
        <v>146.85125064597136</v>
      </c>
      <c r="AD19">
        <f t="shared" si="21"/>
        <v>11.902590196103038</v>
      </c>
      <c r="AE19">
        <f t="shared" si="22"/>
        <v>212.76215566121235</v>
      </c>
      <c r="AF19">
        <f t="shared" si="23"/>
        <v>64.370527984620963</v>
      </c>
      <c r="AG19">
        <f t="shared" si="24"/>
        <v>7.1080551140276516</v>
      </c>
      <c r="AH19">
        <f t="shared" si="25"/>
        <v>64.572725095404579</v>
      </c>
      <c r="AI19">
        <v>517.06033350626149</v>
      </c>
      <c r="AJ19">
        <v>437.02295757575752</v>
      </c>
      <c r="AK19">
        <v>5.5513400308746848E-3</v>
      </c>
      <c r="AL19">
        <v>67.087984329201888</v>
      </c>
      <c r="AM19">
        <f t="shared" si="26"/>
        <v>6.972991040470367</v>
      </c>
      <c r="AN19">
        <v>31.538083116197999</v>
      </c>
      <c r="AO19">
        <v>39.577440000000003</v>
      </c>
      <c r="AP19">
        <v>-3.2149455240614022E-4</v>
      </c>
      <c r="AQ19">
        <v>78.241129096902526</v>
      </c>
      <c r="AR19">
        <v>0</v>
      </c>
      <c r="AS19">
        <v>0</v>
      </c>
      <c r="AT19">
        <f t="shared" si="27"/>
        <v>1</v>
      </c>
      <c r="AU19">
        <f t="shared" si="28"/>
        <v>0</v>
      </c>
      <c r="AV19">
        <f t="shared" si="29"/>
        <v>50347.128306208841</v>
      </c>
      <c r="AW19" t="s">
        <v>948</v>
      </c>
      <c r="AX19">
        <v>5105.72</v>
      </c>
      <c r="AY19">
        <v>582.62941176470576</v>
      </c>
      <c r="AZ19">
        <v>2436.86</v>
      </c>
      <c r="BA19">
        <f t="shared" si="30"/>
        <v>0.76090977250859482</v>
      </c>
      <c r="BB19">
        <v>-2.6462146481794289</v>
      </c>
      <c r="BC19" t="s">
        <v>1010</v>
      </c>
      <c r="BD19">
        <v>5085.6499999999996</v>
      </c>
      <c r="BE19">
        <v>735.16882352941184</v>
      </c>
      <c r="BF19">
        <v>1039.58</v>
      </c>
      <c r="BG19">
        <f t="shared" si="31"/>
        <v>0.29282130905806969</v>
      </c>
      <c r="BH19">
        <v>0.5</v>
      </c>
      <c r="BI19">
        <f t="shared" si="32"/>
        <v>1716.9333209962479</v>
      </c>
      <c r="BJ19">
        <f t="shared" si="33"/>
        <v>64.370527984620963</v>
      </c>
      <c r="BK19">
        <f t="shared" si="34"/>
        <v>251.37733130977014</v>
      </c>
      <c r="BL19">
        <f t="shared" si="35"/>
        <v>3.9032816134009225E-2</v>
      </c>
      <c r="BM19">
        <f t="shared" si="36"/>
        <v>1.3440812635872181</v>
      </c>
      <c r="BN19">
        <f t="shared" si="37"/>
        <v>440.93272765406584</v>
      </c>
      <c r="BO19" t="s">
        <v>407</v>
      </c>
      <c r="BP19">
        <v>0</v>
      </c>
      <c r="BQ19">
        <f t="shared" si="38"/>
        <v>440.93272765406584</v>
      </c>
      <c r="BR19">
        <f t="shared" si="39"/>
        <v>0.57585493405599775</v>
      </c>
      <c r="BS19">
        <f t="shared" si="40"/>
        <v>0.50849839384999518</v>
      </c>
      <c r="BT19">
        <f t="shared" si="41"/>
        <v>0.7000655882404434</v>
      </c>
      <c r="BU19">
        <f t="shared" si="42"/>
        <v>0.66617963584684103</v>
      </c>
      <c r="BV19">
        <f t="shared" si="43"/>
        <v>0.75356323472681863</v>
      </c>
      <c r="BW19">
        <f t="shared" si="44"/>
        <v>0.30498244298715116</v>
      </c>
      <c r="BX19">
        <f t="shared" si="45"/>
        <v>0.69501755701284884</v>
      </c>
      <c r="DG19">
        <f t="shared" si="46"/>
        <v>2093.5923000000007</v>
      </c>
      <c r="DH19">
        <f t="shared" si="47"/>
        <v>1716.9333209962479</v>
      </c>
      <c r="DI19">
        <f t="shared" si="48"/>
        <v>0.82008962346501146</v>
      </c>
      <c r="DJ19">
        <f t="shared" si="49"/>
        <v>0.17552297328747207</v>
      </c>
      <c r="DK19">
        <v>6</v>
      </c>
      <c r="DL19">
        <v>0.5</v>
      </c>
      <c r="DM19" t="s">
        <v>408</v>
      </c>
      <c r="DN19">
        <v>2</v>
      </c>
      <c r="DO19" t="b">
        <v>0</v>
      </c>
      <c r="DP19">
        <v>1783445743.849999</v>
      </c>
      <c r="DQ19">
        <v>419.69706666666667</v>
      </c>
      <c r="DR19">
        <v>500.53176666666673</v>
      </c>
      <c r="DS19">
        <v>39.587989999999998</v>
      </c>
      <c r="DT19">
        <v>31.39496333333333</v>
      </c>
      <c r="DU19">
        <v>425.91456666666659</v>
      </c>
      <c r="DV19">
        <v>39.612926666666667</v>
      </c>
      <c r="DW19">
        <v>499.93696666666671</v>
      </c>
      <c r="DX19">
        <v>98.178913333333327</v>
      </c>
      <c r="DY19">
        <v>4.9336919999999999E-2</v>
      </c>
      <c r="DZ19">
        <v>35.961913333333328</v>
      </c>
      <c r="EA19">
        <v>35.021076666666673</v>
      </c>
      <c r="EB19">
        <v>999.9000000000002</v>
      </c>
      <c r="EC19">
        <v>0</v>
      </c>
      <c r="ED19">
        <v>0</v>
      </c>
      <c r="EE19">
        <v>9987.3333333333339</v>
      </c>
      <c r="EF19">
        <v>0</v>
      </c>
      <c r="EG19">
        <v>493.56596666666672</v>
      </c>
      <c r="EH19">
        <v>-80.834753333333325</v>
      </c>
      <c r="EI19">
        <v>436.99686666666662</v>
      </c>
      <c r="EJ19">
        <v>516.75530000000003</v>
      </c>
      <c r="EK19">
        <v>8.1930243333333319</v>
      </c>
      <c r="EL19">
        <v>500.53176666666673</v>
      </c>
      <c r="EM19">
        <v>31.39496333333333</v>
      </c>
      <c r="EN19">
        <v>3.8867050000000001</v>
      </c>
      <c r="EO19">
        <v>3.082323666666666</v>
      </c>
      <c r="EP19">
        <v>28.410920000000001</v>
      </c>
      <c r="EQ19">
        <v>24.479373333333331</v>
      </c>
      <c r="ER19">
        <v>1600.0263333333339</v>
      </c>
      <c r="ES19">
        <v>0.99400436666666669</v>
      </c>
      <c r="ET19">
        <v>5.995768666666664E-3</v>
      </c>
      <c r="EU19">
        <v>0</v>
      </c>
      <c r="EV19">
        <v>735.13499999999988</v>
      </c>
      <c r="EW19">
        <v>5.0010700000000003</v>
      </c>
      <c r="EX19">
        <v>14400.093333333331</v>
      </c>
      <c r="EY19">
        <v>14578.75666666667</v>
      </c>
      <c r="EZ19">
        <v>44.091399999999979</v>
      </c>
      <c r="FA19">
        <v>45.528933333333327</v>
      </c>
      <c r="FB19">
        <v>44.74573333333332</v>
      </c>
      <c r="FC19">
        <v>45.566266666666642</v>
      </c>
      <c r="FD19">
        <v>46.028933333333327</v>
      </c>
      <c r="FE19">
        <v>1585.4663333333331</v>
      </c>
      <c r="FF19">
        <v>9.56</v>
      </c>
      <c r="FG19">
        <v>0</v>
      </c>
      <c r="FH19">
        <v>181.79999995231631</v>
      </c>
      <c r="FI19">
        <v>0</v>
      </c>
      <c r="FJ19">
        <v>735.16882352941184</v>
      </c>
      <c r="FK19">
        <v>-0.85171568759243022</v>
      </c>
      <c r="FL19">
        <v>-150.17156879543259</v>
      </c>
      <c r="FM19">
        <v>14397.841176470591</v>
      </c>
      <c r="FN19">
        <v>10</v>
      </c>
      <c r="FO19">
        <v>1783445683</v>
      </c>
      <c r="FP19" t="s">
        <v>1011</v>
      </c>
      <c r="FQ19">
        <v>1783445683</v>
      </c>
      <c r="FR19">
        <v>1783445678</v>
      </c>
      <c r="FS19">
        <v>30</v>
      </c>
      <c r="FT19">
        <v>-8.5999999999999993E-2</v>
      </c>
      <c r="FU19">
        <v>-0.02</v>
      </c>
      <c r="FV19">
        <v>-6.2169999999999996</v>
      </c>
      <c r="FW19">
        <v>-0.26900000000000002</v>
      </c>
      <c r="FX19">
        <v>500</v>
      </c>
      <c r="FY19">
        <v>31</v>
      </c>
      <c r="FZ19">
        <v>0.11</v>
      </c>
      <c r="GA19">
        <v>0.04</v>
      </c>
      <c r="GB19">
        <v>419.69706666666667</v>
      </c>
      <c r="GC19">
        <v>-0.18345717463772099</v>
      </c>
      <c r="GD19">
        <v>8.8309657204386105E-2</v>
      </c>
      <c r="GE19">
        <v>-1</v>
      </c>
      <c r="GF19">
        <v>735.0835588235293</v>
      </c>
      <c r="GG19">
        <v>1.1917647137517851</v>
      </c>
      <c r="GH19">
        <v>0.25204962060212599</v>
      </c>
      <c r="GI19">
        <v>1</v>
      </c>
      <c r="GJ19">
        <v>8.2321899999999992</v>
      </c>
      <c r="GK19">
        <v>-1.183484352720461</v>
      </c>
      <c r="GL19">
        <v>0.1229927520628756</v>
      </c>
      <c r="GM19">
        <v>0</v>
      </c>
      <c r="GN19">
        <v>1</v>
      </c>
      <c r="GO19">
        <v>2</v>
      </c>
      <c r="GP19" t="s">
        <v>410</v>
      </c>
      <c r="GQ19">
        <v>3.1339299999999999</v>
      </c>
      <c r="GR19">
        <v>2.7233100000000001</v>
      </c>
      <c r="GS19">
        <v>9.1484099999999999E-2</v>
      </c>
      <c r="GT19">
        <v>0.10392999999999999</v>
      </c>
      <c r="GU19">
        <v>0.157968</v>
      </c>
      <c r="GV19">
        <v>0.13560800000000001</v>
      </c>
      <c r="GW19">
        <v>22714.7</v>
      </c>
      <c r="GX19">
        <v>30062.5</v>
      </c>
      <c r="GY19">
        <v>27130.9</v>
      </c>
      <c r="GZ19">
        <v>34514.6</v>
      </c>
      <c r="HA19">
        <v>33483.800000000003</v>
      </c>
      <c r="HB19">
        <v>37915.9</v>
      </c>
      <c r="HC19">
        <v>40072.1</v>
      </c>
      <c r="HD19">
        <v>43936.4</v>
      </c>
      <c r="HE19">
        <v>1.9474</v>
      </c>
      <c r="HF19">
        <v>1.7194</v>
      </c>
      <c r="HG19">
        <v>3.5911800000000001E-2</v>
      </c>
      <c r="HH19">
        <v>0</v>
      </c>
      <c r="HI19">
        <v>34.3795</v>
      </c>
      <c r="HJ19">
        <v>999.9</v>
      </c>
      <c r="HK19">
        <v>52.1</v>
      </c>
      <c r="HL19">
        <v>42.3</v>
      </c>
      <c r="HM19">
        <v>44.442900000000002</v>
      </c>
      <c r="HN19">
        <v>59.905099999999997</v>
      </c>
      <c r="HO19">
        <v>5.8773999999999997</v>
      </c>
      <c r="HP19">
        <v>1</v>
      </c>
      <c r="HQ19">
        <v>0.71821100000000004</v>
      </c>
      <c r="HR19">
        <v>0</v>
      </c>
      <c r="HS19">
        <v>20.277200000000001</v>
      </c>
      <c r="HT19">
        <v>5.1981200000000003</v>
      </c>
      <c r="HU19">
        <v>11.908099999999999</v>
      </c>
      <c r="HV19">
        <v>4.9791999999999996</v>
      </c>
      <c r="HW19">
        <v>3.2688000000000001</v>
      </c>
      <c r="HX19">
        <v>9999</v>
      </c>
      <c r="HY19">
        <v>9999</v>
      </c>
      <c r="HZ19">
        <v>9999</v>
      </c>
      <c r="IA19">
        <v>999.9</v>
      </c>
      <c r="IB19">
        <v>1.8674599999999999</v>
      </c>
      <c r="IC19">
        <v>1.8631</v>
      </c>
      <c r="ID19">
        <v>1.8626400000000001</v>
      </c>
      <c r="IE19">
        <v>1.8622099999999999</v>
      </c>
      <c r="IF19">
        <v>1.8621799999999999</v>
      </c>
      <c r="IG19">
        <v>1.8626400000000001</v>
      </c>
      <c r="IH19">
        <v>1.8635900000000001</v>
      </c>
      <c r="II19">
        <v>1.8615699999999999</v>
      </c>
      <c r="IJ19">
        <v>0</v>
      </c>
      <c r="IK19">
        <v>0</v>
      </c>
      <c r="IL19">
        <v>0</v>
      </c>
      <c r="IM19">
        <v>4.5</v>
      </c>
      <c r="IN19" t="s">
        <v>411</v>
      </c>
      <c r="IO19" t="s">
        <v>412</v>
      </c>
      <c r="IP19" t="s">
        <v>413</v>
      </c>
      <c r="IQ19" t="s">
        <v>414</v>
      </c>
      <c r="IR19" t="s">
        <v>414</v>
      </c>
      <c r="IS19" t="s">
        <v>413</v>
      </c>
      <c r="IT19">
        <v>0</v>
      </c>
      <c r="IU19">
        <v>100</v>
      </c>
      <c r="IV19">
        <v>100</v>
      </c>
      <c r="IW19">
        <v>-6.2169999999999996</v>
      </c>
      <c r="IX19">
        <v>-2.5399999999999999E-2</v>
      </c>
      <c r="IY19">
        <v>-6.217428571428627</v>
      </c>
      <c r="IZ19">
        <v>0</v>
      </c>
      <c r="JA19">
        <v>0</v>
      </c>
      <c r="JB19">
        <v>0</v>
      </c>
      <c r="JC19">
        <v>-0.88411683481498193</v>
      </c>
      <c r="JD19">
        <v>2.7492919904454862E-4</v>
      </c>
      <c r="JE19">
        <v>8.6739513355948885E-4</v>
      </c>
      <c r="JF19">
        <v>-8.2500691715147318E-6</v>
      </c>
      <c r="JG19">
        <v>-1</v>
      </c>
      <c r="JH19">
        <v>-1</v>
      </c>
      <c r="JI19">
        <v>2</v>
      </c>
      <c r="JJ19">
        <v>37</v>
      </c>
      <c r="JK19">
        <v>1.1000000000000001</v>
      </c>
      <c r="JL19">
        <v>1.2</v>
      </c>
      <c r="JM19">
        <v>1.2658700000000001</v>
      </c>
      <c r="JN19">
        <v>2.5720200000000002</v>
      </c>
      <c r="JO19">
        <v>1.50024</v>
      </c>
      <c r="JP19">
        <v>2.2692899999999998</v>
      </c>
      <c r="JQ19">
        <v>1.4477500000000001</v>
      </c>
      <c r="JR19">
        <v>2.34375</v>
      </c>
      <c r="JS19">
        <v>46.3566</v>
      </c>
      <c r="JT19">
        <v>13.7555</v>
      </c>
      <c r="JU19">
        <v>18</v>
      </c>
      <c r="JV19">
        <v>550.20299999999997</v>
      </c>
      <c r="JW19">
        <v>414.024</v>
      </c>
      <c r="JX19">
        <v>35.4985</v>
      </c>
      <c r="JY19">
        <v>36.223799999999997</v>
      </c>
      <c r="JZ19">
        <v>29.999099999999999</v>
      </c>
      <c r="KA19">
        <v>36.183900000000001</v>
      </c>
      <c r="KB19">
        <v>36.127299999999998</v>
      </c>
      <c r="KC19">
        <v>25.314599999999999</v>
      </c>
      <c r="KD19">
        <v>36.673900000000003</v>
      </c>
      <c r="KE19">
        <v>0</v>
      </c>
      <c r="KF19">
        <v>-999.9</v>
      </c>
      <c r="KG19">
        <v>500.83199999999999</v>
      </c>
      <c r="KH19">
        <v>31.351299999999998</v>
      </c>
      <c r="KI19">
        <v>100.143</v>
      </c>
      <c r="KJ19">
        <v>98.708100000000002</v>
      </c>
    </row>
    <row r="20" spans="1:296" x14ac:dyDescent="0.3">
      <c r="A20">
        <v>4</v>
      </c>
      <c r="B20">
        <v>1783445934.0999999</v>
      </c>
      <c r="C20">
        <v>581.09999990463257</v>
      </c>
      <c r="D20" t="s">
        <v>1012</v>
      </c>
      <c r="E20" t="s">
        <v>1013</v>
      </c>
      <c r="F20">
        <v>15</v>
      </c>
      <c r="H20">
        <v>1783445926.099999</v>
      </c>
      <c r="I20">
        <f t="shared" si="0"/>
        <v>7.6981873929397584E-3</v>
      </c>
      <c r="J20">
        <f t="shared" si="1"/>
        <v>7.6981873929397588</v>
      </c>
      <c r="K20">
        <f t="shared" si="2"/>
        <v>62.692225379007866</v>
      </c>
      <c r="L20">
        <f t="shared" si="3"/>
        <v>419.72951612903228</v>
      </c>
      <c r="M20">
        <f t="shared" si="4"/>
        <v>172.1764395332043</v>
      </c>
      <c r="N20">
        <f t="shared" si="5"/>
        <v>16.912671126208824</v>
      </c>
      <c r="O20">
        <f t="shared" si="6"/>
        <v>41.229492766250914</v>
      </c>
      <c r="P20">
        <f t="shared" si="7"/>
        <v>0.45089597345648597</v>
      </c>
      <c r="Q20">
        <f t="shared" si="8"/>
        <v>2.8915315880117984</v>
      </c>
      <c r="R20">
        <f t="shared" si="9"/>
        <v>0.41516289182930116</v>
      </c>
      <c r="S20">
        <f t="shared" si="10"/>
        <v>0.26245089641089636</v>
      </c>
      <c r="T20">
        <f t="shared" si="11"/>
        <v>648.86431725116506</v>
      </c>
      <c r="U20">
        <f t="shared" si="12"/>
        <v>37.386918114698688</v>
      </c>
      <c r="V20">
        <f t="shared" si="13"/>
        <v>34.663025806451607</v>
      </c>
      <c r="W20">
        <f t="shared" si="14"/>
        <v>5.5438207110211692</v>
      </c>
      <c r="X20">
        <f t="shared" si="15"/>
        <v>65.413519612203274</v>
      </c>
      <c r="Y20">
        <f t="shared" si="16"/>
        <v>3.809121510424434</v>
      </c>
      <c r="Z20">
        <f t="shared" si="17"/>
        <v>5.8231410463867173</v>
      </c>
      <c r="AA20">
        <f t="shared" si="18"/>
        <v>1.7346992005967352</v>
      </c>
      <c r="AB20">
        <f t="shared" si="19"/>
        <v>-339.49006402864336</v>
      </c>
      <c r="AC20">
        <f t="shared" si="20"/>
        <v>138.4835791844331</v>
      </c>
      <c r="AD20">
        <f t="shared" si="21"/>
        <v>11.196647288919733</v>
      </c>
      <c r="AE20">
        <f t="shared" si="22"/>
        <v>459.05447969587453</v>
      </c>
      <c r="AF20">
        <f t="shared" si="23"/>
        <v>62.692225379007866</v>
      </c>
      <c r="AG20">
        <f t="shared" si="24"/>
        <v>7.6981873929397588</v>
      </c>
      <c r="AH20">
        <f t="shared" si="25"/>
        <v>62.32846929509541</v>
      </c>
      <c r="AI20">
        <v>514.24992307013827</v>
      </c>
      <c r="AJ20">
        <v>436.76939393939409</v>
      </c>
      <c r="AK20">
        <v>7.0641108123894902E-2</v>
      </c>
      <c r="AL20">
        <v>67.088686798898294</v>
      </c>
      <c r="AM20">
        <f t="shared" si="26"/>
        <v>7.7576635380621681</v>
      </c>
      <c r="AN20">
        <v>29.893517530873162</v>
      </c>
      <c r="AO20">
        <v>38.795361818181817</v>
      </c>
      <c r="AP20">
        <v>8.0784396660330184E-3</v>
      </c>
      <c r="AQ20">
        <v>78.242267888109652</v>
      </c>
      <c r="AR20">
        <v>0</v>
      </c>
      <c r="AS20">
        <v>0</v>
      </c>
      <c r="AT20">
        <f t="shared" si="27"/>
        <v>1</v>
      </c>
      <c r="AU20">
        <f t="shared" si="28"/>
        <v>0</v>
      </c>
      <c r="AV20">
        <f t="shared" si="29"/>
        <v>50312.472281089511</v>
      </c>
      <c r="AW20" t="s">
        <v>948</v>
      </c>
      <c r="AX20">
        <v>5105.72</v>
      </c>
      <c r="AY20">
        <v>582.62941176470576</v>
      </c>
      <c r="AZ20">
        <v>2436.86</v>
      </c>
      <c r="BA20">
        <f t="shared" si="30"/>
        <v>0.76090977250859482</v>
      </c>
      <c r="BB20">
        <v>-2.6462146481794289</v>
      </c>
      <c r="BC20" t="s">
        <v>1014</v>
      </c>
      <c r="BD20">
        <v>5088.33</v>
      </c>
      <c r="BE20">
        <v>750.02658823529418</v>
      </c>
      <c r="BF20">
        <v>1140.99</v>
      </c>
      <c r="BG20">
        <f t="shared" si="31"/>
        <v>0.34265279429679996</v>
      </c>
      <c r="BH20">
        <v>0.5</v>
      </c>
      <c r="BI20">
        <f t="shared" si="32"/>
        <v>3031.2162410962087</v>
      </c>
      <c r="BJ20">
        <f t="shared" si="33"/>
        <v>62.692225379007866</v>
      </c>
      <c r="BK20">
        <f t="shared" si="34"/>
        <v>519.32735756472914</v>
      </c>
      <c r="BL20">
        <f t="shared" si="35"/>
        <v>2.1555189346556914E-2</v>
      </c>
      <c r="BM20">
        <f t="shared" si="36"/>
        <v>1.1357417681136557</v>
      </c>
      <c r="BN20">
        <f t="shared" si="37"/>
        <v>458.20597995629828</v>
      </c>
      <c r="BO20" t="s">
        <v>407</v>
      </c>
      <c r="BP20">
        <v>0</v>
      </c>
      <c r="BQ20">
        <f t="shared" si="38"/>
        <v>458.20597995629828</v>
      </c>
      <c r="BR20">
        <f t="shared" si="39"/>
        <v>0.59841367588120997</v>
      </c>
      <c r="BS20">
        <f t="shared" si="40"/>
        <v>0.57260187744241897</v>
      </c>
      <c r="BT20">
        <f t="shared" si="41"/>
        <v>0.65492500804732845</v>
      </c>
      <c r="BU20">
        <f t="shared" si="42"/>
        <v>0.70019879626595904</v>
      </c>
      <c r="BV20">
        <f t="shared" si="43"/>
        <v>0.69887208647189003</v>
      </c>
      <c r="BW20">
        <f t="shared" si="44"/>
        <v>0.34981373793112869</v>
      </c>
      <c r="BX20">
        <f t="shared" si="45"/>
        <v>0.65018626206887131</v>
      </c>
      <c r="DG20">
        <f t="shared" si="46"/>
        <v>3696.1329032258072</v>
      </c>
      <c r="DH20">
        <f t="shared" si="47"/>
        <v>3031.2162410962087</v>
      </c>
      <c r="DI20">
        <f t="shared" si="48"/>
        <v>0.82010477449301367</v>
      </c>
      <c r="DJ20">
        <f t="shared" si="49"/>
        <v>0.17555221477151634</v>
      </c>
      <c r="DK20">
        <v>6</v>
      </c>
      <c r="DL20">
        <v>0.5</v>
      </c>
      <c r="DM20" t="s">
        <v>408</v>
      </c>
      <c r="DN20">
        <v>2</v>
      </c>
      <c r="DO20" t="b">
        <v>0</v>
      </c>
      <c r="DP20">
        <v>1783445926.099999</v>
      </c>
      <c r="DQ20">
        <v>419.72951612903228</v>
      </c>
      <c r="DR20">
        <v>498.85677419354829</v>
      </c>
      <c r="DS20">
        <v>38.778083870967748</v>
      </c>
      <c r="DT20">
        <v>29.89632903225807</v>
      </c>
      <c r="DU20">
        <v>425.85219354838722</v>
      </c>
      <c r="DV20">
        <v>38.804280645161278</v>
      </c>
      <c r="DW20">
        <v>499.8786774193548</v>
      </c>
      <c r="DX20">
        <v>98.179496774193538</v>
      </c>
      <c r="DY20">
        <v>4.9222393548387103E-2</v>
      </c>
      <c r="DZ20">
        <v>35.551377419354843</v>
      </c>
      <c r="EA20">
        <v>34.663025806451607</v>
      </c>
      <c r="EB20">
        <v>999.90000000000032</v>
      </c>
      <c r="EC20">
        <v>0</v>
      </c>
      <c r="ED20">
        <v>0</v>
      </c>
      <c r="EE20">
        <v>9966.2903225806458</v>
      </c>
      <c r="EF20">
        <v>0</v>
      </c>
      <c r="EG20">
        <v>2296.1225806451621</v>
      </c>
      <c r="EH20">
        <v>-79.127245161290318</v>
      </c>
      <c r="EI20">
        <v>436.66241935483868</v>
      </c>
      <c r="EJ20">
        <v>514.23041935483866</v>
      </c>
      <c r="EK20">
        <v>8.8817474193548396</v>
      </c>
      <c r="EL20">
        <v>498.85677419354829</v>
      </c>
      <c r="EM20">
        <v>29.89632903225807</v>
      </c>
      <c r="EN20">
        <v>3.807210645161291</v>
      </c>
      <c r="EO20">
        <v>2.9352064516129031</v>
      </c>
      <c r="EP20">
        <v>28.05584193548388</v>
      </c>
      <c r="EQ20">
        <v>23.664838709677419</v>
      </c>
      <c r="ER20">
        <v>1400.0103225806449</v>
      </c>
      <c r="ES20">
        <v>0.99298799999999998</v>
      </c>
      <c r="ET20">
        <v>7.0118570967741926E-3</v>
      </c>
      <c r="EU20">
        <v>0</v>
      </c>
      <c r="EV20">
        <v>749.76441935483865</v>
      </c>
      <c r="EW20">
        <v>5.0010700000000003</v>
      </c>
      <c r="EX20">
        <v>15906.596774193549</v>
      </c>
      <c r="EY20">
        <v>12745.548387096769</v>
      </c>
      <c r="EZ20">
        <v>43.566064516129003</v>
      </c>
      <c r="FA20">
        <v>45.013999999999982</v>
      </c>
      <c r="FB20">
        <v>44.279999999999987</v>
      </c>
      <c r="FC20">
        <v>45.031999999999989</v>
      </c>
      <c r="FD20">
        <v>45.481709677419332</v>
      </c>
      <c r="FE20">
        <v>1385.2312903225809</v>
      </c>
      <c r="FF20">
        <v>9.779032258064511</v>
      </c>
      <c r="FG20">
        <v>0</v>
      </c>
      <c r="FH20">
        <v>182</v>
      </c>
      <c r="FI20">
        <v>0</v>
      </c>
      <c r="FJ20">
        <v>750.02658823529418</v>
      </c>
      <c r="FK20">
        <v>2.8811274763202439</v>
      </c>
      <c r="FL20">
        <v>138.89705829039249</v>
      </c>
      <c r="FM20">
        <v>15915.770588235289</v>
      </c>
      <c r="FN20">
        <v>10</v>
      </c>
      <c r="FO20">
        <v>1783445857.5999999</v>
      </c>
      <c r="FP20" t="s">
        <v>1015</v>
      </c>
      <c r="FQ20">
        <v>1783445844.0999999</v>
      </c>
      <c r="FR20">
        <v>1783445857.5999999</v>
      </c>
      <c r="FS20">
        <v>31</v>
      </c>
      <c r="FT20">
        <v>9.5000000000000001E-2</v>
      </c>
      <c r="FU20">
        <v>2.3E-2</v>
      </c>
      <c r="FV20">
        <v>-6.1230000000000002</v>
      </c>
      <c r="FW20">
        <v>-0.25600000000000001</v>
      </c>
      <c r="FX20">
        <v>497</v>
      </c>
      <c r="FY20">
        <v>31</v>
      </c>
      <c r="FZ20">
        <v>0.12</v>
      </c>
      <c r="GA20">
        <v>0.05</v>
      </c>
      <c r="GB20">
        <v>419.72951612903228</v>
      </c>
      <c r="GC20">
        <v>-0.2056935483879915</v>
      </c>
      <c r="GD20">
        <v>9.1858541656929832E-2</v>
      </c>
      <c r="GE20">
        <v>-1</v>
      </c>
      <c r="GF20">
        <v>749.59952941176471</v>
      </c>
      <c r="GG20">
        <v>4.2970817434329467</v>
      </c>
      <c r="GH20">
        <v>0.48614051680159748</v>
      </c>
      <c r="GI20">
        <v>1</v>
      </c>
      <c r="GJ20">
        <v>8.8729346341463415</v>
      </c>
      <c r="GK20">
        <v>0.2025309407665416</v>
      </c>
      <c r="GL20">
        <v>3.497636136213194E-2</v>
      </c>
      <c r="GM20">
        <v>1</v>
      </c>
      <c r="GN20">
        <v>2</v>
      </c>
      <c r="GO20">
        <v>2</v>
      </c>
      <c r="GP20" t="s">
        <v>423</v>
      </c>
      <c r="GQ20">
        <v>3.1324999999999998</v>
      </c>
      <c r="GR20">
        <v>2.7254200000000002</v>
      </c>
      <c r="GS20">
        <v>9.1530299999999995E-2</v>
      </c>
      <c r="GT20">
        <v>0.103757</v>
      </c>
      <c r="GU20">
        <v>0.15601000000000001</v>
      </c>
      <c r="GV20">
        <v>0.13069700000000001</v>
      </c>
      <c r="GW20">
        <v>22727.200000000001</v>
      </c>
      <c r="GX20">
        <v>30092</v>
      </c>
      <c r="GY20">
        <v>27145.3</v>
      </c>
      <c r="GZ20">
        <v>34539.1</v>
      </c>
      <c r="HA20">
        <v>33575.1</v>
      </c>
      <c r="HB20">
        <v>38151.9</v>
      </c>
      <c r="HC20">
        <v>40093.300000000003</v>
      </c>
      <c r="HD20">
        <v>43962</v>
      </c>
      <c r="HE20">
        <v>1.9521999999999999</v>
      </c>
      <c r="HF20">
        <v>1.7216</v>
      </c>
      <c r="HG20">
        <v>3.7699900000000001E-2</v>
      </c>
      <c r="HH20">
        <v>0</v>
      </c>
      <c r="HI20">
        <v>34.073099999999997</v>
      </c>
      <c r="HJ20">
        <v>999.9</v>
      </c>
      <c r="HK20">
        <v>51.5</v>
      </c>
      <c r="HL20">
        <v>42.3</v>
      </c>
      <c r="HM20">
        <v>43.9298</v>
      </c>
      <c r="HN20">
        <v>60.025199999999998</v>
      </c>
      <c r="HO20">
        <v>6.3501599999999998</v>
      </c>
      <c r="HP20">
        <v>1</v>
      </c>
      <c r="HQ20">
        <v>0.68707300000000004</v>
      </c>
      <c r="HR20">
        <v>0</v>
      </c>
      <c r="HS20">
        <v>20.281700000000001</v>
      </c>
      <c r="HT20">
        <v>5.2088999999999999</v>
      </c>
      <c r="HU20">
        <v>11.908099999999999</v>
      </c>
      <c r="HV20">
        <v>4.9832000000000001</v>
      </c>
      <c r="HW20">
        <v>3.2709999999999999</v>
      </c>
      <c r="HX20">
        <v>9999</v>
      </c>
      <c r="HY20">
        <v>9999</v>
      </c>
      <c r="HZ20">
        <v>9999</v>
      </c>
      <c r="IA20">
        <v>999.9</v>
      </c>
      <c r="IB20">
        <v>1.8674599999999999</v>
      </c>
      <c r="IC20">
        <v>1.8631</v>
      </c>
      <c r="ID20">
        <v>1.8626400000000001</v>
      </c>
      <c r="IE20">
        <v>1.8621799999999999</v>
      </c>
      <c r="IF20">
        <v>1.8621799999999999</v>
      </c>
      <c r="IG20">
        <v>1.8626400000000001</v>
      </c>
      <c r="IH20">
        <v>1.8635900000000001</v>
      </c>
      <c r="II20">
        <v>1.8615699999999999</v>
      </c>
      <c r="IJ20">
        <v>0</v>
      </c>
      <c r="IK20">
        <v>0</v>
      </c>
      <c r="IL20">
        <v>0</v>
      </c>
      <c r="IM20">
        <v>4.5</v>
      </c>
      <c r="IN20" t="s">
        <v>411</v>
      </c>
      <c r="IO20" t="s">
        <v>412</v>
      </c>
      <c r="IP20" t="s">
        <v>413</v>
      </c>
      <c r="IQ20" t="s">
        <v>414</v>
      </c>
      <c r="IR20" t="s">
        <v>414</v>
      </c>
      <c r="IS20" t="s">
        <v>413</v>
      </c>
      <c r="IT20">
        <v>0</v>
      </c>
      <c r="IU20">
        <v>100</v>
      </c>
      <c r="IV20">
        <v>100</v>
      </c>
      <c r="IW20">
        <v>-6.1230000000000002</v>
      </c>
      <c r="IX20">
        <v>-2.5600000000000001E-2</v>
      </c>
      <c r="IY20">
        <v>-6.1225499999999329</v>
      </c>
      <c r="IZ20">
        <v>0</v>
      </c>
      <c r="JA20">
        <v>0</v>
      </c>
      <c r="JB20">
        <v>0</v>
      </c>
      <c r="JC20">
        <v>-0.86092176677926902</v>
      </c>
      <c r="JD20">
        <v>2.7492919904454862E-4</v>
      </c>
      <c r="JE20">
        <v>8.6739513355948885E-4</v>
      </c>
      <c r="JF20">
        <v>-8.2500691715147318E-6</v>
      </c>
      <c r="JG20">
        <v>-1</v>
      </c>
      <c r="JH20">
        <v>-1</v>
      </c>
      <c r="JI20">
        <v>2</v>
      </c>
      <c r="JJ20">
        <v>37</v>
      </c>
      <c r="JK20">
        <v>1.5</v>
      </c>
      <c r="JL20">
        <v>1.3</v>
      </c>
      <c r="JM20">
        <v>1.2609900000000001</v>
      </c>
      <c r="JN20">
        <v>2.5549300000000001</v>
      </c>
      <c r="JO20">
        <v>1.50024</v>
      </c>
      <c r="JP20">
        <v>2.2692899999999998</v>
      </c>
      <c r="JQ20">
        <v>1.4477500000000001</v>
      </c>
      <c r="JR20">
        <v>2.4243199999999998</v>
      </c>
      <c r="JS20">
        <v>46.123699999999999</v>
      </c>
      <c r="JT20">
        <v>13.738</v>
      </c>
      <c r="JU20">
        <v>18</v>
      </c>
      <c r="JV20">
        <v>550.55899999999997</v>
      </c>
      <c r="JW20">
        <v>413.24299999999999</v>
      </c>
      <c r="JX20">
        <v>35.096600000000002</v>
      </c>
      <c r="JY20">
        <v>35.803199999999997</v>
      </c>
      <c r="JZ20">
        <v>29.9998</v>
      </c>
      <c r="KA20">
        <v>35.822000000000003</v>
      </c>
      <c r="KB20">
        <v>35.786999999999999</v>
      </c>
      <c r="KC20">
        <v>25.2285</v>
      </c>
      <c r="KD20">
        <v>39.43</v>
      </c>
      <c r="KE20">
        <v>0</v>
      </c>
      <c r="KF20">
        <v>-999.9</v>
      </c>
      <c r="KG20">
        <v>499.14600000000002</v>
      </c>
      <c r="KH20">
        <v>29.730699999999999</v>
      </c>
      <c r="KI20">
        <v>100.196</v>
      </c>
      <c r="KJ20">
        <v>98.771100000000004</v>
      </c>
    </row>
    <row r="21" spans="1:296" x14ac:dyDescent="0.3">
      <c r="A21">
        <v>5</v>
      </c>
      <c r="B21">
        <v>1783446116.5999999</v>
      </c>
      <c r="C21">
        <v>763.59999990463257</v>
      </c>
      <c r="D21" t="s">
        <v>1016</v>
      </c>
      <c r="E21" t="s">
        <v>1017</v>
      </c>
      <c r="F21">
        <v>15</v>
      </c>
      <c r="H21">
        <v>1783446108.599999</v>
      </c>
      <c r="I21">
        <f t="shared" si="0"/>
        <v>7.89304930108292E-3</v>
      </c>
      <c r="J21">
        <f t="shared" si="1"/>
        <v>7.8930493010829199</v>
      </c>
      <c r="K21">
        <f t="shared" si="2"/>
        <v>51.290449406200153</v>
      </c>
      <c r="L21">
        <f t="shared" si="3"/>
        <v>419.89306451612907</v>
      </c>
      <c r="M21">
        <f t="shared" si="4"/>
        <v>217.23131128662914</v>
      </c>
      <c r="N21">
        <f t="shared" si="5"/>
        <v>21.3362070811054</v>
      </c>
      <c r="O21">
        <f t="shared" si="6"/>
        <v>41.241409092334258</v>
      </c>
      <c r="P21">
        <f t="shared" si="7"/>
        <v>0.45645354328837123</v>
      </c>
      <c r="Q21">
        <f t="shared" si="8"/>
        <v>2.8960809716805427</v>
      </c>
      <c r="R21">
        <f t="shared" si="9"/>
        <v>0.41992497198322415</v>
      </c>
      <c r="S21">
        <f t="shared" si="10"/>
        <v>0.26549102434654459</v>
      </c>
      <c r="T21">
        <f t="shared" si="11"/>
        <v>581.46694361216873</v>
      </c>
      <c r="U21">
        <f t="shared" si="12"/>
        <v>36.858668264145237</v>
      </c>
      <c r="V21">
        <f t="shared" si="13"/>
        <v>34.621161290322583</v>
      </c>
      <c r="W21">
        <f t="shared" si="14"/>
        <v>5.5309499346255153</v>
      </c>
      <c r="X21">
        <f t="shared" si="15"/>
        <v>65.050203104629745</v>
      </c>
      <c r="Y21">
        <f t="shared" si="16"/>
        <v>3.772228830740664</v>
      </c>
      <c r="Z21">
        <f t="shared" si="17"/>
        <v>5.7989501196072162</v>
      </c>
      <c r="AA21">
        <f t="shared" si="18"/>
        <v>1.7587211038848514</v>
      </c>
      <c r="AB21">
        <f t="shared" si="19"/>
        <v>-348.08347417775678</v>
      </c>
      <c r="AC21">
        <f t="shared" si="20"/>
        <v>133.45688674861901</v>
      </c>
      <c r="AD21">
        <f t="shared" si="21"/>
        <v>10.767126256346637</v>
      </c>
      <c r="AE21">
        <f t="shared" si="22"/>
        <v>377.60748243937758</v>
      </c>
      <c r="AF21">
        <f t="shared" si="23"/>
        <v>51.290449406200153</v>
      </c>
      <c r="AG21">
        <f t="shared" si="24"/>
        <v>7.8930493010829199</v>
      </c>
      <c r="AH21">
        <f t="shared" si="25"/>
        <v>51.187563065403239</v>
      </c>
      <c r="AI21">
        <v>500.02960831914157</v>
      </c>
      <c r="AJ21">
        <v>436.74251515151508</v>
      </c>
      <c r="AK21">
        <v>3.8963036350141741E-4</v>
      </c>
      <c r="AL21">
        <v>67.033515794042771</v>
      </c>
      <c r="AM21">
        <f t="shared" si="26"/>
        <v>7.8720780141857638</v>
      </c>
      <c r="AN21">
        <v>29.296699366882532</v>
      </c>
      <c r="AO21">
        <v>38.395971515151523</v>
      </c>
      <c r="AP21">
        <v>-2.4458686158839119E-3</v>
      </c>
      <c r="AQ21">
        <v>78.061179718337897</v>
      </c>
      <c r="AR21">
        <v>0</v>
      </c>
      <c r="AS21">
        <v>0</v>
      </c>
      <c r="AT21">
        <f t="shared" si="27"/>
        <v>1</v>
      </c>
      <c r="AU21">
        <f t="shared" si="28"/>
        <v>0</v>
      </c>
      <c r="AV21">
        <f t="shared" si="29"/>
        <v>50450.814175588879</v>
      </c>
      <c r="AW21" t="s">
        <v>948</v>
      </c>
      <c r="AX21">
        <v>5105.72</v>
      </c>
      <c r="AY21">
        <v>582.62941176470576</v>
      </c>
      <c r="AZ21">
        <v>2436.86</v>
      </c>
      <c r="BA21">
        <f t="shared" si="30"/>
        <v>0.76090977250859482</v>
      </c>
      <c r="BB21">
        <v>-2.6462146481794289</v>
      </c>
      <c r="BC21" t="s">
        <v>1018</v>
      </c>
      <c r="BD21">
        <v>5092.6000000000004</v>
      </c>
      <c r="BE21">
        <v>747.59647058823521</v>
      </c>
      <c r="BF21">
        <v>1342.99</v>
      </c>
      <c r="BG21">
        <f t="shared" si="31"/>
        <v>0.44333429840264249</v>
      </c>
      <c r="BH21">
        <v>0.5</v>
      </c>
      <c r="BI21">
        <f t="shared" si="32"/>
        <v>2715.1922070027949</v>
      </c>
      <c r="BJ21">
        <f t="shared" si="33"/>
        <v>51.290449406200153</v>
      </c>
      <c r="BK21">
        <f t="shared" si="34"/>
        <v>601.86891605995322</v>
      </c>
      <c r="BL21">
        <f t="shared" si="35"/>
        <v>1.9864768289799405E-2</v>
      </c>
      <c r="BM21">
        <f t="shared" si="36"/>
        <v>0.81450345870036267</v>
      </c>
      <c r="BN21">
        <f t="shared" si="37"/>
        <v>487.66216992245762</v>
      </c>
      <c r="BO21" t="s">
        <v>407</v>
      </c>
      <c r="BP21">
        <v>0</v>
      </c>
      <c r="BQ21">
        <f t="shared" si="38"/>
        <v>487.66216992245762</v>
      </c>
      <c r="BR21">
        <f t="shared" si="39"/>
        <v>0.63688324565152565</v>
      </c>
      <c r="BS21">
        <f t="shared" si="40"/>
        <v>0.696099797615363</v>
      </c>
      <c r="BT21">
        <f t="shared" si="41"/>
        <v>0.56118983056557381</v>
      </c>
      <c r="BU21">
        <f t="shared" si="42"/>
        <v>0.78304101846414975</v>
      </c>
      <c r="BV21">
        <f t="shared" si="43"/>
        <v>0.58993202190729499</v>
      </c>
      <c r="BW21">
        <f t="shared" si="44"/>
        <v>0.45407054626754889</v>
      </c>
      <c r="BX21">
        <f t="shared" si="45"/>
        <v>0.54592945373245105</v>
      </c>
      <c r="DG21">
        <f t="shared" si="46"/>
        <v>3310.60864516129</v>
      </c>
      <c r="DH21">
        <f t="shared" si="47"/>
        <v>2715.1922070027949</v>
      </c>
      <c r="DI21">
        <f t="shared" si="48"/>
        <v>0.82014895084964445</v>
      </c>
      <c r="DJ21">
        <f t="shared" si="49"/>
        <v>0.17563747513981381</v>
      </c>
      <c r="DK21">
        <v>6</v>
      </c>
      <c r="DL21">
        <v>0.5</v>
      </c>
      <c r="DM21" t="s">
        <v>408</v>
      </c>
      <c r="DN21">
        <v>2</v>
      </c>
      <c r="DO21" t="b">
        <v>0</v>
      </c>
      <c r="DP21">
        <v>1783446108.599999</v>
      </c>
      <c r="DQ21">
        <v>419.89306451612907</v>
      </c>
      <c r="DR21">
        <v>485.42500000000001</v>
      </c>
      <c r="DS21">
        <v>38.406367741935497</v>
      </c>
      <c r="DT21">
        <v>29.297603225806451</v>
      </c>
      <c r="DU21">
        <v>425.93225806451608</v>
      </c>
      <c r="DV21">
        <v>38.424916129032248</v>
      </c>
      <c r="DW21">
        <v>499.95183870967742</v>
      </c>
      <c r="DX21">
        <v>98.169267741935485</v>
      </c>
      <c r="DY21">
        <v>4.9570761290322583E-2</v>
      </c>
      <c r="DZ21">
        <v>35.475922580645147</v>
      </c>
      <c r="EA21">
        <v>34.621161290322583</v>
      </c>
      <c r="EB21">
        <v>999.90000000000032</v>
      </c>
      <c r="EC21">
        <v>0</v>
      </c>
      <c r="ED21">
        <v>0</v>
      </c>
      <c r="EE21">
        <v>9993.3870967741932</v>
      </c>
      <c r="EF21">
        <v>0</v>
      </c>
      <c r="EG21">
        <v>2310.6148387096769</v>
      </c>
      <c r="EH21">
        <v>-65.531838709677416</v>
      </c>
      <c r="EI21">
        <v>436.66377419354842</v>
      </c>
      <c r="EJ21">
        <v>500.07593548387092</v>
      </c>
      <c r="EK21">
        <v>9.1087648387096785</v>
      </c>
      <c r="EL21">
        <v>485.42500000000001</v>
      </c>
      <c r="EM21">
        <v>29.297603225806451</v>
      </c>
      <c r="EN21">
        <v>3.7703248387096768</v>
      </c>
      <c r="EO21">
        <v>2.8761248387096772</v>
      </c>
      <c r="EP21">
        <v>27.888874193548389</v>
      </c>
      <c r="EQ21">
        <v>23.32762903225807</v>
      </c>
      <c r="ER21">
        <v>999.99380645161295</v>
      </c>
      <c r="ES21">
        <v>0.99001661290322585</v>
      </c>
      <c r="ET21">
        <v>9.9829558064516172E-3</v>
      </c>
      <c r="EU21">
        <v>0</v>
      </c>
      <c r="EV21">
        <v>747.4834193548387</v>
      </c>
      <c r="EW21">
        <v>5.0010700000000003</v>
      </c>
      <c r="EX21">
        <v>12671.54516129032</v>
      </c>
      <c r="EY21">
        <v>9080.2816129032253</v>
      </c>
      <c r="EZ21">
        <v>43</v>
      </c>
      <c r="FA21">
        <v>45.25</v>
      </c>
      <c r="FB21">
        <v>44.09654838709676</v>
      </c>
      <c r="FC21">
        <v>45.070129032258038</v>
      </c>
      <c r="FD21">
        <v>45.118903225806463</v>
      </c>
      <c r="FE21">
        <v>985.06322580645156</v>
      </c>
      <c r="FF21">
        <v>9.9300000000000015</v>
      </c>
      <c r="FG21">
        <v>0</v>
      </c>
      <c r="FH21">
        <v>181.5999999046326</v>
      </c>
      <c r="FI21">
        <v>0</v>
      </c>
      <c r="FJ21">
        <v>747.59647058823521</v>
      </c>
      <c r="FK21">
        <v>0.34877451590078112</v>
      </c>
      <c r="FL21">
        <v>310.66176358825697</v>
      </c>
      <c r="FM21">
        <v>12680.194117647059</v>
      </c>
      <c r="FN21">
        <v>10</v>
      </c>
      <c r="FO21">
        <v>1783446053.0999999</v>
      </c>
      <c r="FP21" t="s">
        <v>1019</v>
      </c>
      <c r="FQ21">
        <v>1783446051.0999999</v>
      </c>
      <c r="FR21">
        <v>1783446053.0999999</v>
      </c>
      <c r="FS21">
        <v>32</v>
      </c>
      <c r="FT21">
        <v>8.3000000000000004E-2</v>
      </c>
      <c r="FU21">
        <v>1.9E-2</v>
      </c>
      <c r="FV21">
        <v>-6.0389999999999997</v>
      </c>
      <c r="FW21">
        <v>-0.27900000000000003</v>
      </c>
      <c r="FX21">
        <v>486</v>
      </c>
      <c r="FY21">
        <v>30</v>
      </c>
      <c r="FZ21">
        <v>0.19</v>
      </c>
      <c r="GA21">
        <v>0.03</v>
      </c>
      <c r="GB21">
        <v>419.88170000000008</v>
      </c>
      <c r="GC21">
        <v>0.98341268075690125</v>
      </c>
      <c r="GD21">
        <v>9.6002829819406096E-2</v>
      </c>
      <c r="GE21">
        <v>-1</v>
      </c>
      <c r="GF21">
        <v>747.64197058823538</v>
      </c>
      <c r="GG21">
        <v>-1.4648892340430011</v>
      </c>
      <c r="GH21">
        <v>0.3405191957355147</v>
      </c>
      <c r="GI21">
        <v>1</v>
      </c>
      <c r="GJ21">
        <v>9.1154030000000006</v>
      </c>
      <c r="GK21">
        <v>-0.129622739212024</v>
      </c>
      <c r="GL21">
        <v>1.347611872907045E-2</v>
      </c>
      <c r="GM21">
        <v>1</v>
      </c>
      <c r="GN21">
        <v>2</v>
      </c>
      <c r="GO21">
        <v>2</v>
      </c>
      <c r="GP21" t="s">
        <v>423</v>
      </c>
      <c r="GQ21">
        <v>3.1324299999999998</v>
      </c>
      <c r="GR21">
        <v>2.7259000000000002</v>
      </c>
      <c r="GS21">
        <v>9.1568999999999998E-2</v>
      </c>
      <c r="GT21">
        <v>0.101648</v>
      </c>
      <c r="GU21">
        <v>0.15487600000000001</v>
      </c>
      <c r="GV21">
        <v>0.12891900000000001</v>
      </c>
      <c r="GW21">
        <v>22722.6</v>
      </c>
      <c r="GX21">
        <v>30157.599999999999</v>
      </c>
      <c r="GY21">
        <v>27141.1</v>
      </c>
      <c r="GZ21">
        <v>34533.1</v>
      </c>
      <c r="HA21">
        <v>33615.4</v>
      </c>
      <c r="HB21">
        <v>38222.6</v>
      </c>
      <c r="HC21">
        <v>40087.599999999999</v>
      </c>
      <c r="HD21">
        <v>43953.9</v>
      </c>
      <c r="HE21">
        <v>1.952</v>
      </c>
      <c r="HF21">
        <v>1.7198</v>
      </c>
      <c r="HG21">
        <v>8.7916899999999996E-3</v>
      </c>
      <c r="HH21">
        <v>0</v>
      </c>
      <c r="HI21">
        <v>34.467100000000002</v>
      </c>
      <c r="HJ21">
        <v>999.9</v>
      </c>
      <c r="HK21">
        <v>51.3</v>
      </c>
      <c r="HL21">
        <v>42.4</v>
      </c>
      <c r="HM21">
        <v>43.990699999999997</v>
      </c>
      <c r="HN21">
        <v>60.095199999999998</v>
      </c>
      <c r="HO21">
        <v>5.9615400000000003</v>
      </c>
      <c r="HP21">
        <v>1</v>
      </c>
      <c r="HQ21">
        <v>0.69125999999999999</v>
      </c>
      <c r="HR21">
        <v>0</v>
      </c>
      <c r="HS21">
        <v>20.284500000000001</v>
      </c>
      <c r="HT21">
        <v>5.2088999999999999</v>
      </c>
      <c r="HU21">
        <v>11.908099999999999</v>
      </c>
      <c r="HV21">
        <v>4.9828000000000001</v>
      </c>
      <c r="HW21">
        <v>3.2707999999999999</v>
      </c>
      <c r="HX21">
        <v>9999</v>
      </c>
      <c r="HY21">
        <v>9999</v>
      </c>
      <c r="HZ21">
        <v>9999</v>
      </c>
      <c r="IA21">
        <v>999.9</v>
      </c>
      <c r="IB21">
        <v>1.8674900000000001</v>
      </c>
      <c r="IC21">
        <v>1.8631599999999999</v>
      </c>
      <c r="ID21">
        <v>1.8626400000000001</v>
      </c>
      <c r="IE21">
        <v>1.8621799999999999</v>
      </c>
      <c r="IF21">
        <v>1.8621799999999999</v>
      </c>
      <c r="IG21">
        <v>1.8626400000000001</v>
      </c>
      <c r="IH21">
        <v>1.86365</v>
      </c>
      <c r="II21">
        <v>1.8615699999999999</v>
      </c>
      <c r="IJ21">
        <v>0</v>
      </c>
      <c r="IK21">
        <v>0</v>
      </c>
      <c r="IL21">
        <v>0</v>
      </c>
      <c r="IM21">
        <v>4.5</v>
      </c>
      <c r="IN21" t="s">
        <v>411</v>
      </c>
      <c r="IO21" t="s">
        <v>412</v>
      </c>
      <c r="IP21" t="s">
        <v>413</v>
      </c>
      <c r="IQ21" t="s">
        <v>414</v>
      </c>
      <c r="IR21" t="s">
        <v>414</v>
      </c>
      <c r="IS21" t="s">
        <v>413</v>
      </c>
      <c r="IT21">
        <v>0</v>
      </c>
      <c r="IU21">
        <v>100</v>
      </c>
      <c r="IV21">
        <v>100</v>
      </c>
      <c r="IW21">
        <v>-6.0389999999999997</v>
      </c>
      <c r="IX21">
        <v>-1.9099999999999999E-2</v>
      </c>
      <c r="IY21">
        <v>-6.0391428571426786</v>
      </c>
      <c r="IZ21">
        <v>0</v>
      </c>
      <c r="JA21">
        <v>0</v>
      </c>
      <c r="JB21">
        <v>0</v>
      </c>
      <c r="JC21">
        <v>-0.84175007700484161</v>
      </c>
      <c r="JD21">
        <v>2.7492919904454862E-4</v>
      </c>
      <c r="JE21">
        <v>8.6739513355948885E-4</v>
      </c>
      <c r="JF21">
        <v>-8.2500691715147318E-6</v>
      </c>
      <c r="JG21">
        <v>-1</v>
      </c>
      <c r="JH21">
        <v>-1</v>
      </c>
      <c r="JI21">
        <v>2</v>
      </c>
      <c r="JJ21">
        <v>37</v>
      </c>
      <c r="JK21">
        <v>1.1000000000000001</v>
      </c>
      <c r="JL21">
        <v>1.1000000000000001</v>
      </c>
      <c r="JM21">
        <v>1.23291</v>
      </c>
      <c r="JN21">
        <v>2.5647000000000002</v>
      </c>
      <c r="JO21">
        <v>1.50024</v>
      </c>
      <c r="JP21">
        <v>2.2692899999999998</v>
      </c>
      <c r="JQ21">
        <v>1.4477500000000001</v>
      </c>
      <c r="JR21">
        <v>2.4853499999999999</v>
      </c>
      <c r="JS21">
        <v>46.24</v>
      </c>
      <c r="JT21">
        <v>13.720499999999999</v>
      </c>
      <c r="JU21">
        <v>18</v>
      </c>
      <c r="JV21">
        <v>550.18200000000002</v>
      </c>
      <c r="JW21">
        <v>412.00799999999998</v>
      </c>
      <c r="JX21">
        <v>35.091099999999997</v>
      </c>
      <c r="JY21">
        <v>35.813099999999999</v>
      </c>
      <c r="JZ21">
        <v>30.000399999999999</v>
      </c>
      <c r="KA21">
        <v>35.792299999999997</v>
      </c>
      <c r="KB21">
        <v>35.764000000000003</v>
      </c>
      <c r="KC21">
        <v>24.6587</v>
      </c>
      <c r="KD21">
        <v>39.985799999999998</v>
      </c>
      <c r="KE21">
        <v>0</v>
      </c>
      <c r="KF21">
        <v>-999.9</v>
      </c>
      <c r="KG21">
        <v>485.29700000000003</v>
      </c>
      <c r="KH21">
        <v>29.287199999999999</v>
      </c>
      <c r="KI21">
        <v>100.181</v>
      </c>
      <c r="KJ21">
        <v>98.753399999999999</v>
      </c>
    </row>
    <row r="22" spans="1:296" x14ac:dyDescent="0.3">
      <c r="A22">
        <v>6</v>
      </c>
      <c r="B22">
        <v>1783446299.0999999</v>
      </c>
      <c r="C22">
        <v>946.09999990463257</v>
      </c>
      <c r="D22" t="s">
        <v>1020</v>
      </c>
      <c r="E22" t="s">
        <v>1021</v>
      </c>
      <c r="F22">
        <v>15</v>
      </c>
      <c r="H22">
        <v>1783446291.349999</v>
      </c>
      <c r="I22">
        <f t="shared" si="0"/>
        <v>7.9105099552631876E-3</v>
      </c>
      <c r="J22">
        <f t="shared" si="1"/>
        <v>7.910509955263187</v>
      </c>
      <c r="K22">
        <f t="shared" si="2"/>
        <v>42.98977027762848</v>
      </c>
      <c r="L22">
        <f t="shared" si="3"/>
        <v>419.76336666666668</v>
      </c>
      <c r="M22">
        <f t="shared" si="4"/>
        <v>247.51902347553624</v>
      </c>
      <c r="N22">
        <f t="shared" si="5"/>
        <v>24.310336410313173</v>
      </c>
      <c r="O22">
        <f t="shared" si="6"/>
        <v>41.22749238868456</v>
      </c>
      <c r="P22">
        <f t="shared" si="7"/>
        <v>0.45536386029823361</v>
      </c>
      <c r="Q22">
        <f t="shared" si="8"/>
        <v>2.8973419204544384</v>
      </c>
      <c r="R22">
        <f t="shared" si="9"/>
        <v>0.41901652247679155</v>
      </c>
      <c r="S22">
        <f t="shared" si="10"/>
        <v>0.26490880006487183</v>
      </c>
      <c r="T22">
        <f t="shared" si="11"/>
        <v>544.39596348582052</v>
      </c>
      <c r="U22">
        <f t="shared" si="12"/>
        <v>36.630569245895614</v>
      </c>
      <c r="V22">
        <f t="shared" si="13"/>
        <v>34.629773333333333</v>
      </c>
      <c r="W22">
        <f t="shared" si="14"/>
        <v>5.5335954864800971</v>
      </c>
      <c r="X22">
        <f t="shared" si="15"/>
        <v>64.975678558740185</v>
      </c>
      <c r="Y22">
        <f t="shared" si="16"/>
        <v>3.7671927968399146</v>
      </c>
      <c r="Z22">
        <f t="shared" si="17"/>
        <v>5.7978506425819729</v>
      </c>
      <c r="AA22">
        <f t="shared" si="18"/>
        <v>1.7664026896401825</v>
      </c>
      <c r="AB22">
        <f t="shared" si="19"/>
        <v>-348.85348902710655</v>
      </c>
      <c r="AC22">
        <f t="shared" si="20"/>
        <v>131.63308472724947</v>
      </c>
      <c r="AD22">
        <f t="shared" si="21"/>
        <v>10.615629379209798</v>
      </c>
      <c r="AE22">
        <f t="shared" si="22"/>
        <v>337.79118856517329</v>
      </c>
      <c r="AF22">
        <f t="shared" si="23"/>
        <v>42.98977027762848</v>
      </c>
      <c r="AG22">
        <f t="shared" si="24"/>
        <v>7.910509955263187</v>
      </c>
      <c r="AH22">
        <f t="shared" si="25"/>
        <v>42.730246923741795</v>
      </c>
      <c r="AI22">
        <v>489.55044397111902</v>
      </c>
      <c r="AJ22">
        <v>436.62730303030321</v>
      </c>
      <c r="AK22">
        <v>2.0929762715956691E-2</v>
      </c>
      <c r="AL22">
        <v>67.032796563645562</v>
      </c>
      <c r="AM22">
        <f t="shared" si="26"/>
        <v>7.8273673762978166</v>
      </c>
      <c r="AN22">
        <v>29.2214233288686</v>
      </c>
      <c r="AO22">
        <v>38.308613939393922</v>
      </c>
      <c r="AP22">
        <v>-9.1957092651299404E-3</v>
      </c>
      <c r="AQ22">
        <v>78.059090543853799</v>
      </c>
      <c r="AR22">
        <v>0</v>
      </c>
      <c r="AS22">
        <v>0</v>
      </c>
      <c r="AT22">
        <f t="shared" si="27"/>
        <v>1</v>
      </c>
      <c r="AU22">
        <f t="shared" si="28"/>
        <v>0</v>
      </c>
      <c r="AV22">
        <f t="shared" si="29"/>
        <v>50486.344711190883</v>
      </c>
      <c r="AW22" t="s">
        <v>948</v>
      </c>
      <c r="AX22">
        <v>5105.72</v>
      </c>
      <c r="AY22">
        <v>582.62941176470576</v>
      </c>
      <c r="AZ22">
        <v>2436.86</v>
      </c>
      <c r="BA22">
        <f t="shared" si="30"/>
        <v>0.76090977250859482</v>
      </c>
      <c r="BB22">
        <v>-2.6462146481794289</v>
      </c>
      <c r="BC22" t="s">
        <v>1022</v>
      </c>
      <c r="BD22">
        <v>5095.55</v>
      </c>
      <c r="BE22">
        <v>733.5734705882353</v>
      </c>
      <c r="BF22">
        <v>1458.24</v>
      </c>
      <c r="BG22">
        <f t="shared" si="31"/>
        <v>0.49694599614039159</v>
      </c>
      <c r="BH22">
        <v>0.5</v>
      </c>
      <c r="BI22">
        <f t="shared" si="32"/>
        <v>2540.9767484339313</v>
      </c>
      <c r="BJ22">
        <f t="shared" si="33"/>
        <v>42.98977027762848</v>
      </c>
      <c r="BK22">
        <f t="shared" si="34"/>
        <v>631.36411071003658</v>
      </c>
      <c r="BL22">
        <f t="shared" si="35"/>
        <v>1.7960016735271006E-2</v>
      </c>
      <c r="BM22">
        <f t="shared" si="36"/>
        <v>0.67109666447224059</v>
      </c>
      <c r="BN22">
        <f t="shared" si="37"/>
        <v>502.0708166484514</v>
      </c>
      <c r="BO22" t="s">
        <v>407</v>
      </c>
      <c r="BP22">
        <v>0</v>
      </c>
      <c r="BQ22">
        <f t="shared" si="38"/>
        <v>502.0708166484514</v>
      </c>
      <c r="BR22">
        <f t="shared" si="39"/>
        <v>0.65570083343725905</v>
      </c>
      <c r="BS22">
        <f t="shared" si="40"/>
        <v>0.75788525925053918</v>
      </c>
      <c r="BT22">
        <f t="shared" si="41"/>
        <v>0.50580187672166976</v>
      </c>
      <c r="BU22">
        <f t="shared" si="42"/>
        <v>0.82761279859835613</v>
      </c>
      <c r="BV22">
        <f t="shared" si="43"/>
        <v>0.52777686130794066</v>
      </c>
      <c r="BW22">
        <f t="shared" si="44"/>
        <v>0.51871024006991129</v>
      </c>
      <c r="BX22">
        <f t="shared" si="45"/>
        <v>0.48128975993008871</v>
      </c>
      <c r="DG22">
        <f t="shared" si="46"/>
        <v>3098.0203666666666</v>
      </c>
      <c r="DH22">
        <f t="shared" si="47"/>
        <v>2540.9767484339313</v>
      </c>
      <c r="DI22">
        <f t="shared" si="48"/>
        <v>0.82019368748305232</v>
      </c>
      <c r="DJ22">
        <f t="shared" si="49"/>
        <v>0.17572381684229099</v>
      </c>
      <c r="DK22">
        <v>6</v>
      </c>
      <c r="DL22">
        <v>0.5</v>
      </c>
      <c r="DM22" t="s">
        <v>408</v>
      </c>
      <c r="DN22">
        <v>2</v>
      </c>
      <c r="DO22" t="b">
        <v>0</v>
      </c>
      <c r="DP22">
        <v>1783446291.349999</v>
      </c>
      <c r="DQ22">
        <v>419.76336666666668</v>
      </c>
      <c r="DR22">
        <v>475.3311666666666</v>
      </c>
      <c r="DS22">
        <v>38.356189999999998</v>
      </c>
      <c r="DT22">
        <v>29.228429999999999</v>
      </c>
      <c r="DU22">
        <v>425.79719999999998</v>
      </c>
      <c r="DV22">
        <v>38.37598666666667</v>
      </c>
      <c r="DW22">
        <v>500.04116666666658</v>
      </c>
      <c r="DX22">
        <v>98.167150000000007</v>
      </c>
      <c r="DY22">
        <v>4.8882323333333338E-2</v>
      </c>
      <c r="DZ22">
        <v>35.472486666666661</v>
      </c>
      <c r="EA22">
        <v>34.629773333333333</v>
      </c>
      <c r="EB22">
        <v>999.9000000000002</v>
      </c>
      <c r="EC22">
        <v>0</v>
      </c>
      <c r="ED22">
        <v>0</v>
      </c>
      <c r="EE22">
        <v>10000.83333333333</v>
      </c>
      <c r="EF22">
        <v>0</v>
      </c>
      <c r="EG22">
        <v>2298.0213333333331</v>
      </c>
      <c r="EH22">
        <v>-55.567976666666667</v>
      </c>
      <c r="EI22">
        <v>436.5059333333333</v>
      </c>
      <c r="EJ22">
        <v>489.64276666666672</v>
      </c>
      <c r="EK22">
        <v>9.1277523333333352</v>
      </c>
      <c r="EL22">
        <v>475.3311666666666</v>
      </c>
      <c r="EM22">
        <v>29.228429999999999</v>
      </c>
      <c r="EN22">
        <v>3.7653176666666659</v>
      </c>
      <c r="EO22">
        <v>2.869272333333333</v>
      </c>
      <c r="EP22">
        <v>27.866086666666661</v>
      </c>
      <c r="EQ22">
        <v>23.288123333333331</v>
      </c>
      <c r="ER22">
        <v>799.99903333333327</v>
      </c>
      <c r="ES22">
        <v>0.98700826666666663</v>
      </c>
      <c r="ET22">
        <v>1.299206E-2</v>
      </c>
      <c r="EU22">
        <v>0</v>
      </c>
      <c r="EV22">
        <v>733.63419999999996</v>
      </c>
      <c r="EW22">
        <v>5.0010700000000003</v>
      </c>
      <c r="EX22">
        <v>10930.733333333341</v>
      </c>
      <c r="EY22">
        <v>7246.6330000000016</v>
      </c>
      <c r="EZ22">
        <v>42.468499999999977</v>
      </c>
      <c r="FA22">
        <v>45.210099999999983</v>
      </c>
      <c r="FB22">
        <v>43.731099999999977</v>
      </c>
      <c r="FC22">
        <v>45.125</v>
      </c>
      <c r="FD22">
        <v>44.843499999999977</v>
      </c>
      <c r="FE22">
        <v>784.66899999999998</v>
      </c>
      <c r="FF22">
        <v>10.33</v>
      </c>
      <c r="FG22">
        <v>0</v>
      </c>
      <c r="FH22">
        <v>181.70000004768369</v>
      </c>
      <c r="FI22">
        <v>0</v>
      </c>
      <c r="FJ22">
        <v>733.5734705882353</v>
      </c>
      <c r="FK22">
        <v>1.9122548908300741</v>
      </c>
      <c r="FL22">
        <v>-1093.2843094781081</v>
      </c>
      <c r="FM22">
        <v>10916.25882352941</v>
      </c>
      <c r="FN22">
        <v>10</v>
      </c>
      <c r="FO22">
        <v>1783446247.0999999</v>
      </c>
      <c r="FP22" t="s">
        <v>1023</v>
      </c>
      <c r="FQ22">
        <v>1783446240.5999999</v>
      </c>
      <c r="FR22">
        <v>1783446247.0999999</v>
      </c>
      <c r="FS22">
        <v>33</v>
      </c>
      <c r="FT22">
        <v>5.0000000000000001E-3</v>
      </c>
      <c r="FU22">
        <v>0</v>
      </c>
      <c r="FV22">
        <v>-6.0339999999999998</v>
      </c>
      <c r="FW22">
        <v>-0.28599999999999998</v>
      </c>
      <c r="FX22">
        <v>476</v>
      </c>
      <c r="FY22">
        <v>29</v>
      </c>
      <c r="FZ22">
        <v>0.17</v>
      </c>
      <c r="GA22">
        <v>0.03</v>
      </c>
      <c r="GB22">
        <v>419.75858064516132</v>
      </c>
      <c r="GC22">
        <v>1.035193548386576</v>
      </c>
      <c r="GD22">
        <v>8.961630546968341E-2</v>
      </c>
      <c r="GE22">
        <v>-1</v>
      </c>
      <c r="GF22">
        <v>733.60070588235294</v>
      </c>
      <c r="GG22">
        <v>2.5576777026342579E-2</v>
      </c>
      <c r="GH22">
        <v>0.27113156448395198</v>
      </c>
      <c r="GI22">
        <v>1</v>
      </c>
      <c r="GJ22">
        <v>9.1457473170731713</v>
      </c>
      <c r="GK22">
        <v>-0.38173358885018399</v>
      </c>
      <c r="GL22">
        <v>3.814907415201E-2</v>
      </c>
      <c r="GM22">
        <v>1</v>
      </c>
      <c r="GN22">
        <v>2</v>
      </c>
      <c r="GO22">
        <v>2</v>
      </c>
      <c r="GP22" t="s">
        <v>423</v>
      </c>
      <c r="GQ22">
        <v>3.1326900000000002</v>
      </c>
      <c r="GR22">
        <v>2.7256999999999998</v>
      </c>
      <c r="GS22">
        <v>9.1518199999999994E-2</v>
      </c>
      <c r="GT22">
        <v>0.100107</v>
      </c>
      <c r="GU22">
        <v>0.15462100000000001</v>
      </c>
      <c r="GV22">
        <v>0.12864700000000001</v>
      </c>
      <c r="GW22">
        <v>22717.1</v>
      </c>
      <c r="GX22">
        <v>30199.200000000001</v>
      </c>
      <c r="GY22">
        <v>27133.7</v>
      </c>
      <c r="GZ22">
        <v>34522.6</v>
      </c>
      <c r="HA22">
        <v>33618</v>
      </c>
      <c r="HB22">
        <v>38224.400000000001</v>
      </c>
      <c r="HC22">
        <v>40077.1</v>
      </c>
      <c r="HD22">
        <v>43942</v>
      </c>
      <c r="HE22">
        <v>1.9490000000000001</v>
      </c>
      <c r="HF22">
        <v>1.7176</v>
      </c>
      <c r="HG22">
        <v>-1.3411E-3</v>
      </c>
      <c r="HH22">
        <v>0</v>
      </c>
      <c r="HI22">
        <v>34.630600000000001</v>
      </c>
      <c r="HJ22">
        <v>999.9</v>
      </c>
      <c r="HK22">
        <v>51.2</v>
      </c>
      <c r="HL22">
        <v>42.5</v>
      </c>
      <c r="HM22">
        <v>44.1387</v>
      </c>
      <c r="HN22">
        <v>59.975200000000001</v>
      </c>
      <c r="HO22">
        <v>6.2459899999999999</v>
      </c>
      <c r="HP22">
        <v>1</v>
      </c>
      <c r="HQ22">
        <v>0.70536600000000005</v>
      </c>
      <c r="HR22">
        <v>0</v>
      </c>
      <c r="HS22">
        <v>20.285699999999999</v>
      </c>
      <c r="HT22">
        <v>5.2112999999999996</v>
      </c>
      <c r="HU22">
        <v>11.908099999999999</v>
      </c>
      <c r="HV22">
        <v>4.9832000000000001</v>
      </c>
      <c r="HW22">
        <v>3.2709999999999999</v>
      </c>
      <c r="HX22">
        <v>9999</v>
      </c>
      <c r="HY22">
        <v>9999</v>
      </c>
      <c r="HZ22">
        <v>9999</v>
      </c>
      <c r="IA22">
        <v>999.9</v>
      </c>
      <c r="IB22">
        <v>1.8675200000000001</v>
      </c>
      <c r="IC22">
        <v>1.86313</v>
      </c>
      <c r="ID22">
        <v>1.8626400000000001</v>
      </c>
      <c r="IE22">
        <v>1.8622099999999999</v>
      </c>
      <c r="IF22">
        <v>1.8621799999999999</v>
      </c>
      <c r="IG22">
        <v>1.86267</v>
      </c>
      <c r="IH22">
        <v>1.86368</v>
      </c>
      <c r="II22">
        <v>1.8615699999999999</v>
      </c>
      <c r="IJ22">
        <v>0</v>
      </c>
      <c r="IK22">
        <v>0</v>
      </c>
      <c r="IL22">
        <v>0</v>
      </c>
      <c r="IM22">
        <v>4.5</v>
      </c>
      <c r="IN22" t="s">
        <v>411</v>
      </c>
      <c r="IO22" t="s">
        <v>412</v>
      </c>
      <c r="IP22" t="s">
        <v>413</v>
      </c>
      <c r="IQ22" t="s">
        <v>414</v>
      </c>
      <c r="IR22" t="s">
        <v>414</v>
      </c>
      <c r="IS22" t="s">
        <v>413</v>
      </c>
      <c r="IT22">
        <v>0</v>
      </c>
      <c r="IU22">
        <v>100</v>
      </c>
      <c r="IV22">
        <v>100</v>
      </c>
      <c r="IW22">
        <v>-6.0339999999999998</v>
      </c>
      <c r="IX22">
        <v>-2.12E-2</v>
      </c>
      <c r="IY22">
        <v>-6.0338571428571299</v>
      </c>
      <c r="IZ22">
        <v>0</v>
      </c>
      <c r="JA22">
        <v>0</v>
      </c>
      <c r="JB22">
        <v>0</v>
      </c>
      <c r="JC22">
        <v>-0.84151212505056416</v>
      </c>
      <c r="JD22">
        <v>2.7492919904454862E-4</v>
      </c>
      <c r="JE22">
        <v>8.6739513355948885E-4</v>
      </c>
      <c r="JF22">
        <v>-8.2500691715147318E-6</v>
      </c>
      <c r="JG22">
        <v>-1</v>
      </c>
      <c r="JH22">
        <v>-1</v>
      </c>
      <c r="JI22">
        <v>2</v>
      </c>
      <c r="JJ22">
        <v>37</v>
      </c>
      <c r="JK22">
        <v>1</v>
      </c>
      <c r="JL22">
        <v>0.9</v>
      </c>
      <c r="JM22">
        <v>1.2121599999999999</v>
      </c>
      <c r="JN22">
        <v>2.5683600000000002</v>
      </c>
      <c r="JO22">
        <v>1.50024</v>
      </c>
      <c r="JP22">
        <v>2.2692899999999998</v>
      </c>
      <c r="JQ22">
        <v>1.4477500000000001</v>
      </c>
      <c r="JR22">
        <v>2.3303199999999999</v>
      </c>
      <c r="JS22">
        <v>46.444200000000002</v>
      </c>
      <c r="JT22">
        <v>13.667999999999999</v>
      </c>
      <c r="JU22">
        <v>18</v>
      </c>
      <c r="JV22">
        <v>549.04300000000001</v>
      </c>
      <c r="JW22">
        <v>411.327</v>
      </c>
      <c r="JX22">
        <v>35.135399999999997</v>
      </c>
      <c r="JY22">
        <v>35.965899999999998</v>
      </c>
      <c r="JZ22">
        <v>30.000299999999999</v>
      </c>
      <c r="KA22">
        <v>35.904499999999999</v>
      </c>
      <c r="KB22">
        <v>35.869100000000003</v>
      </c>
      <c r="KC22">
        <v>24.244700000000002</v>
      </c>
      <c r="KD22">
        <v>40.17</v>
      </c>
      <c r="KE22">
        <v>0</v>
      </c>
      <c r="KF22">
        <v>-999.9</v>
      </c>
      <c r="KG22">
        <v>475.40800000000002</v>
      </c>
      <c r="KH22">
        <v>29.270600000000002</v>
      </c>
      <c r="KI22">
        <v>100.154</v>
      </c>
      <c r="KJ22">
        <v>98.725099999999998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DD1B4-7C13-4714-A670-5EBB8D4C1093}">
  <dimension ref="A2:KJ29"/>
  <sheetViews>
    <sheetView workbookViewId="0">
      <selection activeCell="L33" sqref="L33"/>
    </sheetView>
  </sheetViews>
  <sheetFormatPr defaultRowHeight="14.4" x14ac:dyDescent="0.3"/>
  <sheetData>
    <row r="2" spans="1:296" x14ac:dyDescent="0.3">
      <c r="A2" t="s">
        <v>0</v>
      </c>
      <c r="B2" t="s">
        <v>1</v>
      </c>
      <c r="C2" t="s">
        <v>2</v>
      </c>
    </row>
    <row r="3" spans="1:296" x14ac:dyDescent="0.3">
      <c r="B3" t="s">
        <v>3</v>
      </c>
      <c r="C3">
        <v>21</v>
      </c>
    </row>
    <row r="4" spans="1:296" x14ac:dyDescent="0.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</row>
    <row r="5" spans="1:296" x14ac:dyDescent="0.3">
      <c r="B5" t="s">
        <v>15</v>
      </c>
      <c r="C5" t="s">
        <v>16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96" x14ac:dyDescent="0.3">
      <c r="A6" t="s">
        <v>17</v>
      </c>
      <c r="B6" t="s">
        <v>18</v>
      </c>
      <c r="C6" t="s">
        <v>19</v>
      </c>
      <c r="D6" t="s">
        <v>20</v>
      </c>
      <c r="E6" t="s">
        <v>21</v>
      </c>
    </row>
    <row r="7" spans="1:296" x14ac:dyDescent="0.3">
      <c r="B7">
        <v>0</v>
      </c>
      <c r="C7">
        <v>1</v>
      </c>
      <c r="D7">
        <v>0</v>
      </c>
      <c r="E7">
        <v>0</v>
      </c>
    </row>
    <row r="8" spans="1:296" x14ac:dyDescent="0.3">
      <c r="A8" t="s">
        <v>22</v>
      </c>
      <c r="B8" t="s">
        <v>23</v>
      </c>
      <c r="C8" t="s">
        <v>24</v>
      </c>
      <c r="D8" t="s">
        <v>25</v>
      </c>
      <c r="E8" t="s">
        <v>26</v>
      </c>
      <c r="F8" t="s">
        <v>27</v>
      </c>
      <c r="G8" t="s">
        <v>28</v>
      </c>
      <c r="H8" t="s">
        <v>29</v>
      </c>
      <c r="I8" t="s">
        <v>30</v>
      </c>
      <c r="J8" t="s">
        <v>31</v>
      </c>
      <c r="K8" t="s">
        <v>32</v>
      </c>
      <c r="L8" t="s">
        <v>33</v>
      </c>
      <c r="M8" t="s">
        <v>34</v>
      </c>
      <c r="N8" t="s">
        <v>35</v>
      </c>
      <c r="O8" t="s">
        <v>36</v>
      </c>
      <c r="P8" t="s">
        <v>37</v>
      </c>
      <c r="Q8" t="s">
        <v>38</v>
      </c>
    </row>
    <row r="9" spans="1:296" x14ac:dyDescent="0.3">
      <c r="B9" t="s">
        <v>39</v>
      </c>
      <c r="C9" t="s">
        <v>40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96" x14ac:dyDescent="0.3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</row>
    <row r="11" spans="1:296" x14ac:dyDescent="0.3">
      <c r="B11">
        <v>0</v>
      </c>
      <c r="C11">
        <v>0</v>
      </c>
      <c r="D11">
        <v>0</v>
      </c>
      <c r="E11">
        <v>0</v>
      </c>
      <c r="F11">
        <v>1</v>
      </c>
    </row>
    <row r="12" spans="1:296" x14ac:dyDescent="0.3">
      <c r="A12" t="s">
        <v>47</v>
      </c>
      <c r="B12" t="s">
        <v>48</v>
      </c>
      <c r="C12" t="s">
        <v>49</v>
      </c>
      <c r="D12" t="s">
        <v>50</v>
      </c>
      <c r="E12" t="s">
        <v>51</v>
      </c>
      <c r="F12" t="s">
        <v>52</v>
      </c>
      <c r="G12" t="s">
        <v>53</v>
      </c>
      <c r="H12" t="s">
        <v>54</v>
      </c>
    </row>
    <row r="13" spans="1:296" x14ac:dyDescent="0.3">
      <c r="B13">
        <v>-6276</v>
      </c>
      <c r="C13">
        <v>6.6</v>
      </c>
      <c r="D13">
        <v>1.7090000000000001E-5</v>
      </c>
      <c r="E13">
        <v>3.11</v>
      </c>
      <c r="F13" t="s">
        <v>998</v>
      </c>
      <c r="G13" t="s">
        <v>999</v>
      </c>
      <c r="H13">
        <v>0</v>
      </c>
    </row>
    <row r="14" spans="1:296" x14ac:dyDescent="0.3">
      <c r="A14" t="s">
        <v>57</v>
      </c>
      <c r="B14" t="s">
        <v>57</v>
      </c>
      <c r="C14" t="s">
        <v>57</v>
      </c>
      <c r="D14" t="s">
        <v>57</v>
      </c>
      <c r="E14" t="s">
        <v>57</v>
      </c>
      <c r="F14" t="s">
        <v>57</v>
      </c>
      <c r="G14" t="s">
        <v>58</v>
      </c>
      <c r="H14" t="s">
        <v>59</v>
      </c>
      <c r="I14" t="s">
        <v>59</v>
      </c>
      <c r="J14" t="s">
        <v>59</v>
      </c>
      <c r="K14" t="s">
        <v>59</v>
      </c>
      <c r="L14" t="s">
        <v>59</v>
      </c>
      <c r="M14" t="s">
        <v>59</v>
      </c>
      <c r="N14" t="s">
        <v>59</v>
      </c>
      <c r="O14" t="s">
        <v>59</v>
      </c>
      <c r="P14" t="s">
        <v>59</v>
      </c>
      <c r="Q14" t="s">
        <v>59</v>
      </c>
      <c r="R14" t="s">
        <v>59</v>
      </c>
      <c r="S14" t="s">
        <v>59</v>
      </c>
      <c r="T14" t="s">
        <v>59</v>
      </c>
      <c r="U14" t="s">
        <v>59</v>
      </c>
      <c r="V14" t="s">
        <v>59</v>
      </c>
      <c r="W14" t="s">
        <v>59</v>
      </c>
      <c r="X14" t="s">
        <v>59</v>
      </c>
      <c r="Y14" t="s">
        <v>59</v>
      </c>
      <c r="Z14" t="s">
        <v>59</v>
      </c>
      <c r="AA14" t="s">
        <v>59</v>
      </c>
      <c r="AB14" t="s">
        <v>59</v>
      </c>
      <c r="AC14" t="s">
        <v>59</v>
      </c>
      <c r="AD14" t="s">
        <v>59</v>
      </c>
      <c r="AE14" t="s">
        <v>59</v>
      </c>
      <c r="AF14" t="s">
        <v>59</v>
      </c>
      <c r="AG14" t="s">
        <v>59</v>
      </c>
      <c r="AH14" t="s">
        <v>60</v>
      </c>
      <c r="AI14" t="s">
        <v>60</v>
      </c>
      <c r="AJ14" t="s">
        <v>60</v>
      </c>
      <c r="AK14" t="s">
        <v>60</v>
      </c>
      <c r="AL14" t="s">
        <v>60</v>
      </c>
      <c r="AM14" t="s">
        <v>60</v>
      </c>
      <c r="AN14" t="s">
        <v>60</v>
      </c>
      <c r="AO14" t="s">
        <v>60</v>
      </c>
      <c r="AP14" t="s">
        <v>60</v>
      </c>
      <c r="AQ14" t="s">
        <v>60</v>
      </c>
      <c r="AR14" t="s">
        <v>61</v>
      </c>
      <c r="AS14" t="s">
        <v>61</v>
      </c>
      <c r="AT14" t="s">
        <v>61</v>
      </c>
      <c r="AU14" t="s">
        <v>61</v>
      </c>
      <c r="AV14" t="s">
        <v>61</v>
      </c>
      <c r="AW14" t="s">
        <v>62</v>
      </c>
      <c r="AX14" t="s">
        <v>62</v>
      </c>
      <c r="AY14" t="s">
        <v>62</v>
      </c>
      <c r="AZ14" t="s">
        <v>62</v>
      </c>
      <c r="BA14" t="s">
        <v>62</v>
      </c>
      <c r="BB14" t="s">
        <v>62</v>
      </c>
      <c r="BC14" t="s">
        <v>62</v>
      </c>
      <c r="BD14" t="s">
        <v>62</v>
      </c>
      <c r="BE14" t="s">
        <v>62</v>
      </c>
      <c r="BF14" t="s">
        <v>62</v>
      </c>
      <c r="BG14" t="s">
        <v>62</v>
      </c>
      <c r="BH14" t="s">
        <v>62</v>
      </c>
      <c r="BI14" t="s">
        <v>62</v>
      </c>
      <c r="BJ14" t="s">
        <v>62</v>
      </c>
      <c r="BK14" t="s">
        <v>62</v>
      </c>
      <c r="BL14" t="s">
        <v>62</v>
      </c>
      <c r="BM14" t="s">
        <v>62</v>
      </c>
      <c r="BN14" t="s">
        <v>62</v>
      </c>
      <c r="BO14" t="s">
        <v>62</v>
      </c>
      <c r="BP14" t="s">
        <v>62</v>
      </c>
      <c r="BQ14" t="s">
        <v>62</v>
      </c>
      <c r="BR14" t="s">
        <v>62</v>
      </c>
      <c r="BS14" t="s">
        <v>62</v>
      </c>
      <c r="BT14" t="s">
        <v>62</v>
      </c>
      <c r="BU14" t="s">
        <v>62</v>
      </c>
      <c r="BV14" t="s">
        <v>62</v>
      </c>
      <c r="BW14" t="s">
        <v>62</v>
      </c>
      <c r="BX14" t="s">
        <v>62</v>
      </c>
      <c r="BY14" t="s">
        <v>63</v>
      </c>
      <c r="BZ14" t="s">
        <v>63</v>
      </c>
      <c r="CA14" t="s">
        <v>63</v>
      </c>
      <c r="CB14" t="s">
        <v>63</v>
      </c>
      <c r="CC14" t="s">
        <v>63</v>
      </c>
      <c r="CD14" t="s">
        <v>63</v>
      </c>
      <c r="CE14" t="s">
        <v>63</v>
      </c>
      <c r="CF14" t="s">
        <v>63</v>
      </c>
      <c r="CG14" t="s">
        <v>63</v>
      </c>
      <c r="CH14" t="s">
        <v>63</v>
      </c>
      <c r="CI14" t="s">
        <v>63</v>
      </c>
      <c r="CJ14" t="s">
        <v>63</v>
      </c>
      <c r="CK14" t="s">
        <v>63</v>
      </c>
      <c r="CL14" t="s">
        <v>63</v>
      </c>
      <c r="CM14" t="s">
        <v>63</v>
      </c>
      <c r="CN14" t="s">
        <v>63</v>
      </c>
      <c r="CO14" t="s">
        <v>63</v>
      </c>
      <c r="CP14" t="s">
        <v>63</v>
      </c>
      <c r="CQ14" t="s">
        <v>63</v>
      </c>
      <c r="CR14" t="s">
        <v>63</v>
      </c>
      <c r="CS14" t="s">
        <v>63</v>
      </c>
      <c r="CT14" t="s">
        <v>64</v>
      </c>
      <c r="CU14" t="s">
        <v>64</v>
      </c>
      <c r="CV14" t="s">
        <v>64</v>
      </c>
      <c r="CW14" t="s">
        <v>64</v>
      </c>
      <c r="CX14" t="s">
        <v>64</v>
      </c>
      <c r="CY14" t="s">
        <v>64</v>
      </c>
      <c r="CZ14" t="s">
        <v>64</v>
      </c>
      <c r="DA14" t="s">
        <v>64</v>
      </c>
      <c r="DB14" t="s">
        <v>64</v>
      </c>
      <c r="DC14" t="s">
        <v>64</v>
      </c>
      <c r="DD14" t="s">
        <v>64</v>
      </c>
      <c r="DE14" t="s">
        <v>64</v>
      </c>
      <c r="DF14" t="s">
        <v>64</v>
      </c>
      <c r="DG14" t="s">
        <v>65</v>
      </c>
      <c r="DH14" t="s">
        <v>65</v>
      </c>
      <c r="DI14" t="s">
        <v>65</v>
      </c>
      <c r="DJ14" t="s">
        <v>65</v>
      </c>
      <c r="DK14" t="s">
        <v>66</v>
      </c>
      <c r="DL14" t="s">
        <v>66</v>
      </c>
      <c r="DM14" t="s">
        <v>66</v>
      </c>
      <c r="DN14" t="s">
        <v>66</v>
      </c>
      <c r="DO14" t="s">
        <v>66</v>
      </c>
      <c r="DP14" t="s">
        <v>67</v>
      </c>
      <c r="DQ14" t="s">
        <v>67</v>
      </c>
      <c r="DR14" t="s">
        <v>67</v>
      </c>
      <c r="DS14" t="s">
        <v>67</v>
      </c>
      <c r="DT14" t="s">
        <v>67</v>
      </c>
      <c r="DU14" t="s">
        <v>67</v>
      </c>
      <c r="DV14" t="s">
        <v>67</v>
      </c>
      <c r="DW14" t="s">
        <v>67</v>
      </c>
      <c r="DX14" t="s">
        <v>67</v>
      </c>
      <c r="DY14" t="s">
        <v>67</v>
      </c>
      <c r="DZ14" t="s">
        <v>67</v>
      </c>
      <c r="EA14" t="s">
        <v>67</v>
      </c>
      <c r="EB14" t="s">
        <v>67</v>
      </c>
      <c r="EC14" t="s">
        <v>67</v>
      </c>
      <c r="ED14" t="s">
        <v>67</v>
      </c>
      <c r="EE14" t="s">
        <v>67</v>
      </c>
      <c r="EF14" t="s">
        <v>67</v>
      </c>
      <c r="EG14" t="s">
        <v>67</v>
      </c>
      <c r="EH14" t="s">
        <v>68</v>
      </c>
      <c r="EI14" t="s">
        <v>68</v>
      </c>
      <c r="EJ14" t="s">
        <v>68</v>
      </c>
      <c r="EK14" t="s">
        <v>68</v>
      </c>
      <c r="EL14" t="s">
        <v>68</v>
      </c>
      <c r="EM14" t="s">
        <v>68</v>
      </c>
      <c r="EN14" t="s">
        <v>68</v>
      </c>
      <c r="EO14" t="s">
        <v>68</v>
      </c>
      <c r="EP14" t="s">
        <v>68</v>
      </c>
      <c r="EQ14" t="s">
        <v>68</v>
      </c>
      <c r="ER14" t="s">
        <v>69</v>
      </c>
      <c r="ES14" t="s">
        <v>69</v>
      </c>
      <c r="ET14" t="s">
        <v>69</v>
      </c>
      <c r="EU14" t="s">
        <v>69</v>
      </c>
      <c r="EV14" t="s">
        <v>69</v>
      </c>
      <c r="EW14" t="s">
        <v>69</v>
      </c>
      <c r="EX14" t="s">
        <v>69</v>
      </c>
      <c r="EY14" t="s">
        <v>69</v>
      </c>
      <c r="EZ14" t="s">
        <v>69</v>
      </c>
      <c r="FA14" t="s">
        <v>69</v>
      </c>
      <c r="FB14" t="s">
        <v>69</v>
      </c>
      <c r="FC14" t="s">
        <v>69</v>
      </c>
      <c r="FD14" t="s">
        <v>69</v>
      </c>
      <c r="FE14" t="s">
        <v>69</v>
      </c>
      <c r="FF14" t="s">
        <v>69</v>
      </c>
      <c r="FG14" t="s">
        <v>69</v>
      </c>
      <c r="FH14" t="s">
        <v>69</v>
      </c>
      <c r="FI14" t="s">
        <v>69</v>
      </c>
      <c r="FJ14" t="s">
        <v>70</v>
      </c>
      <c r="FK14" t="s">
        <v>70</v>
      </c>
      <c r="FL14" t="s">
        <v>70</v>
      </c>
      <c r="FM14" t="s">
        <v>70</v>
      </c>
      <c r="FN14" t="s">
        <v>70</v>
      </c>
      <c r="FO14" t="s">
        <v>71</v>
      </c>
      <c r="FP14" t="s">
        <v>71</v>
      </c>
      <c r="FQ14" t="s">
        <v>71</v>
      </c>
      <c r="FR14" t="s">
        <v>71</v>
      </c>
      <c r="FS14" t="s">
        <v>71</v>
      </c>
      <c r="FT14" t="s">
        <v>71</v>
      </c>
      <c r="FU14" t="s">
        <v>71</v>
      </c>
      <c r="FV14" t="s">
        <v>71</v>
      </c>
      <c r="FW14" t="s">
        <v>71</v>
      </c>
      <c r="FX14" t="s">
        <v>71</v>
      </c>
      <c r="FY14" t="s">
        <v>71</v>
      </c>
      <c r="FZ14" t="s">
        <v>71</v>
      </c>
      <c r="GA14" t="s">
        <v>71</v>
      </c>
      <c r="GB14" t="s">
        <v>72</v>
      </c>
      <c r="GC14" t="s">
        <v>72</v>
      </c>
      <c r="GD14" t="s">
        <v>72</v>
      </c>
      <c r="GE14" t="s">
        <v>72</v>
      </c>
      <c r="GF14" t="s">
        <v>72</v>
      </c>
      <c r="GG14" t="s">
        <v>72</v>
      </c>
      <c r="GH14" t="s">
        <v>72</v>
      </c>
      <c r="GI14" t="s">
        <v>72</v>
      </c>
      <c r="GJ14" t="s">
        <v>72</v>
      </c>
      <c r="GK14" t="s">
        <v>72</v>
      </c>
      <c r="GL14" t="s">
        <v>72</v>
      </c>
      <c r="GM14" t="s">
        <v>72</v>
      </c>
      <c r="GN14" t="s">
        <v>72</v>
      </c>
      <c r="GO14" t="s">
        <v>72</v>
      </c>
      <c r="GP14" t="s">
        <v>72</v>
      </c>
      <c r="GQ14" t="s">
        <v>73</v>
      </c>
      <c r="GR14" t="s">
        <v>73</v>
      </c>
      <c r="GS14" t="s">
        <v>73</v>
      </c>
      <c r="GT14" t="s">
        <v>73</v>
      </c>
      <c r="GU14" t="s">
        <v>73</v>
      </c>
      <c r="GV14" t="s">
        <v>73</v>
      </c>
      <c r="GW14" t="s">
        <v>73</v>
      </c>
      <c r="GX14" t="s">
        <v>73</v>
      </c>
      <c r="GY14" t="s">
        <v>73</v>
      </c>
      <c r="GZ14" t="s">
        <v>73</v>
      </c>
      <c r="HA14" t="s">
        <v>73</v>
      </c>
      <c r="HB14" t="s">
        <v>73</v>
      </c>
      <c r="HC14" t="s">
        <v>73</v>
      </c>
      <c r="HD14" t="s">
        <v>73</v>
      </c>
      <c r="HE14" t="s">
        <v>73</v>
      </c>
      <c r="HF14" t="s">
        <v>73</v>
      </c>
      <c r="HG14" t="s">
        <v>73</v>
      </c>
      <c r="HH14" t="s">
        <v>73</v>
      </c>
      <c r="HI14" t="s">
        <v>74</v>
      </c>
      <c r="HJ14" t="s">
        <v>74</v>
      </c>
      <c r="HK14" t="s">
        <v>74</v>
      </c>
      <c r="HL14" t="s">
        <v>74</v>
      </c>
      <c r="HM14" t="s">
        <v>74</v>
      </c>
      <c r="HN14" t="s">
        <v>74</v>
      </c>
      <c r="HO14" t="s">
        <v>74</v>
      </c>
      <c r="HP14" t="s">
        <v>74</v>
      </c>
      <c r="HQ14" t="s">
        <v>74</v>
      </c>
      <c r="HR14" t="s">
        <v>74</v>
      </c>
      <c r="HS14" t="s">
        <v>74</v>
      </c>
      <c r="HT14" t="s">
        <v>74</v>
      </c>
      <c r="HU14" t="s">
        <v>74</v>
      </c>
      <c r="HV14" t="s">
        <v>74</v>
      </c>
      <c r="HW14" t="s">
        <v>74</v>
      </c>
      <c r="HX14" t="s">
        <v>74</v>
      </c>
      <c r="HY14" t="s">
        <v>74</v>
      </c>
      <c r="HZ14" t="s">
        <v>74</v>
      </c>
      <c r="IA14" t="s">
        <v>74</v>
      </c>
      <c r="IB14" t="s">
        <v>75</v>
      </c>
      <c r="IC14" t="s">
        <v>75</v>
      </c>
      <c r="ID14" t="s">
        <v>75</v>
      </c>
      <c r="IE14" t="s">
        <v>75</v>
      </c>
      <c r="IF14" t="s">
        <v>75</v>
      </c>
      <c r="IG14" t="s">
        <v>75</v>
      </c>
      <c r="IH14" t="s">
        <v>75</v>
      </c>
      <c r="II14" t="s">
        <v>75</v>
      </c>
      <c r="IJ14" t="s">
        <v>75</v>
      </c>
      <c r="IK14" t="s">
        <v>75</v>
      </c>
      <c r="IL14" t="s">
        <v>75</v>
      </c>
      <c r="IM14" t="s">
        <v>75</v>
      </c>
      <c r="IN14" t="s">
        <v>75</v>
      </c>
      <c r="IO14" t="s">
        <v>75</v>
      </c>
      <c r="IP14" t="s">
        <v>75</v>
      </c>
      <c r="IQ14" t="s">
        <v>75</v>
      </c>
      <c r="IR14" t="s">
        <v>75</v>
      </c>
      <c r="IS14" t="s">
        <v>75</v>
      </c>
      <c r="IT14" t="s">
        <v>75</v>
      </c>
      <c r="IU14" t="s">
        <v>76</v>
      </c>
      <c r="IV14" t="s">
        <v>76</v>
      </c>
      <c r="IW14" t="s">
        <v>76</v>
      </c>
      <c r="IX14" t="s">
        <v>76</v>
      </c>
      <c r="IY14" t="s">
        <v>76</v>
      </c>
      <c r="IZ14" t="s">
        <v>76</v>
      </c>
      <c r="JA14" t="s">
        <v>76</v>
      </c>
      <c r="JB14" t="s">
        <v>76</v>
      </c>
      <c r="JC14" t="s">
        <v>76</v>
      </c>
      <c r="JD14" t="s">
        <v>76</v>
      </c>
      <c r="JE14" t="s">
        <v>76</v>
      </c>
      <c r="JF14" t="s">
        <v>76</v>
      </c>
      <c r="JG14" t="s">
        <v>76</v>
      </c>
      <c r="JH14" t="s">
        <v>76</v>
      </c>
      <c r="JI14" t="s">
        <v>76</v>
      </c>
      <c r="JJ14" t="s">
        <v>76</v>
      </c>
      <c r="JK14" t="s">
        <v>76</v>
      </c>
      <c r="JL14" t="s">
        <v>76</v>
      </c>
      <c r="JM14" t="s">
        <v>77</v>
      </c>
      <c r="JN14" t="s">
        <v>77</v>
      </c>
      <c r="JO14" t="s">
        <v>77</v>
      </c>
      <c r="JP14" t="s">
        <v>77</v>
      </c>
      <c r="JQ14" t="s">
        <v>77</v>
      </c>
      <c r="JR14" t="s">
        <v>77</v>
      </c>
      <c r="JS14" t="s">
        <v>77</v>
      </c>
      <c r="JT14" t="s">
        <v>77</v>
      </c>
      <c r="JU14" t="s">
        <v>78</v>
      </c>
      <c r="JV14" t="s">
        <v>78</v>
      </c>
      <c r="JW14" t="s">
        <v>78</v>
      </c>
      <c r="JX14" t="s">
        <v>78</v>
      </c>
      <c r="JY14" t="s">
        <v>78</v>
      </c>
      <c r="JZ14" t="s">
        <v>78</v>
      </c>
      <c r="KA14" t="s">
        <v>78</v>
      </c>
      <c r="KB14" t="s">
        <v>78</v>
      </c>
      <c r="KC14" t="s">
        <v>78</v>
      </c>
      <c r="KD14" t="s">
        <v>78</v>
      </c>
      <c r="KE14" t="s">
        <v>78</v>
      </c>
      <c r="KF14" t="s">
        <v>78</v>
      </c>
      <c r="KG14" t="s">
        <v>78</v>
      </c>
      <c r="KH14" t="s">
        <v>78</v>
      </c>
      <c r="KI14" t="s">
        <v>78</v>
      </c>
      <c r="KJ14" t="s">
        <v>78</v>
      </c>
    </row>
    <row r="15" spans="1:296" x14ac:dyDescent="0.3">
      <c r="A15" t="s">
        <v>79</v>
      </c>
      <c r="B15" t="s">
        <v>80</v>
      </c>
      <c r="C15" t="s">
        <v>81</v>
      </c>
      <c r="D15" t="s">
        <v>82</v>
      </c>
      <c r="E15" t="s">
        <v>83</v>
      </c>
      <c r="F15" t="s">
        <v>84</v>
      </c>
      <c r="G15" t="s">
        <v>85</v>
      </c>
      <c r="H15" t="s">
        <v>86</v>
      </c>
      <c r="I15" t="s">
        <v>87</v>
      </c>
      <c r="J15" t="s">
        <v>88</v>
      </c>
      <c r="K15" t="s">
        <v>89</v>
      </c>
      <c r="L15" t="s">
        <v>90</v>
      </c>
      <c r="M15" t="s">
        <v>91</v>
      </c>
      <c r="N15" t="s">
        <v>92</v>
      </c>
      <c r="O15" t="s">
        <v>93</v>
      </c>
      <c r="P15" t="s">
        <v>94</v>
      </c>
      <c r="Q15" t="s">
        <v>95</v>
      </c>
      <c r="R15" t="s">
        <v>96</v>
      </c>
      <c r="S15" t="s">
        <v>97</v>
      </c>
      <c r="T15" t="s">
        <v>98</v>
      </c>
      <c r="U15" t="s">
        <v>99</v>
      </c>
      <c r="V15" t="s">
        <v>100</v>
      </c>
      <c r="W15" t="s">
        <v>101</v>
      </c>
      <c r="X15" t="s">
        <v>102</v>
      </c>
      <c r="Y15" t="s">
        <v>103</v>
      </c>
      <c r="Z15" t="s">
        <v>104</v>
      </c>
      <c r="AA15" t="s">
        <v>105</v>
      </c>
      <c r="AB15" t="s">
        <v>106</v>
      </c>
      <c r="AC15" t="s">
        <v>107</v>
      </c>
      <c r="AD15" t="s">
        <v>108</v>
      </c>
      <c r="AE15" t="s">
        <v>109</v>
      </c>
      <c r="AF15" t="s">
        <v>110</v>
      </c>
      <c r="AG15" t="s">
        <v>111</v>
      </c>
      <c r="AH15" t="s">
        <v>112</v>
      </c>
      <c r="AI15" t="s">
        <v>113</v>
      </c>
      <c r="AJ15" t="s">
        <v>114</v>
      </c>
      <c r="AK15" t="s">
        <v>115</v>
      </c>
      <c r="AL15" t="s">
        <v>116</v>
      </c>
      <c r="AM15" t="s">
        <v>117</v>
      </c>
      <c r="AN15" t="s">
        <v>118</v>
      </c>
      <c r="AO15" t="s">
        <v>119</v>
      </c>
      <c r="AP15" t="s">
        <v>120</v>
      </c>
      <c r="AQ15" t="s">
        <v>121</v>
      </c>
      <c r="AR15" t="s">
        <v>61</v>
      </c>
      <c r="AS15" t="s">
        <v>122</v>
      </c>
      <c r="AT15" t="s">
        <v>123</v>
      </c>
      <c r="AU15" t="s">
        <v>124</v>
      </c>
      <c r="AV15" t="s">
        <v>125</v>
      </c>
      <c r="AW15" t="s">
        <v>126</v>
      </c>
      <c r="AX15" t="s">
        <v>127</v>
      </c>
      <c r="AY15" t="s">
        <v>128</v>
      </c>
      <c r="AZ15" t="s">
        <v>129</v>
      </c>
      <c r="BA15" t="s">
        <v>130</v>
      </c>
      <c r="BB15" t="s">
        <v>131</v>
      </c>
      <c r="BC15" t="s">
        <v>132</v>
      </c>
      <c r="BD15" t="s">
        <v>133</v>
      </c>
      <c r="BE15" t="s">
        <v>134</v>
      </c>
      <c r="BF15" t="s">
        <v>135</v>
      </c>
      <c r="BG15" t="s">
        <v>136</v>
      </c>
      <c r="BH15" t="s">
        <v>137</v>
      </c>
      <c r="BI15" t="s">
        <v>138</v>
      </c>
      <c r="BJ15" t="s">
        <v>139</v>
      </c>
      <c r="BK15" t="s">
        <v>140</v>
      </c>
      <c r="BL15" t="s">
        <v>141</v>
      </c>
      <c r="BM15" t="s">
        <v>142</v>
      </c>
      <c r="BN15" t="s">
        <v>143</v>
      </c>
      <c r="BO15" t="s">
        <v>144</v>
      </c>
      <c r="BP15" t="s">
        <v>145</v>
      </c>
      <c r="BQ15" t="s">
        <v>146</v>
      </c>
      <c r="BR15" t="s">
        <v>147</v>
      </c>
      <c r="BS15" t="s">
        <v>148</v>
      </c>
      <c r="BT15" t="s">
        <v>149</v>
      </c>
      <c r="BU15" t="s">
        <v>150</v>
      </c>
      <c r="BV15" t="s">
        <v>151</v>
      </c>
      <c r="BW15" t="s">
        <v>152</v>
      </c>
      <c r="BX15" t="s">
        <v>153</v>
      </c>
      <c r="BY15" t="s">
        <v>154</v>
      </c>
      <c r="BZ15" t="s">
        <v>155</v>
      </c>
      <c r="CA15" t="s">
        <v>156</v>
      </c>
      <c r="CB15" t="s">
        <v>157</v>
      </c>
      <c r="CC15" t="s">
        <v>158</v>
      </c>
      <c r="CD15" t="s">
        <v>159</v>
      </c>
      <c r="CE15" t="s">
        <v>160</v>
      </c>
      <c r="CF15" t="s">
        <v>161</v>
      </c>
      <c r="CG15" t="s">
        <v>162</v>
      </c>
      <c r="CH15" t="s">
        <v>163</v>
      </c>
      <c r="CI15" t="s">
        <v>164</v>
      </c>
      <c r="CJ15" t="s">
        <v>165</v>
      </c>
      <c r="CK15" t="s">
        <v>166</v>
      </c>
      <c r="CL15" t="s">
        <v>167</v>
      </c>
      <c r="CM15" t="s">
        <v>168</v>
      </c>
      <c r="CN15" t="s">
        <v>169</v>
      </c>
      <c r="CO15" t="s">
        <v>170</v>
      </c>
      <c r="CP15" t="s">
        <v>171</v>
      </c>
      <c r="CQ15" t="s">
        <v>172</v>
      </c>
      <c r="CR15" t="s">
        <v>173</v>
      </c>
      <c r="CS15" t="s">
        <v>174</v>
      </c>
      <c r="CT15" t="s">
        <v>154</v>
      </c>
      <c r="CU15" t="s">
        <v>175</v>
      </c>
      <c r="CV15" t="s">
        <v>176</v>
      </c>
      <c r="CW15" t="s">
        <v>177</v>
      </c>
      <c r="CX15" t="s">
        <v>128</v>
      </c>
      <c r="CY15" t="s">
        <v>178</v>
      </c>
      <c r="CZ15" t="s">
        <v>179</v>
      </c>
      <c r="DA15" t="s">
        <v>180</v>
      </c>
      <c r="DB15" t="s">
        <v>181</v>
      </c>
      <c r="DC15" t="s">
        <v>182</v>
      </c>
      <c r="DD15" t="s">
        <v>183</v>
      </c>
      <c r="DE15" t="s">
        <v>184</v>
      </c>
      <c r="DF15" t="s">
        <v>185</v>
      </c>
      <c r="DG15" t="s">
        <v>186</v>
      </c>
      <c r="DH15" t="s">
        <v>187</v>
      </c>
      <c r="DI15" t="s">
        <v>188</v>
      </c>
      <c r="DJ15" t="s">
        <v>189</v>
      </c>
      <c r="DK15" t="s">
        <v>190</v>
      </c>
      <c r="DL15" t="s">
        <v>191</v>
      </c>
      <c r="DM15" t="s">
        <v>192</v>
      </c>
      <c r="DN15" t="s">
        <v>193</v>
      </c>
      <c r="DO15" t="s">
        <v>194</v>
      </c>
      <c r="DP15" t="s">
        <v>86</v>
      </c>
      <c r="DQ15" t="s">
        <v>195</v>
      </c>
      <c r="DR15" t="s">
        <v>196</v>
      </c>
      <c r="DS15" t="s">
        <v>197</v>
      </c>
      <c r="DT15" t="s">
        <v>198</v>
      </c>
      <c r="DU15" t="s">
        <v>199</v>
      </c>
      <c r="DV15" t="s">
        <v>200</v>
      </c>
      <c r="DW15" t="s">
        <v>201</v>
      </c>
      <c r="DX15" t="s">
        <v>202</v>
      </c>
      <c r="DY15" t="s">
        <v>203</v>
      </c>
      <c r="DZ15" t="s">
        <v>204</v>
      </c>
      <c r="EA15" t="s">
        <v>205</v>
      </c>
      <c r="EB15" t="s">
        <v>206</v>
      </c>
      <c r="EC15" t="s">
        <v>207</v>
      </c>
      <c r="ED15" t="s">
        <v>208</v>
      </c>
      <c r="EE15" t="s">
        <v>209</v>
      </c>
      <c r="EF15" t="s">
        <v>210</v>
      </c>
      <c r="EG15" t="s">
        <v>211</v>
      </c>
      <c r="EH15" t="s">
        <v>212</v>
      </c>
      <c r="EI15" t="s">
        <v>213</v>
      </c>
      <c r="EJ15" t="s">
        <v>214</v>
      </c>
      <c r="EK15" t="s">
        <v>215</v>
      </c>
      <c r="EL15" t="s">
        <v>216</v>
      </c>
      <c r="EM15" t="s">
        <v>217</v>
      </c>
      <c r="EN15" t="s">
        <v>218</v>
      </c>
      <c r="EO15" t="s">
        <v>219</v>
      </c>
      <c r="EP15" t="s">
        <v>220</v>
      </c>
      <c r="EQ15" t="s">
        <v>221</v>
      </c>
      <c r="ER15" t="s">
        <v>222</v>
      </c>
      <c r="ES15" t="s">
        <v>223</v>
      </c>
      <c r="ET15" t="s">
        <v>224</v>
      </c>
      <c r="EU15" t="s">
        <v>225</v>
      </c>
      <c r="EV15" t="s">
        <v>226</v>
      </c>
      <c r="EW15" t="s">
        <v>227</v>
      </c>
      <c r="EX15" t="s">
        <v>228</v>
      </c>
      <c r="EY15" t="s">
        <v>229</v>
      </c>
      <c r="EZ15" t="s">
        <v>230</v>
      </c>
      <c r="FA15" t="s">
        <v>231</v>
      </c>
      <c r="FB15" t="s">
        <v>232</v>
      </c>
      <c r="FC15" t="s">
        <v>233</v>
      </c>
      <c r="FD15" t="s">
        <v>234</v>
      </c>
      <c r="FE15" t="s">
        <v>235</v>
      </c>
      <c r="FF15" t="s">
        <v>236</v>
      </c>
      <c r="FG15" t="s">
        <v>237</v>
      </c>
      <c r="FH15" t="s">
        <v>238</v>
      </c>
      <c r="FI15" t="s">
        <v>239</v>
      </c>
      <c r="FJ15" t="s">
        <v>240</v>
      </c>
      <c r="FK15" t="s">
        <v>241</v>
      </c>
      <c r="FL15" t="s">
        <v>242</v>
      </c>
      <c r="FM15" t="s">
        <v>243</v>
      </c>
      <c r="FN15" t="s">
        <v>244</v>
      </c>
      <c r="FO15" t="s">
        <v>80</v>
      </c>
      <c r="FP15" t="s">
        <v>83</v>
      </c>
      <c r="FQ15" t="s">
        <v>245</v>
      </c>
      <c r="FR15" t="s">
        <v>246</v>
      </c>
      <c r="FS15" t="s">
        <v>247</v>
      </c>
      <c r="FT15" t="s">
        <v>248</v>
      </c>
      <c r="FU15" t="s">
        <v>249</v>
      </c>
      <c r="FV15" t="s">
        <v>250</v>
      </c>
      <c r="FW15" t="s">
        <v>251</v>
      </c>
      <c r="FX15" t="s">
        <v>252</v>
      </c>
      <c r="FY15" t="s">
        <v>253</v>
      </c>
      <c r="FZ15" t="s">
        <v>254</v>
      </c>
      <c r="GA15" t="s">
        <v>255</v>
      </c>
      <c r="GB15" t="s">
        <v>256</v>
      </c>
      <c r="GC15" t="s">
        <v>257</v>
      </c>
      <c r="GD15" t="s">
        <v>258</v>
      </c>
      <c r="GE15" t="s">
        <v>259</v>
      </c>
      <c r="GF15" t="s">
        <v>260</v>
      </c>
      <c r="GG15" t="s">
        <v>261</v>
      </c>
      <c r="GH15" t="s">
        <v>262</v>
      </c>
      <c r="GI15" t="s">
        <v>263</v>
      </c>
      <c r="GJ15" t="s">
        <v>264</v>
      </c>
      <c r="GK15" t="s">
        <v>265</v>
      </c>
      <c r="GL15" t="s">
        <v>266</v>
      </c>
      <c r="GM15" t="s">
        <v>267</v>
      </c>
      <c r="GN15" t="s">
        <v>268</v>
      </c>
      <c r="GO15" t="s">
        <v>269</v>
      </c>
      <c r="GP15" t="s">
        <v>270</v>
      </c>
      <c r="GQ15" t="s">
        <v>271</v>
      </c>
      <c r="GR15" t="s">
        <v>272</v>
      </c>
      <c r="GS15" t="s">
        <v>273</v>
      </c>
      <c r="GT15" t="s">
        <v>274</v>
      </c>
      <c r="GU15" t="s">
        <v>275</v>
      </c>
      <c r="GV15" t="s">
        <v>276</v>
      </c>
      <c r="GW15" t="s">
        <v>277</v>
      </c>
      <c r="GX15" t="s">
        <v>278</v>
      </c>
      <c r="GY15" t="s">
        <v>279</v>
      </c>
      <c r="GZ15" t="s">
        <v>280</v>
      </c>
      <c r="HA15" t="s">
        <v>281</v>
      </c>
      <c r="HB15" t="s">
        <v>282</v>
      </c>
      <c r="HC15" t="s">
        <v>283</v>
      </c>
      <c r="HD15" t="s">
        <v>284</v>
      </c>
      <c r="HE15" t="s">
        <v>285</v>
      </c>
      <c r="HF15" t="s">
        <v>286</v>
      </c>
      <c r="HG15" t="s">
        <v>287</v>
      </c>
      <c r="HH15" t="s">
        <v>288</v>
      </c>
      <c r="HI15" t="s">
        <v>289</v>
      </c>
      <c r="HJ15" t="s">
        <v>290</v>
      </c>
      <c r="HK15" t="s">
        <v>291</v>
      </c>
      <c r="HL15" t="s">
        <v>292</v>
      </c>
      <c r="HM15" t="s">
        <v>293</v>
      </c>
      <c r="HN15" t="s">
        <v>294</v>
      </c>
      <c r="HO15" t="s">
        <v>295</v>
      </c>
      <c r="HP15" t="s">
        <v>296</v>
      </c>
      <c r="HQ15" t="s">
        <v>297</v>
      </c>
      <c r="HR15" t="s">
        <v>298</v>
      </c>
      <c r="HS15" t="s">
        <v>299</v>
      </c>
      <c r="HT15" t="s">
        <v>300</v>
      </c>
      <c r="HU15" t="s">
        <v>301</v>
      </c>
      <c r="HV15" t="s">
        <v>302</v>
      </c>
      <c r="HW15" t="s">
        <v>303</v>
      </c>
      <c r="HX15" t="s">
        <v>304</v>
      </c>
      <c r="HY15" t="s">
        <v>305</v>
      </c>
      <c r="HZ15" t="s">
        <v>306</v>
      </c>
      <c r="IA15" t="s">
        <v>307</v>
      </c>
      <c r="IB15" t="s">
        <v>308</v>
      </c>
      <c r="IC15" t="s">
        <v>309</v>
      </c>
      <c r="ID15" t="s">
        <v>310</v>
      </c>
      <c r="IE15" t="s">
        <v>311</v>
      </c>
      <c r="IF15" t="s">
        <v>312</v>
      </c>
      <c r="IG15" t="s">
        <v>313</v>
      </c>
      <c r="IH15" t="s">
        <v>314</v>
      </c>
      <c r="II15" t="s">
        <v>315</v>
      </c>
      <c r="IJ15" t="s">
        <v>316</v>
      </c>
      <c r="IK15" t="s">
        <v>317</v>
      </c>
      <c r="IL15" t="s">
        <v>318</v>
      </c>
      <c r="IM15" t="s">
        <v>319</v>
      </c>
      <c r="IN15" t="s">
        <v>320</v>
      </c>
      <c r="IO15" t="s">
        <v>321</v>
      </c>
      <c r="IP15" t="s">
        <v>322</v>
      </c>
      <c r="IQ15" t="s">
        <v>323</v>
      </c>
      <c r="IR15" t="s">
        <v>324</v>
      </c>
      <c r="IS15" t="s">
        <v>325</v>
      </c>
      <c r="IT15" t="s">
        <v>326</v>
      </c>
      <c r="IU15" t="s">
        <v>327</v>
      </c>
      <c r="IV15" t="s">
        <v>328</v>
      </c>
      <c r="IW15" t="s">
        <v>329</v>
      </c>
      <c r="IX15" t="s">
        <v>330</v>
      </c>
      <c r="IY15" t="s">
        <v>331</v>
      </c>
      <c r="IZ15" t="s">
        <v>332</v>
      </c>
      <c r="JA15" t="s">
        <v>333</v>
      </c>
      <c r="JB15" t="s">
        <v>334</v>
      </c>
      <c r="JC15" t="s">
        <v>335</v>
      </c>
      <c r="JD15" t="s">
        <v>336</v>
      </c>
      <c r="JE15" t="s">
        <v>337</v>
      </c>
      <c r="JF15" t="s">
        <v>338</v>
      </c>
      <c r="JG15" t="s">
        <v>339</v>
      </c>
      <c r="JH15" t="s">
        <v>340</v>
      </c>
      <c r="JI15" t="s">
        <v>341</v>
      </c>
      <c r="JJ15" t="s">
        <v>342</v>
      </c>
      <c r="JK15" t="s">
        <v>343</v>
      </c>
      <c r="JL15" t="s">
        <v>344</v>
      </c>
      <c r="JM15" t="s">
        <v>345</v>
      </c>
      <c r="JN15" t="s">
        <v>346</v>
      </c>
      <c r="JO15" t="s">
        <v>347</v>
      </c>
      <c r="JP15" t="s">
        <v>348</v>
      </c>
      <c r="JQ15" t="s">
        <v>349</v>
      </c>
      <c r="JR15" t="s">
        <v>350</v>
      </c>
      <c r="JS15" t="s">
        <v>351</v>
      </c>
      <c r="JT15" t="s">
        <v>352</v>
      </c>
      <c r="JU15" t="s">
        <v>353</v>
      </c>
      <c r="JV15" t="s">
        <v>354</v>
      </c>
      <c r="JW15" t="s">
        <v>355</v>
      </c>
      <c r="JX15" t="s">
        <v>356</v>
      </c>
      <c r="JY15" t="s">
        <v>357</v>
      </c>
      <c r="JZ15" t="s">
        <v>358</v>
      </c>
      <c r="KA15" t="s">
        <v>359</v>
      </c>
      <c r="KB15" t="s">
        <v>360</v>
      </c>
      <c r="KC15" t="s">
        <v>361</v>
      </c>
      <c r="KD15" t="s">
        <v>362</v>
      </c>
      <c r="KE15" t="s">
        <v>363</v>
      </c>
      <c r="KF15" t="s">
        <v>364</v>
      </c>
      <c r="KG15" t="s">
        <v>365</v>
      </c>
      <c r="KH15" t="s">
        <v>366</v>
      </c>
      <c r="KI15" t="s">
        <v>367</v>
      </c>
      <c r="KJ15" t="s">
        <v>368</v>
      </c>
    </row>
    <row r="16" spans="1:296" x14ac:dyDescent="0.3">
      <c r="B16" t="s">
        <v>369</v>
      </c>
      <c r="C16" t="s">
        <v>369</v>
      </c>
      <c r="F16" t="s">
        <v>369</v>
      </c>
      <c r="H16" t="s">
        <v>369</v>
      </c>
      <c r="I16" t="s">
        <v>370</v>
      </c>
      <c r="J16" t="s">
        <v>371</v>
      </c>
      <c r="K16" t="s">
        <v>372</v>
      </c>
      <c r="L16" t="s">
        <v>373</v>
      </c>
      <c r="M16" t="s">
        <v>373</v>
      </c>
      <c r="N16" t="s">
        <v>202</v>
      </c>
      <c r="O16" t="s">
        <v>202</v>
      </c>
      <c r="P16" t="s">
        <v>370</v>
      </c>
      <c r="Q16" t="s">
        <v>370</v>
      </c>
      <c r="R16" t="s">
        <v>370</v>
      </c>
      <c r="S16" t="s">
        <v>370</v>
      </c>
      <c r="T16" t="s">
        <v>374</v>
      </c>
      <c r="U16" t="s">
        <v>375</v>
      </c>
      <c r="V16" t="s">
        <v>375</v>
      </c>
      <c r="W16" t="s">
        <v>376</v>
      </c>
      <c r="X16" t="s">
        <v>377</v>
      </c>
      <c r="Y16" t="s">
        <v>376</v>
      </c>
      <c r="Z16" t="s">
        <v>376</v>
      </c>
      <c r="AA16" t="s">
        <v>376</v>
      </c>
      <c r="AB16" t="s">
        <v>374</v>
      </c>
      <c r="AC16" t="s">
        <v>374</v>
      </c>
      <c r="AD16" t="s">
        <v>374</v>
      </c>
      <c r="AE16" t="s">
        <v>374</v>
      </c>
      <c r="AF16" t="s">
        <v>372</v>
      </c>
      <c r="AG16" t="s">
        <v>371</v>
      </c>
      <c r="AH16" t="s">
        <v>372</v>
      </c>
      <c r="AI16" t="s">
        <v>373</v>
      </c>
      <c r="AJ16" t="s">
        <v>373</v>
      </c>
      <c r="AK16" t="s">
        <v>378</v>
      </c>
      <c r="AL16" t="s">
        <v>379</v>
      </c>
      <c r="AM16" t="s">
        <v>371</v>
      </c>
      <c r="AN16" t="s">
        <v>380</v>
      </c>
      <c r="AO16" t="s">
        <v>380</v>
      </c>
      <c r="AP16" t="s">
        <v>381</v>
      </c>
      <c r="AQ16" t="s">
        <v>379</v>
      </c>
      <c r="AR16" t="s">
        <v>382</v>
      </c>
      <c r="AS16" t="s">
        <v>377</v>
      </c>
      <c r="AU16" t="s">
        <v>377</v>
      </c>
      <c r="AV16" t="s">
        <v>382</v>
      </c>
      <c r="BB16" t="s">
        <v>372</v>
      </c>
      <c r="BI16" t="s">
        <v>372</v>
      </c>
      <c r="BJ16" t="s">
        <v>372</v>
      </c>
      <c r="BK16" t="s">
        <v>372</v>
      </c>
      <c r="BL16" t="s">
        <v>383</v>
      </c>
      <c r="BZ16" t="s">
        <v>384</v>
      </c>
      <c r="CB16" t="s">
        <v>384</v>
      </c>
      <c r="CC16" t="s">
        <v>372</v>
      </c>
      <c r="CF16" t="s">
        <v>384</v>
      </c>
      <c r="CG16" t="s">
        <v>377</v>
      </c>
      <c r="CJ16" t="s">
        <v>385</v>
      </c>
      <c r="CK16" t="s">
        <v>385</v>
      </c>
      <c r="CM16" t="s">
        <v>386</v>
      </c>
      <c r="CN16" t="s">
        <v>384</v>
      </c>
      <c r="CP16" t="s">
        <v>384</v>
      </c>
      <c r="CQ16" t="s">
        <v>372</v>
      </c>
      <c r="CU16" t="s">
        <v>384</v>
      </c>
      <c r="CW16" t="s">
        <v>387</v>
      </c>
      <c r="CZ16" t="s">
        <v>384</v>
      </c>
      <c r="DA16" t="s">
        <v>384</v>
      </c>
      <c r="DC16" t="s">
        <v>384</v>
      </c>
      <c r="DE16" t="s">
        <v>384</v>
      </c>
      <c r="DG16" t="s">
        <v>372</v>
      </c>
      <c r="DH16" t="s">
        <v>372</v>
      </c>
      <c r="DJ16" t="s">
        <v>388</v>
      </c>
      <c r="DK16" t="s">
        <v>389</v>
      </c>
      <c r="DN16" t="s">
        <v>370</v>
      </c>
      <c r="DP16" t="s">
        <v>369</v>
      </c>
      <c r="DQ16" t="s">
        <v>373</v>
      </c>
      <c r="DR16" t="s">
        <v>373</v>
      </c>
      <c r="DS16" t="s">
        <v>380</v>
      </c>
      <c r="DT16" t="s">
        <v>380</v>
      </c>
      <c r="DU16" t="s">
        <v>373</v>
      </c>
      <c r="DV16" t="s">
        <v>380</v>
      </c>
      <c r="DW16" t="s">
        <v>382</v>
      </c>
      <c r="DX16" t="s">
        <v>376</v>
      </c>
      <c r="DY16" t="s">
        <v>376</v>
      </c>
      <c r="DZ16" t="s">
        <v>375</v>
      </c>
      <c r="EA16" t="s">
        <v>375</v>
      </c>
      <c r="EB16" t="s">
        <v>375</v>
      </c>
      <c r="EC16" t="s">
        <v>375</v>
      </c>
      <c r="ED16" t="s">
        <v>375</v>
      </c>
      <c r="EE16" t="s">
        <v>390</v>
      </c>
      <c r="EF16" t="s">
        <v>372</v>
      </c>
      <c r="EG16" t="s">
        <v>372</v>
      </c>
      <c r="EH16" t="s">
        <v>373</v>
      </c>
      <c r="EI16" t="s">
        <v>373</v>
      </c>
      <c r="EJ16" t="s">
        <v>373</v>
      </c>
      <c r="EK16" t="s">
        <v>380</v>
      </c>
      <c r="EL16" t="s">
        <v>373</v>
      </c>
      <c r="EM16" t="s">
        <v>380</v>
      </c>
      <c r="EN16" t="s">
        <v>376</v>
      </c>
      <c r="EO16" t="s">
        <v>376</v>
      </c>
      <c r="EP16" t="s">
        <v>375</v>
      </c>
      <c r="EQ16" t="s">
        <v>375</v>
      </c>
      <c r="ER16" t="s">
        <v>372</v>
      </c>
      <c r="EW16" t="s">
        <v>372</v>
      </c>
      <c r="EZ16" t="s">
        <v>375</v>
      </c>
      <c r="FA16" t="s">
        <v>375</v>
      </c>
      <c r="FB16" t="s">
        <v>375</v>
      </c>
      <c r="FC16" t="s">
        <v>375</v>
      </c>
      <c r="FD16" t="s">
        <v>375</v>
      </c>
      <c r="FE16" t="s">
        <v>372</v>
      </c>
      <c r="FF16" t="s">
        <v>372</v>
      </c>
      <c r="FG16" t="s">
        <v>372</v>
      </c>
      <c r="FH16" t="s">
        <v>369</v>
      </c>
      <c r="FK16" t="s">
        <v>391</v>
      </c>
      <c r="FL16" t="s">
        <v>391</v>
      </c>
      <c r="FN16" t="s">
        <v>369</v>
      </c>
      <c r="FO16" t="s">
        <v>392</v>
      </c>
      <c r="FQ16" t="s">
        <v>369</v>
      </c>
      <c r="FR16" t="s">
        <v>369</v>
      </c>
      <c r="FT16" t="s">
        <v>393</v>
      </c>
      <c r="FU16" t="s">
        <v>394</v>
      </c>
      <c r="FV16" t="s">
        <v>393</v>
      </c>
      <c r="FW16" t="s">
        <v>394</v>
      </c>
      <c r="FX16" t="s">
        <v>393</v>
      </c>
      <c r="FY16" t="s">
        <v>394</v>
      </c>
      <c r="FZ16" t="s">
        <v>377</v>
      </c>
      <c r="GA16" t="s">
        <v>377</v>
      </c>
      <c r="GB16" t="s">
        <v>373</v>
      </c>
      <c r="GC16" t="s">
        <v>395</v>
      </c>
      <c r="GD16" t="s">
        <v>373</v>
      </c>
      <c r="GG16" t="s">
        <v>396</v>
      </c>
      <c r="GJ16" t="s">
        <v>380</v>
      </c>
      <c r="GK16" t="s">
        <v>397</v>
      </c>
      <c r="GL16" t="s">
        <v>380</v>
      </c>
      <c r="GQ16" t="s">
        <v>398</v>
      </c>
      <c r="GR16" t="s">
        <v>398</v>
      </c>
      <c r="HE16" t="s">
        <v>398</v>
      </c>
      <c r="HF16" t="s">
        <v>398</v>
      </c>
      <c r="HG16" t="s">
        <v>399</v>
      </c>
      <c r="HH16" t="s">
        <v>399</v>
      </c>
      <c r="HI16" t="s">
        <v>375</v>
      </c>
      <c r="HJ16" t="s">
        <v>375</v>
      </c>
      <c r="HK16" t="s">
        <v>377</v>
      </c>
      <c r="HL16" t="s">
        <v>375</v>
      </c>
      <c r="HM16" t="s">
        <v>380</v>
      </c>
      <c r="HN16" t="s">
        <v>377</v>
      </c>
      <c r="HO16" t="s">
        <v>377</v>
      </c>
      <c r="HQ16" t="s">
        <v>398</v>
      </c>
      <c r="HR16" t="s">
        <v>398</v>
      </c>
      <c r="HS16" t="s">
        <v>398</v>
      </c>
      <c r="HT16" t="s">
        <v>398</v>
      </c>
      <c r="HU16" t="s">
        <v>398</v>
      </c>
      <c r="HV16" t="s">
        <v>398</v>
      </c>
      <c r="HW16" t="s">
        <v>398</v>
      </c>
      <c r="HX16" t="s">
        <v>400</v>
      </c>
      <c r="HY16" t="s">
        <v>400</v>
      </c>
      <c r="HZ16" t="s">
        <v>400</v>
      </c>
      <c r="IA16" t="s">
        <v>401</v>
      </c>
      <c r="IB16" t="s">
        <v>398</v>
      </c>
      <c r="IC16" t="s">
        <v>398</v>
      </c>
      <c r="ID16" t="s">
        <v>398</v>
      </c>
      <c r="IE16" t="s">
        <v>398</v>
      </c>
      <c r="IF16" t="s">
        <v>398</v>
      </c>
      <c r="IG16" t="s">
        <v>398</v>
      </c>
      <c r="IH16" t="s">
        <v>398</v>
      </c>
      <c r="II16" t="s">
        <v>398</v>
      </c>
      <c r="IJ16" t="s">
        <v>398</v>
      </c>
      <c r="IK16" t="s">
        <v>398</v>
      </c>
      <c r="IL16" t="s">
        <v>398</v>
      </c>
      <c r="IM16" t="s">
        <v>398</v>
      </c>
      <c r="IT16" t="s">
        <v>398</v>
      </c>
      <c r="IU16" t="s">
        <v>377</v>
      </c>
      <c r="IV16" t="s">
        <v>377</v>
      </c>
      <c r="IW16" t="s">
        <v>393</v>
      </c>
      <c r="IX16" t="s">
        <v>394</v>
      </c>
      <c r="IY16" t="s">
        <v>393</v>
      </c>
      <c r="JC16" t="s">
        <v>394</v>
      </c>
      <c r="JG16" t="s">
        <v>373</v>
      </c>
      <c r="JH16" t="s">
        <v>373</v>
      </c>
      <c r="JI16" t="s">
        <v>380</v>
      </c>
      <c r="JJ16" t="s">
        <v>380</v>
      </c>
      <c r="JK16" t="s">
        <v>402</v>
      </c>
      <c r="JL16" t="s">
        <v>402</v>
      </c>
      <c r="JM16" t="s">
        <v>398</v>
      </c>
      <c r="JN16" t="s">
        <v>398</v>
      </c>
      <c r="JO16" t="s">
        <v>398</v>
      </c>
      <c r="JP16" t="s">
        <v>398</v>
      </c>
      <c r="JQ16" t="s">
        <v>398</v>
      </c>
      <c r="JR16" t="s">
        <v>398</v>
      </c>
      <c r="JS16" t="s">
        <v>375</v>
      </c>
      <c r="JT16" t="s">
        <v>398</v>
      </c>
      <c r="JV16" t="s">
        <v>382</v>
      </c>
      <c r="JW16" t="s">
        <v>382</v>
      </c>
      <c r="JX16" t="s">
        <v>375</v>
      </c>
      <c r="JY16" t="s">
        <v>375</v>
      </c>
      <c r="JZ16" t="s">
        <v>375</v>
      </c>
      <c r="KA16" t="s">
        <v>375</v>
      </c>
      <c r="KB16" t="s">
        <v>375</v>
      </c>
      <c r="KC16" t="s">
        <v>377</v>
      </c>
      <c r="KD16" t="s">
        <v>377</v>
      </c>
      <c r="KE16" t="s">
        <v>377</v>
      </c>
      <c r="KF16" t="s">
        <v>375</v>
      </c>
      <c r="KG16" t="s">
        <v>373</v>
      </c>
      <c r="KH16" t="s">
        <v>380</v>
      </c>
      <c r="KI16" t="s">
        <v>377</v>
      </c>
      <c r="KJ16" t="s">
        <v>377</v>
      </c>
    </row>
    <row r="17" spans="1:296" x14ac:dyDescent="0.3">
      <c r="A17">
        <v>1</v>
      </c>
      <c r="B17">
        <v>1783440669.5</v>
      </c>
      <c r="C17">
        <v>0</v>
      </c>
      <c r="D17" t="s">
        <v>1024</v>
      </c>
      <c r="E17" t="s">
        <v>1025</v>
      </c>
      <c r="F17">
        <v>15</v>
      </c>
      <c r="H17">
        <v>1783440661.5</v>
      </c>
      <c r="I17">
        <f t="shared" ref="I17:I29" si="0">(J17)/1000</f>
        <v>3.7496134575350825E-3</v>
      </c>
      <c r="J17">
        <f t="shared" ref="J17:J29" si="1">IF(DO17, AM17, AG17)</f>
        <v>3.7496134575350824</v>
      </c>
      <c r="K17">
        <f t="shared" ref="K17:K29" si="2">IF(DO17, AH17, AF17)</f>
        <v>45.228583338176094</v>
      </c>
      <c r="L17">
        <f t="shared" ref="L17:L29" si="3">DQ17 - IF(AT17&gt;1, K17*DK17*100/(AV17), 0)</f>
        <v>419.61406451612902</v>
      </c>
      <c r="M17">
        <f t="shared" ref="M17:M29" si="4">((S17-I17/2)*L17-K17)/(S17+I17/2)</f>
        <v>165.56505753046355</v>
      </c>
      <c r="N17">
        <f t="shared" ref="N17:N29" si="5">M17*(DX17+DY17)/1000</f>
        <v>16.276545935196893</v>
      </c>
      <c r="O17">
        <f t="shared" ref="O17:O29" si="6">(DQ17 - IF(AT17&gt;1, K17*DK17*100/(AV17), 0))*(DX17+DY17)/1000</f>
        <v>41.251866172877499</v>
      </c>
      <c r="P17">
        <f t="shared" ref="P17:P29" si="7">2/((1/R17-1/Q17)+SIGN(R17)*SQRT((1/R17-1/Q17)*(1/R17-1/Q17) + 4*DL17/((DL17+1)*(DL17+1))*(2*1/R17*1/Q17-1/Q17*1/Q17)))</f>
        <v>0.30636869249191873</v>
      </c>
      <c r="Q17">
        <f t="shared" ref="Q17:Q29" si="8">IF(LEFT(DM17,1)&lt;&gt;"0",IF(LEFT(DM17,1)="1",3,DN17),$D$5+$E$5*(EE17*DX17/($K$5*1000))+$F$5*(EE17*DX17/($K$5*1000))*MAX(MIN(DK17,$J$5),$I$5)*MAX(MIN(DK17,$J$5),$I$5)+$G$5*MAX(MIN(DK17,$J$5),$I$5)*(EE17*DX17/($K$5*1000))+$H$5*(EE17*DX17/($K$5*1000))*(EE17*DX17/($K$5*1000)))</f>
        <v>2.8991726446795312</v>
      </c>
      <c r="R17">
        <f t="shared" ref="R17:R29" si="9">I17*(1000-(1000*0.61365*EXP(17.502*V17/(240.97+V17))/(DX17+DY17)+DS17)/2)/(1000*0.61365*EXP(17.502*V17/(240.97+V17))/(DX17+DY17)-DS17)</f>
        <v>0.28945176849120929</v>
      </c>
      <c r="S17">
        <f t="shared" ref="S17:S29" si="10">1/((DL17+1)/(P17/1.6)+1/(Q17/1.37)) + DL17/((DL17+1)/(P17/1.6) + DL17/(Q17/1.37))</f>
        <v>0.18234938858209049</v>
      </c>
      <c r="T17">
        <f t="shared" ref="T17:T29" si="11">(DG17*DJ17)</f>
        <v>319.77927093455929</v>
      </c>
      <c r="U17">
        <f t="shared" ref="U17:U29" si="12">(DZ17+(T17+2*0.95*0.0000000567*(((DZ17+$B$7)+273)^4-(DZ17+273)^4)-44100*I17)/(1.84*29.3*Q17+8*0.95*0.0000000567*(DZ17+273)^3))</f>
        <v>25.26683827138099</v>
      </c>
      <c r="V17">
        <f t="shared" ref="V17:V29" si="13">($C$7*EA17+$D$7*EB17+$E$7*U17)</f>
        <v>25.044574193548389</v>
      </c>
      <c r="W17">
        <f t="shared" ref="W17:W29" si="14">0.61365*EXP(17.502*V17/(240.97+V17))</f>
        <v>3.1881373150103327</v>
      </c>
      <c r="X17">
        <f t="shared" ref="X17:X29" si="15">(Y17/Z17*100)</f>
        <v>63.703917795796471</v>
      </c>
      <c r="Y17">
        <f t="shared" ref="Y17:Y29" si="16">DS17*(DX17+DY17)/1000</f>
        <v>1.9478894633362711</v>
      </c>
      <c r="Z17">
        <f t="shared" ref="Z17:Z29" si="17">0.61365*EXP(17.502*DZ17/(240.97+DZ17))</f>
        <v>3.057723183651357</v>
      </c>
      <c r="AA17">
        <f t="shared" ref="AA17:AA29" si="18">(W17-DS17*(DX17+DY17)/1000)</f>
        <v>1.2402478516740616</v>
      </c>
      <c r="AB17">
        <f t="shared" ref="AB17:AB29" si="19">(-I17*44100)</f>
        <v>-165.35795347729714</v>
      </c>
      <c r="AC17">
        <f t="shared" ref="AC17:AC29" si="20">2*29.3*Q17*0.92*(DZ17-V17)</f>
        <v>-109.24526543730325</v>
      </c>
      <c r="AD17">
        <f t="shared" ref="AD17:AD29" si="21">2*0.95*0.0000000567*(((DZ17+$B$7)+273)^4-(V17+273)^4)</f>
        <v>-7.9461254700869492</v>
      </c>
      <c r="AE17">
        <f t="shared" ref="AE17:AE29" si="22">T17+AD17+AB17+AC17</f>
        <v>37.229926549871962</v>
      </c>
      <c r="AF17">
        <f t="shared" ref="AF17:AF29" si="23">DW17*AT17*(DR17-DQ17*(1000-AT17*DT17)/(1000-AT17*DS17))/(100*DK17)</f>
        <v>45.228583338176094</v>
      </c>
      <c r="AG17">
        <f t="shared" ref="AG17:AG29" si="24">1000*DW17*AT17*(DS17-DT17)/(100*DK17*(1000-AT17*DS17))</f>
        <v>3.7496134575350824</v>
      </c>
      <c r="AH17">
        <f t="shared" ref="AH17:AH29" si="25">(AI17 - AJ17 - DX17*1000/(8.314*(DZ17+273.15)) * AL17/DW17 * AK17) * DW17/(100*DK17) * (1000 - DT17)/1000</f>
        <v>45.252613078642014</v>
      </c>
      <c r="AI17">
        <v>483.53069680528938</v>
      </c>
      <c r="AJ17">
        <v>428.2151696969695</v>
      </c>
      <c r="AK17">
        <v>3.1652971129120473E-2</v>
      </c>
      <c r="AL17">
        <v>67.087298337931017</v>
      </c>
      <c r="AM17">
        <f t="shared" ref="AM17:AM29" si="26">(AO17 - AN17 + DX17*1000/(8.314*(DZ17+273.15)) * AQ17/DW17 * AP17) * DW17/(100*DK17) * 1000/(1000 - AO17)</f>
        <v>3.6476547916740731</v>
      </c>
      <c r="AN17">
        <v>15.55461561681364</v>
      </c>
      <c r="AO17">
        <v>19.85303272727273</v>
      </c>
      <c r="AP17">
        <v>-1.381933696589428E-3</v>
      </c>
      <c r="AQ17">
        <v>78.235038149759461</v>
      </c>
      <c r="AR17">
        <v>0</v>
      </c>
      <c r="AS17">
        <v>0</v>
      </c>
      <c r="AT17">
        <f t="shared" ref="AT17:AT29" si="27">IF(AR17*$H$13&gt;=AV17,1,(AV17/(AV17-AR17*$H$13)))</f>
        <v>1</v>
      </c>
      <c r="AU17">
        <f t="shared" ref="AU17:AU29" si="28">(AT17-1)*100</f>
        <v>0</v>
      </c>
      <c r="AV17">
        <f t="shared" ref="AV17:AV29" si="29">MAX(0,($B$13+$C$13*EE17)/(1+$D$13*EE17)*DX17/(DZ17+273)*$E$13)</f>
        <v>52430.211282006036</v>
      </c>
      <c r="AW17" t="s">
        <v>1026</v>
      </c>
      <c r="AX17">
        <v>5116.79</v>
      </c>
      <c r="AY17">
        <v>564.18235294117653</v>
      </c>
      <c r="AZ17">
        <v>2376.5100000000002</v>
      </c>
      <c r="BA17">
        <f t="shared" ref="BA17:BA29" si="30">1-AY17/AZ17</f>
        <v>0.76260047172485013</v>
      </c>
      <c r="BB17">
        <v>-3.9412059297963489</v>
      </c>
      <c r="BC17" t="s">
        <v>1027</v>
      </c>
      <c r="BD17">
        <v>5098.9399999999996</v>
      </c>
      <c r="BE17">
        <v>843.1698235294117</v>
      </c>
      <c r="BF17">
        <v>986.2</v>
      </c>
      <c r="BG17">
        <f t="shared" ref="BG17:BG29" si="31">1-BE17/BF17</f>
        <v>0.14503161272621001</v>
      </c>
      <c r="BH17">
        <v>0.5</v>
      </c>
      <c r="BI17">
        <f t="shared" ref="BI17:BI29" si="32">DH17</f>
        <v>1680.3096677748842</v>
      </c>
      <c r="BJ17">
        <f t="shared" ref="BJ17:BJ29" si="33">K17</f>
        <v>45.228583338176094</v>
      </c>
      <c r="BK17">
        <f t="shared" ref="BK17:BK29" si="34">BG17*BH17*BI17</f>
        <v>121.84901049841682</v>
      </c>
      <c r="BL17">
        <f t="shared" ref="BL17:BL29" si="35">(BJ17-BB17)/BI17</f>
        <v>2.9262337895778777E-2</v>
      </c>
      <c r="BM17">
        <f t="shared" ref="BM17:BM29" si="36">(AZ17-BF17)/BF17</f>
        <v>1.4097647535996756</v>
      </c>
      <c r="BN17">
        <f t="shared" ref="BN17:BN29" si="37">AY17/(BA17+AY17/BF17)</f>
        <v>422.710623526684</v>
      </c>
      <c r="BO17" t="s">
        <v>407</v>
      </c>
      <c r="BP17">
        <v>0</v>
      </c>
      <c r="BQ17">
        <f t="shared" ref="BQ17:BQ29" si="38">IF(BP17&lt;&gt;0, BP17, BN17)</f>
        <v>422.710623526684</v>
      </c>
      <c r="BR17">
        <f t="shared" ref="BR17:BR29" si="39">1-BQ17/BF17</f>
        <v>0.57137434239841411</v>
      </c>
      <c r="BS17">
        <f t="shared" ref="BS17:BS29" si="40">(BF17-BE17)/(BF17-BQ17)</f>
        <v>0.25382941088572858</v>
      </c>
      <c r="BT17">
        <f t="shared" ref="BT17:BT29" si="41">(AZ17-BF17)/(AZ17-BQ17)</f>
        <v>0.71159302062505714</v>
      </c>
      <c r="BU17">
        <f t="shared" ref="BU17:BU29" si="42">(BF17-BE17)/(BF17-AY17)</f>
        <v>0.33891989462386601</v>
      </c>
      <c r="BV17">
        <f t="shared" ref="BV17:BV29" si="43">(AZ17-BF17)/(AZ17-AY17)</f>
        <v>0.76714053458065146</v>
      </c>
      <c r="BW17">
        <f t="shared" ref="BW17:BW29" si="44">(BS17*BQ17/BE17)</f>
        <v>0.12725359180406492</v>
      </c>
      <c r="BX17">
        <f t="shared" ref="BX17:BX29" si="45">(1-BW17)</f>
        <v>0.87274640819593508</v>
      </c>
      <c r="DG17">
        <f t="shared" ref="DG17:DG29" si="46">$B$11*EF17+$C$11*EG17+$F$11*ER17*(1-EU17)</f>
        <v>2000.0125806451611</v>
      </c>
      <c r="DH17">
        <f t="shared" ref="DH17:DH29" si="47">DG17*DI17</f>
        <v>1680.3096677748842</v>
      </c>
      <c r="DI17">
        <f t="shared" ref="DI17:DI29" si="48">($B$11*$D$9+$C$11*$D$9+$F$11*((FE17+EW17)/MAX(FE17+EW17+FF17, 0.1)*$I$9+FF17/MAX(FE17+EW17+FF17, 0.1)*$J$9))/($B$11+$C$11+$F$11)</f>
        <v>0.84014954907576256</v>
      </c>
      <c r="DJ17">
        <f t="shared" ref="DJ17:DJ29" si="49">($B$11*$K$9+$C$11*$K$9+$F$11*((FE17+EW17)/MAX(FE17+EW17+FF17, 0.1)*$P$9+FF17/MAX(FE17+EW17+FF17, 0.1)*$Q$9))/($B$11+$C$11+$F$11)</f>
        <v>0.15988862971622178</v>
      </c>
      <c r="DK17">
        <v>6</v>
      </c>
      <c r="DL17">
        <v>0.5</v>
      </c>
      <c r="DM17" t="s">
        <v>408</v>
      </c>
      <c r="DN17">
        <v>2</v>
      </c>
      <c r="DO17" t="b">
        <v>0</v>
      </c>
      <c r="DP17">
        <v>1783440661.5</v>
      </c>
      <c r="DQ17">
        <v>419.61406451612902</v>
      </c>
      <c r="DR17">
        <v>475.77045161290317</v>
      </c>
      <c r="DS17">
        <v>19.813935483870971</v>
      </c>
      <c r="DT17">
        <v>15.40402258064516</v>
      </c>
      <c r="DU17">
        <v>425.04658064516133</v>
      </c>
      <c r="DV17">
        <v>20.19693548387097</v>
      </c>
      <c r="DW17">
        <v>500.05325806451623</v>
      </c>
      <c r="DX17">
        <v>98.253090322580618</v>
      </c>
      <c r="DY17">
        <v>5.5974270967741928E-2</v>
      </c>
      <c r="DZ17">
        <v>24.345629032258071</v>
      </c>
      <c r="EA17">
        <v>25.044574193548389</v>
      </c>
      <c r="EB17">
        <v>999.90000000000032</v>
      </c>
      <c r="EC17">
        <v>0</v>
      </c>
      <c r="ED17">
        <v>0</v>
      </c>
      <c r="EE17">
        <v>10002.58064516129</v>
      </c>
      <c r="EF17">
        <v>0</v>
      </c>
      <c r="EG17">
        <v>2064.3474193548391</v>
      </c>
      <c r="EH17">
        <v>-56.15635806451612</v>
      </c>
      <c r="EI17">
        <v>428.12835483870981</v>
      </c>
      <c r="EJ17">
        <v>483.21383870967742</v>
      </c>
      <c r="EK17">
        <v>4.4832948387096767</v>
      </c>
      <c r="EL17">
        <v>475.77045161290317</v>
      </c>
      <c r="EM17">
        <v>15.40402258064516</v>
      </c>
      <c r="EN17">
        <v>1.953989999999999</v>
      </c>
      <c r="EO17">
        <v>1.513493548387097</v>
      </c>
      <c r="EP17">
        <v>17.076348387096779</v>
      </c>
      <c r="EQ17">
        <v>13.1047064516129</v>
      </c>
      <c r="ER17">
        <v>2000.0125806451611</v>
      </c>
      <c r="ES17">
        <v>0.99500070967741927</v>
      </c>
      <c r="ET17">
        <v>4.9995187096774207E-3</v>
      </c>
      <c r="EU17">
        <v>0</v>
      </c>
      <c r="EV17">
        <v>842.9172580645162</v>
      </c>
      <c r="EW17">
        <v>5.0010700000000003</v>
      </c>
      <c r="EX17">
        <v>23470.674193548391</v>
      </c>
      <c r="EY17">
        <v>18241.754838709669</v>
      </c>
      <c r="EZ17">
        <v>40.75593548387095</v>
      </c>
      <c r="FA17">
        <v>42.580290322580638</v>
      </c>
      <c r="FB17">
        <v>41.384935483870947</v>
      </c>
      <c r="FC17">
        <v>42.142999999999979</v>
      </c>
      <c r="FD17">
        <v>41.751935483870959</v>
      </c>
      <c r="FE17">
        <v>1985.0412903225799</v>
      </c>
      <c r="FF17">
        <v>9.970000000000006</v>
      </c>
      <c r="FG17">
        <v>0</v>
      </c>
      <c r="FH17">
        <v>3226.2000000476842</v>
      </c>
      <c r="FI17">
        <v>0</v>
      </c>
      <c r="FJ17">
        <v>843.1698235294117</v>
      </c>
      <c r="FK17">
        <v>3.7044117074669551</v>
      </c>
      <c r="FL17">
        <v>138.38235231185359</v>
      </c>
      <c r="FM17">
        <v>23460.705882352941</v>
      </c>
      <c r="FN17">
        <v>10</v>
      </c>
      <c r="FO17">
        <v>1783440695.5</v>
      </c>
      <c r="FP17" t="s">
        <v>1028</v>
      </c>
      <c r="FQ17">
        <v>1783439339.0999999</v>
      </c>
      <c r="FR17">
        <v>1783440695.5</v>
      </c>
      <c r="FS17">
        <v>15</v>
      </c>
      <c r="FT17">
        <v>-8.6999999999999994E-2</v>
      </c>
      <c r="FU17">
        <v>2.4E-2</v>
      </c>
      <c r="FV17">
        <v>-5.4329999999999998</v>
      </c>
      <c r="FW17">
        <v>-0.38300000000000001</v>
      </c>
      <c r="FX17">
        <v>418</v>
      </c>
      <c r="FY17">
        <v>16</v>
      </c>
      <c r="FZ17">
        <v>1.95</v>
      </c>
      <c r="GA17">
        <v>0.05</v>
      </c>
      <c r="GB17">
        <v>419.60864516129033</v>
      </c>
      <c r="GC17">
        <v>0.30237096774196698</v>
      </c>
      <c r="GD17">
        <v>5.7381321220178631E-2</v>
      </c>
      <c r="GE17">
        <v>-1</v>
      </c>
      <c r="GF17">
        <v>842.75932352941174</v>
      </c>
      <c r="GG17">
        <v>4.0010236778045876</v>
      </c>
      <c r="GH17">
        <v>0.46205377332769387</v>
      </c>
      <c r="GI17">
        <v>1</v>
      </c>
      <c r="GJ17">
        <v>4.6180151219512187</v>
      </c>
      <c r="GK17">
        <v>-2.426951498257842</v>
      </c>
      <c r="GL17">
        <v>0.24520885507149401</v>
      </c>
      <c r="GM17">
        <v>0</v>
      </c>
      <c r="GN17">
        <v>1</v>
      </c>
      <c r="GO17">
        <v>2</v>
      </c>
      <c r="GP17" t="s">
        <v>410</v>
      </c>
      <c r="GQ17">
        <v>3.12995</v>
      </c>
      <c r="GR17">
        <v>2.7321900000000001</v>
      </c>
      <c r="GS17">
        <v>9.1562699999999997E-2</v>
      </c>
      <c r="GT17">
        <v>0.100411</v>
      </c>
      <c r="GU17">
        <v>9.9076999999999998E-2</v>
      </c>
      <c r="GV17">
        <v>8.29067E-2</v>
      </c>
      <c r="GW17">
        <v>22768.6</v>
      </c>
      <c r="GX17">
        <v>30250.5</v>
      </c>
      <c r="GY17">
        <v>27193.1</v>
      </c>
      <c r="GZ17">
        <v>34587.1</v>
      </c>
      <c r="HA17">
        <v>35888.1</v>
      </c>
      <c r="HB17">
        <v>40299.599999999999</v>
      </c>
      <c r="HC17">
        <v>40158.699999999997</v>
      </c>
      <c r="HD17">
        <v>44021.4</v>
      </c>
      <c r="HE17">
        <v>1.9576</v>
      </c>
      <c r="HF17">
        <v>1.7402</v>
      </c>
      <c r="HG17">
        <v>-0.102073</v>
      </c>
      <c r="HH17">
        <v>0</v>
      </c>
      <c r="HI17">
        <v>26.678999999999998</v>
      </c>
      <c r="HJ17">
        <v>999.9</v>
      </c>
      <c r="HK17">
        <v>57.1</v>
      </c>
      <c r="HL17">
        <v>38.700000000000003</v>
      </c>
      <c r="HM17">
        <v>40.180399999999999</v>
      </c>
      <c r="HN17">
        <v>61.461399999999998</v>
      </c>
      <c r="HO17">
        <v>6.5745199999999997</v>
      </c>
      <c r="HP17">
        <v>1</v>
      </c>
      <c r="HQ17">
        <v>0.66323200000000004</v>
      </c>
      <c r="HR17">
        <v>9.1135300000000008</v>
      </c>
      <c r="HS17">
        <v>20.036799999999999</v>
      </c>
      <c r="HT17">
        <v>5.2100999999999997</v>
      </c>
      <c r="HU17">
        <v>11.914099999999999</v>
      </c>
      <c r="HV17">
        <v>4.9851999999999999</v>
      </c>
      <c r="HW17">
        <v>3.2709999999999999</v>
      </c>
      <c r="HX17">
        <v>9999</v>
      </c>
      <c r="HY17">
        <v>9999</v>
      </c>
      <c r="HZ17">
        <v>9999</v>
      </c>
      <c r="IA17">
        <v>999.9</v>
      </c>
      <c r="IB17">
        <v>1.8672200000000001</v>
      </c>
      <c r="IC17">
        <v>1.8629500000000001</v>
      </c>
      <c r="ID17">
        <v>1.8623400000000001</v>
      </c>
      <c r="IE17">
        <v>1.86191</v>
      </c>
      <c r="IF17">
        <v>1.86191</v>
      </c>
      <c r="IG17">
        <v>1.86249</v>
      </c>
      <c r="IH17">
        <v>1.8633999999999999</v>
      </c>
      <c r="II17">
        <v>1.8614200000000001</v>
      </c>
      <c r="IJ17">
        <v>0</v>
      </c>
      <c r="IK17">
        <v>0</v>
      </c>
      <c r="IL17">
        <v>0</v>
      </c>
      <c r="IM17">
        <v>4.5</v>
      </c>
      <c r="IN17" t="s">
        <v>411</v>
      </c>
      <c r="IO17" t="s">
        <v>412</v>
      </c>
      <c r="IP17" t="s">
        <v>413</v>
      </c>
      <c r="IQ17" t="s">
        <v>414</v>
      </c>
      <c r="IR17" t="s">
        <v>414</v>
      </c>
      <c r="IS17" t="s">
        <v>413</v>
      </c>
      <c r="IT17">
        <v>0</v>
      </c>
      <c r="IU17">
        <v>100</v>
      </c>
      <c r="IV17">
        <v>100</v>
      </c>
      <c r="IW17">
        <v>-5.4320000000000004</v>
      </c>
      <c r="IX17">
        <v>-0.38300000000000001</v>
      </c>
      <c r="IY17">
        <v>-5.4325714285714071</v>
      </c>
      <c r="IZ17">
        <v>0</v>
      </c>
      <c r="JA17">
        <v>0</v>
      </c>
      <c r="JB17">
        <v>0</v>
      </c>
      <c r="JC17">
        <v>-0.60102840872464158</v>
      </c>
      <c r="JD17">
        <v>2.7492919904454862E-4</v>
      </c>
      <c r="JE17">
        <v>8.6739513355948885E-4</v>
      </c>
      <c r="JF17">
        <v>-8.2500691715147318E-6</v>
      </c>
      <c r="JG17">
        <v>-1</v>
      </c>
      <c r="JH17">
        <v>-1</v>
      </c>
      <c r="JI17">
        <v>2</v>
      </c>
      <c r="JJ17">
        <v>37</v>
      </c>
      <c r="JK17">
        <v>22.2</v>
      </c>
      <c r="JL17">
        <v>22.1</v>
      </c>
      <c r="JM17">
        <v>1.2023900000000001</v>
      </c>
      <c r="JN17">
        <v>2.5280800000000001</v>
      </c>
      <c r="JO17">
        <v>1.50024</v>
      </c>
      <c r="JP17">
        <v>2.2729499999999998</v>
      </c>
      <c r="JQ17">
        <v>1.4477500000000001</v>
      </c>
      <c r="JR17">
        <v>2.3156699999999999</v>
      </c>
      <c r="JS17">
        <v>42.750999999999998</v>
      </c>
      <c r="JT17">
        <v>14.5786</v>
      </c>
      <c r="JU17">
        <v>18</v>
      </c>
      <c r="JV17">
        <v>545.10599999999999</v>
      </c>
      <c r="JW17">
        <v>417.22699999999998</v>
      </c>
      <c r="JX17">
        <v>18.581600000000002</v>
      </c>
      <c r="JY17">
        <v>34.939100000000003</v>
      </c>
      <c r="JZ17">
        <v>30.000699999999998</v>
      </c>
      <c r="KA17">
        <v>34.701799999999999</v>
      </c>
      <c r="KB17">
        <v>34.631300000000003</v>
      </c>
      <c r="KC17">
        <v>24.052199999999999</v>
      </c>
      <c r="KD17">
        <v>58.0747</v>
      </c>
      <c r="KE17">
        <v>0</v>
      </c>
      <c r="KF17">
        <v>18.5458</v>
      </c>
      <c r="KG17">
        <v>476.10500000000002</v>
      </c>
      <c r="KH17">
        <v>15.717499999999999</v>
      </c>
      <c r="KI17">
        <v>100.364</v>
      </c>
      <c r="KJ17">
        <v>98.906300000000002</v>
      </c>
    </row>
    <row r="18" spans="1:296" x14ac:dyDescent="0.3">
      <c r="A18">
        <v>2</v>
      </c>
      <c r="B18">
        <v>1783440876.5</v>
      </c>
      <c r="C18">
        <v>207</v>
      </c>
      <c r="D18" t="s">
        <v>1029</v>
      </c>
      <c r="E18" t="s">
        <v>1030</v>
      </c>
      <c r="F18">
        <v>15</v>
      </c>
      <c r="H18">
        <v>1783440868.75</v>
      </c>
      <c r="I18">
        <f t="shared" si="0"/>
        <v>3.8210510955740159E-3</v>
      </c>
      <c r="J18">
        <f t="shared" si="1"/>
        <v>3.821051095574016</v>
      </c>
      <c r="K18">
        <f t="shared" si="2"/>
        <v>45.633696597447539</v>
      </c>
      <c r="L18">
        <f t="shared" si="3"/>
        <v>419.94636666666668</v>
      </c>
      <c r="M18">
        <f t="shared" si="4"/>
        <v>180.92732697684701</v>
      </c>
      <c r="N18">
        <f t="shared" si="5"/>
        <v>17.784989334555654</v>
      </c>
      <c r="O18">
        <f t="shared" si="6"/>
        <v>41.280340438610622</v>
      </c>
      <c r="P18">
        <f t="shared" si="7"/>
        <v>0.33004711785106994</v>
      </c>
      <c r="Q18">
        <f t="shared" si="8"/>
        <v>2.8990080359407027</v>
      </c>
      <c r="R18">
        <f t="shared" si="9"/>
        <v>0.31050270218884912</v>
      </c>
      <c r="S18">
        <f t="shared" si="10"/>
        <v>0.19572365950786286</v>
      </c>
      <c r="T18">
        <f t="shared" si="11"/>
        <v>271.91191582864928</v>
      </c>
      <c r="U18">
        <f t="shared" si="12"/>
        <v>24.991863534660364</v>
      </c>
      <c r="V18">
        <f t="shared" si="13"/>
        <v>24.95702666666666</v>
      </c>
      <c r="W18">
        <f t="shared" si="14"/>
        <v>3.1715402709103881</v>
      </c>
      <c r="X18">
        <f t="shared" si="15"/>
        <v>65.085975112808342</v>
      </c>
      <c r="Y18">
        <f t="shared" si="16"/>
        <v>1.9936517571226609</v>
      </c>
      <c r="Z18">
        <f t="shared" si="17"/>
        <v>3.0631049986840067</v>
      </c>
      <c r="AA18">
        <f t="shared" si="18"/>
        <v>1.1778885137877273</v>
      </c>
      <c r="AB18">
        <f t="shared" si="19"/>
        <v>-168.50835331481412</v>
      </c>
      <c r="AC18">
        <f t="shared" si="20"/>
        <v>-90.968321581893818</v>
      </c>
      <c r="AD18">
        <f t="shared" si="21"/>
        <v>-6.6151561775554164</v>
      </c>
      <c r="AE18">
        <f t="shared" si="22"/>
        <v>5.8200847543859169</v>
      </c>
      <c r="AF18">
        <f t="shared" si="23"/>
        <v>45.633696597447539</v>
      </c>
      <c r="AG18">
        <f t="shared" si="24"/>
        <v>3.821051095574016</v>
      </c>
      <c r="AH18">
        <f t="shared" si="25"/>
        <v>46.177775299201805</v>
      </c>
      <c r="AI18">
        <v>484.27208641515921</v>
      </c>
      <c r="AJ18">
        <v>428.47552121212101</v>
      </c>
      <c r="AK18">
        <v>-9.524663311563375E-2</v>
      </c>
      <c r="AL18">
        <v>67.087726864846104</v>
      </c>
      <c r="AM18">
        <f t="shared" si="26"/>
        <v>3.7721931680548879</v>
      </c>
      <c r="AN18">
        <v>15.78391566229438</v>
      </c>
      <c r="AO18">
        <v>20.250916969696959</v>
      </c>
      <c r="AP18">
        <v>-5.111186147183735E-3</v>
      </c>
      <c r="AQ18">
        <v>78.55</v>
      </c>
      <c r="AR18">
        <v>0</v>
      </c>
      <c r="AS18">
        <v>0</v>
      </c>
      <c r="AT18">
        <f t="shared" si="27"/>
        <v>1</v>
      </c>
      <c r="AU18">
        <f t="shared" si="28"/>
        <v>0</v>
      </c>
      <c r="AV18">
        <f t="shared" si="29"/>
        <v>52420.070037719408</v>
      </c>
      <c r="AW18" t="s">
        <v>1026</v>
      </c>
      <c r="AX18">
        <v>5116.79</v>
      </c>
      <c r="AY18">
        <v>564.18235294117653</v>
      </c>
      <c r="AZ18">
        <v>2376.5100000000002</v>
      </c>
      <c r="BA18">
        <f t="shared" si="30"/>
        <v>0.76260047172485013</v>
      </c>
      <c r="BB18">
        <v>-3.9412059297963489</v>
      </c>
      <c r="BC18" t="s">
        <v>1031</v>
      </c>
      <c r="BD18">
        <v>5096.95</v>
      </c>
      <c r="BE18">
        <v>838.41123529411766</v>
      </c>
      <c r="BF18">
        <v>1033.06</v>
      </c>
      <c r="BG18">
        <f t="shared" si="31"/>
        <v>0.18841961232250048</v>
      </c>
      <c r="BH18">
        <v>0.5</v>
      </c>
      <c r="BI18">
        <f t="shared" si="32"/>
        <v>1428.3157798075902</v>
      </c>
      <c r="BJ18">
        <f t="shared" si="33"/>
        <v>45.633696597447539</v>
      </c>
      <c r="BK18">
        <f t="shared" si="34"/>
        <v>134.56135275272806</v>
      </c>
      <c r="BL18">
        <f t="shared" si="35"/>
        <v>3.470864302424928E-2</v>
      </c>
      <c r="BM18">
        <f t="shared" si="36"/>
        <v>1.3004568950496587</v>
      </c>
      <c r="BN18">
        <f t="shared" si="37"/>
        <v>431.09218732056706</v>
      </c>
      <c r="BO18" t="s">
        <v>407</v>
      </c>
      <c r="BP18">
        <v>0</v>
      </c>
      <c r="BQ18">
        <f t="shared" si="38"/>
        <v>431.09218732056706</v>
      </c>
      <c r="BR18">
        <f t="shared" si="39"/>
        <v>0.5827036306501393</v>
      </c>
      <c r="BS18">
        <f t="shared" si="40"/>
        <v>0.32335410732257702</v>
      </c>
      <c r="BT18">
        <f t="shared" si="41"/>
        <v>0.69057145012446464</v>
      </c>
      <c r="BU18">
        <f t="shared" si="42"/>
        <v>0.41513765035905514</v>
      </c>
      <c r="BV18">
        <f t="shared" si="43"/>
        <v>0.74128428277317737</v>
      </c>
      <c r="BW18">
        <f t="shared" si="44"/>
        <v>0.16626140435233874</v>
      </c>
      <c r="BX18">
        <f t="shared" si="45"/>
        <v>0.83373859564766128</v>
      </c>
      <c r="DG18">
        <f t="shared" si="46"/>
        <v>1700.0119999999999</v>
      </c>
      <c r="DH18">
        <f t="shared" si="47"/>
        <v>1428.3157798075902</v>
      </c>
      <c r="DI18">
        <f t="shared" si="48"/>
        <v>0.84017982214689679</v>
      </c>
      <c r="DJ18">
        <f t="shared" si="49"/>
        <v>0.15994705674351081</v>
      </c>
      <c r="DK18">
        <v>6</v>
      </c>
      <c r="DL18">
        <v>0.5</v>
      </c>
      <c r="DM18" t="s">
        <v>408</v>
      </c>
      <c r="DN18">
        <v>2</v>
      </c>
      <c r="DO18" t="b">
        <v>0</v>
      </c>
      <c r="DP18">
        <v>1783440868.75</v>
      </c>
      <c r="DQ18">
        <v>419.94636666666668</v>
      </c>
      <c r="DR18">
        <v>476.63423333333338</v>
      </c>
      <c r="DS18">
        <v>20.281490000000009</v>
      </c>
      <c r="DT18">
        <v>15.789076666666659</v>
      </c>
      <c r="DU18">
        <v>425.7061666666666</v>
      </c>
      <c r="DV18">
        <v>20.55861333333333</v>
      </c>
      <c r="DW18">
        <v>499.9835333333333</v>
      </c>
      <c r="DX18">
        <v>98.242973333333339</v>
      </c>
      <c r="DY18">
        <v>5.6104156666666662E-2</v>
      </c>
      <c r="DZ18">
        <v>24.37498333333334</v>
      </c>
      <c r="EA18">
        <v>24.95702666666666</v>
      </c>
      <c r="EB18">
        <v>999.9000000000002</v>
      </c>
      <c r="EC18">
        <v>0</v>
      </c>
      <c r="ED18">
        <v>0</v>
      </c>
      <c r="EE18">
        <v>10002.66666666667</v>
      </c>
      <c r="EF18">
        <v>0</v>
      </c>
      <c r="EG18">
        <v>2021.2076666666669</v>
      </c>
      <c r="EH18">
        <v>-56.687893333333342</v>
      </c>
      <c r="EI18">
        <v>428.63986666666659</v>
      </c>
      <c r="EJ18">
        <v>484.28056666666657</v>
      </c>
      <c r="EK18">
        <v>4.4924143333333344</v>
      </c>
      <c r="EL18">
        <v>476.63423333333338</v>
      </c>
      <c r="EM18">
        <v>15.789076666666659</v>
      </c>
      <c r="EN18">
        <v>1.992513</v>
      </c>
      <c r="EO18">
        <v>1.5511656666666671</v>
      </c>
      <c r="EP18">
        <v>17.384963333333339</v>
      </c>
      <c r="EQ18">
        <v>13.48203</v>
      </c>
      <c r="ER18">
        <v>1700.0119999999999</v>
      </c>
      <c r="ES18">
        <v>0.9939903000000001</v>
      </c>
      <c r="ET18">
        <v>6.0092103333333332E-3</v>
      </c>
      <c r="EU18">
        <v>0</v>
      </c>
      <c r="EV18">
        <v>838.58699999999999</v>
      </c>
      <c r="EW18">
        <v>5.0010700000000003</v>
      </c>
      <c r="EX18">
        <v>20680.433333333331</v>
      </c>
      <c r="EY18">
        <v>15492.57</v>
      </c>
      <c r="EZ18">
        <v>41.316199999999988</v>
      </c>
      <c r="FA18">
        <v>43.428733333333312</v>
      </c>
      <c r="FB18">
        <v>42.207999999999998</v>
      </c>
      <c r="FC18">
        <v>42.908066666666649</v>
      </c>
      <c r="FD18">
        <v>42.375</v>
      </c>
      <c r="FE18">
        <v>1684.8219999999999</v>
      </c>
      <c r="FF18">
        <v>10.19</v>
      </c>
      <c r="FG18">
        <v>0</v>
      </c>
      <c r="FH18">
        <v>206.60000014305109</v>
      </c>
      <c r="FI18">
        <v>0</v>
      </c>
      <c r="FJ18">
        <v>838.41123529411766</v>
      </c>
      <c r="FK18">
        <v>-2.6509804163894821</v>
      </c>
      <c r="FL18">
        <v>121.5441183305219</v>
      </c>
      <c r="FM18">
        <v>20681.23529411765</v>
      </c>
      <c r="FN18">
        <v>10</v>
      </c>
      <c r="FO18">
        <v>1783440761.5</v>
      </c>
      <c r="FP18" t="s">
        <v>1032</v>
      </c>
      <c r="FQ18">
        <v>1783440761</v>
      </c>
      <c r="FR18">
        <v>1783440761.5</v>
      </c>
      <c r="FS18">
        <v>16</v>
      </c>
      <c r="FT18">
        <v>-0.32700000000000001</v>
      </c>
      <c r="FU18">
        <v>-1E-3</v>
      </c>
      <c r="FV18">
        <v>-5.76</v>
      </c>
      <c r="FW18">
        <v>-0.38100000000000001</v>
      </c>
      <c r="FX18">
        <v>476</v>
      </c>
      <c r="FY18">
        <v>16</v>
      </c>
      <c r="FZ18">
        <v>0.15</v>
      </c>
      <c r="GA18">
        <v>0.06</v>
      </c>
      <c r="GB18">
        <v>419.95532258064509</v>
      </c>
      <c r="GC18">
        <v>0.1970322580655923</v>
      </c>
      <c r="GD18">
        <v>7.0264655042058824E-2</v>
      </c>
      <c r="GE18">
        <v>-1</v>
      </c>
      <c r="GF18">
        <v>838.76085294117649</v>
      </c>
      <c r="GG18">
        <v>-3.8027654780203148</v>
      </c>
      <c r="GH18">
        <v>0.43329952500977581</v>
      </c>
      <c r="GI18">
        <v>1</v>
      </c>
      <c r="GJ18">
        <v>4.4740107317073168</v>
      </c>
      <c r="GK18">
        <v>0.18080822299652469</v>
      </c>
      <c r="GL18">
        <v>3.3087830670640798E-2</v>
      </c>
      <c r="GM18">
        <v>1</v>
      </c>
      <c r="GN18">
        <v>2</v>
      </c>
      <c r="GO18">
        <v>2</v>
      </c>
      <c r="GP18" t="s">
        <v>423</v>
      </c>
      <c r="GQ18">
        <v>3.12954</v>
      </c>
      <c r="GR18">
        <v>2.7320000000000002</v>
      </c>
      <c r="GS18">
        <v>9.1589699999999996E-2</v>
      </c>
      <c r="GT18">
        <v>0.100462</v>
      </c>
      <c r="GU18">
        <v>0.10029</v>
      </c>
      <c r="GV18">
        <v>8.3259700000000006E-2</v>
      </c>
      <c r="GW18">
        <v>22757.8</v>
      </c>
      <c r="GX18">
        <v>30235.1</v>
      </c>
      <c r="GY18">
        <v>27182.3</v>
      </c>
      <c r="GZ18">
        <v>34573.300000000003</v>
      </c>
      <c r="HA18">
        <v>35827.800000000003</v>
      </c>
      <c r="HB18">
        <v>40270.300000000003</v>
      </c>
      <c r="HC18">
        <v>40144.300000000003</v>
      </c>
      <c r="HD18">
        <v>44006.1</v>
      </c>
      <c r="HE18">
        <v>1.9556</v>
      </c>
      <c r="HF18">
        <v>1.7347999999999999</v>
      </c>
      <c r="HG18">
        <v>-0.10907600000000001</v>
      </c>
      <c r="HH18">
        <v>0</v>
      </c>
      <c r="HI18">
        <v>26.756</v>
      </c>
      <c r="HJ18">
        <v>999.9</v>
      </c>
      <c r="HK18">
        <v>56.3</v>
      </c>
      <c r="HL18">
        <v>38.9</v>
      </c>
      <c r="HM18">
        <v>40.052500000000002</v>
      </c>
      <c r="HN18">
        <v>61.311500000000002</v>
      </c>
      <c r="HO18">
        <v>6.9070499999999999</v>
      </c>
      <c r="HP18">
        <v>1</v>
      </c>
      <c r="HQ18">
        <v>0.67664599999999997</v>
      </c>
      <c r="HR18">
        <v>7.3115199999999998</v>
      </c>
      <c r="HS18">
        <v>20.121099999999998</v>
      </c>
      <c r="HT18">
        <v>5.2088999999999999</v>
      </c>
      <c r="HU18">
        <v>11.914099999999999</v>
      </c>
      <c r="HV18">
        <v>4.984</v>
      </c>
      <c r="HW18">
        <v>3.2709999999999999</v>
      </c>
      <c r="HX18">
        <v>9999</v>
      </c>
      <c r="HY18">
        <v>9999</v>
      </c>
      <c r="HZ18">
        <v>9999</v>
      </c>
      <c r="IA18">
        <v>999.9</v>
      </c>
      <c r="IB18">
        <v>1.86737</v>
      </c>
      <c r="IC18">
        <v>1.8629500000000001</v>
      </c>
      <c r="ID18">
        <v>1.86243</v>
      </c>
      <c r="IE18">
        <v>1.8620300000000001</v>
      </c>
      <c r="IF18">
        <v>1.8620300000000001</v>
      </c>
      <c r="IG18">
        <v>1.86252</v>
      </c>
      <c r="IH18">
        <v>1.8634599999999999</v>
      </c>
      <c r="II18">
        <v>1.86145</v>
      </c>
      <c r="IJ18">
        <v>0</v>
      </c>
      <c r="IK18">
        <v>0</v>
      </c>
      <c r="IL18">
        <v>0</v>
      </c>
      <c r="IM18">
        <v>4.5</v>
      </c>
      <c r="IN18" t="s">
        <v>411</v>
      </c>
      <c r="IO18" t="s">
        <v>412</v>
      </c>
      <c r="IP18" t="s">
        <v>413</v>
      </c>
      <c r="IQ18" t="s">
        <v>414</v>
      </c>
      <c r="IR18" t="s">
        <v>414</v>
      </c>
      <c r="IS18" t="s">
        <v>413</v>
      </c>
      <c r="IT18">
        <v>0</v>
      </c>
      <c r="IU18">
        <v>100</v>
      </c>
      <c r="IV18">
        <v>100</v>
      </c>
      <c r="IW18">
        <v>-5.76</v>
      </c>
      <c r="IX18">
        <v>-0.27789999999999998</v>
      </c>
      <c r="IY18">
        <v>-5.7597619047618878</v>
      </c>
      <c r="IZ18">
        <v>0</v>
      </c>
      <c r="JA18">
        <v>0</v>
      </c>
      <c r="JB18">
        <v>0</v>
      </c>
      <c r="JC18">
        <v>-0.57770992230005214</v>
      </c>
      <c r="JD18">
        <v>2.7492919904454862E-4</v>
      </c>
      <c r="JE18">
        <v>8.6739513355948885E-4</v>
      </c>
      <c r="JF18">
        <v>-8.2500691715147318E-6</v>
      </c>
      <c r="JG18">
        <v>-1</v>
      </c>
      <c r="JH18">
        <v>-1</v>
      </c>
      <c r="JI18">
        <v>2</v>
      </c>
      <c r="JJ18">
        <v>37</v>
      </c>
      <c r="JK18">
        <v>1.9</v>
      </c>
      <c r="JL18">
        <v>1.9</v>
      </c>
      <c r="JM18">
        <v>1.2036100000000001</v>
      </c>
      <c r="JN18">
        <v>2.5293000000000001</v>
      </c>
      <c r="JO18">
        <v>1.50024</v>
      </c>
      <c r="JP18">
        <v>2.2729499999999998</v>
      </c>
      <c r="JQ18">
        <v>1.4477500000000001</v>
      </c>
      <c r="JR18">
        <v>2.4609399999999999</v>
      </c>
      <c r="JS18">
        <v>43.209099999999999</v>
      </c>
      <c r="JT18">
        <v>14.604900000000001</v>
      </c>
      <c r="JU18">
        <v>18</v>
      </c>
      <c r="JV18">
        <v>545.55999999999995</v>
      </c>
      <c r="JW18">
        <v>415.29399999999998</v>
      </c>
      <c r="JX18">
        <v>19.428899999999999</v>
      </c>
      <c r="JY18">
        <v>35.208599999999997</v>
      </c>
      <c r="JZ18">
        <v>30.000699999999998</v>
      </c>
      <c r="KA18">
        <v>34.922899999999998</v>
      </c>
      <c r="KB18">
        <v>34.8416</v>
      </c>
      <c r="KC18">
        <v>24.084299999999999</v>
      </c>
      <c r="KD18">
        <v>57.954799999999999</v>
      </c>
      <c r="KE18">
        <v>0</v>
      </c>
      <c r="KF18">
        <v>19.4206</v>
      </c>
      <c r="KG18">
        <v>476.83199999999999</v>
      </c>
      <c r="KH18">
        <v>15.764900000000001</v>
      </c>
      <c r="KI18">
        <v>100.327</v>
      </c>
      <c r="KJ18">
        <v>98.869699999999995</v>
      </c>
    </row>
    <row r="19" spans="1:296" x14ac:dyDescent="0.3">
      <c r="A19">
        <v>3</v>
      </c>
      <c r="B19">
        <v>1783441058.5</v>
      </c>
      <c r="C19">
        <v>389</v>
      </c>
      <c r="D19" t="s">
        <v>1033</v>
      </c>
      <c r="E19" t="s">
        <v>1034</v>
      </c>
      <c r="F19">
        <v>15</v>
      </c>
      <c r="H19">
        <v>1783441050.75</v>
      </c>
      <c r="I19">
        <f t="shared" si="0"/>
        <v>3.0783947484761568E-3</v>
      </c>
      <c r="J19">
        <f t="shared" si="1"/>
        <v>3.0783947484761569</v>
      </c>
      <c r="K19">
        <f t="shared" si="2"/>
        <v>45.998810922535945</v>
      </c>
      <c r="L19">
        <f t="shared" si="3"/>
        <v>420.00290000000012</v>
      </c>
      <c r="M19">
        <f t="shared" si="4"/>
        <v>124.33598116902026</v>
      </c>
      <c r="N19">
        <f t="shared" si="5"/>
        <v>12.221948830047479</v>
      </c>
      <c r="O19">
        <f t="shared" si="6"/>
        <v>41.285345593513192</v>
      </c>
      <c r="P19">
        <f t="shared" si="7"/>
        <v>0.26441644034039996</v>
      </c>
      <c r="Q19">
        <f t="shared" si="8"/>
        <v>2.8989787419778899</v>
      </c>
      <c r="R19">
        <f t="shared" si="9"/>
        <v>0.25171133032969428</v>
      </c>
      <c r="S19">
        <f t="shared" si="10"/>
        <v>0.15841020051993543</v>
      </c>
      <c r="T19">
        <f t="shared" si="11"/>
        <v>255.91266002905371</v>
      </c>
      <c r="U19">
        <f t="shared" si="12"/>
        <v>25.154817110636127</v>
      </c>
      <c r="V19">
        <f t="shared" si="13"/>
        <v>24.97505</v>
      </c>
      <c r="W19">
        <f t="shared" si="14"/>
        <v>3.1749509041948079</v>
      </c>
      <c r="X19">
        <f t="shared" si="15"/>
        <v>65.192070823138067</v>
      </c>
      <c r="Y19">
        <f t="shared" si="16"/>
        <v>2.0044545652551897</v>
      </c>
      <c r="Z19">
        <f t="shared" si="17"/>
        <v>3.0746907406778763</v>
      </c>
      <c r="AA19">
        <f t="shared" si="18"/>
        <v>1.1704963389396181</v>
      </c>
      <c r="AB19">
        <f t="shared" si="19"/>
        <v>-135.75720840779852</v>
      </c>
      <c r="AC19">
        <f t="shared" si="20"/>
        <v>-83.931759146896056</v>
      </c>
      <c r="AD19">
        <f t="shared" si="21"/>
        <v>-6.1060164140345607</v>
      </c>
      <c r="AE19">
        <f t="shared" si="22"/>
        <v>30.11767606032457</v>
      </c>
      <c r="AF19">
        <f t="shared" si="23"/>
        <v>45.998810922535945</v>
      </c>
      <c r="AG19">
        <f t="shared" si="24"/>
        <v>3.0783947484761569</v>
      </c>
      <c r="AH19">
        <f t="shared" si="25"/>
        <v>45.6782961292651</v>
      </c>
      <c r="AI19">
        <v>484.98588614673292</v>
      </c>
      <c r="AJ19">
        <v>428.91373939393941</v>
      </c>
      <c r="AK19">
        <v>6.1910715478291661E-2</v>
      </c>
      <c r="AL19">
        <v>67.087133539605858</v>
      </c>
      <c r="AM19">
        <f t="shared" si="26"/>
        <v>3.1632611536748318</v>
      </c>
      <c r="AN19">
        <v>16.782636011471869</v>
      </c>
      <c r="AO19">
        <v>20.453847878787869</v>
      </c>
      <c r="AP19">
        <v>7.4733506493471066E-3</v>
      </c>
      <c r="AQ19">
        <v>78.55</v>
      </c>
      <c r="AR19">
        <v>0</v>
      </c>
      <c r="AS19">
        <v>0</v>
      </c>
      <c r="AT19">
        <f t="shared" si="27"/>
        <v>1</v>
      </c>
      <c r="AU19">
        <f t="shared" si="28"/>
        <v>0</v>
      </c>
      <c r="AV19">
        <f t="shared" si="29"/>
        <v>52408.079740997724</v>
      </c>
      <c r="AW19" t="s">
        <v>1026</v>
      </c>
      <c r="AX19">
        <v>5116.79</v>
      </c>
      <c r="AY19">
        <v>564.18235294117653</v>
      </c>
      <c r="AZ19">
        <v>2376.5100000000002</v>
      </c>
      <c r="BA19">
        <f t="shared" si="30"/>
        <v>0.76260047172485013</v>
      </c>
      <c r="BB19">
        <v>-3.9412059297963489</v>
      </c>
      <c r="BC19" t="s">
        <v>1035</v>
      </c>
      <c r="BD19">
        <v>5095.82</v>
      </c>
      <c r="BE19">
        <v>831.88194117647049</v>
      </c>
      <c r="BF19">
        <v>1048.18</v>
      </c>
      <c r="BG19">
        <f t="shared" si="31"/>
        <v>0.20635583470733043</v>
      </c>
      <c r="BH19">
        <v>0.5</v>
      </c>
      <c r="BI19">
        <f t="shared" si="32"/>
        <v>1344.2767598077996</v>
      </c>
      <c r="BJ19">
        <f t="shared" si="33"/>
        <v>45.998810922535945</v>
      </c>
      <c r="BK19">
        <f t="shared" si="34"/>
        <v>138.69967642390202</v>
      </c>
      <c r="BL19">
        <f t="shared" si="35"/>
        <v>3.7150100593476419E-2</v>
      </c>
      <c r="BM19">
        <f t="shared" si="36"/>
        <v>1.2672727966570627</v>
      </c>
      <c r="BN19">
        <f t="shared" si="37"/>
        <v>433.70286236032632</v>
      </c>
      <c r="BO19" t="s">
        <v>407</v>
      </c>
      <c r="BP19">
        <v>0</v>
      </c>
      <c r="BQ19">
        <f t="shared" si="38"/>
        <v>433.70286236032632</v>
      </c>
      <c r="BR19">
        <f t="shared" si="39"/>
        <v>0.58623245782181854</v>
      </c>
      <c r="BS19">
        <f t="shared" si="40"/>
        <v>0.35200342791331912</v>
      </c>
      <c r="BT19">
        <f t="shared" si="41"/>
        <v>0.68371686219651995</v>
      </c>
      <c r="BU19">
        <f t="shared" si="42"/>
        <v>0.44689898832760522</v>
      </c>
      <c r="BV19">
        <f t="shared" si="43"/>
        <v>0.73294142047422284</v>
      </c>
      <c r="BW19">
        <f t="shared" si="44"/>
        <v>0.18351750012838405</v>
      </c>
      <c r="BX19">
        <f t="shared" si="45"/>
        <v>0.81648249987161592</v>
      </c>
      <c r="DG19">
        <f t="shared" si="46"/>
        <v>1599.987333333333</v>
      </c>
      <c r="DH19">
        <f t="shared" si="47"/>
        <v>1344.2767598077996</v>
      </c>
      <c r="DI19">
        <f t="shared" si="48"/>
        <v>0.84017962630191656</v>
      </c>
      <c r="DJ19">
        <f t="shared" si="49"/>
        <v>0.1599466787626988</v>
      </c>
      <c r="DK19">
        <v>6</v>
      </c>
      <c r="DL19">
        <v>0.5</v>
      </c>
      <c r="DM19" t="s">
        <v>408</v>
      </c>
      <c r="DN19">
        <v>2</v>
      </c>
      <c r="DO19" t="b">
        <v>0</v>
      </c>
      <c r="DP19">
        <v>1783441050.75</v>
      </c>
      <c r="DQ19">
        <v>420.00290000000012</v>
      </c>
      <c r="DR19">
        <v>476.74616666666668</v>
      </c>
      <c r="DS19">
        <v>20.391660000000002</v>
      </c>
      <c r="DT19">
        <v>16.773350000000001</v>
      </c>
      <c r="DU19">
        <v>425.79140000000012</v>
      </c>
      <c r="DV19">
        <v>20.677173333333339</v>
      </c>
      <c r="DW19">
        <v>500.0601666666667</v>
      </c>
      <c r="DX19">
        <v>98.241323333333327</v>
      </c>
      <c r="DY19">
        <v>5.6439833333333328E-2</v>
      </c>
      <c r="DZ19">
        <v>24.43802333333333</v>
      </c>
      <c r="EA19">
        <v>24.97505</v>
      </c>
      <c r="EB19">
        <v>999.9000000000002</v>
      </c>
      <c r="EC19">
        <v>0</v>
      </c>
      <c r="ED19">
        <v>0</v>
      </c>
      <c r="EE19">
        <v>10002.66666666667</v>
      </c>
      <c r="EF19">
        <v>0</v>
      </c>
      <c r="EG19">
        <v>2020.779666666667</v>
      </c>
      <c r="EH19">
        <v>-56.743189999999998</v>
      </c>
      <c r="EI19">
        <v>428.74583333333339</v>
      </c>
      <c r="EJ19">
        <v>484.87916666666661</v>
      </c>
      <c r="EK19">
        <v>3.6183160000000001</v>
      </c>
      <c r="EL19">
        <v>476.74616666666668</v>
      </c>
      <c r="EM19">
        <v>16.773350000000001</v>
      </c>
      <c r="EN19">
        <v>2.003304</v>
      </c>
      <c r="EO19">
        <v>1.6478353333333331</v>
      </c>
      <c r="EP19">
        <v>17.470456666666671</v>
      </c>
      <c r="EQ19">
        <v>14.41356</v>
      </c>
      <c r="ER19">
        <v>1599.987333333333</v>
      </c>
      <c r="ES19">
        <v>0.99399153333333357</v>
      </c>
      <c r="ET19">
        <v>6.0082706666666659E-3</v>
      </c>
      <c r="EU19">
        <v>0</v>
      </c>
      <c r="EV19">
        <v>831.9817333333333</v>
      </c>
      <c r="EW19">
        <v>5.0010700000000003</v>
      </c>
      <c r="EX19">
        <v>19773.91333333333</v>
      </c>
      <c r="EY19">
        <v>14578.34</v>
      </c>
      <c r="EZ19">
        <v>41.811999999999983</v>
      </c>
      <c r="FA19">
        <v>44.061999999999983</v>
      </c>
      <c r="FB19">
        <v>42.807866666666641</v>
      </c>
      <c r="FC19">
        <v>43.470599999999997</v>
      </c>
      <c r="FD19">
        <v>42.875</v>
      </c>
      <c r="FE19">
        <v>1585.4073333333331</v>
      </c>
      <c r="FF19">
        <v>9.58</v>
      </c>
      <c r="FG19">
        <v>0</v>
      </c>
      <c r="FH19">
        <v>181.20000004768369</v>
      </c>
      <c r="FI19">
        <v>0</v>
      </c>
      <c r="FJ19">
        <v>831.88194117647049</v>
      </c>
      <c r="FK19">
        <v>-3.0174019368822069</v>
      </c>
      <c r="FL19">
        <v>-1302.2303982872811</v>
      </c>
      <c r="FM19">
        <v>19738.123529411769</v>
      </c>
      <c r="FN19">
        <v>10</v>
      </c>
      <c r="FO19">
        <v>1783440954.5</v>
      </c>
      <c r="FP19" t="s">
        <v>1036</v>
      </c>
      <c r="FQ19">
        <v>1783440953</v>
      </c>
      <c r="FR19">
        <v>1783440954.5</v>
      </c>
      <c r="FS19">
        <v>17</v>
      </c>
      <c r="FT19">
        <v>-2.8000000000000001E-2</v>
      </c>
      <c r="FU19">
        <v>-1.0999999999999999E-2</v>
      </c>
      <c r="FV19">
        <v>-5.7880000000000003</v>
      </c>
      <c r="FW19">
        <v>-0.38400000000000001</v>
      </c>
      <c r="FX19">
        <v>476</v>
      </c>
      <c r="FY19">
        <v>16</v>
      </c>
      <c r="FZ19">
        <v>0.14000000000000001</v>
      </c>
      <c r="GA19">
        <v>0.06</v>
      </c>
      <c r="GB19">
        <v>420.00173333333339</v>
      </c>
      <c r="GC19">
        <v>6.0280311457781233E-2</v>
      </c>
      <c r="GD19">
        <v>6.1611651134794297E-2</v>
      </c>
      <c r="GE19">
        <v>-1</v>
      </c>
      <c r="GF19">
        <v>832.13182352941192</v>
      </c>
      <c r="GG19">
        <v>-2.1824293358260558</v>
      </c>
      <c r="GH19">
        <v>0.28255540535164192</v>
      </c>
      <c r="GI19">
        <v>1</v>
      </c>
      <c r="GJ19">
        <v>3.606904249999999</v>
      </c>
      <c r="GK19">
        <v>0.15125999999999129</v>
      </c>
      <c r="GL19">
        <v>1.537732663493559E-2</v>
      </c>
      <c r="GM19">
        <v>1</v>
      </c>
      <c r="GN19">
        <v>2</v>
      </c>
      <c r="GO19">
        <v>2</v>
      </c>
      <c r="GP19" t="s">
        <v>423</v>
      </c>
      <c r="GQ19">
        <v>3.12981</v>
      </c>
      <c r="GR19">
        <v>2.73326</v>
      </c>
      <c r="GS19">
        <v>9.1550300000000001E-2</v>
      </c>
      <c r="GT19">
        <v>0.100395</v>
      </c>
      <c r="GU19">
        <v>0.10102</v>
      </c>
      <c r="GV19">
        <v>8.6894399999999997E-2</v>
      </c>
      <c r="GW19">
        <v>22747.4</v>
      </c>
      <c r="GX19">
        <v>30222.799999999999</v>
      </c>
      <c r="GY19">
        <v>27169.8</v>
      </c>
      <c r="GZ19">
        <v>34558.300000000003</v>
      </c>
      <c r="HA19">
        <v>35783.9</v>
      </c>
      <c r="HB19">
        <v>40096.9</v>
      </c>
      <c r="HC19">
        <v>40126.6</v>
      </c>
      <c r="HD19">
        <v>43990.7</v>
      </c>
      <c r="HE19">
        <v>1.9516</v>
      </c>
      <c r="HF19">
        <v>1.7307999999999999</v>
      </c>
      <c r="HG19">
        <v>-0.119656</v>
      </c>
      <c r="HH19">
        <v>0</v>
      </c>
      <c r="HI19">
        <v>26.926500000000001</v>
      </c>
      <c r="HJ19">
        <v>999.9</v>
      </c>
      <c r="HK19">
        <v>55.9</v>
      </c>
      <c r="HL19">
        <v>39.200000000000003</v>
      </c>
      <c r="HM19">
        <v>40.4114</v>
      </c>
      <c r="HN19">
        <v>61.441499999999998</v>
      </c>
      <c r="HO19">
        <v>6.3181099999999999</v>
      </c>
      <c r="HP19">
        <v>1</v>
      </c>
      <c r="HQ19">
        <v>0.70426800000000001</v>
      </c>
      <c r="HR19">
        <v>7.5514999999999999</v>
      </c>
      <c r="HS19">
        <v>20.114899999999999</v>
      </c>
      <c r="HT19">
        <v>5.2088999999999999</v>
      </c>
      <c r="HU19">
        <v>11.914099999999999</v>
      </c>
      <c r="HV19">
        <v>4.9847999999999999</v>
      </c>
      <c r="HW19">
        <v>3.2709999999999999</v>
      </c>
      <c r="HX19">
        <v>9999</v>
      </c>
      <c r="HY19">
        <v>9999</v>
      </c>
      <c r="HZ19">
        <v>9999</v>
      </c>
      <c r="IA19">
        <v>999.9</v>
      </c>
      <c r="IB19">
        <v>1.86737</v>
      </c>
      <c r="IC19">
        <v>1.8629500000000001</v>
      </c>
      <c r="ID19">
        <v>1.86249</v>
      </c>
      <c r="IE19">
        <v>1.8620300000000001</v>
      </c>
      <c r="IF19">
        <v>1.8620300000000001</v>
      </c>
      <c r="IG19">
        <v>1.8626400000000001</v>
      </c>
      <c r="IH19">
        <v>1.8635299999999999</v>
      </c>
      <c r="II19">
        <v>1.86148</v>
      </c>
      <c r="IJ19">
        <v>0</v>
      </c>
      <c r="IK19">
        <v>0</v>
      </c>
      <c r="IL19">
        <v>0</v>
      </c>
      <c r="IM19">
        <v>4.5</v>
      </c>
      <c r="IN19" t="s">
        <v>411</v>
      </c>
      <c r="IO19" t="s">
        <v>412</v>
      </c>
      <c r="IP19" t="s">
        <v>413</v>
      </c>
      <c r="IQ19" t="s">
        <v>414</v>
      </c>
      <c r="IR19" t="s">
        <v>414</v>
      </c>
      <c r="IS19" t="s">
        <v>413</v>
      </c>
      <c r="IT19">
        <v>0</v>
      </c>
      <c r="IU19">
        <v>100</v>
      </c>
      <c r="IV19">
        <v>100</v>
      </c>
      <c r="IW19">
        <v>-5.7889999999999997</v>
      </c>
      <c r="IX19">
        <v>-0.28370000000000001</v>
      </c>
      <c r="IY19">
        <v>-5.7883333333333553</v>
      </c>
      <c r="IZ19">
        <v>0</v>
      </c>
      <c r="JA19">
        <v>0</v>
      </c>
      <c r="JB19">
        <v>0</v>
      </c>
      <c r="JC19">
        <v>-0.58911478668344008</v>
      </c>
      <c r="JD19">
        <v>2.7492919904454862E-4</v>
      </c>
      <c r="JE19">
        <v>8.6739513355948885E-4</v>
      </c>
      <c r="JF19">
        <v>-8.2500691715147318E-6</v>
      </c>
      <c r="JG19">
        <v>-1</v>
      </c>
      <c r="JH19">
        <v>-1</v>
      </c>
      <c r="JI19">
        <v>2</v>
      </c>
      <c r="JJ19">
        <v>37</v>
      </c>
      <c r="JK19">
        <v>1.8</v>
      </c>
      <c r="JL19">
        <v>1.7</v>
      </c>
      <c r="JM19">
        <v>1.2048300000000001</v>
      </c>
      <c r="JN19">
        <v>2.5390600000000001</v>
      </c>
      <c r="JO19">
        <v>1.50024</v>
      </c>
      <c r="JP19">
        <v>2.2729499999999998</v>
      </c>
      <c r="JQ19">
        <v>1.4477500000000001</v>
      </c>
      <c r="JR19">
        <v>2.3815900000000001</v>
      </c>
      <c r="JS19">
        <v>43.6447</v>
      </c>
      <c r="JT19">
        <v>14.5261</v>
      </c>
      <c r="JU19">
        <v>18</v>
      </c>
      <c r="JV19">
        <v>544.93399999999997</v>
      </c>
      <c r="JW19">
        <v>414.5</v>
      </c>
      <c r="JX19">
        <v>18.647500000000001</v>
      </c>
      <c r="JY19">
        <v>35.461599999999997</v>
      </c>
      <c r="JZ19">
        <v>29.996600000000001</v>
      </c>
      <c r="KA19">
        <v>35.178199999999997</v>
      </c>
      <c r="KB19">
        <v>35.098399999999998</v>
      </c>
      <c r="KC19">
        <v>24.0871</v>
      </c>
      <c r="KD19">
        <v>56.845799999999997</v>
      </c>
      <c r="KE19">
        <v>0</v>
      </c>
      <c r="KF19">
        <v>18.9498</v>
      </c>
      <c r="KG19">
        <v>476.53699999999998</v>
      </c>
      <c r="KH19">
        <v>16.601900000000001</v>
      </c>
      <c r="KI19">
        <v>100.282</v>
      </c>
      <c r="KJ19">
        <v>98.831400000000002</v>
      </c>
    </row>
    <row r="20" spans="1:296" x14ac:dyDescent="0.3">
      <c r="A20">
        <v>4</v>
      </c>
      <c r="B20">
        <v>1783441241</v>
      </c>
      <c r="C20">
        <v>571.5</v>
      </c>
      <c r="D20" t="s">
        <v>1037</v>
      </c>
      <c r="E20" t="s">
        <v>1038</v>
      </c>
      <c r="F20">
        <v>15</v>
      </c>
      <c r="H20">
        <v>1783441233.25</v>
      </c>
      <c r="I20">
        <f t="shared" si="0"/>
        <v>3.268844747292686E-3</v>
      </c>
      <c r="J20">
        <f t="shared" si="1"/>
        <v>3.268844747292686</v>
      </c>
      <c r="K20">
        <f t="shared" si="2"/>
        <v>44.316139937076578</v>
      </c>
      <c r="L20">
        <f t="shared" si="3"/>
        <v>420.02379999999988</v>
      </c>
      <c r="M20">
        <f t="shared" si="4"/>
        <v>147.77489366941214</v>
      </c>
      <c r="N20">
        <f t="shared" si="5"/>
        <v>14.526815205654305</v>
      </c>
      <c r="O20">
        <f t="shared" si="6"/>
        <v>41.289883369678719</v>
      </c>
      <c r="P20">
        <f t="shared" si="7"/>
        <v>0.27798775342922377</v>
      </c>
      <c r="Q20">
        <f t="shared" si="8"/>
        <v>2.8983429809780157</v>
      </c>
      <c r="R20">
        <f t="shared" si="9"/>
        <v>0.26397918327506054</v>
      </c>
      <c r="S20">
        <f t="shared" si="10"/>
        <v>0.16618675694806176</v>
      </c>
      <c r="T20">
        <f t="shared" si="11"/>
        <v>224.00600796810102</v>
      </c>
      <c r="U20">
        <f t="shared" si="12"/>
        <v>24.916879146661756</v>
      </c>
      <c r="V20">
        <f t="shared" si="13"/>
        <v>24.997146666666669</v>
      </c>
      <c r="W20">
        <f t="shared" si="14"/>
        <v>3.1791367252428424</v>
      </c>
      <c r="X20">
        <f t="shared" si="15"/>
        <v>64.838611082386237</v>
      </c>
      <c r="Y20">
        <f t="shared" si="16"/>
        <v>1.9938744463442524</v>
      </c>
      <c r="Z20">
        <f t="shared" si="17"/>
        <v>3.0751344192286365</v>
      </c>
      <c r="AA20">
        <f t="shared" si="18"/>
        <v>1.18526227889859</v>
      </c>
      <c r="AB20">
        <f t="shared" si="19"/>
        <v>-144.15605335560744</v>
      </c>
      <c r="AC20">
        <f t="shared" si="20"/>
        <v>-86.989501768488608</v>
      </c>
      <c r="AD20">
        <f t="shared" si="21"/>
        <v>-6.3306366746214913</v>
      </c>
      <c r="AE20">
        <f t="shared" si="22"/>
        <v>-13.470183830616534</v>
      </c>
      <c r="AF20">
        <f t="shared" si="23"/>
        <v>44.316139937076578</v>
      </c>
      <c r="AG20">
        <f t="shared" si="24"/>
        <v>3.268844747292686</v>
      </c>
      <c r="AH20">
        <f t="shared" si="25"/>
        <v>44.492220409109827</v>
      </c>
      <c r="AI20">
        <v>482.738817326</v>
      </c>
      <c r="AJ20">
        <v>428.63399999999979</v>
      </c>
      <c r="AK20">
        <v>-3.355585909245077E-2</v>
      </c>
      <c r="AL20">
        <v>67.085815810548056</v>
      </c>
      <c r="AM20">
        <f t="shared" si="26"/>
        <v>3.2740896835725373</v>
      </c>
      <c r="AN20">
        <v>16.443734598354979</v>
      </c>
      <c r="AO20">
        <v>20.29129151515151</v>
      </c>
      <c r="AP20">
        <v>2.670703090013299E-4</v>
      </c>
      <c r="AQ20">
        <v>78.55</v>
      </c>
      <c r="AR20">
        <v>0</v>
      </c>
      <c r="AS20">
        <v>0</v>
      </c>
      <c r="AT20">
        <f t="shared" si="27"/>
        <v>1</v>
      </c>
      <c r="AU20">
        <f t="shared" si="28"/>
        <v>0</v>
      </c>
      <c r="AV20">
        <f t="shared" si="29"/>
        <v>52389.447028887778</v>
      </c>
      <c r="AW20" t="s">
        <v>1026</v>
      </c>
      <c r="AX20">
        <v>5116.79</v>
      </c>
      <c r="AY20">
        <v>564.18235294117653</v>
      </c>
      <c r="AZ20">
        <v>2376.5100000000002</v>
      </c>
      <c r="BA20">
        <f t="shared" si="30"/>
        <v>0.76260047172485013</v>
      </c>
      <c r="BB20">
        <v>-3.9412059297963489</v>
      </c>
      <c r="BC20" t="s">
        <v>1039</v>
      </c>
      <c r="BD20">
        <v>5096.21</v>
      </c>
      <c r="BE20">
        <v>823.57470588235299</v>
      </c>
      <c r="BF20">
        <v>1087.75</v>
      </c>
      <c r="BG20">
        <f t="shared" si="31"/>
        <v>0.24286397988292074</v>
      </c>
      <c r="BH20">
        <v>0.5</v>
      </c>
      <c r="BI20">
        <f t="shared" si="32"/>
        <v>1176.2975597762177</v>
      </c>
      <c r="BJ20">
        <f t="shared" si="33"/>
        <v>44.316139937076578</v>
      </c>
      <c r="BK20">
        <f t="shared" si="34"/>
        <v>142.84015344691005</v>
      </c>
      <c r="BL20">
        <f t="shared" si="35"/>
        <v>4.1024777672796962E-2</v>
      </c>
      <c r="BM20">
        <f t="shared" si="36"/>
        <v>1.1847943001608827</v>
      </c>
      <c r="BN20">
        <f t="shared" si="37"/>
        <v>440.33070747606945</v>
      </c>
      <c r="BO20" t="s">
        <v>407</v>
      </c>
      <c r="BP20">
        <v>0</v>
      </c>
      <c r="BQ20">
        <f t="shared" si="38"/>
        <v>440.33070747606945</v>
      </c>
      <c r="BR20">
        <f t="shared" si="39"/>
        <v>0.59519125950257923</v>
      </c>
      <c r="BS20">
        <f t="shared" si="40"/>
        <v>0.40804359271990998</v>
      </c>
      <c r="BT20">
        <f t="shared" si="41"/>
        <v>0.66562017524731454</v>
      </c>
      <c r="BU20">
        <f t="shared" si="42"/>
        <v>0.50456764393611697</v>
      </c>
      <c r="BV20">
        <f t="shared" si="43"/>
        <v>0.7111076201323161</v>
      </c>
      <c r="BW20">
        <f t="shared" si="44"/>
        <v>0.21816372282941557</v>
      </c>
      <c r="BX20">
        <f t="shared" si="45"/>
        <v>0.78183627717058446</v>
      </c>
      <c r="DG20">
        <f t="shared" si="46"/>
        <v>1400.005666666666</v>
      </c>
      <c r="DH20">
        <f t="shared" si="47"/>
        <v>1176.2975597762177</v>
      </c>
      <c r="DI20">
        <f t="shared" si="48"/>
        <v>0.84020914185077222</v>
      </c>
      <c r="DJ20">
        <f t="shared" si="49"/>
        <v>0.16000364377199031</v>
      </c>
      <c r="DK20">
        <v>6</v>
      </c>
      <c r="DL20">
        <v>0.5</v>
      </c>
      <c r="DM20" t="s">
        <v>408</v>
      </c>
      <c r="DN20">
        <v>2</v>
      </c>
      <c r="DO20" t="b">
        <v>0</v>
      </c>
      <c r="DP20">
        <v>1783441233.25</v>
      </c>
      <c r="DQ20">
        <v>420.02379999999988</v>
      </c>
      <c r="DR20">
        <v>474.85129999999998</v>
      </c>
      <c r="DS20">
        <v>20.282806666666669</v>
      </c>
      <c r="DT20">
        <v>16.439716666666669</v>
      </c>
      <c r="DU20">
        <v>425.8114333333333</v>
      </c>
      <c r="DV20">
        <v>20.570963333333331</v>
      </c>
      <c r="DW20">
        <v>499.99506666666662</v>
      </c>
      <c r="DX20">
        <v>98.246443333333346</v>
      </c>
      <c r="DY20">
        <v>5.7232243333333342E-2</v>
      </c>
      <c r="DZ20">
        <v>24.440433333333331</v>
      </c>
      <c r="EA20">
        <v>24.997146666666669</v>
      </c>
      <c r="EB20">
        <v>999.9000000000002</v>
      </c>
      <c r="EC20">
        <v>0</v>
      </c>
      <c r="ED20">
        <v>0</v>
      </c>
      <c r="EE20">
        <v>9998.5</v>
      </c>
      <c r="EF20">
        <v>0</v>
      </c>
      <c r="EG20">
        <v>2048.6363333333329</v>
      </c>
      <c r="EH20">
        <v>-54.827423333333307</v>
      </c>
      <c r="EI20">
        <v>428.71953333333329</v>
      </c>
      <c r="EJ20">
        <v>482.78820000000002</v>
      </c>
      <c r="EK20">
        <v>3.8430853333333341</v>
      </c>
      <c r="EL20">
        <v>474.85129999999998</v>
      </c>
      <c r="EM20">
        <v>16.439716666666669</v>
      </c>
      <c r="EN20">
        <v>1.9927136666666661</v>
      </c>
      <c r="EO20">
        <v>1.6151439999999999</v>
      </c>
      <c r="EP20">
        <v>17.38655</v>
      </c>
      <c r="EQ20">
        <v>14.10404333333333</v>
      </c>
      <c r="ER20">
        <v>1400.005666666666</v>
      </c>
      <c r="ES20">
        <v>0.99300220000000006</v>
      </c>
      <c r="ET20">
        <v>6.9978966666666689E-3</v>
      </c>
      <c r="EU20">
        <v>0</v>
      </c>
      <c r="EV20">
        <v>823.80643333333353</v>
      </c>
      <c r="EW20">
        <v>5.0010700000000003</v>
      </c>
      <c r="EX20">
        <v>18277.68</v>
      </c>
      <c r="EY20">
        <v>12745.57666666666</v>
      </c>
      <c r="EZ20">
        <v>41.936999999999983</v>
      </c>
      <c r="FA20">
        <v>44.476900000000001</v>
      </c>
      <c r="FB20">
        <v>43.125</v>
      </c>
      <c r="FC20">
        <v>43.897733333333314</v>
      </c>
      <c r="FD20">
        <v>43.061999999999983</v>
      </c>
      <c r="FE20">
        <v>1385.2456666666669</v>
      </c>
      <c r="FF20">
        <v>9.759999999999998</v>
      </c>
      <c r="FG20">
        <v>0</v>
      </c>
      <c r="FH20">
        <v>182</v>
      </c>
      <c r="FI20">
        <v>0</v>
      </c>
      <c r="FJ20">
        <v>823.57470588235299</v>
      </c>
      <c r="FK20">
        <v>-3.182598061192436</v>
      </c>
      <c r="FL20">
        <v>-349.77941435006551</v>
      </c>
      <c r="FM20">
        <v>18248.429411764711</v>
      </c>
      <c r="FN20">
        <v>10</v>
      </c>
      <c r="FO20">
        <v>1783441126</v>
      </c>
      <c r="FP20" t="s">
        <v>1040</v>
      </c>
      <c r="FQ20">
        <v>1783441124</v>
      </c>
      <c r="FR20">
        <v>1783441126</v>
      </c>
      <c r="FS20">
        <v>18</v>
      </c>
      <c r="FT20">
        <v>1E-3</v>
      </c>
      <c r="FU20">
        <v>0</v>
      </c>
      <c r="FV20">
        <v>-5.7880000000000003</v>
      </c>
      <c r="FW20">
        <v>-0.38500000000000001</v>
      </c>
      <c r="FX20">
        <v>476</v>
      </c>
      <c r="FY20">
        <v>16</v>
      </c>
      <c r="FZ20">
        <v>0.16</v>
      </c>
      <c r="GA20">
        <v>0.08</v>
      </c>
      <c r="GB20">
        <v>420.03083870967743</v>
      </c>
      <c r="GC20">
        <v>-0.1763225806468765</v>
      </c>
      <c r="GD20">
        <v>6.0473452866201302E-2</v>
      </c>
      <c r="GE20">
        <v>-1</v>
      </c>
      <c r="GF20">
        <v>824.02902941176478</v>
      </c>
      <c r="GG20">
        <v>-3.7269518680565539</v>
      </c>
      <c r="GH20">
        <v>0.42330203966199742</v>
      </c>
      <c r="GI20">
        <v>1</v>
      </c>
      <c r="GJ20">
        <v>3.8361117073170741</v>
      </c>
      <c r="GK20">
        <v>0.11047505226480089</v>
      </c>
      <c r="GL20">
        <v>1.203084651289241E-2</v>
      </c>
      <c r="GM20">
        <v>1</v>
      </c>
      <c r="GN20">
        <v>2</v>
      </c>
      <c r="GO20">
        <v>2</v>
      </c>
      <c r="GP20" t="s">
        <v>423</v>
      </c>
      <c r="GQ20">
        <v>3.1302500000000002</v>
      </c>
      <c r="GR20">
        <v>2.7330899999999998</v>
      </c>
      <c r="GS20">
        <v>9.1493099999999994E-2</v>
      </c>
      <c r="GT20">
        <v>0.100073</v>
      </c>
      <c r="GU20">
        <v>0.100366</v>
      </c>
      <c r="GV20">
        <v>8.5740899999999995E-2</v>
      </c>
      <c r="GW20">
        <v>22737</v>
      </c>
      <c r="GX20">
        <v>30215.9</v>
      </c>
      <c r="GY20">
        <v>27157.200000000001</v>
      </c>
      <c r="GZ20">
        <v>34540.5</v>
      </c>
      <c r="HA20">
        <v>35795.300000000003</v>
      </c>
      <c r="HB20">
        <v>40130.800000000003</v>
      </c>
      <c r="HC20">
        <v>40109</v>
      </c>
      <c r="HD20">
        <v>43972</v>
      </c>
      <c r="HE20">
        <v>1.948</v>
      </c>
      <c r="HF20">
        <v>1.724</v>
      </c>
      <c r="HG20">
        <v>-0.12502099999999999</v>
      </c>
      <c r="HH20">
        <v>0</v>
      </c>
      <c r="HI20">
        <v>27.054600000000001</v>
      </c>
      <c r="HJ20">
        <v>999.9</v>
      </c>
      <c r="HK20">
        <v>55.6</v>
      </c>
      <c r="HL20">
        <v>39.4</v>
      </c>
      <c r="HM20">
        <v>40.628999999999998</v>
      </c>
      <c r="HN20">
        <v>61.471600000000002</v>
      </c>
      <c r="HO20">
        <v>6.5584899999999999</v>
      </c>
      <c r="HP20">
        <v>1</v>
      </c>
      <c r="HQ20">
        <v>0.73434999999999995</v>
      </c>
      <c r="HR20">
        <v>8.5425500000000003</v>
      </c>
      <c r="HS20">
        <v>20.0688</v>
      </c>
      <c r="HT20">
        <v>5.2100999999999997</v>
      </c>
      <c r="HU20">
        <v>11.914099999999999</v>
      </c>
      <c r="HV20">
        <v>4.9851999999999999</v>
      </c>
      <c r="HW20">
        <v>3.2709999999999999</v>
      </c>
      <c r="HX20">
        <v>9999</v>
      </c>
      <c r="HY20">
        <v>9999</v>
      </c>
      <c r="HZ20">
        <v>9999</v>
      </c>
      <c r="IA20">
        <v>999.9</v>
      </c>
      <c r="IB20">
        <v>1.86737</v>
      </c>
      <c r="IC20">
        <v>1.8629800000000001</v>
      </c>
      <c r="ID20">
        <v>1.86249</v>
      </c>
      <c r="IE20">
        <v>1.8620300000000001</v>
      </c>
      <c r="IF20">
        <v>1.8620300000000001</v>
      </c>
      <c r="IG20">
        <v>1.8626100000000001</v>
      </c>
      <c r="IH20">
        <v>1.8635600000000001</v>
      </c>
      <c r="II20">
        <v>1.8614200000000001</v>
      </c>
      <c r="IJ20">
        <v>0</v>
      </c>
      <c r="IK20">
        <v>0</v>
      </c>
      <c r="IL20">
        <v>0</v>
      </c>
      <c r="IM20">
        <v>4.5</v>
      </c>
      <c r="IN20" t="s">
        <v>411</v>
      </c>
      <c r="IO20" t="s">
        <v>412</v>
      </c>
      <c r="IP20" t="s">
        <v>413</v>
      </c>
      <c r="IQ20" t="s">
        <v>414</v>
      </c>
      <c r="IR20" t="s">
        <v>414</v>
      </c>
      <c r="IS20" t="s">
        <v>413</v>
      </c>
      <c r="IT20">
        <v>0</v>
      </c>
      <c r="IU20">
        <v>100</v>
      </c>
      <c r="IV20">
        <v>100</v>
      </c>
      <c r="IW20">
        <v>-5.7880000000000003</v>
      </c>
      <c r="IX20">
        <v>-0.28789999999999999</v>
      </c>
      <c r="IY20">
        <v>-5.7874999999999996</v>
      </c>
      <c r="IZ20">
        <v>0</v>
      </c>
      <c r="JA20">
        <v>0</v>
      </c>
      <c r="JB20">
        <v>0</v>
      </c>
      <c r="JC20">
        <v>-0.58904735660490348</v>
      </c>
      <c r="JD20">
        <v>2.7492919904454862E-4</v>
      </c>
      <c r="JE20">
        <v>8.6739513355948885E-4</v>
      </c>
      <c r="JF20">
        <v>-8.2500691715147318E-6</v>
      </c>
      <c r="JG20">
        <v>-1</v>
      </c>
      <c r="JH20">
        <v>-1</v>
      </c>
      <c r="JI20">
        <v>2</v>
      </c>
      <c r="JJ20">
        <v>37</v>
      </c>
      <c r="JK20">
        <v>1.9</v>
      </c>
      <c r="JL20">
        <v>1.9</v>
      </c>
      <c r="JM20">
        <v>1.1999500000000001</v>
      </c>
      <c r="JN20">
        <v>2.5439500000000002</v>
      </c>
      <c r="JO20">
        <v>1.50024</v>
      </c>
      <c r="JP20">
        <v>2.2729499999999998</v>
      </c>
      <c r="JQ20">
        <v>1.4477500000000001</v>
      </c>
      <c r="JR20">
        <v>2.3290999999999999</v>
      </c>
      <c r="JS20">
        <v>44.057099999999998</v>
      </c>
      <c r="JT20">
        <v>14.438499999999999</v>
      </c>
      <c r="JU20">
        <v>18</v>
      </c>
      <c r="JV20">
        <v>544.90200000000004</v>
      </c>
      <c r="JW20">
        <v>412.197</v>
      </c>
      <c r="JX20">
        <v>19.022400000000001</v>
      </c>
      <c r="JY20">
        <v>35.808500000000002</v>
      </c>
      <c r="JZ20">
        <v>30.000900000000001</v>
      </c>
      <c r="KA20">
        <v>35.475200000000001</v>
      </c>
      <c r="KB20">
        <v>35.386899999999997</v>
      </c>
      <c r="KC20">
        <v>24.003399999999999</v>
      </c>
      <c r="KD20">
        <v>57.350900000000003</v>
      </c>
      <c r="KE20">
        <v>0</v>
      </c>
      <c r="KF20">
        <v>18.991800000000001</v>
      </c>
      <c r="KG20">
        <v>474.91899999999998</v>
      </c>
      <c r="KH20">
        <v>16.4131</v>
      </c>
      <c r="KI20">
        <v>100.23699999999999</v>
      </c>
      <c r="KJ20">
        <v>98.785399999999996</v>
      </c>
    </row>
    <row r="21" spans="1:296" x14ac:dyDescent="0.3">
      <c r="A21">
        <v>5</v>
      </c>
      <c r="B21">
        <v>1783441423.5</v>
      </c>
      <c r="C21">
        <v>754</v>
      </c>
      <c r="D21" t="s">
        <v>1041</v>
      </c>
      <c r="E21" t="s">
        <v>1042</v>
      </c>
      <c r="F21">
        <v>15</v>
      </c>
      <c r="H21">
        <v>1783441415.75</v>
      </c>
      <c r="I21">
        <f t="shared" si="0"/>
        <v>2.814766559971912E-3</v>
      </c>
      <c r="J21">
        <f t="shared" si="1"/>
        <v>2.8147665599719121</v>
      </c>
      <c r="K21">
        <f t="shared" si="2"/>
        <v>39.262634092734785</v>
      </c>
      <c r="L21">
        <f t="shared" si="3"/>
        <v>420.05223333333328</v>
      </c>
      <c r="M21">
        <f t="shared" si="4"/>
        <v>139.03471997582622</v>
      </c>
      <c r="N21">
        <f t="shared" si="5"/>
        <v>13.667974543049564</v>
      </c>
      <c r="O21">
        <f t="shared" si="6"/>
        <v>41.293737513545828</v>
      </c>
      <c r="P21">
        <f t="shared" si="7"/>
        <v>0.23686182796505886</v>
      </c>
      <c r="Q21">
        <f t="shared" si="8"/>
        <v>2.8988502578773705</v>
      </c>
      <c r="R21">
        <f t="shared" si="9"/>
        <v>0.22661112910443462</v>
      </c>
      <c r="S21">
        <f t="shared" si="10"/>
        <v>0.14251597078197017</v>
      </c>
      <c r="T21">
        <f t="shared" si="11"/>
        <v>160.17401279780182</v>
      </c>
      <c r="U21">
        <f t="shared" si="12"/>
        <v>24.739228200580968</v>
      </c>
      <c r="V21">
        <f t="shared" si="13"/>
        <v>24.99565333333333</v>
      </c>
      <c r="W21">
        <f t="shared" si="14"/>
        <v>3.1788536878993678</v>
      </c>
      <c r="X21">
        <f t="shared" si="15"/>
        <v>64.385049937989052</v>
      </c>
      <c r="Y21">
        <f t="shared" si="16"/>
        <v>1.9898802836964202</v>
      </c>
      <c r="Z21">
        <f t="shared" si="17"/>
        <v>3.0905936791427928</v>
      </c>
      <c r="AA21">
        <f t="shared" si="18"/>
        <v>1.1889734042029476</v>
      </c>
      <c r="AB21">
        <f t="shared" si="19"/>
        <v>-124.13120529476132</v>
      </c>
      <c r="AC21">
        <f t="shared" si="20"/>
        <v>-73.677449409291455</v>
      </c>
      <c r="AD21">
        <f t="shared" si="21"/>
        <v>-5.3631391316970003</v>
      </c>
      <c r="AE21">
        <f t="shared" si="22"/>
        <v>-42.997781037947959</v>
      </c>
      <c r="AF21">
        <f t="shared" si="23"/>
        <v>39.262634092734785</v>
      </c>
      <c r="AG21">
        <f t="shared" si="24"/>
        <v>2.8147665599719121</v>
      </c>
      <c r="AH21">
        <f t="shared" si="25"/>
        <v>39.012788822416603</v>
      </c>
      <c r="AI21">
        <v>476.68214490788932</v>
      </c>
      <c r="AJ21">
        <v>428.82707272727271</v>
      </c>
      <c r="AK21">
        <v>4.4055535333759818E-2</v>
      </c>
      <c r="AL21">
        <v>67.032992566661505</v>
      </c>
      <c r="AM21">
        <f t="shared" si="26"/>
        <v>2.7609264758866154</v>
      </c>
      <c r="AN21">
        <v>17.07192765766839</v>
      </c>
      <c r="AO21">
        <v>20.274072727272731</v>
      </c>
      <c r="AP21">
        <v>7.0546727839340823E-3</v>
      </c>
      <c r="AQ21">
        <v>78.059712115668177</v>
      </c>
      <c r="AR21">
        <v>0</v>
      </c>
      <c r="AS21">
        <v>0</v>
      </c>
      <c r="AT21">
        <f t="shared" si="27"/>
        <v>1</v>
      </c>
      <c r="AU21">
        <f t="shared" si="28"/>
        <v>0</v>
      </c>
      <c r="AV21">
        <f t="shared" si="29"/>
        <v>52389.359109006917</v>
      </c>
      <c r="AW21" t="s">
        <v>1026</v>
      </c>
      <c r="AX21">
        <v>5116.79</v>
      </c>
      <c r="AY21">
        <v>564.18235294117653</v>
      </c>
      <c r="AZ21">
        <v>2376.5100000000002</v>
      </c>
      <c r="BA21">
        <f t="shared" si="30"/>
        <v>0.76260047172485013</v>
      </c>
      <c r="BB21">
        <v>-3.9412059297963489</v>
      </c>
      <c r="BC21" t="s">
        <v>1043</v>
      </c>
      <c r="BD21">
        <v>5098.24</v>
      </c>
      <c r="BE21">
        <v>825.95100000000002</v>
      </c>
      <c r="BF21">
        <v>1232.5999999999999</v>
      </c>
      <c r="BG21">
        <f t="shared" si="31"/>
        <v>0.32991156904105134</v>
      </c>
      <c r="BH21">
        <v>0.5</v>
      </c>
      <c r="BI21">
        <f t="shared" si="32"/>
        <v>840.28749525274691</v>
      </c>
      <c r="BJ21">
        <f t="shared" si="33"/>
        <v>39.262634092734785</v>
      </c>
      <c r="BK21">
        <f t="shared" si="34"/>
        <v>138.61028300220437</v>
      </c>
      <c r="BL21">
        <f t="shared" si="35"/>
        <v>5.1415545591971486E-2</v>
      </c>
      <c r="BM21">
        <f t="shared" si="36"/>
        <v>0.92804640597111832</v>
      </c>
      <c r="BN21">
        <f t="shared" si="37"/>
        <v>462.32412790528718</v>
      </c>
      <c r="BO21" t="s">
        <v>407</v>
      </c>
      <c r="BP21">
        <v>0</v>
      </c>
      <c r="BQ21">
        <f t="shared" si="38"/>
        <v>462.32412790528718</v>
      </c>
      <c r="BR21">
        <f t="shared" si="39"/>
        <v>0.62491957820437505</v>
      </c>
      <c r="BS21">
        <f t="shared" si="40"/>
        <v>0.52792644133347399</v>
      </c>
      <c r="BT21">
        <f t="shared" si="41"/>
        <v>0.59759609381517798</v>
      </c>
      <c r="BU21">
        <f t="shared" si="42"/>
        <v>0.60837561932923234</v>
      </c>
      <c r="BV21">
        <f t="shared" si="43"/>
        <v>0.63118277859768912</v>
      </c>
      <c r="BW21">
        <f t="shared" si="44"/>
        <v>0.29550558276173783</v>
      </c>
      <c r="BX21">
        <f t="shared" si="45"/>
        <v>0.70449441723826212</v>
      </c>
      <c r="DG21">
        <f t="shared" si="46"/>
        <v>999.98689999999988</v>
      </c>
      <c r="DH21">
        <f t="shared" si="47"/>
        <v>840.28749525274691</v>
      </c>
      <c r="DI21">
        <f t="shared" si="48"/>
        <v>0.84029850316313848</v>
      </c>
      <c r="DJ21">
        <f t="shared" si="49"/>
        <v>0.16017611110485733</v>
      </c>
      <c r="DK21">
        <v>6</v>
      </c>
      <c r="DL21">
        <v>0.5</v>
      </c>
      <c r="DM21" t="s">
        <v>408</v>
      </c>
      <c r="DN21">
        <v>2</v>
      </c>
      <c r="DO21" t="b">
        <v>0</v>
      </c>
      <c r="DP21">
        <v>1783441415.75</v>
      </c>
      <c r="DQ21">
        <v>420.05223333333328</v>
      </c>
      <c r="DR21">
        <v>468.58510000000001</v>
      </c>
      <c r="DS21">
        <v>20.24165666666666</v>
      </c>
      <c r="DT21">
        <v>16.93238333333333</v>
      </c>
      <c r="DU21">
        <v>425.81006666666661</v>
      </c>
      <c r="DV21">
        <v>20.535783333333331</v>
      </c>
      <c r="DW21">
        <v>500.01146666666671</v>
      </c>
      <c r="DX21">
        <v>98.248819999999995</v>
      </c>
      <c r="DY21">
        <v>5.7376793333333342E-2</v>
      </c>
      <c r="DZ21">
        <v>24.524216666666671</v>
      </c>
      <c r="EA21">
        <v>24.99565333333333</v>
      </c>
      <c r="EB21">
        <v>999.9000000000002</v>
      </c>
      <c r="EC21">
        <v>0</v>
      </c>
      <c r="ED21">
        <v>0</v>
      </c>
      <c r="EE21">
        <v>10001.16666666667</v>
      </c>
      <c r="EF21">
        <v>0</v>
      </c>
      <c r="EG21">
        <v>2046.0340000000001</v>
      </c>
      <c r="EH21">
        <v>-48.53289666666668</v>
      </c>
      <c r="EI21">
        <v>428.73043333333339</v>
      </c>
      <c r="EJ21">
        <v>476.65600000000001</v>
      </c>
      <c r="EK21">
        <v>3.3092760000000001</v>
      </c>
      <c r="EL21">
        <v>468.58510000000001</v>
      </c>
      <c r="EM21">
        <v>16.93238333333333</v>
      </c>
      <c r="EN21">
        <v>1.988718</v>
      </c>
      <c r="EO21">
        <v>1.6635869999999999</v>
      </c>
      <c r="EP21">
        <v>17.354796666666669</v>
      </c>
      <c r="EQ21">
        <v>14.56051666666667</v>
      </c>
      <c r="ER21">
        <v>999.98689999999988</v>
      </c>
      <c r="ES21">
        <v>0.99000340000000009</v>
      </c>
      <c r="ET21">
        <v>9.9962060000000023E-3</v>
      </c>
      <c r="EU21">
        <v>0</v>
      </c>
      <c r="EV21">
        <v>826.00403333333338</v>
      </c>
      <c r="EW21">
        <v>5.0010700000000003</v>
      </c>
      <c r="EX21">
        <v>14690.38333333333</v>
      </c>
      <c r="EY21">
        <v>9080.1706666666669</v>
      </c>
      <c r="EZ21">
        <v>41.445399999999978</v>
      </c>
      <c r="FA21">
        <v>44.557866666666641</v>
      </c>
      <c r="FB21">
        <v>43</v>
      </c>
      <c r="FC21">
        <v>43.875</v>
      </c>
      <c r="FD21">
        <v>42.816199999999967</v>
      </c>
      <c r="FE21">
        <v>985.0383333333333</v>
      </c>
      <c r="FF21">
        <v>9.9499999999999975</v>
      </c>
      <c r="FG21">
        <v>0</v>
      </c>
      <c r="FH21">
        <v>181.60000014305109</v>
      </c>
      <c r="FI21">
        <v>0</v>
      </c>
      <c r="FJ21">
        <v>825.95100000000002</v>
      </c>
      <c r="FK21">
        <v>-2.5460784035321131</v>
      </c>
      <c r="FL21">
        <v>187.37745014525561</v>
      </c>
      <c r="FM21">
        <v>14687.74705882353</v>
      </c>
      <c r="FN21">
        <v>10</v>
      </c>
      <c r="FO21">
        <v>1783441341.5</v>
      </c>
      <c r="FP21" t="s">
        <v>601</v>
      </c>
      <c r="FQ21">
        <v>1783441331.5</v>
      </c>
      <c r="FR21">
        <v>1783441341.5</v>
      </c>
      <c r="FS21">
        <v>19</v>
      </c>
      <c r="FT21">
        <v>0.03</v>
      </c>
      <c r="FU21">
        <v>-5.0000000000000001E-3</v>
      </c>
      <c r="FV21">
        <v>-5.758</v>
      </c>
      <c r="FW21">
        <v>-0.38400000000000001</v>
      </c>
      <c r="FX21">
        <v>470</v>
      </c>
      <c r="FY21">
        <v>16</v>
      </c>
      <c r="FZ21">
        <v>0.16</v>
      </c>
      <c r="GA21">
        <v>0.06</v>
      </c>
      <c r="GB21">
        <v>420.05223333333328</v>
      </c>
      <c r="GC21">
        <v>-0.30922358175723152</v>
      </c>
      <c r="GD21">
        <v>6.9753223740717588E-2</v>
      </c>
      <c r="GE21">
        <v>-1</v>
      </c>
      <c r="GF21">
        <v>826.04135294117646</v>
      </c>
      <c r="GG21">
        <v>-1.1283422495962221</v>
      </c>
      <c r="GH21">
        <v>0.21972293815205249</v>
      </c>
      <c r="GI21">
        <v>1</v>
      </c>
      <c r="GJ21">
        <v>3.327536499999999</v>
      </c>
      <c r="GK21">
        <v>-0.70849305816136499</v>
      </c>
      <c r="GL21">
        <v>8.6405263831262041E-2</v>
      </c>
      <c r="GM21">
        <v>0</v>
      </c>
      <c r="GN21">
        <v>1</v>
      </c>
      <c r="GO21">
        <v>2</v>
      </c>
      <c r="GP21" t="s">
        <v>410</v>
      </c>
      <c r="GQ21">
        <v>3.1294300000000002</v>
      </c>
      <c r="GR21">
        <v>2.7333699999999999</v>
      </c>
      <c r="GS21">
        <v>9.1439199999999998E-2</v>
      </c>
      <c r="GT21">
        <v>9.9043599999999996E-2</v>
      </c>
      <c r="GU21">
        <v>0.10027</v>
      </c>
      <c r="GV21">
        <v>8.8196700000000003E-2</v>
      </c>
      <c r="GW21">
        <v>22731.8</v>
      </c>
      <c r="GX21">
        <v>30239.8</v>
      </c>
      <c r="GY21">
        <v>27150.2</v>
      </c>
      <c r="GZ21">
        <v>34529.300000000003</v>
      </c>
      <c r="HA21">
        <v>35790.6</v>
      </c>
      <c r="HB21">
        <v>40012.800000000003</v>
      </c>
      <c r="HC21">
        <v>40098.9</v>
      </c>
      <c r="HD21">
        <v>43960.6</v>
      </c>
      <c r="HE21">
        <v>1.9461999999999999</v>
      </c>
      <c r="HF21">
        <v>1.7208000000000001</v>
      </c>
      <c r="HG21">
        <v>-0.125915</v>
      </c>
      <c r="HH21">
        <v>0</v>
      </c>
      <c r="HI21">
        <v>27.031700000000001</v>
      </c>
      <c r="HJ21">
        <v>999.9</v>
      </c>
      <c r="HK21">
        <v>55.3</v>
      </c>
      <c r="HL21">
        <v>39.700000000000003</v>
      </c>
      <c r="HM21">
        <v>41.065899999999999</v>
      </c>
      <c r="HN21">
        <v>61.451599999999999</v>
      </c>
      <c r="HO21">
        <v>6.4984000000000002</v>
      </c>
      <c r="HP21">
        <v>1</v>
      </c>
      <c r="HQ21">
        <v>0.74581299999999995</v>
      </c>
      <c r="HR21">
        <v>8.1411999999999995</v>
      </c>
      <c r="HS21">
        <v>20.089200000000002</v>
      </c>
      <c r="HT21">
        <v>5.2112999999999996</v>
      </c>
      <c r="HU21">
        <v>11.914099999999999</v>
      </c>
      <c r="HV21">
        <v>4.9843999999999999</v>
      </c>
      <c r="HW21">
        <v>3.2706</v>
      </c>
      <c r="HX21">
        <v>9999</v>
      </c>
      <c r="HY21">
        <v>9999</v>
      </c>
      <c r="HZ21">
        <v>9999</v>
      </c>
      <c r="IA21">
        <v>999.9</v>
      </c>
      <c r="IB21">
        <v>1.86737</v>
      </c>
      <c r="IC21">
        <v>1.8629500000000001</v>
      </c>
      <c r="ID21">
        <v>1.86249</v>
      </c>
      <c r="IE21">
        <v>1.8620300000000001</v>
      </c>
      <c r="IF21">
        <v>1.8620300000000001</v>
      </c>
      <c r="IG21">
        <v>1.86252</v>
      </c>
      <c r="IH21">
        <v>1.8635600000000001</v>
      </c>
      <c r="II21">
        <v>1.86151</v>
      </c>
      <c r="IJ21">
        <v>0</v>
      </c>
      <c r="IK21">
        <v>0</v>
      </c>
      <c r="IL21">
        <v>0</v>
      </c>
      <c r="IM21">
        <v>4.5</v>
      </c>
      <c r="IN21" t="s">
        <v>411</v>
      </c>
      <c r="IO21" t="s">
        <v>412</v>
      </c>
      <c r="IP21" t="s">
        <v>413</v>
      </c>
      <c r="IQ21" t="s">
        <v>414</v>
      </c>
      <c r="IR21" t="s">
        <v>414</v>
      </c>
      <c r="IS21" t="s">
        <v>413</v>
      </c>
      <c r="IT21">
        <v>0</v>
      </c>
      <c r="IU21">
        <v>100</v>
      </c>
      <c r="IV21">
        <v>100</v>
      </c>
      <c r="IW21">
        <v>-5.758</v>
      </c>
      <c r="IX21">
        <v>-0.29320000000000002</v>
      </c>
      <c r="IY21">
        <v>-5.7578499999999622</v>
      </c>
      <c r="IZ21">
        <v>0</v>
      </c>
      <c r="JA21">
        <v>0</v>
      </c>
      <c r="JB21">
        <v>0</v>
      </c>
      <c r="JC21">
        <v>-0.59412323836369985</v>
      </c>
      <c r="JD21">
        <v>2.7492919904454862E-4</v>
      </c>
      <c r="JE21">
        <v>8.6739513355948885E-4</v>
      </c>
      <c r="JF21">
        <v>-8.2500691715147318E-6</v>
      </c>
      <c r="JG21">
        <v>-1</v>
      </c>
      <c r="JH21">
        <v>-1</v>
      </c>
      <c r="JI21">
        <v>2</v>
      </c>
      <c r="JJ21">
        <v>37</v>
      </c>
      <c r="JK21">
        <v>1.5</v>
      </c>
      <c r="JL21">
        <v>1.4</v>
      </c>
      <c r="JM21">
        <v>1.18774</v>
      </c>
      <c r="JN21">
        <v>2.5390600000000001</v>
      </c>
      <c r="JO21">
        <v>1.50024</v>
      </c>
      <c r="JP21">
        <v>2.2717299999999998</v>
      </c>
      <c r="JQ21">
        <v>1.4477500000000001</v>
      </c>
      <c r="JR21">
        <v>2.47559</v>
      </c>
      <c r="JS21">
        <v>44.417700000000004</v>
      </c>
      <c r="JT21">
        <v>14.420999999999999</v>
      </c>
      <c r="JU21">
        <v>18</v>
      </c>
      <c r="JV21">
        <v>545.33799999999997</v>
      </c>
      <c r="JW21">
        <v>411.536</v>
      </c>
      <c r="JX21">
        <v>19.340499999999999</v>
      </c>
      <c r="JY21">
        <v>35.975900000000003</v>
      </c>
      <c r="JZ21">
        <v>30</v>
      </c>
      <c r="KA21">
        <v>35.680700000000002</v>
      </c>
      <c r="KB21">
        <v>35.591000000000001</v>
      </c>
      <c r="KC21">
        <v>23.751000000000001</v>
      </c>
      <c r="KD21">
        <v>56.616599999999998</v>
      </c>
      <c r="KE21">
        <v>0</v>
      </c>
      <c r="KF21">
        <v>19.3291</v>
      </c>
      <c r="KG21">
        <v>468.61399999999998</v>
      </c>
      <c r="KH21">
        <v>16.9877</v>
      </c>
      <c r="KI21">
        <v>100.211</v>
      </c>
      <c r="KJ21">
        <v>98.757000000000005</v>
      </c>
    </row>
    <row r="22" spans="1:296" x14ac:dyDescent="0.3">
      <c r="A22">
        <v>6</v>
      </c>
      <c r="B22">
        <v>1783441606</v>
      </c>
      <c r="C22">
        <v>936.5</v>
      </c>
      <c r="D22" t="s">
        <v>1044</v>
      </c>
      <c r="E22" t="s">
        <v>1045</v>
      </c>
      <c r="F22">
        <v>15</v>
      </c>
      <c r="H22">
        <v>1783441598.25</v>
      </c>
      <c r="I22">
        <f t="shared" si="0"/>
        <v>2.4957548032386234E-3</v>
      </c>
      <c r="J22">
        <f t="shared" si="1"/>
        <v>2.4957548032386234</v>
      </c>
      <c r="K22">
        <f t="shared" si="2"/>
        <v>35.488147828772362</v>
      </c>
      <c r="L22">
        <f t="shared" si="3"/>
        <v>420.03446666666667</v>
      </c>
      <c r="M22">
        <f t="shared" si="4"/>
        <v>137.55695509235048</v>
      </c>
      <c r="N22">
        <f t="shared" si="5"/>
        <v>13.522360246138344</v>
      </c>
      <c r="O22">
        <f t="shared" si="6"/>
        <v>41.290950139511423</v>
      </c>
      <c r="P22">
        <f t="shared" si="7"/>
        <v>0.21206533137073982</v>
      </c>
      <c r="Q22">
        <f t="shared" si="8"/>
        <v>2.8986629727316715</v>
      </c>
      <c r="R22">
        <f t="shared" si="9"/>
        <v>0.20380779632365836</v>
      </c>
      <c r="S22">
        <f t="shared" si="10"/>
        <v>0.12809498838212005</v>
      </c>
      <c r="T22">
        <f t="shared" si="11"/>
        <v>128.28425516446117</v>
      </c>
      <c r="U22">
        <f t="shared" si="12"/>
        <v>24.593315395687554</v>
      </c>
      <c r="V22">
        <f t="shared" si="13"/>
        <v>24.98471</v>
      </c>
      <c r="W22">
        <f t="shared" si="14"/>
        <v>3.1767802267313767</v>
      </c>
      <c r="X22">
        <f t="shared" si="15"/>
        <v>65.018967733477396</v>
      </c>
      <c r="Y22">
        <f t="shared" si="16"/>
        <v>2.0047146207880235</v>
      </c>
      <c r="Z22">
        <f t="shared" si="17"/>
        <v>3.0832766047680926</v>
      </c>
      <c r="AA22">
        <f t="shared" si="18"/>
        <v>1.1720656059433532</v>
      </c>
      <c r="AB22">
        <f t="shared" si="19"/>
        <v>-110.0627868228233</v>
      </c>
      <c r="AC22">
        <f t="shared" si="20"/>
        <v>-78.152507273835027</v>
      </c>
      <c r="AD22">
        <f t="shared" si="21"/>
        <v>-5.6878074269950583</v>
      </c>
      <c r="AE22">
        <f t="shared" si="22"/>
        <v>-65.618846359192219</v>
      </c>
      <c r="AF22">
        <f t="shared" si="23"/>
        <v>35.488147828772362</v>
      </c>
      <c r="AG22">
        <f t="shared" si="24"/>
        <v>2.4957548032386234</v>
      </c>
      <c r="AH22">
        <f t="shared" si="25"/>
        <v>35.386386980803692</v>
      </c>
      <c r="AI22">
        <v>472.11212387173492</v>
      </c>
      <c r="AJ22">
        <v>428.84879999999998</v>
      </c>
      <c r="AK22">
        <v>8.4193391845487249E-3</v>
      </c>
      <c r="AL22">
        <v>67.032981198273092</v>
      </c>
      <c r="AM22">
        <f t="shared" si="26"/>
        <v>2.4912277469081019</v>
      </c>
      <c r="AN22">
        <v>17.463374110453781</v>
      </c>
      <c r="AO22">
        <v>20.390903636363639</v>
      </c>
      <c r="AP22">
        <v>1.6217491561670109E-4</v>
      </c>
      <c r="AQ22">
        <v>78.059596093541202</v>
      </c>
      <c r="AR22">
        <v>0</v>
      </c>
      <c r="AS22">
        <v>0</v>
      </c>
      <c r="AT22">
        <f t="shared" si="27"/>
        <v>1</v>
      </c>
      <c r="AU22">
        <f t="shared" si="28"/>
        <v>0</v>
      </c>
      <c r="AV22">
        <f t="shared" si="29"/>
        <v>52390.887132264186</v>
      </c>
      <c r="AW22" t="s">
        <v>1026</v>
      </c>
      <c r="AX22">
        <v>5116.79</v>
      </c>
      <c r="AY22">
        <v>564.18235294117653</v>
      </c>
      <c r="AZ22">
        <v>2376.5100000000002</v>
      </c>
      <c r="BA22">
        <f t="shared" si="30"/>
        <v>0.76260047172485013</v>
      </c>
      <c r="BB22">
        <v>-3.9412059297963489</v>
      </c>
      <c r="BC22" t="s">
        <v>1046</v>
      </c>
      <c r="BD22">
        <v>5100.51</v>
      </c>
      <c r="BE22">
        <v>837.50411764705882</v>
      </c>
      <c r="BF22">
        <v>1364.49</v>
      </c>
      <c r="BG22">
        <f t="shared" si="31"/>
        <v>0.38621454342130845</v>
      </c>
      <c r="BH22">
        <v>0.5</v>
      </c>
      <c r="BI22">
        <f t="shared" si="32"/>
        <v>672.3395155463528</v>
      </c>
      <c r="BJ22">
        <f t="shared" si="33"/>
        <v>35.488147828772362</v>
      </c>
      <c r="BK22">
        <f t="shared" si="34"/>
        <v>129.83364951041918</v>
      </c>
      <c r="BL22">
        <f t="shared" si="35"/>
        <v>5.8645004267714129E-2</v>
      </c>
      <c r="BM22">
        <f t="shared" si="36"/>
        <v>0.74168370600004407</v>
      </c>
      <c r="BN22">
        <f t="shared" si="37"/>
        <v>479.71615697612543</v>
      </c>
      <c r="BO22" t="s">
        <v>407</v>
      </c>
      <c r="BP22">
        <v>0</v>
      </c>
      <c r="BQ22">
        <f t="shared" si="38"/>
        <v>479.71615697612543</v>
      </c>
      <c r="BR22">
        <f t="shared" si="39"/>
        <v>0.64842823547543371</v>
      </c>
      <c r="BS22">
        <f t="shared" si="40"/>
        <v>0.59561648042382409</v>
      </c>
      <c r="BT22">
        <f t="shared" si="41"/>
        <v>0.53354243199494711</v>
      </c>
      <c r="BU22">
        <f t="shared" si="42"/>
        <v>0.65847912898201655</v>
      </c>
      <c r="BV22">
        <f t="shared" si="43"/>
        <v>0.5584089618907373</v>
      </c>
      <c r="BW22">
        <f t="shared" si="44"/>
        <v>0.34116470952202965</v>
      </c>
      <c r="BX22">
        <f t="shared" si="45"/>
        <v>0.6588352904779704</v>
      </c>
      <c r="DG22">
        <f t="shared" si="46"/>
        <v>800.03489999999988</v>
      </c>
      <c r="DH22">
        <f t="shared" si="47"/>
        <v>672.3395155463528</v>
      </c>
      <c r="DI22">
        <f t="shared" si="48"/>
        <v>0.84038773251811005</v>
      </c>
      <c r="DJ22">
        <f t="shared" si="49"/>
        <v>0.16034832375995245</v>
      </c>
      <c r="DK22">
        <v>6</v>
      </c>
      <c r="DL22">
        <v>0.5</v>
      </c>
      <c r="DM22" t="s">
        <v>408</v>
      </c>
      <c r="DN22">
        <v>2</v>
      </c>
      <c r="DO22" t="b">
        <v>0</v>
      </c>
      <c r="DP22">
        <v>1783441598.25</v>
      </c>
      <c r="DQ22">
        <v>420.03446666666667</v>
      </c>
      <c r="DR22">
        <v>463.87849999999997</v>
      </c>
      <c r="DS22">
        <v>20.393070000000009</v>
      </c>
      <c r="DT22">
        <v>17.459219999999998</v>
      </c>
      <c r="DU22">
        <v>425.82663333333329</v>
      </c>
      <c r="DV22">
        <v>20.699606666666671</v>
      </c>
      <c r="DW22">
        <v>499.99666666666673</v>
      </c>
      <c r="DX22">
        <v>98.24645666666666</v>
      </c>
      <c r="DY22">
        <v>5.7262233333333343E-2</v>
      </c>
      <c r="DZ22">
        <v>24.484606666666661</v>
      </c>
      <c r="EA22">
        <v>24.98471</v>
      </c>
      <c r="EB22">
        <v>999.9000000000002</v>
      </c>
      <c r="EC22">
        <v>0</v>
      </c>
      <c r="ED22">
        <v>0</v>
      </c>
      <c r="EE22">
        <v>10000.33333333333</v>
      </c>
      <c r="EF22">
        <v>0</v>
      </c>
      <c r="EG22">
        <v>2132.3286666666668</v>
      </c>
      <c r="EH22">
        <v>-43.844009999999997</v>
      </c>
      <c r="EI22">
        <v>428.77859999999993</v>
      </c>
      <c r="EJ22">
        <v>472.12136666666669</v>
      </c>
      <c r="EK22">
        <v>2.933838666666666</v>
      </c>
      <c r="EL22">
        <v>463.87849999999997</v>
      </c>
      <c r="EM22">
        <v>17.459219999999998</v>
      </c>
      <c r="EN22">
        <v>2.003546</v>
      </c>
      <c r="EO22">
        <v>1.7153069999999999</v>
      </c>
      <c r="EP22">
        <v>17.47238333333333</v>
      </c>
      <c r="EQ22">
        <v>15.03564666666667</v>
      </c>
      <c r="ER22">
        <v>800.03489999999988</v>
      </c>
      <c r="ES22">
        <v>0.98699449999999966</v>
      </c>
      <c r="ET22">
        <v>1.300571333333334E-2</v>
      </c>
      <c r="EU22">
        <v>0</v>
      </c>
      <c r="EV22">
        <v>837.55506666666645</v>
      </c>
      <c r="EW22">
        <v>5.0010700000000003</v>
      </c>
      <c r="EX22">
        <v>13354.396666666669</v>
      </c>
      <c r="EY22">
        <v>7246.9230000000007</v>
      </c>
      <c r="EZ22">
        <v>41.061999999999983</v>
      </c>
      <c r="FA22">
        <v>44.504133333333343</v>
      </c>
      <c r="FB22">
        <v>42.754133333333343</v>
      </c>
      <c r="FC22">
        <v>43.875</v>
      </c>
      <c r="FD22">
        <v>42.504133333333343</v>
      </c>
      <c r="FE22">
        <v>784.69499999999982</v>
      </c>
      <c r="FF22">
        <v>10.34</v>
      </c>
      <c r="FG22">
        <v>0</v>
      </c>
      <c r="FH22">
        <v>182</v>
      </c>
      <c r="FI22">
        <v>0</v>
      </c>
      <c r="FJ22">
        <v>837.50411764705882</v>
      </c>
      <c r="FK22">
        <v>0.57916667590301951</v>
      </c>
      <c r="FL22">
        <v>-179.7058825113715</v>
      </c>
      <c r="FM22">
        <v>13352.21764705882</v>
      </c>
      <c r="FN22">
        <v>10</v>
      </c>
      <c r="FO22">
        <v>1783441521</v>
      </c>
      <c r="FP22" t="s">
        <v>1047</v>
      </c>
      <c r="FQ22">
        <v>1783441521</v>
      </c>
      <c r="FR22">
        <v>1783441514</v>
      </c>
      <c r="FS22">
        <v>20</v>
      </c>
      <c r="FT22">
        <v>-3.4000000000000002E-2</v>
      </c>
      <c r="FU22">
        <v>-1.7000000000000001E-2</v>
      </c>
      <c r="FV22">
        <v>-5.7919999999999998</v>
      </c>
      <c r="FW22">
        <v>-0.38500000000000001</v>
      </c>
      <c r="FX22">
        <v>464</v>
      </c>
      <c r="FY22">
        <v>17</v>
      </c>
      <c r="FZ22">
        <v>0.18</v>
      </c>
      <c r="GA22">
        <v>0.08</v>
      </c>
      <c r="GB22">
        <v>420.03287096774193</v>
      </c>
      <c r="GC22">
        <v>0.68303225806261003</v>
      </c>
      <c r="GD22">
        <v>0.1031174532129672</v>
      </c>
      <c r="GE22">
        <v>-1</v>
      </c>
      <c r="GF22">
        <v>837.60097058823521</v>
      </c>
      <c r="GG22">
        <v>-0.87485102374100587</v>
      </c>
      <c r="GH22">
        <v>0.19915032532266219</v>
      </c>
      <c r="GI22">
        <v>1</v>
      </c>
      <c r="GJ22">
        <v>2.9398407317073172</v>
      </c>
      <c r="GK22">
        <v>-0.12075240418118929</v>
      </c>
      <c r="GL22">
        <v>1.2648470531320269E-2</v>
      </c>
      <c r="GM22">
        <v>1</v>
      </c>
      <c r="GN22">
        <v>2</v>
      </c>
      <c r="GO22">
        <v>2</v>
      </c>
      <c r="GP22" t="s">
        <v>423</v>
      </c>
      <c r="GQ22">
        <v>3.12941</v>
      </c>
      <c r="GR22">
        <v>2.73353</v>
      </c>
      <c r="GS22">
        <v>9.1447899999999999E-2</v>
      </c>
      <c r="GT22">
        <v>9.8243399999999995E-2</v>
      </c>
      <c r="GU22">
        <v>0.1007</v>
      </c>
      <c r="GV22">
        <v>8.9526800000000004E-2</v>
      </c>
      <c r="GW22">
        <v>22729</v>
      </c>
      <c r="GX22">
        <v>30262.7</v>
      </c>
      <c r="GY22">
        <v>27147.4</v>
      </c>
      <c r="GZ22">
        <v>34525.199999999997</v>
      </c>
      <c r="HA22">
        <v>35770.9</v>
      </c>
      <c r="HB22">
        <v>39950.199999999997</v>
      </c>
      <c r="HC22">
        <v>40095.599999999999</v>
      </c>
      <c r="HD22">
        <v>43955.9</v>
      </c>
      <c r="HE22">
        <v>1.9441999999999999</v>
      </c>
      <c r="HF22">
        <v>1.7178</v>
      </c>
      <c r="HG22">
        <v>-0.13619700000000001</v>
      </c>
      <c r="HH22">
        <v>0</v>
      </c>
      <c r="HI22">
        <v>27.188500000000001</v>
      </c>
      <c r="HJ22">
        <v>999.9</v>
      </c>
      <c r="HK22">
        <v>55.1</v>
      </c>
      <c r="HL22">
        <v>39.9</v>
      </c>
      <c r="HM22">
        <v>41.3551</v>
      </c>
      <c r="HN22">
        <v>61.301600000000001</v>
      </c>
      <c r="HO22">
        <v>6.5745199999999997</v>
      </c>
      <c r="HP22">
        <v>1</v>
      </c>
      <c r="HQ22">
        <v>0.75337399999999999</v>
      </c>
      <c r="HR22">
        <v>8.3406099999999999</v>
      </c>
      <c r="HS22">
        <v>20.0822</v>
      </c>
      <c r="HT22">
        <v>5.2112999999999996</v>
      </c>
      <c r="HU22">
        <v>11.914099999999999</v>
      </c>
      <c r="HV22">
        <v>4.9847999999999999</v>
      </c>
      <c r="HW22">
        <v>3.2709999999999999</v>
      </c>
      <c r="HX22">
        <v>9999</v>
      </c>
      <c r="HY22">
        <v>9999</v>
      </c>
      <c r="HZ22">
        <v>9999</v>
      </c>
      <c r="IA22">
        <v>999.9</v>
      </c>
      <c r="IB22">
        <v>1.86737</v>
      </c>
      <c r="IC22">
        <v>1.86304</v>
      </c>
      <c r="ID22">
        <v>1.86249</v>
      </c>
      <c r="IE22">
        <v>1.86206</v>
      </c>
      <c r="IF22">
        <v>1.8620300000000001</v>
      </c>
      <c r="IG22">
        <v>1.8626400000000001</v>
      </c>
      <c r="IH22">
        <v>1.8635600000000001</v>
      </c>
      <c r="II22">
        <v>1.86154</v>
      </c>
      <c r="IJ22">
        <v>0</v>
      </c>
      <c r="IK22">
        <v>0</v>
      </c>
      <c r="IL22">
        <v>0</v>
      </c>
      <c r="IM22">
        <v>4.5</v>
      </c>
      <c r="IN22" t="s">
        <v>411</v>
      </c>
      <c r="IO22" t="s">
        <v>412</v>
      </c>
      <c r="IP22" t="s">
        <v>413</v>
      </c>
      <c r="IQ22" t="s">
        <v>414</v>
      </c>
      <c r="IR22" t="s">
        <v>414</v>
      </c>
      <c r="IS22" t="s">
        <v>413</v>
      </c>
      <c r="IT22">
        <v>0</v>
      </c>
      <c r="IU22">
        <v>100</v>
      </c>
      <c r="IV22">
        <v>100</v>
      </c>
      <c r="IW22">
        <v>-5.7919999999999998</v>
      </c>
      <c r="IX22">
        <v>-0.30649999999999999</v>
      </c>
      <c r="IY22">
        <v>-5.7921000000000049</v>
      </c>
      <c r="IZ22">
        <v>0</v>
      </c>
      <c r="JA22">
        <v>0</v>
      </c>
      <c r="JB22">
        <v>0</v>
      </c>
      <c r="JC22">
        <v>-0.6107144538677366</v>
      </c>
      <c r="JD22">
        <v>2.7492919904454862E-4</v>
      </c>
      <c r="JE22">
        <v>8.6739513355948885E-4</v>
      </c>
      <c r="JF22">
        <v>-8.2500691715147318E-6</v>
      </c>
      <c r="JG22">
        <v>-1</v>
      </c>
      <c r="JH22">
        <v>-1</v>
      </c>
      <c r="JI22">
        <v>2</v>
      </c>
      <c r="JJ22">
        <v>37</v>
      </c>
      <c r="JK22">
        <v>1.4</v>
      </c>
      <c r="JL22">
        <v>1.5</v>
      </c>
      <c r="JM22">
        <v>1.17798</v>
      </c>
      <c r="JN22">
        <v>2.5402800000000001</v>
      </c>
      <c r="JO22">
        <v>1.50024</v>
      </c>
      <c r="JP22">
        <v>2.2717299999999998</v>
      </c>
      <c r="JQ22">
        <v>1.4477500000000001</v>
      </c>
      <c r="JR22">
        <v>2.4853499999999999</v>
      </c>
      <c r="JS22">
        <v>44.725299999999997</v>
      </c>
      <c r="JT22">
        <v>14.368399999999999</v>
      </c>
      <c r="JU22">
        <v>18</v>
      </c>
      <c r="JV22">
        <v>544.85299999999995</v>
      </c>
      <c r="JW22">
        <v>410.47300000000001</v>
      </c>
      <c r="JX22">
        <v>19.314399999999999</v>
      </c>
      <c r="JY22">
        <v>36.0426</v>
      </c>
      <c r="JZ22">
        <v>30.000299999999999</v>
      </c>
      <c r="KA22">
        <v>35.789000000000001</v>
      </c>
      <c r="KB22">
        <v>35.712299999999999</v>
      </c>
      <c r="KC22">
        <v>23.5532</v>
      </c>
      <c r="KD22">
        <v>56.505499999999998</v>
      </c>
      <c r="KE22">
        <v>0</v>
      </c>
      <c r="KF22">
        <v>19.485700000000001</v>
      </c>
      <c r="KG22">
        <v>463.72899999999998</v>
      </c>
      <c r="KH22">
        <v>17.4666</v>
      </c>
      <c r="KI22">
        <v>100.202</v>
      </c>
      <c r="KJ22">
        <v>98.745900000000006</v>
      </c>
    </row>
    <row r="23" spans="1:296" x14ac:dyDescent="0.3">
      <c r="A23">
        <v>7</v>
      </c>
      <c r="B23">
        <v>1783441788.5</v>
      </c>
      <c r="C23">
        <v>1119</v>
      </c>
      <c r="D23" t="s">
        <v>1048</v>
      </c>
      <c r="E23" t="s">
        <v>1049</v>
      </c>
      <c r="F23">
        <v>15</v>
      </c>
      <c r="H23">
        <v>1783441780.75</v>
      </c>
      <c r="I23">
        <f t="shared" si="0"/>
        <v>2.1544739717077412E-3</v>
      </c>
      <c r="J23">
        <f t="shared" si="1"/>
        <v>2.1544739717077412</v>
      </c>
      <c r="K23">
        <f t="shared" si="2"/>
        <v>29.780032470769051</v>
      </c>
      <c r="L23">
        <f t="shared" si="3"/>
        <v>420.03589999999991</v>
      </c>
      <c r="M23">
        <f t="shared" si="4"/>
        <v>143.7907865793959</v>
      </c>
      <c r="N23">
        <f t="shared" si="5"/>
        <v>14.134454409243144</v>
      </c>
      <c r="O23">
        <f t="shared" si="6"/>
        <v>41.289003419681784</v>
      </c>
      <c r="P23">
        <f t="shared" si="7"/>
        <v>0.1812256248872281</v>
      </c>
      <c r="Q23">
        <f t="shared" si="8"/>
        <v>2.8982250957625664</v>
      </c>
      <c r="R23">
        <f t="shared" si="9"/>
        <v>0.17515732024402583</v>
      </c>
      <c r="S23">
        <f t="shared" si="10"/>
        <v>0.11000161072495315</v>
      </c>
      <c r="T23">
        <f t="shared" si="11"/>
        <v>96.343350399417261</v>
      </c>
      <c r="U23">
        <f t="shared" si="12"/>
        <v>24.420592502175815</v>
      </c>
      <c r="V23">
        <f t="shared" si="13"/>
        <v>24.95995666666666</v>
      </c>
      <c r="W23">
        <f t="shared" si="14"/>
        <v>3.1720945094373665</v>
      </c>
      <c r="X23">
        <f t="shared" si="15"/>
        <v>64.975894842700527</v>
      </c>
      <c r="Y23">
        <f t="shared" si="16"/>
        <v>1.9947748710182762</v>
      </c>
      <c r="Z23">
        <f t="shared" si="17"/>
        <v>3.0700229305766489</v>
      </c>
      <c r="AA23">
        <f t="shared" si="18"/>
        <v>1.1773196384190903</v>
      </c>
      <c r="AB23">
        <f t="shared" si="19"/>
        <v>-95.012302152311392</v>
      </c>
      <c r="AC23">
        <f t="shared" si="20"/>
        <v>-85.516180309575319</v>
      </c>
      <c r="AD23">
        <f t="shared" si="21"/>
        <v>-6.2216319409635137</v>
      </c>
      <c r="AE23">
        <f t="shared" si="22"/>
        <v>-90.406764003432968</v>
      </c>
      <c r="AF23">
        <f t="shared" si="23"/>
        <v>29.780032470769051</v>
      </c>
      <c r="AG23">
        <f t="shared" si="24"/>
        <v>2.1544739717077412</v>
      </c>
      <c r="AH23">
        <f t="shared" si="25"/>
        <v>29.579932489061264</v>
      </c>
      <c r="AI23">
        <v>465.03052999791498</v>
      </c>
      <c r="AJ23">
        <v>428.84149090909091</v>
      </c>
      <c r="AK23">
        <v>9.8627113854782619E-3</v>
      </c>
      <c r="AL23">
        <v>67.032579426531015</v>
      </c>
      <c r="AM23">
        <f t="shared" si="26"/>
        <v>2.1407271027650125</v>
      </c>
      <c r="AN23">
        <v>17.78549297009712</v>
      </c>
      <c r="AO23">
        <v>20.301575757575751</v>
      </c>
      <c r="AP23">
        <v>8.9395841916258654E-5</v>
      </c>
      <c r="AQ23">
        <v>78.058528274155691</v>
      </c>
      <c r="AR23">
        <v>0</v>
      </c>
      <c r="AS23">
        <v>0</v>
      </c>
      <c r="AT23">
        <f t="shared" si="27"/>
        <v>1</v>
      </c>
      <c r="AU23">
        <f t="shared" si="28"/>
        <v>0</v>
      </c>
      <c r="AV23">
        <f t="shared" si="29"/>
        <v>52390.835165756325</v>
      </c>
      <c r="AW23" t="s">
        <v>1026</v>
      </c>
      <c r="AX23">
        <v>5116.79</v>
      </c>
      <c r="AY23">
        <v>564.18235294117653</v>
      </c>
      <c r="AZ23">
        <v>2376.5100000000002</v>
      </c>
      <c r="BA23">
        <f t="shared" si="30"/>
        <v>0.76260047172485013</v>
      </c>
      <c r="BB23">
        <v>-3.9412059297963489</v>
      </c>
      <c r="BC23" t="s">
        <v>1050</v>
      </c>
      <c r="BD23">
        <v>5102.26</v>
      </c>
      <c r="BE23">
        <v>854.52929411764705</v>
      </c>
      <c r="BF23">
        <v>1546.23</v>
      </c>
      <c r="BG23">
        <f t="shared" si="31"/>
        <v>0.44734658225642565</v>
      </c>
      <c r="BH23">
        <v>0.5</v>
      </c>
      <c r="BI23">
        <f t="shared" si="32"/>
        <v>504.29157608259953</v>
      </c>
      <c r="BJ23">
        <f t="shared" si="33"/>
        <v>29.780032470769051</v>
      </c>
      <c r="BK23">
        <f t="shared" si="34"/>
        <v>112.79655651062858</v>
      </c>
      <c r="BL23">
        <f t="shared" si="35"/>
        <v>6.6868533998755683E-2</v>
      </c>
      <c r="BM23">
        <f t="shared" si="36"/>
        <v>0.53697056712132096</v>
      </c>
      <c r="BN23">
        <f t="shared" si="37"/>
        <v>500.39386475167066</v>
      </c>
      <c r="BO23" t="s">
        <v>407</v>
      </c>
      <c r="BP23">
        <v>0</v>
      </c>
      <c r="BQ23">
        <f t="shared" si="38"/>
        <v>500.39386475167066</v>
      </c>
      <c r="BR23">
        <f t="shared" si="39"/>
        <v>0.67637811661158387</v>
      </c>
      <c r="BS23">
        <f t="shared" si="40"/>
        <v>0.66138535719853619</v>
      </c>
      <c r="BT23">
        <f t="shared" si="41"/>
        <v>0.44255256079341876</v>
      </c>
      <c r="BU23">
        <f t="shared" si="42"/>
        <v>0.70434536242101597</v>
      </c>
      <c r="BV23">
        <f t="shared" si="43"/>
        <v>0.45812908132116098</v>
      </c>
      <c r="BW23">
        <f t="shared" si="44"/>
        <v>0.38729295444513551</v>
      </c>
      <c r="BX23">
        <f t="shared" si="45"/>
        <v>0.61270704555486444</v>
      </c>
      <c r="DG23">
        <f t="shared" si="46"/>
        <v>599.9858999999999</v>
      </c>
      <c r="DH23">
        <f t="shared" si="47"/>
        <v>504.29157608259953</v>
      </c>
      <c r="DI23">
        <f t="shared" si="48"/>
        <v>0.8405057120218985</v>
      </c>
      <c r="DJ23">
        <f t="shared" si="49"/>
        <v>0.16057602420226422</v>
      </c>
      <c r="DK23">
        <v>6</v>
      </c>
      <c r="DL23">
        <v>0.5</v>
      </c>
      <c r="DM23" t="s">
        <v>408</v>
      </c>
      <c r="DN23">
        <v>2</v>
      </c>
      <c r="DO23" t="b">
        <v>0</v>
      </c>
      <c r="DP23">
        <v>1783441780.75</v>
      </c>
      <c r="DQ23">
        <v>420.03589999999991</v>
      </c>
      <c r="DR23">
        <v>456.85666666666663</v>
      </c>
      <c r="DS23">
        <v>20.292983333333328</v>
      </c>
      <c r="DT23">
        <v>17.760163333333331</v>
      </c>
      <c r="DU23">
        <v>425.64493333333343</v>
      </c>
      <c r="DV23">
        <v>20.606439999999999</v>
      </c>
      <c r="DW23">
        <v>500.01656666666662</v>
      </c>
      <c r="DX23">
        <v>98.241439999999997</v>
      </c>
      <c r="DY23">
        <v>5.7308796666666668E-2</v>
      </c>
      <c r="DZ23">
        <v>24.412649999999999</v>
      </c>
      <c r="EA23">
        <v>24.95995666666666</v>
      </c>
      <c r="EB23">
        <v>999.9000000000002</v>
      </c>
      <c r="EC23">
        <v>0</v>
      </c>
      <c r="ED23">
        <v>0</v>
      </c>
      <c r="EE23">
        <v>9998.3333333333339</v>
      </c>
      <c r="EF23">
        <v>0</v>
      </c>
      <c r="EG23">
        <v>2168.3310000000001</v>
      </c>
      <c r="EH23">
        <v>-36.820773333333342</v>
      </c>
      <c r="EI23">
        <v>428.73620000000011</v>
      </c>
      <c r="EJ23">
        <v>465.1173</v>
      </c>
      <c r="EK23">
        <v>2.532830333333334</v>
      </c>
      <c r="EL23">
        <v>456.85666666666663</v>
      </c>
      <c r="EM23">
        <v>17.760163333333331</v>
      </c>
      <c r="EN23">
        <v>1.9936119999999999</v>
      </c>
      <c r="EO23">
        <v>1.7447833333333329</v>
      </c>
      <c r="EP23">
        <v>17.393689999999999</v>
      </c>
      <c r="EQ23">
        <v>15.30067</v>
      </c>
      <c r="ER23">
        <v>599.9858999999999</v>
      </c>
      <c r="ES23">
        <v>0.98300059999999989</v>
      </c>
      <c r="ET23">
        <v>1.6999333333333332E-2</v>
      </c>
      <c r="EU23">
        <v>0</v>
      </c>
      <c r="EV23">
        <v>854.69533333333322</v>
      </c>
      <c r="EW23">
        <v>5.0010700000000003</v>
      </c>
      <c r="EX23">
        <v>11794.18666666667</v>
      </c>
      <c r="EY23">
        <v>5414.9863333333351</v>
      </c>
      <c r="EZ23">
        <v>40.75</v>
      </c>
      <c r="FA23">
        <v>44.686999999999983</v>
      </c>
      <c r="FB23">
        <v>42.649799999999999</v>
      </c>
      <c r="FC23">
        <v>44.024799999999992</v>
      </c>
      <c r="FD23">
        <v>42.311999999999983</v>
      </c>
      <c r="FE23">
        <v>584.87066666666658</v>
      </c>
      <c r="FF23">
        <v>10.114000000000001</v>
      </c>
      <c r="FG23">
        <v>0</v>
      </c>
      <c r="FH23">
        <v>182.20000004768369</v>
      </c>
      <c r="FI23">
        <v>0</v>
      </c>
      <c r="FJ23">
        <v>854.52929411764705</v>
      </c>
      <c r="FK23">
        <v>-2.618872544811802</v>
      </c>
      <c r="FL23">
        <v>46.249999346583451</v>
      </c>
      <c r="FM23">
        <v>11774.523529411759</v>
      </c>
      <c r="FN23">
        <v>10</v>
      </c>
      <c r="FO23">
        <v>1783441711.5</v>
      </c>
      <c r="FP23" t="s">
        <v>1051</v>
      </c>
      <c r="FQ23">
        <v>1783441704</v>
      </c>
      <c r="FR23">
        <v>1783441711.5</v>
      </c>
      <c r="FS23">
        <v>21</v>
      </c>
      <c r="FT23">
        <v>0.183</v>
      </c>
      <c r="FU23">
        <v>-5.0000000000000001E-3</v>
      </c>
      <c r="FV23">
        <v>-5.609</v>
      </c>
      <c r="FW23">
        <v>-0.38400000000000001</v>
      </c>
      <c r="FX23">
        <v>458</v>
      </c>
      <c r="FY23">
        <v>17</v>
      </c>
      <c r="FZ23">
        <v>0.17</v>
      </c>
      <c r="GA23">
        <v>0.08</v>
      </c>
      <c r="GB23">
        <v>420.03589999999991</v>
      </c>
      <c r="GC23">
        <v>0.501063403781561</v>
      </c>
      <c r="GD23">
        <v>8.8951053956658019E-2</v>
      </c>
      <c r="GE23">
        <v>-1</v>
      </c>
      <c r="GF23">
        <v>854.87397058823535</v>
      </c>
      <c r="GG23">
        <v>-3.7282047399152809</v>
      </c>
      <c r="GH23">
        <v>0.41185359229693191</v>
      </c>
      <c r="GI23">
        <v>1</v>
      </c>
      <c r="GJ23">
        <v>2.5574425000000001</v>
      </c>
      <c r="GK23">
        <v>-0.47991332082551941</v>
      </c>
      <c r="GL23">
        <v>5.1727218113387832E-2</v>
      </c>
      <c r="GM23">
        <v>1</v>
      </c>
      <c r="GN23">
        <v>2</v>
      </c>
      <c r="GO23">
        <v>2</v>
      </c>
      <c r="GP23" t="s">
        <v>423</v>
      </c>
      <c r="GQ23">
        <v>3.1299600000000001</v>
      </c>
      <c r="GR23">
        <v>2.7334299999999998</v>
      </c>
      <c r="GS23">
        <v>9.13775E-2</v>
      </c>
      <c r="GT23">
        <v>9.7092600000000001E-2</v>
      </c>
      <c r="GU23">
        <v>0.10034999999999999</v>
      </c>
      <c r="GV23">
        <v>9.0676999999999994E-2</v>
      </c>
      <c r="GW23">
        <v>22722.2</v>
      </c>
      <c r="GX23">
        <v>30288.7</v>
      </c>
      <c r="GY23">
        <v>27138.2</v>
      </c>
      <c r="GZ23">
        <v>34512.300000000003</v>
      </c>
      <c r="HA23">
        <v>35774</v>
      </c>
      <c r="HB23">
        <v>39885.4</v>
      </c>
      <c r="HC23">
        <v>40082.699999999997</v>
      </c>
      <c r="HD23">
        <v>43939.8</v>
      </c>
      <c r="HE23">
        <v>1.9428000000000001</v>
      </c>
      <c r="HF23">
        <v>1.7128000000000001</v>
      </c>
      <c r="HG23">
        <v>-0.14752100000000001</v>
      </c>
      <c r="HH23">
        <v>0</v>
      </c>
      <c r="HI23">
        <v>27.3431</v>
      </c>
      <c r="HJ23">
        <v>999.9</v>
      </c>
      <c r="HK23">
        <v>55</v>
      </c>
      <c r="HL23">
        <v>40.200000000000003</v>
      </c>
      <c r="HM23">
        <v>41.948399999999999</v>
      </c>
      <c r="HN23">
        <v>61.581699999999998</v>
      </c>
      <c r="HO23">
        <v>6.3341399999999997</v>
      </c>
      <c r="HP23">
        <v>1</v>
      </c>
      <c r="HQ23">
        <v>0.77012199999999997</v>
      </c>
      <c r="HR23">
        <v>7.7714600000000003</v>
      </c>
      <c r="HS23">
        <v>20.1084</v>
      </c>
      <c r="HT23">
        <v>5.2112999999999996</v>
      </c>
      <c r="HU23">
        <v>11.914099999999999</v>
      </c>
      <c r="HV23">
        <v>4.984</v>
      </c>
      <c r="HW23">
        <v>3.2709999999999999</v>
      </c>
      <c r="HX23">
        <v>9999</v>
      </c>
      <c r="HY23">
        <v>9999</v>
      </c>
      <c r="HZ23">
        <v>9999</v>
      </c>
      <c r="IA23">
        <v>999.9</v>
      </c>
      <c r="IB23">
        <v>1.86734</v>
      </c>
      <c r="IC23">
        <v>1.86304</v>
      </c>
      <c r="ID23">
        <v>1.86249</v>
      </c>
      <c r="IE23">
        <v>1.86206</v>
      </c>
      <c r="IF23">
        <v>1.8620300000000001</v>
      </c>
      <c r="IG23">
        <v>1.8626100000000001</v>
      </c>
      <c r="IH23">
        <v>1.8635600000000001</v>
      </c>
      <c r="II23">
        <v>1.8615699999999999</v>
      </c>
      <c r="IJ23">
        <v>0</v>
      </c>
      <c r="IK23">
        <v>0</v>
      </c>
      <c r="IL23">
        <v>0</v>
      </c>
      <c r="IM23">
        <v>4.5</v>
      </c>
      <c r="IN23" t="s">
        <v>411</v>
      </c>
      <c r="IO23" t="s">
        <v>412</v>
      </c>
      <c r="IP23" t="s">
        <v>413</v>
      </c>
      <c r="IQ23" t="s">
        <v>414</v>
      </c>
      <c r="IR23" t="s">
        <v>414</v>
      </c>
      <c r="IS23" t="s">
        <v>413</v>
      </c>
      <c r="IT23">
        <v>0</v>
      </c>
      <c r="IU23">
        <v>100</v>
      </c>
      <c r="IV23">
        <v>100</v>
      </c>
      <c r="IW23">
        <v>-5.609</v>
      </c>
      <c r="IX23">
        <v>-0.31330000000000002</v>
      </c>
      <c r="IY23">
        <v>-5.6090000000000373</v>
      </c>
      <c r="IZ23">
        <v>0</v>
      </c>
      <c r="JA23">
        <v>0</v>
      </c>
      <c r="JB23">
        <v>0</v>
      </c>
      <c r="JC23">
        <v>-0.61524597938142289</v>
      </c>
      <c r="JD23">
        <v>2.7492919904454862E-4</v>
      </c>
      <c r="JE23">
        <v>8.6739513355948885E-4</v>
      </c>
      <c r="JF23">
        <v>-8.2500691715147318E-6</v>
      </c>
      <c r="JG23">
        <v>-1</v>
      </c>
      <c r="JH23">
        <v>-1</v>
      </c>
      <c r="JI23">
        <v>2</v>
      </c>
      <c r="JJ23">
        <v>37</v>
      </c>
      <c r="JK23">
        <v>1.4</v>
      </c>
      <c r="JL23">
        <v>1.3</v>
      </c>
      <c r="JM23">
        <v>1.16333</v>
      </c>
      <c r="JN23">
        <v>2.5488300000000002</v>
      </c>
      <c r="JO23">
        <v>1.50024</v>
      </c>
      <c r="JP23">
        <v>2.2717299999999998</v>
      </c>
      <c r="JQ23">
        <v>1.4477500000000001</v>
      </c>
      <c r="JR23">
        <v>2.4352999999999998</v>
      </c>
      <c r="JS23">
        <v>45.063400000000001</v>
      </c>
      <c r="JT23">
        <v>14.3422</v>
      </c>
      <c r="JU23">
        <v>18</v>
      </c>
      <c r="JV23">
        <v>545.572</v>
      </c>
      <c r="JW23">
        <v>408.75099999999998</v>
      </c>
      <c r="JX23">
        <v>19.665600000000001</v>
      </c>
      <c r="JY23">
        <v>36.271000000000001</v>
      </c>
      <c r="JZ23">
        <v>30.000599999999999</v>
      </c>
      <c r="KA23">
        <v>35.997300000000003</v>
      </c>
      <c r="KB23">
        <v>35.921900000000001</v>
      </c>
      <c r="KC23">
        <v>23.2683</v>
      </c>
      <c r="KD23">
        <v>56.093499999999999</v>
      </c>
      <c r="KE23">
        <v>0</v>
      </c>
      <c r="KF23">
        <v>19.6844</v>
      </c>
      <c r="KG23">
        <v>456.774</v>
      </c>
      <c r="KH23">
        <v>17.8125</v>
      </c>
      <c r="KI23">
        <v>100.169</v>
      </c>
      <c r="KJ23">
        <v>98.709500000000006</v>
      </c>
    </row>
    <row r="24" spans="1:296" x14ac:dyDescent="0.3">
      <c r="A24">
        <v>8</v>
      </c>
      <c r="B24">
        <v>1783441971</v>
      </c>
      <c r="C24">
        <v>1301.5</v>
      </c>
      <c r="D24" t="s">
        <v>1052</v>
      </c>
      <c r="E24" t="s">
        <v>1053</v>
      </c>
      <c r="F24">
        <v>15</v>
      </c>
      <c r="H24">
        <v>1783441963</v>
      </c>
      <c r="I24">
        <f t="shared" si="0"/>
        <v>1.5755161524545307E-3</v>
      </c>
      <c r="J24">
        <f t="shared" si="1"/>
        <v>1.5755161524545307</v>
      </c>
      <c r="K24">
        <f t="shared" si="2"/>
        <v>19.97335981519652</v>
      </c>
      <c r="L24">
        <f t="shared" si="3"/>
        <v>420.5960967741936</v>
      </c>
      <c r="M24">
        <f t="shared" si="4"/>
        <v>169.25238852707284</v>
      </c>
      <c r="N24">
        <f t="shared" si="5"/>
        <v>16.637031017606301</v>
      </c>
      <c r="O24">
        <f t="shared" si="6"/>
        <v>41.343406546945808</v>
      </c>
      <c r="P24">
        <f t="shared" si="7"/>
        <v>0.13293781269211583</v>
      </c>
      <c r="Q24">
        <f t="shared" si="8"/>
        <v>2.8983745494741302</v>
      </c>
      <c r="R24">
        <f t="shared" si="9"/>
        <v>0.12964099168746307</v>
      </c>
      <c r="S24">
        <f t="shared" si="10"/>
        <v>8.1315016261112788E-2</v>
      </c>
      <c r="T24">
        <f t="shared" si="11"/>
        <v>64.413537893030863</v>
      </c>
      <c r="U24">
        <f t="shared" si="12"/>
        <v>24.349376782210644</v>
      </c>
      <c r="V24">
        <f t="shared" si="13"/>
        <v>24.8703</v>
      </c>
      <c r="W24">
        <f t="shared" si="14"/>
        <v>3.1551733408302201</v>
      </c>
      <c r="X24">
        <f t="shared" si="15"/>
        <v>65.009192034205725</v>
      </c>
      <c r="Y24">
        <f t="shared" si="16"/>
        <v>1.9918517053238742</v>
      </c>
      <c r="Z24">
        <f t="shared" si="17"/>
        <v>3.0639539471215498</v>
      </c>
      <c r="AA24">
        <f t="shared" si="18"/>
        <v>1.1633216355063458</v>
      </c>
      <c r="AB24">
        <f t="shared" si="19"/>
        <v>-69.480262323244801</v>
      </c>
      <c r="AC24">
        <f t="shared" si="20"/>
        <v>-76.673880520460472</v>
      </c>
      <c r="AD24">
        <f t="shared" si="21"/>
        <v>-5.5745840354282645</v>
      </c>
      <c r="AE24">
        <f t="shared" si="22"/>
        <v>-87.315188986102669</v>
      </c>
      <c r="AF24">
        <f t="shared" si="23"/>
        <v>19.97335981519652</v>
      </c>
      <c r="AG24">
        <f t="shared" si="24"/>
        <v>1.5755161524545307</v>
      </c>
      <c r="AH24">
        <f t="shared" si="25"/>
        <v>19.677607471038616</v>
      </c>
      <c r="AI24">
        <v>453.50937946215458</v>
      </c>
      <c r="AJ24">
        <v>429.42799999999988</v>
      </c>
      <c r="AK24">
        <v>4.4598261313640074E-3</v>
      </c>
      <c r="AL24">
        <v>67.031666242519563</v>
      </c>
      <c r="AM24">
        <f t="shared" si="26"/>
        <v>1.5439233681184485</v>
      </c>
      <c r="AN24">
        <v>18.461405372153749</v>
      </c>
      <c r="AO24">
        <v>20.27497878787878</v>
      </c>
      <c r="AP24">
        <v>2.7290601866123679E-4</v>
      </c>
      <c r="AQ24">
        <v>78.056308900690254</v>
      </c>
      <c r="AR24">
        <v>0</v>
      </c>
      <c r="AS24">
        <v>0</v>
      </c>
      <c r="AT24">
        <f t="shared" si="27"/>
        <v>1</v>
      </c>
      <c r="AU24">
        <f t="shared" si="28"/>
        <v>0</v>
      </c>
      <c r="AV24">
        <f t="shared" si="29"/>
        <v>52400.927889995728</v>
      </c>
      <c r="AW24" t="s">
        <v>1026</v>
      </c>
      <c r="AX24">
        <v>5116.79</v>
      </c>
      <c r="AY24">
        <v>564.18235294117653</v>
      </c>
      <c r="AZ24">
        <v>2376.5100000000002</v>
      </c>
      <c r="BA24">
        <f t="shared" si="30"/>
        <v>0.76260047172485013</v>
      </c>
      <c r="BB24">
        <v>-3.9412059297963489</v>
      </c>
      <c r="BC24" t="s">
        <v>1054</v>
      </c>
      <c r="BD24">
        <v>5105.6899999999996</v>
      </c>
      <c r="BE24">
        <v>866.81058823529418</v>
      </c>
      <c r="BF24">
        <v>1740.39</v>
      </c>
      <c r="BG24">
        <f t="shared" si="31"/>
        <v>0.50194462836761056</v>
      </c>
      <c r="BH24">
        <v>0.5</v>
      </c>
      <c r="BI24">
        <f t="shared" si="32"/>
        <v>336.30308176306141</v>
      </c>
      <c r="BJ24">
        <f t="shared" si="33"/>
        <v>19.97335981519652</v>
      </c>
      <c r="BK24">
        <f t="shared" si="34"/>
        <v>84.402762697221007</v>
      </c>
      <c r="BL24">
        <f t="shared" si="35"/>
        <v>7.1110159382487048E-2</v>
      </c>
      <c r="BM24">
        <f t="shared" si="36"/>
        <v>0.36550428352265873</v>
      </c>
      <c r="BN24">
        <f t="shared" si="37"/>
        <v>519.13658849256672</v>
      </c>
      <c r="BO24" t="s">
        <v>407</v>
      </c>
      <c r="BP24">
        <v>0</v>
      </c>
      <c r="BQ24">
        <f t="shared" si="38"/>
        <v>519.13658849256672</v>
      </c>
      <c r="BR24">
        <f t="shared" si="39"/>
        <v>0.70171249634129895</v>
      </c>
      <c r="BS24">
        <f t="shared" si="40"/>
        <v>0.71531379444534615</v>
      </c>
      <c r="BT24">
        <f t="shared" si="41"/>
        <v>0.34248363633230261</v>
      </c>
      <c r="BU24">
        <f t="shared" si="42"/>
        <v>0.74270849534871042</v>
      </c>
      <c r="BV24">
        <f t="shared" si="43"/>
        <v>0.35099613529172918</v>
      </c>
      <c r="BW24">
        <f t="shared" si="44"/>
        <v>0.42840450727077301</v>
      </c>
      <c r="BX24">
        <f t="shared" si="45"/>
        <v>0.57159549272922705</v>
      </c>
      <c r="DG24">
        <f t="shared" si="46"/>
        <v>400.00780645161302</v>
      </c>
      <c r="DH24">
        <f t="shared" si="47"/>
        <v>336.30308176306141</v>
      </c>
      <c r="DI24">
        <f t="shared" si="48"/>
        <v>0.8407412963920301</v>
      </c>
      <c r="DJ24">
        <f t="shared" si="49"/>
        <v>0.16103070203661801</v>
      </c>
      <c r="DK24">
        <v>6</v>
      </c>
      <c r="DL24">
        <v>0.5</v>
      </c>
      <c r="DM24" t="s">
        <v>408</v>
      </c>
      <c r="DN24">
        <v>2</v>
      </c>
      <c r="DO24" t="b">
        <v>0</v>
      </c>
      <c r="DP24">
        <v>1783441963</v>
      </c>
      <c r="DQ24">
        <v>420.5960967741936</v>
      </c>
      <c r="DR24">
        <v>445.3609677419355</v>
      </c>
      <c r="DS24">
        <v>20.263570967741931</v>
      </c>
      <c r="DT24">
        <v>18.41113870967742</v>
      </c>
      <c r="DU24">
        <v>426.3033225806451</v>
      </c>
      <c r="DV24">
        <v>20.585961290322579</v>
      </c>
      <c r="DW24">
        <v>499.96664516129027</v>
      </c>
      <c r="DX24">
        <v>98.239822580645153</v>
      </c>
      <c r="DY24">
        <v>5.7348658064516132E-2</v>
      </c>
      <c r="DZ24">
        <v>24.37960967741936</v>
      </c>
      <c r="EA24">
        <v>24.8703</v>
      </c>
      <c r="EB24">
        <v>999.90000000000032</v>
      </c>
      <c r="EC24">
        <v>0</v>
      </c>
      <c r="ED24">
        <v>0</v>
      </c>
      <c r="EE24">
        <v>9999.354838709678</v>
      </c>
      <c r="EF24">
        <v>0</v>
      </c>
      <c r="EG24">
        <v>1505.3519354838711</v>
      </c>
      <c r="EH24">
        <v>-24.764903225806449</v>
      </c>
      <c r="EI24">
        <v>429.2951612903226</v>
      </c>
      <c r="EJ24">
        <v>453.71435483870971</v>
      </c>
      <c r="EK24">
        <v>1.852428709677419</v>
      </c>
      <c r="EL24">
        <v>445.3609677419355</v>
      </c>
      <c r="EM24">
        <v>18.41113870967742</v>
      </c>
      <c r="EN24">
        <v>1.990689677419355</v>
      </c>
      <c r="EO24">
        <v>1.808707741935484</v>
      </c>
      <c r="EP24">
        <v>17.37048064516129</v>
      </c>
      <c r="EQ24">
        <v>15.862164516129029</v>
      </c>
      <c r="ER24">
        <v>400.00780645161302</v>
      </c>
      <c r="ES24">
        <v>0.97498080645161267</v>
      </c>
      <c r="ET24">
        <v>2.501938064516129E-2</v>
      </c>
      <c r="EU24">
        <v>0</v>
      </c>
      <c r="EV24">
        <v>867.66554838709692</v>
      </c>
      <c r="EW24">
        <v>5.0010700000000003</v>
      </c>
      <c r="EX24">
        <v>8195.4322580645185</v>
      </c>
      <c r="EY24">
        <v>3583.717741935483</v>
      </c>
      <c r="EZ24">
        <v>40.17499999999999</v>
      </c>
      <c r="FA24">
        <v>44.451290322580633</v>
      </c>
      <c r="FB24">
        <v>42.255935483870957</v>
      </c>
      <c r="FC24">
        <v>43.963419354838678</v>
      </c>
      <c r="FD24">
        <v>41.943096774193521</v>
      </c>
      <c r="FE24">
        <v>385.12451612903209</v>
      </c>
      <c r="FF24">
        <v>9.8841935483870973</v>
      </c>
      <c r="FG24">
        <v>0</v>
      </c>
      <c r="FH24">
        <v>181.79999995231631</v>
      </c>
      <c r="FI24">
        <v>0</v>
      </c>
      <c r="FJ24">
        <v>866.81058823529418</v>
      </c>
      <c r="FK24">
        <v>-17.034558856056691</v>
      </c>
      <c r="FL24">
        <v>14539.637230161959</v>
      </c>
      <c r="FM24">
        <v>8856.3858823529408</v>
      </c>
      <c r="FN24">
        <v>10</v>
      </c>
      <c r="FO24">
        <v>1783441894.5</v>
      </c>
      <c r="FP24" t="s">
        <v>1055</v>
      </c>
      <c r="FQ24">
        <v>1783441889</v>
      </c>
      <c r="FR24">
        <v>1783441894.5</v>
      </c>
      <c r="FS24">
        <v>22</v>
      </c>
      <c r="FT24">
        <v>-9.8000000000000004E-2</v>
      </c>
      <c r="FU24">
        <v>-8.0000000000000002E-3</v>
      </c>
      <c r="FV24">
        <v>-5.7069999999999999</v>
      </c>
      <c r="FW24">
        <v>-0.38200000000000001</v>
      </c>
      <c r="FX24">
        <v>448</v>
      </c>
      <c r="FY24">
        <v>18</v>
      </c>
      <c r="FZ24">
        <v>0.3</v>
      </c>
      <c r="GA24">
        <v>0.11</v>
      </c>
      <c r="GB24">
        <v>420.57806451612907</v>
      </c>
      <c r="GC24">
        <v>1.165403225805447</v>
      </c>
      <c r="GD24">
        <v>0.10503975759863091</v>
      </c>
      <c r="GE24">
        <v>-1</v>
      </c>
      <c r="GF24">
        <v>868.41932352941171</v>
      </c>
      <c r="GG24">
        <v>-14.59845683988779</v>
      </c>
      <c r="GH24">
        <v>1.454409354961431</v>
      </c>
      <c r="GI24">
        <v>0</v>
      </c>
      <c r="GJ24">
        <v>1.8792278048780491</v>
      </c>
      <c r="GK24">
        <v>-0.55695930313588837</v>
      </c>
      <c r="GL24">
        <v>6.168088064096406E-2</v>
      </c>
      <c r="GM24">
        <v>0</v>
      </c>
      <c r="GN24">
        <v>0</v>
      </c>
      <c r="GO24">
        <v>2</v>
      </c>
      <c r="GP24" t="s">
        <v>440</v>
      </c>
      <c r="GQ24">
        <v>3.1301000000000001</v>
      </c>
      <c r="GR24">
        <v>2.7319800000000001</v>
      </c>
      <c r="GS24">
        <v>9.1475000000000001E-2</v>
      </c>
      <c r="GT24">
        <v>9.5210600000000006E-2</v>
      </c>
      <c r="GU24">
        <v>0.10025199999999999</v>
      </c>
      <c r="GV24">
        <v>9.3120900000000006E-2</v>
      </c>
      <c r="GW24">
        <v>22719</v>
      </c>
      <c r="GX24">
        <v>30351.1</v>
      </c>
      <c r="GY24">
        <v>27137.599999999999</v>
      </c>
      <c r="GZ24">
        <v>34511.9</v>
      </c>
      <c r="HA24">
        <v>35777</v>
      </c>
      <c r="HB24">
        <v>39778.199999999997</v>
      </c>
      <c r="HC24">
        <v>40081.5</v>
      </c>
      <c r="HD24">
        <v>43939.7</v>
      </c>
      <c r="HE24">
        <v>1.9416</v>
      </c>
      <c r="HF24">
        <v>1.7112000000000001</v>
      </c>
      <c r="HG24">
        <v>-0.12931200000000001</v>
      </c>
      <c r="HH24">
        <v>0</v>
      </c>
      <c r="HI24">
        <v>27.0152</v>
      </c>
      <c r="HJ24">
        <v>999.9</v>
      </c>
      <c r="HK24">
        <v>54.6</v>
      </c>
      <c r="HL24">
        <v>40.4</v>
      </c>
      <c r="HM24">
        <v>42.093400000000003</v>
      </c>
      <c r="HN24">
        <v>61.491700000000002</v>
      </c>
      <c r="HO24">
        <v>6.8028899999999997</v>
      </c>
      <c r="HP24">
        <v>1</v>
      </c>
      <c r="HQ24">
        <v>0.76365899999999998</v>
      </c>
      <c r="HR24">
        <v>6.6457699999999997</v>
      </c>
      <c r="HS24">
        <v>20.154199999999999</v>
      </c>
      <c r="HT24">
        <v>5.1957300000000002</v>
      </c>
      <c r="HU24">
        <v>11.914099999999999</v>
      </c>
      <c r="HV24">
        <v>4.9787999999999997</v>
      </c>
      <c r="HW24">
        <v>3.2679999999999998</v>
      </c>
      <c r="HX24">
        <v>9999</v>
      </c>
      <c r="HY24">
        <v>9999</v>
      </c>
      <c r="HZ24">
        <v>9999</v>
      </c>
      <c r="IA24">
        <v>999.9</v>
      </c>
      <c r="IB24">
        <v>1.86737</v>
      </c>
      <c r="IC24">
        <v>1.8631</v>
      </c>
      <c r="ID24">
        <v>1.86252</v>
      </c>
      <c r="IE24">
        <v>1.8621799999999999</v>
      </c>
      <c r="IF24">
        <v>1.86212</v>
      </c>
      <c r="IG24">
        <v>1.8626400000000001</v>
      </c>
      <c r="IH24">
        <v>1.8635600000000001</v>
      </c>
      <c r="II24">
        <v>1.8615699999999999</v>
      </c>
      <c r="IJ24">
        <v>0</v>
      </c>
      <c r="IK24">
        <v>0</v>
      </c>
      <c r="IL24">
        <v>0</v>
      </c>
      <c r="IM24">
        <v>4.5</v>
      </c>
      <c r="IN24" t="s">
        <v>411</v>
      </c>
      <c r="IO24" t="s">
        <v>412</v>
      </c>
      <c r="IP24" t="s">
        <v>413</v>
      </c>
      <c r="IQ24" t="s">
        <v>414</v>
      </c>
      <c r="IR24" t="s">
        <v>414</v>
      </c>
      <c r="IS24" t="s">
        <v>413</v>
      </c>
      <c r="IT24">
        <v>0</v>
      </c>
      <c r="IU24">
        <v>100</v>
      </c>
      <c r="IV24">
        <v>100</v>
      </c>
      <c r="IW24">
        <v>-5.7069999999999999</v>
      </c>
      <c r="IX24">
        <v>-0.3221</v>
      </c>
      <c r="IY24">
        <v>-5.70728571428549</v>
      </c>
      <c r="IZ24">
        <v>0</v>
      </c>
      <c r="JA24">
        <v>0</v>
      </c>
      <c r="JB24">
        <v>0</v>
      </c>
      <c r="JC24">
        <v>-0.62366393801541165</v>
      </c>
      <c r="JD24">
        <v>2.7492919904454862E-4</v>
      </c>
      <c r="JE24">
        <v>8.6739513355948885E-4</v>
      </c>
      <c r="JF24">
        <v>-8.2500691715147318E-6</v>
      </c>
      <c r="JG24">
        <v>-1</v>
      </c>
      <c r="JH24">
        <v>-1</v>
      </c>
      <c r="JI24">
        <v>2</v>
      </c>
      <c r="JJ24">
        <v>37</v>
      </c>
      <c r="JK24">
        <v>1.4</v>
      </c>
      <c r="JL24">
        <v>1.3</v>
      </c>
      <c r="JM24">
        <v>1.1389199999999999</v>
      </c>
      <c r="JN24">
        <v>2.5390600000000001</v>
      </c>
      <c r="JO24">
        <v>1.50024</v>
      </c>
      <c r="JP24">
        <v>2.2717299999999998</v>
      </c>
      <c r="JQ24">
        <v>1.4477500000000001</v>
      </c>
      <c r="JR24">
        <v>2.4377399999999998</v>
      </c>
      <c r="JS24">
        <v>45.318800000000003</v>
      </c>
      <c r="JT24">
        <v>14.3422</v>
      </c>
      <c r="JU24">
        <v>18</v>
      </c>
      <c r="JV24">
        <v>545.476</v>
      </c>
      <c r="JW24">
        <v>408.21300000000002</v>
      </c>
      <c r="JX24">
        <v>20.379100000000001</v>
      </c>
      <c r="JY24">
        <v>36.348799999999997</v>
      </c>
      <c r="JZ24">
        <v>29.998699999999999</v>
      </c>
      <c r="KA24">
        <v>36.0871</v>
      </c>
      <c r="KB24">
        <v>35.991199999999999</v>
      </c>
      <c r="KC24">
        <v>22.786200000000001</v>
      </c>
      <c r="KD24">
        <v>55.186199999999999</v>
      </c>
      <c r="KE24">
        <v>0</v>
      </c>
      <c r="KF24">
        <v>20.4392</v>
      </c>
      <c r="KG24">
        <v>444.53699999999998</v>
      </c>
      <c r="KH24">
        <v>18.3964</v>
      </c>
      <c r="KI24">
        <v>100.167</v>
      </c>
      <c r="KJ24">
        <v>98.708799999999997</v>
      </c>
    </row>
    <row r="25" spans="1:296" x14ac:dyDescent="0.3">
      <c r="A25">
        <v>9</v>
      </c>
      <c r="B25">
        <v>1783442153.5999999</v>
      </c>
      <c r="C25">
        <v>1484.099999904633</v>
      </c>
      <c r="D25" t="s">
        <v>1056</v>
      </c>
      <c r="E25" t="s">
        <v>1057</v>
      </c>
      <c r="F25">
        <v>15</v>
      </c>
      <c r="H25">
        <v>1783442145.849999</v>
      </c>
      <c r="I25">
        <f t="shared" si="0"/>
        <v>8.2099300005600566E-4</v>
      </c>
      <c r="J25">
        <f t="shared" si="1"/>
        <v>0.82099300005600562</v>
      </c>
      <c r="K25">
        <f t="shared" si="2"/>
        <v>13.934348914481177</v>
      </c>
      <c r="L25">
        <f t="shared" si="3"/>
        <v>420.1871666666666</v>
      </c>
      <c r="M25">
        <f t="shared" si="4"/>
        <v>85.082412061759598</v>
      </c>
      <c r="N25">
        <f t="shared" si="5"/>
        <v>8.3624651649989783</v>
      </c>
      <c r="O25">
        <f t="shared" si="6"/>
        <v>41.298788537859302</v>
      </c>
      <c r="P25">
        <f t="shared" si="7"/>
        <v>6.8277451277108603E-2</v>
      </c>
      <c r="Q25">
        <f t="shared" si="8"/>
        <v>2.8989346590826415</v>
      </c>
      <c r="R25">
        <f t="shared" si="9"/>
        <v>6.7396496620351465E-2</v>
      </c>
      <c r="S25">
        <f t="shared" si="10"/>
        <v>4.220101360481484E-2</v>
      </c>
      <c r="T25">
        <f t="shared" si="11"/>
        <v>48.445346099687839</v>
      </c>
      <c r="U25">
        <f t="shared" si="12"/>
        <v>24.755011258253884</v>
      </c>
      <c r="V25">
        <f t="shared" si="13"/>
        <v>24.959140000000001</v>
      </c>
      <c r="W25">
        <f t="shared" si="14"/>
        <v>3.1719400203394454</v>
      </c>
      <c r="X25">
        <f t="shared" si="15"/>
        <v>64.303372575897285</v>
      </c>
      <c r="Y25">
        <f t="shared" si="16"/>
        <v>2.0061962816119068</v>
      </c>
      <c r="Z25">
        <f t="shared" si="17"/>
        <v>3.1198927851630063</v>
      </c>
      <c r="AA25">
        <f t="shared" si="18"/>
        <v>1.1657437387275387</v>
      </c>
      <c r="AB25">
        <f t="shared" si="19"/>
        <v>-36.205791302469848</v>
      </c>
      <c r="AC25">
        <f t="shared" si="20"/>
        <v>-43.312438514686825</v>
      </c>
      <c r="AD25">
        <f t="shared" si="21"/>
        <v>-3.1546384814110784</v>
      </c>
      <c r="AE25">
        <f t="shared" si="22"/>
        <v>-34.22752219887991</v>
      </c>
      <c r="AF25">
        <f t="shared" si="23"/>
        <v>13.934348914481177</v>
      </c>
      <c r="AG25">
        <f t="shared" si="24"/>
        <v>0.82099300005600562</v>
      </c>
      <c r="AH25">
        <f t="shared" si="25"/>
        <v>13.935694288855654</v>
      </c>
      <c r="AI25">
        <v>446.06650801748009</v>
      </c>
      <c r="AJ25">
        <v>428.96199393939389</v>
      </c>
      <c r="AK25">
        <v>9.3475789596426818E-3</v>
      </c>
      <c r="AL25">
        <v>67.031666242519563</v>
      </c>
      <c r="AM25">
        <f t="shared" si="26"/>
        <v>0.87225172944344942</v>
      </c>
      <c r="AN25">
        <v>19.481358581145258</v>
      </c>
      <c r="AO25">
        <v>20.493250909090911</v>
      </c>
      <c r="AP25">
        <v>2.1601850078029929E-3</v>
      </c>
      <c r="AQ25">
        <v>78.056308900690254</v>
      </c>
      <c r="AR25">
        <v>0</v>
      </c>
      <c r="AS25">
        <v>0</v>
      </c>
      <c r="AT25">
        <f t="shared" si="27"/>
        <v>1</v>
      </c>
      <c r="AU25">
        <f t="shared" si="28"/>
        <v>0</v>
      </c>
      <c r="AV25">
        <f t="shared" si="29"/>
        <v>52363.623418265153</v>
      </c>
      <c r="AW25" t="s">
        <v>1026</v>
      </c>
      <c r="AX25">
        <v>5116.79</v>
      </c>
      <c r="AY25">
        <v>564.18235294117653</v>
      </c>
      <c r="AZ25">
        <v>2376.5100000000002</v>
      </c>
      <c r="BA25">
        <f t="shared" si="30"/>
        <v>0.76260047172485013</v>
      </c>
      <c r="BB25">
        <v>-3.9412059297963489</v>
      </c>
      <c r="BC25" t="s">
        <v>1058</v>
      </c>
      <c r="BD25">
        <v>5107.34</v>
      </c>
      <c r="BE25">
        <v>850.19105882352949</v>
      </c>
      <c r="BF25">
        <v>1764.89</v>
      </c>
      <c r="BG25">
        <f t="shared" si="31"/>
        <v>0.51827532660759057</v>
      </c>
      <c r="BH25">
        <v>0.5</v>
      </c>
      <c r="BI25">
        <f t="shared" si="32"/>
        <v>252.29953924336155</v>
      </c>
      <c r="BJ25">
        <f t="shared" si="33"/>
        <v>13.934348914481177</v>
      </c>
      <c r="BK25">
        <f t="shared" si="34"/>
        <v>65.380313052148907</v>
      </c>
      <c r="BL25">
        <f t="shared" si="35"/>
        <v>7.0850525125355987E-2</v>
      </c>
      <c r="BM25">
        <f t="shared" si="36"/>
        <v>0.34654851010544574</v>
      </c>
      <c r="BN25">
        <f t="shared" si="37"/>
        <v>521.29516376364654</v>
      </c>
      <c r="BO25" t="s">
        <v>407</v>
      </c>
      <c r="BP25">
        <v>0</v>
      </c>
      <c r="BQ25">
        <f t="shared" si="38"/>
        <v>521.29516376364654</v>
      </c>
      <c r="BR25">
        <f t="shared" si="39"/>
        <v>0.70463022411388443</v>
      </c>
      <c r="BS25">
        <f t="shared" si="40"/>
        <v>0.73552809526351715</v>
      </c>
      <c r="BT25">
        <f t="shared" si="41"/>
        <v>0.32967610438087286</v>
      </c>
      <c r="BU25">
        <f t="shared" si="42"/>
        <v>0.76179987977677865</v>
      </c>
      <c r="BV25">
        <f t="shared" si="43"/>
        <v>0.33747760841842328</v>
      </c>
      <c r="BW25">
        <f t="shared" si="44"/>
        <v>0.45098949805909982</v>
      </c>
      <c r="BX25">
        <f t="shared" si="45"/>
        <v>0.54901050194090018</v>
      </c>
      <c r="DG25">
        <f t="shared" si="46"/>
        <v>300.00873333333328</v>
      </c>
      <c r="DH25">
        <f t="shared" si="47"/>
        <v>252.29953924336155</v>
      </c>
      <c r="DI25">
        <f t="shared" si="48"/>
        <v>0.84097398245749377</v>
      </c>
      <c r="DJ25">
        <f t="shared" si="49"/>
        <v>0.16147978614296288</v>
      </c>
      <c r="DK25">
        <v>6</v>
      </c>
      <c r="DL25">
        <v>0.5</v>
      </c>
      <c r="DM25" t="s">
        <v>408</v>
      </c>
      <c r="DN25">
        <v>2</v>
      </c>
      <c r="DO25" t="b">
        <v>0</v>
      </c>
      <c r="DP25">
        <v>1783442145.849999</v>
      </c>
      <c r="DQ25">
        <v>420.1871666666666</v>
      </c>
      <c r="DR25">
        <v>437.32266666666669</v>
      </c>
      <c r="DS25">
        <v>20.411686666666672</v>
      </c>
      <c r="DT25">
        <v>19.446586666666668</v>
      </c>
      <c r="DU25">
        <v>425.8945333333333</v>
      </c>
      <c r="DV25">
        <v>20.777686666666671</v>
      </c>
      <c r="DW25">
        <v>499.99076666666662</v>
      </c>
      <c r="DX25">
        <v>98.230656666666661</v>
      </c>
      <c r="DY25">
        <v>5.5992269999999997E-2</v>
      </c>
      <c r="DZ25">
        <v>24.68200666666667</v>
      </c>
      <c r="EA25">
        <v>24.959140000000001</v>
      </c>
      <c r="EB25">
        <v>999.9000000000002</v>
      </c>
      <c r="EC25">
        <v>0</v>
      </c>
      <c r="ED25">
        <v>0</v>
      </c>
      <c r="EE25">
        <v>10003.5</v>
      </c>
      <c r="EF25">
        <v>0</v>
      </c>
      <c r="EG25">
        <v>454.77629999999988</v>
      </c>
      <c r="EH25">
        <v>-17.135549999999999</v>
      </c>
      <c r="EI25">
        <v>428.9638666666666</v>
      </c>
      <c r="EJ25">
        <v>445.99593333333343</v>
      </c>
      <c r="EK25">
        <v>1.0136023000000001</v>
      </c>
      <c r="EL25">
        <v>437.32266666666669</v>
      </c>
      <c r="EM25">
        <v>19.446586666666668</v>
      </c>
      <c r="EN25">
        <v>2.009818333333333</v>
      </c>
      <c r="EO25">
        <v>1.9102513333333331</v>
      </c>
      <c r="EP25">
        <v>17.521889999999999</v>
      </c>
      <c r="EQ25">
        <v>16.719373333333341</v>
      </c>
      <c r="ER25">
        <v>300.00873333333328</v>
      </c>
      <c r="ES25">
        <v>0.96697273333333311</v>
      </c>
      <c r="ET25">
        <v>3.3027360000000013E-2</v>
      </c>
      <c r="EU25">
        <v>0</v>
      </c>
      <c r="EV25">
        <v>850.56313333333321</v>
      </c>
      <c r="EW25">
        <v>5.0010700000000003</v>
      </c>
      <c r="EX25">
        <v>4452.2939999999999</v>
      </c>
      <c r="EY25">
        <v>2668.0773333333332</v>
      </c>
      <c r="EZ25">
        <v>39.233166666666648</v>
      </c>
      <c r="FA25">
        <v>43.231099999999977</v>
      </c>
      <c r="FB25">
        <v>41.358166666666648</v>
      </c>
      <c r="FC25">
        <v>42.978966666666651</v>
      </c>
      <c r="FD25">
        <v>41.120699999999992</v>
      </c>
      <c r="FE25">
        <v>285.2643333333333</v>
      </c>
      <c r="FF25">
        <v>9.740000000000002</v>
      </c>
      <c r="FG25">
        <v>0</v>
      </c>
      <c r="FH25">
        <v>182.20000004768369</v>
      </c>
      <c r="FI25">
        <v>0</v>
      </c>
      <c r="FJ25">
        <v>850.19105882352949</v>
      </c>
      <c r="FK25">
        <v>-7.6723038802728061</v>
      </c>
      <c r="FL25">
        <v>57.678921339153092</v>
      </c>
      <c r="FM25">
        <v>4454.4582352941179</v>
      </c>
      <c r="FN25">
        <v>10</v>
      </c>
      <c r="FO25">
        <v>1783442173.5999999</v>
      </c>
      <c r="FP25" t="s">
        <v>1059</v>
      </c>
      <c r="FQ25">
        <v>1783441889</v>
      </c>
      <c r="FR25">
        <v>1783442173.5999999</v>
      </c>
      <c r="FS25">
        <v>23</v>
      </c>
      <c r="FT25">
        <v>-9.8000000000000004E-2</v>
      </c>
      <c r="FU25">
        <v>-2.4E-2</v>
      </c>
      <c r="FV25">
        <v>-5.7069999999999999</v>
      </c>
      <c r="FW25">
        <v>-0.36599999999999999</v>
      </c>
      <c r="FX25">
        <v>448</v>
      </c>
      <c r="FY25">
        <v>19</v>
      </c>
      <c r="FZ25">
        <v>0.3</v>
      </c>
      <c r="GA25">
        <v>0.25</v>
      </c>
      <c r="GB25">
        <v>420.19438709677411</v>
      </c>
      <c r="GC25">
        <v>-0.76103225806569963</v>
      </c>
      <c r="GD25">
        <v>8.2377838164183717E-2</v>
      </c>
      <c r="GE25">
        <v>-1</v>
      </c>
      <c r="GF25">
        <v>850.87008823529402</v>
      </c>
      <c r="GG25">
        <v>-6.4855767801902884</v>
      </c>
      <c r="GH25">
        <v>0.66191657407717075</v>
      </c>
      <c r="GI25">
        <v>1</v>
      </c>
      <c r="GJ25">
        <v>1.024908512195122</v>
      </c>
      <c r="GK25">
        <v>-0.24625314982578</v>
      </c>
      <c r="GL25">
        <v>3.4163873607359091E-2</v>
      </c>
      <c r="GM25">
        <v>1</v>
      </c>
      <c r="GN25">
        <v>2</v>
      </c>
      <c r="GO25">
        <v>2</v>
      </c>
      <c r="GP25" t="s">
        <v>423</v>
      </c>
      <c r="GQ25">
        <v>3.1307399999999999</v>
      </c>
      <c r="GR25">
        <v>2.7323499999999998</v>
      </c>
      <c r="GS25">
        <v>9.1431899999999997E-2</v>
      </c>
      <c r="GT25">
        <v>9.4050099999999998E-2</v>
      </c>
      <c r="GU25">
        <v>0.101106</v>
      </c>
      <c r="GV25">
        <v>9.68667E-2</v>
      </c>
      <c r="GW25">
        <v>22739.7</v>
      </c>
      <c r="GX25">
        <v>30421.599999999999</v>
      </c>
      <c r="GY25">
        <v>27158.6</v>
      </c>
      <c r="GZ25">
        <v>34543.800000000003</v>
      </c>
      <c r="HA25">
        <v>35769.300000000003</v>
      </c>
      <c r="HB25">
        <v>39645.5</v>
      </c>
      <c r="HC25">
        <v>40112.800000000003</v>
      </c>
      <c r="HD25">
        <v>43975.4</v>
      </c>
      <c r="HE25">
        <v>1.9476</v>
      </c>
      <c r="HF25">
        <v>1.7198</v>
      </c>
      <c r="HG25">
        <v>-8.9555999999999997E-2</v>
      </c>
      <c r="HH25">
        <v>0</v>
      </c>
      <c r="HI25">
        <v>26.431899999999999</v>
      </c>
      <c r="HJ25">
        <v>999.9</v>
      </c>
      <c r="HK25">
        <v>53.7</v>
      </c>
      <c r="HL25">
        <v>40.6</v>
      </c>
      <c r="HM25">
        <v>41.846200000000003</v>
      </c>
      <c r="HN25">
        <v>61.158099999999997</v>
      </c>
      <c r="HO25">
        <v>6.5584899999999999</v>
      </c>
      <c r="HP25">
        <v>1</v>
      </c>
      <c r="HQ25">
        <v>0.70979700000000001</v>
      </c>
      <c r="HR25">
        <v>5.1551900000000002</v>
      </c>
      <c r="HS25">
        <v>20.206099999999999</v>
      </c>
      <c r="HT25">
        <v>5.2088999999999999</v>
      </c>
      <c r="HU25">
        <v>11.910500000000001</v>
      </c>
      <c r="HV25">
        <v>4.9832000000000001</v>
      </c>
      <c r="HW25">
        <v>3.2707999999999999</v>
      </c>
      <c r="HX25">
        <v>9999</v>
      </c>
      <c r="HY25">
        <v>9999</v>
      </c>
      <c r="HZ25">
        <v>9999</v>
      </c>
      <c r="IA25">
        <v>999.9</v>
      </c>
      <c r="IB25">
        <v>1.8673999999999999</v>
      </c>
      <c r="IC25">
        <v>1.8631</v>
      </c>
      <c r="ID25">
        <v>1.8625799999999999</v>
      </c>
      <c r="IE25">
        <v>1.86215</v>
      </c>
      <c r="IF25">
        <v>1.86215</v>
      </c>
      <c r="IG25">
        <v>1.8626400000000001</v>
      </c>
      <c r="IH25">
        <v>1.8635600000000001</v>
      </c>
      <c r="II25">
        <v>1.8615699999999999</v>
      </c>
      <c r="IJ25">
        <v>0</v>
      </c>
      <c r="IK25">
        <v>0</v>
      </c>
      <c r="IL25">
        <v>0</v>
      </c>
      <c r="IM25">
        <v>4.5</v>
      </c>
      <c r="IN25" t="s">
        <v>411</v>
      </c>
      <c r="IO25" t="s">
        <v>412</v>
      </c>
      <c r="IP25" t="s">
        <v>413</v>
      </c>
      <c r="IQ25" t="s">
        <v>414</v>
      </c>
      <c r="IR25" t="s">
        <v>414</v>
      </c>
      <c r="IS25" t="s">
        <v>413</v>
      </c>
      <c r="IT25">
        <v>0</v>
      </c>
      <c r="IU25">
        <v>100</v>
      </c>
      <c r="IV25">
        <v>100</v>
      </c>
      <c r="IW25">
        <v>-5.7080000000000002</v>
      </c>
      <c r="IX25">
        <v>-0.36599999999999999</v>
      </c>
      <c r="IY25">
        <v>-5.70728571428549</v>
      </c>
      <c r="IZ25">
        <v>0</v>
      </c>
      <c r="JA25">
        <v>0</v>
      </c>
      <c r="JB25">
        <v>0</v>
      </c>
      <c r="JC25">
        <v>-0.62366393801541165</v>
      </c>
      <c r="JD25">
        <v>2.7492919904454862E-4</v>
      </c>
      <c r="JE25">
        <v>8.6739513355948885E-4</v>
      </c>
      <c r="JF25">
        <v>-8.2500691715147318E-6</v>
      </c>
      <c r="JG25">
        <v>-1</v>
      </c>
      <c r="JH25">
        <v>-1</v>
      </c>
      <c r="JI25">
        <v>2</v>
      </c>
      <c r="JJ25">
        <v>37</v>
      </c>
      <c r="JK25">
        <v>4.4000000000000004</v>
      </c>
      <c r="JL25">
        <v>4.3</v>
      </c>
      <c r="JM25">
        <v>1.1254900000000001</v>
      </c>
      <c r="JN25">
        <v>2.5439500000000002</v>
      </c>
      <c r="JO25">
        <v>1.50024</v>
      </c>
      <c r="JP25">
        <v>2.2717299999999998</v>
      </c>
      <c r="JQ25">
        <v>1.4477500000000001</v>
      </c>
      <c r="JR25">
        <v>2.47559</v>
      </c>
      <c r="JS25">
        <v>45.120100000000001</v>
      </c>
      <c r="JT25">
        <v>14.350899999999999</v>
      </c>
      <c r="JU25">
        <v>18</v>
      </c>
      <c r="JV25">
        <v>546.49900000000002</v>
      </c>
      <c r="JW25">
        <v>411.17399999999998</v>
      </c>
      <c r="JX25">
        <v>21.566299999999998</v>
      </c>
      <c r="JY25">
        <v>35.796599999999998</v>
      </c>
      <c r="JZ25">
        <v>29.9985</v>
      </c>
      <c r="KA25">
        <v>35.706899999999997</v>
      </c>
      <c r="KB25">
        <v>35.630000000000003</v>
      </c>
      <c r="KC25">
        <v>22.511399999999998</v>
      </c>
      <c r="KD25">
        <v>52.938099999999999</v>
      </c>
      <c r="KE25">
        <v>0</v>
      </c>
      <c r="KF25">
        <v>21.5764</v>
      </c>
      <c r="KG25">
        <v>437.34699999999998</v>
      </c>
      <c r="KH25">
        <v>19.555900000000001</v>
      </c>
      <c r="KI25">
        <v>100.245</v>
      </c>
      <c r="KJ25">
        <v>98.793899999999994</v>
      </c>
    </row>
    <row r="26" spans="1:296" x14ac:dyDescent="0.3">
      <c r="A26">
        <v>10</v>
      </c>
      <c r="B26">
        <v>1783442354.5999999</v>
      </c>
      <c r="C26">
        <v>1685.099999904633</v>
      </c>
      <c r="D26" t="s">
        <v>1060</v>
      </c>
      <c r="E26" t="s">
        <v>1061</v>
      </c>
      <c r="F26">
        <v>15</v>
      </c>
      <c r="H26">
        <v>1783442346.849999</v>
      </c>
      <c r="I26">
        <f t="shared" si="0"/>
        <v>8.9578472504678883E-4</v>
      </c>
      <c r="J26">
        <f t="shared" si="1"/>
        <v>0.89578472504678885</v>
      </c>
      <c r="K26">
        <f t="shared" si="2"/>
        <v>11.233883910728469</v>
      </c>
      <c r="L26">
        <f t="shared" si="3"/>
        <v>420.07836666666662</v>
      </c>
      <c r="M26">
        <f t="shared" si="4"/>
        <v>171.09208730152437</v>
      </c>
      <c r="N26">
        <f t="shared" si="5"/>
        <v>16.816071807658673</v>
      </c>
      <c r="O26">
        <f t="shared" si="6"/>
        <v>41.28810449463549</v>
      </c>
      <c r="P26">
        <f t="shared" si="7"/>
        <v>7.479712176082004E-2</v>
      </c>
      <c r="Q26">
        <f t="shared" si="8"/>
        <v>2.8988852994258112</v>
      </c>
      <c r="R26">
        <f t="shared" si="9"/>
        <v>7.3741278747102554E-2</v>
      </c>
      <c r="S26">
        <f t="shared" si="10"/>
        <v>4.6181920832462163E-2</v>
      </c>
      <c r="T26">
        <f t="shared" si="11"/>
        <v>32.478813803622053</v>
      </c>
      <c r="U26">
        <f t="shared" si="12"/>
        <v>24.779639959898955</v>
      </c>
      <c r="V26">
        <f t="shared" si="13"/>
        <v>25.125436666666658</v>
      </c>
      <c r="W26">
        <f t="shared" si="14"/>
        <v>3.2035343977698321</v>
      </c>
      <c r="X26">
        <f t="shared" si="15"/>
        <v>64.889857387662147</v>
      </c>
      <c r="Y26">
        <f t="shared" si="16"/>
        <v>2.0414374314879256</v>
      </c>
      <c r="Z26">
        <f t="shared" si="17"/>
        <v>3.1460038805326072</v>
      </c>
      <c r="AA26">
        <f t="shared" si="18"/>
        <v>1.1620969662819065</v>
      </c>
      <c r="AB26">
        <f t="shared" si="19"/>
        <v>-39.504106374563385</v>
      </c>
      <c r="AC26">
        <f t="shared" si="20"/>
        <v>-47.4944006764023</v>
      </c>
      <c r="AD26">
        <f t="shared" si="21"/>
        <v>-3.4646197457983585</v>
      </c>
      <c r="AE26">
        <f t="shared" si="22"/>
        <v>-57.984312993141991</v>
      </c>
      <c r="AF26">
        <f t="shared" si="23"/>
        <v>11.233883910728469</v>
      </c>
      <c r="AG26">
        <f t="shared" si="24"/>
        <v>0.89578472504678885</v>
      </c>
      <c r="AH26">
        <f t="shared" si="25"/>
        <v>11.415666468322692</v>
      </c>
      <c r="AI26">
        <v>442.87787748715618</v>
      </c>
      <c r="AJ26">
        <v>428.93413333333319</v>
      </c>
      <c r="AK26">
        <v>-5.7477868501797924E-3</v>
      </c>
      <c r="AL26">
        <v>67.078717767708611</v>
      </c>
      <c r="AM26">
        <f t="shared" si="26"/>
        <v>0.8492283739230243</v>
      </c>
      <c r="AN26">
        <v>19.719214254242431</v>
      </c>
      <c r="AO26">
        <v>20.73887090909091</v>
      </c>
      <c r="AP26">
        <v>-3.4865038961054569E-3</v>
      </c>
      <c r="AQ26">
        <v>78.55</v>
      </c>
      <c r="AR26">
        <v>0</v>
      </c>
      <c r="AS26">
        <v>0</v>
      </c>
      <c r="AT26">
        <f t="shared" si="27"/>
        <v>1</v>
      </c>
      <c r="AU26">
        <f t="shared" si="28"/>
        <v>0</v>
      </c>
      <c r="AV26">
        <f t="shared" si="29"/>
        <v>52337.680612202479</v>
      </c>
      <c r="AW26" t="s">
        <v>1026</v>
      </c>
      <c r="AX26">
        <v>5116.79</v>
      </c>
      <c r="AY26">
        <v>564.18235294117653</v>
      </c>
      <c r="AZ26">
        <v>2376.5100000000002</v>
      </c>
      <c r="BA26">
        <f t="shared" si="30"/>
        <v>0.76260047172485013</v>
      </c>
      <c r="BB26">
        <v>-3.9412059297963489</v>
      </c>
      <c r="BC26" t="s">
        <v>1062</v>
      </c>
      <c r="BD26">
        <v>5111.32</v>
      </c>
      <c r="BE26">
        <v>856.40123529411767</v>
      </c>
      <c r="BF26">
        <v>2035.8</v>
      </c>
      <c r="BG26">
        <f t="shared" si="31"/>
        <v>0.57932938633749997</v>
      </c>
      <c r="BH26">
        <v>0.5</v>
      </c>
      <c r="BI26">
        <f t="shared" si="32"/>
        <v>168.26235355628089</v>
      </c>
      <c r="BJ26">
        <f t="shared" si="33"/>
        <v>11.233883910728469</v>
      </c>
      <c r="BK26">
        <f t="shared" si="34"/>
        <v>48.739663014731832</v>
      </c>
      <c r="BL26">
        <f t="shared" si="35"/>
        <v>9.0187077024623988E-2</v>
      </c>
      <c r="BM26">
        <f t="shared" si="36"/>
        <v>0.16735926908340715</v>
      </c>
      <c r="BN26">
        <f t="shared" si="37"/>
        <v>542.62337728043985</v>
      </c>
      <c r="BO26" t="s">
        <v>407</v>
      </c>
      <c r="BP26">
        <v>0</v>
      </c>
      <c r="BQ26">
        <f t="shared" si="38"/>
        <v>542.62337728043985</v>
      </c>
      <c r="BR26">
        <f t="shared" si="39"/>
        <v>0.73345938830904811</v>
      </c>
      <c r="BS26">
        <f t="shared" si="40"/>
        <v>0.7898588464088151</v>
      </c>
      <c r="BT26">
        <f t="shared" si="41"/>
        <v>0.18578574911830956</v>
      </c>
      <c r="BU26">
        <f t="shared" si="42"/>
        <v>0.80143015888877789</v>
      </c>
      <c r="BV26">
        <f t="shared" si="43"/>
        <v>0.18799580779608427</v>
      </c>
      <c r="BW26">
        <f t="shared" si="44"/>
        <v>0.500461532690327</v>
      </c>
      <c r="BX26">
        <f t="shared" si="45"/>
        <v>0.499538467309673</v>
      </c>
      <c r="DG26">
        <f t="shared" si="46"/>
        <v>199.9641</v>
      </c>
      <c r="DH26">
        <f t="shared" si="47"/>
        <v>168.26235355628089</v>
      </c>
      <c r="DI26">
        <f t="shared" si="48"/>
        <v>0.84146281035586323</v>
      </c>
      <c r="DJ26">
        <f t="shared" si="49"/>
        <v>0.16242322398681591</v>
      </c>
      <c r="DK26">
        <v>6</v>
      </c>
      <c r="DL26">
        <v>0.5</v>
      </c>
      <c r="DM26" t="s">
        <v>408</v>
      </c>
      <c r="DN26">
        <v>2</v>
      </c>
      <c r="DO26" t="b">
        <v>0</v>
      </c>
      <c r="DP26">
        <v>1783442346.849999</v>
      </c>
      <c r="DQ26">
        <v>420.07836666666662</v>
      </c>
      <c r="DR26">
        <v>434.01056666666659</v>
      </c>
      <c r="DS26">
        <v>20.770236666666669</v>
      </c>
      <c r="DT26">
        <v>19.717623333333339</v>
      </c>
      <c r="DU26">
        <v>425.64193333333333</v>
      </c>
      <c r="DV26">
        <v>21.104013333333331</v>
      </c>
      <c r="DW26">
        <v>500.0007333333333</v>
      </c>
      <c r="DX26">
        <v>98.23115</v>
      </c>
      <c r="DY26">
        <v>5.5521656666666683E-2</v>
      </c>
      <c r="DZ26">
        <v>24.821539999999999</v>
      </c>
      <c r="EA26">
        <v>25.125436666666658</v>
      </c>
      <c r="EB26">
        <v>999.9000000000002</v>
      </c>
      <c r="EC26">
        <v>0</v>
      </c>
      <c r="ED26">
        <v>0</v>
      </c>
      <c r="EE26">
        <v>10003.16666666667</v>
      </c>
      <c r="EF26">
        <v>0</v>
      </c>
      <c r="EG26">
        <v>2027.174666666667</v>
      </c>
      <c r="EH26">
        <v>-13.93213666666667</v>
      </c>
      <c r="EI26">
        <v>428.98863333333338</v>
      </c>
      <c r="EJ26">
        <v>442.74046666666658</v>
      </c>
      <c r="EK26">
        <v>1.0526163333333329</v>
      </c>
      <c r="EL26">
        <v>434.01056666666659</v>
      </c>
      <c r="EM26">
        <v>19.717623333333339</v>
      </c>
      <c r="EN26">
        <v>2.0402849999999999</v>
      </c>
      <c r="EO26">
        <v>1.936885333333334</v>
      </c>
      <c r="EP26">
        <v>17.76047333333333</v>
      </c>
      <c r="EQ26">
        <v>16.9376</v>
      </c>
      <c r="ER26">
        <v>199.9641</v>
      </c>
      <c r="ES26">
        <v>0.94999010000000006</v>
      </c>
      <c r="ET26">
        <v>5.0009596666666677E-2</v>
      </c>
      <c r="EU26">
        <v>0</v>
      </c>
      <c r="EV26">
        <v>855.96523333333346</v>
      </c>
      <c r="EW26">
        <v>5.0010700000000003</v>
      </c>
      <c r="EX26">
        <v>7520.1679999999988</v>
      </c>
      <c r="EY26">
        <v>1751.499333333333</v>
      </c>
      <c r="EZ26">
        <v>38.339299999999987</v>
      </c>
      <c r="FA26">
        <v>42.434933333333312</v>
      </c>
      <c r="FB26">
        <v>40.476899999999993</v>
      </c>
      <c r="FC26">
        <v>42.125</v>
      </c>
      <c r="FD26">
        <v>40.311999999999983</v>
      </c>
      <c r="FE26">
        <v>185.21299999999999</v>
      </c>
      <c r="FF26">
        <v>9.7503333333333337</v>
      </c>
      <c r="FG26">
        <v>0</v>
      </c>
      <c r="FH26">
        <v>200.4000000953674</v>
      </c>
      <c r="FI26">
        <v>0</v>
      </c>
      <c r="FJ26">
        <v>856.40123529411767</v>
      </c>
      <c r="FK26">
        <v>7.7223039363593129</v>
      </c>
      <c r="FL26">
        <v>-27239.012182036058</v>
      </c>
      <c r="FM26">
        <v>6939.7470588235292</v>
      </c>
      <c r="FN26">
        <v>10</v>
      </c>
      <c r="FO26">
        <v>1783442243.5999999</v>
      </c>
      <c r="FP26" t="s">
        <v>1063</v>
      </c>
      <c r="FQ26">
        <v>1783442243.5999999</v>
      </c>
      <c r="FR26">
        <v>1783442241.5999999</v>
      </c>
      <c r="FS26">
        <v>24</v>
      </c>
      <c r="FT26">
        <v>0.14399999999999999</v>
      </c>
      <c r="FU26">
        <v>0</v>
      </c>
      <c r="FV26">
        <v>-5.5629999999999997</v>
      </c>
      <c r="FW26">
        <v>-0.35899999999999999</v>
      </c>
      <c r="FX26">
        <v>436</v>
      </c>
      <c r="FY26">
        <v>20</v>
      </c>
      <c r="FZ26">
        <v>0.55000000000000004</v>
      </c>
      <c r="GA26">
        <v>0.3</v>
      </c>
      <c r="GB26">
        <v>420.08019999999999</v>
      </c>
      <c r="GC26">
        <v>-0.1268075639592382</v>
      </c>
      <c r="GD26">
        <v>5.3064363434105102E-2</v>
      </c>
      <c r="GE26">
        <v>-1</v>
      </c>
      <c r="GF26">
        <v>855.50991176470586</v>
      </c>
      <c r="GG26">
        <v>8.3098395693352298</v>
      </c>
      <c r="GH26">
        <v>0.84928625284609416</v>
      </c>
      <c r="GI26">
        <v>1</v>
      </c>
      <c r="GJ26">
        <v>1.06756775</v>
      </c>
      <c r="GK26">
        <v>-0.2544140712945604</v>
      </c>
      <c r="GL26">
        <v>2.4849271265723259E-2</v>
      </c>
      <c r="GM26">
        <v>1</v>
      </c>
      <c r="GN26">
        <v>2</v>
      </c>
      <c r="GO26">
        <v>2</v>
      </c>
      <c r="GP26" t="s">
        <v>423</v>
      </c>
      <c r="GQ26">
        <v>3.1309100000000001</v>
      </c>
      <c r="GR26">
        <v>2.7316799999999999</v>
      </c>
      <c r="GS26">
        <v>9.1541499999999998E-2</v>
      </c>
      <c r="GT26">
        <v>9.3575699999999998E-2</v>
      </c>
      <c r="GU26">
        <v>0.102156</v>
      </c>
      <c r="GV26">
        <v>9.7862400000000002E-2</v>
      </c>
      <c r="GW26">
        <v>22756.799999999999</v>
      </c>
      <c r="GX26">
        <v>30469.9</v>
      </c>
      <c r="GY26">
        <v>27179.200000000001</v>
      </c>
      <c r="GZ26">
        <v>34575.9</v>
      </c>
      <c r="HA26">
        <v>35751.199999999997</v>
      </c>
      <c r="HB26">
        <v>39630.1</v>
      </c>
      <c r="HC26">
        <v>40141.800000000003</v>
      </c>
      <c r="HD26">
        <v>44007.9</v>
      </c>
      <c r="HE26">
        <v>1.9528000000000001</v>
      </c>
      <c r="HF26">
        <v>1.7283999999999999</v>
      </c>
      <c r="HG26">
        <v>-9.1791200000000003E-2</v>
      </c>
      <c r="HH26">
        <v>0</v>
      </c>
      <c r="HI26">
        <v>26.638400000000001</v>
      </c>
      <c r="HJ26">
        <v>999.9</v>
      </c>
      <c r="HK26">
        <v>53.1</v>
      </c>
      <c r="HL26">
        <v>40.700000000000003</v>
      </c>
      <c r="HM26">
        <v>41.5961</v>
      </c>
      <c r="HN26">
        <v>61.308199999999999</v>
      </c>
      <c r="HO26">
        <v>6.5745199999999997</v>
      </c>
      <c r="HP26">
        <v>1</v>
      </c>
      <c r="HQ26">
        <v>0.67270300000000005</v>
      </c>
      <c r="HR26">
        <v>7.69937</v>
      </c>
      <c r="HS26">
        <v>20.112400000000001</v>
      </c>
      <c r="HT26">
        <v>5.2112999999999996</v>
      </c>
      <c r="HU26">
        <v>11.914099999999999</v>
      </c>
      <c r="HV26">
        <v>4.9843999999999999</v>
      </c>
      <c r="HW26">
        <v>3.2709999999999999</v>
      </c>
      <c r="HX26">
        <v>9999</v>
      </c>
      <c r="HY26">
        <v>9999</v>
      </c>
      <c r="HZ26">
        <v>9999</v>
      </c>
      <c r="IA26">
        <v>999.9</v>
      </c>
      <c r="IB26">
        <v>1.86737</v>
      </c>
      <c r="IC26">
        <v>1.86304</v>
      </c>
      <c r="ID26">
        <v>1.86249</v>
      </c>
      <c r="IE26">
        <v>1.8620300000000001</v>
      </c>
      <c r="IF26">
        <v>1.86209</v>
      </c>
      <c r="IG26">
        <v>1.8626400000000001</v>
      </c>
      <c r="IH26">
        <v>1.8635600000000001</v>
      </c>
      <c r="II26">
        <v>1.86151</v>
      </c>
      <c r="IJ26">
        <v>0</v>
      </c>
      <c r="IK26">
        <v>0</v>
      </c>
      <c r="IL26">
        <v>0</v>
      </c>
      <c r="IM26">
        <v>4.5</v>
      </c>
      <c r="IN26" t="s">
        <v>411</v>
      </c>
      <c r="IO26" t="s">
        <v>412</v>
      </c>
      <c r="IP26" t="s">
        <v>413</v>
      </c>
      <c r="IQ26" t="s">
        <v>414</v>
      </c>
      <c r="IR26" t="s">
        <v>414</v>
      </c>
      <c r="IS26" t="s">
        <v>413</v>
      </c>
      <c r="IT26">
        <v>0</v>
      </c>
      <c r="IU26">
        <v>100</v>
      </c>
      <c r="IV26">
        <v>100</v>
      </c>
      <c r="IW26">
        <v>-5.5629999999999997</v>
      </c>
      <c r="IX26">
        <v>-0.33450000000000002</v>
      </c>
      <c r="IY26">
        <v>-5.5634499999999889</v>
      </c>
      <c r="IZ26">
        <v>0</v>
      </c>
      <c r="JA26">
        <v>0</v>
      </c>
      <c r="JB26">
        <v>0</v>
      </c>
      <c r="JC26">
        <v>-0.64834230278887595</v>
      </c>
      <c r="JD26">
        <v>2.7492919904454862E-4</v>
      </c>
      <c r="JE26">
        <v>8.6739513355948885E-4</v>
      </c>
      <c r="JF26">
        <v>-8.2500691715147318E-6</v>
      </c>
      <c r="JG26">
        <v>-1</v>
      </c>
      <c r="JH26">
        <v>-1</v>
      </c>
      <c r="JI26">
        <v>2</v>
      </c>
      <c r="JJ26">
        <v>37</v>
      </c>
      <c r="JK26">
        <v>1.9</v>
      </c>
      <c r="JL26">
        <v>1.9</v>
      </c>
      <c r="JM26">
        <v>1.11938</v>
      </c>
      <c r="JN26">
        <v>2.5415000000000001</v>
      </c>
      <c r="JO26">
        <v>1.50024</v>
      </c>
      <c r="JP26">
        <v>2.2717299999999998</v>
      </c>
      <c r="JQ26">
        <v>1.4477500000000001</v>
      </c>
      <c r="JR26">
        <v>2.4853499999999999</v>
      </c>
      <c r="JS26">
        <v>44.865900000000003</v>
      </c>
      <c r="JT26">
        <v>14.2371</v>
      </c>
      <c r="JU26">
        <v>18</v>
      </c>
      <c r="JV26">
        <v>545.61500000000001</v>
      </c>
      <c r="JW26">
        <v>413.21</v>
      </c>
      <c r="JX26">
        <v>20.593399999999999</v>
      </c>
      <c r="JY26">
        <v>35.134500000000003</v>
      </c>
      <c r="JZ26">
        <v>30.001000000000001</v>
      </c>
      <c r="KA26">
        <v>35.162199999999999</v>
      </c>
      <c r="KB26">
        <v>35.123800000000003</v>
      </c>
      <c r="KC26">
        <v>22.394100000000002</v>
      </c>
      <c r="KD26">
        <v>52.364800000000002</v>
      </c>
      <c r="KE26">
        <v>0</v>
      </c>
      <c r="KF26">
        <v>20.4953</v>
      </c>
      <c r="KG26">
        <v>433.92099999999999</v>
      </c>
      <c r="KH26">
        <v>19.6967</v>
      </c>
      <c r="KI26">
        <v>100.319</v>
      </c>
      <c r="KJ26">
        <v>98.875299999999996</v>
      </c>
    </row>
    <row r="27" spans="1:296" x14ac:dyDescent="0.3">
      <c r="A27">
        <v>11</v>
      </c>
      <c r="B27">
        <v>1783442537.0999999</v>
      </c>
      <c r="C27">
        <v>1867.599999904633</v>
      </c>
      <c r="D27" t="s">
        <v>1064</v>
      </c>
      <c r="E27" t="s">
        <v>1065</v>
      </c>
      <c r="F27">
        <v>15</v>
      </c>
      <c r="H27">
        <v>1783442529.349999</v>
      </c>
      <c r="I27">
        <f t="shared" si="0"/>
        <v>3.6827965650225178E-6</v>
      </c>
      <c r="J27">
        <f t="shared" si="1"/>
        <v>3.6827965650225178E-3</v>
      </c>
      <c r="K27">
        <f t="shared" si="2"/>
        <v>2.8554401637691735</v>
      </c>
      <c r="L27">
        <f t="shared" si="3"/>
        <v>420.27159999999998</v>
      </c>
      <c r="M27">
        <f t="shared" si="4"/>
        <v>-14658.219412629391</v>
      </c>
      <c r="N27">
        <f t="shared" si="5"/>
        <v>-1440.6886900126292</v>
      </c>
      <c r="O27">
        <f t="shared" si="6"/>
        <v>41.306554623669705</v>
      </c>
      <c r="P27">
        <f t="shared" si="7"/>
        <v>3.0022758464778344E-4</v>
      </c>
      <c r="Q27">
        <f t="shared" si="8"/>
        <v>2.8984614445624328</v>
      </c>
      <c r="R27">
        <f t="shared" si="9"/>
        <v>3.0021030900713165E-4</v>
      </c>
      <c r="S27">
        <f t="shared" si="10"/>
        <v>1.8763299515520636E-4</v>
      </c>
      <c r="T27">
        <f t="shared" si="11"/>
        <v>16.516337204505646</v>
      </c>
      <c r="U27">
        <f t="shared" si="12"/>
        <v>24.70736834394765</v>
      </c>
      <c r="V27">
        <f t="shared" si="13"/>
        <v>24.915153333333329</v>
      </c>
      <c r="W27">
        <f t="shared" si="14"/>
        <v>3.1636287567187638</v>
      </c>
      <c r="X27">
        <f t="shared" si="15"/>
        <v>64.045066934663993</v>
      </c>
      <c r="Y27">
        <f t="shared" si="16"/>
        <v>1.9895316829061398</v>
      </c>
      <c r="Z27">
        <f t="shared" si="17"/>
        <v>3.1064557789216996</v>
      </c>
      <c r="AA27">
        <f t="shared" si="18"/>
        <v>1.174097073812624</v>
      </c>
      <c r="AB27">
        <f t="shared" si="19"/>
        <v>-0.16241132851749304</v>
      </c>
      <c r="AC27">
        <f t="shared" si="20"/>
        <v>-47.714556935459392</v>
      </c>
      <c r="AD27">
        <f t="shared" si="21"/>
        <v>-3.4737983234895924</v>
      </c>
      <c r="AE27">
        <f t="shared" si="22"/>
        <v>-34.834429382960835</v>
      </c>
      <c r="AF27">
        <f t="shared" si="23"/>
        <v>2.8554401637691735</v>
      </c>
      <c r="AG27">
        <f t="shared" si="24"/>
        <v>3.6827965650225178E-3</v>
      </c>
      <c r="AH27">
        <f t="shared" si="25"/>
        <v>2.8117109159647802</v>
      </c>
      <c r="AI27">
        <v>432.36468310749808</v>
      </c>
      <c r="AJ27">
        <v>428.89107272727261</v>
      </c>
      <c r="AK27">
        <v>5.5942904796864087E-3</v>
      </c>
      <c r="AL27">
        <v>67.078717767708611</v>
      </c>
      <c r="AM27">
        <f t="shared" si="26"/>
        <v>0.13328481013104371</v>
      </c>
      <c r="AN27">
        <v>20.313341894761908</v>
      </c>
      <c r="AO27">
        <v>20.366528484848491</v>
      </c>
      <c r="AP27">
        <v>1.6603168831166339E-2</v>
      </c>
      <c r="AQ27">
        <v>78.55</v>
      </c>
      <c r="AR27">
        <v>0</v>
      </c>
      <c r="AS27">
        <v>0</v>
      </c>
      <c r="AT27">
        <f t="shared" si="27"/>
        <v>1</v>
      </c>
      <c r="AU27">
        <f t="shared" si="28"/>
        <v>0</v>
      </c>
      <c r="AV27">
        <f t="shared" si="29"/>
        <v>52362.689602200982</v>
      </c>
      <c r="AW27" t="s">
        <v>1026</v>
      </c>
      <c r="AX27">
        <v>5116.79</v>
      </c>
      <c r="AY27">
        <v>564.18235294117653</v>
      </c>
      <c r="AZ27">
        <v>2376.5100000000002</v>
      </c>
      <c r="BA27">
        <f t="shared" si="30"/>
        <v>0.76260047172485013</v>
      </c>
      <c r="BB27">
        <v>-3.9412059297963489</v>
      </c>
      <c r="BC27" t="s">
        <v>1066</v>
      </c>
      <c r="BD27">
        <v>5114.1899999999996</v>
      </c>
      <c r="BE27">
        <v>849.1931176470589</v>
      </c>
      <c r="BF27">
        <v>2099.14</v>
      </c>
      <c r="BG27">
        <f t="shared" si="31"/>
        <v>0.59545665479812737</v>
      </c>
      <c r="BH27">
        <v>0.5</v>
      </c>
      <c r="BI27">
        <f t="shared" si="32"/>
        <v>84.316944358811213</v>
      </c>
      <c r="BJ27">
        <f t="shared" si="33"/>
        <v>2.8554401637691735</v>
      </c>
      <c r="BK27">
        <f t="shared" si="34"/>
        <v>25.103542815348781</v>
      </c>
      <c r="BL27">
        <f t="shared" si="35"/>
        <v>8.0608306494627677E-2</v>
      </c>
      <c r="BM27">
        <f t="shared" si="36"/>
        <v>0.1321350648360759</v>
      </c>
      <c r="BN27">
        <f t="shared" si="37"/>
        <v>547.02289987241375</v>
      </c>
      <c r="BO27" t="s">
        <v>407</v>
      </c>
      <c r="BP27">
        <v>0</v>
      </c>
      <c r="BQ27">
        <f t="shared" si="38"/>
        <v>547.02289987241375</v>
      </c>
      <c r="BR27">
        <f t="shared" si="39"/>
        <v>0.73940618545098769</v>
      </c>
      <c r="BS27">
        <f t="shared" si="40"/>
        <v>0.80531738375293571</v>
      </c>
      <c r="BT27">
        <f t="shared" si="41"/>
        <v>0.15161079844763969</v>
      </c>
      <c r="BU27">
        <f t="shared" si="42"/>
        <v>0.81432011153402195</v>
      </c>
      <c r="BV27">
        <f t="shared" si="43"/>
        <v>0.15304627750403546</v>
      </c>
      <c r="BW27">
        <f t="shared" si="44"/>
        <v>0.518759562958785</v>
      </c>
      <c r="BX27">
        <f t="shared" si="45"/>
        <v>0.481240437041215</v>
      </c>
      <c r="DG27">
        <f t="shared" si="46"/>
        <v>100.03788</v>
      </c>
      <c r="DH27">
        <f t="shared" si="47"/>
        <v>84.316944358811213</v>
      </c>
      <c r="DI27">
        <f t="shared" si="48"/>
        <v>0.84285017194298006</v>
      </c>
      <c r="DJ27">
        <f t="shared" si="49"/>
        <v>0.1651008318499517</v>
      </c>
      <c r="DK27">
        <v>6</v>
      </c>
      <c r="DL27">
        <v>0.5</v>
      </c>
      <c r="DM27" t="s">
        <v>408</v>
      </c>
      <c r="DN27">
        <v>2</v>
      </c>
      <c r="DO27" t="b">
        <v>0</v>
      </c>
      <c r="DP27">
        <v>1783442529.349999</v>
      </c>
      <c r="DQ27">
        <v>420.27159999999998</v>
      </c>
      <c r="DR27">
        <v>423.7000666666666</v>
      </c>
      <c r="DS27">
        <v>20.242396666666661</v>
      </c>
      <c r="DT27">
        <v>20.238066666666661</v>
      </c>
      <c r="DU27">
        <v>425.83510000000001</v>
      </c>
      <c r="DV27">
        <v>20.591396666666661</v>
      </c>
      <c r="DW27">
        <v>499.98816666666659</v>
      </c>
      <c r="DX27">
        <v>98.230193333333304</v>
      </c>
      <c r="DY27">
        <v>5.5188366666666669E-2</v>
      </c>
      <c r="DZ27">
        <v>24.609803333333339</v>
      </c>
      <c r="EA27">
        <v>24.915153333333329</v>
      </c>
      <c r="EB27">
        <v>999.9000000000002</v>
      </c>
      <c r="EC27">
        <v>0</v>
      </c>
      <c r="ED27">
        <v>0</v>
      </c>
      <c r="EE27">
        <v>10000.83333333333</v>
      </c>
      <c r="EF27">
        <v>0</v>
      </c>
      <c r="EG27">
        <v>380.45536666666669</v>
      </c>
      <c r="EH27">
        <v>-3.4284849999999998</v>
      </c>
      <c r="EI27">
        <v>428.9555666666667</v>
      </c>
      <c r="EJ27">
        <v>432.45209999999992</v>
      </c>
      <c r="EK27">
        <v>6.4126273333333329E-3</v>
      </c>
      <c r="EL27">
        <v>423.7000666666666</v>
      </c>
      <c r="EM27">
        <v>20.238066666666661</v>
      </c>
      <c r="EN27">
        <v>1.9886189999999999</v>
      </c>
      <c r="EO27">
        <v>1.987988333333333</v>
      </c>
      <c r="EP27">
        <v>17.353936666666669</v>
      </c>
      <c r="EQ27">
        <v>17.348833333333339</v>
      </c>
      <c r="ER27">
        <v>100.03788</v>
      </c>
      <c r="ES27">
        <v>0.89998266666666671</v>
      </c>
      <c r="ET27">
        <v>0.1000174533333333</v>
      </c>
      <c r="EU27">
        <v>0</v>
      </c>
      <c r="EV27">
        <v>848.80150000000015</v>
      </c>
      <c r="EW27">
        <v>5.0010700000000003</v>
      </c>
      <c r="EX27">
        <v>2447.5386666666668</v>
      </c>
      <c r="EY27">
        <v>836.89943333333338</v>
      </c>
      <c r="EZ27">
        <v>37.67046666666667</v>
      </c>
      <c r="FA27">
        <v>41.816333333333333</v>
      </c>
      <c r="FB27">
        <v>39.891533333333342</v>
      </c>
      <c r="FC27">
        <v>41.624933333333317</v>
      </c>
      <c r="FD27">
        <v>39.724799999999988</v>
      </c>
      <c r="FE27">
        <v>85.530999999999992</v>
      </c>
      <c r="FF27">
        <v>9.5039999999999996</v>
      </c>
      <c r="FG27">
        <v>0</v>
      </c>
      <c r="FH27">
        <v>182.20000004768369</v>
      </c>
      <c r="FI27">
        <v>0</v>
      </c>
      <c r="FJ27">
        <v>849.1931176470589</v>
      </c>
      <c r="FK27">
        <v>5.5362745568732956</v>
      </c>
      <c r="FL27">
        <v>122.4607846157257</v>
      </c>
      <c r="FM27">
        <v>2446.3023529411771</v>
      </c>
      <c r="FN27">
        <v>10</v>
      </c>
      <c r="FO27">
        <v>1783442554.0999999</v>
      </c>
      <c r="FP27" t="s">
        <v>1067</v>
      </c>
      <c r="FQ27">
        <v>1783442243.5999999</v>
      </c>
      <c r="FR27">
        <v>1783442554.0999999</v>
      </c>
      <c r="FS27">
        <v>25</v>
      </c>
      <c r="FT27">
        <v>0.14399999999999999</v>
      </c>
      <c r="FU27">
        <v>-4.0000000000000001E-3</v>
      </c>
      <c r="FV27">
        <v>-5.5629999999999997</v>
      </c>
      <c r="FW27">
        <v>-0.34899999999999998</v>
      </c>
      <c r="FX27">
        <v>436</v>
      </c>
      <c r="FY27">
        <v>20</v>
      </c>
      <c r="FZ27">
        <v>0.55000000000000004</v>
      </c>
      <c r="GA27">
        <v>0.6</v>
      </c>
      <c r="GB27">
        <v>420.2732580645162</v>
      </c>
      <c r="GC27">
        <v>-1.124854838709928</v>
      </c>
      <c r="GD27">
        <v>0.1002747733824339</v>
      </c>
      <c r="GE27">
        <v>-1</v>
      </c>
      <c r="GF27">
        <v>848.53076470588246</v>
      </c>
      <c r="GG27">
        <v>6.5633307896793163</v>
      </c>
      <c r="GH27">
        <v>0.66501800324252869</v>
      </c>
      <c r="GI27">
        <v>1</v>
      </c>
      <c r="GJ27">
        <v>6.3780702926829261E-2</v>
      </c>
      <c r="GK27">
        <v>-0.88884250620209071</v>
      </c>
      <c r="GL27">
        <v>0.1108256837001803</v>
      </c>
      <c r="GM27">
        <v>0</v>
      </c>
      <c r="GN27">
        <v>1</v>
      </c>
      <c r="GO27">
        <v>2</v>
      </c>
      <c r="GP27" t="s">
        <v>410</v>
      </c>
      <c r="GQ27">
        <v>3.1310799999999999</v>
      </c>
      <c r="GR27">
        <v>2.7315800000000001</v>
      </c>
      <c r="GS27">
        <v>9.1584200000000004E-2</v>
      </c>
      <c r="GT27">
        <v>9.1999800000000007E-2</v>
      </c>
      <c r="GU27">
        <v>0.100949</v>
      </c>
      <c r="GV27">
        <v>0.100026</v>
      </c>
      <c r="GW27">
        <v>22762.400000000001</v>
      </c>
      <c r="GX27">
        <v>30532.2</v>
      </c>
      <c r="GY27">
        <v>27186.3</v>
      </c>
      <c r="GZ27">
        <v>34585.1</v>
      </c>
      <c r="HA27">
        <v>35807.599999999999</v>
      </c>
      <c r="HB27">
        <v>39542.800000000003</v>
      </c>
      <c r="HC27">
        <v>40152</v>
      </c>
      <c r="HD27">
        <v>44017</v>
      </c>
      <c r="HE27">
        <v>1.9536</v>
      </c>
      <c r="HF27">
        <v>1.732</v>
      </c>
      <c r="HG27">
        <v>-8.8304300000000002E-2</v>
      </c>
      <c r="HH27">
        <v>0</v>
      </c>
      <c r="HI27">
        <v>26.318100000000001</v>
      </c>
      <c r="HJ27">
        <v>999.9</v>
      </c>
      <c r="HK27">
        <v>52.8</v>
      </c>
      <c r="HL27">
        <v>40.700000000000003</v>
      </c>
      <c r="HM27">
        <v>41.361800000000002</v>
      </c>
      <c r="HN27">
        <v>61.428199999999997</v>
      </c>
      <c r="HO27">
        <v>6.6145899999999997</v>
      </c>
      <c r="HP27">
        <v>1</v>
      </c>
      <c r="HQ27">
        <v>0.64751999999999998</v>
      </c>
      <c r="HR27">
        <v>5.4284499999999998</v>
      </c>
      <c r="HS27">
        <v>20.200500000000002</v>
      </c>
      <c r="HT27">
        <v>5.2088999999999999</v>
      </c>
      <c r="HU27">
        <v>11.910500000000001</v>
      </c>
      <c r="HV27">
        <v>4.9843999999999999</v>
      </c>
      <c r="HW27">
        <v>3.2709999999999999</v>
      </c>
      <c r="HX27">
        <v>9999</v>
      </c>
      <c r="HY27">
        <v>9999</v>
      </c>
      <c r="HZ27">
        <v>9999</v>
      </c>
      <c r="IA27">
        <v>999.9</v>
      </c>
      <c r="IB27">
        <v>1.8673999999999999</v>
      </c>
      <c r="IC27">
        <v>1.86307</v>
      </c>
      <c r="ID27">
        <v>1.86252</v>
      </c>
      <c r="IE27">
        <v>1.86212</v>
      </c>
      <c r="IF27">
        <v>1.86212</v>
      </c>
      <c r="IG27">
        <v>1.8626400000000001</v>
      </c>
      <c r="IH27">
        <v>1.8635600000000001</v>
      </c>
      <c r="II27">
        <v>1.8615699999999999</v>
      </c>
      <c r="IJ27">
        <v>0</v>
      </c>
      <c r="IK27">
        <v>0</v>
      </c>
      <c r="IL27">
        <v>0</v>
      </c>
      <c r="IM27">
        <v>4.5</v>
      </c>
      <c r="IN27" t="s">
        <v>411</v>
      </c>
      <c r="IO27" t="s">
        <v>412</v>
      </c>
      <c r="IP27" t="s">
        <v>413</v>
      </c>
      <c r="IQ27" t="s">
        <v>414</v>
      </c>
      <c r="IR27" t="s">
        <v>414</v>
      </c>
      <c r="IS27" t="s">
        <v>413</v>
      </c>
      <c r="IT27">
        <v>0</v>
      </c>
      <c r="IU27">
        <v>100</v>
      </c>
      <c r="IV27">
        <v>100</v>
      </c>
      <c r="IW27">
        <v>-5.5640000000000001</v>
      </c>
      <c r="IX27">
        <v>-0.34899999999999998</v>
      </c>
      <c r="IY27">
        <v>-5.5634499999999889</v>
      </c>
      <c r="IZ27">
        <v>0</v>
      </c>
      <c r="JA27">
        <v>0</v>
      </c>
      <c r="JB27">
        <v>0</v>
      </c>
      <c r="JC27">
        <v>-0.64834230278887595</v>
      </c>
      <c r="JD27">
        <v>2.7492919904454862E-4</v>
      </c>
      <c r="JE27">
        <v>8.6739513355948885E-4</v>
      </c>
      <c r="JF27">
        <v>-8.2500691715147318E-6</v>
      </c>
      <c r="JG27">
        <v>-1</v>
      </c>
      <c r="JH27">
        <v>-1</v>
      </c>
      <c r="JI27">
        <v>2</v>
      </c>
      <c r="JJ27">
        <v>37</v>
      </c>
      <c r="JK27">
        <v>4.9000000000000004</v>
      </c>
      <c r="JL27">
        <v>4.9000000000000004</v>
      </c>
      <c r="JM27">
        <v>1.09863</v>
      </c>
      <c r="JN27">
        <v>2.5415000000000001</v>
      </c>
      <c r="JO27">
        <v>1.50024</v>
      </c>
      <c r="JP27">
        <v>2.2705099999999998</v>
      </c>
      <c r="JQ27">
        <v>1.4477500000000001</v>
      </c>
      <c r="JR27">
        <v>2.4890099999999999</v>
      </c>
      <c r="JS27">
        <v>44.725299999999997</v>
      </c>
      <c r="JT27">
        <v>14.280900000000001</v>
      </c>
      <c r="JU27">
        <v>18</v>
      </c>
      <c r="JV27">
        <v>544.11</v>
      </c>
      <c r="JW27">
        <v>413.71800000000002</v>
      </c>
      <c r="JX27">
        <v>21.080400000000001</v>
      </c>
      <c r="JY27">
        <v>34.931399999999996</v>
      </c>
      <c r="JZ27">
        <v>29.996400000000001</v>
      </c>
      <c r="KA27">
        <v>34.910299999999999</v>
      </c>
      <c r="KB27">
        <v>34.860500000000002</v>
      </c>
      <c r="KC27">
        <v>21.982299999999999</v>
      </c>
      <c r="KD27">
        <v>50.965400000000002</v>
      </c>
      <c r="KE27">
        <v>0</v>
      </c>
      <c r="KF27">
        <v>21.212299999999999</v>
      </c>
      <c r="KG27">
        <v>423.76</v>
      </c>
      <c r="KH27">
        <v>20.366399999999999</v>
      </c>
      <c r="KI27">
        <v>100.34399999999999</v>
      </c>
      <c r="KJ27">
        <v>98.898200000000003</v>
      </c>
    </row>
    <row r="28" spans="1:296" x14ac:dyDescent="0.3">
      <c r="A28">
        <v>12</v>
      </c>
      <c r="B28">
        <v>1783442735.0999999</v>
      </c>
      <c r="C28">
        <v>2065.599999904633</v>
      </c>
      <c r="D28" t="s">
        <v>1068</v>
      </c>
      <c r="E28" t="s">
        <v>1069</v>
      </c>
      <c r="F28">
        <v>15</v>
      </c>
      <c r="H28">
        <v>1783442727.349999</v>
      </c>
      <c r="I28">
        <f t="shared" si="0"/>
        <v>1.6168752195999585E-4</v>
      </c>
      <c r="J28">
        <f t="shared" si="1"/>
        <v>0.16168752195999586</v>
      </c>
      <c r="K28">
        <f t="shared" si="2"/>
        <v>0.83270238267726726</v>
      </c>
      <c r="L28">
        <f t="shared" si="3"/>
        <v>420.00299999999999</v>
      </c>
      <c r="M28">
        <f t="shared" si="4"/>
        <v>314.06267384367305</v>
      </c>
      <c r="N28">
        <f t="shared" si="5"/>
        <v>30.866189247666885</v>
      </c>
      <c r="O28">
        <f t="shared" si="6"/>
        <v>41.278041493847518</v>
      </c>
      <c r="P28">
        <f t="shared" si="7"/>
        <v>1.3502262917251788E-2</v>
      </c>
      <c r="Q28">
        <f t="shared" si="8"/>
        <v>2.9015318415445468</v>
      </c>
      <c r="R28">
        <f t="shared" si="9"/>
        <v>1.34674530362539E-2</v>
      </c>
      <c r="S28">
        <f t="shared" si="10"/>
        <v>8.4202781407411408E-3</v>
      </c>
      <c r="T28">
        <f t="shared" si="11"/>
        <v>8.2405832055540884</v>
      </c>
      <c r="U28">
        <f t="shared" si="12"/>
        <v>24.714492754568781</v>
      </c>
      <c r="V28">
        <f t="shared" si="13"/>
        <v>24.97386333333333</v>
      </c>
      <c r="W28">
        <f t="shared" si="14"/>
        <v>3.1747262476039992</v>
      </c>
      <c r="X28">
        <f t="shared" si="15"/>
        <v>64.838194504639858</v>
      </c>
      <c r="Y28">
        <f t="shared" si="16"/>
        <v>2.0260117240744169</v>
      </c>
      <c r="Z28">
        <f t="shared" si="17"/>
        <v>3.1247195261265861</v>
      </c>
      <c r="AA28">
        <f t="shared" si="18"/>
        <v>1.1487145235295824</v>
      </c>
      <c r="AB28">
        <f t="shared" si="19"/>
        <v>-7.1304197184358173</v>
      </c>
      <c r="AC28">
        <f t="shared" si="20"/>
        <v>-41.607598616137658</v>
      </c>
      <c r="AD28">
        <f t="shared" si="21"/>
        <v>-3.0283737990681869</v>
      </c>
      <c r="AE28">
        <f t="shared" si="22"/>
        <v>-43.525808928087571</v>
      </c>
      <c r="AF28">
        <f t="shared" si="23"/>
        <v>0.83270238267726726</v>
      </c>
      <c r="AG28">
        <f t="shared" si="24"/>
        <v>0.16168752195999586</v>
      </c>
      <c r="AH28">
        <f t="shared" si="25"/>
        <v>0.92883339073043714</v>
      </c>
      <c r="AI28">
        <v>429.81800820424712</v>
      </c>
      <c r="AJ28">
        <v>428.7936242424243</v>
      </c>
      <c r="AK28">
        <v>-2.128184931946819E-2</v>
      </c>
      <c r="AL28">
        <v>67.088860259364239</v>
      </c>
      <c r="AM28">
        <f t="shared" si="26"/>
        <v>0.18908751274174573</v>
      </c>
      <c r="AN28">
        <v>20.422172310823029</v>
      </c>
      <c r="AO28">
        <v>20.639919999999989</v>
      </c>
      <c r="AP28">
        <v>7.1428997648306683E-4</v>
      </c>
      <c r="AQ28">
        <v>78.242423869448615</v>
      </c>
      <c r="AR28">
        <v>0</v>
      </c>
      <c r="AS28">
        <v>0</v>
      </c>
      <c r="AT28">
        <f t="shared" si="27"/>
        <v>1</v>
      </c>
      <c r="AU28">
        <f t="shared" si="28"/>
        <v>0</v>
      </c>
      <c r="AV28">
        <f t="shared" si="29"/>
        <v>52433.773850744888</v>
      </c>
      <c r="AW28" t="s">
        <v>1026</v>
      </c>
      <c r="AX28">
        <v>5116.79</v>
      </c>
      <c r="AY28">
        <v>564.18235294117653</v>
      </c>
      <c r="AZ28">
        <v>2376.5100000000002</v>
      </c>
      <c r="BA28">
        <f t="shared" si="30"/>
        <v>0.76260047172485013</v>
      </c>
      <c r="BB28">
        <v>-3.9412059297963489</v>
      </c>
      <c r="BC28" t="s">
        <v>1070</v>
      </c>
      <c r="BD28">
        <v>5110.6400000000003</v>
      </c>
      <c r="BE28">
        <v>801.8892352941175</v>
      </c>
      <c r="BF28">
        <v>2156.15</v>
      </c>
      <c r="BG28">
        <f t="shared" si="31"/>
        <v>0.62809209225048468</v>
      </c>
      <c r="BH28">
        <v>0.5</v>
      </c>
      <c r="BI28">
        <f t="shared" si="32"/>
        <v>42.135067691996937</v>
      </c>
      <c r="BJ28">
        <f t="shared" si="33"/>
        <v>0.83270238267726726</v>
      </c>
      <c r="BK28">
        <f t="shared" si="34"/>
        <v>13.232351411891079</v>
      </c>
      <c r="BL28">
        <f t="shared" si="35"/>
        <v>0.11330012205914562</v>
      </c>
      <c r="BM28">
        <f t="shared" si="36"/>
        <v>0.10220068177074884</v>
      </c>
      <c r="BN28">
        <f t="shared" si="37"/>
        <v>550.81818530427631</v>
      </c>
      <c r="BO28" t="s">
        <v>407</v>
      </c>
      <c r="BP28">
        <v>0</v>
      </c>
      <c r="BQ28">
        <f t="shared" si="38"/>
        <v>550.81818530427631</v>
      </c>
      <c r="BR28">
        <f t="shared" si="39"/>
        <v>0.7445362403801794</v>
      </c>
      <c r="BS28">
        <f t="shared" si="40"/>
        <v>0.84360177273542081</v>
      </c>
      <c r="BT28">
        <f t="shared" si="41"/>
        <v>0.12069945114845469</v>
      </c>
      <c r="BU28">
        <f t="shared" si="42"/>
        <v>0.85068359725016596</v>
      </c>
      <c r="BV28">
        <f t="shared" si="43"/>
        <v>0.12158949313476305</v>
      </c>
      <c r="BW28">
        <f t="shared" si="44"/>
        <v>0.57947055169927875</v>
      </c>
      <c r="BX28">
        <f t="shared" si="45"/>
        <v>0.42052944830072125</v>
      </c>
      <c r="DG28">
        <f t="shared" si="46"/>
        <v>50.000066666666662</v>
      </c>
      <c r="DH28">
        <f t="shared" si="47"/>
        <v>42.135067691996937</v>
      </c>
      <c r="DI28">
        <f t="shared" si="48"/>
        <v>0.84270023023963181</v>
      </c>
      <c r="DJ28">
        <f t="shared" si="49"/>
        <v>0.16481144436248932</v>
      </c>
      <c r="DK28">
        <v>6</v>
      </c>
      <c r="DL28">
        <v>0.5</v>
      </c>
      <c r="DM28" t="s">
        <v>408</v>
      </c>
      <c r="DN28">
        <v>2</v>
      </c>
      <c r="DO28" t="b">
        <v>0</v>
      </c>
      <c r="DP28">
        <v>1783442727.349999</v>
      </c>
      <c r="DQ28">
        <v>420.00299999999999</v>
      </c>
      <c r="DR28">
        <v>421.08353333333338</v>
      </c>
      <c r="DS28">
        <v>20.61461666666667</v>
      </c>
      <c r="DT28">
        <v>20.424626666666661</v>
      </c>
      <c r="DU28">
        <v>425.44069999999999</v>
      </c>
      <c r="DV28">
        <v>20.952063333333331</v>
      </c>
      <c r="DW28">
        <v>500.09283333333332</v>
      </c>
      <c r="DX28">
        <v>98.226439999999982</v>
      </c>
      <c r="DY28">
        <v>5.3909173333333338E-2</v>
      </c>
      <c r="DZ28">
        <v>24.70787666666666</v>
      </c>
      <c r="EA28">
        <v>24.97386333333333</v>
      </c>
      <c r="EB28">
        <v>999.9000000000002</v>
      </c>
      <c r="EC28">
        <v>0</v>
      </c>
      <c r="ED28">
        <v>0</v>
      </c>
      <c r="EE28">
        <v>10018.83333333333</v>
      </c>
      <c r="EF28">
        <v>0</v>
      </c>
      <c r="EG28">
        <v>410.35686666666658</v>
      </c>
      <c r="EH28">
        <v>-1.0805621666666669</v>
      </c>
      <c r="EI28">
        <v>428.84330000000011</v>
      </c>
      <c r="EJ28">
        <v>429.8633333333334</v>
      </c>
      <c r="EK28">
        <v>0.18999153333333341</v>
      </c>
      <c r="EL28">
        <v>421.08353333333338</v>
      </c>
      <c r="EM28">
        <v>20.424626666666661</v>
      </c>
      <c r="EN28">
        <v>2.024900333333334</v>
      </c>
      <c r="EO28">
        <v>2.0062380000000002</v>
      </c>
      <c r="EP28">
        <v>17.640396666666671</v>
      </c>
      <c r="EQ28">
        <v>17.49365666666667</v>
      </c>
      <c r="ER28">
        <v>50.000066666666662</v>
      </c>
      <c r="ES28">
        <v>0.89991686666666681</v>
      </c>
      <c r="ET28">
        <v>0.1000833</v>
      </c>
      <c r="EU28">
        <v>0</v>
      </c>
      <c r="EV28">
        <v>801.83266666666668</v>
      </c>
      <c r="EW28">
        <v>5.0010700000000003</v>
      </c>
      <c r="EX28">
        <v>2062.8796666666658</v>
      </c>
      <c r="EY28">
        <v>396.25310000000002</v>
      </c>
      <c r="EZ28">
        <v>36.936999999999991</v>
      </c>
      <c r="FA28">
        <v>41.080899999999978</v>
      </c>
      <c r="FB28">
        <v>39.180799999999991</v>
      </c>
      <c r="FC28">
        <v>40.930799999999991</v>
      </c>
      <c r="FD28">
        <v>39.070399999999992</v>
      </c>
      <c r="FE28">
        <v>40.494666666666653</v>
      </c>
      <c r="FF28">
        <v>4.5</v>
      </c>
      <c r="FG28">
        <v>0</v>
      </c>
      <c r="FH28">
        <v>197.4000000953674</v>
      </c>
      <c r="FI28">
        <v>0</v>
      </c>
      <c r="FJ28">
        <v>801.8892352941175</v>
      </c>
      <c r="FK28">
        <v>-0.62549022753761696</v>
      </c>
      <c r="FL28">
        <v>9.112744879654775</v>
      </c>
      <c r="FM28">
        <v>2062.0582352941169</v>
      </c>
      <c r="FN28">
        <v>10</v>
      </c>
      <c r="FO28">
        <v>1783442651.0999999</v>
      </c>
      <c r="FP28" t="s">
        <v>1071</v>
      </c>
      <c r="FQ28">
        <v>1783442648.0999999</v>
      </c>
      <c r="FR28">
        <v>1783442651.0999999</v>
      </c>
      <c r="FS28">
        <v>26</v>
      </c>
      <c r="FT28">
        <v>0.126</v>
      </c>
      <c r="FU28">
        <v>4.0000000000000001E-3</v>
      </c>
      <c r="FV28">
        <v>-5.4379999999999997</v>
      </c>
      <c r="FW28">
        <v>-0.34799999999999998</v>
      </c>
      <c r="FX28">
        <v>422</v>
      </c>
      <c r="FY28">
        <v>20</v>
      </c>
      <c r="FZ28">
        <v>1.74</v>
      </c>
      <c r="GA28">
        <v>0.61</v>
      </c>
      <c r="GB28">
        <v>420.00729032258067</v>
      </c>
      <c r="GC28">
        <v>-5.5983870967997472E-2</v>
      </c>
      <c r="GD28">
        <v>4.9736203175830343E-2</v>
      </c>
      <c r="GE28">
        <v>-1</v>
      </c>
      <c r="GF28">
        <v>801.87008823529413</v>
      </c>
      <c r="GG28">
        <v>-0.34213904324192251</v>
      </c>
      <c r="GH28">
        <v>0.23591079665679371</v>
      </c>
      <c r="GI28">
        <v>1</v>
      </c>
      <c r="GJ28">
        <v>0.2100978292682926</v>
      </c>
      <c r="GK28">
        <v>-0.23092885714285691</v>
      </c>
      <c r="GL28">
        <v>3.5946303881302571E-2</v>
      </c>
      <c r="GM28">
        <v>1</v>
      </c>
      <c r="GN28">
        <v>2</v>
      </c>
      <c r="GO28">
        <v>2</v>
      </c>
      <c r="GP28" t="s">
        <v>423</v>
      </c>
      <c r="GQ28">
        <v>3.1309999999999998</v>
      </c>
      <c r="GR28">
        <v>2.72926</v>
      </c>
      <c r="GS28">
        <v>9.1625799999999993E-2</v>
      </c>
      <c r="GT28">
        <v>9.1665999999999997E-2</v>
      </c>
      <c r="GU28">
        <v>0.101961</v>
      </c>
      <c r="GV28">
        <v>0.10045</v>
      </c>
      <c r="GW28">
        <v>22774.5</v>
      </c>
      <c r="GX28">
        <v>30565.5</v>
      </c>
      <c r="GY28">
        <v>27200.1</v>
      </c>
      <c r="GZ28">
        <v>34607.300000000003</v>
      </c>
      <c r="HA28">
        <v>35783.4</v>
      </c>
      <c r="HB28">
        <v>39544.300000000003</v>
      </c>
      <c r="HC28">
        <v>40171.599999999999</v>
      </c>
      <c r="HD28">
        <v>44040.2</v>
      </c>
      <c r="HE28">
        <v>1.9565999999999999</v>
      </c>
      <c r="HF28">
        <v>1.7382</v>
      </c>
      <c r="HG28">
        <v>-8.2194799999999998E-2</v>
      </c>
      <c r="HH28">
        <v>0</v>
      </c>
      <c r="HI28">
        <v>26.293700000000001</v>
      </c>
      <c r="HJ28">
        <v>999.9</v>
      </c>
      <c r="HK28">
        <v>52.3</v>
      </c>
      <c r="HL28">
        <v>40.6</v>
      </c>
      <c r="HM28">
        <v>40.756100000000004</v>
      </c>
      <c r="HN28">
        <v>60.798200000000001</v>
      </c>
      <c r="HO28">
        <v>6.7267599999999996</v>
      </c>
      <c r="HP28">
        <v>1</v>
      </c>
      <c r="HQ28">
        <v>0.60987800000000003</v>
      </c>
      <c r="HR28">
        <v>4.7484799999999998</v>
      </c>
      <c r="HS28">
        <v>20.220800000000001</v>
      </c>
      <c r="HT28">
        <v>5.2088999999999999</v>
      </c>
      <c r="HU28">
        <v>11.908099999999999</v>
      </c>
      <c r="HV28">
        <v>4.9832000000000001</v>
      </c>
      <c r="HW28">
        <v>3.2709999999999999</v>
      </c>
      <c r="HX28">
        <v>9999</v>
      </c>
      <c r="HY28">
        <v>9999</v>
      </c>
      <c r="HZ28">
        <v>9999</v>
      </c>
      <c r="IA28">
        <v>999.9</v>
      </c>
      <c r="IB28">
        <v>1.86737</v>
      </c>
      <c r="IC28">
        <v>1.8631</v>
      </c>
      <c r="ID28">
        <v>1.86249</v>
      </c>
      <c r="IE28">
        <v>1.86206</v>
      </c>
      <c r="IF28">
        <v>1.86215</v>
      </c>
      <c r="IG28">
        <v>1.8626400000000001</v>
      </c>
      <c r="IH28">
        <v>1.8635600000000001</v>
      </c>
      <c r="II28">
        <v>1.8615699999999999</v>
      </c>
      <c r="IJ28">
        <v>0</v>
      </c>
      <c r="IK28">
        <v>0</v>
      </c>
      <c r="IL28">
        <v>0</v>
      </c>
      <c r="IM28">
        <v>4.5</v>
      </c>
      <c r="IN28" t="s">
        <v>411</v>
      </c>
      <c r="IO28" t="s">
        <v>412</v>
      </c>
      <c r="IP28" t="s">
        <v>413</v>
      </c>
      <c r="IQ28" t="s">
        <v>414</v>
      </c>
      <c r="IR28" t="s">
        <v>414</v>
      </c>
      <c r="IS28" t="s">
        <v>413</v>
      </c>
      <c r="IT28">
        <v>0</v>
      </c>
      <c r="IU28">
        <v>100</v>
      </c>
      <c r="IV28">
        <v>100</v>
      </c>
      <c r="IW28">
        <v>-5.4370000000000003</v>
      </c>
      <c r="IX28">
        <v>-0.3367</v>
      </c>
      <c r="IY28">
        <v>-5.4377500000000509</v>
      </c>
      <c r="IZ28">
        <v>0</v>
      </c>
      <c r="JA28">
        <v>0</v>
      </c>
      <c r="JB28">
        <v>0</v>
      </c>
      <c r="JC28">
        <v>-0.64810450869366165</v>
      </c>
      <c r="JD28">
        <v>2.7492919904454862E-4</v>
      </c>
      <c r="JE28">
        <v>8.6739513355948885E-4</v>
      </c>
      <c r="JF28">
        <v>-8.2500691715147318E-6</v>
      </c>
      <c r="JG28">
        <v>-1</v>
      </c>
      <c r="JH28">
        <v>-1</v>
      </c>
      <c r="JI28">
        <v>2</v>
      </c>
      <c r="JJ28">
        <v>37</v>
      </c>
      <c r="JK28">
        <v>1.4</v>
      </c>
      <c r="JL28">
        <v>1.4</v>
      </c>
      <c r="JM28">
        <v>1.09497</v>
      </c>
      <c r="JN28">
        <v>2.5451700000000002</v>
      </c>
      <c r="JO28">
        <v>1.50024</v>
      </c>
      <c r="JP28">
        <v>2.2705099999999998</v>
      </c>
      <c r="JQ28">
        <v>1.4477500000000001</v>
      </c>
      <c r="JR28">
        <v>2.4621599999999999</v>
      </c>
      <c r="JS28">
        <v>44.389899999999997</v>
      </c>
      <c r="JT28">
        <v>14.2721</v>
      </c>
      <c r="JU28">
        <v>18</v>
      </c>
      <c r="JV28">
        <v>543.23</v>
      </c>
      <c r="JW28">
        <v>415.233</v>
      </c>
      <c r="JX28">
        <v>21.486999999999998</v>
      </c>
      <c r="JY28">
        <v>34.530999999999999</v>
      </c>
      <c r="JZ28">
        <v>29.9968</v>
      </c>
      <c r="KA28">
        <v>34.553899999999999</v>
      </c>
      <c r="KB28">
        <v>34.509799999999998</v>
      </c>
      <c r="KC28">
        <v>21.888500000000001</v>
      </c>
      <c r="KD28">
        <v>50.384900000000002</v>
      </c>
      <c r="KE28">
        <v>0</v>
      </c>
      <c r="KF28">
        <v>21.534400000000002</v>
      </c>
      <c r="KG28">
        <v>421.15800000000002</v>
      </c>
      <c r="KH28">
        <v>20.464099999999998</v>
      </c>
      <c r="KI28">
        <v>100.39400000000001</v>
      </c>
      <c r="KJ28">
        <v>98.955299999999994</v>
      </c>
    </row>
    <row r="29" spans="1:296" x14ac:dyDescent="0.3">
      <c r="A29">
        <v>13</v>
      </c>
      <c r="B29">
        <v>1783442917.5999999</v>
      </c>
      <c r="C29">
        <v>2248.099999904633</v>
      </c>
      <c r="D29" t="s">
        <v>1072</v>
      </c>
      <c r="E29" t="s">
        <v>1073</v>
      </c>
      <c r="F29">
        <v>15</v>
      </c>
      <c r="H29">
        <v>1783442909.849999</v>
      </c>
      <c r="I29">
        <f t="shared" si="0"/>
        <v>1.2311448451675347E-4</v>
      </c>
      <c r="J29">
        <f t="shared" si="1"/>
        <v>0.12311448451675348</v>
      </c>
      <c r="K29">
        <f t="shared" si="2"/>
        <v>-2.6462146481794293</v>
      </c>
      <c r="L29">
        <f t="shared" si="3"/>
        <v>420.06720000000013</v>
      </c>
      <c r="M29">
        <f t="shared" si="4"/>
        <v>820.98491371655837</v>
      </c>
      <c r="N29">
        <f t="shared" si="5"/>
        <v>80.687981002698535</v>
      </c>
      <c r="O29">
        <f t="shared" si="6"/>
        <v>41.285014727029029</v>
      </c>
      <c r="P29">
        <f t="shared" si="7"/>
        <v>1.0273035159303929E-2</v>
      </c>
      <c r="Q29">
        <f t="shared" si="8"/>
        <v>2.8984249825422528</v>
      </c>
      <c r="R29">
        <f t="shared" si="9"/>
        <v>1.025284961421476E-2</v>
      </c>
      <c r="S29">
        <f t="shared" si="10"/>
        <v>6.4098412582910356E-3</v>
      </c>
      <c r="T29">
        <f t="shared" si="11"/>
        <v>1.5966703903835998E-4</v>
      </c>
      <c r="U29">
        <f t="shared" si="12"/>
        <v>24.704402722291611</v>
      </c>
      <c r="V29">
        <f t="shared" si="13"/>
        <v>24.973536666666671</v>
      </c>
      <c r="W29">
        <f t="shared" si="14"/>
        <v>3.1746644063742102</v>
      </c>
      <c r="X29">
        <f t="shared" si="15"/>
        <v>64.717429621627602</v>
      </c>
      <c r="Y29">
        <f t="shared" si="16"/>
        <v>2.0257343759814743</v>
      </c>
      <c r="Z29">
        <f t="shared" si="17"/>
        <v>3.1301218046281987</v>
      </c>
      <c r="AA29">
        <f t="shared" si="18"/>
        <v>1.1489300303927359</v>
      </c>
      <c r="AB29">
        <f t="shared" si="19"/>
        <v>-5.4293487671888281</v>
      </c>
      <c r="AC29">
        <f t="shared" si="20"/>
        <v>-36.994007536932152</v>
      </c>
      <c r="AD29">
        <f t="shared" si="21"/>
        <v>-2.6958516626761253</v>
      </c>
      <c r="AE29">
        <f t="shared" si="22"/>
        <v>-45.119048299758063</v>
      </c>
      <c r="AF29">
        <f t="shared" si="23"/>
        <v>-2.6462146481794293</v>
      </c>
      <c r="AG29">
        <f t="shared" si="24"/>
        <v>0.12311448451675348</v>
      </c>
      <c r="AH29">
        <f t="shared" si="25"/>
        <v>-2.6825865065083287</v>
      </c>
      <c r="AI29">
        <v>425.61850795896589</v>
      </c>
      <c r="AJ29">
        <v>428.93160606060582</v>
      </c>
      <c r="AK29">
        <v>-5.0761679646021242E-3</v>
      </c>
      <c r="AL29">
        <v>67.088860259364239</v>
      </c>
      <c r="AM29">
        <f t="shared" si="26"/>
        <v>0.13287812611082869</v>
      </c>
      <c r="AN29">
        <v>20.488221848230541</v>
      </c>
      <c r="AO29">
        <v>20.638321212121198</v>
      </c>
      <c r="AP29">
        <v>9.7489210129241422E-4</v>
      </c>
      <c r="AQ29">
        <v>78.242423869448615</v>
      </c>
      <c r="AR29">
        <v>0</v>
      </c>
      <c r="AS29">
        <v>0</v>
      </c>
      <c r="AT29">
        <f t="shared" si="27"/>
        <v>1</v>
      </c>
      <c r="AU29">
        <f t="shared" si="28"/>
        <v>0</v>
      </c>
      <c r="AV29">
        <f t="shared" si="29"/>
        <v>52339.29796670474</v>
      </c>
      <c r="AW29" t="s">
        <v>948</v>
      </c>
      <c r="AX29">
        <v>5105.72</v>
      </c>
      <c r="AY29">
        <v>582.62941176470576</v>
      </c>
      <c r="AZ29">
        <v>2436.86</v>
      </c>
      <c r="BA29">
        <f t="shared" si="30"/>
        <v>0.76090977250859482</v>
      </c>
      <c r="BB29">
        <v>-2.6462146481794289</v>
      </c>
      <c r="BC29" t="s">
        <v>407</v>
      </c>
      <c r="BD29" t="s">
        <v>407</v>
      </c>
      <c r="BE29">
        <v>0</v>
      </c>
      <c r="BF29">
        <v>0</v>
      </c>
      <c r="BG29" t="e">
        <f t="shared" si="31"/>
        <v>#DIV/0!</v>
      </c>
      <c r="BH29">
        <v>0.5</v>
      </c>
      <c r="BI29">
        <f t="shared" si="32"/>
        <v>8.4035283704399992E-4</v>
      </c>
      <c r="BJ29">
        <f t="shared" si="33"/>
        <v>-2.6462146481794293</v>
      </c>
      <c r="BK29" t="e">
        <f t="shared" si="34"/>
        <v>#DIV/0!</v>
      </c>
      <c r="BL29">
        <f t="shared" si="35"/>
        <v>-5.2845565609343049E-13</v>
      </c>
      <c r="BM29" t="e">
        <f t="shared" si="36"/>
        <v>#DIV/0!</v>
      </c>
      <c r="BN29" t="e">
        <f t="shared" si="37"/>
        <v>#DIV/0!</v>
      </c>
      <c r="BO29" t="s">
        <v>407</v>
      </c>
      <c r="BP29">
        <v>0</v>
      </c>
      <c r="BQ29" t="e">
        <f t="shared" si="38"/>
        <v>#DIV/0!</v>
      </c>
      <c r="BR29" t="e">
        <f t="shared" si="39"/>
        <v>#DIV/0!</v>
      </c>
      <c r="BS29" t="e">
        <f t="shared" si="40"/>
        <v>#DIV/0!</v>
      </c>
      <c r="BT29" t="e">
        <f t="shared" si="41"/>
        <v>#DIV/0!</v>
      </c>
      <c r="BU29">
        <f t="shared" si="42"/>
        <v>0</v>
      </c>
      <c r="BV29">
        <f t="shared" si="43"/>
        <v>1.3142162660142529</v>
      </c>
      <c r="BW29" t="e">
        <f t="shared" si="44"/>
        <v>#DIV/0!</v>
      </c>
      <c r="BX29" t="e">
        <f t="shared" si="45"/>
        <v>#DIV/0!</v>
      </c>
      <c r="DG29">
        <f t="shared" si="46"/>
        <v>1.00021E-2</v>
      </c>
      <c r="DH29">
        <f t="shared" si="47"/>
        <v>8.4035283704399992E-4</v>
      </c>
      <c r="DI29">
        <f t="shared" si="48"/>
        <v>8.4017639999999991E-2</v>
      </c>
      <c r="DJ29">
        <f t="shared" si="49"/>
        <v>1.5963351599999998E-2</v>
      </c>
      <c r="DK29">
        <v>6</v>
      </c>
      <c r="DL29">
        <v>0.5</v>
      </c>
      <c r="DM29" t="s">
        <v>408</v>
      </c>
      <c r="DN29">
        <v>2</v>
      </c>
      <c r="DO29" t="b">
        <v>0</v>
      </c>
      <c r="DP29">
        <v>1783442909.849999</v>
      </c>
      <c r="DQ29">
        <v>420.06720000000013</v>
      </c>
      <c r="DR29">
        <v>416.95406666666662</v>
      </c>
      <c r="DS29">
        <v>20.611463333333329</v>
      </c>
      <c r="DT29">
        <v>20.466783333333328</v>
      </c>
      <c r="DU29">
        <v>425.50500000000011</v>
      </c>
      <c r="DV29">
        <v>20.948463333333329</v>
      </c>
      <c r="DW29">
        <v>500.04250000000002</v>
      </c>
      <c r="DX29">
        <v>98.229776666666666</v>
      </c>
      <c r="DY29">
        <v>5.2152336666666667E-2</v>
      </c>
      <c r="DZ29">
        <v>24.73679000000001</v>
      </c>
      <c r="EA29">
        <v>24.973536666666671</v>
      </c>
      <c r="EB29">
        <v>999.9000000000002</v>
      </c>
      <c r="EC29">
        <v>0</v>
      </c>
      <c r="ED29">
        <v>0</v>
      </c>
      <c r="EE29">
        <v>10000.66666666667</v>
      </c>
      <c r="EF29">
        <v>0</v>
      </c>
      <c r="EG29">
        <v>503.6114</v>
      </c>
      <c r="EH29">
        <v>3.113086</v>
      </c>
      <c r="EI29">
        <v>428.90750000000003</v>
      </c>
      <c r="EJ29">
        <v>425.6661666666667</v>
      </c>
      <c r="EK29">
        <v>0.14414106666666671</v>
      </c>
      <c r="EL29">
        <v>416.95406666666662</v>
      </c>
      <c r="EM29">
        <v>20.466783333333328</v>
      </c>
      <c r="EN29">
        <v>2.024607333333333</v>
      </c>
      <c r="EO29">
        <v>2.0104476666666669</v>
      </c>
      <c r="EP29">
        <v>17.638096666666669</v>
      </c>
      <c r="EQ29">
        <v>17.526836666666672</v>
      </c>
      <c r="ER29">
        <v>1.00021E-2</v>
      </c>
      <c r="ES29">
        <v>0</v>
      </c>
      <c r="ET29">
        <v>0</v>
      </c>
      <c r="EU29">
        <v>0</v>
      </c>
      <c r="EV29">
        <v>582.13666666666666</v>
      </c>
      <c r="EW29">
        <v>1.00021E-2</v>
      </c>
      <c r="EX29">
        <v>1925.5450000000001</v>
      </c>
      <c r="EY29">
        <v>1.4550000000000001</v>
      </c>
      <c r="EZ29">
        <v>36.245800000000003</v>
      </c>
      <c r="FA29">
        <v>40.375</v>
      </c>
      <c r="FB29">
        <v>38.524799999999999</v>
      </c>
      <c r="FC29">
        <v>40.120800000000003</v>
      </c>
      <c r="FD29">
        <v>38.25</v>
      </c>
      <c r="FE29">
        <v>0</v>
      </c>
      <c r="FF29">
        <v>0</v>
      </c>
      <c r="FG29">
        <v>0</v>
      </c>
      <c r="FH29">
        <v>182.10000014305109</v>
      </c>
      <c r="FI29">
        <v>0</v>
      </c>
      <c r="FJ29">
        <v>582.62941176470576</v>
      </c>
      <c r="FK29">
        <v>23.94607847052999</v>
      </c>
      <c r="FL29">
        <v>-78.161763738791151</v>
      </c>
      <c r="FM29">
        <v>1918.2705882352941</v>
      </c>
      <c r="FN29">
        <v>10</v>
      </c>
      <c r="FO29">
        <v>1783442935.5999999</v>
      </c>
      <c r="FP29" t="s">
        <v>1074</v>
      </c>
      <c r="FQ29">
        <v>1783442648.0999999</v>
      </c>
      <c r="FR29">
        <v>1783442935.5999999</v>
      </c>
      <c r="FS29">
        <v>27</v>
      </c>
      <c r="FT29">
        <v>0.126</v>
      </c>
      <c r="FU29">
        <v>4.0000000000000001E-3</v>
      </c>
      <c r="FV29">
        <v>-5.4379999999999997</v>
      </c>
      <c r="FW29">
        <v>-0.33700000000000002</v>
      </c>
      <c r="FX29">
        <v>422</v>
      </c>
      <c r="FY29">
        <v>20</v>
      </c>
      <c r="FZ29">
        <v>1.74</v>
      </c>
      <c r="GA29">
        <v>0.57999999999999996</v>
      </c>
      <c r="GB29">
        <v>420.06720000000013</v>
      </c>
      <c r="GC29">
        <v>0.25585761957715458</v>
      </c>
      <c r="GD29">
        <v>4.5275747739086318E-2</v>
      </c>
      <c r="GE29">
        <v>-1</v>
      </c>
      <c r="GF29">
        <v>582.64999999999986</v>
      </c>
      <c r="GG29">
        <v>-2.3712757770916109</v>
      </c>
      <c r="GH29">
        <v>4.4893992785619847</v>
      </c>
      <c r="GI29">
        <v>1</v>
      </c>
      <c r="GJ29">
        <v>0.156446</v>
      </c>
      <c r="GK29">
        <v>-0.2411298911819888</v>
      </c>
      <c r="GL29">
        <v>3.3263216172673381E-2</v>
      </c>
      <c r="GM29">
        <v>1</v>
      </c>
      <c r="GN29">
        <v>2</v>
      </c>
      <c r="GO29">
        <v>2</v>
      </c>
      <c r="GP29" t="s">
        <v>423</v>
      </c>
      <c r="GQ29">
        <v>3.1307</v>
      </c>
      <c r="GR29">
        <v>2.72905</v>
      </c>
      <c r="GS29">
        <v>9.1735899999999995E-2</v>
      </c>
      <c r="GT29">
        <v>9.1042100000000001E-2</v>
      </c>
      <c r="GU29">
        <v>0.10205500000000001</v>
      </c>
      <c r="GV29">
        <v>0.100776</v>
      </c>
      <c r="GW29">
        <v>22786.9</v>
      </c>
      <c r="GX29">
        <v>30609.4</v>
      </c>
      <c r="GY29">
        <v>27216.2</v>
      </c>
      <c r="GZ29">
        <v>34630.199999999997</v>
      </c>
      <c r="HA29">
        <v>35799.300000000003</v>
      </c>
      <c r="HB29">
        <v>39550.199999999997</v>
      </c>
      <c r="HC29">
        <v>40195.199999999997</v>
      </c>
      <c r="HD29">
        <v>44063.6</v>
      </c>
      <c r="HE29">
        <v>1.9616</v>
      </c>
      <c r="HF29">
        <v>1.7454000000000001</v>
      </c>
      <c r="HG29">
        <v>-7.3462700000000006E-2</v>
      </c>
      <c r="HH29">
        <v>0</v>
      </c>
      <c r="HI29">
        <v>26.151900000000001</v>
      </c>
      <c r="HJ29">
        <v>999.9</v>
      </c>
      <c r="HK29">
        <v>51.8</v>
      </c>
      <c r="HL29">
        <v>40.6</v>
      </c>
      <c r="HM29">
        <v>40.369900000000001</v>
      </c>
      <c r="HN29">
        <v>60.3583</v>
      </c>
      <c r="HO29">
        <v>6.5144200000000003</v>
      </c>
      <c r="HP29">
        <v>1</v>
      </c>
      <c r="HQ29">
        <v>0.56674800000000003</v>
      </c>
      <c r="HR29">
        <v>4.4283700000000001</v>
      </c>
      <c r="HS29">
        <v>20.230599999999999</v>
      </c>
      <c r="HT29">
        <v>5.2112999999999996</v>
      </c>
      <c r="HU29">
        <v>11.908099999999999</v>
      </c>
      <c r="HV29">
        <v>4.9859999999999998</v>
      </c>
      <c r="HW29">
        <v>3.2709999999999999</v>
      </c>
      <c r="HX29">
        <v>9999</v>
      </c>
      <c r="HY29">
        <v>9999</v>
      </c>
      <c r="HZ29">
        <v>9999</v>
      </c>
      <c r="IA29">
        <v>999.9</v>
      </c>
      <c r="IB29">
        <v>1.86737</v>
      </c>
      <c r="IC29">
        <v>1.8631</v>
      </c>
      <c r="ID29">
        <v>1.86249</v>
      </c>
      <c r="IE29">
        <v>1.8620300000000001</v>
      </c>
      <c r="IF29">
        <v>1.86206</v>
      </c>
      <c r="IG29">
        <v>1.8626400000000001</v>
      </c>
      <c r="IH29">
        <v>1.8635600000000001</v>
      </c>
      <c r="II29">
        <v>1.8615699999999999</v>
      </c>
      <c r="IJ29">
        <v>0</v>
      </c>
      <c r="IK29">
        <v>0</v>
      </c>
      <c r="IL29">
        <v>0</v>
      </c>
      <c r="IM29">
        <v>4.5</v>
      </c>
      <c r="IN29" t="s">
        <v>411</v>
      </c>
      <c r="IO29" t="s">
        <v>412</v>
      </c>
      <c r="IP29" t="s">
        <v>413</v>
      </c>
      <c r="IQ29" t="s">
        <v>414</v>
      </c>
      <c r="IR29" t="s">
        <v>414</v>
      </c>
      <c r="IS29" t="s">
        <v>413</v>
      </c>
      <c r="IT29">
        <v>0</v>
      </c>
      <c r="IU29">
        <v>100</v>
      </c>
      <c r="IV29">
        <v>100</v>
      </c>
      <c r="IW29">
        <v>-5.4379999999999997</v>
      </c>
      <c r="IX29">
        <v>-0.33700000000000002</v>
      </c>
      <c r="IY29">
        <v>-5.4377500000000509</v>
      </c>
      <c r="IZ29">
        <v>0</v>
      </c>
      <c r="JA29">
        <v>0</v>
      </c>
      <c r="JB29">
        <v>0</v>
      </c>
      <c r="JC29">
        <v>-0.64810450869366165</v>
      </c>
      <c r="JD29">
        <v>2.7492919904454862E-4</v>
      </c>
      <c r="JE29">
        <v>8.6739513355948885E-4</v>
      </c>
      <c r="JF29">
        <v>-8.2500691715147318E-6</v>
      </c>
      <c r="JG29">
        <v>-1</v>
      </c>
      <c r="JH29">
        <v>-1</v>
      </c>
      <c r="JI29">
        <v>2</v>
      </c>
      <c r="JJ29">
        <v>37</v>
      </c>
      <c r="JK29">
        <v>4.5</v>
      </c>
      <c r="JL29">
        <v>4.4000000000000004</v>
      </c>
      <c r="JM29">
        <v>1.08643</v>
      </c>
      <c r="JN29">
        <v>2.5488300000000002</v>
      </c>
      <c r="JO29">
        <v>1.50024</v>
      </c>
      <c r="JP29">
        <v>2.2705099999999998</v>
      </c>
      <c r="JQ29">
        <v>1.4477500000000001</v>
      </c>
      <c r="JR29">
        <v>2.4072300000000002</v>
      </c>
      <c r="JS29">
        <v>44.001899999999999</v>
      </c>
      <c r="JT29">
        <v>14.2546</v>
      </c>
      <c r="JU29">
        <v>18</v>
      </c>
      <c r="JV29">
        <v>543.26</v>
      </c>
      <c r="JW29">
        <v>417.017</v>
      </c>
      <c r="JX29">
        <v>21.8447</v>
      </c>
      <c r="JY29">
        <v>34.0867</v>
      </c>
      <c r="JZ29">
        <v>29.998100000000001</v>
      </c>
      <c r="KA29">
        <v>34.148699999999998</v>
      </c>
      <c r="KB29">
        <v>34.109699999999997</v>
      </c>
      <c r="KC29">
        <v>21.7334</v>
      </c>
      <c r="KD29">
        <v>49.829300000000003</v>
      </c>
      <c r="KE29">
        <v>0</v>
      </c>
      <c r="KF29">
        <v>21.857399999999998</v>
      </c>
      <c r="KG29">
        <v>416.92399999999998</v>
      </c>
      <c r="KH29">
        <v>20.520199999999999</v>
      </c>
      <c r="KI29">
        <v>100.453</v>
      </c>
      <c r="KJ29">
        <v>99.013499999999993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726F9-F0A5-4D61-9D3F-3CF46FD30EDE}">
  <dimension ref="A2:KJ33"/>
  <sheetViews>
    <sheetView tabSelected="1" workbookViewId="0">
      <selection activeCell="D8" sqref="D8"/>
    </sheetView>
  </sheetViews>
  <sheetFormatPr defaultRowHeight="14.4" x14ac:dyDescent="0.3"/>
  <sheetData>
    <row r="2" spans="1:296" x14ac:dyDescent="0.3">
      <c r="A2" t="s">
        <v>0</v>
      </c>
      <c r="B2" t="s">
        <v>1</v>
      </c>
      <c r="C2" t="s">
        <v>2</v>
      </c>
    </row>
    <row r="3" spans="1:296" x14ac:dyDescent="0.3">
      <c r="B3" t="s">
        <v>3</v>
      </c>
      <c r="C3" t="s">
        <v>1075</v>
      </c>
    </row>
    <row r="4" spans="1:296" x14ac:dyDescent="0.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</row>
    <row r="5" spans="1:296" x14ac:dyDescent="0.3">
      <c r="B5" t="s">
        <v>15</v>
      </c>
      <c r="C5" t="s">
        <v>16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96" x14ac:dyDescent="0.3">
      <c r="A6" t="s">
        <v>17</v>
      </c>
      <c r="B6" t="s">
        <v>18</v>
      </c>
      <c r="C6" t="s">
        <v>19</v>
      </c>
      <c r="D6" t="s">
        <v>20</v>
      </c>
      <c r="E6" t="s">
        <v>21</v>
      </c>
    </row>
    <row r="7" spans="1:296" x14ac:dyDescent="0.3">
      <c r="B7">
        <v>0</v>
      </c>
      <c r="C7">
        <v>1</v>
      </c>
      <c r="D7">
        <v>0</v>
      </c>
      <c r="E7">
        <v>0</v>
      </c>
    </row>
    <row r="8" spans="1:296" x14ac:dyDescent="0.3">
      <c r="A8" t="s">
        <v>22</v>
      </c>
      <c r="B8" t="s">
        <v>23</v>
      </c>
      <c r="C8" t="s">
        <v>24</v>
      </c>
      <c r="D8" t="s">
        <v>25</v>
      </c>
      <c r="E8" t="s">
        <v>26</v>
      </c>
      <c r="F8" t="s">
        <v>27</v>
      </c>
      <c r="G8" t="s">
        <v>28</v>
      </c>
      <c r="H8" t="s">
        <v>29</v>
      </c>
      <c r="I8" t="s">
        <v>30</v>
      </c>
      <c r="J8" t="s">
        <v>31</v>
      </c>
      <c r="K8" t="s">
        <v>32</v>
      </c>
      <c r="L8" t="s">
        <v>33</v>
      </c>
      <c r="M8" t="s">
        <v>34</v>
      </c>
      <c r="N8" t="s">
        <v>35</v>
      </c>
      <c r="O8" t="s">
        <v>36</v>
      </c>
      <c r="P8" t="s">
        <v>37</v>
      </c>
      <c r="Q8" t="s">
        <v>38</v>
      </c>
    </row>
    <row r="9" spans="1:296" x14ac:dyDescent="0.3">
      <c r="B9" t="s">
        <v>39</v>
      </c>
      <c r="C9" t="s">
        <v>40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96" x14ac:dyDescent="0.3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</row>
    <row r="11" spans="1:296" x14ac:dyDescent="0.3">
      <c r="B11">
        <v>0</v>
      </c>
      <c r="C11">
        <v>0</v>
      </c>
      <c r="D11">
        <v>0</v>
      </c>
      <c r="E11">
        <v>0</v>
      </c>
      <c r="F11">
        <v>1</v>
      </c>
    </row>
    <row r="12" spans="1:296" x14ac:dyDescent="0.3">
      <c r="A12" t="s">
        <v>47</v>
      </c>
      <c r="B12" t="s">
        <v>48</v>
      </c>
      <c r="C12" t="s">
        <v>49</v>
      </c>
      <c r="D12" t="s">
        <v>50</v>
      </c>
      <c r="E12" t="s">
        <v>51</v>
      </c>
      <c r="F12" t="s">
        <v>52</v>
      </c>
      <c r="G12" t="s">
        <v>53</v>
      </c>
      <c r="H12" t="s">
        <v>54</v>
      </c>
    </row>
    <row r="13" spans="1:296" x14ac:dyDescent="0.3">
      <c r="B13">
        <v>-6276</v>
      </c>
      <c r="C13">
        <v>6.6</v>
      </c>
      <c r="D13">
        <v>1.7090000000000001E-5</v>
      </c>
      <c r="E13">
        <v>3.11</v>
      </c>
      <c r="F13" t="s">
        <v>1076</v>
      </c>
      <c r="G13" t="s">
        <v>1077</v>
      </c>
      <c r="H13">
        <v>0</v>
      </c>
    </row>
    <row r="14" spans="1:296" x14ac:dyDescent="0.3">
      <c r="A14" t="s">
        <v>57</v>
      </c>
      <c r="B14" t="s">
        <v>57</v>
      </c>
      <c r="C14" t="s">
        <v>57</v>
      </c>
      <c r="D14" t="s">
        <v>57</v>
      </c>
      <c r="E14" t="s">
        <v>57</v>
      </c>
      <c r="F14" t="s">
        <v>57</v>
      </c>
      <c r="G14" t="s">
        <v>58</v>
      </c>
      <c r="H14" t="s">
        <v>59</v>
      </c>
      <c r="I14" t="s">
        <v>59</v>
      </c>
      <c r="J14" t="s">
        <v>59</v>
      </c>
      <c r="K14" t="s">
        <v>59</v>
      </c>
      <c r="L14" t="s">
        <v>59</v>
      </c>
      <c r="M14" t="s">
        <v>59</v>
      </c>
      <c r="N14" t="s">
        <v>59</v>
      </c>
      <c r="O14" t="s">
        <v>59</v>
      </c>
      <c r="P14" t="s">
        <v>59</v>
      </c>
      <c r="Q14" t="s">
        <v>59</v>
      </c>
      <c r="R14" t="s">
        <v>59</v>
      </c>
      <c r="S14" t="s">
        <v>59</v>
      </c>
      <c r="T14" t="s">
        <v>59</v>
      </c>
      <c r="U14" t="s">
        <v>59</v>
      </c>
      <c r="V14" t="s">
        <v>59</v>
      </c>
      <c r="W14" t="s">
        <v>59</v>
      </c>
      <c r="X14" t="s">
        <v>59</v>
      </c>
      <c r="Y14" t="s">
        <v>59</v>
      </c>
      <c r="Z14" t="s">
        <v>59</v>
      </c>
      <c r="AA14" t="s">
        <v>59</v>
      </c>
      <c r="AB14" t="s">
        <v>59</v>
      </c>
      <c r="AC14" t="s">
        <v>59</v>
      </c>
      <c r="AD14" t="s">
        <v>59</v>
      </c>
      <c r="AE14" t="s">
        <v>59</v>
      </c>
      <c r="AF14" t="s">
        <v>59</v>
      </c>
      <c r="AG14" t="s">
        <v>59</v>
      </c>
      <c r="AH14" t="s">
        <v>60</v>
      </c>
      <c r="AI14" t="s">
        <v>60</v>
      </c>
      <c r="AJ14" t="s">
        <v>60</v>
      </c>
      <c r="AK14" t="s">
        <v>60</v>
      </c>
      <c r="AL14" t="s">
        <v>60</v>
      </c>
      <c r="AM14" t="s">
        <v>60</v>
      </c>
      <c r="AN14" t="s">
        <v>60</v>
      </c>
      <c r="AO14" t="s">
        <v>60</v>
      </c>
      <c r="AP14" t="s">
        <v>60</v>
      </c>
      <c r="AQ14" t="s">
        <v>60</v>
      </c>
      <c r="AR14" t="s">
        <v>61</v>
      </c>
      <c r="AS14" t="s">
        <v>61</v>
      </c>
      <c r="AT14" t="s">
        <v>61</v>
      </c>
      <c r="AU14" t="s">
        <v>61</v>
      </c>
      <c r="AV14" t="s">
        <v>61</v>
      </c>
      <c r="AW14" t="s">
        <v>62</v>
      </c>
      <c r="AX14" t="s">
        <v>62</v>
      </c>
      <c r="AY14" t="s">
        <v>62</v>
      </c>
      <c r="AZ14" t="s">
        <v>62</v>
      </c>
      <c r="BA14" t="s">
        <v>62</v>
      </c>
      <c r="BB14" t="s">
        <v>62</v>
      </c>
      <c r="BC14" t="s">
        <v>62</v>
      </c>
      <c r="BD14" t="s">
        <v>62</v>
      </c>
      <c r="BE14" t="s">
        <v>62</v>
      </c>
      <c r="BF14" t="s">
        <v>62</v>
      </c>
      <c r="BG14" t="s">
        <v>62</v>
      </c>
      <c r="BH14" t="s">
        <v>62</v>
      </c>
      <c r="BI14" t="s">
        <v>62</v>
      </c>
      <c r="BJ14" t="s">
        <v>62</v>
      </c>
      <c r="BK14" t="s">
        <v>62</v>
      </c>
      <c r="BL14" t="s">
        <v>62</v>
      </c>
      <c r="BM14" t="s">
        <v>62</v>
      </c>
      <c r="BN14" t="s">
        <v>62</v>
      </c>
      <c r="BO14" t="s">
        <v>62</v>
      </c>
      <c r="BP14" t="s">
        <v>62</v>
      </c>
      <c r="BQ14" t="s">
        <v>62</v>
      </c>
      <c r="BR14" t="s">
        <v>62</v>
      </c>
      <c r="BS14" t="s">
        <v>62</v>
      </c>
      <c r="BT14" t="s">
        <v>62</v>
      </c>
      <c r="BU14" t="s">
        <v>62</v>
      </c>
      <c r="BV14" t="s">
        <v>62</v>
      </c>
      <c r="BW14" t="s">
        <v>62</v>
      </c>
      <c r="BX14" t="s">
        <v>62</v>
      </c>
      <c r="BY14" t="s">
        <v>63</v>
      </c>
      <c r="BZ14" t="s">
        <v>63</v>
      </c>
      <c r="CA14" t="s">
        <v>63</v>
      </c>
      <c r="CB14" t="s">
        <v>63</v>
      </c>
      <c r="CC14" t="s">
        <v>63</v>
      </c>
      <c r="CD14" t="s">
        <v>63</v>
      </c>
      <c r="CE14" t="s">
        <v>63</v>
      </c>
      <c r="CF14" t="s">
        <v>63</v>
      </c>
      <c r="CG14" t="s">
        <v>63</v>
      </c>
      <c r="CH14" t="s">
        <v>63</v>
      </c>
      <c r="CI14" t="s">
        <v>63</v>
      </c>
      <c r="CJ14" t="s">
        <v>63</v>
      </c>
      <c r="CK14" t="s">
        <v>63</v>
      </c>
      <c r="CL14" t="s">
        <v>63</v>
      </c>
      <c r="CM14" t="s">
        <v>63</v>
      </c>
      <c r="CN14" t="s">
        <v>63</v>
      </c>
      <c r="CO14" t="s">
        <v>63</v>
      </c>
      <c r="CP14" t="s">
        <v>63</v>
      </c>
      <c r="CQ14" t="s">
        <v>63</v>
      </c>
      <c r="CR14" t="s">
        <v>63</v>
      </c>
      <c r="CS14" t="s">
        <v>63</v>
      </c>
      <c r="CT14" t="s">
        <v>64</v>
      </c>
      <c r="CU14" t="s">
        <v>64</v>
      </c>
      <c r="CV14" t="s">
        <v>64</v>
      </c>
      <c r="CW14" t="s">
        <v>64</v>
      </c>
      <c r="CX14" t="s">
        <v>64</v>
      </c>
      <c r="CY14" t="s">
        <v>64</v>
      </c>
      <c r="CZ14" t="s">
        <v>64</v>
      </c>
      <c r="DA14" t="s">
        <v>64</v>
      </c>
      <c r="DB14" t="s">
        <v>64</v>
      </c>
      <c r="DC14" t="s">
        <v>64</v>
      </c>
      <c r="DD14" t="s">
        <v>64</v>
      </c>
      <c r="DE14" t="s">
        <v>64</v>
      </c>
      <c r="DF14" t="s">
        <v>64</v>
      </c>
      <c r="DG14" t="s">
        <v>65</v>
      </c>
      <c r="DH14" t="s">
        <v>65</v>
      </c>
      <c r="DI14" t="s">
        <v>65</v>
      </c>
      <c r="DJ14" t="s">
        <v>65</v>
      </c>
      <c r="DK14" t="s">
        <v>66</v>
      </c>
      <c r="DL14" t="s">
        <v>66</v>
      </c>
      <c r="DM14" t="s">
        <v>66</v>
      </c>
      <c r="DN14" t="s">
        <v>66</v>
      </c>
      <c r="DO14" t="s">
        <v>66</v>
      </c>
      <c r="DP14" t="s">
        <v>67</v>
      </c>
      <c r="DQ14" t="s">
        <v>67</v>
      </c>
      <c r="DR14" t="s">
        <v>67</v>
      </c>
      <c r="DS14" t="s">
        <v>67</v>
      </c>
      <c r="DT14" t="s">
        <v>67</v>
      </c>
      <c r="DU14" t="s">
        <v>67</v>
      </c>
      <c r="DV14" t="s">
        <v>67</v>
      </c>
      <c r="DW14" t="s">
        <v>67</v>
      </c>
      <c r="DX14" t="s">
        <v>67</v>
      </c>
      <c r="DY14" t="s">
        <v>67</v>
      </c>
      <c r="DZ14" t="s">
        <v>67</v>
      </c>
      <c r="EA14" t="s">
        <v>67</v>
      </c>
      <c r="EB14" t="s">
        <v>67</v>
      </c>
      <c r="EC14" t="s">
        <v>67</v>
      </c>
      <c r="ED14" t="s">
        <v>67</v>
      </c>
      <c r="EE14" t="s">
        <v>67</v>
      </c>
      <c r="EF14" t="s">
        <v>67</v>
      </c>
      <c r="EG14" t="s">
        <v>67</v>
      </c>
      <c r="EH14" t="s">
        <v>68</v>
      </c>
      <c r="EI14" t="s">
        <v>68</v>
      </c>
      <c r="EJ14" t="s">
        <v>68</v>
      </c>
      <c r="EK14" t="s">
        <v>68</v>
      </c>
      <c r="EL14" t="s">
        <v>68</v>
      </c>
      <c r="EM14" t="s">
        <v>68</v>
      </c>
      <c r="EN14" t="s">
        <v>68</v>
      </c>
      <c r="EO14" t="s">
        <v>68</v>
      </c>
      <c r="EP14" t="s">
        <v>68</v>
      </c>
      <c r="EQ14" t="s">
        <v>68</v>
      </c>
      <c r="ER14" t="s">
        <v>69</v>
      </c>
      <c r="ES14" t="s">
        <v>69</v>
      </c>
      <c r="ET14" t="s">
        <v>69</v>
      </c>
      <c r="EU14" t="s">
        <v>69</v>
      </c>
      <c r="EV14" t="s">
        <v>69</v>
      </c>
      <c r="EW14" t="s">
        <v>69</v>
      </c>
      <c r="EX14" t="s">
        <v>69</v>
      </c>
      <c r="EY14" t="s">
        <v>69</v>
      </c>
      <c r="EZ14" t="s">
        <v>69</v>
      </c>
      <c r="FA14" t="s">
        <v>69</v>
      </c>
      <c r="FB14" t="s">
        <v>69</v>
      </c>
      <c r="FC14" t="s">
        <v>69</v>
      </c>
      <c r="FD14" t="s">
        <v>69</v>
      </c>
      <c r="FE14" t="s">
        <v>69</v>
      </c>
      <c r="FF14" t="s">
        <v>69</v>
      </c>
      <c r="FG14" t="s">
        <v>69</v>
      </c>
      <c r="FH14" t="s">
        <v>69</v>
      </c>
      <c r="FI14" t="s">
        <v>69</v>
      </c>
      <c r="FJ14" t="s">
        <v>70</v>
      </c>
      <c r="FK14" t="s">
        <v>70</v>
      </c>
      <c r="FL14" t="s">
        <v>70</v>
      </c>
      <c r="FM14" t="s">
        <v>70</v>
      </c>
      <c r="FN14" t="s">
        <v>70</v>
      </c>
      <c r="FO14" t="s">
        <v>71</v>
      </c>
      <c r="FP14" t="s">
        <v>71</v>
      </c>
      <c r="FQ14" t="s">
        <v>71</v>
      </c>
      <c r="FR14" t="s">
        <v>71</v>
      </c>
      <c r="FS14" t="s">
        <v>71</v>
      </c>
      <c r="FT14" t="s">
        <v>71</v>
      </c>
      <c r="FU14" t="s">
        <v>71</v>
      </c>
      <c r="FV14" t="s">
        <v>71</v>
      </c>
      <c r="FW14" t="s">
        <v>71</v>
      </c>
      <c r="FX14" t="s">
        <v>71</v>
      </c>
      <c r="FY14" t="s">
        <v>71</v>
      </c>
      <c r="FZ14" t="s">
        <v>71</v>
      </c>
      <c r="GA14" t="s">
        <v>71</v>
      </c>
      <c r="GB14" t="s">
        <v>72</v>
      </c>
      <c r="GC14" t="s">
        <v>72</v>
      </c>
      <c r="GD14" t="s">
        <v>72</v>
      </c>
      <c r="GE14" t="s">
        <v>72</v>
      </c>
      <c r="GF14" t="s">
        <v>72</v>
      </c>
      <c r="GG14" t="s">
        <v>72</v>
      </c>
      <c r="GH14" t="s">
        <v>72</v>
      </c>
      <c r="GI14" t="s">
        <v>72</v>
      </c>
      <c r="GJ14" t="s">
        <v>72</v>
      </c>
      <c r="GK14" t="s">
        <v>72</v>
      </c>
      <c r="GL14" t="s">
        <v>72</v>
      </c>
      <c r="GM14" t="s">
        <v>72</v>
      </c>
      <c r="GN14" t="s">
        <v>72</v>
      </c>
      <c r="GO14" t="s">
        <v>72</v>
      </c>
      <c r="GP14" t="s">
        <v>72</v>
      </c>
      <c r="GQ14" t="s">
        <v>73</v>
      </c>
      <c r="GR14" t="s">
        <v>73</v>
      </c>
      <c r="GS14" t="s">
        <v>73</v>
      </c>
      <c r="GT14" t="s">
        <v>73</v>
      </c>
      <c r="GU14" t="s">
        <v>73</v>
      </c>
      <c r="GV14" t="s">
        <v>73</v>
      </c>
      <c r="GW14" t="s">
        <v>73</v>
      </c>
      <c r="GX14" t="s">
        <v>73</v>
      </c>
      <c r="GY14" t="s">
        <v>73</v>
      </c>
      <c r="GZ14" t="s">
        <v>73</v>
      </c>
      <c r="HA14" t="s">
        <v>73</v>
      </c>
      <c r="HB14" t="s">
        <v>73</v>
      </c>
      <c r="HC14" t="s">
        <v>73</v>
      </c>
      <c r="HD14" t="s">
        <v>73</v>
      </c>
      <c r="HE14" t="s">
        <v>73</v>
      </c>
      <c r="HF14" t="s">
        <v>73</v>
      </c>
      <c r="HG14" t="s">
        <v>73</v>
      </c>
      <c r="HH14" t="s">
        <v>73</v>
      </c>
      <c r="HI14" t="s">
        <v>74</v>
      </c>
      <c r="HJ14" t="s">
        <v>74</v>
      </c>
      <c r="HK14" t="s">
        <v>74</v>
      </c>
      <c r="HL14" t="s">
        <v>74</v>
      </c>
      <c r="HM14" t="s">
        <v>74</v>
      </c>
      <c r="HN14" t="s">
        <v>74</v>
      </c>
      <c r="HO14" t="s">
        <v>74</v>
      </c>
      <c r="HP14" t="s">
        <v>74</v>
      </c>
      <c r="HQ14" t="s">
        <v>74</v>
      </c>
      <c r="HR14" t="s">
        <v>74</v>
      </c>
      <c r="HS14" t="s">
        <v>74</v>
      </c>
      <c r="HT14" t="s">
        <v>74</v>
      </c>
      <c r="HU14" t="s">
        <v>74</v>
      </c>
      <c r="HV14" t="s">
        <v>74</v>
      </c>
      <c r="HW14" t="s">
        <v>74</v>
      </c>
      <c r="HX14" t="s">
        <v>74</v>
      </c>
      <c r="HY14" t="s">
        <v>74</v>
      </c>
      <c r="HZ14" t="s">
        <v>74</v>
      </c>
      <c r="IA14" t="s">
        <v>74</v>
      </c>
      <c r="IB14" t="s">
        <v>75</v>
      </c>
      <c r="IC14" t="s">
        <v>75</v>
      </c>
      <c r="ID14" t="s">
        <v>75</v>
      </c>
      <c r="IE14" t="s">
        <v>75</v>
      </c>
      <c r="IF14" t="s">
        <v>75</v>
      </c>
      <c r="IG14" t="s">
        <v>75</v>
      </c>
      <c r="IH14" t="s">
        <v>75</v>
      </c>
      <c r="II14" t="s">
        <v>75</v>
      </c>
      <c r="IJ14" t="s">
        <v>75</v>
      </c>
      <c r="IK14" t="s">
        <v>75</v>
      </c>
      <c r="IL14" t="s">
        <v>75</v>
      </c>
      <c r="IM14" t="s">
        <v>75</v>
      </c>
      <c r="IN14" t="s">
        <v>75</v>
      </c>
      <c r="IO14" t="s">
        <v>75</v>
      </c>
      <c r="IP14" t="s">
        <v>75</v>
      </c>
      <c r="IQ14" t="s">
        <v>75</v>
      </c>
      <c r="IR14" t="s">
        <v>75</v>
      </c>
      <c r="IS14" t="s">
        <v>75</v>
      </c>
      <c r="IT14" t="s">
        <v>75</v>
      </c>
      <c r="IU14" t="s">
        <v>76</v>
      </c>
      <c r="IV14" t="s">
        <v>76</v>
      </c>
      <c r="IW14" t="s">
        <v>76</v>
      </c>
      <c r="IX14" t="s">
        <v>76</v>
      </c>
      <c r="IY14" t="s">
        <v>76</v>
      </c>
      <c r="IZ14" t="s">
        <v>76</v>
      </c>
      <c r="JA14" t="s">
        <v>76</v>
      </c>
      <c r="JB14" t="s">
        <v>76</v>
      </c>
      <c r="JC14" t="s">
        <v>76</v>
      </c>
      <c r="JD14" t="s">
        <v>76</v>
      </c>
      <c r="JE14" t="s">
        <v>76</v>
      </c>
      <c r="JF14" t="s">
        <v>76</v>
      </c>
      <c r="JG14" t="s">
        <v>76</v>
      </c>
      <c r="JH14" t="s">
        <v>76</v>
      </c>
      <c r="JI14" t="s">
        <v>76</v>
      </c>
      <c r="JJ14" t="s">
        <v>76</v>
      </c>
      <c r="JK14" t="s">
        <v>76</v>
      </c>
      <c r="JL14" t="s">
        <v>76</v>
      </c>
      <c r="JM14" t="s">
        <v>77</v>
      </c>
      <c r="JN14" t="s">
        <v>77</v>
      </c>
      <c r="JO14" t="s">
        <v>77</v>
      </c>
      <c r="JP14" t="s">
        <v>77</v>
      </c>
      <c r="JQ14" t="s">
        <v>77</v>
      </c>
      <c r="JR14" t="s">
        <v>77</v>
      </c>
      <c r="JS14" t="s">
        <v>77</v>
      </c>
      <c r="JT14" t="s">
        <v>77</v>
      </c>
      <c r="JU14" t="s">
        <v>78</v>
      </c>
      <c r="JV14" t="s">
        <v>78</v>
      </c>
      <c r="JW14" t="s">
        <v>78</v>
      </c>
      <c r="JX14" t="s">
        <v>78</v>
      </c>
      <c r="JY14" t="s">
        <v>78</v>
      </c>
      <c r="JZ14" t="s">
        <v>78</v>
      </c>
      <c r="KA14" t="s">
        <v>78</v>
      </c>
      <c r="KB14" t="s">
        <v>78</v>
      </c>
      <c r="KC14" t="s">
        <v>78</v>
      </c>
      <c r="KD14" t="s">
        <v>78</v>
      </c>
      <c r="KE14" t="s">
        <v>78</v>
      </c>
      <c r="KF14" t="s">
        <v>78</v>
      </c>
      <c r="KG14" t="s">
        <v>78</v>
      </c>
      <c r="KH14" t="s">
        <v>78</v>
      </c>
      <c r="KI14" t="s">
        <v>78</v>
      </c>
      <c r="KJ14" t="s">
        <v>78</v>
      </c>
    </row>
    <row r="15" spans="1:296" x14ac:dyDescent="0.3">
      <c r="A15" t="s">
        <v>79</v>
      </c>
      <c r="B15" t="s">
        <v>80</v>
      </c>
      <c r="C15" t="s">
        <v>81</v>
      </c>
      <c r="D15" t="s">
        <v>82</v>
      </c>
      <c r="E15" t="s">
        <v>83</v>
      </c>
      <c r="F15" t="s">
        <v>84</v>
      </c>
      <c r="G15" t="s">
        <v>85</v>
      </c>
      <c r="H15" t="s">
        <v>86</v>
      </c>
      <c r="I15" t="s">
        <v>87</v>
      </c>
      <c r="J15" t="s">
        <v>88</v>
      </c>
      <c r="K15" t="s">
        <v>89</v>
      </c>
      <c r="L15" t="s">
        <v>90</v>
      </c>
      <c r="M15" t="s">
        <v>91</v>
      </c>
      <c r="N15" t="s">
        <v>92</v>
      </c>
      <c r="O15" t="s">
        <v>93</v>
      </c>
      <c r="P15" t="s">
        <v>94</v>
      </c>
      <c r="Q15" t="s">
        <v>95</v>
      </c>
      <c r="R15" t="s">
        <v>96</v>
      </c>
      <c r="S15" t="s">
        <v>97</v>
      </c>
      <c r="T15" t="s">
        <v>98</v>
      </c>
      <c r="U15" t="s">
        <v>99</v>
      </c>
      <c r="V15" t="s">
        <v>100</v>
      </c>
      <c r="W15" t="s">
        <v>101</v>
      </c>
      <c r="X15" t="s">
        <v>102</v>
      </c>
      <c r="Y15" t="s">
        <v>103</v>
      </c>
      <c r="Z15" t="s">
        <v>104</v>
      </c>
      <c r="AA15" t="s">
        <v>105</v>
      </c>
      <c r="AB15" t="s">
        <v>106</v>
      </c>
      <c r="AC15" t="s">
        <v>107</v>
      </c>
      <c r="AD15" t="s">
        <v>108</v>
      </c>
      <c r="AE15" t="s">
        <v>109</v>
      </c>
      <c r="AF15" t="s">
        <v>110</v>
      </c>
      <c r="AG15" t="s">
        <v>111</v>
      </c>
      <c r="AH15" t="s">
        <v>112</v>
      </c>
      <c r="AI15" t="s">
        <v>113</v>
      </c>
      <c r="AJ15" t="s">
        <v>114</v>
      </c>
      <c r="AK15" t="s">
        <v>115</v>
      </c>
      <c r="AL15" t="s">
        <v>116</v>
      </c>
      <c r="AM15" t="s">
        <v>117</v>
      </c>
      <c r="AN15" t="s">
        <v>118</v>
      </c>
      <c r="AO15" t="s">
        <v>119</v>
      </c>
      <c r="AP15" t="s">
        <v>120</v>
      </c>
      <c r="AQ15" t="s">
        <v>121</v>
      </c>
      <c r="AR15" t="s">
        <v>61</v>
      </c>
      <c r="AS15" t="s">
        <v>122</v>
      </c>
      <c r="AT15" t="s">
        <v>123</v>
      </c>
      <c r="AU15" t="s">
        <v>124</v>
      </c>
      <c r="AV15" t="s">
        <v>125</v>
      </c>
      <c r="AW15" t="s">
        <v>126</v>
      </c>
      <c r="AX15" t="s">
        <v>127</v>
      </c>
      <c r="AY15" t="s">
        <v>128</v>
      </c>
      <c r="AZ15" t="s">
        <v>129</v>
      </c>
      <c r="BA15" t="s">
        <v>130</v>
      </c>
      <c r="BB15" t="s">
        <v>131</v>
      </c>
      <c r="BC15" t="s">
        <v>132</v>
      </c>
      <c r="BD15" t="s">
        <v>133</v>
      </c>
      <c r="BE15" t="s">
        <v>134</v>
      </c>
      <c r="BF15" t="s">
        <v>135</v>
      </c>
      <c r="BG15" t="s">
        <v>136</v>
      </c>
      <c r="BH15" t="s">
        <v>137</v>
      </c>
      <c r="BI15" t="s">
        <v>138</v>
      </c>
      <c r="BJ15" t="s">
        <v>139</v>
      </c>
      <c r="BK15" t="s">
        <v>140</v>
      </c>
      <c r="BL15" t="s">
        <v>141</v>
      </c>
      <c r="BM15" t="s">
        <v>142</v>
      </c>
      <c r="BN15" t="s">
        <v>143</v>
      </c>
      <c r="BO15" t="s">
        <v>144</v>
      </c>
      <c r="BP15" t="s">
        <v>145</v>
      </c>
      <c r="BQ15" t="s">
        <v>146</v>
      </c>
      <c r="BR15" t="s">
        <v>147</v>
      </c>
      <c r="BS15" t="s">
        <v>148</v>
      </c>
      <c r="BT15" t="s">
        <v>149</v>
      </c>
      <c r="BU15" t="s">
        <v>150</v>
      </c>
      <c r="BV15" t="s">
        <v>151</v>
      </c>
      <c r="BW15" t="s">
        <v>152</v>
      </c>
      <c r="BX15" t="s">
        <v>153</v>
      </c>
      <c r="BY15" t="s">
        <v>154</v>
      </c>
      <c r="BZ15" t="s">
        <v>155</v>
      </c>
      <c r="CA15" t="s">
        <v>156</v>
      </c>
      <c r="CB15" t="s">
        <v>157</v>
      </c>
      <c r="CC15" t="s">
        <v>158</v>
      </c>
      <c r="CD15" t="s">
        <v>159</v>
      </c>
      <c r="CE15" t="s">
        <v>160</v>
      </c>
      <c r="CF15" t="s">
        <v>161</v>
      </c>
      <c r="CG15" t="s">
        <v>162</v>
      </c>
      <c r="CH15" t="s">
        <v>163</v>
      </c>
      <c r="CI15" t="s">
        <v>164</v>
      </c>
      <c r="CJ15" t="s">
        <v>165</v>
      </c>
      <c r="CK15" t="s">
        <v>166</v>
      </c>
      <c r="CL15" t="s">
        <v>167</v>
      </c>
      <c r="CM15" t="s">
        <v>168</v>
      </c>
      <c r="CN15" t="s">
        <v>169</v>
      </c>
      <c r="CO15" t="s">
        <v>170</v>
      </c>
      <c r="CP15" t="s">
        <v>171</v>
      </c>
      <c r="CQ15" t="s">
        <v>172</v>
      </c>
      <c r="CR15" t="s">
        <v>173</v>
      </c>
      <c r="CS15" t="s">
        <v>174</v>
      </c>
      <c r="CT15" t="s">
        <v>154</v>
      </c>
      <c r="CU15" t="s">
        <v>175</v>
      </c>
      <c r="CV15" t="s">
        <v>176</v>
      </c>
      <c r="CW15" t="s">
        <v>177</v>
      </c>
      <c r="CX15" t="s">
        <v>128</v>
      </c>
      <c r="CY15" t="s">
        <v>178</v>
      </c>
      <c r="CZ15" t="s">
        <v>179</v>
      </c>
      <c r="DA15" t="s">
        <v>180</v>
      </c>
      <c r="DB15" t="s">
        <v>181</v>
      </c>
      <c r="DC15" t="s">
        <v>182</v>
      </c>
      <c r="DD15" t="s">
        <v>183</v>
      </c>
      <c r="DE15" t="s">
        <v>184</v>
      </c>
      <c r="DF15" t="s">
        <v>185</v>
      </c>
      <c r="DG15" t="s">
        <v>186</v>
      </c>
      <c r="DH15" t="s">
        <v>187</v>
      </c>
      <c r="DI15" t="s">
        <v>188</v>
      </c>
      <c r="DJ15" t="s">
        <v>189</v>
      </c>
      <c r="DK15" t="s">
        <v>190</v>
      </c>
      <c r="DL15" t="s">
        <v>191</v>
      </c>
      <c r="DM15" t="s">
        <v>192</v>
      </c>
      <c r="DN15" t="s">
        <v>193</v>
      </c>
      <c r="DO15" t="s">
        <v>194</v>
      </c>
      <c r="DP15" t="s">
        <v>86</v>
      </c>
      <c r="DQ15" t="s">
        <v>195</v>
      </c>
      <c r="DR15" t="s">
        <v>196</v>
      </c>
      <c r="DS15" t="s">
        <v>197</v>
      </c>
      <c r="DT15" t="s">
        <v>198</v>
      </c>
      <c r="DU15" t="s">
        <v>199</v>
      </c>
      <c r="DV15" t="s">
        <v>200</v>
      </c>
      <c r="DW15" t="s">
        <v>201</v>
      </c>
      <c r="DX15" t="s">
        <v>202</v>
      </c>
      <c r="DY15" t="s">
        <v>203</v>
      </c>
      <c r="DZ15" t="s">
        <v>204</v>
      </c>
      <c r="EA15" t="s">
        <v>205</v>
      </c>
      <c r="EB15" t="s">
        <v>206</v>
      </c>
      <c r="EC15" t="s">
        <v>207</v>
      </c>
      <c r="ED15" t="s">
        <v>208</v>
      </c>
      <c r="EE15" t="s">
        <v>209</v>
      </c>
      <c r="EF15" t="s">
        <v>210</v>
      </c>
      <c r="EG15" t="s">
        <v>211</v>
      </c>
      <c r="EH15" t="s">
        <v>212</v>
      </c>
      <c r="EI15" t="s">
        <v>213</v>
      </c>
      <c r="EJ15" t="s">
        <v>214</v>
      </c>
      <c r="EK15" t="s">
        <v>215</v>
      </c>
      <c r="EL15" t="s">
        <v>216</v>
      </c>
      <c r="EM15" t="s">
        <v>217</v>
      </c>
      <c r="EN15" t="s">
        <v>218</v>
      </c>
      <c r="EO15" t="s">
        <v>219</v>
      </c>
      <c r="EP15" t="s">
        <v>220</v>
      </c>
      <c r="EQ15" t="s">
        <v>221</v>
      </c>
      <c r="ER15" t="s">
        <v>222</v>
      </c>
      <c r="ES15" t="s">
        <v>223</v>
      </c>
      <c r="ET15" t="s">
        <v>224</v>
      </c>
      <c r="EU15" t="s">
        <v>225</v>
      </c>
      <c r="EV15" t="s">
        <v>226</v>
      </c>
      <c r="EW15" t="s">
        <v>227</v>
      </c>
      <c r="EX15" t="s">
        <v>228</v>
      </c>
      <c r="EY15" t="s">
        <v>229</v>
      </c>
      <c r="EZ15" t="s">
        <v>230</v>
      </c>
      <c r="FA15" t="s">
        <v>231</v>
      </c>
      <c r="FB15" t="s">
        <v>232</v>
      </c>
      <c r="FC15" t="s">
        <v>233</v>
      </c>
      <c r="FD15" t="s">
        <v>234</v>
      </c>
      <c r="FE15" t="s">
        <v>235</v>
      </c>
      <c r="FF15" t="s">
        <v>236</v>
      </c>
      <c r="FG15" t="s">
        <v>237</v>
      </c>
      <c r="FH15" t="s">
        <v>238</v>
      </c>
      <c r="FI15" t="s">
        <v>239</v>
      </c>
      <c r="FJ15" t="s">
        <v>240</v>
      </c>
      <c r="FK15" t="s">
        <v>241</v>
      </c>
      <c r="FL15" t="s">
        <v>242</v>
      </c>
      <c r="FM15" t="s">
        <v>243</v>
      </c>
      <c r="FN15" t="s">
        <v>244</v>
      </c>
      <c r="FO15" t="s">
        <v>80</v>
      </c>
      <c r="FP15" t="s">
        <v>83</v>
      </c>
      <c r="FQ15" t="s">
        <v>245</v>
      </c>
      <c r="FR15" t="s">
        <v>246</v>
      </c>
      <c r="FS15" t="s">
        <v>247</v>
      </c>
      <c r="FT15" t="s">
        <v>248</v>
      </c>
      <c r="FU15" t="s">
        <v>249</v>
      </c>
      <c r="FV15" t="s">
        <v>250</v>
      </c>
      <c r="FW15" t="s">
        <v>251</v>
      </c>
      <c r="FX15" t="s">
        <v>252</v>
      </c>
      <c r="FY15" t="s">
        <v>253</v>
      </c>
      <c r="FZ15" t="s">
        <v>254</v>
      </c>
      <c r="GA15" t="s">
        <v>255</v>
      </c>
      <c r="GB15" t="s">
        <v>256</v>
      </c>
      <c r="GC15" t="s">
        <v>257</v>
      </c>
      <c r="GD15" t="s">
        <v>258</v>
      </c>
      <c r="GE15" t="s">
        <v>259</v>
      </c>
      <c r="GF15" t="s">
        <v>260</v>
      </c>
      <c r="GG15" t="s">
        <v>261</v>
      </c>
      <c r="GH15" t="s">
        <v>262</v>
      </c>
      <c r="GI15" t="s">
        <v>263</v>
      </c>
      <c r="GJ15" t="s">
        <v>264</v>
      </c>
      <c r="GK15" t="s">
        <v>265</v>
      </c>
      <c r="GL15" t="s">
        <v>266</v>
      </c>
      <c r="GM15" t="s">
        <v>267</v>
      </c>
      <c r="GN15" t="s">
        <v>268</v>
      </c>
      <c r="GO15" t="s">
        <v>269</v>
      </c>
      <c r="GP15" t="s">
        <v>270</v>
      </c>
      <c r="GQ15" t="s">
        <v>271</v>
      </c>
      <c r="GR15" t="s">
        <v>272</v>
      </c>
      <c r="GS15" t="s">
        <v>273</v>
      </c>
      <c r="GT15" t="s">
        <v>274</v>
      </c>
      <c r="GU15" t="s">
        <v>275</v>
      </c>
      <c r="GV15" t="s">
        <v>276</v>
      </c>
      <c r="GW15" t="s">
        <v>277</v>
      </c>
      <c r="GX15" t="s">
        <v>278</v>
      </c>
      <c r="GY15" t="s">
        <v>279</v>
      </c>
      <c r="GZ15" t="s">
        <v>280</v>
      </c>
      <c r="HA15" t="s">
        <v>281</v>
      </c>
      <c r="HB15" t="s">
        <v>282</v>
      </c>
      <c r="HC15" t="s">
        <v>283</v>
      </c>
      <c r="HD15" t="s">
        <v>284</v>
      </c>
      <c r="HE15" t="s">
        <v>285</v>
      </c>
      <c r="HF15" t="s">
        <v>286</v>
      </c>
      <c r="HG15" t="s">
        <v>287</v>
      </c>
      <c r="HH15" t="s">
        <v>288</v>
      </c>
      <c r="HI15" t="s">
        <v>289</v>
      </c>
      <c r="HJ15" t="s">
        <v>290</v>
      </c>
      <c r="HK15" t="s">
        <v>291</v>
      </c>
      <c r="HL15" t="s">
        <v>292</v>
      </c>
      <c r="HM15" t="s">
        <v>293</v>
      </c>
      <c r="HN15" t="s">
        <v>294</v>
      </c>
      <c r="HO15" t="s">
        <v>295</v>
      </c>
      <c r="HP15" t="s">
        <v>296</v>
      </c>
      <c r="HQ15" t="s">
        <v>297</v>
      </c>
      <c r="HR15" t="s">
        <v>298</v>
      </c>
      <c r="HS15" t="s">
        <v>299</v>
      </c>
      <c r="HT15" t="s">
        <v>300</v>
      </c>
      <c r="HU15" t="s">
        <v>301</v>
      </c>
      <c r="HV15" t="s">
        <v>302</v>
      </c>
      <c r="HW15" t="s">
        <v>303</v>
      </c>
      <c r="HX15" t="s">
        <v>304</v>
      </c>
      <c r="HY15" t="s">
        <v>305</v>
      </c>
      <c r="HZ15" t="s">
        <v>306</v>
      </c>
      <c r="IA15" t="s">
        <v>307</v>
      </c>
      <c r="IB15" t="s">
        <v>308</v>
      </c>
      <c r="IC15" t="s">
        <v>309</v>
      </c>
      <c r="ID15" t="s">
        <v>310</v>
      </c>
      <c r="IE15" t="s">
        <v>311</v>
      </c>
      <c r="IF15" t="s">
        <v>312</v>
      </c>
      <c r="IG15" t="s">
        <v>313</v>
      </c>
      <c r="IH15" t="s">
        <v>314</v>
      </c>
      <c r="II15" t="s">
        <v>315</v>
      </c>
      <c r="IJ15" t="s">
        <v>316</v>
      </c>
      <c r="IK15" t="s">
        <v>317</v>
      </c>
      <c r="IL15" t="s">
        <v>318</v>
      </c>
      <c r="IM15" t="s">
        <v>319</v>
      </c>
      <c r="IN15" t="s">
        <v>320</v>
      </c>
      <c r="IO15" t="s">
        <v>321</v>
      </c>
      <c r="IP15" t="s">
        <v>322</v>
      </c>
      <c r="IQ15" t="s">
        <v>323</v>
      </c>
      <c r="IR15" t="s">
        <v>324</v>
      </c>
      <c r="IS15" t="s">
        <v>325</v>
      </c>
      <c r="IT15" t="s">
        <v>326</v>
      </c>
      <c r="IU15" t="s">
        <v>327</v>
      </c>
      <c r="IV15" t="s">
        <v>328</v>
      </c>
      <c r="IW15" t="s">
        <v>329</v>
      </c>
      <c r="IX15" t="s">
        <v>330</v>
      </c>
      <c r="IY15" t="s">
        <v>331</v>
      </c>
      <c r="IZ15" t="s">
        <v>332</v>
      </c>
      <c r="JA15" t="s">
        <v>333</v>
      </c>
      <c r="JB15" t="s">
        <v>334</v>
      </c>
      <c r="JC15" t="s">
        <v>335</v>
      </c>
      <c r="JD15" t="s">
        <v>336</v>
      </c>
      <c r="JE15" t="s">
        <v>337</v>
      </c>
      <c r="JF15" t="s">
        <v>338</v>
      </c>
      <c r="JG15" t="s">
        <v>339</v>
      </c>
      <c r="JH15" t="s">
        <v>340</v>
      </c>
      <c r="JI15" t="s">
        <v>341</v>
      </c>
      <c r="JJ15" t="s">
        <v>342</v>
      </c>
      <c r="JK15" t="s">
        <v>343</v>
      </c>
      <c r="JL15" t="s">
        <v>344</v>
      </c>
      <c r="JM15" t="s">
        <v>345</v>
      </c>
      <c r="JN15" t="s">
        <v>346</v>
      </c>
      <c r="JO15" t="s">
        <v>347</v>
      </c>
      <c r="JP15" t="s">
        <v>348</v>
      </c>
      <c r="JQ15" t="s">
        <v>349</v>
      </c>
      <c r="JR15" t="s">
        <v>350</v>
      </c>
      <c r="JS15" t="s">
        <v>351</v>
      </c>
      <c r="JT15" t="s">
        <v>352</v>
      </c>
      <c r="JU15" t="s">
        <v>353</v>
      </c>
      <c r="JV15" t="s">
        <v>354</v>
      </c>
      <c r="JW15" t="s">
        <v>355</v>
      </c>
      <c r="JX15" t="s">
        <v>356</v>
      </c>
      <c r="JY15" t="s">
        <v>357</v>
      </c>
      <c r="JZ15" t="s">
        <v>358</v>
      </c>
      <c r="KA15" t="s">
        <v>359</v>
      </c>
      <c r="KB15" t="s">
        <v>360</v>
      </c>
      <c r="KC15" t="s">
        <v>361</v>
      </c>
      <c r="KD15" t="s">
        <v>362</v>
      </c>
      <c r="KE15" t="s">
        <v>363</v>
      </c>
      <c r="KF15" t="s">
        <v>364</v>
      </c>
      <c r="KG15" t="s">
        <v>365</v>
      </c>
      <c r="KH15" t="s">
        <v>366</v>
      </c>
      <c r="KI15" t="s">
        <v>367</v>
      </c>
      <c r="KJ15" t="s">
        <v>368</v>
      </c>
    </row>
    <row r="16" spans="1:296" x14ac:dyDescent="0.3">
      <c r="B16" t="s">
        <v>369</v>
      </c>
      <c r="C16" t="s">
        <v>369</v>
      </c>
      <c r="F16" t="s">
        <v>369</v>
      </c>
      <c r="H16" t="s">
        <v>369</v>
      </c>
      <c r="I16" t="s">
        <v>370</v>
      </c>
      <c r="J16" t="s">
        <v>371</v>
      </c>
      <c r="K16" t="s">
        <v>372</v>
      </c>
      <c r="L16" t="s">
        <v>373</v>
      </c>
      <c r="M16" t="s">
        <v>373</v>
      </c>
      <c r="N16" t="s">
        <v>202</v>
      </c>
      <c r="O16" t="s">
        <v>202</v>
      </c>
      <c r="P16" t="s">
        <v>370</v>
      </c>
      <c r="Q16" t="s">
        <v>370</v>
      </c>
      <c r="R16" t="s">
        <v>370</v>
      </c>
      <c r="S16" t="s">
        <v>370</v>
      </c>
      <c r="T16" t="s">
        <v>374</v>
      </c>
      <c r="U16" t="s">
        <v>375</v>
      </c>
      <c r="V16" t="s">
        <v>375</v>
      </c>
      <c r="W16" t="s">
        <v>376</v>
      </c>
      <c r="X16" t="s">
        <v>377</v>
      </c>
      <c r="Y16" t="s">
        <v>376</v>
      </c>
      <c r="Z16" t="s">
        <v>376</v>
      </c>
      <c r="AA16" t="s">
        <v>376</v>
      </c>
      <c r="AB16" t="s">
        <v>374</v>
      </c>
      <c r="AC16" t="s">
        <v>374</v>
      </c>
      <c r="AD16" t="s">
        <v>374</v>
      </c>
      <c r="AE16" t="s">
        <v>374</v>
      </c>
      <c r="AF16" t="s">
        <v>372</v>
      </c>
      <c r="AG16" t="s">
        <v>371</v>
      </c>
      <c r="AH16" t="s">
        <v>372</v>
      </c>
      <c r="AI16" t="s">
        <v>373</v>
      </c>
      <c r="AJ16" t="s">
        <v>373</v>
      </c>
      <c r="AK16" t="s">
        <v>378</v>
      </c>
      <c r="AL16" t="s">
        <v>379</v>
      </c>
      <c r="AM16" t="s">
        <v>371</v>
      </c>
      <c r="AN16" t="s">
        <v>380</v>
      </c>
      <c r="AO16" t="s">
        <v>380</v>
      </c>
      <c r="AP16" t="s">
        <v>381</v>
      </c>
      <c r="AQ16" t="s">
        <v>379</v>
      </c>
      <c r="AR16" t="s">
        <v>382</v>
      </c>
      <c r="AS16" t="s">
        <v>377</v>
      </c>
      <c r="AU16" t="s">
        <v>377</v>
      </c>
      <c r="AV16" t="s">
        <v>382</v>
      </c>
      <c r="BB16" t="s">
        <v>372</v>
      </c>
      <c r="BI16" t="s">
        <v>372</v>
      </c>
      <c r="BJ16" t="s">
        <v>372</v>
      </c>
      <c r="BK16" t="s">
        <v>372</v>
      </c>
      <c r="BL16" t="s">
        <v>383</v>
      </c>
      <c r="BZ16" t="s">
        <v>384</v>
      </c>
      <c r="CB16" t="s">
        <v>384</v>
      </c>
      <c r="CC16" t="s">
        <v>372</v>
      </c>
      <c r="CF16" t="s">
        <v>384</v>
      </c>
      <c r="CG16" t="s">
        <v>377</v>
      </c>
      <c r="CJ16" t="s">
        <v>385</v>
      </c>
      <c r="CK16" t="s">
        <v>385</v>
      </c>
      <c r="CM16" t="s">
        <v>386</v>
      </c>
      <c r="CN16" t="s">
        <v>384</v>
      </c>
      <c r="CP16" t="s">
        <v>384</v>
      </c>
      <c r="CQ16" t="s">
        <v>372</v>
      </c>
      <c r="CU16" t="s">
        <v>384</v>
      </c>
      <c r="CW16" t="s">
        <v>387</v>
      </c>
      <c r="CZ16" t="s">
        <v>384</v>
      </c>
      <c r="DA16" t="s">
        <v>384</v>
      </c>
      <c r="DC16" t="s">
        <v>384</v>
      </c>
      <c r="DE16" t="s">
        <v>384</v>
      </c>
      <c r="DG16" t="s">
        <v>372</v>
      </c>
      <c r="DH16" t="s">
        <v>372</v>
      </c>
      <c r="DJ16" t="s">
        <v>388</v>
      </c>
      <c r="DK16" t="s">
        <v>389</v>
      </c>
      <c r="DN16" t="s">
        <v>370</v>
      </c>
      <c r="DP16" t="s">
        <v>369</v>
      </c>
      <c r="DQ16" t="s">
        <v>373</v>
      </c>
      <c r="DR16" t="s">
        <v>373</v>
      </c>
      <c r="DS16" t="s">
        <v>380</v>
      </c>
      <c r="DT16" t="s">
        <v>380</v>
      </c>
      <c r="DU16" t="s">
        <v>373</v>
      </c>
      <c r="DV16" t="s">
        <v>380</v>
      </c>
      <c r="DW16" t="s">
        <v>382</v>
      </c>
      <c r="DX16" t="s">
        <v>376</v>
      </c>
      <c r="DY16" t="s">
        <v>376</v>
      </c>
      <c r="DZ16" t="s">
        <v>375</v>
      </c>
      <c r="EA16" t="s">
        <v>375</v>
      </c>
      <c r="EB16" t="s">
        <v>375</v>
      </c>
      <c r="EC16" t="s">
        <v>375</v>
      </c>
      <c r="ED16" t="s">
        <v>375</v>
      </c>
      <c r="EE16" t="s">
        <v>390</v>
      </c>
      <c r="EF16" t="s">
        <v>372</v>
      </c>
      <c r="EG16" t="s">
        <v>372</v>
      </c>
      <c r="EH16" t="s">
        <v>373</v>
      </c>
      <c r="EI16" t="s">
        <v>373</v>
      </c>
      <c r="EJ16" t="s">
        <v>373</v>
      </c>
      <c r="EK16" t="s">
        <v>380</v>
      </c>
      <c r="EL16" t="s">
        <v>373</v>
      </c>
      <c r="EM16" t="s">
        <v>380</v>
      </c>
      <c r="EN16" t="s">
        <v>376</v>
      </c>
      <c r="EO16" t="s">
        <v>376</v>
      </c>
      <c r="EP16" t="s">
        <v>375</v>
      </c>
      <c r="EQ16" t="s">
        <v>375</v>
      </c>
      <c r="ER16" t="s">
        <v>372</v>
      </c>
      <c r="EW16" t="s">
        <v>372</v>
      </c>
      <c r="EZ16" t="s">
        <v>375</v>
      </c>
      <c r="FA16" t="s">
        <v>375</v>
      </c>
      <c r="FB16" t="s">
        <v>375</v>
      </c>
      <c r="FC16" t="s">
        <v>375</v>
      </c>
      <c r="FD16" t="s">
        <v>375</v>
      </c>
      <c r="FE16" t="s">
        <v>372</v>
      </c>
      <c r="FF16" t="s">
        <v>372</v>
      </c>
      <c r="FG16" t="s">
        <v>372</v>
      </c>
      <c r="FH16" t="s">
        <v>369</v>
      </c>
      <c r="FK16" t="s">
        <v>391</v>
      </c>
      <c r="FL16" t="s">
        <v>391</v>
      </c>
      <c r="FN16" t="s">
        <v>369</v>
      </c>
      <c r="FO16" t="s">
        <v>392</v>
      </c>
      <c r="FQ16" t="s">
        <v>369</v>
      </c>
      <c r="FR16" t="s">
        <v>369</v>
      </c>
      <c r="FT16" t="s">
        <v>393</v>
      </c>
      <c r="FU16" t="s">
        <v>394</v>
      </c>
      <c r="FV16" t="s">
        <v>393</v>
      </c>
      <c r="FW16" t="s">
        <v>394</v>
      </c>
      <c r="FX16" t="s">
        <v>393</v>
      </c>
      <c r="FY16" t="s">
        <v>394</v>
      </c>
      <c r="FZ16" t="s">
        <v>377</v>
      </c>
      <c r="GA16" t="s">
        <v>377</v>
      </c>
      <c r="GB16" t="s">
        <v>373</v>
      </c>
      <c r="GC16" t="s">
        <v>395</v>
      </c>
      <c r="GD16" t="s">
        <v>373</v>
      </c>
      <c r="GG16" t="s">
        <v>396</v>
      </c>
      <c r="GJ16" t="s">
        <v>380</v>
      </c>
      <c r="GK16" t="s">
        <v>397</v>
      </c>
      <c r="GL16" t="s">
        <v>380</v>
      </c>
      <c r="GQ16" t="s">
        <v>398</v>
      </c>
      <c r="GR16" t="s">
        <v>398</v>
      </c>
      <c r="HE16" t="s">
        <v>398</v>
      </c>
      <c r="HF16" t="s">
        <v>398</v>
      </c>
      <c r="HG16" t="s">
        <v>399</v>
      </c>
      <c r="HH16" t="s">
        <v>399</v>
      </c>
      <c r="HI16" t="s">
        <v>375</v>
      </c>
      <c r="HJ16" t="s">
        <v>375</v>
      </c>
      <c r="HK16" t="s">
        <v>377</v>
      </c>
      <c r="HL16" t="s">
        <v>375</v>
      </c>
      <c r="HM16" t="s">
        <v>380</v>
      </c>
      <c r="HN16" t="s">
        <v>377</v>
      </c>
      <c r="HO16" t="s">
        <v>377</v>
      </c>
      <c r="HQ16" t="s">
        <v>398</v>
      </c>
      <c r="HR16" t="s">
        <v>398</v>
      </c>
      <c r="HS16" t="s">
        <v>398</v>
      </c>
      <c r="HT16" t="s">
        <v>398</v>
      </c>
      <c r="HU16" t="s">
        <v>398</v>
      </c>
      <c r="HV16" t="s">
        <v>398</v>
      </c>
      <c r="HW16" t="s">
        <v>398</v>
      </c>
      <c r="HX16" t="s">
        <v>400</v>
      </c>
      <c r="HY16" t="s">
        <v>400</v>
      </c>
      <c r="HZ16" t="s">
        <v>400</v>
      </c>
      <c r="IA16" t="s">
        <v>401</v>
      </c>
      <c r="IB16" t="s">
        <v>398</v>
      </c>
      <c r="IC16" t="s">
        <v>398</v>
      </c>
      <c r="ID16" t="s">
        <v>398</v>
      </c>
      <c r="IE16" t="s">
        <v>398</v>
      </c>
      <c r="IF16" t="s">
        <v>398</v>
      </c>
      <c r="IG16" t="s">
        <v>398</v>
      </c>
      <c r="IH16" t="s">
        <v>398</v>
      </c>
      <c r="II16" t="s">
        <v>398</v>
      </c>
      <c r="IJ16" t="s">
        <v>398</v>
      </c>
      <c r="IK16" t="s">
        <v>398</v>
      </c>
      <c r="IL16" t="s">
        <v>398</v>
      </c>
      <c r="IM16" t="s">
        <v>398</v>
      </c>
      <c r="IT16" t="s">
        <v>398</v>
      </c>
      <c r="IU16" t="s">
        <v>377</v>
      </c>
      <c r="IV16" t="s">
        <v>377</v>
      </c>
      <c r="IW16" t="s">
        <v>393</v>
      </c>
      <c r="IX16" t="s">
        <v>394</v>
      </c>
      <c r="IY16" t="s">
        <v>393</v>
      </c>
      <c r="JC16" t="s">
        <v>394</v>
      </c>
      <c r="JG16" t="s">
        <v>373</v>
      </c>
      <c r="JH16" t="s">
        <v>373</v>
      </c>
      <c r="JI16" t="s">
        <v>380</v>
      </c>
      <c r="JJ16" t="s">
        <v>380</v>
      </c>
      <c r="JK16" t="s">
        <v>402</v>
      </c>
      <c r="JL16" t="s">
        <v>402</v>
      </c>
      <c r="JM16" t="s">
        <v>398</v>
      </c>
      <c r="JN16" t="s">
        <v>398</v>
      </c>
      <c r="JO16" t="s">
        <v>398</v>
      </c>
      <c r="JP16" t="s">
        <v>398</v>
      </c>
      <c r="JQ16" t="s">
        <v>398</v>
      </c>
      <c r="JR16" t="s">
        <v>398</v>
      </c>
      <c r="JS16" t="s">
        <v>375</v>
      </c>
      <c r="JT16" t="s">
        <v>398</v>
      </c>
      <c r="JV16" t="s">
        <v>382</v>
      </c>
      <c r="JW16" t="s">
        <v>382</v>
      </c>
      <c r="JX16" t="s">
        <v>375</v>
      </c>
      <c r="JY16" t="s">
        <v>375</v>
      </c>
      <c r="JZ16" t="s">
        <v>375</v>
      </c>
      <c r="KA16" t="s">
        <v>375</v>
      </c>
      <c r="KB16" t="s">
        <v>375</v>
      </c>
      <c r="KC16" t="s">
        <v>377</v>
      </c>
      <c r="KD16" t="s">
        <v>377</v>
      </c>
      <c r="KE16" t="s">
        <v>377</v>
      </c>
      <c r="KF16" t="s">
        <v>375</v>
      </c>
      <c r="KG16" t="s">
        <v>373</v>
      </c>
      <c r="KH16" t="s">
        <v>380</v>
      </c>
      <c r="KI16" t="s">
        <v>377</v>
      </c>
      <c r="KJ16" t="s">
        <v>377</v>
      </c>
    </row>
    <row r="17" spans="1:296" x14ac:dyDescent="0.3">
      <c r="A17">
        <v>1</v>
      </c>
      <c r="B17">
        <v>1783435215.0999999</v>
      </c>
      <c r="C17">
        <v>0</v>
      </c>
      <c r="D17" t="s">
        <v>1078</v>
      </c>
      <c r="E17" t="s">
        <v>1079</v>
      </c>
      <c r="F17">
        <v>15</v>
      </c>
      <c r="H17">
        <v>1783435207.349999</v>
      </c>
      <c r="I17">
        <f t="shared" ref="I17:I24" si="0">(J17)/1000</f>
        <v>3.5725438246553792E-3</v>
      </c>
      <c r="J17">
        <f t="shared" ref="J17:J24" si="1">IF(DO17, AM17, AG17)</f>
        <v>3.5725438246553791</v>
      </c>
      <c r="K17">
        <f t="shared" ref="K17:K24" si="2">IF(DO17, AH17, AF17)</f>
        <v>45.596278169368617</v>
      </c>
      <c r="L17">
        <f t="shared" ref="L17:L24" si="3">DQ17 - IF(AT17&gt;1, K17*DK17*100/(AV17), 0)</f>
        <v>419.71519999999998</v>
      </c>
      <c r="M17">
        <f t="shared" ref="M17:M24" si="4">((S17-I17/2)*L17-K17)/(S17+I17/2)</f>
        <v>173.29600743157823</v>
      </c>
      <c r="N17">
        <f t="shared" ref="N17:N24" si="5">M17*(DX17+DY17)/1000</f>
        <v>17.039501255764105</v>
      </c>
      <c r="O17">
        <f t="shared" ref="O17:O24" si="6">(DQ17 - IF(AT17&gt;1, K17*DK17*100/(AV17), 0))*(DX17+DY17)/1000</f>
        <v>41.268911981639128</v>
      </c>
      <c r="P17">
        <f t="shared" ref="P17:P24" si="7">2/((1/R17-1/Q17)+SIGN(R17)*SQRT((1/R17-1/Q17)*(1/R17-1/Q17) + 4*DL17/((DL17+1)*(DL17+1))*(2*1/R17*1/Q17-1/Q17*1/Q17)))</f>
        <v>0.31871167460355704</v>
      </c>
      <c r="Q17">
        <f t="shared" ref="Q17:Q24" si="8">IF(LEFT(DM17,1)&lt;&gt;"0",IF(LEFT(DM17,1)="1",3,DN17),$D$5+$E$5*(EE17*DX17/($K$5*1000))+$F$5*(EE17*DX17/($K$5*1000))*MAX(MIN(DK17,$J$5),$I$5)*MAX(MIN(DK17,$J$5),$I$5)+$G$5*MAX(MIN(DK17,$J$5),$I$5)*(EE17*DX17/($K$5*1000))+$H$5*(EE17*DX17/($K$5*1000))*(EE17*DX17/($K$5*1000)))</f>
        <v>2.8993471736600318</v>
      </c>
      <c r="R17">
        <f t="shared" ref="R17:R24" si="9">I17*(1000-(1000*0.61365*EXP(17.502*V17/(240.97+V17))/(DX17+DY17)+DS17)/2)/(1000*0.61365*EXP(17.502*V17/(240.97+V17))/(DX17+DY17)-DS17)</f>
        <v>0.30044884312568149</v>
      </c>
      <c r="S17">
        <f t="shared" ref="S17:S24" si="10">1/((DL17+1)/(P17/1.6)+1/(Q17/1.37)) + DL17/((DL17+1)/(P17/1.6) + DL17/(Q17/1.37))</f>
        <v>0.1893341056214386</v>
      </c>
      <c r="T17">
        <f t="shared" ref="T17:T24" si="11">(DG17*DJ17)</f>
        <v>319.77487489147251</v>
      </c>
      <c r="U17">
        <f t="shared" ref="U17:U24" si="12">(DZ17+(T17+2*0.95*0.0000000567*(((DZ17+$B$7)+273)^4-(DZ17+273)^4)-44100*I17)/(1.84*29.3*Q17+8*0.95*0.0000000567*(DZ17+273)^3))</f>
        <v>25.838851581556344</v>
      </c>
      <c r="V17">
        <f t="shared" ref="V17:V24" si="13">($C$7*EA17+$D$7*EB17+$E$7*U17)</f>
        <v>24.996386666666659</v>
      </c>
      <c r="W17">
        <f t="shared" ref="W17:W24" si="14">0.61365*EXP(17.502*V17/(240.97+V17))</f>
        <v>3.1789926767001604</v>
      </c>
      <c r="X17">
        <f t="shared" ref="X17:X24" si="15">(Y17/Z17*100)</f>
        <v>64.67848194007864</v>
      </c>
      <c r="Y17">
        <f t="shared" ref="Y17:Y24" si="16">DS17*(DX17+DY17)/1000</f>
        <v>2.0408627415207738</v>
      </c>
      <c r="Z17">
        <f t="shared" ref="Z17:Z24" si="17">0.61365*EXP(17.502*DZ17/(240.97+DZ17))</f>
        <v>3.1553967877779363</v>
      </c>
      <c r="AA17">
        <f t="shared" ref="AA17:AA24" si="18">(W17-DS17*(DX17+DY17)/1000)</f>
        <v>1.1381299351793865</v>
      </c>
      <c r="AB17">
        <f t="shared" ref="AB17:AB24" si="19">(-I17*44100)</f>
        <v>-157.54918266730223</v>
      </c>
      <c r="AC17">
        <f t="shared" ref="AC17:AC24" si="20">2*29.3*Q17*0.92*(DZ17-V17)</f>
        <v>-19.52306964281069</v>
      </c>
      <c r="AD17">
        <f t="shared" ref="AD17:AD24" si="21">2*0.95*0.0000000567*(((DZ17+$B$7)+273)^4-(V17+273)^4)</f>
        <v>-1.4233740174287257</v>
      </c>
      <c r="AE17">
        <f t="shared" ref="AE17:AE24" si="22">T17+AD17+AB17+AC17</f>
        <v>141.27924856393085</v>
      </c>
      <c r="AF17">
        <f t="shared" ref="AF17:AF24" si="23">DW17*AT17*(DR17-DQ17*(1000-AT17*DT17)/(1000-AT17*DS17))/(100*DK17)</f>
        <v>45.596278169368617</v>
      </c>
      <c r="AG17">
        <f t="shared" ref="AG17:AG24" si="24">1000*DW17*AT17*(DS17-DT17)/(100*DK17*(1000-AT17*DS17))</f>
        <v>3.5725438246553791</v>
      </c>
      <c r="AH17">
        <f t="shared" ref="AH17:AH24" si="25">(AI17 - AJ17 - DX17*1000/(8.314*(DZ17+273.15)) * AL17/DW17 * AK17) * DW17/(100*DK17) * (1000 - DT17)/1000</f>
        <v>45.675158499451108</v>
      </c>
      <c r="AI17">
        <v>484.49115885582472</v>
      </c>
      <c r="AJ17">
        <v>428.72321818181808</v>
      </c>
      <c r="AK17">
        <v>5.613923887123869E-3</v>
      </c>
      <c r="AL17">
        <v>67.038244320708515</v>
      </c>
      <c r="AM17">
        <f t="shared" ref="AM17:AM24" si="26">(AO17 - AN17 + DX17*1000/(8.314*(DZ17+273.15)) * AQ17/DW17 * AP17) * DW17/(100*DK17) * 1000/(1000 - AO17)</f>
        <v>3.73994506581101</v>
      </c>
      <c r="AN17">
        <v>16.4703787294041</v>
      </c>
      <c r="AO17">
        <v>20.866189090909089</v>
      </c>
      <c r="AP17">
        <v>-1.8159198564358649E-4</v>
      </c>
      <c r="AQ17">
        <v>77.832252974305845</v>
      </c>
      <c r="AR17">
        <v>0</v>
      </c>
      <c r="AS17">
        <v>0</v>
      </c>
      <c r="AT17">
        <f t="shared" ref="AT17:AT24" si="27">IF(AR17*$H$13&gt;=AV17,1,(AV17/(AV17-AR17*$H$13)))</f>
        <v>1</v>
      </c>
      <c r="AU17">
        <f t="shared" ref="AU17:AU24" si="28">(AT17-1)*100</f>
        <v>0</v>
      </c>
      <c r="AV17">
        <f t="shared" ref="AV17:AV24" si="29">MAX(0,($B$13+$C$13*EE17)/(1+$D$13*EE17)*DX17/(DZ17+273)*$E$13)</f>
        <v>52343.155995318746</v>
      </c>
      <c r="AW17" t="s">
        <v>1080</v>
      </c>
      <c r="AX17">
        <v>5103.58</v>
      </c>
      <c r="AY17">
        <v>629.08823529411768</v>
      </c>
      <c r="AZ17">
        <v>2707.55</v>
      </c>
      <c r="BA17">
        <f t="shared" ref="BA17:BA24" si="30">1-AY17/AZ17</f>
        <v>0.76765406537492653</v>
      </c>
      <c r="BB17">
        <v>-4.7374107809501558</v>
      </c>
      <c r="BC17" t="s">
        <v>1081</v>
      </c>
      <c r="BD17">
        <v>5106.46</v>
      </c>
      <c r="BE17">
        <v>811.35129411764706</v>
      </c>
      <c r="BF17">
        <v>968.71</v>
      </c>
      <c r="BG17">
        <f t="shared" ref="BG17:BG24" si="31">1-BE17/BF17</f>
        <v>0.16244150043083372</v>
      </c>
      <c r="BH17">
        <v>0.5</v>
      </c>
      <c r="BI17">
        <f t="shared" ref="BI17:BI24" si="32">DH17</f>
        <v>1680.2892798401415</v>
      </c>
      <c r="BJ17">
        <f t="shared" ref="BJ17:BJ24" si="33">K17</f>
        <v>45.596278169368617</v>
      </c>
      <c r="BK17">
        <f t="shared" ref="BK17:BK24" si="34">BG17*BH17*BI17</f>
        <v>136.47435588753882</v>
      </c>
      <c r="BL17">
        <f t="shared" ref="BL17:BL24" si="35">(BJ17-BB17)/BI17</f>
        <v>2.9955371110328928E-2</v>
      </c>
      <c r="BM17">
        <f t="shared" ref="BM17:BM24" si="36">(AZ17-BF17)/BF17</f>
        <v>1.7950057292688215</v>
      </c>
      <c r="BN17">
        <f t="shared" ref="BN17:BN24" si="37">AY17/(BA17+AY17/BF17)</f>
        <v>443.93830989302245</v>
      </c>
      <c r="BO17" t="s">
        <v>407</v>
      </c>
      <c r="BP17">
        <v>0</v>
      </c>
      <c r="BQ17">
        <f t="shared" ref="BQ17:BQ24" si="38">IF(BP17&lt;&gt;0, BP17, BN17)</f>
        <v>443.93830989302245</v>
      </c>
      <c r="BR17">
        <f t="shared" ref="BR17:BR24" si="39">1-BQ17/BF17</f>
        <v>0.54172217702612502</v>
      </c>
      <c r="BS17">
        <f t="shared" ref="BS17:BS24" si="40">(BF17-BE17)/(BF17-BQ17)</f>
        <v>0.29986127081335995</v>
      </c>
      <c r="BT17">
        <f t="shared" ref="BT17:BT24" si="41">(AZ17-BF17)/(AZ17-BQ17)</f>
        <v>0.76817062201946085</v>
      </c>
      <c r="BU17">
        <f t="shared" ref="BU17:BU24" si="42">(BF17-BE17)/(BF17-AY17)</f>
        <v>0.46333516351235032</v>
      </c>
      <c r="BV17">
        <f t="shared" ref="BV17:BV24" si="43">(AZ17-BF17)/(AZ17-AY17)</f>
        <v>0.83659946481914649</v>
      </c>
      <c r="BW17">
        <f t="shared" ref="BW17:BW24" si="44">(BS17*BQ17/BE17)</f>
        <v>0.16407184746285047</v>
      </c>
      <c r="BX17">
        <f t="shared" ref="BX17:BX24" si="45">(1-BW17)</f>
        <v>0.83592815253714958</v>
      </c>
      <c r="DG17">
        <f t="shared" ref="DG17:DG24" si="46">$B$11*EF17+$C$11*EG17+$F$11*ER17*(1-EU17)</f>
        <v>1999.9886666666671</v>
      </c>
      <c r="DH17">
        <f t="shared" ref="DH17:DH24" si="47">DG17*DI17</f>
        <v>1680.2892798401415</v>
      </c>
      <c r="DI17">
        <f t="shared" ref="DI17:DI24" si="48">($B$11*$D$9+$C$11*$D$9+$F$11*((FE17+EW17)/MAX(FE17+EW17+FF17, 0.1)*$I$9+FF17/MAX(FE17+EW17+FF17, 0.1)*$J$9))/($B$11+$C$11+$F$11)</f>
        <v>0.84014940076667488</v>
      </c>
      <c r="DJ17">
        <f t="shared" ref="DJ17:DJ24" si="49">($B$11*$K$9+$C$11*$K$9+$F$11*((FE17+EW17)/MAX(FE17+EW17+FF17, 0.1)*$P$9+FF17/MAX(FE17+EW17+FF17, 0.1)*$Q$9))/($B$11+$C$11+$F$11)</f>
        <v>0.15988834347968262</v>
      </c>
      <c r="DK17">
        <v>6</v>
      </c>
      <c r="DL17">
        <v>0.5</v>
      </c>
      <c r="DM17" t="s">
        <v>408</v>
      </c>
      <c r="DN17">
        <v>2</v>
      </c>
      <c r="DO17" t="b">
        <v>0</v>
      </c>
      <c r="DP17">
        <v>1783435207.349999</v>
      </c>
      <c r="DQ17">
        <v>419.71519999999998</v>
      </c>
      <c r="DR17">
        <v>476.23523333333333</v>
      </c>
      <c r="DS17">
        <v>20.756086666666661</v>
      </c>
      <c r="DT17">
        <v>16.557633333333332</v>
      </c>
      <c r="DU17">
        <v>424.1139</v>
      </c>
      <c r="DV17">
        <v>21.053086666666669</v>
      </c>
      <c r="DW17">
        <v>499.95436666666671</v>
      </c>
      <c r="DX17">
        <v>98.275176666666667</v>
      </c>
      <c r="DY17">
        <v>5.0811960000000003E-2</v>
      </c>
      <c r="DZ17">
        <v>24.871486666666669</v>
      </c>
      <c r="EA17">
        <v>24.996386666666659</v>
      </c>
      <c r="EB17">
        <v>999.9000000000002</v>
      </c>
      <c r="EC17">
        <v>0</v>
      </c>
      <c r="ED17">
        <v>0</v>
      </c>
      <c r="EE17">
        <v>10001.33333333333</v>
      </c>
      <c r="EF17">
        <v>0</v>
      </c>
      <c r="EG17">
        <v>947.68343333333337</v>
      </c>
      <c r="EH17">
        <v>-56.520016666666677</v>
      </c>
      <c r="EI17">
        <v>428.66953333333328</v>
      </c>
      <c r="EJ17">
        <v>484.25333333333327</v>
      </c>
      <c r="EK17">
        <v>4.3310266666666672</v>
      </c>
      <c r="EL17">
        <v>476.23523333333333</v>
      </c>
      <c r="EM17">
        <v>16.557633333333332</v>
      </c>
      <c r="EN17">
        <v>2.0528383333333329</v>
      </c>
      <c r="EO17">
        <v>1.6272053333333329</v>
      </c>
      <c r="EP17">
        <v>17.857869999999998</v>
      </c>
      <c r="EQ17">
        <v>14.21876</v>
      </c>
      <c r="ER17">
        <v>1999.9886666666671</v>
      </c>
      <c r="ES17">
        <v>0.99500799999999978</v>
      </c>
      <c r="ET17">
        <v>4.992159999999999E-3</v>
      </c>
      <c r="EU17">
        <v>0</v>
      </c>
      <c r="EV17">
        <v>811.72183333333328</v>
      </c>
      <c r="EW17">
        <v>5.0010700000000003</v>
      </c>
      <c r="EX17">
        <v>19681.743333333339</v>
      </c>
      <c r="EY17">
        <v>18241.583333333328</v>
      </c>
      <c r="EZ17">
        <v>39.464300000000001</v>
      </c>
      <c r="FA17">
        <v>41.097700000000003</v>
      </c>
      <c r="FB17">
        <v>40.106099999999998</v>
      </c>
      <c r="FC17">
        <v>40.697499999999998</v>
      </c>
      <c r="FD17">
        <v>40.610300000000002</v>
      </c>
      <c r="FE17">
        <v>1985.028666666667</v>
      </c>
      <c r="FF17">
        <v>9.9599999999999991</v>
      </c>
      <c r="FG17">
        <v>0</v>
      </c>
      <c r="FH17">
        <v>1783435214.3</v>
      </c>
      <c r="FI17">
        <v>0</v>
      </c>
      <c r="FJ17">
        <v>811.35129411764706</v>
      </c>
      <c r="FK17">
        <v>-8.515686350899184</v>
      </c>
      <c r="FL17">
        <v>-195.6617649592616</v>
      </c>
      <c r="FM17">
        <v>19673.623529411769</v>
      </c>
      <c r="FN17">
        <v>10</v>
      </c>
      <c r="FO17">
        <v>1783435232.0999999</v>
      </c>
      <c r="FP17" t="s">
        <v>1082</v>
      </c>
      <c r="FQ17">
        <v>1783012963</v>
      </c>
      <c r="FR17">
        <v>1783435232.0999999</v>
      </c>
      <c r="FS17">
        <v>1</v>
      </c>
      <c r="FT17">
        <v>-8.0000000000000002E-3</v>
      </c>
      <c r="FU17">
        <v>-2.9000000000000001E-2</v>
      </c>
      <c r="FV17">
        <v>-4.3680000000000003</v>
      </c>
      <c r="FW17">
        <v>-0.29699999999999999</v>
      </c>
      <c r="FX17">
        <v>416</v>
      </c>
      <c r="FY17">
        <v>16</v>
      </c>
      <c r="FZ17">
        <v>1.1299999999999999</v>
      </c>
      <c r="GA17">
        <v>7.0000000000000007E-2</v>
      </c>
      <c r="GB17">
        <v>419.71329032258069</v>
      </c>
      <c r="GC17">
        <v>0.12217741935363111</v>
      </c>
      <c r="GD17">
        <v>6.5550371445704428E-2</v>
      </c>
      <c r="GE17">
        <v>-1</v>
      </c>
      <c r="GF17">
        <v>812.05988235294114</v>
      </c>
      <c r="GG17">
        <v>-8.4799083300836831</v>
      </c>
      <c r="GH17">
        <v>0.86624214671615751</v>
      </c>
      <c r="GI17">
        <v>1</v>
      </c>
      <c r="GJ17">
        <v>4.3226234146341467</v>
      </c>
      <c r="GK17">
        <v>0.38437191637631252</v>
      </c>
      <c r="GL17">
        <v>5.6616520238796243E-2</v>
      </c>
      <c r="GM17">
        <v>1</v>
      </c>
      <c r="GN17">
        <v>2</v>
      </c>
      <c r="GO17">
        <v>2</v>
      </c>
      <c r="GP17" t="s">
        <v>423</v>
      </c>
      <c r="GQ17">
        <v>3.1299700000000001</v>
      </c>
      <c r="GR17">
        <v>2.7272599999999998</v>
      </c>
      <c r="GS17">
        <v>9.1884199999999999E-2</v>
      </c>
      <c r="GT17">
        <v>0.100956</v>
      </c>
      <c r="GU17">
        <v>0.102618</v>
      </c>
      <c r="GV17">
        <v>8.6257700000000007E-2</v>
      </c>
      <c r="GW17">
        <v>22837.4</v>
      </c>
      <c r="GX17">
        <v>30328.6</v>
      </c>
      <c r="GY17">
        <v>27275.4</v>
      </c>
      <c r="GZ17">
        <v>34683.300000000003</v>
      </c>
      <c r="HA17">
        <v>35831.1</v>
      </c>
      <c r="HB17">
        <v>40257.300000000003</v>
      </c>
      <c r="HC17">
        <v>40260.9</v>
      </c>
      <c r="HD17">
        <v>44138.6</v>
      </c>
      <c r="HE17">
        <v>1.9752000000000001</v>
      </c>
      <c r="HF17">
        <v>1.827</v>
      </c>
      <c r="HG17">
        <v>-5.4061400000000003E-2</v>
      </c>
      <c r="HH17">
        <v>0</v>
      </c>
      <c r="HI17">
        <v>25.899100000000001</v>
      </c>
      <c r="HJ17">
        <v>999.9</v>
      </c>
      <c r="HK17">
        <v>78</v>
      </c>
      <c r="HL17">
        <v>30.9</v>
      </c>
      <c r="HM17">
        <v>35.6023</v>
      </c>
      <c r="HN17">
        <v>60.332099999999997</v>
      </c>
      <c r="HO17">
        <v>4.7155500000000004</v>
      </c>
      <c r="HP17">
        <v>1</v>
      </c>
      <c r="HQ17">
        <v>0.46373999999999999</v>
      </c>
      <c r="HR17">
        <v>4.6591500000000003</v>
      </c>
      <c r="HS17">
        <v>20.209099999999999</v>
      </c>
      <c r="HT17">
        <v>5.2112999999999996</v>
      </c>
      <c r="HU17">
        <v>11.908099999999999</v>
      </c>
      <c r="HV17">
        <v>4.9851999999999999</v>
      </c>
      <c r="HW17">
        <v>3.2709999999999999</v>
      </c>
      <c r="HX17">
        <v>9999</v>
      </c>
      <c r="HY17">
        <v>9999</v>
      </c>
      <c r="HZ17">
        <v>9999</v>
      </c>
      <c r="IA17">
        <v>999.9</v>
      </c>
      <c r="IB17">
        <v>1.86707</v>
      </c>
      <c r="IC17">
        <v>1.8626400000000001</v>
      </c>
      <c r="ID17">
        <v>1.86212</v>
      </c>
      <c r="IE17">
        <v>1.8615999999999999</v>
      </c>
      <c r="IF17">
        <v>1.8616600000000001</v>
      </c>
      <c r="IG17">
        <v>1.8623400000000001</v>
      </c>
      <c r="IH17">
        <v>1.8632500000000001</v>
      </c>
      <c r="II17">
        <v>1.86127</v>
      </c>
      <c r="IJ17">
        <v>0</v>
      </c>
      <c r="IK17">
        <v>0</v>
      </c>
      <c r="IL17">
        <v>0</v>
      </c>
      <c r="IM17">
        <v>4.5</v>
      </c>
      <c r="IN17" t="s">
        <v>411</v>
      </c>
      <c r="IO17" t="s">
        <v>412</v>
      </c>
      <c r="IP17" t="s">
        <v>413</v>
      </c>
      <c r="IQ17" t="s">
        <v>414</v>
      </c>
      <c r="IR17" t="s">
        <v>414</v>
      </c>
      <c r="IS17" t="s">
        <v>413</v>
      </c>
      <c r="IT17">
        <v>0</v>
      </c>
      <c r="IU17">
        <v>100</v>
      </c>
      <c r="IV17">
        <v>100</v>
      </c>
      <c r="IW17">
        <v>-4.399</v>
      </c>
      <c r="IX17">
        <v>-0.29699999999999999</v>
      </c>
      <c r="IY17">
        <v>-2.5859075844642798</v>
      </c>
      <c r="IZ17">
        <v>-4.7754461378838441E-3</v>
      </c>
      <c r="JA17">
        <v>1.175754608921022E-6</v>
      </c>
      <c r="JB17">
        <v>1.4193218893046591E-11</v>
      </c>
      <c r="JC17">
        <v>-0.47767208452214738</v>
      </c>
      <c r="JD17">
        <v>2.7492919904454862E-4</v>
      </c>
      <c r="JE17">
        <v>8.6739513355948885E-4</v>
      </c>
      <c r="JF17">
        <v>-8.2500691715147318E-6</v>
      </c>
      <c r="JG17">
        <v>38</v>
      </c>
      <c r="JH17">
        <v>1780</v>
      </c>
      <c r="JI17">
        <v>2</v>
      </c>
      <c r="JJ17">
        <v>37</v>
      </c>
      <c r="JK17">
        <v>7037.5</v>
      </c>
      <c r="JL17">
        <v>7037.7</v>
      </c>
      <c r="JM17">
        <v>1.1962900000000001</v>
      </c>
      <c r="JN17">
        <v>2.47559</v>
      </c>
      <c r="JO17">
        <v>1.50024</v>
      </c>
      <c r="JP17">
        <v>2.2924799999999999</v>
      </c>
      <c r="JQ17">
        <v>1.4477500000000001</v>
      </c>
      <c r="JR17">
        <v>2.3706100000000001</v>
      </c>
      <c r="JS17">
        <v>36.599600000000002</v>
      </c>
      <c r="JT17">
        <v>15.891999999999999</v>
      </c>
      <c r="JU17">
        <v>18</v>
      </c>
      <c r="JV17">
        <v>540.48400000000004</v>
      </c>
      <c r="JW17">
        <v>458.00900000000001</v>
      </c>
      <c r="JX17">
        <v>21.088200000000001</v>
      </c>
      <c r="JY17">
        <v>32.892099999999999</v>
      </c>
      <c r="JZ17">
        <v>30.000299999999999</v>
      </c>
      <c r="KA17">
        <v>32.722700000000003</v>
      </c>
      <c r="KB17">
        <v>32.659399999999998</v>
      </c>
      <c r="KC17">
        <v>23.9222</v>
      </c>
      <c r="KD17">
        <v>55.4236</v>
      </c>
      <c r="KE17">
        <v>0</v>
      </c>
      <c r="KF17">
        <v>21.085000000000001</v>
      </c>
      <c r="KG17">
        <v>476.40199999999999</v>
      </c>
      <c r="KH17">
        <v>16.511800000000001</v>
      </c>
      <c r="KI17">
        <v>100.64</v>
      </c>
      <c r="KJ17">
        <v>99.174800000000005</v>
      </c>
    </row>
    <row r="18" spans="1:296" x14ac:dyDescent="0.3">
      <c r="A18">
        <v>2</v>
      </c>
      <c r="B18">
        <v>1783435413.0999999</v>
      </c>
      <c r="C18">
        <v>198</v>
      </c>
      <c r="D18" t="s">
        <v>1083</v>
      </c>
      <c r="E18" t="s">
        <v>1084</v>
      </c>
      <c r="F18">
        <v>15</v>
      </c>
      <c r="H18">
        <v>1783435405.099999</v>
      </c>
      <c r="I18">
        <f t="shared" si="0"/>
        <v>3.5742368849776161E-3</v>
      </c>
      <c r="J18">
        <f t="shared" si="1"/>
        <v>3.574236884977616</v>
      </c>
      <c r="K18">
        <f t="shared" si="2"/>
        <v>46.548242959613638</v>
      </c>
      <c r="L18">
        <f t="shared" si="3"/>
        <v>419.89570967741929</v>
      </c>
      <c r="M18">
        <f t="shared" si="4"/>
        <v>174.94764080861816</v>
      </c>
      <c r="N18">
        <f t="shared" si="5"/>
        <v>17.202383681552561</v>
      </c>
      <c r="O18">
        <f t="shared" si="6"/>
        <v>41.287822291987979</v>
      </c>
      <c r="P18">
        <f t="shared" si="7"/>
        <v>0.32765505652519783</v>
      </c>
      <c r="Q18">
        <f t="shared" si="8"/>
        <v>2.8978596518168662</v>
      </c>
      <c r="R18">
        <f t="shared" si="9"/>
        <v>0.30837688494631255</v>
      </c>
      <c r="S18">
        <f t="shared" si="10"/>
        <v>0.19437303058372177</v>
      </c>
      <c r="T18">
        <f t="shared" si="11"/>
        <v>271.9133732100268</v>
      </c>
      <c r="U18">
        <f t="shared" si="12"/>
        <v>25.654548100285336</v>
      </c>
      <c r="V18">
        <f t="shared" si="13"/>
        <v>25.0099870967742</v>
      </c>
      <c r="W18">
        <f t="shared" si="14"/>
        <v>3.1815713314201033</v>
      </c>
      <c r="X18">
        <f t="shared" si="15"/>
        <v>65.280548192044705</v>
      </c>
      <c r="Y18">
        <f t="shared" si="16"/>
        <v>2.072341311617119</v>
      </c>
      <c r="Z18">
        <f t="shared" si="17"/>
        <v>3.1745157922397182</v>
      </c>
      <c r="AA18">
        <f t="shared" si="18"/>
        <v>1.1092300198029843</v>
      </c>
      <c r="AB18">
        <f t="shared" si="19"/>
        <v>-157.62384662751288</v>
      </c>
      <c r="AC18">
        <f t="shared" si="20"/>
        <v>-5.8172776594235209</v>
      </c>
      <c r="AD18">
        <f t="shared" si="21"/>
        <v>-0.42458506386126393</v>
      </c>
      <c r="AE18">
        <f t="shared" si="22"/>
        <v>108.04766385922912</v>
      </c>
      <c r="AF18">
        <f t="shared" si="23"/>
        <v>46.548242959613638</v>
      </c>
      <c r="AG18">
        <f t="shared" si="24"/>
        <v>3.574236884977616</v>
      </c>
      <c r="AH18">
        <f t="shared" si="25"/>
        <v>46.534473394756894</v>
      </c>
      <c r="AI18">
        <v>485.77289754999379</v>
      </c>
      <c r="AJ18">
        <v>428.95797575757558</v>
      </c>
      <c r="AK18">
        <v>1.9559436858102059E-3</v>
      </c>
      <c r="AL18">
        <v>67.09255361658829</v>
      </c>
      <c r="AM18">
        <f t="shared" si="26"/>
        <v>3.5798207514895366</v>
      </c>
      <c r="AN18">
        <v>16.86987816940367</v>
      </c>
      <c r="AO18">
        <v>21.07620727272726</v>
      </c>
      <c r="AP18">
        <v>-1.201795841235221E-4</v>
      </c>
      <c r="AQ18">
        <v>78.248275426137596</v>
      </c>
      <c r="AR18">
        <v>0</v>
      </c>
      <c r="AS18">
        <v>0</v>
      </c>
      <c r="AT18">
        <f t="shared" si="27"/>
        <v>1</v>
      </c>
      <c r="AU18">
        <f t="shared" si="28"/>
        <v>0</v>
      </c>
      <c r="AV18">
        <f t="shared" si="29"/>
        <v>52282.625029919618</v>
      </c>
      <c r="AW18" t="s">
        <v>1080</v>
      </c>
      <c r="AX18">
        <v>5103.58</v>
      </c>
      <c r="AY18">
        <v>629.08823529411768</v>
      </c>
      <c r="AZ18">
        <v>2707.55</v>
      </c>
      <c r="BA18">
        <f t="shared" si="30"/>
        <v>0.76765406537492653</v>
      </c>
      <c r="BB18">
        <v>-4.7374107809501558</v>
      </c>
      <c r="BC18" t="s">
        <v>1085</v>
      </c>
      <c r="BD18">
        <v>5107.34</v>
      </c>
      <c r="BE18">
        <v>797.91029411764703</v>
      </c>
      <c r="BF18">
        <v>1008.53</v>
      </c>
      <c r="BG18">
        <f t="shared" si="31"/>
        <v>0.20883831505493433</v>
      </c>
      <c r="BH18">
        <v>0.5</v>
      </c>
      <c r="BI18">
        <f t="shared" si="32"/>
        <v>1428.3289449692597</v>
      </c>
      <c r="BJ18">
        <f t="shared" si="33"/>
        <v>46.548242959613638</v>
      </c>
      <c r="BK18">
        <f t="shared" si="34"/>
        <v>149.14490510578611</v>
      </c>
      <c r="BL18">
        <f t="shared" si="35"/>
        <v>3.5906052258618586E-2</v>
      </c>
      <c r="BM18">
        <f t="shared" si="36"/>
        <v>1.6846499360455318</v>
      </c>
      <c r="BN18">
        <f t="shared" si="37"/>
        <v>452.11907851124801</v>
      </c>
      <c r="BO18" t="s">
        <v>407</v>
      </c>
      <c r="BP18">
        <v>0</v>
      </c>
      <c r="BQ18">
        <f t="shared" si="38"/>
        <v>452.11907851124801</v>
      </c>
      <c r="BR18">
        <f t="shared" si="39"/>
        <v>0.55170487887197406</v>
      </c>
      <c r="BS18">
        <f t="shared" si="40"/>
        <v>0.37853265949347603</v>
      </c>
      <c r="BT18">
        <f t="shared" si="41"/>
        <v>0.75330172332590029</v>
      </c>
      <c r="BU18">
        <f t="shared" si="42"/>
        <v>0.55507781555256885</v>
      </c>
      <c r="BV18">
        <f t="shared" si="43"/>
        <v>0.81744106572026543</v>
      </c>
      <c r="BW18">
        <f t="shared" si="44"/>
        <v>0.21448756640726907</v>
      </c>
      <c r="BX18">
        <f t="shared" si="45"/>
        <v>0.78551243359273093</v>
      </c>
      <c r="DG18">
        <f t="shared" si="46"/>
        <v>1700.0283870967739</v>
      </c>
      <c r="DH18">
        <f t="shared" si="47"/>
        <v>1428.3289449692597</v>
      </c>
      <c r="DI18">
        <f t="shared" si="48"/>
        <v>0.84017946747847583</v>
      </c>
      <c r="DJ18">
        <f t="shared" si="49"/>
        <v>0.15994637223345856</v>
      </c>
      <c r="DK18">
        <v>6</v>
      </c>
      <c r="DL18">
        <v>0.5</v>
      </c>
      <c r="DM18" t="s">
        <v>408</v>
      </c>
      <c r="DN18">
        <v>2</v>
      </c>
      <c r="DO18" t="b">
        <v>0</v>
      </c>
      <c r="DP18">
        <v>1783435405.099999</v>
      </c>
      <c r="DQ18">
        <v>419.89570967741929</v>
      </c>
      <c r="DR18">
        <v>477.5591935483871</v>
      </c>
      <c r="DS18">
        <v>21.07563870967742</v>
      </c>
      <c r="DT18">
        <v>16.876612903225801</v>
      </c>
      <c r="DU18">
        <v>425.16548387096771</v>
      </c>
      <c r="DV18">
        <v>21.26816451612903</v>
      </c>
      <c r="DW18">
        <v>499.95990322580639</v>
      </c>
      <c r="DX18">
        <v>98.2774</v>
      </c>
      <c r="DY18">
        <v>5.1354832258064517E-2</v>
      </c>
      <c r="DZ18">
        <v>24.972751612903231</v>
      </c>
      <c r="EA18">
        <v>25.0099870967742</v>
      </c>
      <c r="EB18">
        <v>999.90000000000032</v>
      </c>
      <c r="EC18">
        <v>0</v>
      </c>
      <c r="ED18">
        <v>0</v>
      </c>
      <c r="EE18">
        <v>9992.5806451612898</v>
      </c>
      <c r="EF18">
        <v>0</v>
      </c>
      <c r="EG18">
        <v>758.64216129032252</v>
      </c>
      <c r="EH18">
        <v>-57.663600000000002</v>
      </c>
      <c r="EI18">
        <v>428.93570967741942</v>
      </c>
      <c r="EJ18">
        <v>485.75719354838708</v>
      </c>
      <c r="EK18">
        <v>4.1990287096774184</v>
      </c>
      <c r="EL18">
        <v>477.5591935483871</v>
      </c>
      <c r="EM18">
        <v>16.876612903225801</v>
      </c>
      <c r="EN18">
        <v>2.0712590322580651</v>
      </c>
      <c r="EO18">
        <v>1.6585893548387101</v>
      </c>
      <c r="EP18">
        <v>17.999851612903221</v>
      </c>
      <c r="EQ18">
        <v>14.5141935483871</v>
      </c>
      <c r="ER18">
        <v>1700.0283870967739</v>
      </c>
      <c r="ES18">
        <v>0.9939995483870967</v>
      </c>
      <c r="ET18">
        <v>6.0006683870967763E-3</v>
      </c>
      <c r="EU18">
        <v>0</v>
      </c>
      <c r="EV18">
        <v>797.97906451612903</v>
      </c>
      <c r="EW18">
        <v>5.0010700000000003</v>
      </c>
      <c r="EX18">
        <v>16943.88709677419</v>
      </c>
      <c r="EY18">
        <v>15492.77419354839</v>
      </c>
      <c r="EZ18">
        <v>39.997967741935483</v>
      </c>
      <c r="FA18">
        <v>41.75</v>
      </c>
      <c r="FB18">
        <v>40.785999999999987</v>
      </c>
      <c r="FC18">
        <v>41.328258064516127</v>
      </c>
      <c r="FD18">
        <v>41.186999999999983</v>
      </c>
      <c r="FE18">
        <v>1684.8583870967741</v>
      </c>
      <c r="FF18">
        <v>10.17</v>
      </c>
      <c r="FG18">
        <v>0</v>
      </c>
      <c r="FH18">
        <v>197.5999999046326</v>
      </c>
      <c r="FI18">
        <v>0</v>
      </c>
      <c r="FJ18">
        <v>797.91029411764703</v>
      </c>
      <c r="FK18">
        <v>0.1914215598527397</v>
      </c>
      <c r="FL18">
        <v>-19.754902323413511</v>
      </c>
      <c r="FM18">
        <v>16943.917647058821</v>
      </c>
      <c r="FN18">
        <v>10</v>
      </c>
      <c r="FO18">
        <v>1783435313.5999999</v>
      </c>
      <c r="FP18" t="s">
        <v>1086</v>
      </c>
      <c r="FQ18">
        <v>1783435313.5999999</v>
      </c>
      <c r="FR18">
        <v>1783435309.5999999</v>
      </c>
      <c r="FS18">
        <v>2</v>
      </c>
      <c r="FT18">
        <v>-0.86699999999999999</v>
      </c>
      <c r="FU18">
        <v>-5.0000000000000001E-3</v>
      </c>
      <c r="FV18">
        <v>-5.4770000000000003</v>
      </c>
      <c r="FW18">
        <v>-0.29299999999999998</v>
      </c>
      <c r="FX18">
        <v>476</v>
      </c>
      <c r="FY18">
        <v>17</v>
      </c>
      <c r="FZ18">
        <v>0.16</v>
      </c>
      <c r="GA18">
        <v>0.06</v>
      </c>
      <c r="GB18">
        <v>419.89029032258071</v>
      </c>
      <c r="GC18">
        <v>0.20051612903183941</v>
      </c>
      <c r="GD18">
        <v>6.2677975525899002E-2</v>
      </c>
      <c r="GE18">
        <v>-1</v>
      </c>
      <c r="GF18">
        <v>798.01852941176469</v>
      </c>
      <c r="GG18">
        <v>-0.89017571129340967</v>
      </c>
      <c r="GH18">
        <v>0.20722171066333861</v>
      </c>
      <c r="GI18">
        <v>1</v>
      </c>
      <c r="GJ18">
        <v>4.1840682926829276</v>
      </c>
      <c r="GK18">
        <v>0.23330780487805211</v>
      </c>
      <c r="GL18">
        <v>2.4581833357815421E-2</v>
      </c>
      <c r="GM18">
        <v>1</v>
      </c>
      <c r="GN18">
        <v>2</v>
      </c>
      <c r="GO18">
        <v>2</v>
      </c>
      <c r="GP18" t="s">
        <v>423</v>
      </c>
      <c r="GQ18">
        <v>3.1293299999999999</v>
      </c>
      <c r="GR18">
        <v>2.7285400000000002</v>
      </c>
      <c r="GS18">
        <v>9.2019100000000006E-2</v>
      </c>
      <c r="GT18">
        <v>0.101123</v>
      </c>
      <c r="GU18">
        <v>0.103421</v>
      </c>
      <c r="GV18">
        <v>8.7891800000000006E-2</v>
      </c>
      <c r="GW18">
        <v>22827.599999999999</v>
      </c>
      <c r="GX18">
        <v>30311.8</v>
      </c>
      <c r="GY18">
        <v>27268.5</v>
      </c>
      <c r="GZ18">
        <v>34671.699999999997</v>
      </c>
      <c r="HA18">
        <v>35791.699999999997</v>
      </c>
      <c r="HB18">
        <v>40172.300000000003</v>
      </c>
      <c r="HC18">
        <v>40252.1</v>
      </c>
      <c r="HD18">
        <v>44124.2</v>
      </c>
      <c r="HE18">
        <v>1.9718</v>
      </c>
      <c r="HF18">
        <v>1.8222</v>
      </c>
      <c r="HG18">
        <v>-5.98133E-2</v>
      </c>
      <c r="HH18">
        <v>0</v>
      </c>
      <c r="HI18">
        <v>25.997699999999998</v>
      </c>
      <c r="HJ18">
        <v>999.9</v>
      </c>
      <c r="HK18">
        <v>77</v>
      </c>
      <c r="HL18">
        <v>31.4</v>
      </c>
      <c r="HM18">
        <v>36.160299999999999</v>
      </c>
      <c r="HN18">
        <v>61.142099999999999</v>
      </c>
      <c r="HO18">
        <v>5.0520899999999997</v>
      </c>
      <c r="HP18">
        <v>1</v>
      </c>
      <c r="HQ18">
        <v>0.48203299999999999</v>
      </c>
      <c r="HR18">
        <v>5.0148799999999998</v>
      </c>
      <c r="HS18">
        <v>20.2013</v>
      </c>
      <c r="HT18">
        <v>5.2100999999999997</v>
      </c>
      <c r="HU18">
        <v>11.908099999999999</v>
      </c>
      <c r="HV18">
        <v>4.9851999999999999</v>
      </c>
      <c r="HW18">
        <v>3.2709999999999999</v>
      </c>
      <c r="HX18">
        <v>9999</v>
      </c>
      <c r="HY18">
        <v>9999</v>
      </c>
      <c r="HZ18">
        <v>9999</v>
      </c>
      <c r="IA18">
        <v>999.9</v>
      </c>
      <c r="IB18">
        <v>1.8671</v>
      </c>
      <c r="IC18">
        <v>1.86267</v>
      </c>
      <c r="ID18">
        <v>1.8621799999999999</v>
      </c>
      <c r="IE18">
        <v>1.86172</v>
      </c>
      <c r="IF18">
        <v>1.86172</v>
      </c>
      <c r="IG18">
        <v>1.8623400000000001</v>
      </c>
      <c r="IH18">
        <v>1.8632500000000001</v>
      </c>
      <c r="II18">
        <v>1.86127</v>
      </c>
      <c r="IJ18">
        <v>0</v>
      </c>
      <c r="IK18">
        <v>0</v>
      </c>
      <c r="IL18">
        <v>0</v>
      </c>
      <c r="IM18">
        <v>4.5</v>
      </c>
      <c r="IN18" t="s">
        <v>411</v>
      </c>
      <c r="IO18" t="s">
        <v>412</v>
      </c>
      <c r="IP18" t="s">
        <v>413</v>
      </c>
      <c r="IQ18" t="s">
        <v>414</v>
      </c>
      <c r="IR18" t="s">
        <v>414</v>
      </c>
      <c r="IS18" t="s">
        <v>413</v>
      </c>
      <c r="IT18">
        <v>0</v>
      </c>
      <c r="IU18">
        <v>100</v>
      </c>
      <c r="IV18">
        <v>100</v>
      </c>
      <c r="IW18">
        <v>-5.27</v>
      </c>
      <c r="IX18">
        <v>-0.19239999999999999</v>
      </c>
      <c r="IY18">
        <v>-3.4531597716060238</v>
      </c>
      <c r="IZ18">
        <v>-4.7754461378838441E-3</v>
      </c>
      <c r="JA18">
        <v>1.175754608921022E-6</v>
      </c>
      <c r="JB18">
        <v>1.4193218893046591E-11</v>
      </c>
      <c r="JC18">
        <v>-0.51135642520585511</v>
      </c>
      <c r="JD18">
        <v>2.7492919904454862E-4</v>
      </c>
      <c r="JE18">
        <v>8.6739513355948885E-4</v>
      </c>
      <c r="JF18">
        <v>-8.2500691715147318E-6</v>
      </c>
      <c r="JG18">
        <v>38</v>
      </c>
      <c r="JH18">
        <v>1780</v>
      </c>
      <c r="JI18">
        <v>2</v>
      </c>
      <c r="JJ18">
        <v>37</v>
      </c>
      <c r="JK18">
        <v>1.7</v>
      </c>
      <c r="JL18">
        <v>1.7</v>
      </c>
      <c r="JM18">
        <v>1.1987300000000001</v>
      </c>
      <c r="JN18">
        <v>2.47925</v>
      </c>
      <c r="JO18">
        <v>1.50024</v>
      </c>
      <c r="JP18">
        <v>2.2900399999999999</v>
      </c>
      <c r="JQ18">
        <v>1.4477500000000001</v>
      </c>
      <c r="JR18">
        <v>2.3901400000000002</v>
      </c>
      <c r="JS18">
        <v>36.979399999999998</v>
      </c>
      <c r="JT18">
        <v>15.874499999999999</v>
      </c>
      <c r="JU18">
        <v>18</v>
      </c>
      <c r="JV18">
        <v>539.85</v>
      </c>
      <c r="JW18">
        <v>456.35899999999998</v>
      </c>
      <c r="JX18">
        <v>21.053899999999999</v>
      </c>
      <c r="JY18">
        <v>33.066600000000001</v>
      </c>
      <c r="JZ18">
        <v>30.001300000000001</v>
      </c>
      <c r="KA18">
        <v>32.915599999999998</v>
      </c>
      <c r="KB18">
        <v>32.855800000000002</v>
      </c>
      <c r="KC18">
        <v>23.990400000000001</v>
      </c>
      <c r="KD18">
        <v>54.6145</v>
      </c>
      <c r="KE18">
        <v>0</v>
      </c>
      <c r="KF18">
        <v>21.023499999999999</v>
      </c>
      <c r="KG18">
        <v>477.67</v>
      </c>
      <c r="KH18">
        <v>16.792899999999999</v>
      </c>
      <c r="KI18">
        <v>100.616</v>
      </c>
      <c r="KJ18">
        <v>99.141999999999996</v>
      </c>
    </row>
    <row r="19" spans="1:296" x14ac:dyDescent="0.3">
      <c r="A19">
        <v>3</v>
      </c>
      <c r="B19">
        <v>1783435595.5999999</v>
      </c>
      <c r="C19">
        <v>380.5</v>
      </c>
      <c r="D19" t="s">
        <v>1087</v>
      </c>
      <c r="E19" t="s">
        <v>1088</v>
      </c>
      <c r="F19">
        <v>15</v>
      </c>
      <c r="H19">
        <v>1783435587.849999</v>
      </c>
      <c r="I19">
        <f t="shared" si="0"/>
        <v>3.5093052053249518E-3</v>
      </c>
      <c r="J19">
        <f t="shared" si="1"/>
        <v>3.5093052053249516</v>
      </c>
      <c r="K19">
        <f t="shared" si="2"/>
        <v>46.052508630813911</v>
      </c>
      <c r="L19">
        <f t="shared" si="3"/>
        <v>419.95926666666679</v>
      </c>
      <c r="M19">
        <f t="shared" si="4"/>
        <v>170.95713266656949</v>
      </c>
      <c r="N19">
        <f t="shared" si="5"/>
        <v>16.809563221220333</v>
      </c>
      <c r="O19">
        <f t="shared" si="6"/>
        <v>41.292993940995771</v>
      </c>
      <c r="P19">
        <f t="shared" si="7"/>
        <v>0.31832400112199283</v>
      </c>
      <c r="Q19">
        <f t="shared" si="8"/>
        <v>2.8984553552075392</v>
      </c>
      <c r="R19">
        <f t="shared" si="9"/>
        <v>0.30009894695459016</v>
      </c>
      <c r="S19">
        <f t="shared" si="10"/>
        <v>0.18911228137844599</v>
      </c>
      <c r="T19">
        <f t="shared" si="11"/>
        <v>255.91649662944732</v>
      </c>
      <c r="U19">
        <f t="shared" si="12"/>
        <v>25.599443743106903</v>
      </c>
      <c r="V19">
        <f t="shared" si="13"/>
        <v>25.01020333333333</v>
      </c>
      <c r="W19">
        <f t="shared" si="14"/>
        <v>3.1816123448385247</v>
      </c>
      <c r="X19">
        <f t="shared" si="15"/>
        <v>64.878958911393966</v>
      </c>
      <c r="Y19">
        <f t="shared" si="16"/>
        <v>2.0624645613913564</v>
      </c>
      <c r="Z19">
        <f t="shared" si="17"/>
        <v>3.1789421347036266</v>
      </c>
      <c r="AA19">
        <f t="shared" si="18"/>
        <v>1.1191477834471684</v>
      </c>
      <c r="AB19">
        <f t="shared" si="19"/>
        <v>-154.76035955483039</v>
      </c>
      <c r="AC19">
        <f t="shared" si="20"/>
        <v>-2.2006831452976661</v>
      </c>
      <c r="AD19">
        <f t="shared" si="21"/>
        <v>-0.1606070944150477</v>
      </c>
      <c r="AE19">
        <f t="shared" si="22"/>
        <v>98.794846834904234</v>
      </c>
      <c r="AF19">
        <f t="shared" si="23"/>
        <v>46.052508630813911</v>
      </c>
      <c r="AG19">
        <f t="shared" si="24"/>
        <v>3.5093052053249516</v>
      </c>
      <c r="AH19">
        <f t="shared" si="25"/>
        <v>46.124857761415782</v>
      </c>
      <c r="AI19">
        <v>485.29066830373438</v>
      </c>
      <c r="AJ19">
        <v>428.97348484848482</v>
      </c>
      <c r="AK19">
        <v>3.4845304562768869E-3</v>
      </c>
      <c r="AL19">
        <v>67.034424336834789</v>
      </c>
      <c r="AM19">
        <f t="shared" si="26"/>
        <v>3.5039050150602407</v>
      </c>
      <c r="AN19">
        <v>16.857732413206438</v>
      </c>
      <c r="AO19">
        <v>20.974182424242429</v>
      </c>
      <c r="AP19">
        <v>7.9012408269971953E-6</v>
      </c>
      <c r="AQ19">
        <v>78.051569774733053</v>
      </c>
      <c r="AR19">
        <v>0</v>
      </c>
      <c r="AS19">
        <v>0</v>
      </c>
      <c r="AT19">
        <f t="shared" si="27"/>
        <v>1</v>
      </c>
      <c r="AU19">
        <f t="shared" si="28"/>
        <v>0</v>
      </c>
      <c r="AV19">
        <f t="shared" si="29"/>
        <v>52295.586168890019</v>
      </c>
      <c r="AW19" t="s">
        <v>1080</v>
      </c>
      <c r="AX19">
        <v>5103.58</v>
      </c>
      <c r="AY19">
        <v>629.08823529411768</v>
      </c>
      <c r="AZ19">
        <v>2707.55</v>
      </c>
      <c r="BA19">
        <f t="shared" si="30"/>
        <v>0.76765406537492653</v>
      </c>
      <c r="BB19">
        <v>-4.7374107809501558</v>
      </c>
      <c r="BC19" t="s">
        <v>1089</v>
      </c>
      <c r="BD19">
        <v>5105.37</v>
      </c>
      <c r="BE19">
        <v>797.15041176470595</v>
      </c>
      <c r="BF19">
        <v>1030.06</v>
      </c>
      <c r="BG19">
        <f t="shared" si="31"/>
        <v>0.22611264221044791</v>
      </c>
      <c r="BH19">
        <v>0.5</v>
      </c>
      <c r="BI19">
        <f t="shared" si="32"/>
        <v>1344.2996998080039</v>
      </c>
      <c r="BJ19">
        <f t="shared" si="33"/>
        <v>46.052508630813911</v>
      </c>
      <c r="BK19">
        <f t="shared" si="34"/>
        <v>151.98157852314986</v>
      </c>
      <c r="BL19">
        <f t="shared" si="35"/>
        <v>3.7781693634996727E-2</v>
      </c>
      <c r="BM19">
        <f t="shared" si="36"/>
        <v>1.6285362017746543</v>
      </c>
      <c r="BN19">
        <f t="shared" si="37"/>
        <v>456.39556331838793</v>
      </c>
      <c r="BO19" t="s">
        <v>407</v>
      </c>
      <c r="BP19">
        <v>0</v>
      </c>
      <c r="BQ19">
        <f t="shared" si="38"/>
        <v>456.39556331838793</v>
      </c>
      <c r="BR19">
        <f t="shared" si="39"/>
        <v>0.55692332163331459</v>
      </c>
      <c r="BS19">
        <f t="shared" si="40"/>
        <v>0.40600318468854391</v>
      </c>
      <c r="BT19">
        <f t="shared" si="41"/>
        <v>0.74516877770179069</v>
      </c>
      <c r="BU19">
        <f t="shared" si="42"/>
        <v>0.58086281563026276</v>
      </c>
      <c r="BV19">
        <f t="shared" si="43"/>
        <v>0.80708244360577752</v>
      </c>
      <c r="BW19">
        <f t="shared" si="44"/>
        <v>0.23245055067434589</v>
      </c>
      <c r="BX19">
        <f t="shared" si="45"/>
        <v>0.76754944932565405</v>
      </c>
      <c r="DG19">
        <f t="shared" si="46"/>
        <v>1600.0150000000001</v>
      </c>
      <c r="DH19">
        <f t="shared" si="47"/>
        <v>1344.2996998080039</v>
      </c>
      <c r="DI19">
        <f t="shared" si="48"/>
        <v>0.84017943569779274</v>
      </c>
      <c r="DJ19">
        <f t="shared" si="49"/>
        <v>0.15994631089673991</v>
      </c>
      <c r="DK19">
        <v>6</v>
      </c>
      <c r="DL19">
        <v>0.5</v>
      </c>
      <c r="DM19" t="s">
        <v>408</v>
      </c>
      <c r="DN19">
        <v>2</v>
      </c>
      <c r="DO19" t="b">
        <v>0</v>
      </c>
      <c r="DP19">
        <v>1783435587.849999</v>
      </c>
      <c r="DQ19">
        <v>419.95926666666679</v>
      </c>
      <c r="DR19">
        <v>476.99083333333328</v>
      </c>
      <c r="DS19">
        <v>20.975739999999998</v>
      </c>
      <c r="DT19">
        <v>16.85290333333333</v>
      </c>
      <c r="DU19">
        <v>425.23230000000001</v>
      </c>
      <c r="DV19">
        <v>21.171446666666661</v>
      </c>
      <c r="DW19">
        <v>499.99966666666671</v>
      </c>
      <c r="DX19">
        <v>98.27406999999998</v>
      </c>
      <c r="DY19">
        <v>5.211832000000001E-2</v>
      </c>
      <c r="DZ19">
        <v>24.996120000000001</v>
      </c>
      <c r="EA19">
        <v>25.01020333333333</v>
      </c>
      <c r="EB19">
        <v>999.9000000000002</v>
      </c>
      <c r="EC19">
        <v>0</v>
      </c>
      <c r="ED19">
        <v>0</v>
      </c>
      <c r="EE19">
        <v>9996.3333333333339</v>
      </c>
      <c r="EF19">
        <v>0</v>
      </c>
      <c r="EG19">
        <v>736.5758666666668</v>
      </c>
      <c r="EH19">
        <v>-57.031529999999997</v>
      </c>
      <c r="EI19">
        <v>428.95700000000011</v>
      </c>
      <c r="EJ19">
        <v>485.1673333333332</v>
      </c>
      <c r="EK19">
        <v>4.1228316666666656</v>
      </c>
      <c r="EL19">
        <v>476.99083333333328</v>
      </c>
      <c r="EM19">
        <v>16.85290333333333</v>
      </c>
      <c r="EN19">
        <v>2.0613709999999998</v>
      </c>
      <c r="EO19">
        <v>1.656203333333333</v>
      </c>
      <c r="EP19">
        <v>17.923783333333329</v>
      </c>
      <c r="EQ19">
        <v>14.49191666666667</v>
      </c>
      <c r="ER19">
        <v>1600.0150000000001</v>
      </c>
      <c r="ES19">
        <v>0.9940007666666667</v>
      </c>
      <c r="ET19">
        <v>5.9991926666666676E-3</v>
      </c>
      <c r="EU19">
        <v>0</v>
      </c>
      <c r="EV19">
        <v>797.0505999999998</v>
      </c>
      <c r="EW19">
        <v>5.0010700000000003</v>
      </c>
      <c r="EX19">
        <v>16104.11333333334</v>
      </c>
      <c r="EY19">
        <v>14578.626666666671</v>
      </c>
      <c r="EZ19">
        <v>40.186999999999983</v>
      </c>
      <c r="FA19">
        <v>42.061999999999983</v>
      </c>
      <c r="FB19">
        <v>41.061999999999983</v>
      </c>
      <c r="FC19">
        <v>41.686999999999983</v>
      </c>
      <c r="FD19">
        <v>41.401866666666663</v>
      </c>
      <c r="FE19">
        <v>1585.4449999999999</v>
      </c>
      <c r="FF19">
        <v>9.5699999999999985</v>
      </c>
      <c r="FG19">
        <v>0</v>
      </c>
      <c r="FH19">
        <v>181.5999999046326</v>
      </c>
      <c r="FI19">
        <v>0</v>
      </c>
      <c r="FJ19">
        <v>797.15041176470595</v>
      </c>
      <c r="FK19">
        <v>-0.13406863677506661</v>
      </c>
      <c r="FL19">
        <v>-16.666666410118481</v>
      </c>
      <c r="FM19">
        <v>16105.052941176469</v>
      </c>
      <c r="FN19">
        <v>10</v>
      </c>
      <c r="FO19">
        <v>1783435485.5999999</v>
      </c>
      <c r="FP19" t="s">
        <v>1090</v>
      </c>
      <c r="FQ19">
        <v>1783435476.0999999</v>
      </c>
      <c r="FR19">
        <v>1783435485.5999999</v>
      </c>
      <c r="FS19">
        <v>3</v>
      </c>
      <c r="FT19">
        <v>-3.0000000000000001E-3</v>
      </c>
      <c r="FU19">
        <v>-1E-3</v>
      </c>
      <c r="FV19">
        <v>-5.4859999999999998</v>
      </c>
      <c r="FW19">
        <v>-0.29399999999999998</v>
      </c>
      <c r="FX19">
        <v>477</v>
      </c>
      <c r="FY19">
        <v>17</v>
      </c>
      <c r="FZ19">
        <v>0.17</v>
      </c>
      <c r="GA19">
        <v>0.08</v>
      </c>
      <c r="GB19">
        <v>419.95926666666679</v>
      </c>
      <c r="GC19">
        <v>-7.4429365961311278E-2</v>
      </c>
      <c r="GD19">
        <v>6.3293461133222734E-2</v>
      </c>
      <c r="GE19">
        <v>-1</v>
      </c>
      <c r="GF19">
        <v>797.01541176470573</v>
      </c>
      <c r="GG19">
        <v>1.153888465597829</v>
      </c>
      <c r="GH19">
        <v>0.21311128239754379</v>
      </c>
      <c r="GI19">
        <v>1</v>
      </c>
      <c r="GJ19">
        <v>4.1269037499999994</v>
      </c>
      <c r="GK19">
        <v>-8.9895196998133919E-2</v>
      </c>
      <c r="GL19">
        <v>9.4934226408339741E-3</v>
      </c>
      <c r="GM19">
        <v>1</v>
      </c>
      <c r="GN19">
        <v>2</v>
      </c>
      <c r="GO19">
        <v>2</v>
      </c>
      <c r="GP19" t="s">
        <v>423</v>
      </c>
      <c r="GQ19">
        <v>3.1297199999999998</v>
      </c>
      <c r="GR19">
        <v>2.7287300000000001</v>
      </c>
      <c r="GS19">
        <v>9.1997200000000001E-2</v>
      </c>
      <c r="GT19">
        <v>0.10099900000000001</v>
      </c>
      <c r="GU19">
        <v>0.103038</v>
      </c>
      <c r="GV19">
        <v>8.7843900000000003E-2</v>
      </c>
      <c r="GW19">
        <v>22823.3</v>
      </c>
      <c r="GX19">
        <v>30310.9</v>
      </c>
      <c r="GY19">
        <v>27263.4</v>
      </c>
      <c r="GZ19">
        <v>34666.800000000003</v>
      </c>
      <c r="HA19">
        <v>35801.699999999997</v>
      </c>
      <c r="HB19">
        <v>40171</v>
      </c>
      <c r="HC19">
        <v>40245.599999999999</v>
      </c>
      <c r="HD19">
        <v>44120.3</v>
      </c>
      <c r="HE19">
        <v>1.9716</v>
      </c>
      <c r="HF19">
        <v>1.8169999999999999</v>
      </c>
      <c r="HG19">
        <v>-6.3925999999999997E-2</v>
      </c>
      <c r="HH19">
        <v>0</v>
      </c>
      <c r="HI19">
        <v>26.0549</v>
      </c>
      <c r="HJ19">
        <v>999.9</v>
      </c>
      <c r="HK19">
        <v>75.5</v>
      </c>
      <c r="HL19">
        <v>31.8</v>
      </c>
      <c r="HM19">
        <v>36.272199999999998</v>
      </c>
      <c r="HN19">
        <v>61.332099999999997</v>
      </c>
      <c r="HO19">
        <v>5.0520899999999997</v>
      </c>
      <c r="HP19">
        <v>1</v>
      </c>
      <c r="HQ19">
        <v>0.49455300000000002</v>
      </c>
      <c r="HR19">
        <v>5.1286500000000004</v>
      </c>
      <c r="HS19">
        <v>20.199200000000001</v>
      </c>
      <c r="HT19">
        <v>5.2112999999999996</v>
      </c>
      <c r="HU19">
        <v>11.908099999999999</v>
      </c>
      <c r="HV19">
        <v>4.9859999999999998</v>
      </c>
      <c r="HW19">
        <v>3.2709999999999999</v>
      </c>
      <c r="HX19">
        <v>9999</v>
      </c>
      <c r="HY19">
        <v>9999</v>
      </c>
      <c r="HZ19">
        <v>9999</v>
      </c>
      <c r="IA19">
        <v>999.9</v>
      </c>
      <c r="IB19">
        <v>1.8671</v>
      </c>
      <c r="IC19">
        <v>1.86267</v>
      </c>
      <c r="ID19">
        <v>1.8621799999999999</v>
      </c>
      <c r="IE19">
        <v>1.8616600000000001</v>
      </c>
      <c r="IF19">
        <v>1.86172</v>
      </c>
      <c r="IG19">
        <v>1.8623400000000001</v>
      </c>
      <c r="IH19">
        <v>1.8632500000000001</v>
      </c>
      <c r="II19">
        <v>1.86127</v>
      </c>
      <c r="IJ19">
        <v>0</v>
      </c>
      <c r="IK19">
        <v>0</v>
      </c>
      <c r="IL19">
        <v>0</v>
      </c>
      <c r="IM19">
        <v>4.5</v>
      </c>
      <c r="IN19" t="s">
        <v>411</v>
      </c>
      <c r="IO19" t="s">
        <v>412</v>
      </c>
      <c r="IP19" t="s">
        <v>413</v>
      </c>
      <c r="IQ19" t="s">
        <v>414</v>
      </c>
      <c r="IR19" t="s">
        <v>414</v>
      </c>
      <c r="IS19" t="s">
        <v>413</v>
      </c>
      <c r="IT19">
        <v>0</v>
      </c>
      <c r="IU19">
        <v>100</v>
      </c>
      <c r="IV19">
        <v>100</v>
      </c>
      <c r="IW19">
        <v>-5.2729999999999997</v>
      </c>
      <c r="IX19">
        <v>-0.19570000000000001</v>
      </c>
      <c r="IY19">
        <v>-3.4560182049046291</v>
      </c>
      <c r="IZ19">
        <v>-4.7754461378838441E-3</v>
      </c>
      <c r="JA19">
        <v>1.175754608921022E-6</v>
      </c>
      <c r="JB19">
        <v>1.4193218893046591E-11</v>
      </c>
      <c r="JC19">
        <v>-0.51203046686286235</v>
      </c>
      <c r="JD19">
        <v>2.7492919904454862E-4</v>
      </c>
      <c r="JE19">
        <v>8.6739513355948885E-4</v>
      </c>
      <c r="JF19">
        <v>-8.2500691715147318E-6</v>
      </c>
      <c r="JG19">
        <v>38</v>
      </c>
      <c r="JH19">
        <v>1780</v>
      </c>
      <c r="JI19">
        <v>2</v>
      </c>
      <c r="JJ19">
        <v>37</v>
      </c>
      <c r="JK19">
        <v>2</v>
      </c>
      <c r="JL19">
        <v>1.8</v>
      </c>
      <c r="JM19">
        <v>1.1987300000000001</v>
      </c>
      <c r="JN19">
        <v>2.4853499999999999</v>
      </c>
      <c r="JO19">
        <v>1.50024</v>
      </c>
      <c r="JP19">
        <v>2.2900399999999999</v>
      </c>
      <c r="JQ19">
        <v>1.4477500000000001</v>
      </c>
      <c r="JR19">
        <v>2.323</v>
      </c>
      <c r="JS19">
        <v>37.241999999999997</v>
      </c>
      <c r="JT19">
        <v>15.839399999999999</v>
      </c>
      <c r="JU19">
        <v>18</v>
      </c>
      <c r="JV19">
        <v>540.84100000000001</v>
      </c>
      <c r="JW19">
        <v>454.012</v>
      </c>
      <c r="JX19">
        <v>20.9895</v>
      </c>
      <c r="JY19">
        <v>33.195500000000003</v>
      </c>
      <c r="JZ19">
        <v>30.000699999999998</v>
      </c>
      <c r="KA19">
        <v>33.050199999999997</v>
      </c>
      <c r="KB19">
        <v>32.992400000000004</v>
      </c>
      <c r="KC19">
        <v>23.981200000000001</v>
      </c>
      <c r="KD19">
        <v>54.611899999999999</v>
      </c>
      <c r="KE19">
        <v>0</v>
      </c>
      <c r="KF19">
        <v>20.986699999999999</v>
      </c>
      <c r="KG19">
        <v>476.95400000000001</v>
      </c>
      <c r="KH19">
        <v>16.869199999999999</v>
      </c>
      <c r="KI19">
        <v>100.599</v>
      </c>
      <c r="KJ19">
        <v>99.131</v>
      </c>
    </row>
    <row r="20" spans="1:296" x14ac:dyDescent="0.3">
      <c r="A20">
        <v>4</v>
      </c>
      <c r="B20">
        <v>1783435778.0999999</v>
      </c>
      <c r="C20">
        <v>563</v>
      </c>
      <c r="D20" t="s">
        <v>1091</v>
      </c>
      <c r="E20" t="s">
        <v>1092</v>
      </c>
      <c r="F20">
        <v>15</v>
      </c>
      <c r="H20">
        <v>1783435770.349999</v>
      </c>
      <c r="I20">
        <f t="shared" si="0"/>
        <v>3.3758956895395017E-3</v>
      </c>
      <c r="J20">
        <f t="shared" si="1"/>
        <v>3.3758956895395018</v>
      </c>
      <c r="K20">
        <f t="shared" si="2"/>
        <v>44.685049057604232</v>
      </c>
      <c r="L20">
        <f t="shared" si="3"/>
        <v>419.96899999999999</v>
      </c>
      <c r="M20">
        <f t="shared" si="4"/>
        <v>170.70127213731561</v>
      </c>
      <c r="N20">
        <f t="shared" si="5"/>
        <v>16.784715852607658</v>
      </c>
      <c r="O20">
        <f t="shared" si="6"/>
        <v>41.294714700388262</v>
      </c>
      <c r="P20">
        <f t="shared" si="7"/>
        <v>0.30799325727527804</v>
      </c>
      <c r="Q20">
        <f t="shared" si="8"/>
        <v>2.897491912621486</v>
      </c>
      <c r="R20">
        <f t="shared" si="9"/>
        <v>0.29089249833821174</v>
      </c>
      <c r="S20">
        <f t="shared" si="10"/>
        <v>0.18326507832411076</v>
      </c>
      <c r="T20">
        <f t="shared" si="11"/>
        <v>224.00399576800851</v>
      </c>
      <c r="U20">
        <f t="shared" si="12"/>
        <v>25.422044300035477</v>
      </c>
      <c r="V20">
        <f t="shared" si="13"/>
        <v>25.000963333333331</v>
      </c>
      <c r="W20">
        <f t="shared" si="14"/>
        <v>3.179860213167669</v>
      </c>
      <c r="X20">
        <f t="shared" si="15"/>
        <v>65.177198708548346</v>
      </c>
      <c r="Y20">
        <f t="shared" si="16"/>
        <v>2.0691922880489715</v>
      </c>
      <c r="Z20">
        <f t="shared" si="17"/>
        <v>3.1747180441149978</v>
      </c>
      <c r="AA20">
        <f t="shared" si="18"/>
        <v>1.1106679251186975</v>
      </c>
      <c r="AB20">
        <f t="shared" si="19"/>
        <v>-148.87699990869203</v>
      </c>
      <c r="AC20">
        <f t="shared" si="20"/>
        <v>-4.240048808189786</v>
      </c>
      <c r="AD20">
        <f t="shared" si="21"/>
        <v>-0.30949490107347211</v>
      </c>
      <c r="AE20">
        <f t="shared" si="22"/>
        <v>70.577452150053233</v>
      </c>
      <c r="AF20">
        <f t="shared" si="23"/>
        <v>44.685049057604232</v>
      </c>
      <c r="AG20">
        <f t="shared" si="24"/>
        <v>3.3758956895395018</v>
      </c>
      <c r="AH20">
        <f t="shared" si="25"/>
        <v>44.609696083197427</v>
      </c>
      <c r="AI20">
        <v>483.51778811019511</v>
      </c>
      <c r="AJ20">
        <v>429.0378727272726</v>
      </c>
      <c r="AK20">
        <v>1.922253088696749E-3</v>
      </c>
      <c r="AL20">
        <v>67.093817238549235</v>
      </c>
      <c r="AM20">
        <f t="shared" si="26"/>
        <v>3.3834459242299411</v>
      </c>
      <c r="AN20">
        <v>17.084062580004311</v>
      </c>
      <c r="AO20">
        <v>21.053039999999989</v>
      </c>
      <c r="AP20">
        <v>1.0090873480571719E-3</v>
      </c>
      <c r="AQ20">
        <v>78.250894603697304</v>
      </c>
      <c r="AR20">
        <v>0</v>
      </c>
      <c r="AS20">
        <v>0</v>
      </c>
      <c r="AT20">
        <f t="shared" si="27"/>
        <v>1</v>
      </c>
      <c r="AU20">
        <f t="shared" si="28"/>
        <v>0</v>
      </c>
      <c r="AV20">
        <f t="shared" si="29"/>
        <v>52271.820050418013</v>
      </c>
      <c r="AW20" t="s">
        <v>1080</v>
      </c>
      <c r="AX20">
        <v>5103.58</v>
      </c>
      <c r="AY20">
        <v>629.08823529411768</v>
      </c>
      <c r="AZ20">
        <v>2707.55</v>
      </c>
      <c r="BA20">
        <f t="shared" si="30"/>
        <v>0.76765406537492653</v>
      </c>
      <c r="BB20">
        <v>-4.7374107809501558</v>
      </c>
      <c r="BC20" t="s">
        <v>1093</v>
      </c>
      <c r="BD20">
        <v>5107.55</v>
      </c>
      <c r="BE20">
        <v>795.95470588235298</v>
      </c>
      <c r="BF20">
        <v>1083.3900000000001</v>
      </c>
      <c r="BG20">
        <f t="shared" si="31"/>
        <v>0.26531100907119975</v>
      </c>
      <c r="BH20">
        <v>0.5</v>
      </c>
      <c r="BI20">
        <f t="shared" si="32"/>
        <v>1176.2864197761701</v>
      </c>
      <c r="BJ20">
        <f t="shared" si="33"/>
        <v>44.685049057604232</v>
      </c>
      <c r="BK20">
        <f t="shared" si="34"/>
        <v>156.04086849378228</v>
      </c>
      <c r="BL20">
        <f t="shared" si="35"/>
        <v>4.2015668129500937E-2</v>
      </c>
      <c r="BM20">
        <f t="shared" si="36"/>
        <v>1.4991461985065395</v>
      </c>
      <c r="BN20">
        <f t="shared" si="37"/>
        <v>466.57172667900289</v>
      </c>
      <c r="BO20" t="s">
        <v>407</v>
      </c>
      <c r="BP20">
        <v>0</v>
      </c>
      <c r="BQ20">
        <f t="shared" si="38"/>
        <v>466.57172667900289</v>
      </c>
      <c r="BR20">
        <f t="shared" si="39"/>
        <v>0.569340932924429</v>
      </c>
      <c r="BS20">
        <f t="shared" si="40"/>
        <v>0.46599672310301921</v>
      </c>
      <c r="BT20">
        <f t="shared" si="41"/>
        <v>0.72475490696886191</v>
      </c>
      <c r="BU20">
        <f t="shared" si="42"/>
        <v>0.63269684700374074</v>
      </c>
      <c r="BV20">
        <f t="shared" si="43"/>
        <v>0.78142404521443309</v>
      </c>
      <c r="BW20">
        <f t="shared" si="44"/>
        <v>0.27315737204406831</v>
      </c>
      <c r="BX20">
        <f t="shared" si="45"/>
        <v>0.72684262795593169</v>
      </c>
      <c r="DG20">
        <f t="shared" si="46"/>
        <v>1399.9923333333329</v>
      </c>
      <c r="DH20">
        <f t="shared" si="47"/>
        <v>1176.2864197761701</v>
      </c>
      <c r="DI20">
        <f t="shared" si="48"/>
        <v>0.84020918669995359</v>
      </c>
      <c r="DJ20">
        <f t="shared" si="49"/>
        <v>0.16000373033091031</v>
      </c>
      <c r="DK20">
        <v>6</v>
      </c>
      <c r="DL20">
        <v>0.5</v>
      </c>
      <c r="DM20" t="s">
        <v>408</v>
      </c>
      <c r="DN20">
        <v>2</v>
      </c>
      <c r="DO20" t="b">
        <v>0</v>
      </c>
      <c r="DP20">
        <v>1783435770.349999</v>
      </c>
      <c r="DQ20">
        <v>419.96899999999999</v>
      </c>
      <c r="DR20">
        <v>475.3005</v>
      </c>
      <c r="DS20">
        <v>21.043773333333331</v>
      </c>
      <c r="DT20">
        <v>17.077366666666659</v>
      </c>
      <c r="DU20">
        <v>425.23233333333332</v>
      </c>
      <c r="DV20">
        <v>21.243380000000009</v>
      </c>
      <c r="DW20">
        <v>499.92666666666662</v>
      </c>
      <c r="DX20">
        <v>98.275499999999994</v>
      </c>
      <c r="DY20">
        <v>5.2506829999999997E-2</v>
      </c>
      <c r="DZ20">
        <v>24.97382</v>
      </c>
      <c r="EA20">
        <v>25.000963333333331</v>
      </c>
      <c r="EB20">
        <v>999.9000000000002</v>
      </c>
      <c r="EC20">
        <v>0</v>
      </c>
      <c r="ED20">
        <v>0</v>
      </c>
      <c r="EE20">
        <v>9990.6666666666661</v>
      </c>
      <c r="EF20">
        <v>0</v>
      </c>
      <c r="EG20">
        <v>1032.181</v>
      </c>
      <c r="EH20">
        <v>-55.331673333333327</v>
      </c>
      <c r="EI20">
        <v>428.99660000000011</v>
      </c>
      <c r="EJ20">
        <v>483.55846666666667</v>
      </c>
      <c r="EK20">
        <v>3.966394666666667</v>
      </c>
      <c r="EL20">
        <v>475.3005</v>
      </c>
      <c r="EM20">
        <v>17.077366666666659</v>
      </c>
      <c r="EN20">
        <v>2.0680866666666669</v>
      </c>
      <c r="EO20">
        <v>1.6782876666666671</v>
      </c>
      <c r="EP20">
        <v>17.975486666666669</v>
      </c>
      <c r="EQ20">
        <v>14.69704333333334</v>
      </c>
      <c r="ER20">
        <v>1399.9923333333329</v>
      </c>
      <c r="ES20">
        <v>0.99300233333333343</v>
      </c>
      <c r="ET20">
        <v>6.9975966666666672E-3</v>
      </c>
      <c r="EU20">
        <v>0</v>
      </c>
      <c r="EV20">
        <v>795.92849999999999</v>
      </c>
      <c r="EW20">
        <v>5.0010700000000003</v>
      </c>
      <c r="EX20">
        <v>14513.08666666667</v>
      </c>
      <c r="EY20">
        <v>12745.44666666667</v>
      </c>
      <c r="EZ20">
        <v>40.186999999999983</v>
      </c>
      <c r="FA20">
        <v>42.311999999999983</v>
      </c>
      <c r="FB20">
        <v>41.237399999999987</v>
      </c>
      <c r="FC20">
        <v>41.94959999999999</v>
      </c>
      <c r="FD20">
        <v>41.5</v>
      </c>
      <c r="FE20">
        <v>1385.230333333333</v>
      </c>
      <c r="FF20">
        <v>9.7619999999999987</v>
      </c>
      <c r="FG20">
        <v>0</v>
      </c>
      <c r="FH20">
        <v>182</v>
      </c>
      <c r="FI20">
        <v>0</v>
      </c>
      <c r="FJ20">
        <v>795.95470588235298</v>
      </c>
      <c r="FK20">
        <v>-0.39289218585373531</v>
      </c>
      <c r="FL20">
        <v>289.06862588112949</v>
      </c>
      <c r="FM20">
        <v>14507.03529411765</v>
      </c>
      <c r="FN20">
        <v>10</v>
      </c>
      <c r="FO20">
        <v>1783435678.0999999</v>
      </c>
      <c r="FP20" t="s">
        <v>1094</v>
      </c>
      <c r="FQ20">
        <v>1783435675.5999999</v>
      </c>
      <c r="FR20">
        <v>1783435678.0999999</v>
      </c>
      <c r="FS20">
        <v>4</v>
      </c>
      <c r="FT20">
        <v>0.01</v>
      </c>
      <c r="FU20">
        <v>-6.0000000000000001E-3</v>
      </c>
      <c r="FV20">
        <v>-5.47</v>
      </c>
      <c r="FW20">
        <v>-0.29799999999999999</v>
      </c>
      <c r="FX20">
        <v>476</v>
      </c>
      <c r="FY20">
        <v>17</v>
      </c>
      <c r="FZ20">
        <v>0.18</v>
      </c>
      <c r="GA20">
        <v>0.06</v>
      </c>
      <c r="GB20">
        <v>419.96943333333331</v>
      </c>
      <c r="GC20">
        <v>4.1085650722446257E-2</v>
      </c>
      <c r="GD20">
        <v>5.7367054037045423E-2</v>
      </c>
      <c r="GE20">
        <v>-1</v>
      </c>
      <c r="GF20">
        <v>795.92949999999996</v>
      </c>
      <c r="GG20">
        <v>3.6378910852300071E-2</v>
      </c>
      <c r="GH20">
        <v>0.22433906192610109</v>
      </c>
      <c r="GI20">
        <v>1</v>
      </c>
      <c r="GJ20">
        <v>3.9561324999999998</v>
      </c>
      <c r="GK20">
        <v>0.16529606003752201</v>
      </c>
      <c r="GL20">
        <v>1.8341872961886971E-2</v>
      </c>
      <c r="GM20">
        <v>1</v>
      </c>
      <c r="GN20">
        <v>2</v>
      </c>
      <c r="GO20">
        <v>2</v>
      </c>
      <c r="GP20" t="s">
        <v>423</v>
      </c>
      <c r="GQ20">
        <v>3.1305499999999999</v>
      </c>
      <c r="GR20">
        <v>2.7273700000000001</v>
      </c>
      <c r="GS20">
        <v>9.1963600000000006E-2</v>
      </c>
      <c r="GT20">
        <v>0.100678</v>
      </c>
      <c r="GU20">
        <v>0.103281</v>
      </c>
      <c r="GV20">
        <v>8.8659399999999999E-2</v>
      </c>
      <c r="GW20">
        <v>22815.599999999999</v>
      </c>
      <c r="GX20">
        <v>30311</v>
      </c>
      <c r="GY20">
        <v>27254.1</v>
      </c>
      <c r="GZ20">
        <v>34655.9</v>
      </c>
      <c r="HA20">
        <v>35781.199999999997</v>
      </c>
      <c r="HB20">
        <v>40123.5</v>
      </c>
      <c r="HC20">
        <v>40232.6</v>
      </c>
      <c r="HD20">
        <v>44107.5</v>
      </c>
      <c r="HE20">
        <v>1.9688000000000001</v>
      </c>
      <c r="HF20">
        <v>1.8104</v>
      </c>
      <c r="HG20">
        <v>-7.1644799999999995E-2</v>
      </c>
      <c r="HH20">
        <v>0</v>
      </c>
      <c r="HI20">
        <v>26.165099999999999</v>
      </c>
      <c r="HJ20">
        <v>999.9</v>
      </c>
      <c r="HK20">
        <v>75</v>
      </c>
      <c r="HL20">
        <v>32.200000000000003</v>
      </c>
      <c r="HM20">
        <v>36.856299999999997</v>
      </c>
      <c r="HN20">
        <v>61.452199999999998</v>
      </c>
      <c r="HO20">
        <v>4.8156999999999996</v>
      </c>
      <c r="HP20">
        <v>1</v>
      </c>
      <c r="HQ20">
        <v>0.51386200000000004</v>
      </c>
      <c r="HR20">
        <v>5.2409800000000004</v>
      </c>
      <c r="HS20">
        <v>20.197500000000002</v>
      </c>
      <c r="HT20">
        <v>5.2100999999999997</v>
      </c>
      <c r="HU20">
        <v>11.908099999999999</v>
      </c>
      <c r="HV20">
        <v>4.9824000000000002</v>
      </c>
      <c r="HW20">
        <v>3.2709999999999999</v>
      </c>
      <c r="HX20">
        <v>9999</v>
      </c>
      <c r="HY20">
        <v>9999</v>
      </c>
      <c r="HZ20">
        <v>9999</v>
      </c>
      <c r="IA20">
        <v>999.9</v>
      </c>
      <c r="IB20">
        <v>1.8671899999999999</v>
      </c>
      <c r="IC20">
        <v>1.86273</v>
      </c>
      <c r="ID20">
        <v>1.8621799999999999</v>
      </c>
      <c r="IE20">
        <v>1.86172</v>
      </c>
      <c r="IF20">
        <v>1.86172</v>
      </c>
      <c r="IG20">
        <v>1.8623700000000001</v>
      </c>
      <c r="IH20">
        <v>1.8632500000000001</v>
      </c>
      <c r="II20">
        <v>1.86127</v>
      </c>
      <c r="IJ20">
        <v>0</v>
      </c>
      <c r="IK20">
        <v>0</v>
      </c>
      <c r="IL20">
        <v>0</v>
      </c>
      <c r="IM20">
        <v>4.5</v>
      </c>
      <c r="IN20" t="s">
        <v>411</v>
      </c>
      <c r="IO20" t="s">
        <v>412</v>
      </c>
      <c r="IP20" t="s">
        <v>413</v>
      </c>
      <c r="IQ20" t="s">
        <v>414</v>
      </c>
      <c r="IR20" t="s">
        <v>414</v>
      </c>
      <c r="IS20" t="s">
        <v>413</v>
      </c>
      <c r="IT20">
        <v>0</v>
      </c>
      <c r="IU20">
        <v>100</v>
      </c>
      <c r="IV20">
        <v>100</v>
      </c>
      <c r="IW20">
        <v>-5.2629999999999999</v>
      </c>
      <c r="IX20">
        <v>-0.19939999999999999</v>
      </c>
      <c r="IY20">
        <v>-3.446445065814534</v>
      </c>
      <c r="IZ20">
        <v>-4.7754461378838441E-3</v>
      </c>
      <c r="JA20">
        <v>1.175754608921022E-6</v>
      </c>
      <c r="JB20">
        <v>1.4193218893046591E-11</v>
      </c>
      <c r="JC20">
        <v>-0.51780380442305085</v>
      </c>
      <c r="JD20">
        <v>2.7492919904454862E-4</v>
      </c>
      <c r="JE20">
        <v>8.6739513355948885E-4</v>
      </c>
      <c r="JF20">
        <v>-8.2500691715147318E-6</v>
      </c>
      <c r="JG20">
        <v>38</v>
      </c>
      <c r="JH20">
        <v>1780</v>
      </c>
      <c r="JI20">
        <v>2</v>
      </c>
      <c r="JJ20">
        <v>37</v>
      </c>
      <c r="JK20">
        <v>1.7</v>
      </c>
      <c r="JL20">
        <v>1.7</v>
      </c>
      <c r="JM20">
        <v>1.1962900000000001</v>
      </c>
      <c r="JN20">
        <v>2.4902299999999999</v>
      </c>
      <c r="JO20">
        <v>1.50024</v>
      </c>
      <c r="JP20">
        <v>2.2888199999999999</v>
      </c>
      <c r="JQ20">
        <v>1.4477500000000001</v>
      </c>
      <c r="JR20">
        <v>2.4108900000000002</v>
      </c>
      <c r="JS20">
        <v>37.505899999999997</v>
      </c>
      <c r="JT20">
        <v>15.804399999999999</v>
      </c>
      <c r="JU20">
        <v>18</v>
      </c>
      <c r="JV20">
        <v>540.548</v>
      </c>
      <c r="JW20">
        <v>451.13600000000002</v>
      </c>
      <c r="JX20">
        <v>20.963699999999999</v>
      </c>
      <c r="JY20">
        <v>33.401000000000003</v>
      </c>
      <c r="JZ20">
        <v>30.001200000000001</v>
      </c>
      <c r="KA20">
        <v>33.238599999999998</v>
      </c>
      <c r="KB20">
        <v>33.1798</v>
      </c>
      <c r="KC20">
        <v>23.9175</v>
      </c>
      <c r="KD20">
        <v>54.893700000000003</v>
      </c>
      <c r="KE20">
        <v>0</v>
      </c>
      <c r="KF20">
        <v>20.9453</v>
      </c>
      <c r="KG20">
        <v>475.25799999999998</v>
      </c>
      <c r="KH20">
        <v>17.0474</v>
      </c>
      <c r="KI20">
        <v>100.565</v>
      </c>
      <c r="KJ20">
        <v>99.101100000000002</v>
      </c>
    </row>
    <row r="21" spans="1:296" x14ac:dyDescent="0.3">
      <c r="A21">
        <v>5</v>
      </c>
      <c r="B21">
        <v>1783435960.5999999</v>
      </c>
      <c r="C21">
        <v>745.5</v>
      </c>
      <c r="D21" t="s">
        <v>1095</v>
      </c>
      <c r="E21" t="s">
        <v>1096</v>
      </c>
      <c r="F21">
        <v>15</v>
      </c>
      <c r="H21">
        <v>1783435952.599999</v>
      </c>
      <c r="I21">
        <f t="shared" si="0"/>
        <v>3.0590957135023904E-3</v>
      </c>
      <c r="J21">
        <f t="shared" si="1"/>
        <v>3.0590957135023902</v>
      </c>
      <c r="K21">
        <f t="shared" si="2"/>
        <v>40.080909355937841</v>
      </c>
      <c r="L21">
        <f t="shared" si="3"/>
        <v>420.00929032258068</v>
      </c>
      <c r="M21">
        <f t="shared" si="4"/>
        <v>172.22164546395572</v>
      </c>
      <c r="N21">
        <f t="shared" si="5"/>
        <v>16.933946937171775</v>
      </c>
      <c r="O21">
        <f t="shared" si="6"/>
        <v>41.298032057940787</v>
      </c>
      <c r="P21">
        <f t="shared" si="7"/>
        <v>0.27663449802949636</v>
      </c>
      <c r="Q21">
        <f t="shared" si="8"/>
        <v>2.8975948046918769</v>
      </c>
      <c r="R21">
        <f t="shared" si="9"/>
        <v>0.26275493801642957</v>
      </c>
      <c r="S21">
        <f t="shared" si="10"/>
        <v>0.16541080947702963</v>
      </c>
      <c r="T21">
        <f t="shared" si="11"/>
        <v>160.16989743247456</v>
      </c>
      <c r="U21">
        <f t="shared" si="12"/>
        <v>25.19214957697919</v>
      </c>
      <c r="V21">
        <f t="shared" si="13"/>
        <v>25.000761290322579</v>
      </c>
      <c r="W21">
        <f t="shared" si="14"/>
        <v>3.1798219102568601</v>
      </c>
      <c r="X21">
        <f t="shared" si="15"/>
        <v>64.802357641086374</v>
      </c>
      <c r="Y21">
        <f t="shared" si="16"/>
        <v>2.0656013067647252</v>
      </c>
      <c r="Z21">
        <f t="shared" si="17"/>
        <v>3.1875403642028615</v>
      </c>
      <c r="AA21">
        <f t="shared" si="18"/>
        <v>1.1142206034921349</v>
      </c>
      <c r="AB21">
        <f t="shared" si="19"/>
        <v>-134.90612096545541</v>
      </c>
      <c r="AC21">
        <f t="shared" si="20"/>
        <v>6.3534205582003773</v>
      </c>
      <c r="AD21">
        <f t="shared" si="21"/>
        <v>0.46389766391084586</v>
      </c>
      <c r="AE21">
        <f t="shared" si="22"/>
        <v>32.08109468913036</v>
      </c>
      <c r="AF21">
        <f t="shared" si="23"/>
        <v>40.080909355937841</v>
      </c>
      <c r="AG21">
        <f t="shared" si="24"/>
        <v>3.0590957135023902</v>
      </c>
      <c r="AH21">
        <f t="shared" si="25"/>
        <v>40.052682807130978</v>
      </c>
      <c r="AI21">
        <v>477.96262648284528</v>
      </c>
      <c r="AJ21">
        <v>429.03718181818181</v>
      </c>
      <c r="AK21">
        <v>1.634387194487515E-3</v>
      </c>
      <c r="AL21">
        <v>67.094724658873758</v>
      </c>
      <c r="AM21">
        <f t="shared" si="26"/>
        <v>3.0569908558250036</v>
      </c>
      <c r="AN21">
        <v>17.41530961983398</v>
      </c>
      <c r="AO21">
        <v>21.006963636363629</v>
      </c>
      <c r="AP21">
        <v>-3.2043250375571063E-5</v>
      </c>
      <c r="AQ21">
        <v>78.252955903896151</v>
      </c>
      <c r="AR21">
        <v>0</v>
      </c>
      <c r="AS21">
        <v>0</v>
      </c>
      <c r="AT21">
        <f t="shared" si="27"/>
        <v>1</v>
      </c>
      <c r="AU21">
        <f t="shared" si="28"/>
        <v>0</v>
      </c>
      <c r="AV21">
        <f t="shared" si="29"/>
        <v>52262.913139137112</v>
      </c>
      <c r="AW21" t="s">
        <v>1080</v>
      </c>
      <c r="AX21">
        <v>5103.58</v>
      </c>
      <c r="AY21">
        <v>629.08823529411768</v>
      </c>
      <c r="AZ21">
        <v>2707.55</v>
      </c>
      <c r="BA21">
        <f t="shared" si="30"/>
        <v>0.76765406537492653</v>
      </c>
      <c r="BB21">
        <v>-4.7374107809501558</v>
      </c>
      <c r="BC21" t="s">
        <v>1097</v>
      </c>
      <c r="BD21">
        <v>5110.8900000000003</v>
      </c>
      <c r="BE21">
        <v>794.22588235294131</v>
      </c>
      <c r="BF21">
        <v>1247.1600000000001</v>
      </c>
      <c r="BG21">
        <f t="shared" si="31"/>
        <v>0.36317242186011311</v>
      </c>
      <c r="BH21">
        <v>0.5</v>
      </c>
      <c r="BI21">
        <f t="shared" si="32"/>
        <v>840.26565100462483</v>
      </c>
      <c r="BJ21">
        <f t="shared" si="33"/>
        <v>40.080909355937841</v>
      </c>
      <c r="BK21">
        <f t="shared" si="34"/>
        <v>152.58065574060709</v>
      </c>
      <c r="BL21">
        <f t="shared" si="35"/>
        <v>5.3338274726930757E-2</v>
      </c>
      <c r="BM21">
        <f t="shared" si="36"/>
        <v>1.1709724494050482</v>
      </c>
      <c r="BN21">
        <f t="shared" si="37"/>
        <v>494.53873997800338</v>
      </c>
      <c r="BO21" t="s">
        <v>407</v>
      </c>
      <c r="BP21">
        <v>0</v>
      </c>
      <c r="BQ21">
        <f t="shared" si="38"/>
        <v>494.53873997800338</v>
      </c>
      <c r="BR21">
        <f t="shared" si="39"/>
        <v>0.60346808751242553</v>
      </c>
      <c r="BS21">
        <f t="shared" si="40"/>
        <v>0.60180882697071425</v>
      </c>
      <c r="BT21">
        <f t="shared" si="41"/>
        <v>0.65991078598736286</v>
      </c>
      <c r="BU21">
        <f t="shared" si="42"/>
        <v>0.73281800514313</v>
      </c>
      <c r="BV21">
        <f t="shared" si="43"/>
        <v>0.70263019738862309</v>
      </c>
      <c r="BW21">
        <f t="shared" si="44"/>
        <v>0.37472687003856753</v>
      </c>
      <c r="BX21">
        <f t="shared" si="45"/>
        <v>0.62527312996143247</v>
      </c>
      <c r="DG21">
        <f t="shared" si="46"/>
        <v>999.96087096774193</v>
      </c>
      <c r="DH21">
        <f t="shared" si="47"/>
        <v>840.26565100462483</v>
      </c>
      <c r="DI21">
        <f t="shared" si="48"/>
        <v>0.8402985310729536</v>
      </c>
      <c r="DJ21">
        <f t="shared" si="49"/>
        <v>0.16017616497080067</v>
      </c>
      <c r="DK21">
        <v>6</v>
      </c>
      <c r="DL21">
        <v>0.5</v>
      </c>
      <c r="DM21" t="s">
        <v>408</v>
      </c>
      <c r="DN21">
        <v>2</v>
      </c>
      <c r="DO21" t="b">
        <v>0</v>
      </c>
      <c r="DP21">
        <v>1783435952.599999</v>
      </c>
      <c r="DQ21">
        <v>420.00929032258068</v>
      </c>
      <c r="DR21">
        <v>469.64996774193548</v>
      </c>
      <c r="DS21">
        <v>21.007580645161291</v>
      </c>
      <c r="DT21">
        <v>17.413654838709679</v>
      </c>
      <c r="DU21">
        <v>425.32383870967737</v>
      </c>
      <c r="DV21">
        <v>21.215716129032259</v>
      </c>
      <c r="DW21">
        <v>499.9821935483871</v>
      </c>
      <c r="DX21">
        <v>98.27516451612901</v>
      </c>
      <c r="DY21">
        <v>5.1308277419354828E-2</v>
      </c>
      <c r="DZ21">
        <v>25.041432258064521</v>
      </c>
      <c r="EA21">
        <v>25.000761290322579</v>
      </c>
      <c r="EB21">
        <v>999.90000000000032</v>
      </c>
      <c r="EC21">
        <v>0</v>
      </c>
      <c r="ED21">
        <v>0</v>
      </c>
      <c r="EE21">
        <v>9991.2903225806458</v>
      </c>
      <c r="EF21">
        <v>0</v>
      </c>
      <c r="EG21">
        <v>1360.921935483871</v>
      </c>
      <c r="EH21">
        <v>-49.640706451612907</v>
      </c>
      <c r="EI21">
        <v>429.0219677419355</v>
      </c>
      <c r="EJ21">
        <v>477.97332258064512</v>
      </c>
      <c r="EK21">
        <v>3.5939345161290328</v>
      </c>
      <c r="EL21">
        <v>469.64996774193548</v>
      </c>
      <c r="EM21">
        <v>17.413654838709679</v>
      </c>
      <c r="EN21">
        <v>2.0645241935483871</v>
      </c>
      <c r="EO21">
        <v>1.711329032258065</v>
      </c>
      <c r="EP21">
        <v>17.94807419354839</v>
      </c>
      <c r="EQ21">
        <v>14.999574193548391</v>
      </c>
      <c r="ER21">
        <v>999.96087096774193</v>
      </c>
      <c r="ES21">
        <v>0.98999903225806485</v>
      </c>
      <c r="ET21">
        <v>1.000098193548387E-2</v>
      </c>
      <c r="EU21">
        <v>0</v>
      </c>
      <c r="EV21">
        <v>794.20174193548394</v>
      </c>
      <c r="EW21">
        <v>5.0010700000000003</v>
      </c>
      <c r="EX21">
        <v>11254.509677419361</v>
      </c>
      <c r="EY21">
        <v>9079.9151612903206</v>
      </c>
      <c r="EZ21">
        <v>39.512</v>
      </c>
      <c r="FA21">
        <v>42.25</v>
      </c>
      <c r="FB21">
        <v>40.926999999999992</v>
      </c>
      <c r="FC21">
        <v>41.92499999999999</v>
      </c>
      <c r="FD21">
        <v>41.082322580645133</v>
      </c>
      <c r="FE21">
        <v>985.00903225806462</v>
      </c>
      <c r="FF21">
        <v>9.9506451612903248</v>
      </c>
      <c r="FG21">
        <v>0</v>
      </c>
      <c r="FH21">
        <v>181.5999999046326</v>
      </c>
      <c r="FI21">
        <v>0</v>
      </c>
      <c r="FJ21">
        <v>794.22588235294131</v>
      </c>
      <c r="FK21">
        <v>-0.52475489584195845</v>
      </c>
      <c r="FL21">
        <v>68.774509917096012</v>
      </c>
      <c r="FM21">
        <v>11256.35294117647</v>
      </c>
      <c r="FN21">
        <v>10</v>
      </c>
      <c r="FO21">
        <v>1783435876.0999999</v>
      </c>
      <c r="FP21" t="s">
        <v>1098</v>
      </c>
      <c r="FQ21">
        <v>1783435874.0999999</v>
      </c>
      <c r="FR21">
        <v>1783435876.0999999</v>
      </c>
      <c r="FS21">
        <v>5</v>
      </c>
      <c r="FT21">
        <v>-5.0999999999999997E-2</v>
      </c>
      <c r="FU21">
        <v>-8.0000000000000002E-3</v>
      </c>
      <c r="FV21">
        <v>-5.5019999999999998</v>
      </c>
      <c r="FW21">
        <v>-0.30199999999999999</v>
      </c>
      <c r="FX21">
        <v>471</v>
      </c>
      <c r="FY21">
        <v>17</v>
      </c>
      <c r="FZ21">
        <v>0.16</v>
      </c>
      <c r="GA21">
        <v>0.06</v>
      </c>
      <c r="GB21">
        <v>420.01103333333327</v>
      </c>
      <c r="GC21">
        <v>-0.16153948831990339</v>
      </c>
      <c r="GD21">
        <v>5.1182342875471368E-2</v>
      </c>
      <c r="GE21">
        <v>-1</v>
      </c>
      <c r="GF21">
        <v>794.14532352941171</v>
      </c>
      <c r="GG21">
        <v>0.63778457297879265</v>
      </c>
      <c r="GH21">
        <v>0.2282480230683436</v>
      </c>
      <c r="GI21">
        <v>1</v>
      </c>
      <c r="GJ21">
        <v>3.5965462499999998</v>
      </c>
      <c r="GK21">
        <v>-5.9069831144476677E-2</v>
      </c>
      <c r="GL21">
        <v>6.2944859549847812E-3</v>
      </c>
      <c r="GM21">
        <v>1</v>
      </c>
      <c r="GN21">
        <v>2</v>
      </c>
      <c r="GO21">
        <v>2</v>
      </c>
      <c r="GP21" t="s">
        <v>423</v>
      </c>
      <c r="GQ21">
        <v>3.1293099999999998</v>
      </c>
      <c r="GR21">
        <v>2.72783</v>
      </c>
      <c r="GS21">
        <v>9.1946700000000006E-2</v>
      </c>
      <c r="GT21">
        <v>9.9808800000000003E-2</v>
      </c>
      <c r="GU21">
        <v>0.103113</v>
      </c>
      <c r="GV21">
        <v>8.9883900000000003E-2</v>
      </c>
      <c r="GW21">
        <v>22813.4</v>
      </c>
      <c r="GX21">
        <v>30337.8</v>
      </c>
      <c r="GY21">
        <v>27251.4</v>
      </c>
      <c r="GZ21">
        <v>34653.5</v>
      </c>
      <c r="HA21">
        <v>35785.800000000003</v>
      </c>
      <c r="HB21">
        <v>40068.400000000001</v>
      </c>
      <c r="HC21">
        <v>40229.9</v>
      </c>
      <c r="HD21">
        <v>44106.2</v>
      </c>
      <c r="HE21">
        <v>1.9665999999999999</v>
      </c>
      <c r="HF21">
        <v>1.8082</v>
      </c>
      <c r="HG21">
        <v>-6.9886400000000001E-2</v>
      </c>
      <c r="HH21">
        <v>0</v>
      </c>
      <c r="HI21">
        <v>26.143000000000001</v>
      </c>
      <c r="HJ21">
        <v>999.9</v>
      </c>
      <c r="HK21">
        <v>74.3</v>
      </c>
      <c r="HL21">
        <v>32.5</v>
      </c>
      <c r="HM21">
        <v>37.133499999999998</v>
      </c>
      <c r="HN21">
        <v>60.8322</v>
      </c>
      <c r="HO21">
        <v>5.0280500000000004</v>
      </c>
      <c r="HP21">
        <v>1</v>
      </c>
      <c r="HQ21">
        <v>0.51597599999999999</v>
      </c>
      <c r="HR21">
        <v>5.22159</v>
      </c>
      <c r="HS21">
        <v>20.200199999999999</v>
      </c>
      <c r="HT21">
        <v>5.2100999999999997</v>
      </c>
      <c r="HU21">
        <v>11.908099999999999</v>
      </c>
      <c r="HV21">
        <v>4.9847999999999999</v>
      </c>
      <c r="HW21">
        <v>3.2709999999999999</v>
      </c>
      <c r="HX21">
        <v>9999</v>
      </c>
      <c r="HY21">
        <v>9999</v>
      </c>
      <c r="HZ21">
        <v>9999</v>
      </c>
      <c r="IA21">
        <v>999.9</v>
      </c>
      <c r="IB21">
        <v>1.8672200000000001</v>
      </c>
      <c r="IC21">
        <v>1.8627</v>
      </c>
      <c r="ID21">
        <v>1.8621799999999999</v>
      </c>
      <c r="IE21">
        <v>1.86172</v>
      </c>
      <c r="IF21">
        <v>1.86172</v>
      </c>
      <c r="IG21">
        <v>1.8623700000000001</v>
      </c>
      <c r="IH21">
        <v>1.8632500000000001</v>
      </c>
      <c r="II21">
        <v>1.8613</v>
      </c>
      <c r="IJ21">
        <v>0</v>
      </c>
      <c r="IK21">
        <v>0</v>
      </c>
      <c r="IL21">
        <v>0</v>
      </c>
      <c r="IM21">
        <v>4.5</v>
      </c>
      <c r="IN21" t="s">
        <v>411</v>
      </c>
      <c r="IO21" t="s">
        <v>412</v>
      </c>
      <c r="IP21" t="s">
        <v>413</v>
      </c>
      <c r="IQ21" t="s">
        <v>414</v>
      </c>
      <c r="IR21" t="s">
        <v>414</v>
      </c>
      <c r="IS21" t="s">
        <v>413</v>
      </c>
      <c r="IT21">
        <v>0</v>
      </c>
      <c r="IU21">
        <v>100</v>
      </c>
      <c r="IV21">
        <v>100</v>
      </c>
      <c r="IW21">
        <v>-5.3150000000000004</v>
      </c>
      <c r="IX21">
        <v>-0.2082</v>
      </c>
      <c r="IY21">
        <v>-3.497164200013561</v>
      </c>
      <c r="IZ21">
        <v>-4.7754461378838441E-3</v>
      </c>
      <c r="JA21">
        <v>1.175754608921022E-6</v>
      </c>
      <c r="JB21">
        <v>1.4193218893046591E-11</v>
      </c>
      <c r="JC21">
        <v>-0.52559890553708111</v>
      </c>
      <c r="JD21">
        <v>2.7492919904454862E-4</v>
      </c>
      <c r="JE21">
        <v>8.6739513355948885E-4</v>
      </c>
      <c r="JF21">
        <v>-8.2500691715147318E-6</v>
      </c>
      <c r="JG21">
        <v>38</v>
      </c>
      <c r="JH21">
        <v>1780</v>
      </c>
      <c r="JI21">
        <v>2</v>
      </c>
      <c r="JJ21">
        <v>37</v>
      </c>
      <c r="JK21">
        <v>1.4</v>
      </c>
      <c r="JL21">
        <v>1.4</v>
      </c>
      <c r="JM21">
        <v>1.1853</v>
      </c>
      <c r="JN21">
        <v>2.49512</v>
      </c>
      <c r="JO21">
        <v>1.50024</v>
      </c>
      <c r="JP21">
        <v>2.2875999999999999</v>
      </c>
      <c r="JQ21">
        <v>1.4477500000000001</v>
      </c>
      <c r="JR21">
        <v>2.3120099999999999</v>
      </c>
      <c r="JS21">
        <v>37.722799999999999</v>
      </c>
      <c r="JT21">
        <v>15.7781</v>
      </c>
      <c r="JU21">
        <v>18</v>
      </c>
      <c r="JV21">
        <v>540.01900000000001</v>
      </c>
      <c r="JW21">
        <v>450.512</v>
      </c>
      <c r="JX21">
        <v>21.595800000000001</v>
      </c>
      <c r="JY21">
        <v>33.490900000000003</v>
      </c>
      <c r="JZ21">
        <v>30.0001</v>
      </c>
      <c r="KA21">
        <v>33.351199999999999</v>
      </c>
      <c r="KB21">
        <v>33.288899999999998</v>
      </c>
      <c r="KC21">
        <v>23.701499999999999</v>
      </c>
      <c r="KD21">
        <v>54.581400000000002</v>
      </c>
      <c r="KE21">
        <v>0</v>
      </c>
      <c r="KF21">
        <v>21.459700000000002</v>
      </c>
      <c r="KG21">
        <v>469.63</v>
      </c>
      <c r="KH21">
        <v>17.406700000000001</v>
      </c>
      <c r="KI21">
        <v>100.557</v>
      </c>
      <c r="KJ21">
        <v>99.096500000000006</v>
      </c>
    </row>
    <row r="22" spans="1:296" x14ac:dyDescent="0.3">
      <c r="A22">
        <v>6</v>
      </c>
      <c r="B22">
        <v>1783436143.0999999</v>
      </c>
      <c r="C22">
        <v>928</v>
      </c>
      <c r="D22" t="s">
        <v>1099</v>
      </c>
      <c r="E22" t="s">
        <v>1100</v>
      </c>
      <c r="F22">
        <v>15</v>
      </c>
      <c r="H22">
        <v>1783436135.349999</v>
      </c>
      <c r="I22">
        <f t="shared" si="0"/>
        <v>2.8334289348964205E-3</v>
      </c>
      <c r="J22">
        <f t="shared" si="1"/>
        <v>2.8334289348964203</v>
      </c>
      <c r="K22">
        <f t="shared" si="2"/>
        <v>36.162220644803881</v>
      </c>
      <c r="L22">
        <f t="shared" si="3"/>
        <v>420.05666666666667</v>
      </c>
      <c r="M22">
        <f t="shared" si="4"/>
        <v>179.44390874614319</v>
      </c>
      <c r="N22">
        <f t="shared" si="5"/>
        <v>17.6447189231416</v>
      </c>
      <c r="O22">
        <f t="shared" si="6"/>
        <v>41.304170572936314</v>
      </c>
      <c r="P22">
        <f t="shared" si="7"/>
        <v>0.25643496823648454</v>
      </c>
      <c r="Q22">
        <f t="shared" si="8"/>
        <v>2.8997417009998077</v>
      </c>
      <c r="R22">
        <f t="shared" si="9"/>
        <v>0.24446963378218509</v>
      </c>
      <c r="S22">
        <f t="shared" si="10"/>
        <v>0.15382202549484084</v>
      </c>
      <c r="T22">
        <f t="shared" si="11"/>
        <v>128.27552972504117</v>
      </c>
      <c r="U22">
        <f t="shared" si="12"/>
        <v>25.00744451010042</v>
      </c>
      <c r="V22">
        <f t="shared" si="13"/>
        <v>25.006636666666669</v>
      </c>
      <c r="W22">
        <f t="shared" si="14"/>
        <v>3.1809359170062135</v>
      </c>
      <c r="X22">
        <f t="shared" si="15"/>
        <v>65.203061181547213</v>
      </c>
      <c r="Y22">
        <f t="shared" si="16"/>
        <v>2.0717202687832463</v>
      </c>
      <c r="Z22">
        <f t="shared" si="17"/>
        <v>3.1773358968758867</v>
      </c>
      <c r="AA22">
        <f t="shared" si="18"/>
        <v>1.1092156482229671</v>
      </c>
      <c r="AB22">
        <f t="shared" si="19"/>
        <v>-124.95421602893215</v>
      </c>
      <c r="AC22">
        <f t="shared" si="20"/>
        <v>-2.9692444112702105</v>
      </c>
      <c r="AD22">
        <f t="shared" si="21"/>
        <v>-0.21658786973541291</v>
      </c>
      <c r="AE22">
        <f t="shared" si="22"/>
        <v>0.13548141510339917</v>
      </c>
      <c r="AF22">
        <f t="shared" si="23"/>
        <v>36.162220644803881</v>
      </c>
      <c r="AG22">
        <f t="shared" si="24"/>
        <v>2.8334289348964203</v>
      </c>
      <c r="AH22">
        <f t="shared" si="25"/>
        <v>36.266535321730146</v>
      </c>
      <c r="AI22">
        <v>473.30779265345649</v>
      </c>
      <c r="AJ22">
        <v>429.05747878787889</v>
      </c>
      <c r="AK22">
        <v>-1.076195735001859E-2</v>
      </c>
      <c r="AL22">
        <v>67.034695396671708</v>
      </c>
      <c r="AM22">
        <f t="shared" si="26"/>
        <v>2.8088450082459739</v>
      </c>
      <c r="AN22">
        <v>17.746959788710122</v>
      </c>
      <c r="AO22">
        <v>21.047543030303029</v>
      </c>
      <c r="AP22">
        <v>-1.272413684951159E-4</v>
      </c>
      <c r="AQ22">
        <v>78.059577826030917</v>
      </c>
      <c r="AR22">
        <v>0</v>
      </c>
      <c r="AS22">
        <v>0</v>
      </c>
      <c r="AT22">
        <f t="shared" si="27"/>
        <v>1</v>
      </c>
      <c r="AU22">
        <f t="shared" si="28"/>
        <v>0</v>
      </c>
      <c r="AV22">
        <f t="shared" si="29"/>
        <v>52334.159419739459</v>
      </c>
      <c r="AW22" t="s">
        <v>1080</v>
      </c>
      <c r="AX22">
        <v>5103.58</v>
      </c>
      <c r="AY22">
        <v>629.08823529411768</v>
      </c>
      <c r="AZ22">
        <v>2707.55</v>
      </c>
      <c r="BA22">
        <f t="shared" si="30"/>
        <v>0.76765406537492653</v>
      </c>
      <c r="BB22">
        <v>-4.7374107809501558</v>
      </c>
      <c r="BC22" t="s">
        <v>1101</v>
      </c>
      <c r="BD22">
        <v>5112.91</v>
      </c>
      <c r="BE22">
        <v>795.21317647058834</v>
      </c>
      <c r="BF22">
        <v>1382.01</v>
      </c>
      <c r="BG22">
        <f t="shared" si="31"/>
        <v>0.42459665525532497</v>
      </c>
      <c r="BH22">
        <v>0.5</v>
      </c>
      <c r="BI22">
        <f t="shared" si="32"/>
        <v>672.29634675908869</v>
      </c>
      <c r="BJ22">
        <f t="shared" si="33"/>
        <v>36.162220644803881</v>
      </c>
      <c r="BK22">
        <f t="shared" si="34"/>
        <v>142.7273900871416</v>
      </c>
      <c r="BL22">
        <f t="shared" si="35"/>
        <v>6.0835718687030214E-2</v>
      </c>
      <c r="BM22">
        <f t="shared" si="36"/>
        <v>0.95913922475235358</v>
      </c>
      <c r="BN22">
        <f t="shared" si="37"/>
        <v>514.44343555072123</v>
      </c>
      <c r="BO22" t="s">
        <v>407</v>
      </c>
      <c r="BP22">
        <v>0</v>
      </c>
      <c r="BQ22">
        <f t="shared" si="38"/>
        <v>514.44343555072123</v>
      </c>
      <c r="BR22">
        <f t="shared" si="39"/>
        <v>0.62775708167761357</v>
      </c>
      <c r="BS22">
        <f t="shared" si="40"/>
        <v>0.67637095247199097</v>
      </c>
      <c r="BT22">
        <f t="shared" si="41"/>
        <v>0.60441203427470591</v>
      </c>
      <c r="BU22">
        <f t="shared" si="42"/>
        <v>0.77935962411530912</v>
      </c>
      <c r="BV22">
        <f t="shared" si="43"/>
        <v>0.63775048572402948</v>
      </c>
      <c r="BW22">
        <f t="shared" si="44"/>
        <v>0.43756140716975916</v>
      </c>
      <c r="BX22">
        <f t="shared" si="45"/>
        <v>0.56243859283024089</v>
      </c>
      <c r="DG22">
        <f t="shared" si="46"/>
        <v>799.9838666666667</v>
      </c>
      <c r="DH22">
        <f t="shared" si="47"/>
        <v>672.29634675908869</v>
      </c>
      <c r="DI22">
        <f t="shared" si="48"/>
        <v>0.84038738126104962</v>
      </c>
      <c r="DJ22">
        <f t="shared" si="49"/>
        <v>0.16034764583382577</v>
      </c>
      <c r="DK22">
        <v>6</v>
      </c>
      <c r="DL22">
        <v>0.5</v>
      </c>
      <c r="DM22" t="s">
        <v>408</v>
      </c>
      <c r="DN22">
        <v>2</v>
      </c>
      <c r="DO22" t="b">
        <v>0</v>
      </c>
      <c r="DP22">
        <v>1783436135.349999</v>
      </c>
      <c r="DQ22">
        <v>420.05666666666667</v>
      </c>
      <c r="DR22">
        <v>464.8812666666667</v>
      </c>
      <c r="DS22">
        <v>21.069056666666668</v>
      </c>
      <c r="DT22">
        <v>17.740453333333331</v>
      </c>
      <c r="DU22">
        <v>425.29686666666669</v>
      </c>
      <c r="DV22">
        <v>21.283086666666669</v>
      </c>
      <c r="DW22">
        <v>499.98110000000003</v>
      </c>
      <c r="DX22">
        <v>98.277753333333322</v>
      </c>
      <c r="DY22">
        <v>5.2243190000000002E-2</v>
      </c>
      <c r="DZ22">
        <v>24.987643333333342</v>
      </c>
      <c r="EA22">
        <v>25.006636666666669</v>
      </c>
      <c r="EB22">
        <v>999.9000000000002</v>
      </c>
      <c r="EC22">
        <v>0</v>
      </c>
      <c r="ED22">
        <v>0</v>
      </c>
      <c r="EE22">
        <v>10003.33333333333</v>
      </c>
      <c r="EF22">
        <v>0</v>
      </c>
      <c r="EG22">
        <v>1109.1205</v>
      </c>
      <c r="EH22">
        <v>-44.824696666666668</v>
      </c>
      <c r="EI22">
        <v>429.09730000000002</v>
      </c>
      <c r="EJ22">
        <v>473.27749999999992</v>
      </c>
      <c r="EK22">
        <v>3.3285870000000002</v>
      </c>
      <c r="EL22">
        <v>464.8812666666667</v>
      </c>
      <c r="EM22">
        <v>17.740453333333331</v>
      </c>
      <c r="EN22">
        <v>2.070619666666667</v>
      </c>
      <c r="EO22">
        <v>1.743493</v>
      </c>
      <c r="EP22">
        <v>17.994946666666671</v>
      </c>
      <c r="EQ22">
        <v>15.289186666666669</v>
      </c>
      <c r="ER22">
        <v>799.9838666666667</v>
      </c>
      <c r="ES22">
        <v>0.98700893333333317</v>
      </c>
      <c r="ET22">
        <v>1.299081333333333E-2</v>
      </c>
      <c r="EU22">
        <v>0</v>
      </c>
      <c r="EV22">
        <v>795.06923333333327</v>
      </c>
      <c r="EW22">
        <v>5.0010700000000003</v>
      </c>
      <c r="EX22">
        <v>9634.7413333333352</v>
      </c>
      <c r="EY22">
        <v>7246.4996666666684</v>
      </c>
      <c r="EZ22">
        <v>39.087199999999982</v>
      </c>
      <c r="FA22">
        <v>42.191199999999981</v>
      </c>
      <c r="FB22">
        <v>40.678733333333319</v>
      </c>
      <c r="FC22">
        <v>41.858199999999982</v>
      </c>
      <c r="FD22">
        <v>40.75</v>
      </c>
      <c r="FE22">
        <v>784.65600000000006</v>
      </c>
      <c r="FF22">
        <v>10.33</v>
      </c>
      <c r="FG22">
        <v>0</v>
      </c>
      <c r="FH22">
        <v>181.79999995231631</v>
      </c>
      <c r="FI22">
        <v>0</v>
      </c>
      <c r="FJ22">
        <v>795.21317647058834</v>
      </c>
      <c r="FK22">
        <v>2.8519607999456462</v>
      </c>
      <c r="FL22">
        <v>108.99019678545611</v>
      </c>
      <c r="FM22">
        <v>9640.3217647058846</v>
      </c>
      <c r="FN22">
        <v>10</v>
      </c>
      <c r="FO22">
        <v>1783436058.0999999</v>
      </c>
      <c r="FP22" t="s">
        <v>1102</v>
      </c>
      <c r="FQ22">
        <v>1783436050.0999999</v>
      </c>
      <c r="FR22">
        <v>1783436058.0999999</v>
      </c>
      <c r="FS22">
        <v>6</v>
      </c>
      <c r="FT22">
        <v>7.3999999999999996E-2</v>
      </c>
      <c r="FU22">
        <v>-8.0000000000000002E-3</v>
      </c>
      <c r="FV22">
        <v>-5.41</v>
      </c>
      <c r="FW22">
        <v>-0.29299999999999998</v>
      </c>
      <c r="FX22">
        <v>466</v>
      </c>
      <c r="FY22">
        <v>18</v>
      </c>
      <c r="FZ22">
        <v>0.15</v>
      </c>
      <c r="GA22">
        <v>0.08</v>
      </c>
      <c r="GB22">
        <v>420.06046666666668</v>
      </c>
      <c r="GC22">
        <v>8.4200222469130032E-2</v>
      </c>
      <c r="GD22">
        <v>6.8900766001223995E-2</v>
      </c>
      <c r="GE22">
        <v>-1</v>
      </c>
      <c r="GF22">
        <v>795.0335</v>
      </c>
      <c r="GG22">
        <v>1.131168830814556</v>
      </c>
      <c r="GH22">
        <v>0.2610191845552382</v>
      </c>
      <c r="GI22">
        <v>1</v>
      </c>
      <c r="GJ22">
        <v>3.3420334999999999</v>
      </c>
      <c r="GK22">
        <v>-0.26222904315196738</v>
      </c>
      <c r="GL22">
        <v>2.5431735740015879E-2</v>
      </c>
      <c r="GM22">
        <v>1</v>
      </c>
      <c r="GN22">
        <v>2</v>
      </c>
      <c r="GO22">
        <v>2</v>
      </c>
      <c r="GP22" t="s">
        <v>423</v>
      </c>
      <c r="GQ22">
        <v>3.1299000000000001</v>
      </c>
      <c r="GR22">
        <v>2.7285200000000001</v>
      </c>
      <c r="GS22">
        <v>9.1888999999999998E-2</v>
      </c>
      <c r="GT22">
        <v>9.9011100000000005E-2</v>
      </c>
      <c r="GU22">
        <v>0.10327699999999999</v>
      </c>
      <c r="GV22">
        <v>9.1073399999999999E-2</v>
      </c>
      <c r="GW22">
        <v>22809</v>
      </c>
      <c r="GX22">
        <v>30357</v>
      </c>
      <c r="GY22">
        <v>27244.9</v>
      </c>
      <c r="GZ22">
        <v>34645.5</v>
      </c>
      <c r="HA22">
        <v>35772.300000000003</v>
      </c>
      <c r="HB22">
        <v>40007.4</v>
      </c>
      <c r="HC22">
        <v>40221.699999999997</v>
      </c>
      <c r="HD22">
        <v>44096.7</v>
      </c>
      <c r="HE22">
        <v>1.9665999999999999</v>
      </c>
      <c r="HF22">
        <v>1.8031999999999999</v>
      </c>
      <c r="HG22">
        <v>-8.0257700000000001E-2</v>
      </c>
      <c r="HH22">
        <v>0</v>
      </c>
      <c r="HI22">
        <v>26.311499999999999</v>
      </c>
      <c r="HJ22">
        <v>999.9</v>
      </c>
      <c r="HK22">
        <v>73.8</v>
      </c>
      <c r="HL22">
        <v>32.9</v>
      </c>
      <c r="HM22">
        <v>37.7258</v>
      </c>
      <c r="HN22">
        <v>61.1922</v>
      </c>
      <c r="HO22">
        <v>5.1843000000000004</v>
      </c>
      <c r="HP22">
        <v>1</v>
      </c>
      <c r="HQ22">
        <v>0.531443</v>
      </c>
      <c r="HR22">
        <v>5.1042899999999998</v>
      </c>
      <c r="HS22">
        <v>20.2057</v>
      </c>
      <c r="HT22">
        <v>5.2100999999999997</v>
      </c>
      <c r="HU22">
        <v>11.908099999999999</v>
      </c>
      <c r="HV22">
        <v>4.9851999999999999</v>
      </c>
      <c r="HW22">
        <v>3.2709999999999999</v>
      </c>
      <c r="HX22">
        <v>9999</v>
      </c>
      <c r="HY22">
        <v>9999</v>
      </c>
      <c r="HZ22">
        <v>9999</v>
      </c>
      <c r="IA22">
        <v>999.9</v>
      </c>
      <c r="IB22">
        <v>1.8671899999999999</v>
      </c>
      <c r="IC22">
        <v>1.86276</v>
      </c>
      <c r="ID22">
        <v>1.8621799999999999</v>
      </c>
      <c r="IE22">
        <v>1.86172</v>
      </c>
      <c r="IF22">
        <v>1.86172</v>
      </c>
      <c r="IG22">
        <v>1.86249</v>
      </c>
      <c r="IH22">
        <v>1.8632500000000001</v>
      </c>
      <c r="II22">
        <v>1.86127</v>
      </c>
      <c r="IJ22">
        <v>0</v>
      </c>
      <c r="IK22">
        <v>0</v>
      </c>
      <c r="IL22">
        <v>0</v>
      </c>
      <c r="IM22">
        <v>4.5</v>
      </c>
      <c r="IN22" t="s">
        <v>411</v>
      </c>
      <c r="IO22" t="s">
        <v>412</v>
      </c>
      <c r="IP22" t="s">
        <v>413</v>
      </c>
      <c r="IQ22" t="s">
        <v>414</v>
      </c>
      <c r="IR22" t="s">
        <v>414</v>
      </c>
      <c r="IS22" t="s">
        <v>413</v>
      </c>
      <c r="IT22">
        <v>0</v>
      </c>
      <c r="IU22">
        <v>100</v>
      </c>
      <c r="IV22">
        <v>100</v>
      </c>
      <c r="IW22">
        <v>-5.24</v>
      </c>
      <c r="IX22">
        <v>-0.2145</v>
      </c>
      <c r="IY22">
        <v>-3.4230220178370119</v>
      </c>
      <c r="IZ22">
        <v>-4.7754461378838441E-3</v>
      </c>
      <c r="JA22">
        <v>1.175754608921022E-6</v>
      </c>
      <c r="JB22">
        <v>1.4193218893046591E-11</v>
      </c>
      <c r="JC22">
        <v>-0.53324619283012287</v>
      </c>
      <c r="JD22">
        <v>2.7492919904454862E-4</v>
      </c>
      <c r="JE22">
        <v>8.6739513355948885E-4</v>
      </c>
      <c r="JF22">
        <v>-8.2500691715147318E-6</v>
      </c>
      <c r="JG22">
        <v>38</v>
      </c>
      <c r="JH22">
        <v>1780</v>
      </c>
      <c r="JI22">
        <v>2</v>
      </c>
      <c r="JJ22">
        <v>37</v>
      </c>
      <c r="JK22">
        <v>1.6</v>
      </c>
      <c r="JL22">
        <v>1.4</v>
      </c>
      <c r="JM22">
        <v>1.17554</v>
      </c>
      <c r="JN22">
        <v>2.49756</v>
      </c>
      <c r="JO22">
        <v>1.50024</v>
      </c>
      <c r="JP22">
        <v>2.2875999999999999</v>
      </c>
      <c r="JQ22">
        <v>1.4477500000000001</v>
      </c>
      <c r="JR22">
        <v>2.3095699999999999</v>
      </c>
      <c r="JS22">
        <v>37.940600000000003</v>
      </c>
      <c r="JT22">
        <v>15.7431</v>
      </c>
      <c r="JU22">
        <v>18</v>
      </c>
      <c r="JV22">
        <v>540.95600000000002</v>
      </c>
      <c r="JW22">
        <v>448.18700000000001</v>
      </c>
      <c r="JX22">
        <v>21.274799999999999</v>
      </c>
      <c r="JY22">
        <v>33.602200000000003</v>
      </c>
      <c r="JZ22">
        <v>30.000299999999999</v>
      </c>
      <c r="KA22">
        <v>33.464399999999998</v>
      </c>
      <c r="KB22">
        <v>33.410200000000003</v>
      </c>
      <c r="KC22">
        <v>23.511700000000001</v>
      </c>
      <c r="KD22">
        <v>54.291400000000003</v>
      </c>
      <c r="KE22">
        <v>0</v>
      </c>
      <c r="KF22">
        <v>21.277999999999999</v>
      </c>
      <c r="KG22">
        <v>464.88400000000001</v>
      </c>
      <c r="KH22">
        <v>17.742699999999999</v>
      </c>
      <c r="KI22">
        <v>100.536</v>
      </c>
      <c r="KJ22">
        <v>99.0745</v>
      </c>
    </row>
    <row r="23" spans="1:296" x14ac:dyDescent="0.3">
      <c r="A23">
        <v>7</v>
      </c>
      <c r="B23">
        <v>1783436325.5999999</v>
      </c>
      <c r="C23">
        <v>1110.5</v>
      </c>
      <c r="D23" t="s">
        <v>1103</v>
      </c>
      <c r="E23" t="s">
        <v>1104</v>
      </c>
      <c r="F23">
        <v>15</v>
      </c>
      <c r="H23">
        <v>1783436317.599999</v>
      </c>
      <c r="I23">
        <f t="shared" si="0"/>
        <v>2.5322352571665371E-3</v>
      </c>
      <c r="J23">
        <f t="shared" si="1"/>
        <v>2.532235257166537</v>
      </c>
      <c r="K23">
        <f t="shared" si="2"/>
        <v>30.628589129099126</v>
      </c>
      <c r="L23">
        <f t="shared" si="3"/>
        <v>420.07125806451609</v>
      </c>
      <c r="M23">
        <f t="shared" si="4"/>
        <v>188.48344352224953</v>
      </c>
      <c r="N23">
        <f t="shared" si="5"/>
        <v>18.53381027230056</v>
      </c>
      <c r="O23">
        <f t="shared" si="6"/>
        <v>41.30612669380325</v>
      </c>
      <c r="P23">
        <f t="shared" si="7"/>
        <v>0.22491567936057236</v>
      </c>
      <c r="Q23">
        <f t="shared" si="8"/>
        <v>2.8983909149070373</v>
      </c>
      <c r="R23">
        <f t="shared" si="9"/>
        <v>0.21564975159812605</v>
      </c>
      <c r="S23">
        <f t="shared" si="10"/>
        <v>0.1355817922751924</v>
      </c>
      <c r="T23">
        <f t="shared" si="11"/>
        <v>96.345328833576332</v>
      </c>
      <c r="U23">
        <f t="shared" si="12"/>
        <v>24.90510420417289</v>
      </c>
      <c r="V23">
        <f t="shared" si="13"/>
        <v>25.023003225806441</v>
      </c>
      <c r="W23">
        <f t="shared" si="14"/>
        <v>3.1840409136520891</v>
      </c>
      <c r="X23">
        <f t="shared" si="15"/>
        <v>64.805900455642075</v>
      </c>
      <c r="Y23">
        <f t="shared" si="16"/>
        <v>2.0601907313524008</v>
      </c>
      <c r="Z23">
        <f t="shared" si="17"/>
        <v>3.1790172142774975</v>
      </c>
      <c r="AA23">
        <f t="shared" si="18"/>
        <v>1.1238501822996882</v>
      </c>
      <c r="AB23">
        <f t="shared" si="19"/>
        <v>-111.67157484104429</v>
      </c>
      <c r="AC23">
        <f t="shared" si="20"/>
        <v>-4.1388221187005438</v>
      </c>
      <c r="AD23">
        <f t="shared" si="21"/>
        <v>-0.30208034739816586</v>
      </c>
      <c r="AE23">
        <f t="shared" si="22"/>
        <v>-19.767148473566664</v>
      </c>
      <c r="AF23">
        <f t="shared" si="23"/>
        <v>30.628589129099126</v>
      </c>
      <c r="AG23">
        <f t="shared" si="24"/>
        <v>2.532235257166537</v>
      </c>
      <c r="AH23">
        <f t="shared" si="25"/>
        <v>30.593677779401837</v>
      </c>
      <c r="AI23">
        <v>466.30741189008779</v>
      </c>
      <c r="AJ23">
        <v>428.99072727272721</v>
      </c>
      <c r="AK23">
        <v>-1.216249530137645E-2</v>
      </c>
      <c r="AL23">
        <v>67.035038680259476</v>
      </c>
      <c r="AM23">
        <f t="shared" si="26"/>
        <v>2.5223481374016683</v>
      </c>
      <c r="AN23">
        <v>17.967757115948331</v>
      </c>
      <c r="AO23">
        <v>20.9316715151515</v>
      </c>
      <c r="AP23">
        <v>-1.13339169033722E-4</v>
      </c>
      <c r="AQ23">
        <v>78.062883122162219</v>
      </c>
      <c r="AR23">
        <v>0</v>
      </c>
      <c r="AS23">
        <v>0</v>
      </c>
      <c r="AT23">
        <f t="shared" si="27"/>
        <v>1</v>
      </c>
      <c r="AU23">
        <f t="shared" si="28"/>
        <v>0</v>
      </c>
      <c r="AV23">
        <f t="shared" si="29"/>
        <v>52293.765571151343</v>
      </c>
      <c r="AW23" t="s">
        <v>1080</v>
      </c>
      <c r="AX23">
        <v>5103.58</v>
      </c>
      <c r="AY23">
        <v>629.08823529411768</v>
      </c>
      <c r="AZ23">
        <v>2707.55</v>
      </c>
      <c r="BA23">
        <f t="shared" si="30"/>
        <v>0.76765406537492653</v>
      </c>
      <c r="BB23">
        <v>-4.7374107809501558</v>
      </c>
      <c r="BC23" t="s">
        <v>1105</v>
      </c>
      <c r="BD23">
        <v>5114.32</v>
      </c>
      <c r="BE23">
        <v>787.25247058823538</v>
      </c>
      <c r="BF23">
        <v>1559.12</v>
      </c>
      <c r="BG23">
        <f t="shared" si="31"/>
        <v>0.49506614591036258</v>
      </c>
      <c r="BH23">
        <v>0.5</v>
      </c>
      <c r="BI23">
        <f t="shared" si="32"/>
        <v>504.30034768244792</v>
      </c>
      <c r="BJ23">
        <f t="shared" si="33"/>
        <v>30.628589129099126</v>
      </c>
      <c r="BK23">
        <f t="shared" si="34"/>
        <v>124.83101475420267</v>
      </c>
      <c r="BL23">
        <f t="shared" si="35"/>
        <v>7.0128843005118929E-2</v>
      </c>
      <c r="BM23">
        <f t="shared" si="36"/>
        <v>0.7365885884345017</v>
      </c>
      <c r="BN23">
        <f t="shared" si="37"/>
        <v>537.15732388046843</v>
      </c>
      <c r="BO23" t="s">
        <v>407</v>
      </c>
      <c r="BP23">
        <v>0</v>
      </c>
      <c r="BQ23">
        <f t="shared" si="38"/>
        <v>537.15732388046843</v>
      </c>
      <c r="BR23">
        <f t="shared" si="39"/>
        <v>0.65547403414716732</v>
      </c>
      <c r="BS23">
        <f t="shared" si="40"/>
        <v>0.75527956886116732</v>
      </c>
      <c r="BT23">
        <f t="shared" si="41"/>
        <v>0.52913466426420619</v>
      </c>
      <c r="BU23">
        <f t="shared" si="42"/>
        <v>0.82993673840362181</v>
      </c>
      <c r="BV23">
        <f t="shared" si="43"/>
        <v>0.55253842986258228</v>
      </c>
      <c r="BW23">
        <f t="shared" si="44"/>
        <v>0.51534160532759765</v>
      </c>
      <c r="BX23">
        <f t="shared" si="45"/>
        <v>0.48465839467240235</v>
      </c>
      <c r="DG23">
        <f t="shared" si="46"/>
        <v>599.99612903225795</v>
      </c>
      <c r="DH23">
        <f t="shared" si="47"/>
        <v>504.30034768244792</v>
      </c>
      <c r="DI23">
        <f t="shared" si="48"/>
        <v>0.84050600209011506</v>
      </c>
      <c r="DJ23">
        <f t="shared" si="49"/>
        <v>0.16057658403392208</v>
      </c>
      <c r="DK23">
        <v>6</v>
      </c>
      <c r="DL23">
        <v>0.5</v>
      </c>
      <c r="DM23" t="s">
        <v>408</v>
      </c>
      <c r="DN23">
        <v>2</v>
      </c>
      <c r="DO23" t="b">
        <v>0</v>
      </c>
      <c r="DP23">
        <v>1783436317.599999</v>
      </c>
      <c r="DQ23">
        <v>420.07125806451609</v>
      </c>
      <c r="DR23">
        <v>458.09883870967741</v>
      </c>
      <c r="DS23">
        <v>20.951538709677418</v>
      </c>
      <c r="DT23">
        <v>17.976770967741938</v>
      </c>
      <c r="DU23">
        <v>425.36312903225797</v>
      </c>
      <c r="DV23">
        <v>21.172141935483872</v>
      </c>
      <c r="DW23">
        <v>500.04193548387087</v>
      </c>
      <c r="DX23">
        <v>98.278790322580619</v>
      </c>
      <c r="DY23">
        <v>5.2447296774193547E-2</v>
      </c>
      <c r="DZ23">
        <v>24.996516129032258</v>
      </c>
      <c r="EA23">
        <v>25.023003225806441</v>
      </c>
      <c r="EB23">
        <v>999.90000000000032</v>
      </c>
      <c r="EC23">
        <v>0</v>
      </c>
      <c r="ED23">
        <v>0</v>
      </c>
      <c r="EE23">
        <v>9995.4838709677424</v>
      </c>
      <c r="EF23">
        <v>0</v>
      </c>
      <c r="EG23">
        <v>282.98741935483872</v>
      </c>
      <c r="EH23">
        <v>-38.027554838709683</v>
      </c>
      <c r="EI23">
        <v>429.06070967741942</v>
      </c>
      <c r="EJ23">
        <v>466.48477419354839</v>
      </c>
      <c r="EK23">
        <v>2.974754193548387</v>
      </c>
      <c r="EL23">
        <v>458.09883870967741</v>
      </c>
      <c r="EM23">
        <v>17.976770967741938</v>
      </c>
      <c r="EN23">
        <v>2.0590909677419349</v>
      </c>
      <c r="EO23">
        <v>1.7667361290322581</v>
      </c>
      <c r="EP23">
        <v>17.906199999999998</v>
      </c>
      <c r="EQ23">
        <v>15.49555483870968</v>
      </c>
      <c r="ER23">
        <v>599.99612903225795</v>
      </c>
      <c r="ES23">
        <v>0.98299283870967724</v>
      </c>
      <c r="ET23">
        <v>1.700727096774194E-2</v>
      </c>
      <c r="EU23">
        <v>0</v>
      </c>
      <c r="EV23">
        <v>787.23696774193547</v>
      </c>
      <c r="EW23">
        <v>5.0010700000000003</v>
      </c>
      <c r="EX23">
        <v>7769.3199999999979</v>
      </c>
      <c r="EY23">
        <v>5415.0606451612903</v>
      </c>
      <c r="EZ23">
        <v>38.561999999999983</v>
      </c>
      <c r="FA23">
        <v>42.003999999999998</v>
      </c>
      <c r="FB23">
        <v>40.297999999999988</v>
      </c>
      <c r="FC23">
        <v>41.641000000000012</v>
      </c>
      <c r="FD23">
        <v>40.336387096774168</v>
      </c>
      <c r="FE23">
        <v>584.87645161290334</v>
      </c>
      <c r="FF23">
        <v>10.119999999999999</v>
      </c>
      <c r="FG23">
        <v>0</v>
      </c>
      <c r="FH23">
        <v>182.20000004768369</v>
      </c>
      <c r="FI23">
        <v>0</v>
      </c>
      <c r="FJ23">
        <v>787.25247058823538</v>
      </c>
      <c r="FK23">
        <v>-0.63235294716794166</v>
      </c>
      <c r="FL23">
        <v>76.247546611838942</v>
      </c>
      <c r="FM23">
        <v>7743.8888235294125</v>
      </c>
      <c r="FN23">
        <v>10</v>
      </c>
      <c r="FO23">
        <v>1783436247.0999999</v>
      </c>
      <c r="FP23" t="s">
        <v>1106</v>
      </c>
      <c r="FQ23">
        <v>1783436238.5999999</v>
      </c>
      <c r="FR23">
        <v>1783436247.0999999</v>
      </c>
      <c r="FS23">
        <v>7</v>
      </c>
      <c r="FT23">
        <v>-5.0999999999999997E-2</v>
      </c>
      <c r="FU23">
        <v>-4.0000000000000001E-3</v>
      </c>
      <c r="FV23">
        <v>-5.4370000000000003</v>
      </c>
      <c r="FW23">
        <v>-0.29799999999999999</v>
      </c>
      <c r="FX23">
        <v>459</v>
      </c>
      <c r="FY23">
        <v>18</v>
      </c>
      <c r="FZ23">
        <v>0.28000000000000003</v>
      </c>
      <c r="GA23">
        <v>0.09</v>
      </c>
      <c r="GB23">
        <v>420.07141935483872</v>
      </c>
      <c r="GC23">
        <v>-9.0387096775927878E-2</v>
      </c>
      <c r="GD23">
        <v>5.2034587872562613E-2</v>
      </c>
      <c r="GE23">
        <v>-1</v>
      </c>
      <c r="GF23">
        <v>787.25485294117652</v>
      </c>
      <c r="GG23">
        <v>7.4667684329118467E-2</v>
      </c>
      <c r="GH23">
        <v>0.17235652726643519</v>
      </c>
      <c r="GI23">
        <v>1</v>
      </c>
      <c r="GJ23">
        <v>2.9763617073170732</v>
      </c>
      <c r="GK23">
        <v>-3.03229965156727E-2</v>
      </c>
      <c r="GL23">
        <v>4.2217485121336194E-3</v>
      </c>
      <c r="GM23">
        <v>1</v>
      </c>
      <c r="GN23">
        <v>2</v>
      </c>
      <c r="GO23">
        <v>2</v>
      </c>
      <c r="GP23" t="s">
        <v>423</v>
      </c>
      <c r="GQ23">
        <v>3.1294300000000002</v>
      </c>
      <c r="GR23">
        <v>2.7292900000000002</v>
      </c>
      <c r="GS23">
        <v>9.1883599999999996E-2</v>
      </c>
      <c r="GT23">
        <v>9.7922400000000007E-2</v>
      </c>
      <c r="GU23">
        <v>0.10284600000000001</v>
      </c>
      <c r="GV23">
        <v>9.1854000000000005E-2</v>
      </c>
      <c r="GW23">
        <v>22804.3</v>
      </c>
      <c r="GX23">
        <v>30389</v>
      </c>
      <c r="GY23">
        <v>27239.5</v>
      </c>
      <c r="GZ23">
        <v>34640.800000000003</v>
      </c>
      <c r="HA23">
        <v>35783.699999999997</v>
      </c>
      <c r="HB23">
        <v>39967.9</v>
      </c>
      <c r="HC23">
        <v>40214.699999999997</v>
      </c>
      <c r="HD23">
        <v>44091.1</v>
      </c>
      <c r="HE23">
        <v>1.9638</v>
      </c>
      <c r="HF23">
        <v>1.8002</v>
      </c>
      <c r="HG23">
        <v>-7.8827099999999997E-2</v>
      </c>
      <c r="HH23">
        <v>0</v>
      </c>
      <c r="HI23">
        <v>26.302600000000002</v>
      </c>
      <c r="HJ23">
        <v>999.9</v>
      </c>
      <c r="HK23">
        <v>73.099999999999994</v>
      </c>
      <c r="HL23">
        <v>33.200000000000003</v>
      </c>
      <c r="HM23">
        <v>38.000799999999998</v>
      </c>
      <c r="HN23">
        <v>61.4422</v>
      </c>
      <c r="HO23">
        <v>5.3165100000000001</v>
      </c>
      <c r="HP23">
        <v>1</v>
      </c>
      <c r="HQ23">
        <v>0.53987799999999997</v>
      </c>
      <c r="HR23">
        <v>5.09063</v>
      </c>
      <c r="HS23">
        <v>20.2074</v>
      </c>
      <c r="HT23">
        <v>5.2100999999999997</v>
      </c>
      <c r="HU23">
        <v>11.908099999999999</v>
      </c>
      <c r="HV23">
        <v>4.9851999999999999</v>
      </c>
      <c r="HW23">
        <v>3.2709999999999999</v>
      </c>
      <c r="HX23">
        <v>9999</v>
      </c>
      <c r="HY23">
        <v>9999</v>
      </c>
      <c r="HZ23">
        <v>9999</v>
      </c>
      <c r="IA23">
        <v>999.9</v>
      </c>
      <c r="IB23">
        <v>1.8672200000000001</v>
      </c>
      <c r="IC23">
        <v>1.86276</v>
      </c>
      <c r="ID23">
        <v>1.8621799999999999</v>
      </c>
      <c r="IE23">
        <v>1.86172</v>
      </c>
      <c r="IF23">
        <v>1.86175</v>
      </c>
      <c r="IG23">
        <v>1.86246</v>
      </c>
      <c r="IH23">
        <v>1.86331</v>
      </c>
      <c r="II23">
        <v>1.86127</v>
      </c>
      <c r="IJ23">
        <v>0</v>
      </c>
      <c r="IK23">
        <v>0</v>
      </c>
      <c r="IL23">
        <v>0</v>
      </c>
      <c r="IM23">
        <v>4.5</v>
      </c>
      <c r="IN23" t="s">
        <v>411</v>
      </c>
      <c r="IO23" t="s">
        <v>412</v>
      </c>
      <c r="IP23" t="s">
        <v>413</v>
      </c>
      <c r="IQ23" t="s">
        <v>414</v>
      </c>
      <c r="IR23" t="s">
        <v>414</v>
      </c>
      <c r="IS23" t="s">
        <v>413</v>
      </c>
      <c r="IT23">
        <v>0</v>
      </c>
      <c r="IU23">
        <v>100</v>
      </c>
      <c r="IV23">
        <v>100</v>
      </c>
      <c r="IW23">
        <v>-5.2919999999999998</v>
      </c>
      <c r="IX23">
        <v>-0.22120000000000001</v>
      </c>
      <c r="IY23">
        <v>-3.4742585841849638</v>
      </c>
      <c r="IZ23">
        <v>-4.7754461378838441E-3</v>
      </c>
      <c r="JA23">
        <v>1.175754608921022E-6</v>
      </c>
      <c r="JB23">
        <v>1.4193218893046591E-11</v>
      </c>
      <c r="JC23">
        <v>-0.53694547635284762</v>
      </c>
      <c r="JD23">
        <v>2.7492919904454862E-4</v>
      </c>
      <c r="JE23">
        <v>8.6739513355948885E-4</v>
      </c>
      <c r="JF23">
        <v>-8.2500691715147318E-6</v>
      </c>
      <c r="JG23">
        <v>38</v>
      </c>
      <c r="JH23">
        <v>1780</v>
      </c>
      <c r="JI23">
        <v>2</v>
      </c>
      <c r="JJ23">
        <v>37</v>
      </c>
      <c r="JK23">
        <v>1.4</v>
      </c>
      <c r="JL23">
        <v>1.3</v>
      </c>
      <c r="JM23">
        <v>1.16211</v>
      </c>
      <c r="JN23">
        <v>2.49878</v>
      </c>
      <c r="JO23">
        <v>1.50024</v>
      </c>
      <c r="JP23">
        <v>2.2863799999999999</v>
      </c>
      <c r="JQ23">
        <v>1.4477500000000001</v>
      </c>
      <c r="JR23">
        <v>2.3156699999999999</v>
      </c>
      <c r="JS23">
        <v>38.159300000000002</v>
      </c>
      <c r="JT23">
        <v>15.7081</v>
      </c>
      <c r="JU23">
        <v>18</v>
      </c>
      <c r="JV23">
        <v>539.98400000000004</v>
      </c>
      <c r="JW23">
        <v>447.02800000000002</v>
      </c>
      <c r="JX23">
        <v>21.435300000000002</v>
      </c>
      <c r="JY23">
        <v>33.698900000000002</v>
      </c>
      <c r="JZ23">
        <v>30.0002</v>
      </c>
      <c r="KA23">
        <v>33.572099999999999</v>
      </c>
      <c r="KB23">
        <v>33.5167</v>
      </c>
      <c r="KC23">
        <v>23.2499</v>
      </c>
      <c r="KD23">
        <v>53.851900000000001</v>
      </c>
      <c r="KE23">
        <v>0</v>
      </c>
      <c r="KF23">
        <v>21.420200000000001</v>
      </c>
      <c r="KG23">
        <v>458.09500000000003</v>
      </c>
      <c r="KH23">
        <v>18.043700000000001</v>
      </c>
      <c r="KI23">
        <v>100.517</v>
      </c>
      <c r="KJ23">
        <v>99.061400000000006</v>
      </c>
    </row>
    <row r="24" spans="1:296" x14ac:dyDescent="0.3">
      <c r="A24">
        <v>8</v>
      </c>
      <c r="B24">
        <v>1783436508.0999999</v>
      </c>
      <c r="C24">
        <v>1293</v>
      </c>
      <c r="D24" t="s">
        <v>1107</v>
      </c>
      <c r="E24" t="s">
        <v>1108</v>
      </c>
      <c r="F24">
        <v>15</v>
      </c>
      <c r="H24">
        <v>1783436500.099999</v>
      </c>
      <c r="I24">
        <f t="shared" si="0"/>
        <v>2.0843545462923239E-3</v>
      </c>
      <c r="J24">
        <f t="shared" si="1"/>
        <v>2.0843545462923241</v>
      </c>
      <c r="K24">
        <f t="shared" si="2"/>
        <v>21.954244828260588</v>
      </c>
      <c r="L24">
        <f t="shared" si="3"/>
        <v>420.03474193548402</v>
      </c>
      <c r="M24">
        <f t="shared" si="4"/>
        <v>218.61853789913971</v>
      </c>
      <c r="N24">
        <f t="shared" si="5"/>
        <v>21.495931432381997</v>
      </c>
      <c r="O24">
        <f t="shared" si="6"/>
        <v>41.300422638582482</v>
      </c>
      <c r="P24">
        <f t="shared" si="7"/>
        <v>0.18513352451721282</v>
      </c>
      <c r="Q24">
        <f t="shared" si="8"/>
        <v>2.8981589237821166</v>
      </c>
      <c r="R24">
        <f t="shared" si="9"/>
        <v>0.17880546531346664</v>
      </c>
      <c r="S24">
        <f t="shared" si="10"/>
        <v>0.11230394729235826</v>
      </c>
      <c r="T24">
        <f t="shared" si="11"/>
        <v>64.409781949983213</v>
      </c>
      <c r="U24">
        <f t="shared" si="12"/>
        <v>24.812803285290201</v>
      </c>
      <c r="V24">
        <f t="shared" si="13"/>
        <v>25.00325161290322</v>
      </c>
      <c r="W24">
        <f t="shared" si="14"/>
        <v>3.1802940487851852</v>
      </c>
      <c r="X24">
        <f t="shared" si="15"/>
        <v>65.022664093779227</v>
      </c>
      <c r="Y24">
        <f t="shared" si="16"/>
        <v>2.0646654130896662</v>
      </c>
      <c r="Z24">
        <f t="shared" si="17"/>
        <v>3.1753011690076147</v>
      </c>
      <c r="AA24">
        <f t="shared" si="18"/>
        <v>1.115628635695519</v>
      </c>
      <c r="AB24">
        <f t="shared" si="19"/>
        <v>-91.92003549149149</v>
      </c>
      <c r="AC24">
        <f t="shared" si="20"/>
        <v>-4.1173220906779333</v>
      </c>
      <c r="AD24">
        <f t="shared" si="21"/>
        <v>-0.30047563127551735</v>
      </c>
      <c r="AE24">
        <f t="shared" si="22"/>
        <v>-31.928051263461729</v>
      </c>
      <c r="AF24">
        <f t="shared" si="23"/>
        <v>21.954244828260588</v>
      </c>
      <c r="AG24">
        <f t="shared" si="24"/>
        <v>2.0843545462923241</v>
      </c>
      <c r="AH24">
        <f t="shared" si="25"/>
        <v>21.938435788072095</v>
      </c>
      <c r="AI24">
        <v>455.83105058157361</v>
      </c>
      <c r="AJ24">
        <v>429.00215151515158</v>
      </c>
      <c r="AK24">
        <v>4.3223779359753228E-4</v>
      </c>
      <c r="AL24">
        <v>67.093978592082635</v>
      </c>
      <c r="AM24">
        <f t="shared" si="26"/>
        <v>2.089217310927689</v>
      </c>
      <c r="AN24">
        <v>18.54070247606229</v>
      </c>
      <c r="AO24">
        <v>20.996054545454541</v>
      </c>
      <c r="AP24">
        <v>-1.067566075346006E-4</v>
      </c>
      <c r="AQ24">
        <v>78.251252784468321</v>
      </c>
      <c r="AR24">
        <v>0</v>
      </c>
      <c r="AS24">
        <v>0</v>
      </c>
      <c r="AT24">
        <f t="shared" si="27"/>
        <v>1</v>
      </c>
      <c r="AU24">
        <f t="shared" si="28"/>
        <v>0</v>
      </c>
      <c r="AV24">
        <f t="shared" si="29"/>
        <v>52290.457967862276</v>
      </c>
      <c r="AW24" t="s">
        <v>1080</v>
      </c>
      <c r="AX24">
        <v>5103.58</v>
      </c>
      <c r="AY24">
        <v>629.08823529411768</v>
      </c>
      <c r="AZ24">
        <v>2707.55</v>
      </c>
      <c r="BA24">
        <f t="shared" si="30"/>
        <v>0.76765406537492653</v>
      </c>
      <c r="BB24">
        <v>-4.7374107809501558</v>
      </c>
      <c r="BC24" t="s">
        <v>1109</v>
      </c>
      <c r="BD24">
        <v>5117.95</v>
      </c>
      <c r="BE24">
        <v>755.66394117647064</v>
      </c>
      <c r="BF24">
        <v>1734.69</v>
      </c>
      <c r="BG24">
        <f t="shared" si="31"/>
        <v>0.56438098958518779</v>
      </c>
      <c r="BH24">
        <v>0.5</v>
      </c>
      <c r="BI24">
        <f t="shared" si="32"/>
        <v>336.28447495319199</v>
      </c>
      <c r="BJ24">
        <f t="shared" si="33"/>
        <v>21.954244828260588</v>
      </c>
      <c r="BK24">
        <f t="shared" si="34"/>
        <v>94.896282378108893</v>
      </c>
      <c r="BL24">
        <f t="shared" si="35"/>
        <v>7.9372250571264111E-2</v>
      </c>
      <c r="BM24">
        <f t="shared" si="36"/>
        <v>0.56082643008260846</v>
      </c>
      <c r="BN24">
        <f t="shared" si="37"/>
        <v>556.56466426877239</v>
      </c>
      <c r="BO24" t="s">
        <v>407</v>
      </c>
      <c r="BP24">
        <v>0</v>
      </c>
      <c r="BQ24">
        <f t="shared" si="38"/>
        <v>556.56466426877239</v>
      </c>
      <c r="BR24">
        <f t="shared" si="39"/>
        <v>0.67915612341757181</v>
      </c>
      <c r="BS24">
        <f t="shared" si="40"/>
        <v>0.83100331444436415</v>
      </c>
      <c r="BT24">
        <f t="shared" si="41"/>
        <v>0.45228574264978716</v>
      </c>
      <c r="BU24">
        <f t="shared" si="42"/>
        <v>0.88551419695316302</v>
      </c>
      <c r="BV24">
        <f t="shared" si="43"/>
        <v>0.46806730656297008</v>
      </c>
      <c r="BW24">
        <f t="shared" si="44"/>
        <v>0.61205392438059325</v>
      </c>
      <c r="BX24">
        <f t="shared" si="45"/>
        <v>0.38794607561940675</v>
      </c>
      <c r="DG24">
        <f t="shared" si="46"/>
        <v>399.9858064516128</v>
      </c>
      <c r="DH24">
        <f t="shared" si="47"/>
        <v>336.28447495319199</v>
      </c>
      <c r="DI24">
        <f t="shared" si="48"/>
        <v>0.84074102012885565</v>
      </c>
      <c r="DJ24">
        <f t="shared" si="49"/>
        <v>0.1610301688486914</v>
      </c>
      <c r="DK24">
        <v>6</v>
      </c>
      <c r="DL24">
        <v>0.5</v>
      </c>
      <c r="DM24" t="s">
        <v>408</v>
      </c>
      <c r="DN24">
        <v>2</v>
      </c>
      <c r="DO24" t="b">
        <v>0</v>
      </c>
      <c r="DP24">
        <v>1783436500.099999</v>
      </c>
      <c r="DQ24">
        <v>420.03474193548402</v>
      </c>
      <c r="DR24">
        <v>447.43341935483869</v>
      </c>
      <c r="DS24">
        <v>20.99811935483871</v>
      </c>
      <c r="DT24">
        <v>18.549148387096771</v>
      </c>
      <c r="DU24">
        <v>425.36712903225799</v>
      </c>
      <c r="DV24">
        <v>21.225551612903221</v>
      </c>
      <c r="DW24">
        <v>499.94558064516121</v>
      </c>
      <c r="DX24">
        <v>98.275232258064506</v>
      </c>
      <c r="DY24">
        <v>5.0973922580645148E-2</v>
      </c>
      <c r="DZ24">
        <v>24.976900000000001</v>
      </c>
      <c r="EA24">
        <v>25.00325161290322</v>
      </c>
      <c r="EB24">
        <v>999.90000000000032</v>
      </c>
      <c r="EC24">
        <v>0</v>
      </c>
      <c r="ED24">
        <v>0</v>
      </c>
      <c r="EE24">
        <v>9994.5161290322576</v>
      </c>
      <c r="EF24">
        <v>0</v>
      </c>
      <c r="EG24">
        <v>205.3279354838709</v>
      </c>
      <c r="EH24">
        <v>-27.398609677419351</v>
      </c>
      <c r="EI24">
        <v>429.043935483871</v>
      </c>
      <c r="EJ24">
        <v>455.88974193548393</v>
      </c>
      <c r="EK24">
        <v>2.4489641935483881</v>
      </c>
      <c r="EL24">
        <v>447.43341935483869</v>
      </c>
      <c r="EM24">
        <v>18.549148387096771</v>
      </c>
      <c r="EN24">
        <v>2.0635941935483868</v>
      </c>
      <c r="EO24">
        <v>1.8229222580645159</v>
      </c>
      <c r="EP24">
        <v>17.94091612903226</v>
      </c>
      <c r="EQ24">
        <v>15.98474193548387</v>
      </c>
      <c r="ER24">
        <v>399.9858064516128</v>
      </c>
      <c r="ES24">
        <v>0.97499270967741947</v>
      </c>
      <c r="ET24">
        <v>2.5007274193548389E-2</v>
      </c>
      <c r="EU24">
        <v>0</v>
      </c>
      <c r="EV24">
        <v>755.81529032258084</v>
      </c>
      <c r="EW24">
        <v>5.0010700000000003</v>
      </c>
      <c r="EX24">
        <v>6118.7883870967753</v>
      </c>
      <c r="EY24">
        <v>3583.5354838709682</v>
      </c>
      <c r="EZ24">
        <v>37.875</v>
      </c>
      <c r="FA24">
        <v>41.682999999999993</v>
      </c>
      <c r="FB24">
        <v>39.809999999999981</v>
      </c>
      <c r="FC24">
        <v>41.320129032258038</v>
      </c>
      <c r="FD24">
        <v>39.811999999999983</v>
      </c>
      <c r="FE24">
        <v>385.10806451612888</v>
      </c>
      <c r="FF24">
        <v>9.879999999999999</v>
      </c>
      <c r="FG24">
        <v>0</v>
      </c>
      <c r="FH24">
        <v>181.79999995231631</v>
      </c>
      <c r="FI24">
        <v>0</v>
      </c>
      <c r="FJ24">
        <v>755.66394117647064</v>
      </c>
      <c r="FK24">
        <v>-5.2953431612497628</v>
      </c>
      <c r="FL24">
        <v>-174.71568549783629</v>
      </c>
      <c r="FM24">
        <v>6100.1258823529424</v>
      </c>
      <c r="FN24">
        <v>10</v>
      </c>
      <c r="FO24">
        <v>1783436461.5999999</v>
      </c>
      <c r="FP24" t="s">
        <v>1110</v>
      </c>
      <c r="FQ24">
        <v>1783436460.5999999</v>
      </c>
      <c r="FR24">
        <v>1783436461.5999999</v>
      </c>
      <c r="FS24">
        <v>8</v>
      </c>
      <c r="FT24">
        <v>-4.1000000000000002E-2</v>
      </c>
      <c r="FU24">
        <v>-8.0000000000000002E-3</v>
      </c>
      <c r="FV24">
        <v>-5.4379999999999997</v>
      </c>
      <c r="FW24">
        <v>-0.29299999999999998</v>
      </c>
      <c r="FX24">
        <v>448</v>
      </c>
      <c r="FY24">
        <v>18</v>
      </c>
      <c r="FZ24">
        <v>0.27</v>
      </c>
      <c r="GA24">
        <v>0.12</v>
      </c>
      <c r="GB24">
        <v>420.05003225806462</v>
      </c>
      <c r="GC24">
        <v>-0.87314516129243425</v>
      </c>
      <c r="GD24">
        <v>9.6070701072586931E-2</v>
      </c>
      <c r="GE24">
        <v>-1</v>
      </c>
      <c r="GF24">
        <v>756.07279411764716</v>
      </c>
      <c r="GG24">
        <v>-4.1332773136467509</v>
      </c>
      <c r="GH24">
        <v>0.45171944568776029</v>
      </c>
      <c r="GI24">
        <v>1</v>
      </c>
      <c r="GJ24">
        <v>2.4433039024390251</v>
      </c>
      <c r="GK24">
        <v>9.6914843205574377E-2</v>
      </c>
      <c r="GL24">
        <v>1.032824115030119E-2</v>
      </c>
      <c r="GM24">
        <v>1</v>
      </c>
      <c r="GN24">
        <v>2</v>
      </c>
      <c r="GO24">
        <v>2</v>
      </c>
      <c r="GP24" t="s">
        <v>423</v>
      </c>
      <c r="GQ24">
        <v>3.1307900000000002</v>
      </c>
      <c r="GR24">
        <v>2.7272799999999999</v>
      </c>
      <c r="GS24">
        <v>9.1884900000000005E-2</v>
      </c>
      <c r="GT24">
        <v>9.6207200000000007E-2</v>
      </c>
      <c r="GU24">
        <v>0.10309</v>
      </c>
      <c r="GV24">
        <v>9.3981700000000001E-2</v>
      </c>
      <c r="GW24">
        <v>22805.7</v>
      </c>
      <c r="GX24">
        <v>30450.1</v>
      </c>
      <c r="GY24">
        <v>27241.200000000001</v>
      </c>
      <c r="GZ24">
        <v>34644.400000000001</v>
      </c>
      <c r="HA24">
        <v>35776.1</v>
      </c>
      <c r="HB24">
        <v>39878.400000000001</v>
      </c>
      <c r="HC24">
        <v>40217.300000000003</v>
      </c>
      <c r="HD24">
        <v>44095.9</v>
      </c>
      <c r="HE24">
        <v>1.9656</v>
      </c>
      <c r="HF24">
        <v>1.7991999999999999</v>
      </c>
      <c r="HG24">
        <v>-7.9155000000000003E-2</v>
      </c>
      <c r="HH24">
        <v>0</v>
      </c>
      <c r="HI24">
        <v>26.311499999999999</v>
      </c>
      <c r="HJ24">
        <v>999.9</v>
      </c>
      <c r="HK24">
        <v>71.599999999999994</v>
      </c>
      <c r="HL24">
        <v>33.5</v>
      </c>
      <c r="HM24">
        <v>37.857100000000003</v>
      </c>
      <c r="HN24">
        <v>60.662199999999999</v>
      </c>
      <c r="HO24">
        <v>5.0881400000000001</v>
      </c>
      <c r="HP24">
        <v>1</v>
      </c>
      <c r="HQ24">
        <v>0.53439000000000003</v>
      </c>
      <c r="HR24">
        <v>4.6707000000000001</v>
      </c>
      <c r="HS24">
        <v>20.220600000000001</v>
      </c>
      <c r="HT24">
        <v>5.2100999999999997</v>
      </c>
      <c r="HU24">
        <v>11.908099999999999</v>
      </c>
      <c r="HV24">
        <v>4.9847999999999999</v>
      </c>
      <c r="HW24">
        <v>3.2709999999999999</v>
      </c>
      <c r="HX24">
        <v>9999</v>
      </c>
      <c r="HY24">
        <v>9999</v>
      </c>
      <c r="HZ24">
        <v>9999</v>
      </c>
      <c r="IA24">
        <v>999.9</v>
      </c>
      <c r="IB24">
        <v>1.8672200000000001</v>
      </c>
      <c r="IC24">
        <v>1.8627899999999999</v>
      </c>
      <c r="ID24">
        <v>1.8622799999999999</v>
      </c>
      <c r="IE24">
        <v>1.86172</v>
      </c>
      <c r="IF24">
        <v>1.86185</v>
      </c>
      <c r="IG24">
        <v>1.86249</v>
      </c>
      <c r="IH24">
        <v>1.86331</v>
      </c>
      <c r="II24">
        <v>1.8613299999999999</v>
      </c>
      <c r="IJ24">
        <v>0</v>
      </c>
      <c r="IK24">
        <v>0</v>
      </c>
      <c r="IL24">
        <v>0</v>
      </c>
      <c r="IM24">
        <v>4.5</v>
      </c>
      <c r="IN24" t="s">
        <v>411</v>
      </c>
      <c r="IO24" t="s">
        <v>412</v>
      </c>
      <c r="IP24" t="s">
        <v>413</v>
      </c>
      <c r="IQ24" t="s">
        <v>414</v>
      </c>
      <c r="IR24" t="s">
        <v>414</v>
      </c>
      <c r="IS24" t="s">
        <v>413</v>
      </c>
      <c r="IT24">
        <v>0</v>
      </c>
      <c r="IU24">
        <v>100</v>
      </c>
      <c r="IV24">
        <v>100</v>
      </c>
      <c r="IW24">
        <v>-5.3319999999999999</v>
      </c>
      <c r="IX24">
        <v>-0.22750000000000001</v>
      </c>
      <c r="IY24">
        <v>-3.5148022643984471</v>
      </c>
      <c r="IZ24">
        <v>-4.7754461378838441E-3</v>
      </c>
      <c r="JA24">
        <v>1.175754608921022E-6</v>
      </c>
      <c r="JB24">
        <v>1.4193218893046591E-11</v>
      </c>
      <c r="JC24">
        <v>-0.54517293855397742</v>
      </c>
      <c r="JD24">
        <v>2.7492919904454862E-4</v>
      </c>
      <c r="JE24">
        <v>8.6739513355948885E-4</v>
      </c>
      <c r="JF24">
        <v>-8.2500691715147318E-6</v>
      </c>
      <c r="JG24">
        <v>38</v>
      </c>
      <c r="JH24">
        <v>1780</v>
      </c>
      <c r="JI24">
        <v>2</v>
      </c>
      <c r="JJ24">
        <v>37</v>
      </c>
      <c r="JK24">
        <v>0.8</v>
      </c>
      <c r="JL24">
        <v>0.8</v>
      </c>
      <c r="JM24">
        <v>1.1425799999999999</v>
      </c>
      <c r="JN24">
        <v>2.4939</v>
      </c>
      <c r="JO24">
        <v>1.50024</v>
      </c>
      <c r="JP24">
        <v>2.2863799999999999</v>
      </c>
      <c r="JQ24">
        <v>1.4477500000000001</v>
      </c>
      <c r="JR24">
        <v>2.3999000000000001</v>
      </c>
      <c r="JS24">
        <v>38.330100000000002</v>
      </c>
      <c r="JT24">
        <v>15.699299999999999</v>
      </c>
      <c r="JU24">
        <v>18</v>
      </c>
      <c r="JV24">
        <v>541.32799999999997</v>
      </c>
      <c r="JW24">
        <v>446.52699999999999</v>
      </c>
      <c r="JX24">
        <v>21.683900000000001</v>
      </c>
      <c r="JY24">
        <v>33.680799999999998</v>
      </c>
      <c r="JZ24">
        <v>30.0002</v>
      </c>
      <c r="KA24">
        <v>33.5901</v>
      </c>
      <c r="KB24">
        <v>33.535200000000003</v>
      </c>
      <c r="KC24">
        <v>22.8489</v>
      </c>
      <c r="KD24">
        <v>52.2941</v>
      </c>
      <c r="KE24">
        <v>0</v>
      </c>
      <c r="KF24">
        <v>21.67</v>
      </c>
      <c r="KG24">
        <v>447.47</v>
      </c>
      <c r="KH24">
        <v>18.506</v>
      </c>
      <c r="KI24">
        <v>100.523</v>
      </c>
      <c r="KJ24">
        <v>99.072000000000003</v>
      </c>
    </row>
    <row r="25" spans="1:296" x14ac:dyDescent="0.3">
      <c r="A25" t="s">
        <v>0</v>
      </c>
      <c r="B25" t="s">
        <v>1</v>
      </c>
    </row>
    <row r="26" spans="1:296" x14ac:dyDescent="0.3">
      <c r="B26" t="s">
        <v>1111</v>
      </c>
    </row>
    <row r="27" spans="1:296" x14ac:dyDescent="0.3">
      <c r="A27">
        <v>9</v>
      </c>
      <c r="B27">
        <v>1783436691</v>
      </c>
      <c r="C27">
        <v>1475.900000095367</v>
      </c>
      <c r="D27" t="s">
        <v>1112</v>
      </c>
      <c r="E27" t="s">
        <v>1113</v>
      </c>
      <c r="F27">
        <v>15</v>
      </c>
      <c r="H27">
        <v>1783436683.25</v>
      </c>
      <c r="I27">
        <f>(J27)/1000</f>
        <v>4.7913919125929915E-4</v>
      </c>
      <c r="J27">
        <f>IF(DO27, AM27, AG27)</f>
        <v>0.47913919125929916</v>
      </c>
      <c r="K27">
        <f>IF(DO27, AH27, AF27)</f>
        <v>11.410702026424552</v>
      </c>
      <c r="L27">
        <f>DQ27 - IF(AT27&gt;1, K27*DK27*100/(AV27), 0)</f>
        <v>3.756670666666666</v>
      </c>
      <c r="M27">
        <f>((S27-I27/2)*L27-K27)/(S27+I27/2)</f>
        <v>110.29996853602476</v>
      </c>
      <c r="N27">
        <f>M27*(DX27+DY27)/1000</f>
        <v>10.841454604906044</v>
      </c>
      <c r="O27">
        <f>(DQ27 - IF(AT27&gt;1, K27*DK27*100/(AV27), 0))*(DX27+DY27)/1000</f>
        <v>0.36924556768977507</v>
      </c>
      <c r="P27">
        <f>2/((1/R27-1/Q27)+SIGN(R27)*SQRT((1/R27-1/Q27)*(1/R27-1/Q27) + 4*DL27/((DL27+1)*(DL27+1))*(2*1/R27*1/Q27-1/Q27*1/Q27)))</f>
        <v>-0.16459803683475216</v>
      </c>
      <c r="Q27">
        <f>IF(LEFT(DM27,1)&lt;&gt;"0",IF(LEFT(DM27,1)="1",3,DN27),$D$5+$E$5*(EE27*DX27/($K$5*1000))+$F$5*(EE27*DX27/($K$5*1000))*MAX(MIN(DK27,$J$5),$I$5)*MAX(MIN(DK27,$J$5),$I$5)+$G$5*MAX(MIN(DK27,$J$5),$I$5)*(EE27*DX27/($K$5*1000))+$H$5*(EE27*DX27/($K$5*1000))*(EE27*DX27/($K$5*1000)))</f>
        <v>1.8819542773338391</v>
      </c>
      <c r="R27">
        <f>I27*(1000-(1000*0.61365*EXP(17.502*V27/(240.97+V27))/(DX27+DY27)+DS27)/2)/(1000*0.61365*EXP(17.502*V27/(240.97+V27))/(DX27+DY27)-DS27)</f>
        <v>-0.17303998038437776</v>
      </c>
      <c r="S27">
        <f>1/((DL27+1)/(P27/1.6)+1/(Q27/1.37)) + DL27/((DL27+1)/(P27/1.6) + DL27/(Q27/1.37))</f>
        <v>-0.10735566439272762</v>
      </c>
      <c r="T27">
        <f>(DG27*DJ27)</f>
        <v>48.44551244879478</v>
      </c>
      <c r="U27">
        <f>(DZ27+(T27+2*0.95*0.0000000567*(((DZ27+$B$7)+273)^4-(DZ27+273)^4)-44100*I27)/(1.84*29.3*Q27+8*0.95*0.0000000567*(DZ27+273)^3))</f>
        <v>25.957238901612484</v>
      </c>
      <c r="V27">
        <f>($C$7*EA27+$D$7*EB27+$E$7*U27)</f>
        <v>25.480746666666668</v>
      </c>
      <c r="W27">
        <f>0.61365*EXP(17.502*V27/(240.97+V27))</f>
        <v>3.2719618888216049</v>
      </c>
      <c r="X27">
        <f>(Y27/Z27*100)</f>
        <v>106.53591680968992</v>
      </c>
      <c r="Y27">
        <f>DS27*(DX27+DY27)/1000</f>
        <v>3.5347001810687106</v>
      </c>
      <c r="Z27">
        <f>0.61365*EXP(17.502*DZ27/(240.97+DZ27))</f>
        <v>3.3178483716274867</v>
      </c>
      <c r="AA27">
        <f>(W27-DS27*(DX27+DY27)/1000)</f>
        <v>-0.26273829224710576</v>
      </c>
      <c r="AB27">
        <f>(-I27*44100)</f>
        <v>-21.130038334535094</v>
      </c>
      <c r="AC27">
        <f>2*29.3*Q27*0.92*(DZ27-V27)</f>
        <v>23.80723179353091</v>
      </c>
      <c r="AD27">
        <f>2*0.95*0.0000000567*(((DZ27+$B$7)+273)^4-(V27+273)^4)</f>
        <v>2.6919816568960684</v>
      </c>
      <c r="AE27">
        <f>T27+AD27+AB27+AC27</f>
        <v>53.814687564686665</v>
      </c>
      <c r="AF27">
        <f>DW27*AT27*(DR27-DQ27*(1000-AT27*DT27)/(1000-AT27*DS27))/(100*DK27)</f>
        <v>11.410702026424552</v>
      </c>
      <c r="AG27">
        <f>1000*DW27*AT27*(DS27-DT27)/(100*DK27*(1000-AT27*DS27))</f>
        <v>0.47913919125929916</v>
      </c>
      <c r="AH27">
        <f>(AI27 - AJ27 - DX27*1000/(8.314*(DZ27+273.15)) * AL27/DW27 * AK27) * DW27/(100*DK27) * (1000 - DT27)/1000</f>
        <v>11.512586947801944</v>
      </c>
      <c r="AI27">
        <v>293.88064921606241</v>
      </c>
      <c r="AJ27">
        <v>8.2429744242424245</v>
      </c>
      <c r="AK27">
        <v>0.58739647717530352</v>
      </c>
      <c r="AL27">
        <v>66.66171260024943</v>
      </c>
      <c r="AM27">
        <f>(AO27 - AN27 + DX27*1000/(8.314*(DZ27+273.15)) * AQ27/DW27 * AP27) * DW27/(100*DK27) * 1000/(1000 - AO27)</f>
        <v>-0.75112885045247679</v>
      </c>
      <c r="AN27">
        <v>37.092832367692303</v>
      </c>
      <c r="AO27">
        <v>35.005002797202799</v>
      </c>
      <c r="AP27">
        <v>-0.1217713193473004</v>
      </c>
      <c r="AQ27">
        <v>77.180000000000007</v>
      </c>
      <c r="AR27">
        <v>2</v>
      </c>
      <c r="AS27">
        <v>100</v>
      </c>
      <c r="AT27">
        <f>IF(AR27*$H$13&gt;=AV27,1,(AV27/(AV27-AR27*$H$13)))</f>
        <v>1</v>
      </c>
      <c r="AU27">
        <f>(AT27-1)*100</f>
        <v>0</v>
      </c>
      <c r="AV27">
        <f>MAX(0,($B$13+$C$13*EE27)/(1+$D$13*EE27)*DX27/(DZ27+273)*$E$13)</f>
        <v>25169.992618253713</v>
      </c>
      <c r="AW27" t="s">
        <v>1080</v>
      </c>
      <c r="AX27">
        <v>5103.58</v>
      </c>
      <c r="AY27">
        <v>629.08823529411768</v>
      </c>
      <c r="AZ27">
        <v>2707.55</v>
      </c>
      <c r="BA27">
        <f>1-AY27/AZ27</f>
        <v>0.76765406537492653</v>
      </c>
      <c r="BB27">
        <v>-4.7374107809501558</v>
      </c>
      <c r="BC27" t="s">
        <v>1114</v>
      </c>
      <c r="BD27">
        <v>5118.6000000000004</v>
      </c>
      <c r="BE27">
        <v>730.69470588235299</v>
      </c>
      <c r="BF27">
        <v>1548.27</v>
      </c>
      <c r="BG27">
        <f>1-BE27/BF27</f>
        <v>0.52805731178518411</v>
      </c>
      <c r="BH27">
        <v>0.5</v>
      </c>
      <c r="BI27">
        <f>DH27</f>
        <v>252.3004584708782</v>
      </c>
      <c r="BJ27">
        <f>K27</f>
        <v>11.410702026424552</v>
      </c>
      <c r="BK27">
        <f>BG27*BH27*BI27</f>
        <v>66.614550931150717</v>
      </c>
      <c r="BL27">
        <f>(BJ27-BB27)/BI27</f>
        <v>6.4003501639449484E-2</v>
      </c>
      <c r="BM27">
        <f>(AZ27-BF27)/BF27</f>
        <v>0.74875829151246243</v>
      </c>
      <c r="BN27">
        <f>AY27/(BA27+AY27/BF27)</f>
        <v>535.86354751519502</v>
      </c>
      <c r="BO27" t="s">
        <v>407</v>
      </c>
      <c r="BP27">
        <v>0</v>
      </c>
      <c r="BQ27">
        <f>IF(BP27&lt;&gt;0, BP27, BN27)</f>
        <v>535.86354751519502</v>
      </c>
      <c r="BR27">
        <f>1-BQ27/BF27</f>
        <v>0.65389528472734404</v>
      </c>
      <c r="BS27">
        <f>(BF27-BE27)/(BF27-BQ27)</f>
        <v>0.80755638420816744</v>
      </c>
      <c r="BT27">
        <f>(AZ27-BF27)/(AZ27-BQ27)</f>
        <v>0.53381555089298116</v>
      </c>
      <c r="BU27">
        <f>(BF27-BE27)/(BF27-AY27)</f>
        <v>0.88945987127937953</v>
      </c>
      <c r="BV27">
        <f>(AZ27-BF27)/(AZ27-AY27)</f>
        <v>0.55775863654823921</v>
      </c>
      <c r="BW27">
        <f>(BS27*BQ27/BE27)</f>
        <v>0.59223096236584283</v>
      </c>
      <c r="BX27">
        <f>(1-BW27)</f>
        <v>0.40776903763415717</v>
      </c>
      <c r="DG27">
        <f>$B$11*EF27+$C$11*EG27+$F$11*ER27*(1-EU27)</f>
        <v>300.0098333333334</v>
      </c>
      <c r="DH27">
        <f>DG27*DI27</f>
        <v>252.3004584708782</v>
      </c>
      <c r="DI27">
        <f>($B$11*$D$9+$C$11*$D$9+$F$11*((FE27+EW27)/MAX(FE27+EW27+FF27, 0.1)*$I$9+FF27/MAX(FE27+EW27+FF27, 0.1)*$J$9))/($B$11+$C$11+$F$11)</f>
        <v>0.84097396297858507</v>
      </c>
      <c r="DJ27">
        <f>($B$11*$K$9+$C$11*$K$9+$F$11*((FE27+EW27)/MAX(FE27+EW27+FF27, 0.1)*$P$9+FF27/MAX(FE27+EW27+FF27, 0.1)*$Q$9))/($B$11+$C$11+$F$11)</f>
        <v>0.16147974854866903</v>
      </c>
      <c r="DK27">
        <v>6</v>
      </c>
      <c r="DL27">
        <v>0.5</v>
      </c>
      <c r="DM27" t="s">
        <v>408</v>
      </c>
      <c r="DN27">
        <v>2</v>
      </c>
      <c r="DO27" t="b">
        <v>0</v>
      </c>
      <c r="DP27">
        <v>1783436683.25</v>
      </c>
      <c r="DQ27">
        <v>3.756670666666666</v>
      </c>
      <c r="DR27">
        <v>229.96527666666671</v>
      </c>
      <c r="DS27">
        <v>35.961716666666668</v>
      </c>
      <c r="DT27">
        <v>26.806170999999999</v>
      </c>
      <c r="DU27">
        <v>7.2740723333333337</v>
      </c>
      <c r="DV27">
        <v>35.769173333333342</v>
      </c>
      <c r="DW27">
        <v>30.270736899999999</v>
      </c>
      <c r="DX27">
        <v>98.272010000000037</v>
      </c>
      <c r="DY27">
        <v>1.863095666666667E-2</v>
      </c>
      <c r="DZ27">
        <v>25.715393333333331</v>
      </c>
      <c r="EA27">
        <v>25.480746666666668</v>
      </c>
      <c r="EB27">
        <v>999.9000000000002</v>
      </c>
      <c r="EC27">
        <v>0</v>
      </c>
      <c r="ED27">
        <v>0</v>
      </c>
      <c r="EE27">
        <v>4996.6040000000003</v>
      </c>
      <c r="EF27">
        <v>0</v>
      </c>
      <c r="EG27">
        <v>166.24946666666671</v>
      </c>
      <c r="EH27">
        <v>-226.2085633333333</v>
      </c>
      <c r="EI27">
        <v>3.8950414999999992</v>
      </c>
      <c r="EJ27">
        <v>237.36427</v>
      </c>
      <c r="EK27">
        <v>9.1555506833333329</v>
      </c>
      <c r="EL27">
        <v>229.96527666666671</v>
      </c>
      <c r="EM27">
        <v>26.806170999999999</v>
      </c>
      <c r="EN27">
        <v>3.5340313333333331</v>
      </c>
      <c r="EO27">
        <v>2.6342943666666669</v>
      </c>
      <c r="EP27">
        <v>26.781733333333339</v>
      </c>
      <c r="EQ27">
        <v>19.63728583333333</v>
      </c>
      <c r="ER27">
        <v>300.0098333333334</v>
      </c>
      <c r="ES27">
        <v>0.96699133333333309</v>
      </c>
      <c r="ET27">
        <v>3.3008660000000002E-2</v>
      </c>
      <c r="EU27">
        <v>0</v>
      </c>
      <c r="EV27">
        <v>731.84226666666677</v>
      </c>
      <c r="EW27">
        <v>5.0010700000000003</v>
      </c>
      <c r="EX27">
        <v>4685.4923333333327</v>
      </c>
      <c r="EY27">
        <v>2668.1069999999991</v>
      </c>
      <c r="EZ27">
        <v>37.370800000000003</v>
      </c>
      <c r="FA27">
        <v>41.231099999999977</v>
      </c>
      <c r="FB27">
        <v>39.360299999999988</v>
      </c>
      <c r="FC27">
        <v>40.936999999999983</v>
      </c>
      <c r="FD27">
        <v>39.3645</v>
      </c>
      <c r="FE27">
        <v>285.27033333333333</v>
      </c>
      <c r="FF27">
        <v>9.740000000000002</v>
      </c>
      <c r="FG27">
        <v>0</v>
      </c>
      <c r="FH27">
        <v>182.20000004768369</v>
      </c>
      <c r="FI27">
        <v>0</v>
      </c>
      <c r="FJ27">
        <v>730.69470588235299</v>
      </c>
      <c r="FK27">
        <v>-14.516176421882991</v>
      </c>
      <c r="FL27">
        <v>340.06372444365059</v>
      </c>
      <c r="FM27">
        <v>4707.0770588235291</v>
      </c>
      <c r="FN27">
        <v>10</v>
      </c>
      <c r="FO27">
        <v>1783436606</v>
      </c>
      <c r="FP27" t="s">
        <v>1115</v>
      </c>
      <c r="FQ27">
        <v>1783436603.5</v>
      </c>
      <c r="FR27">
        <v>1783436606</v>
      </c>
      <c r="FS27">
        <v>9</v>
      </c>
      <c r="FT27">
        <v>3.2000000000000001E-2</v>
      </c>
      <c r="FU27">
        <v>-4.0000000000000001E-3</v>
      </c>
      <c r="FV27">
        <v>-5.38</v>
      </c>
      <c r="FW27">
        <v>-0.28799999999999998</v>
      </c>
      <c r="FX27">
        <v>441</v>
      </c>
      <c r="FY27">
        <v>19</v>
      </c>
      <c r="FZ27">
        <v>0.46</v>
      </c>
      <c r="GA27">
        <v>0.14000000000000001</v>
      </c>
      <c r="GB27">
        <v>3.6076739999999989</v>
      </c>
      <c r="GC27">
        <v>35.528428645161291</v>
      </c>
      <c r="GD27">
        <v>2.64884937598142</v>
      </c>
      <c r="GE27">
        <v>-1</v>
      </c>
      <c r="GF27">
        <v>738.07985294117645</v>
      </c>
      <c r="GG27">
        <v>-99.40576020059585</v>
      </c>
      <c r="GH27">
        <v>12.86526063870854</v>
      </c>
      <c r="GI27">
        <v>0</v>
      </c>
      <c r="GJ27">
        <v>7.6165164804878049</v>
      </c>
      <c r="GK27">
        <v>-39.651166204181159</v>
      </c>
      <c r="GL27">
        <v>11.419071667656709</v>
      </c>
      <c r="GM27">
        <v>0</v>
      </c>
      <c r="GN27">
        <v>0</v>
      </c>
      <c r="GO27">
        <v>2</v>
      </c>
      <c r="GP27" t="s">
        <v>440</v>
      </c>
      <c r="GQ27">
        <v>2.4891800000000002</v>
      </c>
      <c r="GR27">
        <v>2.65449</v>
      </c>
      <c r="GS27">
        <v>3.13584E-3</v>
      </c>
      <c r="GT27">
        <v>8.9404800000000006E-2</v>
      </c>
      <c r="GU27">
        <v>0.145646</v>
      </c>
      <c r="GV27">
        <v>0.154781</v>
      </c>
      <c r="GW27">
        <v>25034.3</v>
      </c>
      <c r="GX27">
        <v>30674.2</v>
      </c>
      <c r="GY27">
        <v>27240.5</v>
      </c>
      <c r="GZ27">
        <v>34636.400000000001</v>
      </c>
      <c r="HA27">
        <v>34064.9</v>
      </c>
      <c r="HB27">
        <v>37189.9</v>
      </c>
      <c r="HC27">
        <v>40216</v>
      </c>
      <c r="HD27">
        <v>44085.2</v>
      </c>
      <c r="HE27">
        <v>0.335675</v>
      </c>
      <c r="HF27">
        <v>2.6177999999999999</v>
      </c>
      <c r="HG27">
        <v>-3.76441E-2</v>
      </c>
      <c r="HH27">
        <v>0</v>
      </c>
      <c r="HI27">
        <v>26.348400000000002</v>
      </c>
      <c r="HJ27">
        <v>999.9</v>
      </c>
      <c r="HK27">
        <v>71</v>
      </c>
      <c r="HL27">
        <v>33.700000000000003</v>
      </c>
      <c r="HM27">
        <v>37.960799999999999</v>
      </c>
      <c r="HN27">
        <v>29.862300000000001</v>
      </c>
      <c r="HO27">
        <v>-100</v>
      </c>
      <c r="HP27">
        <v>2</v>
      </c>
      <c r="HQ27">
        <v>0.51497499999999996</v>
      </c>
      <c r="HR27">
        <v>0.85952899999999999</v>
      </c>
      <c r="HS27">
        <v>20.279900000000001</v>
      </c>
      <c r="HT27">
        <v>5.1943799999999998</v>
      </c>
      <c r="HU27">
        <v>11.908099999999999</v>
      </c>
      <c r="HV27">
        <v>4.9806999999999997</v>
      </c>
      <c r="HW27">
        <v>3.2673000000000001</v>
      </c>
      <c r="HX27">
        <v>9999</v>
      </c>
      <c r="HY27">
        <v>9999</v>
      </c>
      <c r="HZ27">
        <v>9999</v>
      </c>
      <c r="IA27">
        <v>999.9</v>
      </c>
      <c r="IB27">
        <v>1.86724</v>
      </c>
      <c r="IC27">
        <v>1.8628199999999999</v>
      </c>
      <c r="ID27">
        <v>1.86233</v>
      </c>
      <c r="IE27">
        <v>1.8618399999999999</v>
      </c>
      <c r="IF27">
        <v>1.86188</v>
      </c>
      <c r="IG27">
        <v>1.86249</v>
      </c>
      <c r="IH27">
        <v>1.8633999999999999</v>
      </c>
      <c r="II27">
        <v>1.86141</v>
      </c>
      <c r="IJ27">
        <v>0</v>
      </c>
      <c r="IK27">
        <v>0</v>
      </c>
      <c r="IL27">
        <v>0</v>
      </c>
      <c r="IM27">
        <v>4.5</v>
      </c>
      <c r="IN27" t="s">
        <v>411</v>
      </c>
      <c r="IO27" t="s">
        <v>412</v>
      </c>
      <c r="IP27" t="s">
        <v>413</v>
      </c>
      <c r="IQ27" t="s">
        <v>414</v>
      </c>
      <c r="IR27" t="s">
        <v>414</v>
      </c>
      <c r="IS27" t="s">
        <v>413</v>
      </c>
      <c r="IT27">
        <v>0</v>
      </c>
      <c r="IU27">
        <v>100</v>
      </c>
      <c r="IV27">
        <v>100</v>
      </c>
      <c r="IW27">
        <v>-3.5390000000000001</v>
      </c>
      <c r="IX27">
        <v>0.16250000000000001</v>
      </c>
      <c r="IY27">
        <v>-3.482737119540265</v>
      </c>
      <c r="IZ27">
        <v>-4.7754461378838441E-3</v>
      </c>
      <c r="JA27">
        <v>1.175754608921022E-6</v>
      </c>
      <c r="JB27">
        <v>1.4193218893046591E-11</v>
      </c>
      <c r="JC27">
        <v>-0.54948606227273866</v>
      </c>
      <c r="JD27">
        <v>2.7492919904454862E-4</v>
      </c>
      <c r="JE27">
        <v>8.6739513355948885E-4</v>
      </c>
      <c r="JF27">
        <v>-8.2500691715147318E-6</v>
      </c>
      <c r="JG27">
        <v>38</v>
      </c>
      <c r="JH27">
        <v>1780</v>
      </c>
      <c r="JI27">
        <v>2</v>
      </c>
      <c r="JJ27">
        <v>37</v>
      </c>
      <c r="JK27">
        <v>1.5</v>
      </c>
      <c r="JL27">
        <v>1.4</v>
      </c>
      <c r="JM27">
        <v>1.6198699999999999</v>
      </c>
      <c r="JN27">
        <v>2.5061</v>
      </c>
      <c r="JO27">
        <v>2.1496599999999999</v>
      </c>
      <c r="JP27">
        <v>2.5866699999999998</v>
      </c>
      <c r="JQ27">
        <v>2.1472199999999999</v>
      </c>
      <c r="JR27">
        <v>2.3962400000000001</v>
      </c>
      <c r="JS27">
        <v>38.5259</v>
      </c>
      <c r="JT27">
        <v>15.6906</v>
      </c>
      <c r="JU27">
        <v>18</v>
      </c>
      <c r="JV27">
        <v>6.5153400000000001</v>
      </c>
      <c r="JW27">
        <v>1257.55</v>
      </c>
      <c r="JX27">
        <v>26.242899999999999</v>
      </c>
      <c r="JY27">
        <v>33.622799999999998</v>
      </c>
      <c r="JZ27">
        <v>29.995699999999999</v>
      </c>
      <c r="KA27">
        <v>33.734099999999998</v>
      </c>
      <c r="KB27">
        <v>33.511400000000002</v>
      </c>
      <c r="KC27">
        <v>32.299300000000002</v>
      </c>
      <c r="KD27">
        <v>-30</v>
      </c>
      <c r="KE27">
        <v>-30</v>
      </c>
      <c r="KF27">
        <v>26.461200000000002</v>
      </c>
      <c r="KG27">
        <v>440.64400000000001</v>
      </c>
      <c r="KH27">
        <v>18.909500000000001</v>
      </c>
      <c r="KI27">
        <v>100.521</v>
      </c>
      <c r="KJ27">
        <v>99.048599999999993</v>
      </c>
    </row>
    <row r="28" spans="1:296" x14ac:dyDescent="0.3">
      <c r="A28" t="s">
        <v>0</v>
      </c>
      <c r="B28" t="s">
        <v>1</v>
      </c>
      <c r="C28" t="s">
        <v>2</v>
      </c>
    </row>
    <row r="29" spans="1:296" x14ac:dyDescent="0.3">
      <c r="B29" t="s">
        <v>3</v>
      </c>
      <c r="C29">
        <v>21</v>
      </c>
    </row>
    <row r="30" spans="1:296" x14ac:dyDescent="0.3">
      <c r="A30">
        <v>10</v>
      </c>
      <c r="B30">
        <v>1783436873.5</v>
      </c>
      <c r="C30">
        <v>1658.400000095367</v>
      </c>
      <c r="D30" t="s">
        <v>1116</v>
      </c>
      <c r="E30" t="s">
        <v>1117</v>
      </c>
      <c r="F30">
        <v>15</v>
      </c>
      <c r="H30">
        <v>1783436865.75</v>
      </c>
      <c r="I30">
        <f>(J30)/1000</f>
        <v>2.4011173761760577E-3</v>
      </c>
      <c r="J30">
        <f>IF(DO30, AM30, AG30)</f>
        <v>2.4011173761760576</v>
      </c>
      <c r="K30">
        <f>IF(DO30, AH30, AF30)</f>
        <v>10.617311806397614</v>
      </c>
      <c r="L30">
        <f>DQ30 - IF(AT30&gt;1, K30*DK30*100/(AV30), 0)</f>
        <v>420.10599999999988</v>
      </c>
      <c r="M30">
        <f>((S30-I30/2)*L30-K30)/(S30+I30/2)</f>
        <v>324.90133464216359</v>
      </c>
      <c r="N30">
        <f>M30*(DX30+DY30)/1000</f>
        <v>31.945020644854019</v>
      </c>
      <c r="O30">
        <f>(DQ30 - IF(AT30&gt;1, K30*DK30*100/(AV30), 0))*(DX30+DY30)/1000</f>
        <v>41.305754738766282</v>
      </c>
      <c r="P30">
        <f>2/((1/R30-1/Q30)+SIGN(R30)*SQRT((1/R30-1/Q30)*(1/R30-1/Q30) + 4*DL30/((DL30+1)*(DL30+1))*(2*1/R30*1/Q30-1/Q30*1/Q30)))</f>
        <v>0.19979660418070783</v>
      </c>
      <c r="Q30">
        <f>IF(LEFT(DM30,1)&lt;&gt;"0",IF(LEFT(DM30,1)="1",3,DN30),$D$5+$E$5*(EE30*DX30/($K$5*1000))+$F$5*(EE30*DX30/($K$5*1000))*MAX(MIN(DK30,$J$5),$I$5)*MAX(MIN(DK30,$J$5),$I$5)+$G$5*MAX(MIN(DK30,$J$5),$I$5)*(EE30*DX30/($K$5*1000))+$H$5*(EE30*DX30/($K$5*1000))*(EE30*DX30/($K$5*1000)))</f>
        <v>2.8966686267618913</v>
      </c>
      <c r="R30">
        <f>I30*(1000-(1000*0.61365*EXP(17.502*V30/(240.97+V30))/(DX30+DY30)+DS30)/2)/(1000*0.61365*EXP(17.502*V30/(240.97+V30))/(DX30+DY30)-DS30)</f>
        <v>0.19244422343603382</v>
      </c>
      <c r="S30">
        <f>1/((DL30+1)/(P30/1.6)+1/(Q30/1.37)) + DL30/((DL30+1)/(P30/1.6) + DL30/(Q30/1.37))</f>
        <v>0.12091567982959192</v>
      </c>
      <c r="T30">
        <f>(DG30*DJ30)</f>
        <v>32.48051227726053</v>
      </c>
      <c r="U30">
        <f>(DZ30+(T30+2*0.95*0.0000000567*(((DZ30+$B$7)+273)^4-(DZ30+273)^4)-44100*I30)/(1.84*29.3*Q30+8*0.95*0.0000000567*(DZ30+273)^3))</f>
        <v>24.721986945629784</v>
      </c>
      <c r="V30">
        <f>($C$7*EA30+$D$7*EB30+$E$7*U30)</f>
        <v>25.2181</v>
      </c>
      <c r="W30">
        <f>0.61365*EXP(17.502*V30/(240.97+V30))</f>
        <v>3.2212583486615216</v>
      </c>
      <c r="X30">
        <f>(Y30/Z30*100)</f>
        <v>63.151133819875874</v>
      </c>
      <c r="Y30">
        <f>DS30*(DX30+DY30)/1000</f>
        <v>2.0272393318144677</v>
      </c>
      <c r="Z30">
        <f>0.61365*EXP(17.502*DZ30/(240.97+DZ30))</f>
        <v>3.2101392472171648</v>
      </c>
      <c r="AA30">
        <f>(W30-DS30*(DX30+DY30)/1000)</f>
        <v>1.1940190168470539</v>
      </c>
      <c r="AB30">
        <f>(-I30*44100)</f>
        <v>-105.88927628936415</v>
      </c>
      <c r="AC30">
        <f>2*29.3*Q30*0.92*(DZ30-V30)</f>
        <v>-9.0700747582661219</v>
      </c>
      <c r="AD30">
        <f>2*0.95*0.0000000567*(((DZ30+$B$7)+273)^4-(V30+273)^4)</f>
        <v>-0.66358778149391628</v>
      </c>
      <c r="AE30">
        <f>T30+AD30+AB30+AC30</f>
        <v>-83.14242655186365</v>
      </c>
      <c r="AF30">
        <f>DW30*AT30*(DR30-DQ30*(1000-AT30*DT30)/(1000-AT30*DS30))/(100*DK30)</f>
        <v>10.617311806397614</v>
      </c>
      <c r="AG30">
        <f>1000*DW30*AT30*(DS30-DT30)/(100*DK30*(1000-AT30*DS30))</f>
        <v>2.4011173761760576</v>
      </c>
      <c r="AH30">
        <f>(AI30 - AJ30 - DX30*1000/(8.314*(DZ30+273.15)) * AL30/DW30 * AK30) * DW30/(100*DK30) * (1000 - DT30)/1000</f>
        <v>10.439547531150481</v>
      </c>
      <c r="AI30">
        <v>441.9044780663296</v>
      </c>
      <c r="AJ30">
        <v>429.02178787878779</v>
      </c>
      <c r="AK30">
        <v>2.416977022116833E-2</v>
      </c>
      <c r="AL30">
        <v>67.076149382444257</v>
      </c>
      <c r="AM30">
        <f>(AO30 - AN30 + DX30*1000/(8.314*(DZ30+273.15)) * AQ30/DW30 * AP30) * DW30/(100*DK30) * 1000/(1000 - AO30)</f>
        <v>2.1200426770096681</v>
      </c>
      <c r="AN30">
        <v>18.002248773321501</v>
      </c>
      <c r="AO30">
        <v>20.572359999999989</v>
      </c>
      <c r="AP30">
        <v>-1.265741906478072E-2</v>
      </c>
      <c r="AQ30">
        <v>78.204059980461196</v>
      </c>
      <c r="AR30">
        <v>0</v>
      </c>
      <c r="AS30">
        <v>0</v>
      </c>
      <c r="AT30">
        <f>IF(AR30*$H$13&gt;=AV30,1,(AV30/(AV30-AR30*$H$13)))</f>
        <v>1</v>
      </c>
      <c r="AU30">
        <f>(AT30-1)*100</f>
        <v>0</v>
      </c>
      <c r="AV30">
        <f>MAX(0,($B$13+$C$13*EE30)/(1+$D$13*EE30)*DX30/(DZ30+273)*$E$13)</f>
        <v>52215.399533509655</v>
      </c>
      <c r="AW30" t="s">
        <v>1080</v>
      </c>
      <c r="AX30">
        <v>5103.58</v>
      </c>
      <c r="AY30">
        <v>629.08823529411768</v>
      </c>
      <c r="AZ30">
        <v>2707.55</v>
      </c>
      <c r="BA30">
        <f>1-AY30/AZ30</f>
        <v>0.76765406537492653</v>
      </c>
      <c r="BB30">
        <v>-4.7374107809501558</v>
      </c>
      <c r="BC30" t="s">
        <v>1118</v>
      </c>
      <c r="BD30">
        <v>5122.18</v>
      </c>
      <c r="BE30">
        <v>708.49194117647062</v>
      </c>
      <c r="BF30">
        <v>1950.57</v>
      </c>
      <c r="BG30">
        <f>1-BE30/BF30</f>
        <v>0.63677697228170704</v>
      </c>
      <c r="BH30">
        <v>0.5</v>
      </c>
      <c r="BI30">
        <f>DH30</f>
        <v>168.27360868251839</v>
      </c>
      <c r="BJ30">
        <f>K30</f>
        <v>10.617311806397614</v>
      </c>
      <c r="BK30">
        <f>BG30*BH30*BI30</f>
        <v>53.576379525885415</v>
      </c>
      <c r="BL30">
        <f>(BJ30-BB30)/BI30</f>
        <v>9.124854876273264E-2</v>
      </c>
      <c r="BM30">
        <f>(AZ30-BF30)/BF30</f>
        <v>0.38808143260687916</v>
      </c>
      <c r="BN30">
        <f>AY30/(BA30+AY30/BF30)</f>
        <v>577.05562410713117</v>
      </c>
      <c r="BO30" t="s">
        <v>407</v>
      </c>
      <c r="BP30">
        <v>0</v>
      </c>
      <c r="BQ30">
        <f>IF(BP30&lt;&gt;0, BP30, BN30)</f>
        <v>577.05562410713117</v>
      </c>
      <c r="BR30">
        <f>1-BQ30/BF30</f>
        <v>0.70416051507655131</v>
      </c>
      <c r="BS30">
        <f>(BF30-BE30)/(BF30-BQ30)</f>
        <v>0.90430655887099987</v>
      </c>
      <c r="BT30">
        <f>(AZ30-BF30)/(AZ30-BQ30)</f>
        <v>0.35530720407687416</v>
      </c>
      <c r="BU30">
        <f>(BF30-BE30)/(BF30-AY30)</f>
        <v>0.93991312782130942</v>
      </c>
      <c r="BV30">
        <f>(AZ30-BF30)/(AZ30-AY30)</f>
        <v>0.36420203289480207</v>
      </c>
      <c r="BW30">
        <f>(BS30*BQ30/BE30)</f>
        <v>0.73654357288377215</v>
      </c>
      <c r="BX30">
        <f>(1-BW30)</f>
        <v>0.26345642711622785</v>
      </c>
      <c r="DG30">
        <f>$B$11*EF30+$C$11*EG30+$F$11*ER30*(1-EU30)</f>
        <v>199.9778</v>
      </c>
      <c r="DH30">
        <f>DG30*DI30</f>
        <v>168.27360868251839</v>
      </c>
      <c r="DI30">
        <f>($B$11*$D$9+$C$11*$D$9+$F$11*((FE30+EW30)/MAX(FE30+EW30+FF30, 0.1)*$I$9+FF30/MAX(FE30+EW30+FF30, 0.1)*$J$9))/($B$11+$C$11+$F$11)</f>
        <v>0.84146144563305725</v>
      </c>
      <c r="DJ30">
        <f>($B$11*$K$9+$C$11*$K$9+$F$11*((FE30+EW30)/MAX(FE30+EW30+FF30, 0.1)*$P$9+FF30/MAX(FE30+EW30+FF30, 0.1)*$Q$9))/($B$11+$C$11+$F$11)</f>
        <v>0.16242059007180062</v>
      </c>
      <c r="DK30">
        <v>6</v>
      </c>
      <c r="DL30">
        <v>0.5</v>
      </c>
      <c r="DM30" t="s">
        <v>408</v>
      </c>
      <c r="DN30">
        <v>2</v>
      </c>
      <c r="DO30" t="b">
        <v>0</v>
      </c>
      <c r="DP30">
        <v>1783436865.75</v>
      </c>
      <c r="DQ30">
        <v>420.10599999999988</v>
      </c>
      <c r="DR30">
        <v>434.05700000000002</v>
      </c>
      <c r="DS30">
        <v>20.618323333333329</v>
      </c>
      <c r="DT30">
        <v>17.79644</v>
      </c>
      <c r="DU30">
        <v>425.40649999999999</v>
      </c>
      <c r="DV30">
        <v>20.917323333333329</v>
      </c>
      <c r="DW30">
        <v>500.00870000000009</v>
      </c>
      <c r="DX30">
        <v>98.27009000000001</v>
      </c>
      <c r="DY30">
        <v>5.2130436666666662E-2</v>
      </c>
      <c r="DZ30">
        <v>25.16002000000001</v>
      </c>
      <c r="EA30">
        <v>25.2181</v>
      </c>
      <c r="EB30">
        <v>999.9000000000002</v>
      </c>
      <c r="EC30">
        <v>0</v>
      </c>
      <c r="ED30">
        <v>0</v>
      </c>
      <c r="EE30">
        <v>9986.5</v>
      </c>
      <c r="EF30">
        <v>0</v>
      </c>
      <c r="EG30">
        <v>148.7279666666667</v>
      </c>
      <c r="EH30">
        <v>-13.951029999999999</v>
      </c>
      <c r="EI30">
        <v>428.97623333333331</v>
      </c>
      <c r="EJ30">
        <v>441.92163333333349</v>
      </c>
      <c r="EK30">
        <v>2.8811640000000001</v>
      </c>
      <c r="EL30">
        <v>434.05700000000002</v>
      </c>
      <c r="EM30">
        <v>17.79644</v>
      </c>
      <c r="EN30">
        <v>2.03199</v>
      </c>
      <c r="EO30">
        <v>1.748858333333333</v>
      </c>
      <c r="EP30">
        <v>17.695706666666659</v>
      </c>
      <c r="EQ30">
        <v>15.33605333333333</v>
      </c>
      <c r="ER30">
        <v>199.9778</v>
      </c>
      <c r="ES30">
        <v>0.95004116666666649</v>
      </c>
      <c r="ET30">
        <v>4.9958526666666669E-2</v>
      </c>
      <c r="EU30">
        <v>0</v>
      </c>
      <c r="EV30">
        <v>708.20916666666676</v>
      </c>
      <c r="EW30">
        <v>5.0010700000000003</v>
      </c>
      <c r="EX30">
        <v>3974.6703333333339</v>
      </c>
      <c r="EY30">
        <v>1751.657666666667</v>
      </c>
      <c r="EZ30">
        <v>36.854000000000013</v>
      </c>
      <c r="FA30">
        <v>40.75</v>
      </c>
      <c r="FB30">
        <v>38.891533333333342</v>
      </c>
      <c r="FC30">
        <v>40.541333333333327</v>
      </c>
      <c r="FD30">
        <v>38.978999999999992</v>
      </c>
      <c r="FE30">
        <v>185.23699999999999</v>
      </c>
      <c r="FF30">
        <v>9.7419999999999991</v>
      </c>
      <c r="FG30">
        <v>0</v>
      </c>
      <c r="FH30">
        <v>182</v>
      </c>
      <c r="FI30">
        <v>0</v>
      </c>
      <c r="FJ30">
        <v>708.49194117647062</v>
      </c>
      <c r="FK30">
        <v>4.4193627206650943</v>
      </c>
      <c r="FL30">
        <v>-388.06617603760731</v>
      </c>
      <c r="FM30">
        <v>3961.2758823529412</v>
      </c>
      <c r="FN30">
        <v>10</v>
      </c>
      <c r="FO30">
        <v>1783436896.5</v>
      </c>
      <c r="FP30" t="s">
        <v>1119</v>
      </c>
      <c r="FQ30">
        <v>1783436603.5</v>
      </c>
      <c r="FR30">
        <v>1783436896.5</v>
      </c>
      <c r="FS30">
        <v>10</v>
      </c>
      <c r="FT30">
        <v>3.2000000000000001E-2</v>
      </c>
      <c r="FU30">
        <v>0</v>
      </c>
      <c r="FV30">
        <v>-5.38</v>
      </c>
      <c r="FW30">
        <v>-0.29899999999999999</v>
      </c>
      <c r="FX30">
        <v>441</v>
      </c>
      <c r="FY30">
        <v>18</v>
      </c>
      <c r="FZ30">
        <v>0.46</v>
      </c>
      <c r="GA30">
        <v>0.11</v>
      </c>
      <c r="GB30">
        <v>420.09506451612901</v>
      </c>
      <c r="GC30">
        <v>0.50438709677315896</v>
      </c>
      <c r="GD30">
        <v>6.450753168522895E-2</v>
      </c>
      <c r="GE30">
        <v>-1</v>
      </c>
      <c r="GF30">
        <v>707.93885294117638</v>
      </c>
      <c r="GG30">
        <v>5.3027196263446621</v>
      </c>
      <c r="GH30">
        <v>0.54300482786029181</v>
      </c>
      <c r="GI30">
        <v>1</v>
      </c>
      <c r="GJ30">
        <v>3.166871951219512</v>
      </c>
      <c r="GK30">
        <v>-5.0302465505226372</v>
      </c>
      <c r="GL30">
        <v>0.50334519374330522</v>
      </c>
      <c r="GM30">
        <v>0</v>
      </c>
      <c r="GN30">
        <v>1</v>
      </c>
      <c r="GO30">
        <v>2</v>
      </c>
      <c r="GP30" t="s">
        <v>410</v>
      </c>
      <c r="GQ30">
        <v>3.1295700000000002</v>
      </c>
      <c r="GR30">
        <v>2.7263700000000002</v>
      </c>
      <c r="GS30">
        <v>9.1924800000000001E-2</v>
      </c>
      <c r="GT30">
        <v>9.4005000000000005E-2</v>
      </c>
      <c r="GU30">
        <v>0.101676</v>
      </c>
      <c r="GV30">
        <v>9.2577499999999993E-2</v>
      </c>
      <c r="GW30">
        <v>22807.599999999999</v>
      </c>
      <c r="GX30">
        <v>30526.5</v>
      </c>
      <c r="GY30">
        <v>27244.5</v>
      </c>
      <c r="GZ30">
        <v>34646.6</v>
      </c>
      <c r="HA30">
        <v>35837.4</v>
      </c>
      <c r="HB30">
        <v>39940.800000000003</v>
      </c>
      <c r="HC30">
        <v>40222.699999999997</v>
      </c>
      <c r="HD30">
        <v>44096.800000000003</v>
      </c>
      <c r="HE30">
        <v>1.9652000000000001</v>
      </c>
      <c r="HF30">
        <v>1.7994000000000001</v>
      </c>
      <c r="HG30">
        <v>-7.5548900000000002E-2</v>
      </c>
      <c r="HH30">
        <v>0</v>
      </c>
      <c r="HI30">
        <v>26.438600000000001</v>
      </c>
      <c r="HJ30">
        <v>999.9</v>
      </c>
      <c r="HK30">
        <v>68.599999999999994</v>
      </c>
      <c r="HL30">
        <v>34</v>
      </c>
      <c r="HM30">
        <v>37.295900000000003</v>
      </c>
      <c r="HN30">
        <v>61.532299999999999</v>
      </c>
      <c r="HO30">
        <v>6.3261200000000004</v>
      </c>
      <c r="HP30">
        <v>1</v>
      </c>
      <c r="HQ30">
        <v>0.53703299999999998</v>
      </c>
      <c r="HR30">
        <v>6.5245300000000004</v>
      </c>
      <c r="HS30">
        <v>20.159700000000001</v>
      </c>
      <c r="HT30">
        <v>5.1993200000000002</v>
      </c>
      <c r="HU30">
        <v>11.908099999999999</v>
      </c>
      <c r="HV30">
        <v>4.9812000000000003</v>
      </c>
      <c r="HW30">
        <v>3.2671999999999999</v>
      </c>
      <c r="HX30">
        <v>9999</v>
      </c>
      <c r="HY30">
        <v>9999</v>
      </c>
      <c r="HZ30">
        <v>9999</v>
      </c>
      <c r="IA30">
        <v>999.9</v>
      </c>
      <c r="IB30">
        <v>1.8672200000000001</v>
      </c>
      <c r="IC30">
        <v>1.8627899999999999</v>
      </c>
      <c r="ID30">
        <v>1.8623099999999999</v>
      </c>
      <c r="IE30">
        <v>1.86175</v>
      </c>
      <c r="IF30">
        <v>1.86188</v>
      </c>
      <c r="IG30">
        <v>1.86249</v>
      </c>
      <c r="IH30">
        <v>1.86334</v>
      </c>
      <c r="II30">
        <v>1.8613299999999999</v>
      </c>
      <c r="IJ30">
        <v>0</v>
      </c>
      <c r="IK30">
        <v>0</v>
      </c>
      <c r="IL30">
        <v>0</v>
      </c>
      <c r="IM30">
        <v>4.5</v>
      </c>
      <c r="IN30" t="s">
        <v>411</v>
      </c>
      <c r="IO30" t="s">
        <v>412</v>
      </c>
      <c r="IP30" t="s">
        <v>413</v>
      </c>
      <c r="IQ30" t="s">
        <v>414</v>
      </c>
      <c r="IR30" t="s">
        <v>414</v>
      </c>
      <c r="IS30" t="s">
        <v>413</v>
      </c>
      <c r="IT30">
        <v>0</v>
      </c>
      <c r="IU30">
        <v>100</v>
      </c>
      <c r="IV30">
        <v>100</v>
      </c>
      <c r="IW30">
        <v>-5.3</v>
      </c>
      <c r="IX30">
        <v>-0.29899999999999999</v>
      </c>
      <c r="IY30">
        <v>-3.482737119540265</v>
      </c>
      <c r="IZ30">
        <v>-4.7754461378838441E-3</v>
      </c>
      <c r="JA30">
        <v>1.175754608921022E-6</v>
      </c>
      <c r="JB30">
        <v>1.4193218893046591E-11</v>
      </c>
      <c r="JC30">
        <v>-0.54948606227273866</v>
      </c>
      <c r="JD30">
        <v>2.7492919904454862E-4</v>
      </c>
      <c r="JE30">
        <v>8.6739513355948885E-4</v>
      </c>
      <c r="JF30">
        <v>-8.2500691715147318E-6</v>
      </c>
      <c r="JG30">
        <v>38</v>
      </c>
      <c r="JH30">
        <v>1780</v>
      </c>
      <c r="JI30">
        <v>2</v>
      </c>
      <c r="JJ30">
        <v>37</v>
      </c>
      <c r="JK30">
        <v>4.5</v>
      </c>
      <c r="JL30">
        <v>4.5</v>
      </c>
      <c r="JM30">
        <v>1.11572</v>
      </c>
      <c r="JN30">
        <v>2.50244</v>
      </c>
      <c r="JO30">
        <v>1.50024</v>
      </c>
      <c r="JP30">
        <v>2.2790499999999998</v>
      </c>
      <c r="JQ30">
        <v>1.4477500000000001</v>
      </c>
      <c r="JR30">
        <v>2.4340799999999998</v>
      </c>
      <c r="JS30">
        <v>38.673299999999998</v>
      </c>
      <c r="JT30">
        <v>15.559200000000001</v>
      </c>
      <c r="JU30">
        <v>18</v>
      </c>
      <c r="JV30">
        <v>540.24900000000002</v>
      </c>
      <c r="JW30">
        <v>445.90899999999999</v>
      </c>
      <c r="JX30">
        <v>22.162700000000001</v>
      </c>
      <c r="JY30">
        <v>33.641500000000001</v>
      </c>
      <c r="JZ30">
        <v>30.001799999999999</v>
      </c>
      <c r="KA30">
        <v>33.491199999999999</v>
      </c>
      <c r="KB30">
        <v>33.429200000000002</v>
      </c>
      <c r="KC30">
        <v>22.3218</v>
      </c>
      <c r="KD30">
        <v>50.8917</v>
      </c>
      <c r="KE30">
        <v>0</v>
      </c>
      <c r="KF30">
        <v>22.053699999999999</v>
      </c>
      <c r="KG30">
        <v>433.84800000000001</v>
      </c>
      <c r="KH30">
        <v>18.3688</v>
      </c>
      <c r="KI30">
        <v>100.53700000000001</v>
      </c>
      <c r="KJ30">
        <v>99.075999999999993</v>
      </c>
    </row>
    <row r="31" spans="1:296" x14ac:dyDescent="0.3">
      <c r="A31">
        <v>11</v>
      </c>
      <c r="B31">
        <v>1783437077.5</v>
      </c>
      <c r="C31">
        <v>1862.400000095367</v>
      </c>
      <c r="D31" t="s">
        <v>1120</v>
      </c>
      <c r="E31" t="s">
        <v>1121</v>
      </c>
      <c r="F31">
        <v>15</v>
      </c>
      <c r="H31">
        <v>1783437069.5</v>
      </c>
      <c r="I31">
        <f>(J31)/1000</f>
        <v>1.2225985295575171E-3</v>
      </c>
      <c r="J31">
        <f>IF(DO31, AM31, AG31)</f>
        <v>1.222598529557517</v>
      </c>
      <c r="K31">
        <f>IF(DO31, AH31, AF31)</f>
        <v>4.2930117354641162</v>
      </c>
      <c r="L31">
        <f>DQ31 - IF(AT31&gt;1, K31*DK31*100/(AV31), 0)</f>
        <v>419.98074193548382</v>
      </c>
      <c r="M31">
        <f>((S31-I31/2)*L31-K31)/(S31+I31/2)</f>
        <v>346.41133502029635</v>
      </c>
      <c r="N31">
        <f>M31*(DX31+DY31)/1000</f>
        <v>34.060259994228275</v>
      </c>
      <c r="O31">
        <f>(DQ31 - IF(AT31&gt;1, K31*DK31*100/(AV31), 0))*(DX31+DY31)/1000</f>
        <v>41.293837172081439</v>
      </c>
      <c r="P31">
        <f>2/((1/R31-1/Q31)+SIGN(R31)*SQRT((1/R31-1/Q31)*(1/R31-1/Q31) + 4*DL31/((DL31+1)*(DL31+1))*(2*1/R31*1/Q31-1/Q31*1/Q31)))</f>
        <v>0.10534133967690368</v>
      </c>
      <c r="Q31">
        <f>IF(LEFT(DM31,1)&lt;&gt;"0",IF(LEFT(DM31,1)="1",3,DN31),$D$5+$E$5*(EE31*DX31/($K$5*1000))+$F$5*(EE31*DX31/($K$5*1000))*MAX(MIN(DK31,$J$5),$I$5)*MAX(MIN(DK31,$J$5),$I$5)+$G$5*MAX(MIN(DK31,$J$5),$I$5)*(EE31*DX31/($K$5*1000))+$H$5*(EE31*DX31/($K$5*1000))*(EE31*DX31/($K$5*1000)))</f>
        <v>2.899401588930465</v>
      </c>
      <c r="R31">
        <f>I31*(1000-(1000*0.61365*EXP(17.502*V31/(240.97+V31))/(DX31+DY31)+DS31)/2)/(1000*0.61365*EXP(17.502*V31/(240.97+V31))/(DX31+DY31)-DS31)</f>
        <v>0.10326039255312081</v>
      </c>
      <c r="S31">
        <f>1/((DL31+1)/(P31/1.6)+1/(Q31/1.37)) + DL31/((DL31+1)/(P31/1.6) + DL31/(Q31/1.37))</f>
        <v>6.4721286310335899E-2</v>
      </c>
      <c r="T31">
        <f>(DG31*DJ31)</f>
        <v>16.510604760545931</v>
      </c>
      <c r="U31">
        <f>(DZ31+(T31+2*0.95*0.0000000567*(((DZ31+$B$7)+273)^4-(DZ31+273)^4)-44100*I31)/(1.84*29.3*Q31+8*0.95*0.0000000567*(DZ31+273)^3))</f>
        <v>24.628820159441432</v>
      </c>
      <c r="V31">
        <f>($C$7*EA31+$D$7*EB31+$E$7*U31)</f>
        <v>24.98336451612904</v>
      </c>
      <c r="W31">
        <f>0.61365*EXP(17.502*V31/(240.97+V31))</f>
        <v>3.1765253760914458</v>
      </c>
      <c r="X31">
        <f>(Y31/Z31*100)</f>
        <v>64.831072544849363</v>
      </c>
      <c r="Y31">
        <f>DS31*(DX31+DY31)/1000</f>
        <v>2.0432845260788328</v>
      </c>
      <c r="Z31">
        <f>0.61365*EXP(17.502*DZ31/(240.97+DZ31))</f>
        <v>3.1517055724557275</v>
      </c>
      <c r="AA31">
        <f>(W31-DS31*(DX31+DY31)/1000)</f>
        <v>1.133240850012613</v>
      </c>
      <c r="AB31">
        <f>(-I31*44100)</f>
        <v>-53.916595153486504</v>
      </c>
      <c r="AC31">
        <f>2*29.3*Q31*0.92*(DZ31-V31)</f>
        <v>-20.553586105823708</v>
      </c>
      <c r="AD31">
        <f>2*0.95*0.0000000567*(((DZ31+$B$7)+273)^4-(V31+273)^4)</f>
        <v>-1.498231865767196</v>
      </c>
      <c r="AE31">
        <f>T31+AD31+AB31+AC31</f>
        <v>-59.457808364531473</v>
      </c>
      <c r="AF31">
        <f>DW31*AT31*(DR31-DQ31*(1000-AT31*DT31)/(1000-AT31*DS31))/(100*DK31)</f>
        <v>4.2930117354641162</v>
      </c>
      <c r="AG31">
        <f>1000*DW31*AT31*(DS31-DT31)/(100*DK31*(1000-AT31*DS31))</f>
        <v>1.222598529557517</v>
      </c>
      <c r="AH31">
        <f>(AI31 - AJ31 - DX31*1000/(8.314*(DZ31+273.15)) * AL31/DW31 * AK31) * DW31/(100*DK31) * (1000 - DT31)/1000</f>
        <v>4.3789515908889394</v>
      </c>
      <c r="AI31">
        <v>434.29986724841012</v>
      </c>
      <c r="AJ31">
        <v>428.91338787878749</v>
      </c>
      <c r="AK31">
        <v>5.230775266774834E-3</v>
      </c>
      <c r="AL31">
        <v>67.095658263129579</v>
      </c>
      <c r="AM31">
        <f>(AO31 - AN31 + DX31*1000/(8.314*(DZ31+273.15)) * AQ31/DW31 * AP31) * DW31/(100*DK31) * 1000/(1000 - AO31)</f>
        <v>1.1773659587198626</v>
      </c>
      <c r="AN31">
        <v>19.3994517892266</v>
      </c>
      <c r="AO31">
        <v>20.782739393939391</v>
      </c>
      <c r="AP31">
        <v>4.0344547743819328E-5</v>
      </c>
      <c r="AQ31">
        <v>78.25556391898067</v>
      </c>
      <c r="AR31">
        <v>0</v>
      </c>
      <c r="AS31">
        <v>0</v>
      </c>
      <c r="AT31">
        <f>IF(AR31*$H$13&gt;=AV31,1,(AV31/(AV31-AR31*$H$13)))</f>
        <v>1</v>
      </c>
      <c r="AU31">
        <f>(AT31-1)*100</f>
        <v>0</v>
      </c>
      <c r="AV31">
        <f>MAX(0,($B$13+$C$13*EE31)/(1+$D$13*EE31)*DX31/(DZ31+273)*$E$13)</f>
        <v>52348.106685384104</v>
      </c>
      <c r="AW31" t="s">
        <v>1080</v>
      </c>
      <c r="AX31">
        <v>5103.58</v>
      </c>
      <c r="AY31">
        <v>629.08823529411768</v>
      </c>
      <c r="AZ31">
        <v>2707.55</v>
      </c>
      <c r="BA31">
        <f>1-AY31/AZ31</f>
        <v>0.76765406537492653</v>
      </c>
      <c r="BB31">
        <v>-4.7374107809501558</v>
      </c>
      <c r="BC31" t="s">
        <v>1122</v>
      </c>
      <c r="BD31">
        <v>5121.3900000000003</v>
      </c>
      <c r="BE31">
        <v>669.68158823529404</v>
      </c>
      <c r="BF31">
        <v>1990.25</v>
      </c>
      <c r="BG31">
        <f>1-BE31/BF31</f>
        <v>0.66351886032644436</v>
      </c>
      <c r="BH31">
        <v>0.5</v>
      </c>
      <c r="BI31">
        <f>DH31</f>
        <v>84.287495841833959</v>
      </c>
      <c r="BJ31">
        <f>K31</f>
        <v>4.2930117354641162</v>
      </c>
      <c r="BK31">
        <f>BG31*BH31*BI31</f>
        <v>27.963171590371793</v>
      </c>
      <c r="BL31">
        <f>(BJ31-BB31)/BI31</f>
        <v>0.10713834153241331</v>
      </c>
      <c r="BM31">
        <f>(AZ31-BF31)/BF31</f>
        <v>0.36040698404723032</v>
      </c>
      <c r="BN31">
        <f>AY31/(BA31+AY31/BF31)</f>
        <v>580.47941309310784</v>
      </c>
      <c r="BO31" t="s">
        <v>407</v>
      </c>
      <c r="BP31">
        <v>0</v>
      </c>
      <c r="BQ31">
        <f>IF(BP31&lt;&gt;0, BP31, BN31)</f>
        <v>580.47941309310784</v>
      </c>
      <c r="BR31">
        <f>1-BQ31/BF31</f>
        <v>0.70833844336484975</v>
      </c>
      <c r="BS31">
        <f>(BF31-BE31)/(BF31-BQ31)</f>
        <v>0.93672575100470756</v>
      </c>
      <c r="BT31">
        <f>(AZ31-BF31)/(AZ31-BQ31)</f>
        <v>0.33722435184582727</v>
      </c>
      <c r="BU31">
        <f>(BF31-BE31)/(BF31-AY31)</f>
        <v>0.97017742196869028</v>
      </c>
      <c r="BV31">
        <f>(AZ31-BF31)/(AZ31-AY31)</f>
        <v>0.34511099130154232</v>
      </c>
      <c r="BW31">
        <f>(BS31*BQ31/BE31)</f>
        <v>0.81195305907285242</v>
      </c>
      <c r="BX31">
        <f>(1-BW31)</f>
        <v>0.18804694092714758</v>
      </c>
      <c r="DG31">
        <f>$B$11*EF31+$C$11*EG31+$F$11*ER31*(1-EU31)</f>
        <v>100.0029161290323</v>
      </c>
      <c r="DH31">
        <f>DG31*DI31</f>
        <v>84.287495841833959</v>
      </c>
      <c r="DI31">
        <f>($B$11*$D$9+$C$11*$D$9+$F$11*((FE31+EW31)/MAX(FE31+EW31+FF31, 0.1)*$I$9+FF31/MAX(FE31+EW31+FF31, 0.1)*$J$9))/($B$11+$C$11+$F$11)</f>
        <v>0.84285037981371502</v>
      </c>
      <c r="DJ31">
        <f>($B$11*$K$9+$C$11*$K$9+$F$11*((FE31+EW31)/MAX(FE31+EW31+FF31, 0.1)*$P$9+FF31/MAX(FE31+EW31+FF31, 0.1)*$Q$9))/($B$11+$C$11+$F$11)</f>
        <v>0.16510123304046995</v>
      </c>
      <c r="DK31">
        <v>6</v>
      </c>
      <c r="DL31">
        <v>0.5</v>
      </c>
      <c r="DM31" t="s">
        <v>408</v>
      </c>
      <c r="DN31">
        <v>2</v>
      </c>
      <c r="DO31" t="b">
        <v>0</v>
      </c>
      <c r="DP31">
        <v>1783437069.5</v>
      </c>
      <c r="DQ31">
        <v>419.98074193548382</v>
      </c>
      <c r="DR31">
        <v>425.7487741935484</v>
      </c>
      <c r="DS31">
        <v>20.78131290322581</v>
      </c>
      <c r="DT31">
        <v>19.34461935483872</v>
      </c>
      <c r="DU31">
        <v>425.32361290322592</v>
      </c>
      <c r="DV31">
        <v>21.030903225806451</v>
      </c>
      <c r="DW31">
        <v>499.97774193548378</v>
      </c>
      <c r="DX31">
        <v>98.272325806451605</v>
      </c>
      <c r="DY31">
        <v>5.0842493548387102E-2</v>
      </c>
      <c r="DZ31">
        <v>24.85187419354839</v>
      </c>
      <c r="EA31">
        <v>24.98336451612904</v>
      </c>
      <c r="EB31">
        <v>999.90000000000032</v>
      </c>
      <c r="EC31">
        <v>0</v>
      </c>
      <c r="ED31">
        <v>0</v>
      </c>
      <c r="EE31">
        <v>10001.93548387097</v>
      </c>
      <c r="EF31">
        <v>0</v>
      </c>
      <c r="EG31">
        <v>153.53322580645161</v>
      </c>
      <c r="EH31">
        <v>-5.767980967741936</v>
      </c>
      <c r="EI31">
        <v>428.89380645161282</v>
      </c>
      <c r="EJ31">
        <v>434.14719354838712</v>
      </c>
      <c r="EK31">
        <v>1.4366932258064511</v>
      </c>
      <c r="EL31">
        <v>425.7487741935484</v>
      </c>
      <c r="EM31">
        <v>19.34461935483872</v>
      </c>
      <c r="EN31">
        <v>2.0422287096774192</v>
      </c>
      <c r="EO31">
        <v>1.9010403225806449</v>
      </c>
      <c r="EP31">
        <v>17.775580645161291</v>
      </c>
      <c r="EQ31">
        <v>16.64330967741936</v>
      </c>
      <c r="ER31">
        <v>100.0029161290323</v>
      </c>
      <c r="ES31">
        <v>0.89999509677419343</v>
      </c>
      <c r="ET31">
        <v>0.1000050129032258</v>
      </c>
      <c r="EU31">
        <v>0</v>
      </c>
      <c r="EV31">
        <v>669.74564516129021</v>
      </c>
      <c r="EW31">
        <v>5.0010700000000003</v>
      </c>
      <c r="EX31">
        <v>3577.8745161290331</v>
      </c>
      <c r="EY31">
        <v>836.5952580645162</v>
      </c>
      <c r="EZ31">
        <v>36.436999999999991</v>
      </c>
      <c r="FA31">
        <v>40.625</v>
      </c>
      <c r="FB31">
        <v>38.578258064516113</v>
      </c>
      <c r="FC31">
        <v>40.350612903225787</v>
      </c>
      <c r="FD31">
        <v>38.561999999999983</v>
      </c>
      <c r="FE31">
        <v>85.50096774193544</v>
      </c>
      <c r="FF31">
        <v>9.501612903225805</v>
      </c>
      <c r="FG31">
        <v>0</v>
      </c>
      <c r="FH31">
        <v>203.20000004768369</v>
      </c>
      <c r="FI31">
        <v>0</v>
      </c>
      <c r="FJ31">
        <v>669.68158823529404</v>
      </c>
      <c r="FK31">
        <v>-1.5303921334307491</v>
      </c>
      <c r="FL31">
        <v>-374.34803761469283</v>
      </c>
      <c r="FM31">
        <v>3571.8505882352938</v>
      </c>
      <c r="FN31">
        <v>10</v>
      </c>
      <c r="FO31">
        <v>1783437008</v>
      </c>
      <c r="FP31" t="s">
        <v>1123</v>
      </c>
      <c r="FQ31">
        <v>1783437001.5</v>
      </c>
      <c r="FR31">
        <v>1783437008</v>
      </c>
      <c r="FS31">
        <v>11</v>
      </c>
      <c r="FT31">
        <v>-4.2999999999999997E-2</v>
      </c>
      <c r="FU31">
        <v>-1.2E-2</v>
      </c>
      <c r="FV31">
        <v>-5.3630000000000004</v>
      </c>
      <c r="FW31">
        <v>-0.28799999999999998</v>
      </c>
      <c r="FX31">
        <v>425</v>
      </c>
      <c r="FY31">
        <v>19</v>
      </c>
      <c r="FZ31">
        <v>1.59</v>
      </c>
      <c r="GA31">
        <v>0.17</v>
      </c>
      <c r="GB31">
        <v>419.98374193548392</v>
      </c>
      <c r="GC31">
        <v>-0.1752096774204914</v>
      </c>
      <c r="GD31">
        <v>5.9006269618730227E-2</v>
      </c>
      <c r="GE31">
        <v>-1</v>
      </c>
      <c r="GF31">
        <v>669.80514705882342</v>
      </c>
      <c r="GG31">
        <v>-1.2526661560693859</v>
      </c>
      <c r="GH31">
        <v>0.20627482130186631</v>
      </c>
      <c r="GI31">
        <v>1</v>
      </c>
      <c r="GJ31">
        <v>1.4474063414634151</v>
      </c>
      <c r="GK31">
        <v>-0.27932257839721347</v>
      </c>
      <c r="GL31">
        <v>3.4846545250331519E-2</v>
      </c>
      <c r="GM31">
        <v>1</v>
      </c>
      <c r="GN31">
        <v>2</v>
      </c>
      <c r="GO31">
        <v>2</v>
      </c>
      <c r="GP31" t="s">
        <v>423</v>
      </c>
      <c r="GQ31">
        <v>3.1306400000000001</v>
      </c>
      <c r="GR31">
        <v>2.7263600000000001</v>
      </c>
      <c r="GS31">
        <v>9.1877100000000003E-2</v>
      </c>
      <c r="GT31">
        <v>9.2661499999999994E-2</v>
      </c>
      <c r="GU31">
        <v>0.102437</v>
      </c>
      <c r="GV31">
        <v>9.7157999999999994E-2</v>
      </c>
      <c r="GW31">
        <v>22806.5</v>
      </c>
      <c r="GX31">
        <v>30571.200000000001</v>
      </c>
      <c r="GY31">
        <v>27241.9</v>
      </c>
      <c r="GZ31">
        <v>34645.9</v>
      </c>
      <c r="HA31">
        <v>35804.9</v>
      </c>
      <c r="HB31">
        <v>39737.300000000003</v>
      </c>
      <c r="HC31">
        <v>40220.300000000003</v>
      </c>
      <c r="HD31">
        <v>44095</v>
      </c>
      <c r="HE31">
        <v>1.9650000000000001</v>
      </c>
      <c r="HF31">
        <v>1.7978000000000001</v>
      </c>
      <c r="HG31">
        <v>-8.1956399999999999E-2</v>
      </c>
      <c r="HH31">
        <v>0</v>
      </c>
      <c r="HI31">
        <v>26.331499999999998</v>
      </c>
      <c r="HJ31">
        <v>999.9</v>
      </c>
      <c r="HK31">
        <v>67.3</v>
      </c>
      <c r="HL31">
        <v>34.200000000000003</v>
      </c>
      <c r="HM31">
        <v>37.000900000000001</v>
      </c>
      <c r="HN31">
        <v>60.452300000000001</v>
      </c>
      <c r="HO31">
        <v>6.1898999999999997</v>
      </c>
      <c r="HP31">
        <v>1</v>
      </c>
      <c r="HQ31">
        <v>0.52894300000000005</v>
      </c>
      <c r="HR31">
        <v>4.4486100000000004</v>
      </c>
      <c r="HS31">
        <v>20.229199999999999</v>
      </c>
      <c r="HT31">
        <v>5.2112999999999996</v>
      </c>
      <c r="HU31">
        <v>11.908099999999999</v>
      </c>
      <c r="HV31">
        <v>4.984</v>
      </c>
      <c r="HW31">
        <v>3.2709999999999999</v>
      </c>
      <c r="HX31">
        <v>9999</v>
      </c>
      <c r="HY31">
        <v>9999</v>
      </c>
      <c r="HZ31">
        <v>9999</v>
      </c>
      <c r="IA31">
        <v>999.9</v>
      </c>
      <c r="IB31">
        <v>1.8672200000000001</v>
      </c>
      <c r="IC31">
        <v>1.8627899999999999</v>
      </c>
      <c r="ID31">
        <v>1.8622799999999999</v>
      </c>
      <c r="IE31">
        <v>1.86185</v>
      </c>
      <c r="IF31">
        <v>1.86188</v>
      </c>
      <c r="IG31">
        <v>1.86246</v>
      </c>
      <c r="IH31">
        <v>1.86334</v>
      </c>
      <c r="II31">
        <v>1.8613299999999999</v>
      </c>
      <c r="IJ31">
        <v>0</v>
      </c>
      <c r="IK31">
        <v>0</v>
      </c>
      <c r="IL31">
        <v>0</v>
      </c>
      <c r="IM31">
        <v>4.5</v>
      </c>
      <c r="IN31" t="s">
        <v>411</v>
      </c>
      <c r="IO31" t="s">
        <v>412</v>
      </c>
      <c r="IP31" t="s">
        <v>413</v>
      </c>
      <c r="IQ31" t="s">
        <v>414</v>
      </c>
      <c r="IR31" t="s">
        <v>414</v>
      </c>
      <c r="IS31" t="s">
        <v>413</v>
      </c>
      <c r="IT31">
        <v>0</v>
      </c>
      <c r="IU31">
        <v>100</v>
      </c>
      <c r="IV31">
        <v>100</v>
      </c>
      <c r="IW31">
        <v>-5.3419999999999996</v>
      </c>
      <c r="IX31">
        <v>-0.2495</v>
      </c>
      <c r="IY31">
        <v>-3.5254069336915999</v>
      </c>
      <c r="IZ31">
        <v>-4.7754461378838441E-3</v>
      </c>
      <c r="JA31">
        <v>1.175754608921022E-6</v>
      </c>
      <c r="JB31">
        <v>1.4193218893046591E-11</v>
      </c>
      <c r="JC31">
        <v>-0.56227622103376496</v>
      </c>
      <c r="JD31">
        <v>2.7492919904454862E-4</v>
      </c>
      <c r="JE31">
        <v>8.6739513355948885E-4</v>
      </c>
      <c r="JF31">
        <v>-8.2500691715147318E-6</v>
      </c>
      <c r="JG31">
        <v>38</v>
      </c>
      <c r="JH31">
        <v>1780</v>
      </c>
      <c r="JI31">
        <v>2</v>
      </c>
      <c r="JJ31">
        <v>37</v>
      </c>
      <c r="JK31">
        <v>1.3</v>
      </c>
      <c r="JL31">
        <v>1.2</v>
      </c>
      <c r="JM31">
        <v>1.10107</v>
      </c>
      <c r="JN31">
        <v>2.50244</v>
      </c>
      <c r="JO31">
        <v>1.50024</v>
      </c>
      <c r="JP31">
        <v>2.2778299999999998</v>
      </c>
      <c r="JQ31">
        <v>1.4477500000000001</v>
      </c>
      <c r="JR31">
        <v>2.4206500000000002</v>
      </c>
      <c r="JS31">
        <v>38.771700000000003</v>
      </c>
      <c r="JT31">
        <v>15.5768</v>
      </c>
      <c r="JU31">
        <v>18</v>
      </c>
      <c r="JV31">
        <v>540.36199999999997</v>
      </c>
      <c r="JW31">
        <v>445.11099999999999</v>
      </c>
      <c r="JX31">
        <v>21.960699999999999</v>
      </c>
      <c r="JY31">
        <v>33.659599999999998</v>
      </c>
      <c r="JZ31">
        <v>30.0002</v>
      </c>
      <c r="KA31">
        <v>33.5212</v>
      </c>
      <c r="KB31">
        <v>33.460700000000003</v>
      </c>
      <c r="KC31">
        <v>22.013200000000001</v>
      </c>
      <c r="KD31">
        <v>48.524099999999997</v>
      </c>
      <c r="KE31">
        <v>0</v>
      </c>
      <c r="KF31">
        <v>21.9617</v>
      </c>
      <c r="KG31">
        <v>425.86</v>
      </c>
      <c r="KH31">
        <v>19.450700000000001</v>
      </c>
      <c r="KI31">
        <v>100.529</v>
      </c>
      <c r="KJ31">
        <v>99.072900000000004</v>
      </c>
    </row>
    <row r="32" spans="1:296" x14ac:dyDescent="0.3">
      <c r="A32">
        <v>12</v>
      </c>
      <c r="B32">
        <v>1783437260</v>
      </c>
      <c r="C32">
        <v>2044.900000095367</v>
      </c>
      <c r="D32" t="s">
        <v>1124</v>
      </c>
      <c r="E32" t="s">
        <v>1125</v>
      </c>
      <c r="F32">
        <v>15</v>
      </c>
      <c r="H32">
        <v>1783437252</v>
      </c>
      <c r="I32">
        <f>(J32)/1000</f>
        <v>8.9795641918297728E-4</v>
      </c>
      <c r="J32">
        <f>IF(DO32, AM32, AG32)</f>
        <v>0.89795641918297731</v>
      </c>
      <c r="K32">
        <f>IF(DO32, AH32, AF32)</f>
        <v>0.69925059009536084</v>
      </c>
      <c r="L32">
        <f>DQ32 - IF(AT32&gt;1, K32*DK32*100/(AV32), 0)</f>
        <v>419.95532258064509</v>
      </c>
      <c r="M32">
        <f>((S32-I32/2)*L32-K32)/(S32+I32/2)</f>
        <v>397.33242034848979</v>
      </c>
      <c r="N32">
        <f>M32*(DX32+DY32)/1000</f>
        <v>39.066713827437582</v>
      </c>
      <c r="O32">
        <f>(DQ32 - IF(AT32&gt;1, K32*DK32*100/(AV32), 0))*(DX32+DY32)/1000</f>
        <v>41.291053957232549</v>
      </c>
      <c r="P32">
        <f>2/((1/R32-1/Q32)+SIGN(R32)*SQRT((1/R32-1/Q32)*(1/R32-1/Q32) + 4*DL32/((DL32+1)*(DL32+1))*(2*1/R32*1/Q32-1/Q32*1/Q32)))</f>
        <v>7.6349993248300455E-2</v>
      </c>
      <c r="Q32">
        <f>IF(LEFT(DM32,1)&lt;&gt;"0",IF(LEFT(DM32,1)="1",3,DN32),$D$5+$E$5*(EE32*DX32/($K$5*1000))+$F$5*(EE32*DX32/($K$5*1000))*MAX(MIN(DK32,$J$5),$I$5)*MAX(MIN(DK32,$J$5),$I$5)+$G$5*MAX(MIN(DK32,$J$5),$I$5)*(EE32*DX32/($K$5*1000))+$H$5*(EE32*DX32/($K$5*1000))*(EE32*DX32/($K$5*1000)))</f>
        <v>2.8995899054519327</v>
      </c>
      <c r="R32">
        <f>I32*(1000-(1000*0.61365*EXP(17.502*V32/(240.97+V32))/(DX32+DY32)+DS32)/2)/(1000*0.61365*EXP(17.502*V32/(240.97+V32))/(DX32+DY32)-DS32)</f>
        <v>7.5250464857048477E-2</v>
      </c>
      <c r="S32">
        <f>1/((DL32+1)/(P32/1.6)+1/(Q32/1.37)) + DL32/((DL32+1)/(P32/1.6) + DL32/(Q32/1.37))</f>
        <v>4.712900965117111E-2</v>
      </c>
      <c r="T32">
        <f>(DG32*DJ32)</f>
        <v>8.2414271631032356</v>
      </c>
      <c r="U32">
        <f>(DZ32+(T32+2*0.95*0.0000000567*(((DZ32+$B$7)+273)^4-(DZ32+273)^4)-44100*I32)/(1.84*29.3*Q32+8*0.95*0.0000000567*(DZ32+273)^3))</f>
        <v>24.644716525790692</v>
      </c>
      <c r="V32">
        <f>($C$7*EA32+$D$7*EB32+$E$7*U32)</f>
        <v>25.01742258064516</v>
      </c>
      <c r="W32">
        <f>0.61365*EXP(17.502*V32/(240.97+V32))</f>
        <v>3.1829818790327327</v>
      </c>
      <c r="X32">
        <f>(Y32/Z32*100)</f>
        <v>64.832712752698569</v>
      </c>
      <c r="Y32">
        <f>DS32*(DX32+DY32)/1000</f>
        <v>2.0408771174775509</v>
      </c>
      <c r="Z32">
        <f>0.61365*EXP(17.502*DZ32/(240.97+DZ32))</f>
        <v>3.1479125750335082</v>
      </c>
      <c r="AA32">
        <f>(W32-DS32*(DX32+DY32)/1000)</f>
        <v>1.1421047615551818</v>
      </c>
      <c r="AB32">
        <f>(-I32*44100)</f>
        <v>-39.599878085969301</v>
      </c>
      <c r="AC32">
        <f>2*29.3*Q32*0.92*(DZ32-V32)</f>
        <v>-29.032653582707304</v>
      </c>
      <c r="AD32">
        <f>2*0.95*0.0000000567*(((DZ32+$B$7)+273)^4-(V32+273)^4)</f>
        <v>-2.1163150893804898</v>
      </c>
      <c r="AE32">
        <f>T32+AD32+AB32+AC32</f>
        <v>-62.507419594953859</v>
      </c>
      <c r="AF32">
        <f>DW32*AT32*(DR32-DQ32*(1000-AT32*DT32)/(1000-AT32*DS32))/(100*DK32)</f>
        <v>0.69925059009536084</v>
      </c>
      <c r="AG32">
        <f>1000*DW32*AT32*(DS32-DT32)/(100*DK32*(1000-AT32*DS32))</f>
        <v>0.89795641918297731</v>
      </c>
      <c r="AH32">
        <f>(AI32 - AJ32 - DX32*1000/(8.314*(DZ32+273.15)) * AL32/DW32 * AK32) * DW32/(100*DK32) * (1000 - DT32)/1000</f>
        <v>0.66731606890003525</v>
      </c>
      <c r="AI32">
        <v>429.72989119273961</v>
      </c>
      <c r="AJ32">
        <v>428.88470909090881</v>
      </c>
      <c r="AK32">
        <v>5.3402207334656499E-3</v>
      </c>
      <c r="AL32">
        <v>67.03495295502151</v>
      </c>
      <c r="AM32">
        <f>(AO32 - AN32 + DX32*1000/(8.314*(DZ32+273.15)) * AQ32/DW32 * AP32) * DW32/(100*DK32) * 1000/(1000 - AO32)</f>
        <v>0.863434939108777</v>
      </c>
      <c r="AN32">
        <v>19.742594925575151</v>
      </c>
      <c r="AO32">
        <v>20.757318787878781</v>
      </c>
      <c r="AP32">
        <v>-3.520900075707889E-5</v>
      </c>
      <c r="AQ32">
        <v>78.063659972086768</v>
      </c>
      <c r="AR32">
        <v>0</v>
      </c>
      <c r="AS32">
        <v>0</v>
      </c>
      <c r="AT32">
        <f>IF(AR32*$H$13&gt;=AV32,1,(AV32/(AV32-AR32*$H$13)))</f>
        <v>1</v>
      </c>
      <c r="AU32">
        <f>(AT32-1)*100</f>
        <v>0</v>
      </c>
      <c r="AV32">
        <f>MAX(0,($B$13+$C$13*EE32)/(1+$D$13*EE32)*DX32/(DZ32+273)*$E$13)</f>
        <v>52357.028183405775</v>
      </c>
      <c r="AW32" t="s">
        <v>1080</v>
      </c>
      <c r="AX32">
        <v>5103.58</v>
      </c>
      <c r="AY32">
        <v>629.08823529411768</v>
      </c>
      <c r="AZ32">
        <v>2707.55</v>
      </c>
      <c r="BA32">
        <f>1-AY32/AZ32</f>
        <v>0.76765406537492653</v>
      </c>
      <c r="BB32">
        <v>-4.7374107809501558</v>
      </c>
      <c r="BC32" t="s">
        <v>1126</v>
      </c>
      <c r="BD32">
        <v>5117.09</v>
      </c>
      <c r="BE32">
        <v>642.14970588235281</v>
      </c>
      <c r="BF32">
        <v>2026.71</v>
      </c>
      <c r="BG32">
        <f>1-BE32/BF32</f>
        <v>0.68315659078883861</v>
      </c>
      <c r="BH32">
        <v>0.5</v>
      </c>
      <c r="BI32">
        <f>DH32</f>
        <v>42.139587912020716</v>
      </c>
      <c r="BJ32">
        <f>K32</f>
        <v>0.69925059009536084</v>
      </c>
      <c r="BK32">
        <f>BG32*BH32*BI32</f>
        <v>14.393968607611313</v>
      </c>
      <c r="BL32">
        <f>(BJ32-BB32)/BI32</f>
        <v>0.12901553243463632</v>
      </c>
      <c r="BM32">
        <f>(AZ32-BF32)/BF32</f>
        <v>0.33593360668275191</v>
      </c>
      <c r="BN32">
        <f>AY32/(BA32+AY32/BF32)</f>
        <v>583.54120571159899</v>
      </c>
      <c r="BO32" t="s">
        <v>407</v>
      </c>
      <c r="BP32">
        <v>0</v>
      </c>
      <c r="BQ32">
        <f>IF(BP32&lt;&gt;0, BP32, BN32)</f>
        <v>583.54120571159899</v>
      </c>
      <c r="BR32">
        <f>1-BQ32/BF32</f>
        <v>0.71207464032269097</v>
      </c>
      <c r="BS32">
        <f>(BF32-BE32)/(BF32-BQ32)</f>
        <v>0.95938901921749731</v>
      </c>
      <c r="BT32">
        <f>(AZ32-BF32)/(AZ32-BQ32)</f>
        <v>0.32054481216406616</v>
      </c>
      <c r="BU32">
        <f>(BF32-BE32)/(BF32-AY32)</f>
        <v>0.99065450258569487</v>
      </c>
      <c r="BV32">
        <f>(AZ32-BF32)/(AZ32-AY32)</f>
        <v>0.32756917233757432</v>
      </c>
      <c r="BW32">
        <f>(BS32*BQ32/BE32)</f>
        <v>0.87182633565390855</v>
      </c>
      <c r="BX32">
        <f>(1-BW32)</f>
        <v>0.12817366434609145</v>
      </c>
      <c r="DG32">
        <f>$B$11*EF32+$C$11*EG32+$F$11*ER32*(1-EU32)</f>
        <v>50.005458064516112</v>
      </c>
      <c r="DH32">
        <f>DG32*DI32</f>
        <v>42.139587912020716</v>
      </c>
      <c r="DI32">
        <f>($B$11*$D$9+$C$11*$D$9+$F$11*((FE32+EW32)/MAX(FE32+EW32+FF32, 0.1)*$I$9+FF32/MAX(FE32+EW32+FF32, 0.1)*$J$9))/($B$11+$C$11+$F$11)</f>
        <v>0.84269976804638014</v>
      </c>
      <c r="DJ32">
        <f>($B$11*$K$9+$C$11*$K$9+$F$11*((FE32+EW32)/MAX(FE32+EW32+FF32, 0.1)*$P$9+FF32/MAX(FE32+EW32+FF32, 0.1)*$Q$9))/($B$11+$C$11+$F$11)</f>
        <v>0.16481055232951369</v>
      </c>
      <c r="DK32">
        <v>6</v>
      </c>
      <c r="DL32">
        <v>0.5</v>
      </c>
      <c r="DM32" t="s">
        <v>408</v>
      </c>
      <c r="DN32">
        <v>2</v>
      </c>
      <c r="DO32" t="b">
        <v>0</v>
      </c>
      <c r="DP32">
        <v>1783437252</v>
      </c>
      <c r="DQ32">
        <v>419.95532258064509</v>
      </c>
      <c r="DR32">
        <v>421.246806451613</v>
      </c>
      <c r="DS32">
        <v>20.756970967741939</v>
      </c>
      <c r="DT32">
        <v>19.701903225806451</v>
      </c>
      <c r="DU32">
        <v>425.29429032258071</v>
      </c>
      <c r="DV32">
        <v>21.01221935483871</v>
      </c>
      <c r="DW32">
        <v>500.05370967741948</v>
      </c>
      <c r="DX32">
        <v>98.270258064516142</v>
      </c>
      <c r="DY32">
        <v>5.2234203225806443E-2</v>
      </c>
      <c r="DZ32">
        <v>24.831700000000001</v>
      </c>
      <c r="EA32">
        <v>25.01742258064516</v>
      </c>
      <c r="EB32">
        <v>999.90000000000032</v>
      </c>
      <c r="EC32">
        <v>0</v>
      </c>
      <c r="ED32">
        <v>0</v>
      </c>
      <c r="EE32">
        <v>10003.22580645161</v>
      </c>
      <c r="EF32">
        <v>0</v>
      </c>
      <c r="EG32">
        <v>145.00912903225799</v>
      </c>
      <c r="EH32">
        <v>-1.2914501612903231</v>
      </c>
      <c r="EI32">
        <v>428.85706451612913</v>
      </c>
      <c r="EJ32">
        <v>429.71293548387092</v>
      </c>
      <c r="EK32">
        <v>1.055057322580645</v>
      </c>
      <c r="EL32">
        <v>421.246806451613</v>
      </c>
      <c r="EM32">
        <v>19.701903225806451</v>
      </c>
      <c r="EN32">
        <v>2.0397925806451611</v>
      </c>
      <c r="EO32">
        <v>1.9361119354838709</v>
      </c>
      <c r="EP32">
        <v>17.756641935483881</v>
      </c>
      <c r="EQ32">
        <v>16.931293548387099</v>
      </c>
      <c r="ER32">
        <v>50.005458064516112</v>
      </c>
      <c r="ES32">
        <v>0.89998183870967707</v>
      </c>
      <c r="ET32">
        <v>0.1000185774193548</v>
      </c>
      <c r="EU32">
        <v>0</v>
      </c>
      <c r="EV32">
        <v>642.273129032258</v>
      </c>
      <c r="EW32">
        <v>5.0010700000000003</v>
      </c>
      <c r="EX32">
        <v>3320.327741935484</v>
      </c>
      <c r="EY32">
        <v>396.31083870967751</v>
      </c>
      <c r="EZ32">
        <v>36.311999999999991</v>
      </c>
      <c r="FA32">
        <v>40.75</v>
      </c>
      <c r="FB32">
        <v>38.503999999999998</v>
      </c>
      <c r="FC32">
        <v>40.493903225806449</v>
      </c>
      <c r="FD32">
        <v>38.5</v>
      </c>
      <c r="FE32">
        <v>40.503225806451603</v>
      </c>
      <c r="FF32">
        <v>4.5</v>
      </c>
      <c r="FG32">
        <v>0</v>
      </c>
      <c r="FH32">
        <v>182</v>
      </c>
      <c r="FI32">
        <v>0</v>
      </c>
      <c r="FJ32">
        <v>642.14970588235281</v>
      </c>
      <c r="FK32">
        <v>-2.8343137062444992</v>
      </c>
      <c r="FL32">
        <v>-197.8700960154041</v>
      </c>
      <c r="FM32">
        <v>3318.2717647058821</v>
      </c>
      <c r="FN32">
        <v>10</v>
      </c>
      <c r="FO32">
        <v>1783437184.5</v>
      </c>
      <c r="FP32" t="s">
        <v>1127</v>
      </c>
      <c r="FQ32">
        <v>1783437178</v>
      </c>
      <c r="FR32">
        <v>1783437184.5</v>
      </c>
      <c r="FS32">
        <v>12</v>
      </c>
      <c r="FT32">
        <v>4.0000000000000001E-3</v>
      </c>
      <c r="FU32">
        <v>-5.0000000000000001E-3</v>
      </c>
      <c r="FV32">
        <v>-5.34</v>
      </c>
      <c r="FW32">
        <v>-0.28000000000000003</v>
      </c>
      <c r="FX32">
        <v>420</v>
      </c>
      <c r="FY32">
        <v>20</v>
      </c>
      <c r="FZ32">
        <v>1.3</v>
      </c>
      <c r="GA32">
        <v>0.2</v>
      </c>
      <c r="GB32">
        <v>419.95261290322583</v>
      </c>
      <c r="GC32">
        <v>-5.8258064518055028E-2</v>
      </c>
      <c r="GD32">
        <v>4.6101345176201347E-2</v>
      </c>
      <c r="GE32">
        <v>-1</v>
      </c>
      <c r="GF32">
        <v>642.34861764705875</v>
      </c>
      <c r="GG32">
        <v>-1.271489690672202</v>
      </c>
      <c r="GH32">
        <v>0.20433349538350121</v>
      </c>
      <c r="GI32">
        <v>1</v>
      </c>
      <c r="GJ32">
        <v>1.0702374390243901</v>
      </c>
      <c r="GK32">
        <v>-0.26960625783971959</v>
      </c>
      <c r="GL32">
        <v>3.2871247460541188E-2</v>
      </c>
      <c r="GM32">
        <v>1</v>
      </c>
      <c r="GN32">
        <v>2</v>
      </c>
      <c r="GO32">
        <v>2</v>
      </c>
      <c r="GP32" t="s">
        <v>423</v>
      </c>
      <c r="GQ32">
        <v>3.1311</v>
      </c>
      <c r="GR32">
        <v>2.72784</v>
      </c>
      <c r="GS32">
        <v>9.18799E-2</v>
      </c>
      <c r="GT32">
        <v>9.1916600000000001E-2</v>
      </c>
      <c r="GU32">
        <v>0.102352</v>
      </c>
      <c r="GV32">
        <v>9.8453600000000002E-2</v>
      </c>
      <c r="GW32">
        <v>22801.599999999999</v>
      </c>
      <c r="GX32">
        <v>30591</v>
      </c>
      <c r="GY32">
        <v>27236.3</v>
      </c>
      <c r="GZ32">
        <v>34640.300000000003</v>
      </c>
      <c r="HA32">
        <v>35801.1</v>
      </c>
      <c r="HB32">
        <v>39673.800000000003</v>
      </c>
      <c r="HC32">
        <v>40212.1</v>
      </c>
      <c r="HD32">
        <v>44087.9</v>
      </c>
      <c r="HE32">
        <v>1.9636</v>
      </c>
      <c r="HF32">
        <v>1.7958000000000001</v>
      </c>
      <c r="HG32">
        <v>-8.8065900000000003E-2</v>
      </c>
      <c r="HH32">
        <v>0</v>
      </c>
      <c r="HI32">
        <v>26.434100000000001</v>
      </c>
      <c r="HJ32">
        <v>999.9</v>
      </c>
      <c r="HK32">
        <v>66.5</v>
      </c>
      <c r="HL32">
        <v>34.5</v>
      </c>
      <c r="HM32">
        <v>37.180199999999999</v>
      </c>
      <c r="HN32">
        <v>61.3523</v>
      </c>
      <c r="HO32">
        <v>5.9895899999999997</v>
      </c>
      <c r="HP32">
        <v>1</v>
      </c>
      <c r="HQ32">
        <v>0.54032500000000006</v>
      </c>
      <c r="HR32">
        <v>4.9405700000000001</v>
      </c>
      <c r="HS32">
        <v>20.216100000000001</v>
      </c>
      <c r="HT32">
        <v>5.2100999999999997</v>
      </c>
      <c r="HU32">
        <v>11.908099999999999</v>
      </c>
      <c r="HV32">
        <v>4.984</v>
      </c>
      <c r="HW32">
        <v>3.2709999999999999</v>
      </c>
      <c r="HX32">
        <v>9999</v>
      </c>
      <c r="HY32">
        <v>9999</v>
      </c>
      <c r="HZ32">
        <v>9999</v>
      </c>
      <c r="IA32">
        <v>999.9</v>
      </c>
      <c r="IB32">
        <v>1.8672200000000001</v>
      </c>
      <c r="IC32">
        <v>1.8627899999999999</v>
      </c>
      <c r="ID32">
        <v>1.8623400000000001</v>
      </c>
      <c r="IE32">
        <v>1.86178</v>
      </c>
      <c r="IF32">
        <v>1.86188</v>
      </c>
      <c r="IG32">
        <v>1.86246</v>
      </c>
      <c r="IH32">
        <v>1.86334</v>
      </c>
      <c r="II32">
        <v>1.8613599999999999</v>
      </c>
      <c r="IJ32">
        <v>0</v>
      </c>
      <c r="IK32">
        <v>0</v>
      </c>
      <c r="IL32">
        <v>0</v>
      </c>
      <c r="IM32">
        <v>4.5</v>
      </c>
      <c r="IN32" t="s">
        <v>411</v>
      </c>
      <c r="IO32" t="s">
        <v>412</v>
      </c>
      <c r="IP32" t="s">
        <v>413</v>
      </c>
      <c r="IQ32" t="s">
        <v>414</v>
      </c>
      <c r="IR32" t="s">
        <v>414</v>
      </c>
      <c r="IS32" t="s">
        <v>413</v>
      </c>
      <c r="IT32">
        <v>0</v>
      </c>
      <c r="IU32">
        <v>100</v>
      </c>
      <c r="IV32">
        <v>100</v>
      </c>
      <c r="IW32">
        <v>-5.3390000000000004</v>
      </c>
      <c r="IX32">
        <v>-0.25519999999999998</v>
      </c>
      <c r="IY32">
        <v>-3.5217336377735662</v>
      </c>
      <c r="IZ32">
        <v>-4.7754461378838441E-3</v>
      </c>
      <c r="JA32">
        <v>1.175754608921022E-6</v>
      </c>
      <c r="JB32">
        <v>1.4193218893046591E-11</v>
      </c>
      <c r="JC32">
        <v>-0.56746507132662716</v>
      </c>
      <c r="JD32">
        <v>2.7492919904454862E-4</v>
      </c>
      <c r="JE32">
        <v>8.6739513355948885E-4</v>
      </c>
      <c r="JF32">
        <v>-8.2500691715147318E-6</v>
      </c>
      <c r="JG32">
        <v>38</v>
      </c>
      <c r="JH32">
        <v>1780</v>
      </c>
      <c r="JI32">
        <v>2</v>
      </c>
      <c r="JJ32">
        <v>37</v>
      </c>
      <c r="JK32">
        <v>1.4</v>
      </c>
      <c r="JL32">
        <v>1.3</v>
      </c>
      <c r="JM32">
        <v>1.09131</v>
      </c>
      <c r="JN32">
        <v>2.5134300000000001</v>
      </c>
      <c r="JO32">
        <v>1.50024</v>
      </c>
      <c r="JP32">
        <v>2.2778299999999998</v>
      </c>
      <c r="JQ32">
        <v>1.4477500000000001</v>
      </c>
      <c r="JR32">
        <v>2.4084500000000002</v>
      </c>
      <c r="JS32">
        <v>38.870399999999997</v>
      </c>
      <c r="JT32">
        <v>15.532999999999999</v>
      </c>
      <c r="JU32">
        <v>18</v>
      </c>
      <c r="JV32">
        <v>540.04899999999998</v>
      </c>
      <c r="JW32">
        <v>444.41</v>
      </c>
      <c r="JX32">
        <v>21.6188</v>
      </c>
      <c r="JY32">
        <v>33.717100000000002</v>
      </c>
      <c r="JZ32">
        <v>30</v>
      </c>
      <c r="KA32">
        <v>33.595999999999997</v>
      </c>
      <c r="KB32">
        <v>33.541200000000003</v>
      </c>
      <c r="KC32">
        <v>21.830100000000002</v>
      </c>
      <c r="KD32">
        <v>47.823399999999999</v>
      </c>
      <c r="KE32">
        <v>0</v>
      </c>
      <c r="KF32">
        <v>21.613600000000002</v>
      </c>
      <c r="KG32">
        <v>421.23599999999999</v>
      </c>
      <c r="KH32">
        <v>19.821300000000001</v>
      </c>
      <c r="KI32">
        <v>100.508</v>
      </c>
      <c r="KJ32">
        <v>99.056799999999996</v>
      </c>
    </row>
    <row r="33" spans="1:296" x14ac:dyDescent="0.3">
      <c r="A33">
        <v>13</v>
      </c>
      <c r="B33">
        <v>1783437442.5</v>
      </c>
      <c r="C33">
        <v>2227.400000095367</v>
      </c>
      <c r="D33" t="s">
        <v>1128</v>
      </c>
      <c r="E33" t="s">
        <v>1129</v>
      </c>
      <c r="F33">
        <v>15</v>
      </c>
      <c r="H33">
        <v>1783437434.75</v>
      </c>
      <c r="I33">
        <f>(J33)/1000</f>
        <v>7.4041368569976323E-4</v>
      </c>
      <c r="J33">
        <f>IF(DO33, AM33, AG33)</f>
        <v>0.74041368569976318</v>
      </c>
      <c r="K33">
        <f>IF(DO33, AH33, AF33)</f>
        <v>-3.9412059297963484</v>
      </c>
      <c r="L33">
        <f>DQ33 - IF(AT33&gt;1, K33*DK33*100/(AV33), 0)</f>
        <v>420.04543333333328</v>
      </c>
      <c r="M33">
        <f>((S33-I33/2)*L33-K33)/(S33+I33/2)</f>
        <v>512.15526389005481</v>
      </c>
      <c r="N33">
        <f>M33*(DX33+DY33)/1000</f>
        <v>50.352885465275392</v>
      </c>
      <c r="O33">
        <f>(DQ33 - IF(AT33&gt;1, K33*DK33*100/(AV33), 0))*(DX33+DY33)/1000</f>
        <v>41.297046200789829</v>
      </c>
      <c r="P33">
        <f>2/((1/R33-1/Q33)+SIGN(R33)*SQRT((1/R33-1/Q33)*(1/R33-1/Q33) + 4*DL33/((DL33+1)*(DL33+1))*(2*1/R33*1/Q33-1/Q33*1/Q33)))</f>
        <v>6.3112916524462659E-2</v>
      </c>
      <c r="Q33">
        <f>IF(LEFT(DM33,1)&lt;&gt;"0",IF(LEFT(DM33,1)="1",3,DN33),$D$5+$E$5*(EE33*DX33/($K$5*1000))+$F$5*(EE33*DX33/($K$5*1000))*MAX(MIN(DK33,$J$5),$I$5)*MAX(MIN(DK33,$J$5),$I$5)+$G$5*MAX(MIN(DK33,$J$5),$I$5)*(EE33*DX33/($K$5*1000))+$H$5*(EE33*DX33/($K$5*1000))*(EE33*DX33/($K$5*1000)))</f>
        <v>2.8978264656399868</v>
      </c>
      <c r="R33">
        <f>I33*(1000-(1000*0.61365*EXP(17.502*V33/(240.97+V33))/(DX33+DY33)+DS33)/2)/(1000*0.61365*EXP(17.502*V33/(240.97+V33))/(DX33+DY33)-DS33)</f>
        <v>6.2359115433844391E-2</v>
      </c>
      <c r="S33">
        <f>1/((DL33+1)/(P33/1.6)+1/(Q33/1.37)) + DL33/((DL33+1)/(P33/1.6) + DL33/(Q33/1.37))</f>
        <v>3.9041422951704659E-2</v>
      </c>
      <c r="T33">
        <f>(DG33*DJ33)</f>
        <v>1.5966703903835998E-4</v>
      </c>
      <c r="U33">
        <f>(DZ33+(T33+2*0.95*0.0000000567*(((DZ33+$B$7)+273)^4-(DZ33+273)^4)-44100*I33)/(1.84*29.3*Q33+8*0.95*0.0000000567*(DZ33+273)^3))</f>
        <v>24.576017669005733</v>
      </c>
      <c r="V33">
        <f>($C$7*EA33+$D$7*EB33+$E$7*U33)</f>
        <v>24.982269999999989</v>
      </c>
      <c r="W33">
        <f>0.61365*EXP(17.502*V33/(240.97+V33))</f>
        <v>3.1763180749038042</v>
      </c>
      <c r="X33">
        <f>(Y33/Z33*100)</f>
        <v>65.039067620034956</v>
      </c>
      <c r="Y33">
        <f>DS33*(DX33+DY33)/1000</f>
        <v>2.0399458387098672</v>
      </c>
      <c r="Z33">
        <f>0.61365*EXP(17.502*DZ33/(240.97+DZ33))</f>
        <v>3.1364930546474685</v>
      </c>
      <c r="AA33">
        <f>(W33-DS33*(DX33+DY33)/1000)</f>
        <v>1.136372236193937</v>
      </c>
      <c r="AB33">
        <f>(-I33*44100)</f>
        <v>-32.65224353935956</v>
      </c>
      <c r="AC33">
        <f>2*29.3*Q33*0.92*(DZ33-V33)</f>
        <v>-33.032247301933516</v>
      </c>
      <c r="AD33">
        <f>2*0.95*0.0000000567*(((DZ33+$B$7)+273)^4-(V33+273)^4)</f>
        <v>-2.4081634592490233</v>
      </c>
      <c r="AE33">
        <f>T33+AD33+AB33+AC33</f>
        <v>-68.092494633503065</v>
      </c>
      <c r="AF33">
        <f>DW33*AT33*(DR33-DQ33*(1000-AT33*DT33)/(1000-AT33*DS33))/(100*DK33)</f>
        <v>-3.9412059297963484</v>
      </c>
      <c r="AG33">
        <f>1000*DW33*AT33*(DS33-DT33)/(100*DK33*(1000-AT33*DS33))</f>
        <v>0.74041368569976318</v>
      </c>
      <c r="AH33">
        <f>(AI33 - AJ33 - DX33*1000/(8.314*(DZ33+273.15)) * AL33/DW33 * AK33) * DW33/(100*DK33) * (1000 - DT33)/1000</f>
        <v>-4.0594617758459517</v>
      </c>
      <c r="AI33">
        <v>424.20779734127262</v>
      </c>
      <c r="AJ33">
        <v>428.97535757575753</v>
      </c>
      <c r="AK33">
        <v>3.8116011111986231E-2</v>
      </c>
      <c r="AL33">
        <v>67.09575586654141</v>
      </c>
      <c r="AM33">
        <f>(AO33 - AN33 + DX33*1000/(8.314*(DZ33+273.15)) * AQ33/DW33 * AP33) * DW33/(100*DK33) * 1000/(1000 - AO33)</f>
        <v>0.73711382646888735</v>
      </c>
      <c r="AN33">
        <v>19.876909686224572</v>
      </c>
      <c r="AO33">
        <v>20.743050303030291</v>
      </c>
      <c r="AP33">
        <v>1.7176881119777279E-5</v>
      </c>
      <c r="AQ33">
        <v>78.256009892090432</v>
      </c>
      <c r="AR33">
        <v>0</v>
      </c>
      <c r="AS33">
        <v>0</v>
      </c>
      <c r="AT33">
        <f>IF(AR33*$H$13&gt;=AV33,1,(AV33/(AV33-AR33*$H$13)))</f>
        <v>1</v>
      </c>
      <c r="AU33">
        <f>(AT33-1)*100</f>
        <v>0</v>
      </c>
      <c r="AV33">
        <f>MAX(0,($B$13+$C$13*EE33)/(1+$D$13*EE33)*DX33/(DZ33+273)*$E$13)</f>
        <v>52316.850753021776</v>
      </c>
      <c r="AW33" t="s">
        <v>1026</v>
      </c>
      <c r="AX33">
        <v>5116.79</v>
      </c>
      <c r="AY33">
        <v>564.18235294117653</v>
      </c>
      <c r="AZ33">
        <v>2376.5100000000002</v>
      </c>
      <c r="BA33">
        <f>1-AY33/AZ33</f>
        <v>0.76260047172485013</v>
      </c>
      <c r="BB33">
        <v>-3.9412059297963489</v>
      </c>
      <c r="BC33" t="s">
        <v>407</v>
      </c>
      <c r="BD33" t="s">
        <v>407</v>
      </c>
      <c r="BE33">
        <v>0</v>
      </c>
      <c r="BF33">
        <v>0</v>
      </c>
      <c r="BG33" t="e">
        <f>1-BE33/BF33</f>
        <v>#DIV/0!</v>
      </c>
      <c r="BH33">
        <v>0.5</v>
      </c>
      <c r="BI33">
        <f>DH33</f>
        <v>8.4035283704399992E-4</v>
      </c>
      <c r="BJ33">
        <f>K33</f>
        <v>-3.9412059297963484</v>
      </c>
      <c r="BK33" t="e">
        <f>BG33*BH33*BI33</f>
        <v>#DIV/0!</v>
      </c>
      <c r="BL33">
        <f>(BJ33-BB33)/BI33</f>
        <v>5.2845565609343049E-13</v>
      </c>
      <c r="BM33" t="e">
        <f>(AZ33-BF33)/BF33</f>
        <v>#DIV/0!</v>
      </c>
      <c r="BN33" t="e">
        <f>AY33/(BA33+AY33/BF33)</f>
        <v>#DIV/0!</v>
      </c>
      <c r="BO33" t="s">
        <v>407</v>
      </c>
      <c r="BP33">
        <v>0</v>
      </c>
      <c r="BQ33" t="e">
        <f>IF(BP33&lt;&gt;0, BP33, BN33)</f>
        <v>#DIV/0!</v>
      </c>
      <c r="BR33" t="e">
        <f>1-BQ33/BF33</f>
        <v>#DIV/0!</v>
      </c>
      <c r="BS33" t="e">
        <f>(BF33-BE33)/(BF33-BQ33)</f>
        <v>#DIV/0!</v>
      </c>
      <c r="BT33" t="e">
        <f>(AZ33-BF33)/(AZ33-BQ33)</f>
        <v>#DIV/0!</v>
      </c>
      <c r="BU33">
        <f>(BF33-BE33)/(BF33-AY33)</f>
        <v>0</v>
      </c>
      <c r="BV33">
        <f>(AZ33-BF33)/(AZ33-AY33)</f>
        <v>1.3113026244767454</v>
      </c>
      <c r="BW33" t="e">
        <f>(BS33*BQ33/BE33)</f>
        <v>#DIV/0!</v>
      </c>
      <c r="BX33" t="e">
        <f>(1-BW33)</f>
        <v>#DIV/0!</v>
      </c>
      <c r="DG33">
        <f>$B$11*EF33+$C$11*EG33+$F$11*ER33*(1-EU33)</f>
        <v>1.00021E-2</v>
      </c>
      <c r="DH33">
        <f>DG33*DI33</f>
        <v>8.4035283704399992E-4</v>
      </c>
      <c r="DI33">
        <f>($B$11*$D$9+$C$11*$D$9+$F$11*((FE33+EW33)/MAX(FE33+EW33+FF33, 0.1)*$I$9+FF33/MAX(FE33+EW33+FF33, 0.1)*$J$9))/($B$11+$C$11+$F$11)</f>
        <v>8.4017639999999991E-2</v>
      </c>
      <c r="DJ33">
        <f>($B$11*$K$9+$C$11*$K$9+$F$11*((FE33+EW33)/MAX(FE33+EW33+FF33, 0.1)*$P$9+FF33/MAX(FE33+EW33+FF33, 0.1)*$Q$9))/($B$11+$C$11+$F$11)</f>
        <v>1.5963351599999998E-2</v>
      </c>
      <c r="DK33">
        <v>6</v>
      </c>
      <c r="DL33">
        <v>0.5</v>
      </c>
      <c r="DM33" t="s">
        <v>408</v>
      </c>
      <c r="DN33">
        <v>2</v>
      </c>
      <c r="DO33" t="b">
        <v>0</v>
      </c>
      <c r="DP33">
        <v>1783437434.75</v>
      </c>
      <c r="DQ33">
        <v>420.04543333333328</v>
      </c>
      <c r="DR33">
        <v>415.68889999999999</v>
      </c>
      <c r="DS33">
        <v>20.748940000000001</v>
      </c>
      <c r="DT33">
        <v>19.878820000000001</v>
      </c>
      <c r="DU33">
        <v>425.39623333333333</v>
      </c>
      <c r="DV33">
        <v>21.007043333333339</v>
      </c>
      <c r="DW33">
        <v>499.96613333333329</v>
      </c>
      <c r="DX33">
        <v>98.26485000000001</v>
      </c>
      <c r="DY33">
        <v>5.0815219999999987E-2</v>
      </c>
      <c r="DZ33">
        <v>24.770833333333339</v>
      </c>
      <c r="EA33">
        <v>24.982269999999989</v>
      </c>
      <c r="EB33">
        <v>999.9000000000002</v>
      </c>
      <c r="EC33">
        <v>0</v>
      </c>
      <c r="ED33">
        <v>0</v>
      </c>
      <c r="EE33">
        <v>9993.6666666666661</v>
      </c>
      <c r="EF33">
        <v>0</v>
      </c>
      <c r="EG33">
        <v>147.65296666666671</v>
      </c>
      <c r="EH33">
        <v>4.3564773333333333</v>
      </c>
      <c r="EI33">
        <v>428.94556666666671</v>
      </c>
      <c r="EJ33">
        <v>424.1199666666667</v>
      </c>
      <c r="EK33">
        <v>0.87012296666666678</v>
      </c>
      <c r="EL33">
        <v>415.68889999999999</v>
      </c>
      <c r="EM33">
        <v>19.878820000000001</v>
      </c>
      <c r="EN33">
        <v>2.038891</v>
      </c>
      <c r="EO33">
        <v>1.953388666666666</v>
      </c>
      <c r="EP33">
        <v>17.749626666666671</v>
      </c>
      <c r="EQ33">
        <v>17.071486666666669</v>
      </c>
      <c r="ER33">
        <v>1.00021E-2</v>
      </c>
      <c r="ES33">
        <v>0</v>
      </c>
      <c r="ET33">
        <v>0</v>
      </c>
      <c r="EU33">
        <v>0</v>
      </c>
      <c r="EV33">
        <v>564.26499999999987</v>
      </c>
      <c r="EW33">
        <v>1.00021E-2</v>
      </c>
      <c r="EX33">
        <v>3163.9433333333341</v>
      </c>
      <c r="EY33">
        <v>3.6783333333333328</v>
      </c>
      <c r="EZ33">
        <v>36.061999999999998</v>
      </c>
      <c r="FA33">
        <v>40.684933333333319</v>
      </c>
      <c r="FB33">
        <v>38.375</v>
      </c>
      <c r="FC33">
        <v>40.186999999999983</v>
      </c>
      <c r="FD33">
        <v>38.080899999999993</v>
      </c>
      <c r="FE33">
        <v>0</v>
      </c>
      <c r="FF33">
        <v>0</v>
      </c>
      <c r="FG33">
        <v>0</v>
      </c>
      <c r="FH33">
        <v>182.0999999046326</v>
      </c>
      <c r="FI33">
        <v>0</v>
      </c>
      <c r="FJ33">
        <v>564.18235294117653</v>
      </c>
      <c r="FK33">
        <v>-30.514705308017309</v>
      </c>
      <c r="FL33">
        <v>-267.7696085333875</v>
      </c>
      <c r="FM33">
        <v>3154.09705882353</v>
      </c>
      <c r="FN33">
        <v>10</v>
      </c>
      <c r="FO33">
        <v>1783437387.5</v>
      </c>
      <c r="FP33" t="s">
        <v>1130</v>
      </c>
      <c r="FQ33">
        <v>1783437385.5</v>
      </c>
      <c r="FR33">
        <v>1783437387.5</v>
      </c>
      <c r="FS33">
        <v>13</v>
      </c>
      <c r="FT33">
        <v>-1.2E-2</v>
      </c>
      <c r="FU33">
        <v>-3.0000000000000001E-3</v>
      </c>
      <c r="FV33">
        <v>-5.335</v>
      </c>
      <c r="FW33">
        <v>-0.28199999999999997</v>
      </c>
      <c r="FX33">
        <v>416</v>
      </c>
      <c r="FY33">
        <v>20</v>
      </c>
      <c r="FZ33">
        <v>1.36</v>
      </c>
      <c r="GA33">
        <v>0.28999999999999998</v>
      </c>
      <c r="GB33">
        <v>420.05029999999999</v>
      </c>
      <c r="GC33">
        <v>-0.51339710789706428</v>
      </c>
      <c r="GD33">
        <v>6.1434599372020227E-2</v>
      </c>
      <c r="GE33">
        <v>-1</v>
      </c>
      <c r="GF33">
        <v>564.74852941176471</v>
      </c>
      <c r="GG33">
        <v>-6.1734147715303092</v>
      </c>
      <c r="GH33">
        <v>4.4002253500801416</v>
      </c>
      <c r="GI33">
        <v>1</v>
      </c>
      <c r="GJ33">
        <v>0.87236075000000002</v>
      </c>
      <c r="GK33">
        <v>-3.617473170732053E-2</v>
      </c>
      <c r="GL33">
        <v>4.5706689485785334E-3</v>
      </c>
      <c r="GM33">
        <v>1</v>
      </c>
      <c r="GN33">
        <v>2</v>
      </c>
      <c r="GO33">
        <v>2</v>
      </c>
      <c r="GP33" t="s">
        <v>423</v>
      </c>
      <c r="GQ33">
        <v>3.1314799999999998</v>
      </c>
      <c r="GR33">
        <v>2.7273999999999998</v>
      </c>
      <c r="GS33">
        <v>9.1868699999999998E-2</v>
      </c>
      <c r="GT33">
        <v>9.0965000000000004E-2</v>
      </c>
      <c r="GU33">
        <v>0.10229100000000001</v>
      </c>
      <c r="GV33">
        <v>9.8792500000000005E-2</v>
      </c>
      <c r="GW33">
        <v>22801</v>
      </c>
      <c r="GX33">
        <v>30623.200000000001</v>
      </c>
      <c r="GY33">
        <v>27235.5</v>
      </c>
      <c r="GZ33">
        <v>34640.6</v>
      </c>
      <c r="HA33">
        <v>35803.1</v>
      </c>
      <c r="HB33">
        <v>39659.300000000003</v>
      </c>
      <c r="HC33">
        <v>40211.4</v>
      </c>
      <c r="HD33">
        <v>44088.3</v>
      </c>
      <c r="HE33">
        <v>1.964</v>
      </c>
      <c r="HF33">
        <v>1.7949999999999999</v>
      </c>
      <c r="HG33">
        <v>-8.9555999999999997E-2</v>
      </c>
      <c r="HH33">
        <v>0</v>
      </c>
      <c r="HI33">
        <v>26.4453</v>
      </c>
      <c r="HJ33">
        <v>999.9</v>
      </c>
      <c r="HK33">
        <v>65.7</v>
      </c>
      <c r="HL33">
        <v>34.700000000000003</v>
      </c>
      <c r="HM33">
        <v>37.142200000000003</v>
      </c>
      <c r="HN33">
        <v>60.552399999999999</v>
      </c>
      <c r="HO33">
        <v>5.9455099999999996</v>
      </c>
      <c r="HP33">
        <v>1</v>
      </c>
      <c r="HQ33">
        <v>0.54010199999999997</v>
      </c>
      <c r="HR33">
        <v>4.5331599999999996</v>
      </c>
      <c r="HS33">
        <v>20.2285</v>
      </c>
      <c r="HT33">
        <v>5.2112999999999996</v>
      </c>
      <c r="HU33">
        <v>11.908099999999999</v>
      </c>
      <c r="HV33">
        <v>4.9847999999999999</v>
      </c>
      <c r="HW33">
        <v>3.2709999999999999</v>
      </c>
      <c r="HX33">
        <v>9999</v>
      </c>
      <c r="HY33">
        <v>9999</v>
      </c>
      <c r="HZ33">
        <v>9999</v>
      </c>
      <c r="IA33">
        <v>999.9</v>
      </c>
      <c r="IB33">
        <v>1.8672200000000001</v>
      </c>
      <c r="IC33">
        <v>1.8627899999999999</v>
      </c>
      <c r="ID33">
        <v>1.8623400000000001</v>
      </c>
      <c r="IE33">
        <v>1.86185</v>
      </c>
      <c r="IF33">
        <v>1.86188</v>
      </c>
      <c r="IG33">
        <v>1.86249</v>
      </c>
      <c r="IH33">
        <v>1.8633999999999999</v>
      </c>
      <c r="II33">
        <v>1.8613900000000001</v>
      </c>
      <c r="IJ33">
        <v>0</v>
      </c>
      <c r="IK33">
        <v>0</v>
      </c>
      <c r="IL33">
        <v>0</v>
      </c>
      <c r="IM33">
        <v>4.5</v>
      </c>
      <c r="IN33" t="s">
        <v>411</v>
      </c>
      <c r="IO33" t="s">
        <v>412</v>
      </c>
      <c r="IP33" t="s">
        <v>413</v>
      </c>
      <c r="IQ33" t="s">
        <v>414</v>
      </c>
      <c r="IR33" t="s">
        <v>414</v>
      </c>
      <c r="IS33" t="s">
        <v>413</v>
      </c>
      <c r="IT33">
        <v>0</v>
      </c>
      <c r="IU33">
        <v>100</v>
      </c>
      <c r="IV33">
        <v>100</v>
      </c>
      <c r="IW33">
        <v>-5.351</v>
      </c>
      <c r="IX33">
        <v>-0.25829999999999997</v>
      </c>
      <c r="IY33">
        <v>-3.5331932466833069</v>
      </c>
      <c r="IZ33">
        <v>-4.7754461378838441E-3</v>
      </c>
      <c r="JA33">
        <v>1.175754608921022E-6</v>
      </c>
      <c r="JB33">
        <v>1.4193218893046591E-11</v>
      </c>
      <c r="JC33">
        <v>-0.57017708490803631</v>
      </c>
      <c r="JD33">
        <v>2.7492919904454862E-4</v>
      </c>
      <c r="JE33">
        <v>8.6739513355948885E-4</v>
      </c>
      <c r="JF33">
        <v>-8.2500691715147318E-6</v>
      </c>
      <c r="JG33">
        <v>38</v>
      </c>
      <c r="JH33">
        <v>1780</v>
      </c>
      <c r="JI33">
        <v>2</v>
      </c>
      <c r="JJ33">
        <v>37</v>
      </c>
      <c r="JK33">
        <v>0.9</v>
      </c>
      <c r="JL33">
        <v>0.9</v>
      </c>
      <c r="JM33">
        <v>1.0803199999999999</v>
      </c>
      <c r="JN33">
        <v>2.51709</v>
      </c>
      <c r="JO33">
        <v>1.50024</v>
      </c>
      <c r="JP33">
        <v>2.2778299999999998</v>
      </c>
      <c r="JQ33">
        <v>1.4477500000000001</v>
      </c>
      <c r="JR33">
        <v>2.4084500000000002</v>
      </c>
      <c r="JS33">
        <v>38.969299999999997</v>
      </c>
      <c r="JT33">
        <v>15.5067</v>
      </c>
      <c r="JU33">
        <v>18</v>
      </c>
      <c r="JV33">
        <v>540.68100000000004</v>
      </c>
      <c r="JW33">
        <v>444.197</v>
      </c>
      <c r="JX33">
        <v>21.788799999999998</v>
      </c>
      <c r="JY33">
        <v>33.756500000000003</v>
      </c>
      <c r="JZ33">
        <v>30.0002</v>
      </c>
      <c r="KA33">
        <v>33.641100000000002</v>
      </c>
      <c r="KB33">
        <v>33.582999999999998</v>
      </c>
      <c r="KC33">
        <v>21.607099999999999</v>
      </c>
      <c r="KD33">
        <v>47.8018</v>
      </c>
      <c r="KE33">
        <v>0</v>
      </c>
      <c r="KF33">
        <v>21.8</v>
      </c>
      <c r="KG33">
        <v>415.61399999999998</v>
      </c>
      <c r="KH33">
        <v>19.882400000000001</v>
      </c>
      <c r="KI33">
        <v>100.506</v>
      </c>
      <c r="KJ33">
        <v>99.0578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9baf7b7-515e-4c16-8d01-865b4fd63d0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1C79B075851C42BD8F54E74C11188A" ma:contentTypeVersion="16" ma:contentTypeDescription="Create a new document." ma:contentTypeScope="" ma:versionID="9d3db046a6f72ded187245bae804a648">
  <xsd:schema xmlns:xsd="http://www.w3.org/2001/XMLSchema" xmlns:xs="http://www.w3.org/2001/XMLSchema" xmlns:p="http://schemas.microsoft.com/office/2006/metadata/properties" xmlns:ns3="19baf7b7-515e-4c16-8d01-865b4fd63d00" xmlns:ns4="2cd99bb4-1fe3-482e-ad2e-3d11c6261a5c" targetNamespace="http://schemas.microsoft.com/office/2006/metadata/properties" ma:root="true" ma:fieldsID="5f62d7fac00d310c632ca809637c4100" ns3:_="" ns4:_="">
    <xsd:import namespace="19baf7b7-515e-4c16-8d01-865b4fd63d00"/>
    <xsd:import namespace="2cd99bb4-1fe3-482e-ad2e-3d11c6261a5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_activity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baf7b7-515e-4c16-8d01-865b4fd63d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d99bb4-1fe3-482e-ad2e-3d11c6261a5c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FC57BD7-A39C-44D4-9933-C4B500B74BF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0F86811-4FB6-488F-B77E-9EE5A3E250FE}">
  <ds:schemaRefs>
    <ds:schemaRef ds:uri="http://purl.org/dc/elements/1.1/"/>
    <ds:schemaRef ds:uri="http://purl.org/dc/dcmitype/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2cd99bb4-1fe3-482e-ad2e-3d11c6261a5c"/>
    <ds:schemaRef ds:uri="19baf7b7-515e-4c16-8d01-865b4fd63d00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750CEE72-1B95-44ED-9C17-3B1D254CAE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baf7b7-515e-4c16-8d01-865b4fd63d00"/>
    <ds:schemaRef ds:uri="2cd99bb4-1fe3-482e-ad2e-3d11c6261a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7_13_Plt5_R1_M1_H1_P11_Tsl</vt:lpstr>
      <vt:lpstr>7_13_Plt24_R3_M3_H3_P2_Tsl</vt:lpstr>
      <vt:lpstr>7_12_Plt15_R2_M2_H1_P5_Tsl</vt:lpstr>
      <vt:lpstr>7_12_Plt23_R3_M3_H2_P3_Tsl</vt:lpstr>
      <vt:lpstr>7_12_Plt19_R3_H1_M1_P2_Tsl</vt:lpstr>
      <vt:lpstr>7_10_Plt10_R2_M3_H3_P12_Tsl</vt:lpstr>
      <vt:lpstr>7_10_Plt6_R1_M1_H2_P8_Tsl</vt:lpstr>
      <vt:lpstr>7_10_Plt16_R2_M1_H2_P8_Tsl</vt:lpstr>
      <vt:lpstr>7_8_Plt24_R3_M3_H3_P2_Tsl</vt:lpstr>
      <vt:lpstr>7_8_Plt10_R2_M3_H3_P11_Tsl</vt:lpstr>
      <vt:lpstr>7_8_Plt1_R1_M2_H3_P1_Tsl</vt:lpstr>
      <vt:lpstr>7_7_Plt1_R1_M2_H3_P12_Tsl</vt:lpstr>
      <vt:lpstr>7_7_Plt6_R1_M1_H2_P8_Tsl</vt:lpstr>
      <vt:lpstr>7_7_Plt8_R1_M2_H3_P2_Tsl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Rajendra Mishra</dc:creator>
  <cp:keywords/>
  <dc:description/>
  <cp:lastModifiedBy>Rajendra Mishra</cp:lastModifiedBy>
  <cp:revision/>
  <dcterms:created xsi:type="dcterms:W3CDTF">2015-06-05T18:17:20Z</dcterms:created>
  <dcterms:modified xsi:type="dcterms:W3CDTF">2026-07-22T04:40:54Z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0x010100241C79B075851C42BD8F54E74C11188A</vt:lpwstr>
  </property>
</Properties>
</file>