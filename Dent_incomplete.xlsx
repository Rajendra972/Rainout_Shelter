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jen\OneDrive\Desktop\Arranged_Dataset\Li_6800\Dent\"/>
    </mc:Choice>
  </mc:AlternateContent>
  <xr:revisionPtr revIDLastSave="0" documentId="13_ncr:1_{8E2A44CD-E710-4341-9422-E1181BDD81B7}" xr6:coauthVersionLast="47" xr6:coauthVersionMax="47" xr10:uidLastSave="{00000000-0000-0000-0000-000000000000}"/>
  <bookViews>
    <workbookView xWindow="-108" yWindow="-108" windowWidth="23256" windowHeight="13896" activeTab="8" xr2:uid="{00000000-000D-0000-FFFF-FFFF00000000}"/>
  </bookViews>
  <sheets>
    <sheet name="8-06-Plt27-R3-M3-H1-P2_Dent" sheetId="1" r:id="rId1"/>
    <sheet name="8-06-Plt24-M3-H3-P1-dent" sheetId="2" r:id="rId2"/>
    <sheet name="2026-08-06-1015_Plt23-R3-M3-H2-" sheetId="3" r:id="rId3"/>
    <sheet name="8-06-Plt19-R3_M1_H1_P2_Dent" sheetId="4" r:id="rId4"/>
    <sheet name="8-05-Plt17-R2-M1-H1-P4-Dent" sheetId="6" r:id="rId5"/>
    <sheet name="8-05-Plt16-R2-M1-H2-P08-Dent" sheetId="7" r:id="rId6"/>
    <sheet name="8-05-Plt15-R2-M2-P5-Dent" sheetId="8" r:id="rId7"/>
    <sheet name="8-05-Plt10-R2-M3-P11-Dent" sheetId="9" r:id="rId8"/>
    <sheet name="8-04-Plt8-R1-M2-H3-P02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29" i="13" l="1"/>
  <c r="DI29" i="13"/>
  <c r="DG29" i="13"/>
  <c r="DH29" i="13" s="1"/>
  <c r="BV29" i="13"/>
  <c r="BU29" i="13"/>
  <c r="BM29" i="13"/>
  <c r="BI29" i="13"/>
  <c r="BG29" i="13"/>
  <c r="BK29" i="13" s="1"/>
  <c r="BA29" i="13"/>
  <c r="BN29" i="13" s="1"/>
  <c r="BQ29" i="13" s="1"/>
  <c r="AV29" i="13"/>
  <c r="AT29" i="13" s="1"/>
  <c r="AM29" i="13"/>
  <c r="AH29" i="13"/>
  <c r="Z29" i="13"/>
  <c r="Y29" i="13"/>
  <c r="X29" i="13"/>
  <c r="T29" i="13"/>
  <c r="Q29" i="13"/>
  <c r="DJ28" i="13"/>
  <c r="T28" i="13" s="1"/>
  <c r="DI28" i="13"/>
  <c r="DG28" i="13"/>
  <c r="DH28" i="13" s="1"/>
  <c r="BI28" i="13" s="1"/>
  <c r="BV28" i="13"/>
  <c r="BU28" i="13"/>
  <c r="BT28" i="13"/>
  <c r="BM28" i="13"/>
  <c r="BG28" i="13"/>
  <c r="BA28" i="13"/>
  <c r="BN28" i="13" s="1"/>
  <c r="BQ28" i="13" s="1"/>
  <c r="BR28" i="13" s="1"/>
  <c r="AV28" i="13"/>
  <c r="AT28" i="13" s="1"/>
  <c r="AM28" i="13"/>
  <c r="AH28" i="13"/>
  <c r="AF28" i="13"/>
  <c r="K28" i="13" s="1"/>
  <c r="BJ28" i="13" s="1"/>
  <c r="BL28" i="13" s="1"/>
  <c r="Z28" i="13"/>
  <c r="Y28" i="13"/>
  <c r="X28" i="13"/>
  <c r="Q28" i="13"/>
  <c r="L28" i="13"/>
  <c r="DJ27" i="13"/>
  <c r="DI27" i="13"/>
  <c r="DG27" i="13"/>
  <c r="DH27" i="13" s="1"/>
  <c r="BI27" i="13" s="1"/>
  <c r="BV27" i="13"/>
  <c r="BU27" i="13"/>
  <c r="BS27" i="13"/>
  <c r="BW27" i="13" s="1"/>
  <c r="BX27" i="13" s="1"/>
  <c r="BR27" i="13"/>
  <c r="BM27" i="13"/>
  <c r="BG27" i="13"/>
  <c r="BA27" i="13"/>
  <c r="BN27" i="13" s="1"/>
  <c r="BQ27" i="13" s="1"/>
  <c r="BT27" i="13" s="1"/>
  <c r="AV27" i="13"/>
  <c r="AT27" i="13" s="1"/>
  <c r="AM27" i="13"/>
  <c r="AH27" i="13"/>
  <c r="Z27" i="13"/>
  <c r="Y27" i="13"/>
  <c r="X27" i="13"/>
  <c r="T27" i="13"/>
  <c r="Q27" i="13"/>
  <c r="DJ26" i="13"/>
  <c r="T26" i="13" s="1"/>
  <c r="DI26" i="13"/>
  <c r="DG26" i="13"/>
  <c r="DH26" i="13" s="1"/>
  <c r="BI26" i="13" s="1"/>
  <c r="BV26" i="13"/>
  <c r="BU26" i="13"/>
  <c r="BM26" i="13"/>
  <c r="BG26" i="13"/>
  <c r="BA26" i="13"/>
  <c r="BN26" i="13" s="1"/>
  <c r="BQ26" i="13" s="1"/>
  <c r="BR26" i="13" s="1"/>
  <c r="AV26" i="13"/>
  <c r="AT26" i="13" s="1"/>
  <c r="AM26" i="13"/>
  <c r="AH26" i="13"/>
  <c r="AF26" i="13"/>
  <c r="K26" i="13" s="1"/>
  <c r="BJ26" i="13" s="1"/>
  <c r="BL26" i="13" s="1"/>
  <c r="Z26" i="13"/>
  <c r="Y26" i="13"/>
  <c r="X26" i="13"/>
  <c r="Q26" i="13"/>
  <c r="L26" i="13"/>
  <c r="DJ25" i="13"/>
  <c r="DI25" i="13"/>
  <c r="DG25" i="13"/>
  <c r="DH25" i="13" s="1"/>
  <c r="BV25" i="13"/>
  <c r="BU25" i="13"/>
  <c r="BR25" i="13"/>
  <c r="BM25" i="13"/>
  <c r="BI25" i="13"/>
  <c r="BG25" i="13"/>
  <c r="BA25" i="13"/>
  <c r="BN25" i="13" s="1"/>
  <c r="BQ25" i="13" s="1"/>
  <c r="AV25" i="13"/>
  <c r="AT25" i="13" s="1"/>
  <c r="AM25" i="13"/>
  <c r="AH25" i="13"/>
  <c r="Z25" i="13"/>
  <c r="Y25" i="13"/>
  <c r="X25" i="13"/>
  <c r="T25" i="13"/>
  <c r="Q25" i="13"/>
  <c r="DJ24" i="13"/>
  <c r="T24" i="13" s="1"/>
  <c r="DI24" i="13"/>
  <c r="DG24" i="13"/>
  <c r="DH24" i="13" s="1"/>
  <c r="BI24" i="13" s="1"/>
  <c r="BV24" i="13"/>
  <c r="BU24" i="13"/>
  <c r="BM24" i="13"/>
  <c r="BG24" i="13"/>
  <c r="BA24" i="13"/>
  <c r="BN24" i="13" s="1"/>
  <c r="BQ24" i="13" s="1"/>
  <c r="BR24" i="13" s="1"/>
  <c r="AV24" i="13"/>
  <c r="AT24" i="13" s="1"/>
  <c r="AM24" i="13"/>
  <c r="AH24" i="13"/>
  <c r="AF24" i="13"/>
  <c r="K24" i="13" s="1"/>
  <c r="BJ24" i="13" s="1"/>
  <c r="BL24" i="13" s="1"/>
  <c r="Z24" i="13"/>
  <c r="Y24" i="13"/>
  <c r="X24" i="13"/>
  <c r="Q24" i="13"/>
  <c r="L24" i="13"/>
  <c r="DJ23" i="13"/>
  <c r="DI23" i="13"/>
  <c r="DG23" i="13"/>
  <c r="DH23" i="13" s="1"/>
  <c r="BI23" i="13" s="1"/>
  <c r="BV23" i="13"/>
  <c r="BU23" i="13"/>
  <c r="BS23" i="13"/>
  <c r="BW23" i="13" s="1"/>
  <c r="BX23" i="13" s="1"/>
  <c r="BR23" i="13"/>
  <c r="BM23" i="13"/>
  <c r="BG23" i="13"/>
  <c r="BA23" i="13"/>
  <c r="BN23" i="13" s="1"/>
  <c r="BQ23" i="13" s="1"/>
  <c r="BT23" i="13" s="1"/>
  <c r="AV23" i="13"/>
  <c r="AT23" i="13" s="1"/>
  <c r="AM23" i="13"/>
  <c r="AH23" i="13"/>
  <c r="Z23" i="13"/>
  <c r="Y23" i="13"/>
  <c r="X23" i="13"/>
  <c r="T23" i="13"/>
  <c r="Q23" i="13"/>
  <c r="DJ22" i="13"/>
  <c r="T22" i="13" s="1"/>
  <c r="DI22" i="13"/>
  <c r="DG22" i="13"/>
  <c r="DH22" i="13" s="1"/>
  <c r="BI22" i="13" s="1"/>
  <c r="BV22" i="13"/>
  <c r="BU22" i="13"/>
  <c r="BM22" i="13"/>
  <c r="BG22" i="13"/>
  <c r="BK22" i="13" s="1"/>
  <c r="BA22" i="13"/>
  <c r="BN22" i="13" s="1"/>
  <c r="BQ22" i="13" s="1"/>
  <c r="BR22" i="13" s="1"/>
  <c r="AV22" i="13"/>
  <c r="AT22" i="13" s="1"/>
  <c r="AF22" i="13" s="1"/>
  <c r="K22" i="13" s="1"/>
  <c r="BJ22" i="13" s="1"/>
  <c r="BL22" i="13" s="1"/>
  <c r="AM22" i="13"/>
  <c r="AH22" i="13"/>
  <c r="Z22" i="13"/>
  <c r="Y22" i="13"/>
  <c r="X22" i="13"/>
  <c r="Q22" i="13"/>
  <c r="DJ21" i="13"/>
  <c r="DI21" i="13"/>
  <c r="DG21" i="13"/>
  <c r="DH21" i="13" s="1"/>
  <c r="BI21" i="13" s="1"/>
  <c r="BV21" i="13"/>
  <c r="BU21" i="13"/>
  <c r="BM21" i="13"/>
  <c r="BG21" i="13"/>
  <c r="BA21" i="13"/>
  <c r="BN21" i="13" s="1"/>
  <c r="BQ21" i="13" s="1"/>
  <c r="BT21" i="13" s="1"/>
  <c r="AV21" i="13"/>
  <c r="AT21" i="13" s="1"/>
  <c r="AM21" i="13"/>
  <c r="AH21" i="13"/>
  <c r="Z21" i="13"/>
  <c r="Y21" i="13"/>
  <c r="X21" i="13"/>
  <c r="T21" i="13"/>
  <c r="Q21" i="13"/>
  <c r="DJ20" i="13"/>
  <c r="T20" i="13" s="1"/>
  <c r="DI20" i="13"/>
  <c r="DG20" i="13"/>
  <c r="DH20" i="13" s="1"/>
  <c r="BI20" i="13" s="1"/>
  <c r="BV20" i="13"/>
  <c r="BU20" i="13"/>
  <c r="BT20" i="13"/>
  <c r="BS20" i="13"/>
  <c r="BW20" i="13" s="1"/>
  <c r="BX20" i="13" s="1"/>
  <c r="BM20" i="13"/>
  <c r="BG20" i="13"/>
  <c r="BA20" i="13"/>
  <c r="BN20" i="13" s="1"/>
  <c r="BQ20" i="13" s="1"/>
  <c r="BR20" i="13" s="1"/>
  <c r="AV20" i="13"/>
  <c r="AT20" i="13" s="1"/>
  <c r="AM20" i="13"/>
  <c r="AH20" i="13"/>
  <c r="AF20" i="13"/>
  <c r="Z20" i="13"/>
  <c r="Y20" i="13"/>
  <c r="X20" i="13"/>
  <c r="Q20" i="13"/>
  <c r="L20" i="13"/>
  <c r="K20" i="13"/>
  <c r="BJ20" i="13" s="1"/>
  <c r="BL20" i="13" s="1"/>
  <c r="DJ19" i="13"/>
  <c r="DI19" i="13"/>
  <c r="DG19" i="13"/>
  <c r="DH19" i="13" s="1"/>
  <c r="BV19" i="13"/>
  <c r="BU19" i="13"/>
  <c r="BM19" i="13"/>
  <c r="BI19" i="13"/>
  <c r="BG19" i="13"/>
  <c r="BK19" i="13" s="1"/>
  <c r="BA19" i="13"/>
  <c r="BN19" i="13" s="1"/>
  <c r="BQ19" i="13" s="1"/>
  <c r="BT19" i="13" s="1"/>
  <c r="AV19" i="13"/>
  <c r="AT19" i="13" s="1"/>
  <c r="AM19" i="13"/>
  <c r="AH19" i="13"/>
  <c r="Z19" i="13"/>
  <c r="Y19" i="13"/>
  <c r="X19" i="13"/>
  <c r="T19" i="13"/>
  <c r="Q19" i="13"/>
  <c r="DJ18" i="13"/>
  <c r="T18" i="13" s="1"/>
  <c r="DI18" i="13"/>
  <c r="DG18" i="13"/>
  <c r="DH18" i="13" s="1"/>
  <c r="BI18" i="13" s="1"/>
  <c r="BV18" i="13"/>
  <c r="BU18" i="13"/>
  <c r="BT18" i="13"/>
  <c r="BM18" i="13"/>
  <c r="BG18" i="13"/>
  <c r="BA18" i="13"/>
  <c r="BN18" i="13" s="1"/>
  <c r="BQ18" i="13" s="1"/>
  <c r="BR18" i="13" s="1"/>
  <c r="AV18" i="13"/>
  <c r="AT18" i="13" s="1"/>
  <c r="AM18" i="13"/>
  <c r="AH18" i="13"/>
  <c r="AF18" i="13"/>
  <c r="K18" i="13" s="1"/>
  <c r="BJ18" i="13" s="1"/>
  <c r="BL18" i="13" s="1"/>
  <c r="Z18" i="13"/>
  <c r="Y18" i="13"/>
  <c r="X18" i="13"/>
  <c r="Q18" i="13"/>
  <c r="L18" i="13"/>
  <c r="DJ17" i="13"/>
  <c r="DI17" i="13"/>
  <c r="DG17" i="13"/>
  <c r="DH17" i="13" s="1"/>
  <c r="BI17" i="13" s="1"/>
  <c r="BV17" i="13"/>
  <c r="BU17" i="13"/>
  <c r="BS17" i="13"/>
  <c r="BW17" i="13" s="1"/>
  <c r="BX17" i="13" s="1"/>
  <c r="BR17" i="13"/>
  <c r="BM17" i="13"/>
  <c r="BG17" i="13"/>
  <c r="BA17" i="13"/>
  <c r="BN17" i="13" s="1"/>
  <c r="BQ17" i="13" s="1"/>
  <c r="BT17" i="13" s="1"/>
  <c r="AV17" i="13"/>
  <c r="AT17" i="13" s="1"/>
  <c r="AM17" i="13"/>
  <c r="AH17" i="13"/>
  <c r="Z17" i="13"/>
  <c r="Y17" i="13"/>
  <c r="X17" i="13"/>
  <c r="T17" i="13"/>
  <c r="Q17" i="13"/>
  <c r="DJ31" i="9"/>
  <c r="DI31" i="9"/>
  <c r="DG31" i="9"/>
  <c r="DH31" i="9" s="1"/>
  <c r="BI31" i="9" s="1"/>
  <c r="BV31" i="9"/>
  <c r="BU31" i="9"/>
  <c r="BM31" i="9"/>
  <c r="BG31" i="9"/>
  <c r="BK31" i="9" s="1"/>
  <c r="BA31" i="9"/>
  <c r="BN31" i="9" s="1"/>
  <c r="BQ31" i="9" s="1"/>
  <c r="AV31" i="9"/>
  <c r="AT31" i="9"/>
  <c r="AG31" i="9" s="1"/>
  <c r="J31" i="9" s="1"/>
  <c r="I31" i="9" s="1"/>
  <c r="AM31" i="9"/>
  <c r="AH31" i="9"/>
  <c r="Z31" i="9"/>
  <c r="Y31" i="9"/>
  <c r="X31" i="9"/>
  <c r="T31" i="9"/>
  <c r="Q31" i="9"/>
  <c r="L31" i="9"/>
  <c r="DJ30" i="9"/>
  <c r="DI30" i="9"/>
  <c r="DG30" i="9"/>
  <c r="BV30" i="9"/>
  <c r="BU30" i="9"/>
  <c r="BN30" i="9"/>
  <c r="BQ30" i="9" s="1"/>
  <c r="BR30" i="9" s="1"/>
  <c r="BM30" i="9"/>
  <c r="BG30" i="9"/>
  <c r="BA30" i="9"/>
  <c r="AV30" i="9"/>
  <c r="AT30" i="9"/>
  <c r="AU30" i="9" s="1"/>
  <c r="AM30" i="9"/>
  <c r="AH30" i="9"/>
  <c r="AG30" i="9"/>
  <c r="J30" i="9" s="1"/>
  <c r="I30" i="9" s="1"/>
  <c r="AF30" i="9"/>
  <c r="K30" i="9" s="1"/>
  <c r="BJ30" i="9" s="1"/>
  <c r="Z30" i="9"/>
  <c r="Y30" i="9"/>
  <c r="X30" i="9"/>
  <c r="Q30" i="9"/>
  <c r="O30" i="9"/>
  <c r="L30" i="9"/>
  <c r="DJ29" i="9"/>
  <c r="DI29" i="9"/>
  <c r="DH29" i="9"/>
  <c r="BI29" i="9" s="1"/>
  <c r="DG29" i="9"/>
  <c r="BV29" i="9"/>
  <c r="BU29" i="9"/>
  <c r="BM29" i="9"/>
  <c r="BG29" i="9"/>
  <c r="BA29" i="9"/>
  <c r="BN29" i="9" s="1"/>
  <c r="BQ29" i="9" s="1"/>
  <c r="AV29" i="9"/>
  <c r="AT29" i="9"/>
  <c r="AU29" i="9" s="1"/>
  <c r="AM29" i="9"/>
  <c r="AH29" i="9"/>
  <c r="AG29" i="9"/>
  <c r="J29" i="9" s="1"/>
  <c r="I29" i="9" s="1"/>
  <c r="AF29" i="9"/>
  <c r="K29" i="9" s="1"/>
  <c r="BJ29" i="9" s="1"/>
  <c r="BL29" i="9" s="1"/>
  <c r="Z29" i="9"/>
  <c r="Y29" i="9"/>
  <c r="X29" i="9" s="1"/>
  <c r="T29" i="9"/>
  <c r="Q29" i="9"/>
  <c r="DJ28" i="9"/>
  <c r="DI28" i="9"/>
  <c r="DG28" i="9"/>
  <c r="BV28" i="9"/>
  <c r="BU28" i="9"/>
  <c r="BN28" i="9"/>
  <c r="BQ28" i="9" s="1"/>
  <c r="BR28" i="9" s="1"/>
  <c r="BM28" i="9"/>
  <c r="BG28" i="9"/>
  <c r="BA28" i="9"/>
  <c r="AV28" i="9"/>
  <c r="AT28" i="9"/>
  <c r="AU28" i="9" s="1"/>
  <c r="AM28" i="9"/>
  <c r="AH28" i="9"/>
  <c r="AG28" i="9"/>
  <c r="J28" i="9" s="1"/>
  <c r="AF28" i="9"/>
  <c r="K28" i="9" s="1"/>
  <c r="BJ28" i="9" s="1"/>
  <c r="Z28" i="9"/>
  <c r="Y28" i="9"/>
  <c r="X28" i="9"/>
  <c r="Q28" i="9"/>
  <c r="O28" i="9"/>
  <c r="L28" i="9"/>
  <c r="I28" i="9"/>
  <c r="DJ27" i="9"/>
  <c r="DI27" i="9"/>
  <c r="DG27" i="9"/>
  <c r="T27" i="9" s="1"/>
  <c r="BV27" i="9"/>
  <c r="BU27" i="9"/>
  <c r="BM27" i="9"/>
  <c r="BG27" i="9"/>
  <c r="BA27" i="9"/>
  <c r="BN27" i="9" s="1"/>
  <c r="BQ27" i="9" s="1"/>
  <c r="AV27" i="9"/>
  <c r="AT27" i="9"/>
  <c r="AU27" i="9" s="1"/>
  <c r="AM27" i="9"/>
  <c r="AH27" i="9"/>
  <c r="AG27" i="9"/>
  <c r="J27" i="9" s="1"/>
  <c r="I27" i="9" s="1"/>
  <c r="AF27" i="9"/>
  <c r="K27" i="9" s="1"/>
  <c r="BJ27" i="9" s="1"/>
  <c r="Z27" i="9"/>
  <c r="Y27" i="9"/>
  <c r="X27" i="9"/>
  <c r="Q27" i="9"/>
  <c r="DJ26" i="9"/>
  <c r="DI26" i="9"/>
  <c r="DG26" i="9"/>
  <c r="BW26" i="9"/>
  <c r="BX26" i="9" s="1"/>
  <c r="BV26" i="9"/>
  <c r="BU26" i="9"/>
  <c r="BT26" i="9"/>
  <c r="BS26" i="9"/>
  <c r="BN26" i="9"/>
  <c r="BQ26" i="9" s="1"/>
  <c r="BR26" i="9" s="1"/>
  <c r="BM26" i="9"/>
  <c r="BG26" i="9"/>
  <c r="BA26" i="9"/>
  <c r="AV26" i="9"/>
  <c r="AT26" i="9"/>
  <c r="AU26" i="9" s="1"/>
  <c r="AM26" i="9"/>
  <c r="AH26" i="9"/>
  <c r="AG26" i="9"/>
  <c r="J26" i="9" s="1"/>
  <c r="I26" i="9" s="1"/>
  <c r="AF26" i="9"/>
  <c r="K26" i="9" s="1"/>
  <c r="BJ26" i="9" s="1"/>
  <c r="Z26" i="9"/>
  <c r="Y26" i="9"/>
  <c r="X26" i="9"/>
  <c r="Q26" i="9"/>
  <c r="O26" i="9"/>
  <c r="L26" i="9"/>
  <c r="DJ25" i="9"/>
  <c r="DI25" i="9"/>
  <c r="DG25" i="9"/>
  <c r="DH25" i="9" s="1"/>
  <c r="BI25" i="9" s="1"/>
  <c r="BV25" i="9"/>
  <c r="BU25" i="9"/>
  <c r="BM25" i="9"/>
  <c r="BG25" i="9"/>
  <c r="BA25" i="9"/>
  <c r="BN25" i="9" s="1"/>
  <c r="BQ25" i="9" s="1"/>
  <c r="AV25" i="9"/>
  <c r="AT25" i="9"/>
  <c r="AU25" i="9" s="1"/>
  <c r="AM25" i="9"/>
  <c r="AH25" i="9"/>
  <c r="AG25" i="9"/>
  <c r="J25" i="9" s="1"/>
  <c r="I25" i="9" s="1"/>
  <c r="Z25" i="9"/>
  <c r="Y25" i="9"/>
  <c r="X25" i="9"/>
  <c r="Q25" i="9"/>
  <c r="DJ24" i="9"/>
  <c r="DI24" i="9"/>
  <c r="DG24" i="9"/>
  <c r="BV24" i="9"/>
  <c r="BU24" i="9"/>
  <c r="BN24" i="9"/>
  <c r="BQ24" i="9" s="1"/>
  <c r="BR24" i="9" s="1"/>
  <c r="BM24" i="9"/>
  <c r="BG24" i="9"/>
  <c r="BA24" i="9"/>
  <c r="AV24" i="9"/>
  <c r="AT24" i="9"/>
  <c r="AU24" i="9" s="1"/>
  <c r="AM24" i="9"/>
  <c r="AH24" i="9"/>
  <c r="AG24" i="9"/>
  <c r="J24" i="9" s="1"/>
  <c r="I24" i="9" s="1"/>
  <c r="AF24" i="9"/>
  <c r="K24" i="9" s="1"/>
  <c r="BJ24" i="9" s="1"/>
  <c r="Z24" i="9"/>
  <c r="Y24" i="9"/>
  <c r="X24" i="9"/>
  <c r="Q24" i="9"/>
  <c r="O24" i="9"/>
  <c r="L24" i="9"/>
  <c r="DJ23" i="9"/>
  <c r="DI23" i="9"/>
  <c r="DH23" i="9"/>
  <c r="BI23" i="9" s="1"/>
  <c r="BK23" i="9" s="1"/>
  <c r="DG23" i="9"/>
  <c r="BV23" i="9"/>
  <c r="BU23" i="9"/>
  <c r="BM23" i="9"/>
  <c r="BJ23" i="9"/>
  <c r="BL23" i="9" s="1"/>
  <c r="BG23" i="9"/>
  <c r="BA23" i="9"/>
  <c r="BN23" i="9" s="1"/>
  <c r="BQ23" i="9" s="1"/>
  <c r="AV23" i="9"/>
  <c r="AT23" i="9"/>
  <c r="AU23" i="9" s="1"/>
  <c r="AM23" i="9"/>
  <c r="AH23" i="9"/>
  <c r="AG23" i="9"/>
  <c r="J23" i="9" s="1"/>
  <c r="I23" i="9" s="1"/>
  <c r="AF23" i="9"/>
  <c r="K23" i="9" s="1"/>
  <c r="Z23" i="9"/>
  <c r="Y23" i="9"/>
  <c r="X23" i="9"/>
  <c r="U23" i="9"/>
  <c r="V23" i="9" s="1"/>
  <c r="T23" i="9"/>
  <c r="Q23" i="9"/>
  <c r="DJ22" i="9"/>
  <c r="DI22" i="9"/>
  <c r="DG22" i="9"/>
  <c r="BV22" i="9"/>
  <c r="BU22" i="9"/>
  <c r="BN22" i="9"/>
  <c r="BQ22" i="9" s="1"/>
  <c r="BM22" i="9"/>
  <c r="BJ22" i="9"/>
  <c r="BG22" i="9"/>
  <c r="BA22" i="9"/>
  <c r="AV22" i="9"/>
  <c r="AT22" i="9"/>
  <c r="AU22" i="9" s="1"/>
  <c r="AM22" i="9"/>
  <c r="AH22" i="9"/>
  <c r="AG22" i="9"/>
  <c r="J22" i="9" s="1"/>
  <c r="I22" i="9" s="1"/>
  <c r="AF22" i="9"/>
  <c r="K22" i="9" s="1"/>
  <c r="Z22" i="9"/>
  <c r="Y22" i="9"/>
  <c r="X22" i="9"/>
  <c r="Q22" i="9"/>
  <c r="O22" i="9"/>
  <c r="L22" i="9"/>
  <c r="DJ21" i="9"/>
  <c r="DI21" i="9"/>
  <c r="DG21" i="9"/>
  <c r="DH21" i="9" s="1"/>
  <c r="BI21" i="9" s="1"/>
  <c r="BV21" i="9"/>
  <c r="BU21" i="9"/>
  <c r="BM21" i="9"/>
  <c r="BJ21" i="9"/>
  <c r="BL21" i="9" s="1"/>
  <c r="BG21" i="9"/>
  <c r="BA21" i="9"/>
  <c r="BN21" i="9" s="1"/>
  <c r="BQ21" i="9" s="1"/>
  <c r="AV21" i="9"/>
  <c r="AT21" i="9"/>
  <c r="AU21" i="9" s="1"/>
  <c r="AM21" i="9"/>
  <c r="AH21" i="9"/>
  <c r="AG21" i="9"/>
  <c r="J21" i="9" s="1"/>
  <c r="I21" i="9" s="1"/>
  <c r="AF21" i="9"/>
  <c r="K21" i="9" s="1"/>
  <c r="Z21" i="9"/>
  <c r="Y21" i="9"/>
  <c r="X21" i="9"/>
  <c r="T21" i="9"/>
  <c r="Q21" i="9"/>
  <c r="O21" i="9"/>
  <c r="L21" i="9"/>
  <c r="DJ20" i="9"/>
  <c r="DI20" i="9"/>
  <c r="DG20" i="9"/>
  <c r="BV20" i="9"/>
  <c r="BU20" i="9"/>
  <c r="BT20" i="9"/>
  <c r="BS20" i="9"/>
  <c r="BW20" i="9" s="1"/>
  <c r="BX20" i="9" s="1"/>
  <c r="BN20" i="9"/>
  <c r="BQ20" i="9" s="1"/>
  <c r="BR20" i="9" s="1"/>
  <c r="BM20" i="9"/>
  <c r="BJ20" i="9"/>
  <c r="BG20" i="9"/>
  <c r="BA20" i="9"/>
  <c r="AV20" i="9"/>
  <c r="AT20" i="9"/>
  <c r="AU20" i="9" s="1"/>
  <c r="AM20" i="9"/>
  <c r="AH20" i="9"/>
  <c r="AG20" i="9"/>
  <c r="J20" i="9" s="1"/>
  <c r="I20" i="9" s="1"/>
  <c r="AF20" i="9"/>
  <c r="K20" i="9" s="1"/>
  <c r="Z20" i="9"/>
  <c r="Y20" i="9"/>
  <c r="X20" i="9"/>
  <c r="Q20" i="9"/>
  <c r="O20" i="9"/>
  <c r="L20" i="9"/>
  <c r="DJ19" i="9"/>
  <c r="DI19" i="9"/>
  <c r="DG19" i="9"/>
  <c r="DH19" i="9" s="1"/>
  <c r="BI19" i="9" s="1"/>
  <c r="BV19" i="9"/>
  <c r="BU19" i="9"/>
  <c r="BM19" i="9"/>
  <c r="BJ19" i="9"/>
  <c r="BL19" i="9" s="1"/>
  <c r="BG19" i="9"/>
  <c r="BK19" i="9" s="1"/>
  <c r="BA19" i="9"/>
  <c r="BN19" i="9" s="1"/>
  <c r="BQ19" i="9" s="1"/>
  <c r="AV19" i="9"/>
  <c r="AT19" i="9"/>
  <c r="AU19" i="9" s="1"/>
  <c r="AM19" i="9"/>
  <c r="AH19" i="9"/>
  <c r="AG19" i="9"/>
  <c r="J19" i="9" s="1"/>
  <c r="I19" i="9" s="1"/>
  <c r="AF19" i="9"/>
  <c r="K19" i="9" s="1"/>
  <c r="Z19" i="9"/>
  <c r="Y19" i="9"/>
  <c r="X19" i="9"/>
  <c r="T19" i="9"/>
  <c r="Q19" i="9"/>
  <c r="O19" i="9"/>
  <c r="L19" i="9"/>
  <c r="DJ18" i="9"/>
  <c r="DI18" i="9"/>
  <c r="DG18" i="9"/>
  <c r="T18" i="9" s="1"/>
  <c r="BV18" i="9"/>
  <c r="BU18" i="9"/>
  <c r="BT18" i="9"/>
  <c r="BS18" i="9"/>
  <c r="BW18" i="9" s="1"/>
  <c r="BX18" i="9" s="1"/>
  <c r="BN18" i="9"/>
  <c r="BQ18" i="9" s="1"/>
  <c r="BR18" i="9" s="1"/>
  <c r="BM18" i="9"/>
  <c r="BJ18" i="9"/>
  <c r="BG18" i="9"/>
  <c r="BA18" i="9"/>
  <c r="AV18" i="9"/>
  <c r="AT18" i="9"/>
  <c r="AU18" i="9" s="1"/>
  <c r="AM18" i="9"/>
  <c r="AH18" i="9"/>
  <c r="AG18" i="9"/>
  <c r="J18" i="9" s="1"/>
  <c r="I18" i="9" s="1"/>
  <c r="AF18" i="9"/>
  <c r="K18" i="9" s="1"/>
  <c r="Z18" i="9"/>
  <c r="Y18" i="9"/>
  <c r="X18" i="9"/>
  <c r="U18" i="9"/>
  <c r="V18" i="9" s="1"/>
  <c r="Q18" i="9"/>
  <c r="O18" i="9"/>
  <c r="L18" i="9"/>
  <c r="DJ17" i="9"/>
  <c r="DI17" i="9"/>
  <c r="DG17" i="9"/>
  <c r="DH17" i="9" s="1"/>
  <c r="BI17" i="9" s="1"/>
  <c r="BV17" i="9"/>
  <c r="BU17" i="9"/>
  <c r="BM17" i="9"/>
  <c r="BJ17" i="9"/>
  <c r="BG17" i="9"/>
  <c r="BA17" i="9"/>
  <c r="BN17" i="9" s="1"/>
  <c r="BQ17" i="9" s="1"/>
  <c r="AV17" i="9"/>
  <c r="AT17" i="9"/>
  <c r="AU17" i="9" s="1"/>
  <c r="AM17" i="9"/>
  <c r="AH17" i="9"/>
  <c r="AG17" i="9"/>
  <c r="J17" i="9" s="1"/>
  <c r="I17" i="9" s="1"/>
  <c r="AF17" i="9"/>
  <c r="K17" i="9" s="1"/>
  <c r="Z17" i="9"/>
  <c r="Y17" i="9"/>
  <c r="X17" i="9"/>
  <c r="T17" i="9"/>
  <c r="Q17" i="9"/>
  <c r="O17" i="9"/>
  <c r="L17" i="9"/>
  <c r="DJ29" i="8"/>
  <c r="DI29" i="8"/>
  <c r="DG29" i="8"/>
  <c r="DH29" i="8" s="1"/>
  <c r="BV29" i="8"/>
  <c r="BU29" i="8"/>
  <c r="BM29" i="8"/>
  <c r="BJ29" i="8"/>
  <c r="BL29" i="8" s="1"/>
  <c r="BI29" i="8"/>
  <c r="BG29" i="8"/>
  <c r="BK29" i="8" s="1"/>
  <c r="BA29" i="8"/>
  <c r="BN29" i="8" s="1"/>
  <c r="BQ29" i="8" s="1"/>
  <c r="AV29" i="8"/>
  <c r="AT29" i="8"/>
  <c r="AU29" i="8" s="1"/>
  <c r="AM29" i="8"/>
  <c r="AH29" i="8"/>
  <c r="AG29" i="8"/>
  <c r="AF29" i="8"/>
  <c r="AB29" i="8"/>
  <c r="Z29" i="8"/>
  <c r="Y29" i="8"/>
  <c r="X29" i="8"/>
  <c r="T29" i="8"/>
  <c r="Q29" i="8"/>
  <c r="O29" i="8"/>
  <c r="L29" i="8"/>
  <c r="K29" i="8"/>
  <c r="J29" i="8"/>
  <c r="I29" i="8"/>
  <c r="DJ28" i="8"/>
  <c r="DI28" i="8"/>
  <c r="DH28" i="8"/>
  <c r="BI28" i="8" s="1"/>
  <c r="DG28" i="8"/>
  <c r="BV28" i="8"/>
  <c r="BU28" i="8"/>
  <c r="BM28" i="8"/>
  <c r="BG28" i="8"/>
  <c r="BA28" i="8"/>
  <c r="BN28" i="8" s="1"/>
  <c r="BQ28" i="8" s="1"/>
  <c r="BR28" i="8" s="1"/>
  <c r="AV28" i="8"/>
  <c r="AT28" i="8"/>
  <c r="O28" i="8" s="1"/>
  <c r="AM28" i="8"/>
  <c r="AH28" i="8"/>
  <c r="AG28" i="8"/>
  <c r="J28" i="8" s="1"/>
  <c r="I28" i="8" s="1"/>
  <c r="AF28" i="8"/>
  <c r="K28" i="8" s="1"/>
  <c r="BJ28" i="8" s="1"/>
  <c r="Z28" i="8"/>
  <c r="Y28" i="8"/>
  <c r="X28" i="8"/>
  <c r="Q28" i="8"/>
  <c r="DJ27" i="8"/>
  <c r="DI27" i="8"/>
  <c r="DG27" i="8"/>
  <c r="DH27" i="8" s="1"/>
  <c r="BI27" i="8" s="1"/>
  <c r="BV27" i="8"/>
  <c r="BU27" i="8"/>
  <c r="BM27" i="8"/>
  <c r="BJ27" i="8"/>
  <c r="BL27" i="8" s="1"/>
  <c r="BG27" i="8"/>
  <c r="BK27" i="8" s="1"/>
  <c r="BA27" i="8"/>
  <c r="BN27" i="8" s="1"/>
  <c r="BQ27" i="8" s="1"/>
  <c r="AV27" i="8"/>
  <c r="AT27" i="8"/>
  <c r="AU27" i="8" s="1"/>
  <c r="AM27" i="8"/>
  <c r="AH27" i="8"/>
  <c r="AG27" i="8"/>
  <c r="AF27" i="8"/>
  <c r="AB27" i="8"/>
  <c r="Z27" i="8"/>
  <c r="Y27" i="8"/>
  <c r="X27" i="8"/>
  <c r="T27" i="8"/>
  <c r="Q27" i="8"/>
  <c r="O27" i="8"/>
  <c r="L27" i="8"/>
  <c r="K27" i="8"/>
  <c r="J27" i="8"/>
  <c r="I27" i="8"/>
  <c r="DJ26" i="8"/>
  <c r="DI26" i="8"/>
  <c r="DG26" i="8"/>
  <c r="T26" i="8" s="1"/>
  <c r="BV26" i="8"/>
  <c r="BU26" i="8"/>
  <c r="BT26" i="8"/>
  <c r="BS26" i="8"/>
  <c r="BW26" i="8" s="1"/>
  <c r="BX26" i="8" s="1"/>
  <c r="BM26" i="8"/>
  <c r="BG26" i="8"/>
  <c r="BA26" i="8"/>
  <c r="BN26" i="8" s="1"/>
  <c r="BQ26" i="8" s="1"/>
  <c r="BR26" i="8" s="1"/>
  <c r="AV26" i="8"/>
  <c r="AT26" i="8"/>
  <c r="L26" i="8" s="1"/>
  <c r="AM26" i="8"/>
  <c r="AH26" i="8"/>
  <c r="AG26" i="8"/>
  <c r="J26" i="8" s="1"/>
  <c r="I26" i="8" s="1"/>
  <c r="AF26" i="8"/>
  <c r="K26" i="8" s="1"/>
  <c r="BJ26" i="8" s="1"/>
  <c r="Z26" i="8"/>
  <c r="Y26" i="8"/>
  <c r="X26" i="8"/>
  <c r="Q26" i="8"/>
  <c r="O26" i="8"/>
  <c r="DJ25" i="8"/>
  <c r="DI25" i="8"/>
  <c r="DG25" i="8"/>
  <c r="DH25" i="8" s="1"/>
  <c r="BV25" i="8"/>
  <c r="BU25" i="8"/>
  <c r="BN25" i="8"/>
  <c r="BQ25" i="8" s="1"/>
  <c r="BM25" i="8"/>
  <c r="BJ25" i="8"/>
  <c r="BI25" i="8"/>
  <c r="BG25" i="8"/>
  <c r="BK25" i="8" s="1"/>
  <c r="BA25" i="8"/>
  <c r="AV25" i="8"/>
  <c r="AT25" i="8"/>
  <c r="AU25" i="8" s="1"/>
  <c r="AM25" i="8"/>
  <c r="AH25" i="8"/>
  <c r="AG25" i="8"/>
  <c r="AF25" i="8"/>
  <c r="AB25" i="8"/>
  <c r="Z25" i="8"/>
  <c r="Y25" i="8"/>
  <c r="X25" i="8"/>
  <c r="T25" i="8"/>
  <c r="Q25" i="8"/>
  <c r="O25" i="8"/>
  <c r="L25" i="8"/>
  <c r="K25" i="8"/>
  <c r="J25" i="8"/>
  <c r="I25" i="8"/>
  <c r="DJ24" i="8"/>
  <c r="DI24" i="8"/>
  <c r="DG24" i="8"/>
  <c r="T24" i="8" s="1"/>
  <c r="BV24" i="8"/>
  <c r="BU24" i="8"/>
  <c r="BM24" i="8"/>
  <c r="BG24" i="8"/>
  <c r="BA24" i="8"/>
  <c r="BN24" i="8" s="1"/>
  <c r="BQ24" i="8" s="1"/>
  <c r="BR24" i="8" s="1"/>
  <c r="AV24" i="8"/>
  <c r="AT24" i="8"/>
  <c r="AM24" i="8"/>
  <c r="AH24" i="8"/>
  <c r="Z24" i="8"/>
  <c r="Y24" i="8"/>
  <c r="X24" i="8"/>
  <c r="Q24" i="8"/>
  <c r="DJ23" i="8"/>
  <c r="DI23" i="8"/>
  <c r="DG23" i="8"/>
  <c r="DH23" i="8" s="1"/>
  <c r="BV23" i="8"/>
  <c r="BU23" i="8"/>
  <c r="BM23" i="8"/>
  <c r="BJ23" i="8"/>
  <c r="BL23" i="8" s="1"/>
  <c r="BI23" i="8"/>
  <c r="BG23" i="8"/>
  <c r="BK23" i="8" s="1"/>
  <c r="BA23" i="8"/>
  <c r="BN23" i="8" s="1"/>
  <c r="BQ23" i="8" s="1"/>
  <c r="AV23" i="8"/>
  <c r="AT23" i="8"/>
  <c r="AU23" i="8" s="1"/>
  <c r="AM23" i="8"/>
  <c r="AH23" i="8"/>
  <c r="AG23" i="8"/>
  <c r="AF23" i="8"/>
  <c r="AB23" i="8"/>
  <c r="Z23" i="8"/>
  <c r="Y23" i="8"/>
  <c r="X23" i="8"/>
  <c r="T23" i="8"/>
  <c r="Q23" i="8"/>
  <c r="O23" i="8"/>
  <c r="L23" i="8"/>
  <c r="K23" i="8"/>
  <c r="J23" i="8"/>
  <c r="I23" i="8"/>
  <c r="DJ22" i="8"/>
  <c r="DI22" i="8"/>
  <c r="DH22" i="8"/>
  <c r="BI22" i="8" s="1"/>
  <c r="DG22" i="8"/>
  <c r="BV22" i="8"/>
  <c r="BU22" i="8"/>
  <c r="BM22" i="8"/>
  <c r="BG22" i="8"/>
  <c r="BA22" i="8"/>
  <c r="BN22" i="8" s="1"/>
  <c r="BQ22" i="8" s="1"/>
  <c r="BR22" i="8" s="1"/>
  <c r="AV22" i="8"/>
  <c r="AT22" i="8"/>
  <c r="O22" i="8" s="1"/>
  <c r="AM22" i="8"/>
  <c r="AH22" i="8"/>
  <c r="AG22" i="8"/>
  <c r="J22" i="8" s="1"/>
  <c r="I22" i="8" s="1"/>
  <c r="AF22" i="8"/>
  <c r="K22" i="8" s="1"/>
  <c r="BJ22" i="8" s="1"/>
  <c r="Z22" i="8"/>
  <c r="Y22" i="8"/>
  <c r="X22" i="8"/>
  <c r="Q22" i="8"/>
  <c r="DJ21" i="8"/>
  <c r="DI21" i="8"/>
  <c r="DG21" i="8"/>
  <c r="DH21" i="8" s="1"/>
  <c r="BI21" i="8" s="1"/>
  <c r="BV21" i="8"/>
  <c r="BU21" i="8"/>
  <c r="BS21" i="8"/>
  <c r="BW21" i="8" s="1"/>
  <c r="BX21" i="8" s="1"/>
  <c r="BM21" i="8"/>
  <c r="BJ21" i="8"/>
  <c r="BL21" i="8" s="1"/>
  <c r="BG21" i="8"/>
  <c r="BA21" i="8"/>
  <c r="BN21" i="8" s="1"/>
  <c r="BQ21" i="8" s="1"/>
  <c r="AV21" i="8"/>
  <c r="AT21" i="8"/>
  <c r="AU21" i="8" s="1"/>
  <c r="AM21" i="8"/>
  <c r="AH21" i="8"/>
  <c r="AG21" i="8"/>
  <c r="AF21" i="8"/>
  <c r="AB21" i="8"/>
  <c r="Z21" i="8"/>
  <c r="X21" i="8" s="1"/>
  <c r="Y21" i="8"/>
  <c r="T21" i="8"/>
  <c r="Q21" i="8"/>
  <c r="O21" i="8"/>
  <c r="L21" i="8"/>
  <c r="K21" i="8"/>
  <c r="J21" i="8"/>
  <c r="I21" i="8"/>
  <c r="DJ20" i="8"/>
  <c r="DI20" i="8"/>
  <c r="DG20" i="8"/>
  <c r="T20" i="8" s="1"/>
  <c r="BV20" i="8"/>
  <c r="BU20" i="8"/>
  <c r="BM20" i="8"/>
  <c r="BG20" i="8"/>
  <c r="BA20" i="8"/>
  <c r="BN20" i="8" s="1"/>
  <c r="BQ20" i="8" s="1"/>
  <c r="BR20" i="8" s="1"/>
  <c r="AV20" i="8"/>
  <c r="AT20" i="8"/>
  <c r="O20" i="8" s="1"/>
  <c r="AM20" i="8"/>
  <c r="AH20" i="8"/>
  <c r="AG20" i="8"/>
  <c r="J20" i="8" s="1"/>
  <c r="I20" i="8" s="1"/>
  <c r="AF20" i="8"/>
  <c r="K20" i="8" s="1"/>
  <c r="BJ20" i="8" s="1"/>
  <c r="Z20" i="8"/>
  <c r="Y20" i="8"/>
  <c r="X20" i="8"/>
  <c r="Q20" i="8"/>
  <c r="DJ19" i="8"/>
  <c r="DI19" i="8"/>
  <c r="DG19" i="8"/>
  <c r="DH19" i="8" s="1"/>
  <c r="BI19" i="8" s="1"/>
  <c r="BV19" i="8"/>
  <c r="BU19" i="8"/>
  <c r="BN19" i="8"/>
  <c r="BQ19" i="8" s="1"/>
  <c r="BM19" i="8"/>
  <c r="BJ19" i="8"/>
  <c r="BL19" i="8" s="1"/>
  <c r="BG19" i="8"/>
  <c r="BK19" i="8" s="1"/>
  <c r="BA19" i="8"/>
  <c r="AV19" i="8"/>
  <c r="AT19" i="8"/>
  <c r="AU19" i="8" s="1"/>
  <c r="AM19" i="8"/>
  <c r="AH19" i="8"/>
  <c r="AG19" i="8"/>
  <c r="AF19" i="8"/>
  <c r="AB19" i="8"/>
  <c r="Z19" i="8"/>
  <c r="Y19" i="8"/>
  <c r="X19" i="8"/>
  <c r="T19" i="8"/>
  <c r="Q19" i="8"/>
  <c r="O19" i="8"/>
  <c r="L19" i="8"/>
  <c r="K19" i="8"/>
  <c r="J19" i="8"/>
  <c r="I19" i="8"/>
  <c r="DJ18" i="8"/>
  <c r="DI18" i="8"/>
  <c r="DG18" i="8"/>
  <c r="T18" i="8" s="1"/>
  <c r="BV18" i="8"/>
  <c r="BU18" i="8"/>
  <c r="BT18" i="8"/>
  <c r="BS18" i="8"/>
  <c r="BW18" i="8" s="1"/>
  <c r="BX18" i="8" s="1"/>
  <c r="BM18" i="8"/>
  <c r="BG18" i="8"/>
  <c r="BA18" i="8"/>
  <c r="BN18" i="8" s="1"/>
  <c r="BQ18" i="8" s="1"/>
  <c r="BR18" i="8" s="1"/>
  <c r="AV18" i="8"/>
  <c r="AT18" i="8"/>
  <c r="L18" i="8" s="1"/>
  <c r="AM18" i="8"/>
  <c r="AH18" i="8"/>
  <c r="AG18" i="8"/>
  <c r="J18" i="8" s="1"/>
  <c r="I18" i="8" s="1"/>
  <c r="AF18" i="8"/>
  <c r="K18" i="8" s="1"/>
  <c r="BJ18" i="8" s="1"/>
  <c r="Z18" i="8"/>
  <c r="Y18" i="8"/>
  <c r="X18" i="8"/>
  <c r="Q18" i="8"/>
  <c r="O18" i="8"/>
  <c r="DJ17" i="8"/>
  <c r="DI17" i="8"/>
  <c r="DG17" i="8"/>
  <c r="DH17" i="8" s="1"/>
  <c r="BV17" i="8"/>
  <c r="BU17" i="8"/>
  <c r="BN17" i="8"/>
  <c r="BQ17" i="8" s="1"/>
  <c r="BM17" i="8"/>
  <c r="BK17" i="8"/>
  <c r="BJ17" i="8"/>
  <c r="BL17" i="8" s="1"/>
  <c r="BI17" i="8"/>
  <c r="BG17" i="8"/>
  <c r="BA17" i="8"/>
  <c r="AV17" i="8"/>
  <c r="AT17" i="8"/>
  <c r="AU17" i="8" s="1"/>
  <c r="AM17" i="8"/>
  <c r="AH17" i="8"/>
  <c r="AG17" i="8"/>
  <c r="AF17" i="8"/>
  <c r="AB17" i="8"/>
  <c r="Z17" i="8"/>
  <c r="Y17" i="8"/>
  <c r="X17" i="8"/>
  <c r="T17" i="8"/>
  <c r="Q17" i="8"/>
  <c r="O17" i="8"/>
  <c r="L17" i="8"/>
  <c r="K17" i="8"/>
  <c r="J17" i="8"/>
  <c r="I17" i="8"/>
  <c r="DJ32" i="7"/>
  <c r="DI32" i="7"/>
  <c r="DG32" i="7"/>
  <c r="DH32" i="7" s="1"/>
  <c r="BV32" i="7"/>
  <c r="BU32" i="7"/>
  <c r="BM32" i="7"/>
  <c r="BK32" i="7"/>
  <c r="BI32" i="7"/>
  <c r="BG32" i="7"/>
  <c r="BA32" i="7"/>
  <c r="BN32" i="7" s="1"/>
  <c r="BQ32" i="7" s="1"/>
  <c r="AV32" i="7"/>
  <c r="AT32" i="7" s="1"/>
  <c r="AM32" i="7"/>
  <c r="AH32" i="7"/>
  <c r="AG32" i="7"/>
  <c r="J32" i="7" s="1"/>
  <c r="I32" i="7" s="1"/>
  <c r="AF32" i="7"/>
  <c r="K32" i="7" s="1"/>
  <c r="BJ32" i="7" s="1"/>
  <c r="BL32" i="7" s="1"/>
  <c r="Z32" i="7"/>
  <c r="Y32" i="7"/>
  <c r="X32" i="7"/>
  <c r="T32" i="7"/>
  <c r="U32" i="7" s="1"/>
  <c r="V32" i="7" s="1"/>
  <c r="Q32" i="7"/>
  <c r="L32" i="7"/>
  <c r="DJ31" i="7"/>
  <c r="DI31" i="7"/>
  <c r="DG31" i="7"/>
  <c r="T31" i="7" s="1"/>
  <c r="BV31" i="7"/>
  <c r="BU31" i="7"/>
  <c r="BT31" i="7"/>
  <c r="BS31" i="7"/>
  <c r="BW31" i="7" s="1"/>
  <c r="BX31" i="7" s="1"/>
  <c r="BM31" i="7"/>
  <c r="BG31" i="7"/>
  <c r="BA31" i="7"/>
  <c r="BN31" i="7" s="1"/>
  <c r="BQ31" i="7" s="1"/>
  <c r="BR31" i="7" s="1"/>
  <c r="AV31" i="7"/>
  <c r="AT31" i="7" s="1"/>
  <c r="O31" i="7" s="1"/>
  <c r="AU31" i="7"/>
  <c r="AM31" i="7"/>
  <c r="AH31" i="7"/>
  <c r="Z31" i="7"/>
  <c r="Y31" i="7"/>
  <c r="X31" i="7"/>
  <c r="Q31" i="7"/>
  <c r="DJ30" i="7"/>
  <c r="DI30" i="7"/>
  <c r="DG30" i="7"/>
  <c r="DH30" i="7" s="1"/>
  <c r="BV30" i="7"/>
  <c r="BU30" i="7"/>
  <c r="BM30" i="7"/>
  <c r="BI30" i="7"/>
  <c r="BG30" i="7"/>
  <c r="BK30" i="7" s="1"/>
  <c r="BA30" i="7"/>
  <c r="BN30" i="7" s="1"/>
  <c r="BQ30" i="7" s="1"/>
  <c r="AV30" i="7"/>
  <c r="AT30" i="7" s="1"/>
  <c r="L30" i="7" s="1"/>
  <c r="AM30" i="7"/>
  <c r="AH30" i="7"/>
  <c r="Z30" i="7"/>
  <c r="Y30" i="7"/>
  <c r="X30" i="7"/>
  <c r="T30" i="7"/>
  <c r="Q30" i="7"/>
  <c r="DJ29" i="7"/>
  <c r="DI29" i="7"/>
  <c r="DG29" i="7"/>
  <c r="T29" i="7" s="1"/>
  <c r="BV29" i="7"/>
  <c r="BU29" i="7"/>
  <c r="BM29" i="7"/>
  <c r="BG29" i="7"/>
  <c r="BA29" i="7"/>
  <c r="BN29" i="7" s="1"/>
  <c r="BQ29" i="7" s="1"/>
  <c r="BR29" i="7" s="1"/>
  <c r="AV29" i="7"/>
  <c r="AT29" i="7" s="1"/>
  <c r="O29" i="7" s="1"/>
  <c r="AU29" i="7"/>
  <c r="AM29" i="7"/>
  <c r="AH29" i="7"/>
  <c r="AG29" i="7"/>
  <c r="J29" i="7" s="1"/>
  <c r="I29" i="7" s="1"/>
  <c r="AF29" i="7"/>
  <c r="K29" i="7" s="1"/>
  <c r="BJ29" i="7" s="1"/>
  <c r="Z29" i="7"/>
  <c r="Y29" i="7"/>
  <c r="X29" i="7"/>
  <c r="Q29" i="7"/>
  <c r="L29" i="7"/>
  <c r="DJ28" i="7"/>
  <c r="DI28" i="7"/>
  <c r="DG28" i="7"/>
  <c r="DH28" i="7" s="1"/>
  <c r="BI28" i="7" s="1"/>
  <c r="BV28" i="7"/>
  <c r="BU28" i="7"/>
  <c r="BM28" i="7"/>
  <c r="BG28" i="7"/>
  <c r="BA28" i="7"/>
  <c r="BN28" i="7" s="1"/>
  <c r="BQ28" i="7" s="1"/>
  <c r="AV28" i="7"/>
  <c r="AT28" i="7" s="1"/>
  <c r="AM28" i="7"/>
  <c r="AH28" i="7"/>
  <c r="AG28" i="7"/>
  <c r="J28" i="7" s="1"/>
  <c r="I28" i="7" s="1"/>
  <c r="AF28" i="7"/>
  <c r="Z28" i="7"/>
  <c r="Y28" i="7"/>
  <c r="X28" i="7"/>
  <c r="T28" i="7"/>
  <c r="Q28" i="7"/>
  <c r="L28" i="7"/>
  <c r="K28" i="7"/>
  <c r="BJ28" i="7" s="1"/>
  <c r="DJ27" i="7"/>
  <c r="DI27" i="7"/>
  <c r="DG27" i="7"/>
  <c r="T27" i="7" s="1"/>
  <c r="BV27" i="7"/>
  <c r="BU27" i="7"/>
  <c r="BT27" i="7"/>
  <c r="BS27" i="7"/>
  <c r="BW27" i="7" s="1"/>
  <c r="BX27" i="7" s="1"/>
  <c r="BM27" i="7"/>
  <c r="BG27" i="7"/>
  <c r="BA27" i="7"/>
  <c r="BN27" i="7" s="1"/>
  <c r="BQ27" i="7" s="1"/>
  <c r="BR27" i="7" s="1"/>
  <c r="AV27" i="7"/>
  <c r="AT27" i="7" s="1"/>
  <c r="O27" i="7" s="1"/>
  <c r="AU27" i="7"/>
  <c r="AM27" i="7"/>
  <c r="AH27" i="7"/>
  <c r="AG27" i="7"/>
  <c r="J27" i="7" s="1"/>
  <c r="I27" i="7" s="1"/>
  <c r="AF27" i="7"/>
  <c r="K27" i="7" s="1"/>
  <c r="BJ27" i="7" s="1"/>
  <c r="Z27" i="7"/>
  <c r="Y27" i="7"/>
  <c r="X27" i="7"/>
  <c r="Q27" i="7"/>
  <c r="L27" i="7"/>
  <c r="DJ26" i="7"/>
  <c r="DI26" i="7"/>
  <c r="DG26" i="7"/>
  <c r="DH26" i="7" s="1"/>
  <c r="BV26" i="7"/>
  <c r="BU26" i="7"/>
  <c r="BM26" i="7"/>
  <c r="BI26" i="7"/>
  <c r="BG26" i="7"/>
  <c r="BK26" i="7" s="1"/>
  <c r="BA26" i="7"/>
  <c r="BN26" i="7" s="1"/>
  <c r="BQ26" i="7" s="1"/>
  <c r="AV26" i="7"/>
  <c r="AT26" i="7" s="1"/>
  <c r="AM26" i="7"/>
  <c r="AH26" i="7"/>
  <c r="Z26" i="7"/>
  <c r="Y26" i="7"/>
  <c r="X26" i="7"/>
  <c r="T26" i="7"/>
  <c r="Q26" i="7"/>
  <c r="DJ25" i="7"/>
  <c r="DI25" i="7"/>
  <c r="DG25" i="7"/>
  <c r="T25" i="7" s="1"/>
  <c r="U25" i="7" s="1"/>
  <c r="V25" i="7" s="1"/>
  <c r="BV25" i="7"/>
  <c r="BU25" i="7"/>
  <c r="BM25" i="7"/>
  <c r="BG25" i="7"/>
  <c r="BA25" i="7"/>
  <c r="BN25" i="7" s="1"/>
  <c r="BQ25" i="7" s="1"/>
  <c r="BR25" i="7" s="1"/>
  <c r="AV25" i="7"/>
  <c r="AT25" i="7" s="1"/>
  <c r="O25" i="7" s="1"/>
  <c r="AU25" i="7"/>
  <c r="AM25" i="7"/>
  <c r="AH25" i="7"/>
  <c r="AG25" i="7"/>
  <c r="J25" i="7" s="1"/>
  <c r="I25" i="7" s="1"/>
  <c r="AF25" i="7"/>
  <c r="K25" i="7" s="1"/>
  <c r="BJ25" i="7" s="1"/>
  <c r="Z25" i="7"/>
  <c r="Y25" i="7"/>
  <c r="X25" i="7"/>
  <c r="Q25" i="7"/>
  <c r="L25" i="7"/>
  <c r="DJ24" i="7"/>
  <c r="DI24" i="7"/>
  <c r="DG24" i="7"/>
  <c r="DH24" i="7" s="1"/>
  <c r="BI24" i="7" s="1"/>
  <c r="BV24" i="7"/>
  <c r="BU24" i="7"/>
  <c r="BM24" i="7"/>
  <c r="BG24" i="7"/>
  <c r="BK24" i="7" s="1"/>
  <c r="BA24" i="7"/>
  <c r="BN24" i="7" s="1"/>
  <c r="BQ24" i="7" s="1"/>
  <c r="AV24" i="7"/>
  <c r="AT24" i="7" s="1"/>
  <c r="AM24" i="7"/>
  <c r="AH24" i="7"/>
  <c r="AG24" i="7"/>
  <c r="J24" i="7" s="1"/>
  <c r="I24" i="7" s="1"/>
  <c r="AF24" i="7"/>
  <c r="Z24" i="7"/>
  <c r="Y24" i="7"/>
  <c r="X24" i="7"/>
  <c r="T24" i="7"/>
  <c r="Q24" i="7"/>
  <c r="L24" i="7"/>
  <c r="K24" i="7"/>
  <c r="BJ24" i="7" s="1"/>
  <c r="DJ23" i="7"/>
  <c r="DI23" i="7"/>
  <c r="DG23" i="7"/>
  <c r="T23" i="7" s="1"/>
  <c r="BV23" i="7"/>
  <c r="BU23" i="7"/>
  <c r="BT23" i="7"/>
  <c r="BS23" i="7"/>
  <c r="BW23" i="7" s="1"/>
  <c r="BX23" i="7" s="1"/>
  <c r="BM23" i="7"/>
  <c r="BG23" i="7"/>
  <c r="BA23" i="7"/>
  <c r="BN23" i="7" s="1"/>
  <c r="BQ23" i="7" s="1"/>
  <c r="BR23" i="7" s="1"/>
  <c r="AV23" i="7"/>
  <c r="AT23" i="7" s="1"/>
  <c r="O23" i="7" s="1"/>
  <c r="AU23" i="7"/>
  <c r="AM23" i="7"/>
  <c r="AH23" i="7"/>
  <c r="AG23" i="7"/>
  <c r="J23" i="7" s="1"/>
  <c r="I23" i="7" s="1"/>
  <c r="AF23" i="7"/>
  <c r="K23" i="7" s="1"/>
  <c r="BJ23" i="7" s="1"/>
  <c r="Z23" i="7"/>
  <c r="Y23" i="7"/>
  <c r="X23" i="7"/>
  <c r="Q23" i="7"/>
  <c r="DJ22" i="7"/>
  <c r="DI22" i="7"/>
  <c r="DG22" i="7"/>
  <c r="DH22" i="7" s="1"/>
  <c r="BV22" i="7"/>
  <c r="BU22" i="7"/>
  <c r="BM22" i="7"/>
  <c r="BI22" i="7"/>
  <c r="BG22" i="7"/>
  <c r="BK22" i="7" s="1"/>
  <c r="BA22" i="7"/>
  <c r="BN22" i="7" s="1"/>
  <c r="BQ22" i="7" s="1"/>
  <c r="AV22" i="7"/>
  <c r="AT22" i="7" s="1"/>
  <c r="AM22" i="7"/>
  <c r="AH22" i="7"/>
  <c r="Z22" i="7"/>
  <c r="Y22" i="7"/>
  <c r="X22" i="7"/>
  <c r="T22" i="7"/>
  <c r="Q22" i="7"/>
  <c r="DJ21" i="7"/>
  <c r="DI21" i="7"/>
  <c r="DG21" i="7"/>
  <c r="T21" i="7" s="1"/>
  <c r="U21" i="7" s="1"/>
  <c r="V21" i="7" s="1"/>
  <c r="BV21" i="7"/>
  <c r="BU21" i="7"/>
  <c r="BM21" i="7"/>
  <c r="BG21" i="7"/>
  <c r="BA21" i="7"/>
  <c r="BN21" i="7" s="1"/>
  <c r="BQ21" i="7" s="1"/>
  <c r="BR21" i="7" s="1"/>
  <c r="AV21" i="7"/>
  <c r="AT21" i="7" s="1"/>
  <c r="O21" i="7" s="1"/>
  <c r="AU21" i="7"/>
  <c r="AM21" i="7"/>
  <c r="AH21" i="7"/>
  <c r="AG21" i="7"/>
  <c r="J21" i="7" s="1"/>
  <c r="I21" i="7" s="1"/>
  <c r="AF21" i="7"/>
  <c r="K21" i="7" s="1"/>
  <c r="BJ21" i="7" s="1"/>
  <c r="Z21" i="7"/>
  <c r="Y21" i="7"/>
  <c r="X21" i="7"/>
  <c r="Q21" i="7"/>
  <c r="AC21" i="7" s="1"/>
  <c r="L21" i="7"/>
  <c r="DJ20" i="7"/>
  <c r="DI20" i="7"/>
  <c r="DG20" i="7"/>
  <c r="DH20" i="7" s="1"/>
  <c r="BI20" i="7" s="1"/>
  <c r="BV20" i="7"/>
  <c r="BU20" i="7"/>
  <c r="BM20" i="7"/>
  <c r="BG20" i="7"/>
  <c r="BK20" i="7" s="1"/>
  <c r="BA20" i="7"/>
  <c r="BN20" i="7" s="1"/>
  <c r="BQ20" i="7" s="1"/>
  <c r="AV20" i="7"/>
  <c r="AT20" i="7" s="1"/>
  <c r="AM20" i="7"/>
  <c r="AH20" i="7"/>
  <c r="AG20" i="7"/>
  <c r="J20" i="7" s="1"/>
  <c r="I20" i="7" s="1"/>
  <c r="AF20" i="7"/>
  <c r="Z20" i="7"/>
  <c r="Y20" i="7"/>
  <c r="X20" i="7"/>
  <c r="T20" i="7"/>
  <c r="Q20" i="7"/>
  <c r="L20" i="7"/>
  <c r="K20" i="7"/>
  <c r="BJ20" i="7" s="1"/>
  <c r="DJ19" i="7"/>
  <c r="DI19" i="7"/>
  <c r="DG19" i="7"/>
  <c r="T19" i="7" s="1"/>
  <c r="BV19" i="7"/>
  <c r="BU19" i="7"/>
  <c r="BT19" i="7"/>
  <c r="BS19" i="7"/>
  <c r="BW19" i="7" s="1"/>
  <c r="BX19" i="7" s="1"/>
  <c r="BM19" i="7"/>
  <c r="BG19" i="7"/>
  <c r="BA19" i="7"/>
  <c r="BN19" i="7" s="1"/>
  <c r="BQ19" i="7" s="1"/>
  <c r="BR19" i="7" s="1"/>
  <c r="AV19" i="7"/>
  <c r="AT19" i="7" s="1"/>
  <c r="O19" i="7" s="1"/>
  <c r="AU19" i="7"/>
  <c r="AM19" i="7"/>
  <c r="AH19" i="7"/>
  <c r="AG19" i="7"/>
  <c r="J19" i="7" s="1"/>
  <c r="I19" i="7" s="1"/>
  <c r="AF19" i="7"/>
  <c r="K19" i="7" s="1"/>
  <c r="BJ19" i="7" s="1"/>
  <c r="Z19" i="7"/>
  <c r="Y19" i="7"/>
  <c r="X19" i="7"/>
  <c r="Q19" i="7"/>
  <c r="DJ18" i="7"/>
  <c r="DI18" i="7"/>
  <c r="DG18" i="7"/>
  <c r="DH18" i="7" s="1"/>
  <c r="BV18" i="7"/>
  <c r="BU18" i="7"/>
  <c r="BM18" i="7"/>
  <c r="BI18" i="7"/>
  <c r="BG18" i="7"/>
  <c r="BK18" i="7" s="1"/>
  <c r="BA18" i="7"/>
  <c r="BN18" i="7" s="1"/>
  <c r="BQ18" i="7" s="1"/>
  <c r="AV18" i="7"/>
  <c r="AT18" i="7" s="1"/>
  <c r="AM18" i="7"/>
  <c r="AH18" i="7"/>
  <c r="Z18" i="7"/>
  <c r="Y18" i="7"/>
  <c r="X18" i="7"/>
  <c r="T18" i="7"/>
  <c r="Q18" i="7"/>
  <c r="DJ17" i="7"/>
  <c r="DI17" i="7"/>
  <c r="DG17" i="7"/>
  <c r="BV17" i="7"/>
  <c r="BU17" i="7"/>
  <c r="BT17" i="7"/>
  <c r="BS17" i="7"/>
  <c r="BW17" i="7" s="1"/>
  <c r="BX17" i="7" s="1"/>
  <c r="BM17" i="7"/>
  <c r="BG17" i="7"/>
  <c r="BA17" i="7"/>
  <c r="BN17" i="7" s="1"/>
  <c r="BQ17" i="7" s="1"/>
  <c r="BR17" i="7" s="1"/>
  <c r="AV17" i="7"/>
  <c r="AT17" i="7" s="1"/>
  <c r="O17" i="7" s="1"/>
  <c r="AU17" i="7"/>
  <c r="AM17" i="7"/>
  <c r="AH17" i="7"/>
  <c r="AG17" i="7"/>
  <c r="J17" i="7" s="1"/>
  <c r="I17" i="7" s="1"/>
  <c r="AF17" i="7"/>
  <c r="K17" i="7" s="1"/>
  <c r="BJ17" i="7" s="1"/>
  <c r="Z17" i="7"/>
  <c r="Y17" i="7"/>
  <c r="X17" i="7"/>
  <c r="Q17" i="7"/>
  <c r="DJ29" i="6"/>
  <c r="DI29" i="6"/>
  <c r="DG29" i="6"/>
  <c r="DH29" i="6" s="1"/>
  <c r="BV29" i="6"/>
  <c r="BU29" i="6"/>
  <c r="BN29" i="6"/>
  <c r="BQ29" i="6" s="1"/>
  <c r="BM29" i="6"/>
  <c r="BI29" i="6"/>
  <c r="BK29" i="6" s="1"/>
  <c r="BG29" i="6"/>
  <c r="BA29" i="6"/>
  <c r="AV29" i="6"/>
  <c r="AT29" i="6" s="1"/>
  <c r="AM29" i="6"/>
  <c r="AH29" i="6"/>
  <c r="Z29" i="6"/>
  <c r="Y29" i="6"/>
  <c r="X29" i="6"/>
  <c r="T29" i="6"/>
  <c r="Q29" i="6"/>
  <c r="DJ28" i="6"/>
  <c r="DI28" i="6"/>
  <c r="DG28" i="6"/>
  <c r="T28" i="6" s="1"/>
  <c r="BV28" i="6"/>
  <c r="BU28" i="6"/>
  <c r="BM28" i="6"/>
  <c r="BG28" i="6"/>
  <c r="BA28" i="6"/>
  <c r="BN28" i="6" s="1"/>
  <c r="BQ28" i="6" s="1"/>
  <c r="BR28" i="6" s="1"/>
  <c r="AV28" i="6"/>
  <c r="AT28" i="6"/>
  <c r="AU28" i="6" s="1"/>
  <c r="AM28" i="6"/>
  <c r="AH28" i="6"/>
  <c r="Z28" i="6"/>
  <c r="Y28" i="6"/>
  <c r="X28" i="6"/>
  <c r="Q28" i="6"/>
  <c r="DJ27" i="6"/>
  <c r="DI27" i="6"/>
  <c r="DG27" i="6"/>
  <c r="DH27" i="6" s="1"/>
  <c r="BV27" i="6"/>
  <c r="BU27" i="6"/>
  <c r="BN27" i="6"/>
  <c r="BQ27" i="6" s="1"/>
  <c r="BM27" i="6"/>
  <c r="BI27" i="6"/>
  <c r="BG27" i="6"/>
  <c r="BK27" i="6" s="1"/>
  <c r="BA27" i="6"/>
  <c r="AV27" i="6"/>
  <c r="AT27" i="6" s="1"/>
  <c r="AM27" i="6"/>
  <c r="AH27" i="6"/>
  <c r="Z27" i="6"/>
  <c r="Y27" i="6"/>
  <c r="X27" i="6"/>
  <c r="T27" i="6"/>
  <c r="Q27" i="6"/>
  <c r="DJ26" i="6"/>
  <c r="DI26" i="6"/>
  <c r="DG26" i="6"/>
  <c r="T26" i="6" s="1"/>
  <c r="BV26" i="6"/>
  <c r="BU26" i="6"/>
  <c r="BM26" i="6"/>
  <c r="BG26" i="6"/>
  <c r="BA26" i="6"/>
  <c r="BN26" i="6" s="1"/>
  <c r="BQ26" i="6" s="1"/>
  <c r="BR26" i="6" s="1"/>
  <c r="AV26" i="6"/>
  <c r="AT26" i="6"/>
  <c r="AU26" i="6" s="1"/>
  <c r="AM26" i="6"/>
  <c r="AH26" i="6"/>
  <c r="Z26" i="6"/>
  <c r="Y26" i="6"/>
  <c r="X26" i="6"/>
  <c r="Q26" i="6"/>
  <c r="DJ25" i="6"/>
  <c r="DI25" i="6"/>
  <c r="DG25" i="6"/>
  <c r="DH25" i="6" s="1"/>
  <c r="BV25" i="6"/>
  <c r="BU25" i="6"/>
  <c r="BM25" i="6"/>
  <c r="BI25" i="6"/>
  <c r="BG25" i="6"/>
  <c r="BK25" i="6" s="1"/>
  <c r="BA25" i="6"/>
  <c r="BN25" i="6" s="1"/>
  <c r="BQ25" i="6" s="1"/>
  <c r="AV25" i="6"/>
  <c r="AT25" i="6" s="1"/>
  <c r="AM25" i="6"/>
  <c r="AH25" i="6"/>
  <c r="Z25" i="6"/>
  <c r="Y25" i="6"/>
  <c r="X25" i="6"/>
  <c r="T25" i="6"/>
  <c r="Q25" i="6"/>
  <c r="DJ24" i="6"/>
  <c r="DI24" i="6"/>
  <c r="DG24" i="6"/>
  <c r="T24" i="6" s="1"/>
  <c r="BV24" i="6"/>
  <c r="BU24" i="6"/>
  <c r="BM24" i="6"/>
  <c r="BG24" i="6"/>
  <c r="BA24" i="6"/>
  <c r="BN24" i="6" s="1"/>
  <c r="BQ24" i="6" s="1"/>
  <c r="BR24" i="6" s="1"/>
  <c r="AV24" i="6"/>
  <c r="AT24" i="6"/>
  <c r="AG24" i="6" s="1"/>
  <c r="J24" i="6" s="1"/>
  <c r="I24" i="6" s="1"/>
  <c r="AM24" i="6"/>
  <c r="AH24" i="6"/>
  <c r="Z24" i="6"/>
  <c r="Y24" i="6"/>
  <c r="X24" i="6"/>
  <c r="Q24" i="6"/>
  <c r="DJ23" i="6"/>
  <c r="DI23" i="6"/>
  <c r="DG23" i="6"/>
  <c r="DH23" i="6" s="1"/>
  <c r="BV23" i="6"/>
  <c r="BU23" i="6"/>
  <c r="BN23" i="6"/>
  <c r="BQ23" i="6" s="1"/>
  <c r="BM23" i="6"/>
  <c r="BI23" i="6"/>
  <c r="BK23" i="6" s="1"/>
  <c r="BG23" i="6"/>
  <c r="BA23" i="6"/>
  <c r="AV23" i="6"/>
  <c r="AT23" i="6" s="1"/>
  <c r="AM23" i="6"/>
  <c r="AH23" i="6"/>
  <c r="Z23" i="6"/>
  <c r="Y23" i="6"/>
  <c r="X23" i="6"/>
  <c r="T23" i="6"/>
  <c r="Q23" i="6"/>
  <c r="DJ22" i="6"/>
  <c r="DI22" i="6"/>
  <c r="DG22" i="6"/>
  <c r="T22" i="6" s="1"/>
  <c r="BV22" i="6"/>
  <c r="BU22" i="6"/>
  <c r="BM22" i="6"/>
  <c r="BG22" i="6"/>
  <c r="BA22" i="6"/>
  <c r="BN22" i="6" s="1"/>
  <c r="BQ22" i="6" s="1"/>
  <c r="BR22" i="6" s="1"/>
  <c r="AV22" i="6"/>
  <c r="AT22" i="6"/>
  <c r="AU22" i="6" s="1"/>
  <c r="AM22" i="6"/>
  <c r="AH22" i="6"/>
  <c r="AG22" i="6"/>
  <c r="AF22" i="6"/>
  <c r="Z22" i="6"/>
  <c r="Y22" i="6"/>
  <c r="X22" i="6"/>
  <c r="Q22" i="6"/>
  <c r="O22" i="6"/>
  <c r="L22" i="6"/>
  <c r="K22" i="6"/>
  <c r="BJ22" i="6" s="1"/>
  <c r="J22" i="6"/>
  <c r="I22" i="6" s="1"/>
  <c r="DJ21" i="6"/>
  <c r="DI21" i="6"/>
  <c r="DG21" i="6"/>
  <c r="DH21" i="6" s="1"/>
  <c r="BI21" i="6" s="1"/>
  <c r="BK21" i="6" s="1"/>
  <c r="BV21" i="6"/>
  <c r="BU21" i="6"/>
  <c r="BN21" i="6"/>
  <c r="BQ21" i="6" s="1"/>
  <c r="BM21" i="6"/>
  <c r="BG21" i="6"/>
  <c r="BA21" i="6"/>
  <c r="AV21" i="6"/>
  <c r="AT21" i="6" s="1"/>
  <c r="AM21" i="6"/>
  <c r="AH21" i="6"/>
  <c r="Z21" i="6"/>
  <c r="X21" i="6" s="1"/>
  <c r="Y21" i="6"/>
  <c r="T21" i="6"/>
  <c r="Q21" i="6"/>
  <c r="DJ20" i="6"/>
  <c r="DI20" i="6"/>
  <c r="DH20" i="6"/>
  <c r="BI20" i="6" s="1"/>
  <c r="DG20" i="6"/>
  <c r="T20" i="6" s="1"/>
  <c r="BV20" i="6"/>
  <c r="BU20" i="6"/>
  <c r="BT20" i="6"/>
  <c r="BS20" i="6"/>
  <c r="BW20" i="6" s="1"/>
  <c r="BX20" i="6" s="1"/>
  <c r="BM20" i="6"/>
  <c r="BG20" i="6"/>
  <c r="BK20" i="6" s="1"/>
  <c r="BA20" i="6"/>
  <c r="BN20" i="6" s="1"/>
  <c r="BQ20" i="6" s="1"/>
  <c r="BR20" i="6" s="1"/>
  <c r="AV20" i="6"/>
  <c r="AT20" i="6"/>
  <c r="AU20" i="6" s="1"/>
  <c r="AM20" i="6"/>
  <c r="AH20" i="6"/>
  <c r="AG20" i="6"/>
  <c r="J20" i="6" s="1"/>
  <c r="I20" i="6" s="1"/>
  <c r="AF20" i="6"/>
  <c r="K20" i="6" s="1"/>
  <c r="BJ20" i="6" s="1"/>
  <c r="BL20" i="6" s="1"/>
  <c r="Z20" i="6"/>
  <c r="Y20" i="6"/>
  <c r="X20" i="6"/>
  <c r="Q20" i="6"/>
  <c r="O20" i="6"/>
  <c r="L20" i="6"/>
  <c r="DJ19" i="6"/>
  <c r="DI19" i="6"/>
  <c r="DG19" i="6"/>
  <c r="DH19" i="6" s="1"/>
  <c r="BV19" i="6"/>
  <c r="BU19" i="6"/>
  <c r="BN19" i="6"/>
  <c r="BQ19" i="6" s="1"/>
  <c r="BM19" i="6"/>
  <c r="BI19" i="6"/>
  <c r="BG19" i="6"/>
  <c r="BK19" i="6" s="1"/>
  <c r="BA19" i="6"/>
  <c r="AV19" i="6"/>
  <c r="AT19" i="6" s="1"/>
  <c r="AM19" i="6"/>
  <c r="AH19" i="6"/>
  <c r="Z19" i="6"/>
  <c r="Y19" i="6"/>
  <c r="X19" i="6"/>
  <c r="T19" i="6"/>
  <c r="Q19" i="6"/>
  <c r="DJ18" i="6"/>
  <c r="DI18" i="6"/>
  <c r="DG18" i="6"/>
  <c r="T18" i="6" s="1"/>
  <c r="BV18" i="6"/>
  <c r="BU18" i="6"/>
  <c r="BT18" i="6"/>
  <c r="BS18" i="6"/>
  <c r="BW18" i="6" s="1"/>
  <c r="BX18" i="6" s="1"/>
  <c r="BM18" i="6"/>
  <c r="BG18" i="6"/>
  <c r="BA18" i="6"/>
  <c r="BN18" i="6" s="1"/>
  <c r="BQ18" i="6" s="1"/>
  <c r="BR18" i="6" s="1"/>
  <c r="AV18" i="6"/>
  <c r="AT18" i="6"/>
  <c r="L18" i="6" s="1"/>
  <c r="AM18" i="6"/>
  <c r="AH18" i="6"/>
  <c r="AG18" i="6"/>
  <c r="J18" i="6" s="1"/>
  <c r="I18" i="6" s="1"/>
  <c r="AF18" i="6"/>
  <c r="K18" i="6" s="1"/>
  <c r="BJ18" i="6" s="1"/>
  <c r="Z18" i="6"/>
  <c r="Y18" i="6"/>
  <c r="X18" i="6"/>
  <c r="Q18" i="6"/>
  <c r="O18" i="6"/>
  <c r="DJ17" i="6"/>
  <c r="DI17" i="6"/>
  <c r="DG17" i="6"/>
  <c r="DH17" i="6" s="1"/>
  <c r="BV17" i="6"/>
  <c r="BU17" i="6"/>
  <c r="BM17" i="6"/>
  <c r="BI17" i="6"/>
  <c r="BG17" i="6"/>
  <c r="BK17" i="6" s="1"/>
  <c r="BA17" i="6"/>
  <c r="BN17" i="6" s="1"/>
  <c r="BQ17" i="6" s="1"/>
  <c r="AV17" i="6"/>
  <c r="AT17" i="6" s="1"/>
  <c r="AM17" i="6"/>
  <c r="AH17" i="6"/>
  <c r="Z17" i="6"/>
  <c r="Y17" i="6"/>
  <c r="X17" i="6"/>
  <c r="T17" i="6"/>
  <c r="Q17" i="6"/>
  <c r="DJ29" i="4"/>
  <c r="DI29" i="4"/>
  <c r="DG29" i="4"/>
  <c r="DH29" i="4" s="1"/>
  <c r="BV29" i="4"/>
  <c r="BU29" i="4"/>
  <c r="BN29" i="4"/>
  <c r="BQ29" i="4" s="1"/>
  <c r="BM29" i="4"/>
  <c r="BJ29" i="4"/>
  <c r="BL29" i="4" s="1"/>
  <c r="BI29" i="4"/>
  <c r="BG29" i="4"/>
  <c r="BK29" i="4" s="1"/>
  <c r="BA29" i="4"/>
  <c r="AV29" i="4"/>
  <c r="AT29" i="4"/>
  <c r="AU29" i="4" s="1"/>
  <c r="AM29" i="4"/>
  <c r="AH29" i="4"/>
  <c r="AG29" i="4"/>
  <c r="AF29" i="4"/>
  <c r="Z29" i="4"/>
  <c r="Y29" i="4"/>
  <c r="X29" i="4"/>
  <c r="T29" i="4"/>
  <c r="Q29" i="4"/>
  <c r="O29" i="4"/>
  <c r="L29" i="4"/>
  <c r="K29" i="4"/>
  <c r="J29" i="4"/>
  <c r="I29" i="4"/>
  <c r="DJ28" i="4"/>
  <c r="DI28" i="4"/>
  <c r="DG28" i="4"/>
  <c r="DH28" i="4" s="1"/>
  <c r="BI28" i="4" s="1"/>
  <c r="BV28" i="4"/>
  <c r="BU28" i="4"/>
  <c r="BT28" i="4"/>
  <c r="BS28" i="4"/>
  <c r="BW28" i="4" s="1"/>
  <c r="BX28" i="4" s="1"/>
  <c r="BM28" i="4"/>
  <c r="BG28" i="4"/>
  <c r="BA28" i="4"/>
  <c r="BN28" i="4" s="1"/>
  <c r="BQ28" i="4" s="1"/>
  <c r="BR28" i="4" s="1"/>
  <c r="AV28" i="4"/>
  <c r="AT28" i="4"/>
  <c r="O28" i="4" s="1"/>
  <c r="AM28" i="4"/>
  <c r="AH28" i="4"/>
  <c r="AG28" i="4"/>
  <c r="J28" i="4" s="1"/>
  <c r="I28" i="4" s="1"/>
  <c r="AF28" i="4"/>
  <c r="K28" i="4" s="1"/>
  <c r="BJ28" i="4" s="1"/>
  <c r="Z28" i="4"/>
  <c r="Y28" i="4"/>
  <c r="X28" i="4"/>
  <c r="Q28" i="4"/>
  <c r="DJ27" i="4"/>
  <c r="DI27" i="4"/>
  <c r="DG27" i="4"/>
  <c r="DH27" i="4" s="1"/>
  <c r="BI27" i="4" s="1"/>
  <c r="BK27" i="4" s="1"/>
  <c r="BV27" i="4"/>
  <c r="BU27" i="4"/>
  <c r="BN27" i="4"/>
  <c r="BQ27" i="4" s="1"/>
  <c r="BM27" i="4"/>
  <c r="BJ27" i="4"/>
  <c r="BL27" i="4" s="1"/>
  <c r="BG27" i="4"/>
  <c r="BA27" i="4"/>
  <c r="AV27" i="4"/>
  <c r="AT27" i="4"/>
  <c r="AU27" i="4" s="1"/>
  <c r="AM27" i="4"/>
  <c r="AH27" i="4"/>
  <c r="AG27" i="4"/>
  <c r="AF27" i="4"/>
  <c r="AB27" i="4"/>
  <c r="Z27" i="4"/>
  <c r="Y27" i="4"/>
  <c r="X27" i="4"/>
  <c r="T27" i="4"/>
  <c r="Q27" i="4"/>
  <c r="O27" i="4"/>
  <c r="L27" i="4"/>
  <c r="K27" i="4"/>
  <c r="J27" i="4"/>
  <c r="I27" i="4"/>
  <c r="DJ26" i="4"/>
  <c r="DI26" i="4"/>
  <c r="DG26" i="4"/>
  <c r="T26" i="4" s="1"/>
  <c r="BV26" i="4"/>
  <c r="BU26" i="4"/>
  <c r="BM26" i="4"/>
  <c r="BG26" i="4"/>
  <c r="BA26" i="4"/>
  <c r="BN26" i="4" s="1"/>
  <c r="BQ26" i="4" s="1"/>
  <c r="BR26" i="4" s="1"/>
  <c r="AV26" i="4"/>
  <c r="AT26" i="4" s="1"/>
  <c r="AM26" i="4"/>
  <c r="AH26" i="4"/>
  <c r="Z26" i="4"/>
  <c r="Y26" i="4"/>
  <c r="X26" i="4"/>
  <c r="Q26" i="4"/>
  <c r="DJ25" i="4"/>
  <c r="DI25" i="4"/>
  <c r="DG25" i="4"/>
  <c r="DH25" i="4" s="1"/>
  <c r="BI25" i="4" s="1"/>
  <c r="BV25" i="4"/>
  <c r="BU25" i="4"/>
  <c r="BM25" i="4"/>
  <c r="BJ25" i="4"/>
  <c r="BG25" i="4"/>
  <c r="BA25" i="4"/>
  <c r="BN25" i="4" s="1"/>
  <c r="BQ25" i="4" s="1"/>
  <c r="AV25" i="4"/>
  <c r="AT25" i="4"/>
  <c r="AU25" i="4" s="1"/>
  <c r="AM25" i="4"/>
  <c r="AH25" i="4"/>
  <c r="AG25" i="4"/>
  <c r="AF25" i="4"/>
  <c r="AB25" i="4"/>
  <c r="Z25" i="4"/>
  <c r="Y25" i="4"/>
  <c r="X25" i="4" s="1"/>
  <c r="T25" i="4"/>
  <c r="U25" i="4" s="1"/>
  <c r="V25" i="4" s="1"/>
  <c r="Q25" i="4"/>
  <c r="O25" i="4"/>
  <c r="L25" i="4"/>
  <c r="K25" i="4"/>
  <c r="J25" i="4"/>
  <c r="I25" i="4"/>
  <c r="DJ24" i="4"/>
  <c r="DI24" i="4"/>
  <c r="DG24" i="4"/>
  <c r="DH24" i="4" s="1"/>
  <c r="BI24" i="4" s="1"/>
  <c r="BV24" i="4"/>
  <c r="BU24" i="4"/>
  <c r="BM24" i="4"/>
  <c r="BG24" i="4"/>
  <c r="BA24" i="4"/>
  <c r="BN24" i="4" s="1"/>
  <c r="BQ24" i="4" s="1"/>
  <c r="BR24" i="4" s="1"/>
  <c r="AV24" i="4"/>
  <c r="AT24" i="4"/>
  <c r="AU24" i="4" s="1"/>
  <c r="AM24" i="4"/>
  <c r="AH24" i="4"/>
  <c r="Z24" i="4"/>
  <c r="Y24" i="4"/>
  <c r="X24" i="4"/>
  <c r="T24" i="4"/>
  <c r="Q24" i="4"/>
  <c r="DJ23" i="4"/>
  <c r="DI23" i="4"/>
  <c r="DG23" i="4"/>
  <c r="DH23" i="4" s="1"/>
  <c r="BI23" i="4" s="1"/>
  <c r="BV23" i="4"/>
  <c r="BU23" i="4"/>
  <c r="BQ23" i="4"/>
  <c r="BN23" i="4"/>
  <c r="BM23" i="4"/>
  <c r="BJ23" i="4"/>
  <c r="BL23" i="4" s="1"/>
  <c r="BG23" i="4"/>
  <c r="BK23" i="4" s="1"/>
  <c r="BA23" i="4"/>
  <c r="AV23" i="4"/>
  <c r="AT23" i="4"/>
  <c r="AU23" i="4" s="1"/>
  <c r="AM23" i="4"/>
  <c r="AH23" i="4"/>
  <c r="AG23" i="4"/>
  <c r="AF23" i="4"/>
  <c r="AB23" i="4"/>
  <c r="Z23" i="4"/>
  <c r="Y23" i="4"/>
  <c r="X23" i="4"/>
  <c r="T23" i="4"/>
  <c r="Q23" i="4"/>
  <c r="O23" i="4"/>
  <c r="L23" i="4"/>
  <c r="K23" i="4"/>
  <c r="J23" i="4"/>
  <c r="I23" i="4"/>
  <c r="DJ22" i="4"/>
  <c r="DI22" i="4"/>
  <c r="DG22" i="4"/>
  <c r="DH22" i="4" s="1"/>
  <c r="BI22" i="4" s="1"/>
  <c r="BV22" i="4"/>
  <c r="BU22" i="4"/>
  <c r="BT22" i="4"/>
  <c r="BM22" i="4"/>
  <c r="BG22" i="4"/>
  <c r="BA22" i="4"/>
  <c r="BN22" i="4" s="1"/>
  <c r="BQ22" i="4" s="1"/>
  <c r="BR22" i="4" s="1"/>
  <c r="AV22" i="4"/>
  <c r="AT22" i="4"/>
  <c r="O22" i="4" s="1"/>
  <c r="AM22" i="4"/>
  <c r="AH22" i="4"/>
  <c r="Z22" i="4"/>
  <c r="Y22" i="4"/>
  <c r="X22" i="4"/>
  <c r="T22" i="4"/>
  <c r="Q22" i="4"/>
  <c r="DJ21" i="4"/>
  <c r="DI21" i="4"/>
  <c r="DG21" i="4"/>
  <c r="DH21" i="4" s="1"/>
  <c r="BV21" i="4"/>
  <c r="BU21" i="4"/>
  <c r="BQ21" i="4"/>
  <c r="BR21" i="4" s="1"/>
  <c r="BN21" i="4"/>
  <c r="BM21" i="4"/>
  <c r="BJ21" i="4"/>
  <c r="BL21" i="4" s="1"/>
  <c r="BI21" i="4"/>
  <c r="BG21" i="4"/>
  <c r="BK21" i="4" s="1"/>
  <c r="BA21" i="4"/>
  <c r="AV21" i="4"/>
  <c r="AT21" i="4"/>
  <c r="AU21" i="4" s="1"/>
  <c r="AM21" i="4"/>
  <c r="AH21" i="4"/>
  <c r="AG21" i="4"/>
  <c r="AF21" i="4"/>
  <c r="Z21" i="4"/>
  <c r="Y21" i="4"/>
  <c r="X21" i="4"/>
  <c r="T21" i="4"/>
  <c r="U21" i="4" s="1"/>
  <c r="V21" i="4" s="1"/>
  <c r="Q21" i="4"/>
  <c r="O21" i="4"/>
  <c r="L21" i="4"/>
  <c r="K21" i="4"/>
  <c r="J21" i="4"/>
  <c r="I21" i="4" s="1"/>
  <c r="DJ20" i="4"/>
  <c r="DI20" i="4"/>
  <c r="DG20" i="4"/>
  <c r="DH20" i="4" s="1"/>
  <c r="BI20" i="4" s="1"/>
  <c r="BV20" i="4"/>
  <c r="BU20" i="4"/>
  <c r="BT20" i="4"/>
  <c r="BS20" i="4"/>
  <c r="BW20" i="4" s="1"/>
  <c r="BX20" i="4" s="1"/>
  <c r="BM20" i="4"/>
  <c r="BG20" i="4"/>
  <c r="BA20" i="4"/>
  <c r="BN20" i="4" s="1"/>
  <c r="BQ20" i="4" s="1"/>
  <c r="BR20" i="4" s="1"/>
  <c r="AV20" i="4"/>
  <c r="AT20" i="4"/>
  <c r="L20" i="4" s="1"/>
  <c r="AM20" i="4"/>
  <c r="AH20" i="4"/>
  <c r="AG20" i="4"/>
  <c r="J20" i="4" s="1"/>
  <c r="I20" i="4" s="1"/>
  <c r="AB20" i="4" s="1"/>
  <c r="Z20" i="4"/>
  <c r="Y20" i="4"/>
  <c r="X20" i="4"/>
  <c r="T20" i="4"/>
  <c r="Q20" i="4"/>
  <c r="DJ19" i="4"/>
  <c r="DI19" i="4"/>
  <c r="DG19" i="4"/>
  <c r="DH19" i="4" s="1"/>
  <c r="BV19" i="4"/>
  <c r="BU19" i="4"/>
  <c r="BN19" i="4"/>
  <c r="BQ19" i="4" s="1"/>
  <c r="BM19" i="4"/>
  <c r="BL19" i="4"/>
  <c r="BJ19" i="4"/>
  <c r="BI19" i="4"/>
  <c r="BG19" i="4"/>
  <c r="BK19" i="4" s="1"/>
  <c r="BA19" i="4"/>
  <c r="AV19" i="4"/>
  <c r="AT19" i="4"/>
  <c r="AU19" i="4" s="1"/>
  <c r="AM19" i="4"/>
  <c r="AH19" i="4"/>
  <c r="AG19" i="4"/>
  <c r="AF19" i="4"/>
  <c r="Z19" i="4"/>
  <c r="Y19" i="4"/>
  <c r="X19" i="4"/>
  <c r="T19" i="4"/>
  <c r="Q19" i="4"/>
  <c r="O19" i="4"/>
  <c r="L19" i="4"/>
  <c r="K19" i="4"/>
  <c r="J19" i="4"/>
  <c r="I19" i="4"/>
  <c r="AB19" i="4" s="1"/>
  <c r="DJ18" i="4"/>
  <c r="DI18" i="4"/>
  <c r="DG18" i="4"/>
  <c r="DH18" i="4" s="1"/>
  <c r="BI18" i="4" s="1"/>
  <c r="BV18" i="4"/>
  <c r="BU18" i="4"/>
  <c r="BT18" i="4"/>
  <c r="BS18" i="4"/>
  <c r="BW18" i="4" s="1"/>
  <c r="BX18" i="4" s="1"/>
  <c r="BM18" i="4"/>
  <c r="BG18" i="4"/>
  <c r="BA18" i="4"/>
  <c r="BN18" i="4" s="1"/>
  <c r="BQ18" i="4" s="1"/>
  <c r="BR18" i="4" s="1"/>
  <c r="AV18" i="4"/>
  <c r="AT18" i="4"/>
  <c r="O18" i="4" s="1"/>
  <c r="AM18" i="4"/>
  <c r="AH18" i="4"/>
  <c r="AG18" i="4"/>
  <c r="J18" i="4" s="1"/>
  <c r="I18" i="4" s="1"/>
  <c r="AB18" i="4" s="1"/>
  <c r="AF18" i="4"/>
  <c r="K18" i="4" s="1"/>
  <c r="BJ18" i="4" s="1"/>
  <c r="Z18" i="4"/>
  <c r="Y18" i="4"/>
  <c r="X18" i="4"/>
  <c r="T18" i="4"/>
  <c r="Q18" i="4"/>
  <c r="DJ17" i="4"/>
  <c r="DI17" i="4"/>
  <c r="DG17" i="4"/>
  <c r="DH17" i="4" s="1"/>
  <c r="BI17" i="4" s="1"/>
  <c r="BV17" i="4"/>
  <c r="BU17" i="4"/>
  <c r="BN17" i="4"/>
  <c r="BQ17" i="4" s="1"/>
  <c r="BM17" i="4"/>
  <c r="BL17" i="4"/>
  <c r="BK17" i="4"/>
  <c r="BJ17" i="4"/>
  <c r="BG17" i="4"/>
  <c r="BA17" i="4"/>
  <c r="AV17" i="4"/>
  <c r="AT17" i="4"/>
  <c r="AU17" i="4" s="1"/>
  <c r="AM17" i="4"/>
  <c r="AH17" i="4"/>
  <c r="AG17" i="4"/>
  <c r="AF17" i="4"/>
  <c r="Z17" i="4"/>
  <c r="Y17" i="4"/>
  <c r="X17" i="4"/>
  <c r="U17" i="4"/>
  <c r="V17" i="4" s="1"/>
  <c r="T17" i="4"/>
  <c r="Q17" i="4"/>
  <c r="O17" i="4"/>
  <c r="L17" i="4"/>
  <c r="K17" i="4"/>
  <c r="J17" i="4"/>
  <c r="I17" i="4"/>
  <c r="AB17" i="4" s="1"/>
  <c r="DJ29" i="3"/>
  <c r="DI29" i="3"/>
  <c r="DG29" i="3"/>
  <c r="DH29" i="3" s="1"/>
  <c r="BV29" i="3"/>
  <c r="BU29" i="3"/>
  <c r="BM29" i="3"/>
  <c r="BI29" i="3"/>
  <c r="BG29" i="3"/>
  <c r="BA29" i="3"/>
  <c r="BN29" i="3" s="1"/>
  <c r="BQ29" i="3" s="1"/>
  <c r="BR29" i="3" s="1"/>
  <c r="AV29" i="3"/>
  <c r="AT29" i="3"/>
  <c r="AU29" i="3" s="1"/>
  <c r="AM29" i="3"/>
  <c r="AH29" i="3"/>
  <c r="AG29" i="3"/>
  <c r="AF29" i="3"/>
  <c r="AD29" i="3"/>
  <c r="Z29" i="3"/>
  <c r="Y29" i="3"/>
  <c r="X29" i="3"/>
  <c r="T29" i="3"/>
  <c r="U29" i="3" s="1"/>
  <c r="V29" i="3" s="1"/>
  <c r="Q29" i="3"/>
  <c r="O29" i="3"/>
  <c r="L29" i="3"/>
  <c r="K29" i="3"/>
  <c r="BJ29" i="3" s="1"/>
  <c r="BL29" i="3" s="1"/>
  <c r="J29" i="3"/>
  <c r="I29" i="3"/>
  <c r="DJ28" i="3"/>
  <c r="DI28" i="3"/>
  <c r="DG28" i="3"/>
  <c r="DH28" i="3" s="1"/>
  <c r="BI28" i="3" s="1"/>
  <c r="BV28" i="3"/>
  <c r="BU28" i="3"/>
  <c r="BT28" i="3"/>
  <c r="BM28" i="3"/>
  <c r="BG28" i="3"/>
  <c r="BA28" i="3"/>
  <c r="BN28" i="3" s="1"/>
  <c r="BQ28" i="3" s="1"/>
  <c r="BR28" i="3" s="1"/>
  <c r="AV28" i="3"/>
  <c r="AT28" i="3"/>
  <c r="AU28" i="3" s="1"/>
  <c r="AM28" i="3"/>
  <c r="AH28" i="3"/>
  <c r="AG28" i="3"/>
  <c r="AF28" i="3"/>
  <c r="K28" i="3" s="1"/>
  <c r="BJ28" i="3" s="1"/>
  <c r="Z28" i="3"/>
  <c r="Y28" i="3"/>
  <c r="X28" i="3"/>
  <c r="T28" i="3"/>
  <c r="Q28" i="3"/>
  <c r="O28" i="3"/>
  <c r="L28" i="3"/>
  <c r="J28" i="3"/>
  <c r="I28" i="3"/>
  <c r="DJ27" i="3"/>
  <c r="DI27" i="3"/>
  <c r="DG27" i="3"/>
  <c r="DH27" i="3" s="1"/>
  <c r="BV27" i="3"/>
  <c r="BU27" i="3"/>
  <c r="BM27" i="3"/>
  <c r="BI27" i="3"/>
  <c r="BG27" i="3"/>
  <c r="BK27" i="3" s="1"/>
  <c r="BA27" i="3"/>
  <c r="BN27" i="3" s="1"/>
  <c r="BQ27" i="3" s="1"/>
  <c r="AV27" i="3"/>
  <c r="AT27" i="3"/>
  <c r="AU27" i="3" s="1"/>
  <c r="AM27" i="3"/>
  <c r="AH27" i="3"/>
  <c r="AG27" i="3"/>
  <c r="AF27" i="3"/>
  <c r="Z27" i="3"/>
  <c r="Y27" i="3"/>
  <c r="X27" i="3"/>
  <c r="T27" i="3"/>
  <c r="Q27" i="3"/>
  <c r="O27" i="3"/>
  <c r="L27" i="3"/>
  <c r="K27" i="3"/>
  <c r="BJ27" i="3" s="1"/>
  <c r="BL27" i="3" s="1"/>
  <c r="J27" i="3"/>
  <c r="I27" i="3"/>
  <c r="DJ26" i="3"/>
  <c r="DI26" i="3"/>
  <c r="DG26" i="3"/>
  <c r="DH26" i="3" s="1"/>
  <c r="BV26" i="3"/>
  <c r="BU26" i="3"/>
  <c r="BM26" i="3"/>
  <c r="BI26" i="3"/>
  <c r="BG26" i="3"/>
  <c r="BK26" i="3" s="1"/>
  <c r="BA26" i="3"/>
  <c r="BN26" i="3" s="1"/>
  <c r="BQ26" i="3" s="1"/>
  <c r="BR26" i="3" s="1"/>
  <c r="AV26" i="3"/>
  <c r="AT26" i="3"/>
  <c r="AU26" i="3" s="1"/>
  <c r="AM26" i="3"/>
  <c r="AH26" i="3"/>
  <c r="AG26" i="3"/>
  <c r="J26" i="3" s="1"/>
  <c r="I26" i="3" s="1"/>
  <c r="AF26" i="3"/>
  <c r="K26" i="3" s="1"/>
  <c r="BJ26" i="3" s="1"/>
  <c r="BL26" i="3" s="1"/>
  <c r="Z26" i="3"/>
  <c r="Y26" i="3"/>
  <c r="X26" i="3"/>
  <c r="T26" i="3"/>
  <c r="U26" i="3" s="1"/>
  <c r="V26" i="3" s="1"/>
  <c r="W26" i="3" s="1"/>
  <c r="AA26" i="3" s="1"/>
  <c r="Q26" i="3"/>
  <c r="O26" i="3"/>
  <c r="L26" i="3"/>
  <c r="DJ25" i="3"/>
  <c r="DI25" i="3"/>
  <c r="DG25" i="3"/>
  <c r="DH25" i="3" s="1"/>
  <c r="BI25" i="3" s="1"/>
  <c r="BV25" i="3"/>
  <c r="BU25" i="3"/>
  <c r="BT25" i="3"/>
  <c r="BS25" i="3"/>
  <c r="BW25" i="3" s="1"/>
  <c r="BX25" i="3" s="1"/>
  <c r="BM25" i="3"/>
  <c r="BG25" i="3"/>
  <c r="BA25" i="3"/>
  <c r="BN25" i="3" s="1"/>
  <c r="BQ25" i="3" s="1"/>
  <c r="BR25" i="3" s="1"/>
  <c r="AV25" i="3"/>
  <c r="AT25" i="3"/>
  <c r="AU25" i="3" s="1"/>
  <c r="AM25" i="3"/>
  <c r="AH25" i="3"/>
  <c r="AG25" i="3"/>
  <c r="AF25" i="3"/>
  <c r="Z25" i="3"/>
  <c r="Y25" i="3"/>
  <c r="X25" i="3"/>
  <c r="T25" i="3"/>
  <c r="U25" i="3" s="1"/>
  <c r="V25" i="3" s="1"/>
  <c r="Q25" i="3"/>
  <c r="O25" i="3"/>
  <c r="L25" i="3"/>
  <c r="K25" i="3"/>
  <c r="BJ25" i="3" s="1"/>
  <c r="BL25" i="3" s="1"/>
  <c r="J25" i="3"/>
  <c r="I25" i="3"/>
  <c r="DJ24" i="3"/>
  <c r="DI24" i="3"/>
  <c r="DG24" i="3"/>
  <c r="DH24" i="3" s="1"/>
  <c r="BV24" i="3"/>
  <c r="BU24" i="3"/>
  <c r="BT24" i="3"/>
  <c r="BS24" i="3"/>
  <c r="BW24" i="3" s="1"/>
  <c r="BX24" i="3" s="1"/>
  <c r="BM24" i="3"/>
  <c r="BI24" i="3"/>
  <c r="BG24" i="3"/>
  <c r="BA24" i="3"/>
  <c r="BN24" i="3" s="1"/>
  <c r="BQ24" i="3" s="1"/>
  <c r="BR24" i="3" s="1"/>
  <c r="AV24" i="3"/>
  <c r="AT24" i="3"/>
  <c r="AU24" i="3" s="1"/>
  <c r="AM24" i="3"/>
  <c r="AH24" i="3"/>
  <c r="AG24" i="3"/>
  <c r="J24" i="3" s="1"/>
  <c r="I24" i="3" s="1"/>
  <c r="AF24" i="3"/>
  <c r="K24" i="3" s="1"/>
  <c r="BJ24" i="3" s="1"/>
  <c r="Z24" i="3"/>
  <c r="Y24" i="3"/>
  <c r="X24" i="3"/>
  <c r="T24" i="3"/>
  <c r="Q24" i="3"/>
  <c r="O24" i="3"/>
  <c r="L24" i="3"/>
  <c r="DJ23" i="3"/>
  <c r="DI23" i="3"/>
  <c r="DG23" i="3"/>
  <c r="DH23" i="3" s="1"/>
  <c r="BV23" i="3"/>
  <c r="BU23" i="3"/>
  <c r="BM23" i="3"/>
  <c r="BI23" i="3"/>
  <c r="BG23" i="3"/>
  <c r="BK23" i="3" s="1"/>
  <c r="BA23" i="3"/>
  <c r="BN23" i="3" s="1"/>
  <c r="BQ23" i="3" s="1"/>
  <c r="AV23" i="3"/>
  <c r="AT23" i="3"/>
  <c r="AU23" i="3" s="1"/>
  <c r="AM23" i="3"/>
  <c r="AH23" i="3"/>
  <c r="AG23" i="3"/>
  <c r="AF23" i="3"/>
  <c r="Z23" i="3"/>
  <c r="Y23" i="3"/>
  <c r="X23" i="3"/>
  <c r="T23" i="3"/>
  <c r="Q23" i="3"/>
  <c r="O23" i="3"/>
  <c r="L23" i="3"/>
  <c r="K23" i="3"/>
  <c r="BJ23" i="3" s="1"/>
  <c r="BL23" i="3" s="1"/>
  <c r="J23" i="3"/>
  <c r="I23" i="3" s="1"/>
  <c r="DJ22" i="3"/>
  <c r="DI22" i="3"/>
  <c r="DG22" i="3"/>
  <c r="DH22" i="3" s="1"/>
  <c r="BV22" i="3"/>
  <c r="BU22" i="3"/>
  <c r="BM22" i="3"/>
  <c r="BI22" i="3"/>
  <c r="BG22" i="3"/>
  <c r="BK22" i="3" s="1"/>
  <c r="BA22" i="3"/>
  <c r="BN22" i="3" s="1"/>
  <c r="BQ22" i="3" s="1"/>
  <c r="BR22" i="3" s="1"/>
  <c r="AV22" i="3"/>
  <c r="AT22" i="3"/>
  <c r="AU22" i="3" s="1"/>
  <c r="AM22" i="3"/>
  <c r="AH22" i="3"/>
  <c r="AG22" i="3"/>
  <c r="J22" i="3" s="1"/>
  <c r="I22" i="3" s="1"/>
  <c r="AF22" i="3"/>
  <c r="K22" i="3" s="1"/>
  <c r="BJ22" i="3" s="1"/>
  <c r="BL22" i="3" s="1"/>
  <c r="Z22" i="3"/>
  <c r="Y22" i="3"/>
  <c r="X22" i="3"/>
  <c r="T22" i="3"/>
  <c r="Q22" i="3"/>
  <c r="O22" i="3"/>
  <c r="L22" i="3"/>
  <c r="DJ21" i="3"/>
  <c r="DI21" i="3"/>
  <c r="DG21" i="3"/>
  <c r="DH21" i="3" s="1"/>
  <c r="BI21" i="3" s="1"/>
  <c r="BV21" i="3"/>
  <c r="BU21" i="3"/>
  <c r="BT21" i="3"/>
  <c r="BS21" i="3"/>
  <c r="BW21" i="3" s="1"/>
  <c r="BX21" i="3" s="1"/>
  <c r="BM21" i="3"/>
  <c r="BG21" i="3"/>
  <c r="BA21" i="3"/>
  <c r="BN21" i="3" s="1"/>
  <c r="BQ21" i="3" s="1"/>
  <c r="BR21" i="3" s="1"/>
  <c r="AV21" i="3"/>
  <c r="AT21" i="3"/>
  <c r="AU21" i="3" s="1"/>
  <c r="AM21" i="3"/>
  <c r="AH21" i="3"/>
  <c r="AG21" i="3"/>
  <c r="AF21" i="3"/>
  <c r="Z21" i="3"/>
  <c r="Y21" i="3"/>
  <c r="X21" i="3"/>
  <c r="T21" i="3"/>
  <c r="U21" i="3" s="1"/>
  <c r="V21" i="3" s="1"/>
  <c r="Q21" i="3"/>
  <c r="O21" i="3"/>
  <c r="L21" i="3"/>
  <c r="K21" i="3"/>
  <c r="BJ21" i="3" s="1"/>
  <c r="J21" i="3"/>
  <c r="I21" i="3"/>
  <c r="DJ20" i="3"/>
  <c r="DI20" i="3"/>
  <c r="DG20" i="3"/>
  <c r="DH20" i="3" s="1"/>
  <c r="BV20" i="3"/>
  <c r="BU20" i="3"/>
  <c r="BT20" i="3"/>
  <c r="BS20" i="3"/>
  <c r="BW20" i="3" s="1"/>
  <c r="BX20" i="3" s="1"/>
  <c r="BM20" i="3"/>
  <c r="BI20" i="3"/>
  <c r="BG20" i="3"/>
  <c r="BK20" i="3" s="1"/>
  <c r="BA20" i="3"/>
  <c r="BN20" i="3" s="1"/>
  <c r="BQ20" i="3" s="1"/>
  <c r="BR20" i="3" s="1"/>
  <c r="AV20" i="3"/>
  <c r="AT20" i="3"/>
  <c r="AU20" i="3" s="1"/>
  <c r="AM20" i="3"/>
  <c r="AH20" i="3"/>
  <c r="AG20" i="3"/>
  <c r="J20" i="3" s="1"/>
  <c r="I20" i="3" s="1"/>
  <c r="AF20" i="3"/>
  <c r="K20" i="3" s="1"/>
  <c r="BJ20" i="3" s="1"/>
  <c r="Z20" i="3"/>
  <c r="Y20" i="3"/>
  <c r="X20" i="3"/>
  <c r="T20" i="3"/>
  <c r="Q20" i="3"/>
  <c r="O20" i="3"/>
  <c r="L20" i="3"/>
  <c r="DJ19" i="3"/>
  <c r="DI19" i="3"/>
  <c r="DG19" i="3"/>
  <c r="DH19" i="3" s="1"/>
  <c r="BV19" i="3"/>
  <c r="BU19" i="3"/>
  <c r="BM19" i="3"/>
  <c r="BI19" i="3"/>
  <c r="BG19" i="3"/>
  <c r="BK19" i="3" s="1"/>
  <c r="BA19" i="3"/>
  <c r="BN19" i="3" s="1"/>
  <c r="BQ19" i="3" s="1"/>
  <c r="AV19" i="3"/>
  <c r="AT19" i="3"/>
  <c r="AU19" i="3" s="1"/>
  <c r="AM19" i="3"/>
  <c r="AH19" i="3"/>
  <c r="AG19" i="3"/>
  <c r="AF19" i="3"/>
  <c r="Z19" i="3"/>
  <c r="Y19" i="3"/>
  <c r="X19" i="3"/>
  <c r="T19" i="3"/>
  <c r="Q19" i="3"/>
  <c r="O19" i="3"/>
  <c r="L19" i="3"/>
  <c r="K19" i="3"/>
  <c r="BJ19" i="3" s="1"/>
  <c r="BL19" i="3" s="1"/>
  <c r="J19" i="3"/>
  <c r="I19" i="3"/>
  <c r="DJ18" i="3"/>
  <c r="DI18" i="3"/>
  <c r="DG18" i="3"/>
  <c r="DH18" i="3" s="1"/>
  <c r="BV18" i="3"/>
  <c r="BU18" i="3"/>
  <c r="BM18" i="3"/>
  <c r="BI18" i="3"/>
  <c r="BG18" i="3"/>
  <c r="BK18" i="3" s="1"/>
  <c r="BA18" i="3"/>
  <c r="BN18" i="3" s="1"/>
  <c r="BQ18" i="3" s="1"/>
  <c r="BR18" i="3" s="1"/>
  <c r="AV18" i="3"/>
  <c r="AT18" i="3"/>
  <c r="AU18" i="3" s="1"/>
  <c r="AM18" i="3"/>
  <c r="AH18" i="3"/>
  <c r="AG18" i="3"/>
  <c r="J18" i="3" s="1"/>
  <c r="I18" i="3" s="1"/>
  <c r="AF18" i="3"/>
  <c r="K18" i="3" s="1"/>
  <c r="BJ18" i="3" s="1"/>
  <c r="BL18" i="3" s="1"/>
  <c r="Z18" i="3"/>
  <c r="Y18" i="3"/>
  <c r="X18" i="3"/>
  <c r="T18" i="3"/>
  <c r="Q18" i="3"/>
  <c r="O18" i="3"/>
  <c r="L18" i="3"/>
  <c r="DJ17" i="3"/>
  <c r="DI17" i="3"/>
  <c r="DG17" i="3"/>
  <c r="DH17" i="3" s="1"/>
  <c r="BI17" i="3" s="1"/>
  <c r="BV17" i="3"/>
  <c r="BU17" i="3"/>
  <c r="BT17" i="3"/>
  <c r="BS17" i="3"/>
  <c r="BW17" i="3" s="1"/>
  <c r="BX17" i="3" s="1"/>
  <c r="BM17" i="3"/>
  <c r="BG17" i="3"/>
  <c r="BK17" i="3" s="1"/>
  <c r="BA17" i="3"/>
  <c r="BN17" i="3" s="1"/>
  <c r="BQ17" i="3" s="1"/>
  <c r="BR17" i="3" s="1"/>
  <c r="AV17" i="3"/>
  <c r="AT17" i="3"/>
  <c r="AU17" i="3" s="1"/>
  <c r="AM17" i="3"/>
  <c r="AH17" i="3"/>
  <c r="AG17" i="3"/>
  <c r="AF17" i="3"/>
  <c r="Z17" i="3"/>
  <c r="Y17" i="3"/>
  <c r="X17" i="3"/>
  <c r="T17" i="3"/>
  <c r="U17" i="3" s="1"/>
  <c r="V17" i="3" s="1"/>
  <c r="Q17" i="3"/>
  <c r="O17" i="3"/>
  <c r="L17" i="3"/>
  <c r="K17" i="3"/>
  <c r="BJ17" i="3" s="1"/>
  <c r="BL17" i="3" s="1"/>
  <c r="J17" i="3"/>
  <c r="I17" i="3"/>
  <c r="DJ29" i="2"/>
  <c r="DI29" i="2"/>
  <c r="DG29" i="2"/>
  <c r="DH29" i="2" s="1"/>
  <c r="BV29" i="2"/>
  <c r="BU29" i="2"/>
  <c r="BM29" i="2"/>
  <c r="BJ29" i="2"/>
  <c r="BL29" i="2" s="1"/>
  <c r="BI29" i="2"/>
  <c r="BG29" i="2"/>
  <c r="BK29" i="2" s="1"/>
  <c r="BA29" i="2"/>
  <c r="BN29" i="2" s="1"/>
  <c r="BQ29" i="2" s="1"/>
  <c r="AV29" i="2"/>
  <c r="AT29" i="2"/>
  <c r="AU29" i="2" s="1"/>
  <c r="AM29" i="2"/>
  <c r="AH29" i="2"/>
  <c r="AG29" i="2"/>
  <c r="AF29" i="2"/>
  <c r="Z29" i="2"/>
  <c r="Y29" i="2"/>
  <c r="X29" i="2"/>
  <c r="T29" i="2"/>
  <c r="Q29" i="2"/>
  <c r="O29" i="2"/>
  <c r="L29" i="2"/>
  <c r="K29" i="2"/>
  <c r="J29" i="2"/>
  <c r="I29" i="2"/>
  <c r="DJ28" i="2"/>
  <c r="DI28" i="2"/>
  <c r="DG28" i="2"/>
  <c r="BV28" i="2"/>
  <c r="BU28" i="2"/>
  <c r="BM28" i="2"/>
  <c r="BG28" i="2"/>
  <c r="BA28" i="2"/>
  <c r="BN28" i="2" s="1"/>
  <c r="BQ28" i="2" s="1"/>
  <c r="BR28" i="2" s="1"/>
  <c r="AV28" i="2"/>
  <c r="AT28" i="2"/>
  <c r="O28" i="2" s="1"/>
  <c r="AM28" i="2"/>
  <c r="AH28" i="2"/>
  <c r="AG28" i="2"/>
  <c r="J28" i="2" s="1"/>
  <c r="I28" i="2" s="1"/>
  <c r="AF28" i="2"/>
  <c r="K28" i="2" s="1"/>
  <c r="BJ28" i="2" s="1"/>
  <c r="Z28" i="2"/>
  <c r="Y28" i="2"/>
  <c r="X28" i="2"/>
  <c r="Q28" i="2"/>
  <c r="DJ27" i="2"/>
  <c r="DI27" i="2"/>
  <c r="DG27" i="2"/>
  <c r="DH27" i="2" s="1"/>
  <c r="BI27" i="2" s="1"/>
  <c r="BV27" i="2"/>
  <c r="BU27" i="2"/>
  <c r="BM27" i="2"/>
  <c r="BJ27" i="2"/>
  <c r="BL27" i="2" s="1"/>
  <c r="BG27" i="2"/>
  <c r="BK27" i="2" s="1"/>
  <c r="BA27" i="2"/>
  <c r="BN27" i="2" s="1"/>
  <c r="BQ27" i="2" s="1"/>
  <c r="AV27" i="2"/>
  <c r="AT27" i="2"/>
  <c r="AU27" i="2" s="1"/>
  <c r="AM27" i="2"/>
  <c r="AH27" i="2"/>
  <c r="AG27" i="2"/>
  <c r="AF27" i="2"/>
  <c r="AB27" i="2"/>
  <c r="Z27" i="2"/>
  <c r="Y27" i="2"/>
  <c r="X27" i="2"/>
  <c r="T27" i="2"/>
  <c r="Q27" i="2"/>
  <c r="O27" i="2"/>
  <c r="L27" i="2"/>
  <c r="K27" i="2"/>
  <c r="J27" i="2"/>
  <c r="I27" i="2"/>
  <c r="DJ26" i="2"/>
  <c r="DI26" i="2"/>
  <c r="DG26" i="2"/>
  <c r="T26" i="2" s="1"/>
  <c r="BV26" i="2"/>
  <c r="BU26" i="2"/>
  <c r="BM26" i="2"/>
  <c r="BG26" i="2"/>
  <c r="BA26" i="2"/>
  <c r="BN26" i="2" s="1"/>
  <c r="BQ26" i="2" s="1"/>
  <c r="BR26" i="2" s="1"/>
  <c r="AV26" i="2"/>
  <c r="AT26" i="2"/>
  <c r="O26" i="2" s="1"/>
  <c r="AM26" i="2"/>
  <c r="AH26" i="2"/>
  <c r="AG26" i="2"/>
  <c r="J26" i="2" s="1"/>
  <c r="I26" i="2" s="1"/>
  <c r="AF26" i="2"/>
  <c r="K26" i="2" s="1"/>
  <c r="BJ26" i="2" s="1"/>
  <c r="Z26" i="2"/>
  <c r="Y26" i="2"/>
  <c r="X26" i="2"/>
  <c r="Q26" i="2"/>
  <c r="DJ25" i="2"/>
  <c r="DI25" i="2"/>
  <c r="DG25" i="2"/>
  <c r="DH25" i="2" s="1"/>
  <c r="BI25" i="2" s="1"/>
  <c r="BV25" i="2"/>
  <c r="BU25" i="2"/>
  <c r="BM25" i="2"/>
  <c r="BJ25" i="2"/>
  <c r="BL25" i="2" s="1"/>
  <c r="BG25" i="2"/>
  <c r="BK25" i="2" s="1"/>
  <c r="BA25" i="2"/>
  <c r="BN25" i="2" s="1"/>
  <c r="BQ25" i="2" s="1"/>
  <c r="AV25" i="2"/>
  <c r="AT25" i="2"/>
  <c r="AU25" i="2" s="1"/>
  <c r="AM25" i="2"/>
  <c r="AH25" i="2"/>
  <c r="AG25" i="2"/>
  <c r="AF25" i="2"/>
  <c r="AB25" i="2"/>
  <c r="Z25" i="2"/>
  <c r="Y25" i="2"/>
  <c r="X25" i="2"/>
  <c r="T25" i="2"/>
  <c r="Q25" i="2"/>
  <c r="O25" i="2"/>
  <c r="L25" i="2"/>
  <c r="K25" i="2"/>
  <c r="J25" i="2"/>
  <c r="I25" i="2"/>
  <c r="DJ24" i="2"/>
  <c r="DI24" i="2"/>
  <c r="DG24" i="2"/>
  <c r="T24" i="2" s="1"/>
  <c r="BV24" i="2"/>
  <c r="BU24" i="2"/>
  <c r="BT24" i="2"/>
  <c r="BM24" i="2"/>
  <c r="BG24" i="2"/>
  <c r="BA24" i="2"/>
  <c r="BN24" i="2" s="1"/>
  <c r="BQ24" i="2" s="1"/>
  <c r="BR24" i="2" s="1"/>
  <c r="AV24" i="2"/>
  <c r="AT24" i="2"/>
  <c r="O24" i="2" s="1"/>
  <c r="AM24" i="2"/>
  <c r="AH24" i="2"/>
  <c r="AG24" i="2"/>
  <c r="J24" i="2" s="1"/>
  <c r="I24" i="2" s="1"/>
  <c r="AF24" i="2"/>
  <c r="K24" i="2" s="1"/>
  <c r="BJ24" i="2" s="1"/>
  <c r="Z24" i="2"/>
  <c r="Y24" i="2"/>
  <c r="X24" i="2"/>
  <c r="Q24" i="2"/>
  <c r="DJ23" i="2"/>
  <c r="DI23" i="2"/>
  <c r="DG23" i="2"/>
  <c r="DH23" i="2" s="1"/>
  <c r="BI23" i="2" s="1"/>
  <c r="BV23" i="2"/>
  <c r="BU23" i="2"/>
  <c r="BN23" i="2"/>
  <c r="BQ23" i="2" s="1"/>
  <c r="BM23" i="2"/>
  <c r="BJ23" i="2"/>
  <c r="BG23" i="2"/>
  <c r="BA23" i="2"/>
  <c r="AV23" i="2"/>
  <c r="AT23" i="2"/>
  <c r="AU23" i="2" s="1"/>
  <c r="AM23" i="2"/>
  <c r="AH23" i="2"/>
  <c r="AG23" i="2"/>
  <c r="AF23" i="2"/>
  <c r="AB23" i="2"/>
  <c r="Z23" i="2"/>
  <c r="Y23" i="2"/>
  <c r="X23" i="2"/>
  <c r="T23" i="2"/>
  <c r="U23" i="2" s="1"/>
  <c r="V23" i="2" s="1"/>
  <c r="Q23" i="2"/>
  <c r="O23" i="2"/>
  <c r="L23" i="2"/>
  <c r="K23" i="2"/>
  <c r="J23" i="2"/>
  <c r="I23" i="2"/>
  <c r="DJ22" i="2"/>
  <c r="DI22" i="2"/>
  <c r="DG22" i="2"/>
  <c r="T22" i="2" s="1"/>
  <c r="BV22" i="2"/>
  <c r="BU22" i="2"/>
  <c r="BM22" i="2"/>
  <c r="BG22" i="2"/>
  <c r="BA22" i="2"/>
  <c r="BN22" i="2" s="1"/>
  <c r="BQ22" i="2" s="1"/>
  <c r="BR22" i="2" s="1"/>
  <c r="AV22" i="2"/>
  <c r="AT22" i="2"/>
  <c r="L22" i="2" s="1"/>
  <c r="AM22" i="2"/>
  <c r="AH22" i="2"/>
  <c r="AG22" i="2"/>
  <c r="J22" i="2" s="1"/>
  <c r="I22" i="2" s="1"/>
  <c r="AF22" i="2"/>
  <c r="K22" i="2" s="1"/>
  <c r="BJ22" i="2" s="1"/>
  <c r="Z22" i="2"/>
  <c r="Y22" i="2"/>
  <c r="X22" i="2"/>
  <c r="Q22" i="2"/>
  <c r="O22" i="2"/>
  <c r="DJ21" i="2"/>
  <c r="DI21" i="2"/>
  <c r="DG21" i="2"/>
  <c r="DH21" i="2" s="1"/>
  <c r="BV21" i="2"/>
  <c r="BU21" i="2"/>
  <c r="BM21" i="2"/>
  <c r="BJ21" i="2"/>
  <c r="BL21" i="2" s="1"/>
  <c r="BI21" i="2"/>
  <c r="BG21" i="2"/>
  <c r="BK21" i="2" s="1"/>
  <c r="BA21" i="2"/>
  <c r="BN21" i="2" s="1"/>
  <c r="BQ21" i="2" s="1"/>
  <c r="AV21" i="2"/>
  <c r="AT21" i="2"/>
  <c r="AU21" i="2" s="1"/>
  <c r="AM21" i="2"/>
  <c r="AH21" i="2"/>
  <c r="AG21" i="2"/>
  <c r="AF21" i="2"/>
  <c r="AB21" i="2"/>
  <c r="Z21" i="2"/>
  <c r="Y21" i="2"/>
  <c r="X21" i="2"/>
  <c r="T21" i="2"/>
  <c r="Q21" i="2"/>
  <c r="O21" i="2"/>
  <c r="L21" i="2"/>
  <c r="K21" i="2"/>
  <c r="J21" i="2"/>
  <c r="I21" i="2"/>
  <c r="DJ20" i="2"/>
  <c r="DI20" i="2"/>
  <c r="DG20" i="2"/>
  <c r="T20" i="2" s="1"/>
  <c r="BV20" i="2"/>
  <c r="BU20" i="2"/>
  <c r="BM20" i="2"/>
  <c r="BG20" i="2"/>
  <c r="BA20" i="2"/>
  <c r="BN20" i="2" s="1"/>
  <c r="BQ20" i="2" s="1"/>
  <c r="BR20" i="2" s="1"/>
  <c r="AV20" i="2"/>
  <c r="AT20" i="2"/>
  <c r="AG20" i="2" s="1"/>
  <c r="J20" i="2" s="1"/>
  <c r="I20" i="2" s="1"/>
  <c r="AM20" i="2"/>
  <c r="AH20" i="2"/>
  <c r="Z20" i="2"/>
  <c r="Y20" i="2"/>
  <c r="X20" i="2"/>
  <c r="Q20" i="2"/>
  <c r="DJ19" i="2"/>
  <c r="DI19" i="2"/>
  <c r="DG19" i="2"/>
  <c r="DH19" i="2" s="1"/>
  <c r="BV19" i="2"/>
  <c r="BU19" i="2"/>
  <c r="BM19" i="2"/>
  <c r="BJ19" i="2"/>
  <c r="BL19" i="2" s="1"/>
  <c r="BI19" i="2"/>
  <c r="BG19" i="2"/>
  <c r="BK19" i="2" s="1"/>
  <c r="BA19" i="2"/>
  <c r="BN19" i="2" s="1"/>
  <c r="BQ19" i="2" s="1"/>
  <c r="AV19" i="2"/>
  <c r="AT19" i="2"/>
  <c r="AU19" i="2" s="1"/>
  <c r="AM19" i="2"/>
  <c r="AH19" i="2"/>
  <c r="AG19" i="2"/>
  <c r="AF19" i="2"/>
  <c r="Z19" i="2"/>
  <c r="Y19" i="2"/>
  <c r="X19" i="2"/>
  <c r="T19" i="2"/>
  <c r="Q19" i="2"/>
  <c r="O19" i="2"/>
  <c r="L19" i="2"/>
  <c r="K19" i="2"/>
  <c r="J19" i="2"/>
  <c r="I19" i="2"/>
  <c r="DJ18" i="2"/>
  <c r="DI18" i="2"/>
  <c r="DG18" i="2"/>
  <c r="BV18" i="2"/>
  <c r="BU18" i="2"/>
  <c r="BM18" i="2"/>
  <c r="BG18" i="2"/>
  <c r="BA18" i="2"/>
  <c r="BN18" i="2" s="1"/>
  <c r="BQ18" i="2" s="1"/>
  <c r="BR18" i="2" s="1"/>
  <c r="AV18" i="2"/>
  <c r="AT18" i="2"/>
  <c r="L18" i="2" s="1"/>
  <c r="AM18" i="2"/>
  <c r="AH18" i="2"/>
  <c r="AG18" i="2"/>
  <c r="J18" i="2" s="1"/>
  <c r="I18" i="2" s="1"/>
  <c r="AF18" i="2"/>
  <c r="K18" i="2" s="1"/>
  <c r="BJ18" i="2" s="1"/>
  <c r="Z18" i="2"/>
  <c r="Y18" i="2"/>
  <c r="X18" i="2"/>
  <c r="Q18" i="2"/>
  <c r="DJ17" i="2"/>
  <c r="DI17" i="2"/>
  <c r="DG17" i="2"/>
  <c r="DH17" i="2" s="1"/>
  <c r="BI17" i="2" s="1"/>
  <c r="BV17" i="2"/>
  <c r="BU17" i="2"/>
  <c r="BM17" i="2"/>
  <c r="BJ17" i="2"/>
  <c r="BL17" i="2" s="1"/>
  <c r="BG17" i="2"/>
  <c r="BK17" i="2" s="1"/>
  <c r="BA17" i="2"/>
  <c r="BN17" i="2" s="1"/>
  <c r="BQ17" i="2" s="1"/>
  <c r="AV17" i="2"/>
  <c r="AT17" i="2"/>
  <c r="AU17" i="2" s="1"/>
  <c r="AM17" i="2"/>
  <c r="AH17" i="2"/>
  <c r="AG17" i="2"/>
  <c r="AF17" i="2"/>
  <c r="Z17" i="2"/>
  <c r="Y17" i="2"/>
  <c r="X17" i="2"/>
  <c r="T17" i="2"/>
  <c r="Q17" i="2"/>
  <c r="O17" i="2"/>
  <c r="L17" i="2"/>
  <c r="K17" i="2"/>
  <c r="J17" i="2"/>
  <c r="I17" i="2"/>
  <c r="DJ29" i="1"/>
  <c r="DI29" i="1"/>
  <c r="DG29" i="1"/>
  <c r="DH29" i="1" s="1"/>
  <c r="BI29" i="1" s="1"/>
  <c r="BV29" i="1"/>
  <c r="BU29" i="1"/>
  <c r="BT29" i="1"/>
  <c r="BS29" i="1"/>
  <c r="BW29" i="1" s="1"/>
  <c r="BX29" i="1" s="1"/>
  <c r="BM29" i="1"/>
  <c r="BJ29" i="1"/>
  <c r="BL29" i="1" s="1"/>
  <c r="BG29" i="1"/>
  <c r="BA29" i="1"/>
  <c r="BN29" i="1" s="1"/>
  <c r="BQ29" i="1" s="1"/>
  <c r="BR29" i="1" s="1"/>
  <c r="AV29" i="1"/>
  <c r="AT29" i="1"/>
  <c r="AU29" i="1" s="1"/>
  <c r="AM29" i="1"/>
  <c r="AH29" i="1"/>
  <c r="AG29" i="1"/>
  <c r="J29" i="1" s="1"/>
  <c r="I29" i="1" s="1"/>
  <c r="AF29" i="1"/>
  <c r="K29" i="1" s="1"/>
  <c r="Z29" i="1"/>
  <c r="Y29" i="1"/>
  <c r="X29" i="1"/>
  <c r="T29" i="1"/>
  <c r="U29" i="1" s="1"/>
  <c r="V29" i="1" s="1"/>
  <c r="Q29" i="1"/>
  <c r="O29" i="1"/>
  <c r="L29" i="1"/>
  <c r="DJ28" i="1"/>
  <c r="DI28" i="1"/>
  <c r="DG28" i="1"/>
  <c r="DH28" i="1" s="1"/>
  <c r="BV28" i="1"/>
  <c r="BU28" i="1"/>
  <c r="BM28" i="1"/>
  <c r="BI28" i="1"/>
  <c r="BG28" i="1"/>
  <c r="BK28" i="1" s="1"/>
  <c r="BA28" i="1"/>
  <c r="BN28" i="1" s="1"/>
  <c r="BQ28" i="1" s="1"/>
  <c r="AV28" i="1"/>
  <c r="AT28" i="1"/>
  <c r="AU28" i="1" s="1"/>
  <c r="AM28" i="1"/>
  <c r="AH28" i="1"/>
  <c r="AG28" i="1"/>
  <c r="AF28" i="1"/>
  <c r="Z28" i="1"/>
  <c r="Y28" i="1"/>
  <c r="X28" i="1"/>
  <c r="T28" i="1"/>
  <c r="Q28" i="1"/>
  <c r="O28" i="1"/>
  <c r="L28" i="1"/>
  <c r="K28" i="1"/>
  <c r="BJ28" i="1" s="1"/>
  <c r="BL28" i="1" s="1"/>
  <c r="J28" i="1"/>
  <c r="I28" i="1"/>
  <c r="DJ27" i="1"/>
  <c r="DI27" i="1"/>
  <c r="DG27" i="1"/>
  <c r="DH27" i="1" s="1"/>
  <c r="BV27" i="1"/>
  <c r="BU27" i="1"/>
  <c r="BM27" i="1"/>
  <c r="BI27" i="1"/>
  <c r="BG27" i="1"/>
  <c r="BK27" i="1" s="1"/>
  <c r="BA27" i="1"/>
  <c r="BN27" i="1" s="1"/>
  <c r="BQ27" i="1" s="1"/>
  <c r="BR27" i="1" s="1"/>
  <c r="AV27" i="1"/>
  <c r="AT27" i="1"/>
  <c r="AU27" i="1" s="1"/>
  <c r="AM27" i="1"/>
  <c r="AH27" i="1"/>
  <c r="AG27" i="1"/>
  <c r="J27" i="1" s="1"/>
  <c r="I27" i="1" s="1"/>
  <c r="AF27" i="1"/>
  <c r="Z27" i="1"/>
  <c r="Y27" i="1"/>
  <c r="X27" i="1"/>
  <c r="T27" i="1"/>
  <c r="Q27" i="1"/>
  <c r="O27" i="1"/>
  <c r="L27" i="1"/>
  <c r="K27" i="1"/>
  <c r="BJ27" i="1" s="1"/>
  <c r="BL27" i="1" s="1"/>
  <c r="DJ26" i="1"/>
  <c r="DI26" i="1"/>
  <c r="DG26" i="1"/>
  <c r="DH26" i="1" s="1"/>
  <c r="BV26" i="1"/>
  <c r="BU26" i="1"/>
  <c r="BM26" i="1"/>
  <c r="BI26" i="1"/>
  <c r="BG26" i="1"/>
  <c r="BK26" i="1" s="1"/>
  <c r="BA26" i="1"/>
  <c r="BN26" i="1" s="1"/>
  <c r="BQ26" i="1" s="1"/>
  <c r="BR26" i="1" s="1"/>
  <c r="AV26" i="1"/>
  <c r="AT26" i="1"/>
  <c r="AU26" i="1" s="1"/>
  <c r="AM26" i="1"/>
  <c r="AH26" i="1"/>
  <c r="AG26" i="1"/>
  <c r="J26" i="1" s="1"/>
  <c r="I26" i="1" s="1"/>
  <c r="AF26" i="1"/>
  <c r="K26" i="1" s="1"/>
  <c r="BJ26" i="1" s="1"/>
  <c r="BL26" i="1" s="1"/>
  <c r="Z26" i="1"/>
  <c r="Y26" i="1"/>
  <c r="X26" i="1"/>
  <c r="T26" i="1"/>
  <c r="Q26" i="1"/>
  <c r="O26" i="1"/>
  <c r="L26" i="1"/>
  <c r="DJ25" i="1"/>
  <c r="DI25" i="1"/>
  <c r="DG25" i="1"/>
  <c r="DH25" i="1" s="1"/>
  <c r="BI25" i="1" s="1"/>
  <c r="BV25" i="1"/>
  <c r="BU25" i="1"/>
  <c r="BM25" i="1"/>
  <c r="BG25" i="1"/>
  <c r="BK25" i="1" s="1"/>
  <c r="BA25" i="1"/>
  <c r="BN25" i="1" s="1"/>
  <c r="BQ25" i="1" s="1"/>
  <c r="BR25" i="1" s="1"/>
  <c r="AV25" i="1"/>
  <c r="AT25" i="1"/>
  <c r="AU25" i="1" s="1"/>
  <c r="AM25" i="1"/>
  <c r="AH25" i="1"/>
  <c r="AG25" i="1"/>
  <c r="J25" i="1" s="1"/>
  <c r="I25" i="1" s="1"/>
  <c r="AF25" i="1"/>
  <c r="K25" i="1" s="1"/>
  <c r="BJ25" i="1" s="1"/>
  <c r="Z25" i="1"/>
  <c r="Y25" i="1"/>
  <c r="X25" i="1"/>
  <c r="T25" i="1"/>
  <c r="U25" i="1" s="1"/>
  <c r="V25" i="1" s="1"/>
  <c r="Q25" i="1"/>
  <c r="O25" i="1"/>
  <c r="L25" i="1"/>
  <c r="DJ24" i="1"/>
  <c r="DI24" i="1"/>
  <c r="DG24" i="1"/>
  <c r="DH24" i="1" s="1"/>
  <c r="BI24" i="1" s="1"/>
  <c r="BV24" i="1"/>
  <c r="BU24" i="1"/>
  <c r="BT24" i="1"/>
  <c r="BM24" i="1"/>
  <c r="BG24" i="1"/>
  <c r="BK24" i="1" s="1"/>
  <c r="BA24" i="1"/>
  <c r="BN24" i="1" s="1"/>
  <c r="BQ24" i="1" s="1"/>
  <c r="BR24" i="1" s="1"/>
  <c r="AV24" i="1"/>
  <c r="AT24" i="1"/>
  <c r="AU24" i="1" s="1"/>
  <c r="AM24" i="1"/>
  <c r="AH24" i="1"/>
  <c r="AG24" i="1"/>
  <c r="J24" i="1" s="1"/>
  <c r="I24" i="1" s="1"/>
  <c r="AF24" i="1"/>
  <c r="K24" i="1" s="1"/>
  <c r="BJ24" i="1" s="1"/>
  <c r="Z24" i="1"/>
  <c r="Y24" i="1"/>
  <c r="X24" i="1"/>
  <c r="T24" i="1"/>
  <c r="U24" i="1" s="1"/>
  <c r="V24" i="1" s="1"/>
  <c r="Q24" i="1"/>
  <c r="O24" i="1"/>
  <c r="L24" i="1"/>
  <c r="DJ23" i="1"/>
  <c r="DI23" i="1"/>
  <c r="DG23" i="1"/>
  <c r="DH23" i="1" s="1"/>
  <c r="BI23" i="1" s="1"/>
  <c r="BV23" i="1"/>
  <c r="BU23" i="1"/>
  <c r="BT23" i="1"/>
  <c r="BS23" i="1"/>
  <c r="BW23" i="1" s="1"/>
  <c r="BX23" i="1" s="1"/>
  <c r="BM23" i="1"/>
  <c r="BG23" i="1"/>
  <c r="BA23" i="1"/>
  <c r="BN23" i="1" s="1"/>
  <c r="BQ23" i="1" s="1"/>
  <c r="BR23" i="1" s="1"/>
  <c r="AV23" i="1"/>
  <c r="AT23" i="1"/>
  <c r="AU23" i="1" s="1"/>
  <c r="AM23" i="1"/>
  <c r="AH23" i="1"/>
  <c r="AG23" i="1"/>
  <c r="J23" i="1" s="1"/>
  <c r="I23" i="1" s="1"/>
  <c r="AF23" i="1"/>
  <c r="K23" i="1" s="1"/>
  <c r="BJ23" i="1" s="1"/>
  <c r="Z23" i="1"/>
  <c r="Y23" i="1"/>
  <c r="X23" i="1"/>
  <c r="U23" i="1"/>
  <c r="V23" i="1" s="1"/>
  <c r="T23" i="1"/>
  <c r="Q23" i="1"/>
  <c r="O23" i="1"/>
  <c r="L23" i="1"/>
  <c r="DJ22" i="1"/>
  <c r="DI22" i="1"/>
  <c r="DG22" i="1"/>
  <c r="DH22" i="1" s="1"/>
  <c r="BI22" i="1" s="1"/>
  <c r="BK22" i="1" s="1"/>
  <c r="BV22" i="1"/>
  <c r="BU22" i="1"/>
  <c r="BT22" i="1"/>
  <c r="BS22" i="1"/>
  <c r="BW22" i="1" s="1"/>
  <c r="BX22" i="1" s="1"/>
  <c r="BM22" i="1"/>
  <c r="BG22" i="1"/>
  <c r="BA22" i="1"/>
  <c r="BN22" i="1" s="1"/>
  <c r="BQ22" i="1" s="1"/>
  <c r="BR22" i="1" s="1"/>
  <c r="AV22" i="1"/>
  <c r="AT22" i="1"/>
  <c r="AU22" i="1" s="1"/>
  <c r="AM22" i="1"/>
  <c r="AH22" i="1"/>
  <c r="AG22" i="1"/>
  <c r="AF22" i="1"/>
  <c r="K22" i="1" s="1"/>
  <c r="BJ22" i="1" s="1"/>
  <c r="BL22" i="1" s="1"/>
  <c r="Z22" i="1"/>
  <c r="Y22" i="1"/>
  <c r="X22" i="1"/>
  <c r="T22" i="1"/>
  <c r="Q22" i="1"/>
  <c r="O22" i="1"/>
  <c r="L22" i="1"/>
  <c r="J22" i="1"/>
  <c r="I22" i="1" s="1"/>
  <c r="DJ21" i="1"/>
  <c r="DI21" i="1"/>
  <c r="DG21" i="1"/>
  <c r="DH21" i="1" s="1"/>
  <c r="BV21" i="1"/>
  <c r="BU21" i="1"/>
  <c r="BT21" i="1"/>
  <c r="BS21" i="1"/>
  <c r="BW21" i="1" s="1"/>
  <c r="BX21" i="1" s="1"/>
  <c r="BM21" i="1"/>
  <c r="BI21" i="1"/>
  <c r="BG21" i="1"/>
  <c r="BK21" i="1" s="1"/>
  <c r="BA21" i="1"/>
  <c r="BN21" i="1" s="1"/>
  <c r="BQ21" i="1" s="1"/>
  <c r="BR21" i="1" s="1"/>
  <c r="AV21" i="1"/>
  <c r="AT21" i="1"/>
  <c r="AU21" i="1" s="1"/>
  <c r="AM21" i="1"/>
  <c r="AH21" i="1"/>
  <c r="AG21" i="1"/>
  <c r="J21" i="1" s="1"/>
  <c r="I21" i="1" s="1"/>
  <c r="AF21" i="1"/>
  <c r="K21" i="1" s="1"/>
  <c r="BJ21" i="1" s="1"/>
  <c r="Z21" i="1"/>
  <c r="Y21" i="1"/>
  <c r="X21" i="1"/>
  <c r="T21" i="1"/>
  <c r="Q21" i="1"/>
  <c r="O21" i="1"/>
  <c r="L21" i="1"/>
  <c r="DJ20" i="1"/>
  <c r="DI20" i="1"/>
  <c r="DG20" i="1"/>
  <c r="DH20" i="1" s="1"/>
  <c r="BV20" i="1"/>
  <c r="BU20" i="1"/>
  <c r="BM20" i="1"/>
  <c r="BI20" i="1"/>
  <c r="BG20" i="1"/>
  <c r="BK20" i="1" s="1"/>
  <c r="BA20" i="1"/>
  <c r="BN20" i="1" s="1"/>
  <c r="BQ20" i="1" s="1"/>
  <c r="AV20" i="1"/>
  <c r="AT20" i="1"/>
  <c r="AU20" i="1" s="1"/>
  <c r="AM20" i="1"/>
  <c r="AH20" i="1"/>
  <c r="AG20" i="1"/>
  <c r="J20" i="1" s="1"/>
  <c r="I20" i="1" s="1"/>
  <c r="AF20" i="1"/>
  <c r="K20" i="1" s="1"/>
  <c r="BJ20" i="1" s="1"/>
  <c r="BL20" i="1" s="1"/>
  <c r="Z20" i="1"/>
  <c r="Y20" i="1"/>
  <c r="X20" i="1"/>
  <c r="T20" i="1"/>
  <c r="Q20" i="1"/>
  <c r="O20" i="1"/>
  <c r="L20" i="1"/>
  <c r="DJ19" i="1"/>
  <c r="DI19" i="1"/>
  <c r="DG19" i="1"/>
  <c r="DH19" i="1" s="1"/>
  <c r="BV19" i="1"/>
  <c r="BU19" i="1"/>
  <c r="BM19" i="1"/>
  <c r="BI19" i="1"/>
  <c r="BG19" i="1"/>
  <c r="BK19" i="1" s="1"/>
  <c r="BA19" i="1"/>
  <c r="BN19" i="1" s="1"/>
  <c r="BQ19" i="1" s="1"/>
  <c r="BR19" i="1" s="1"/>
  <c r="AV19" i="1"/>
  <c r="AT19" i="1"/>
  <c r="AU19" i="1" s="1"/>
  <c r="AM19" i="1"/>
  <c r="AH19" i="1"/>
  <c r="AG19" i="1"/>
  <c r="AF19" i="1"/>
  <c r="Z19" i="1"/>
  <c r="Y19" i="1"/>
  <c r="X19" i="1"/>
  <c r="T19" i="1"/>
  <c r="Q19" i="1"/>
  <c r="O19" i="1"/>
  <c r="L19" i="1"/>
  <c r="K19" i="1"/>
  <c r="BJ19" i="1" s="1"/>
  <c r="BL19" i="1" s="1"/>
  <c r="J19" i="1"/>
  <c r="I19" i="1" s="1"/>
  <c r="DJ18" i="1"/>
  <c r="DI18" i="1"/>
  <c r="DG18" i="1"/>
  <c r="DH18" i="1" s="1"/>
  <c r="BV18" i="1"/>
  <c r="BU18" i="1"/>
  <c r="BM18" i="1"/>
  <c r="BI18" i="1"/>
  <c r="BG18" i="1"/>
  <c r="BK18" i="1" s="1"/>
  <c r="BA18" i="1"/>
  <c r="BN18" i="1" s="1"/>
  <c r="BQ18" i="1" s="1"/>
  <c r="BR18" i="1" s="1"/>
  <c r="AV18" i="1"/>
  <c r="AT18" i="1"/>
  <c r="AU18" i="1" s="1"/>
  <c r="AM18" i="1"/>
  <c r="AH18" i="1"/>
  <c r="AG18" i="1"/>
  <c r="AF18" i="1"/>
  <c r="Z18" i="1"/>
  <c r="Y18" i="1"/>
  <c r="X18" i="1"/>
  <c r="T18" i="1"/>
  <c r="Q18" i="1"/>
  <c r="O18" i="1"/>
  <c r="L18" i="1"/>
  <c r="K18" i="1"/>
  <c r="BJ18" i="1" s="1"/>
  <c r="BL18" i="1" s="1"/>
  <c r="J18" i="1"/>
  <c r="I18" i="1"/>
  <c r="DJ17" i="1"/>
  <c r="DI17" i="1"/>
  <c r="DG17" i="1"/>
  <c r="DH17" i="1" s="1"/>
  <c r="BV17" i="1"/>
  <c r="BU17" i="1"/>
  <c r="BM17" i="1"/>
  <c r="BI17" i="1"/>
  <c r="BG17" i="1"/>
  <c r="BK17" i="1" s="1"/>
  <c r="BA17" i="1"/>
  <c r="BN17" i="1" s="1"/>
  <c r="BQ17" i="1" s="1"/>
  <c r="BR17" i="1" s="1"/>
  <c r="AV17" i="1"/>
  <c r="AT17" i="1"/>
  <c r="AU17" i="1" s="1"/>
  <c r="AM17" i="1"/>
  <c r="AH17" i="1"/>
  <c r="AG17" i="1"/>
  <c r="J17" i="1" s="1"/>
  <c r="I17" i="1" s="1"/>
  <c r="AF17" i="1"/>
  <c r="K17" i="1" s="1"/>
  <c r="BJ17" i="1" s="1"/>
  <c r="BL17" i="1" s="1"/>
  <c r="Z17" i="1"/>
  <c r="Y17" i="1"/>
  <c r="X17" i="1"/>
  <c r="T17" i="1"/>
  <c r="U17" i="1" s="1"/>
  <c r="V17" i="1" s="1"/>
  <c r="Q17" i="1"/>
  <c r="O17" i="1"/>
  <c r="L17" i="1"/>
  <c r="AU24" i="13" l="1"/>
  <c r="O24" i="13"/>
  <c r="AG24" i="13"/>
  <c r="J24" i="13" s="1"/>
  <c r="I24" i="13" s="1"/>
  <c r="BK24" i="13"/>
  <c r="AU25" i="13"/>
  <c r="O25" i="13"/>
  <c r="AG25" i="13"/>
  <c r="J25" i="13" s="1"/>
  <c r="I25" i="13" s="1"/>
  <c r="AF25" i="13"/>
  <c r="K25" i="13" s="1"/>
  <c r="BJ25" i="13" s="1"/>
  <c r="BL25" i="13" s="1"/>
  <c r="L25" i="13"/>
  <c r="BK18" i="13"/>
  <c r="BT25" i="13"/>
  <c r="BS25" i="13"/>
  <c r="BW25" i="13" s="1"/>
  <c r="BX25" i="13" s="1"/>
  <c r="U27" i="13"/>
  <c r="V27" i="13" s="1"/>
  <c r="BK28" i="13"/>
  <c r="BR21" i="13"/>
  <c r="BS24" i="13"/>
  <c r="BW24" i="13" s="1"/>
  <c r="BX24" i="13" s="1"/>
  <c r="BK25" i="13"/>
  <c r="BK21" i="13"/>
  <c r="AU18" i="13"/>
  <c r="O18" i="13"/>
  <c r="AG18" i="13"/>
  <c r="J18" i="13" s="1"/>
  <c r="I18" i="13" s="1"/>
  <c r="U18" i="13" s="1"/>
  <c r="V18" i="13" s="1"/>
  <c r="AU28" i="13"/>
  <c r="O28" i="13"/>
  <c r="AG28" i="13"/>
  <c r="J28" i="13" s="1"/>
  <c r="I28" i="13" s="1"/>
  <c r="BS18" i="13"/>
  <c r="BW18" i="13" s="1"/>
  <c r="BX18" i="13" s="1"/>
  <c r="AU19" i="13"/>
  <c r="O19" i="13"/>
  <c r="AG19" i="13"/>
  <c r="J19" i="13" s="1"/>
  <c r="I19" i="13" s="1"/>
  <c r="AF19" i="13"/>
  <c r="K19" i="13" s="1"/>
  <c r="BJ19" i="13" s="1"/>
  <c r="BL19" i="13" s="1"/>
  <c r="L19" i="13"/>
  <c r="BS21" i="13"/>
  <c r="BW21" i="13" s="1"/>
  <c r="BX21" i="13" s="1"/>
  <c r="BT24" i="13"/>
  <c r="BS28" i="13"/>
  <c r="BW28" i="13" s="1"/>
  <c r="BX28" i="13" s="1"/>
  <c r="AU29" i="13"/>
  <c r="O29" i="13"/>
  <c r="AG29" i="13"/>
  <c r="J29" i="13" s="1"/>
  <c r="I29" i="13" s="1"/>
  <c r="AF29" i="13"/>
  <c r="K29" i="13" s="1"/>
  <c r="BJ29" i="13" s="1"/>
  <c r="BL29" i="13" s="1"/>
  <c r="L29" i="13"/>
  <c r="BT29" i="13"/>
  <c r="BS29" i="13"/>
  <c r="BW29" i="13" s="1"/>
  <c r="BX29" i="13" s="1"/>
  <c r="U24" i="13"/>
  <c r="V24" i="13" s="1"/>
  <c r="BR19" i="13"/>
  <c r="BS22" i="13"/>
  <c r="BW22" i="13" s="1"/>
  <c r="BX22" i="13" s="1"/>
  <c r="AU23" i="13"/>
  <c r="O23" i="13"/>
  <c r="AG23" i="13"/>
  <c r="J23" i="13" s="1"/>
  <c r="I23" i="13" s="1"/>
  <c r="AF23" i="13"/>
  <c r="K23" i="13" s="1"/>
  <c r="BJ23" i="13" s="1"/>
  <c r="BL23" i="13" s="1"/>
  <c r="L23" i="13"/>
  <c r="BK26" i="13"/>
  <c r="BR29" i="13"/>
  <c r="AU22" i="13"/>
  <c r="O22" i="13"/>
  <c r="AG22" i="13"/>
  <c r="J22" i="13" s="1"/>
  <c r="I22" i="13" s="1"/>
  <c r="U22" i="13" s="1"/>
  <c r="V22" i="13" s="1"/>
  <c r="AU27" i="13"/>
  <c r="O27" i="13"/>
  <c r="AG27" i="13"/>
  <c r="J27" i="13" s="1"/>
  <c r="I27" i="13" s="1"/>
  <c r="AF27" i="13"/>
  <c r="K27" i="13" s="1"/>
  <c r="BJ27" i="13" s="1"/>
  <c r="BL27" i="13" s="1"/>
  <c r="L27" i="13"/>
  <c r="BK23" i="13"/>
  <c r="BS26" i="13"/>
  <c r="BW26" i="13" s="1"/>
  <c r="BX26" i="13" s="1"/>
  <c r="AU21" i="13"/>
  <c r="O21" i="13"/>
  <c r="AG21" i="13"/>
  <c r="J21" i="13" s="1"/>
  <c r="I21" i="13" s="1"/>
  <c r="AF21" i="13"/>
  <c r="K21" i="13" s="1"/>
  <c r="BJ21" i="13" s="1"/>
  <c r="BL21" i="13" s="1"/>
  <c r="L21" i="13"/>
  <c r="BK17" i="13"/>
  <c r="AU20" i="13"/>
  <c r="O20" i="13"/>
  <c r="AG20" i="13"/>
  <c r="J20" i="13" s="1"/>
  <c r="I20" i="13" s="1"/>
  <c r="L22" i="13"/>
  <c r="U25" i="13"/>
  <c r="V25" i="13" s="1"/>
  <c r="BT26" i="13"/>
  <c r="BK27" i="13"/>
  <c r="AU17" i="13"/>
  <c r="O17" i="13"/>
  <c r="AG17" i="13"/>
  <c r="J17" i="13" s="1"/>
  <c r="I17" i="13" s="1"/>
  <c r="U17" i="13" s="1"/>
  <c r="V17" i="13" s="1"/>
  <c r="AF17" i="13"/>
  <c r="K17" i="13" s="1"/>
  <c r="BJ17" i="13" s="1"/>
  <c r="BL17" i="13" s="1"/>
  <c r="L17" i="13"/>
  <c r="BS19" i="13"/>
  <c r="BW19" i="13" s="1"/>
  <c r="BX19" i="13" s="1"/>
  <c r="AU26" i="13"/>
  <c r="AG26" i="13"/>
  <c r="J26" i="13" s="1"/>
  <c r="I26" i="13" s="1"/>
  <c r="O26" i="13"/>
  <c r="BT22" i="13"/>
  <c r="BK20" i="13"/>
  <c r="AD23" i="9"/>
  <c r="W23" i="9"/>
  <c r="AA23" i="9" s="1"/>
  <c r="BK21" i="9"/>
  <c r="AB30" i="9"/>
  <c r="R31" i="9"/>
  <c r="P31" i="9" s="1"/>
  <c r="S31" i="9" s="1"/>
  <c r="M31" i="9" s="1"/>
  <c r="N31" i="9" s="1"/>
  <c r="AB31" i="9"/>
  <c r="BK17" i="9"/>
  <c r="BL18" i="9"/>
  <c r="BL17" i="9"/>
  <c r="AB29" i="9"/>
  <c r="AC21" i="9"/>
  <c r="T26" i="9"/>
  <c r="DH26" i="9"/>
  <c r="BI26" i="9" s="1"/>
  <c r="BK26" i="9" s="1"/>
  <c r="U31" i="9"/>
  <c r="V31" i="9" s="1"/>
  <c r="U21" i="9"/>
  <c r="V21" i="9" s="1"/>
  <c r="U27" i="9"/>
  <c r="V27" i="9" s="1"/>
  <c r="DH27" i="9"/>
  <c r="BI27" i="9" s="1"/>
  <c r="BL27" i="9" s="1"/>
  <c r="BS24" i="9"/>
  <c r="BW24" i="9" s="1"/>
  <c r="BX24" i="9" s="1"/>
  <c r="BT24" i="9"/>
  <c r="BK25" i="9"/>
  <c r="AB26" i="9"/>
  <c r="BK29" i="9"/>
  <c r="AB28" i="9"/>
  <c r="BR22" i="9"/>
  <c r="BT22" i="9"/>
  <c r="AC18" i="9"/>
  <c r="AD18" i="9"/>
  <c r="AE18" i="9" s="1"/>
  <c r="W18" i="9"/>
  <c r="AA18" i="9" s="1"/>
  <c r="AB27" i="9"/>
  <c r="T28" i="9"/>
  <c r="DH28" i="9"/>
  <c r="BI28" i="9" s="1"/>
  <c r="BK28" i="9" s="1"/>
  <c r="BT19" i="9"/>
  <c r="BS19" i="9"/>
  <c r="BW19" i="9" s="1"/>
  <c r="BX19" i="9" s="1"/>
  <c r="BR19" i="9"/>
  <c r="T30" i="9"/>
  <c r="DH30" i="9"/>
  <c r="BI30" i="9" s="1"/>
  <c r="BK30" i="9" s="1"/>
  <c r="BS22" i="9"/>
  <c r="BW22" i="9" s="1"/>
  <c r="BX22" i="9" s="1"/>
  <c r="AU31" i="9"/>
  <c r="AF31" i="9"/>
  <c r="K31" i="9" s="1"/>
  <c r="BJ31" i="9" s="1"/>
  <c r="BL31" i="9" s="1"/>
  <c r="O31" i="9"/>
  <c r="BT31" i="9"/>
  <c r="BS31" i="9"/>
  <c r="BW31" i="9" s="1"/>
  <c r="BX31" i="9" s="1"/>
  <c r="BR31" i="9"/>
  <c r="BT17" i="9"/>
  <c r="BS17" i="9"/>
  <c r="BW17" i="9" s="1"/>
  <c r="BX17" i="9" s="1"/>
  <c r="BR17" i="9"/>
  <c r="BT21" i="9"/>
  <c r="BS21" i="9"/>
  <c r="BW21" i="9" s="1"/>
  <c r="BX21" i="9" s="1"/>
  <c r="BR21" i="9"/>
  <c r="T25" i="9"/>
  <c r="AB24" i="9"/>
  <c r="U29" i="9"/>
  <c r="V29" i="9" s="1"/>
  <c r="R29" i="9" s="1"/>
  <c r="P29" i="9" s="1"/>
  <c r="S29" i="9" s="1"/>
  <c r="M29" i="9" s="1"/>
  <c r="N29" i="9" s="1"/>
  <c r="AB18" i="9"/>
  <c r="R18" i="9"/>
  <c r="P18" i="9" s="1"/>
  <c r="S18" i="9" s="1"/>
  <c r="M18" i="9" s="1"/>
  <c r="N18" i="9" s="1"/>
  <c r="AB20" i="9"/>
  <c r="AB22" i="9"/>
  <c r="AC23" i="9"/>
  <c r="BL28" i="9"/>
  <c r="AE23" i="9"/>
  <c r="U17" i="9"/>
  <c r="V17" i="9" s="1"/>
  <c r="U19" i="9"/>
  <c r="V19" i="9" s="1"/>
  <c r="AF25" i="9"/>
  <c r="K25" i="9" s="1"/>
  <c r="BJ25" i="9" s="1"/>
  <c r="BL25" i="9" s="1"/>
  <c r="BT29" i="9"/>
  <c r="BS29" i="9"/>
  <c r="BW29" i="9" s="1"/>
  <c r="BX29" i="9" s="1"/>
  <c r="BR29" i="9"/>
  <c r="AB25" i="9"/>
  <c r="L27" i="9"/>
  <c r="BT27" i="9"/>
  <c r="BS27" i="9"/>
  <c r="BW27" i="9" s="1"/>
  <c r="BX27" i="9" s="1"/>
  <c r="BR27" i="9"/>
  <c r="T22" i="9"/>
  <c r="DH22" i="9"/>
  <c r="BI22" i="9" s="1"/>
  <c r="BK22" i="9" s="1"/>
  <c r="O27" i="9"/>
  <c r="BT25" i="9"/>
  <c r="BS25" i="9"/>
  <c r="BW25" i="9" s="1"/>
  <c r="BX25" i="9" s="1"/>
  <c r="BR25" i="9"/>
  <c r="BS30" i="9"/>
  <c r="BW30" i="9" s="1"/>
  <c r="BX30" i="9" s="1"/>
  <c r="R21" i="9"/>
  <c r="P21" i="9" s="1"/>
  <c r="S21" i="9" s="1"/>
  <c r="M21" i="9" s="1"/>
  <c r="N21" i="9" s="1"/>
  <c r="AB21" i="9"/>
  <c r="AC27" i="9"/>
  <c r="AB19" i="9"/>
  <c r="BT23" i="9"/>
  <c r="BS23" i="9"/>
  <c r="BW23" i="9" s="1"/>
  <c r="BX23" i="9" s="1"/>
  <c r="BR23" i="9"/>
  <c r="BS28" i="9"/>
  <c r="BW28" i="9" s="1"/>
  <c r="BX28" i="9" s="1"/>
  <c r="BT28" i="9"/>
  <c r="L29" i="9"/>
  <c r="T24" i="9"/>
  <c r="DH24" i="9"/>
  <c r="BI24" i="9" s="1"/>
  <c r="AC31" i="9"/>
  <c r="O29" i="9"/>
  <c r="R23" i="9"/>
  <c r="P23" i="9" s="1"/>
  <c r="S23" i="9" s="1"/>
  <c r="AB23" i="9"/>
  <c r="L25" i="9"/>
  <c r="T20" i="9"/>
  <c r="DH20" i="9"/>
  <c r="BI20" i="9" s="1"/>
  <c r="BK20" i="9" s="1"/>
  <c r="BT30" i="9"/>
  <c r="AB17" i="9"/>
  <c r="DH18" i="9"/>
  <c r="BI18" i="9" s="1"/>
  <c r="BK18" i="9" s="1"/>
  <c r="L23" i="9"/>
  <c r="O25" i="9"/>
  <c r="O23" i="9"/>
  <c r="BT27" i="8"/>
  <c r="BS27" i="8"/>
  <c r="BW27" i="8" s="1"/>
  <c r="BX27" i="8" s="1"/>
  <c r="BR27" i="8"/>
  <c r="BT19" i="8"/>
  <c r="BS19" i="8"/>
  <c r="BW19" i="8" s="1"/>
  <c r="BX19" i="8" s="1"/>
  <c r="BR19" i="8"/>
  <c r="U17" i="8"/>
  <c r="V17" i="8" s="1"/>
  <c r="BT23" i="8"/>
  <c r="BS23" i="8"/>
  <c r="BW23" i="8" s="1"/>
  <c r="BX23" i="8" s="1"/>
  <c r="BR23" i="8"/>
  <c r="BT29" i="8"/>
  <c r="BS29" i="8"/>
  <c r="BW29" i="8" s="1"/>
  <c r="BX29" i="8" s="1"/>
  <c r="BR29" i="8"/>
  <c r="BL25" i="8"/>
  <c r="BL18" i="8"/>
  <c r="AB18" i="8"/>
  <c r="R18" i="8"/>
  <c r="P18" i="8" s="1"/>
  <c r="S18" i="8" s="1"/>
  <c r="M18" i="8" s="1"/>
  <c r="N18" i="8" s="1"/>
  <c r="AB22" i="8"/>
  <c r="AB20" i="8"/>
  <c r="AB26" i="8"/>
  <c r="BL22" i="8"/>
  <c r="BT25" i="8"/>
  <c r="BS25" i="8"/>
  <c r="BW25" i="8" s="1"/>
  <c r="BX25" i="8" s="1"/>
  <c r="BR25" i="8"/>
  <c r="BT21" i="8"/>
  <c r="BR21" i="8"/>
  <c r="BL28" i="8"/>
  <c r="BT17" i="8"/>
  <c r="BS17" i="8"/>
  <c r="BW17" i="8" s="1"/>
  <c r="BX17" i="8" s="1"/>
  <c r="BR17" i="8"/>
  <c r="O24" i="8"/>
  <c r="L24" i="8"/>
  <c r="AU24" i="8"/>
  <c r="AG24" i="8"/>
  <c r="J24" i="8" s="1"/>
  <c r="I24" i="8" s="1"/>
  <c r="AF24" i="8"/>
  <c r="K24" i="8" s="1"/>
  <c r="BJ24" i="8" s="1"/>
  <c r="BL24" i="8" s="1"/>
  <c r="BK21" i="8"/>
  <c r="AB28" i="8"/>
  <c r="BK24" i="8"/>
  <c r="U26" i="8"/>
  <c r="V26" i="8" s="1"/>
  <c r="R26" i="8" s="1"/>
  <c r="P26" i="8" s="1"/>
  <c r="S26" i="8" s="1"/>
  <c r="M26" i="8" s="1"/>
  <c r="N26" i="8" s="1"/>
  <c r="U18" i="8"/>
  <c r="V18" i="8" s="1"/>
  <c r="BS24" i="8"/>
  <c r="BW24" i="8" s="1"/>
  <c r="BX24" i="8" s="1"/>
  <c r="DH26" i="8"/>
  <c r="BI26" i="8" s="1"/>
  <c r="BL26" i="8" s="1"/>
  <c r="AU22" i="8"/>
  <c r="L22" i="8"/>
  <c r="BK22" i="8"/>
  <c r="BS28" i="8"/>
  <c r="BW28" i="8" s="1"/>
  <c r="BX28" i="8" s="1"/>
  <c r="BT22" i="8"/>
  <c r="DH24" i="8"/>
  <c r="BI24" i="8" s="1"/>
  <c r="AU26" i="8"/>
  <c r="AU18" i="8"/>
  <c r="BS20" i="8"/>
  <c r="BW20" i="8" s="1"/>
  <c r="BX20" i="8" s="1"/>
  <c r="BT20" i="8"/>
  <c r="U27" i="8"/>
  <c r="V27" i="8" s="1"/>
  <c r="U20" i="8"/>
  <c r="V20" i="8" s="1"/>
  <c r="R23" i="8"/>
  <c r="P23" i="8" s="1"/>
  <c r="S23" i="8" s="1"/>
  <c r="M23" i="8" s="1"/>
  <c r="N23" i="8" s="1"/>
  <c r="R29" i="8"/>
  <c r="P29" i="8" s="1"/>
  <c r="S29" i="8" s="1"/>
  <c r="M29" i="8" s="1"/>
  <c r="N29" i="8" s="1"/>
  <c r="DH20" i="8"/>
  <c r="BI20" i="8" s="1"/>
  <c r="BL20" i="8" s="1"/>
  <c r="U25" i="8"/>
  <c r="V25" i="8" s="1"/>
  <c r="R21" i="8"/>
  <c r="P21" i="8" s="1"/>
  <c r="S21" i="8" s="1"/>
  <c r="M21" i="8" s="1"/>
  <c r="N21" i="8" s="1"/>
  <c r="DH18" i="8"/>
  <c r="BI18" i="8" s="1"/>
  <c r="BT24" i="8"/>
  <c r="AU28" i="8"/>
  <c r="L28" i="8"/>
  <c r="U23" i="8"/>
  <c r="V23" i="8" s="1"/>
  <c r="BK28" i="8"/>
  <c r="U29" i="8"/>
  <c r="V29" i="8" s="1"/>
  <c r="AU20" i="8"/>
  <c r="L20" i="8"/>
  <c r="BS22" i="8"/>
  <c r="BW22" i="8" s="1"/>
  <c r="BX22" i="8" s="1"/>
  <c r="U24" i="8"/>
  <c r="V24" i="8" s="1"/>
  <c r="BT28" i="8"/>
  <c r="R17" i="8"/>
  <c r="P17" i="8" s="1"/>
  <c r="S17" i="8" s="1"/>
  <c r="M17" i="8" s="1"/>
  <c r="N17" i="8" s="1"/>
  <c r="U21" i="8"/>
  <c r="V21" i="8" s="1"/>
  <c r="BK18" i="8"/>
  <c r="U19" i="8"/>
  <c r="V19" i="8" s="1"/>
  <c r="T22" i="8"/>
  <c r="T28" i="8"/>
  <c r="AB17" i="7"/>
  <c r="BT24" i="7"/>
  <c r="BS24" i="7"/>
  <c r="BW24" i="7" s="1"/>
  <c r="BX24" i="7" s="1"/>
  <c r="BR24" i="7"/>
  <c r="W25" i="7"/>
  <c r="AA25" i="7" s="1"/>
  <c r="AD25" i="7"/>
  <c r="AC27" i="7"/>
  <c r="BL28" i="7"/>
  <c r="W21" i="7"/>
  <c r="AA21" i="7" s="1"/>
  <c r="AD21" i="7"/>
  <c r="AE21" i="7" s="1"/>
  <c r="AC23" i="7"/>
  <c r="BL24" i="7"/>
  <c r="AC25" i="7"/>
  <c r="AE25" i="7" s="1"/>
  <c r="BL27" i="7"/>
  <c r="AB27" i="7"/>
  <c r="U27" i="7"/>
  <c r="V27" i="7" s="1"/>
  <c r="BL20" i="7"/>
  <c r="BT30" i="7"/>
  <c r="BS30" i="7"/>
  <c r="BW30" i="7" s="1"/>
  <c r="BX30" i="7" s="1"/>
  <c r="BR30" i="7"/>
  <c r="AB23" i="7"/>
  <c r="R23" i="7"/>
  <c r="P23" i="7" s="1"/>
  <c r="S23" i="7" s="1"/>
  <c r="M23" i="7" s="1"/>
  <c r="N23" i="7" s="1"/>
  <c r="U23" i="7"/>
  <c r="V23" i="7" s="1"/>
  <c r="AB25" i="7"/>
  <c r="R25" i="7"/>
  <c r="P25" i="7" s="1"/>
  <c r="S25" i="7" s="1"/>
  <c r="M25" i="7" s="1"/>
  <c r="N25" i="7" s="1"/>
  <c r="AB29" i="7"/>
  <c r="U29" i="7"/>
  <c r="V29" i="7" s="1"/>
  <c r="AB19" i="7"/>
  <c r="U19" i="7"/>
  <c r="V19" i="7" s="1"/>
  <c r="AC19" i="7" s="1"/>
  <c r="BT28" i="7"/>
  <c r="BS28" i="7"/>
  <c r="BW28" i="7" s="1"/>
  <c r="BX28" i="7" s="1"/>
  <c r="BR28" i="7"/>
  <c r="AB21" i="7"/>
  <c r="R21" i="7"/>
  <c r="P21" i="7" s="1"/>
  <c r="S21" i="7" s="1"/>
  <c r="M21" i="7" s="1"/>
  <c r="N21" i="7" s="1"/>
  <c r="BK28" i="7"/>
  <c r="AD32" i="7"/>
  <c r="AC32" i="7"/>
  <c r="W32" i="7"/>
  <c r="AA32" i="7" s="1"/>
  <c r="BT18" i="7"/>
  <c r="BS18" i="7"/>
  <c r="BW18" i="7" s="1"/>
  <c r="BX18" i="7" s="1"/>
  <c r="BR18" i="7"/>
  <c r="BT20" i="7"/>
  <c r="BS20" i="7"/>
  <c r="BW20" i="7" s="1"/>
  <c r="BX20" i="7" s="1"/>
  <c r="BR20" i="7"/>
  <c r="BT26" i="7"/>
  <c r="BS26" i="7"/>
  <c r="BW26" i="7" s="1"/>
  <c r="BX26" i="7" s="1"/>
  <c r="BR26" i="7"/>
  <c r="BL19" i="7"/>
  <c r="BT22" i="7"/>
  <c r="BS22" i="7"/>
  <c r="BW22" i="7" s="1"/>
  <c r="BX22" i="7" s="1"/>
  <c r="BR22" i="7"/>
  <c r="AU18" i="7"/>
  <c r="O18" i="7"/>
  <c r="AU22" i="7"/>
  <c r="O22" i="7"/>
  <c r="AU26" i="7"/>
  <c r="O26" i="7"/>
  <c r="L18" i="7"/>
  <c r="R32" i="7"/>
  <c r="P32" i="7" s="1"/>
  <c r="S32" i="7" s="1"/>
  <c r="M32" i="7" s="1"/>
  <c r="N32" i="7" s="1"/>
  <c r="AB32" i="7"/>
  <c r="L17" i="7"/>
  <c r="AU32" i="7"/>
  <c r="O32" i="7"/>
  <c r="R24" i="7"/>
  <c r="P24" i="7" s="1"/>
  <c r="S24" i="7" s="1"/>
  <c r="M24" i="7" s="1"/>
  <c r="N24" i="7" s="1"/>
  <c r="AB24" i="7"/>
  <c r="BT32" i="7"/>
  <c r="BS32" i="7"/>
  <c r="BW32" i="7" s="1"/>
  <c r="BX32" i="7" s="1"/>
  <c r="BR32" i="7"/>
  <c r="O30" i="7"/>
  <c r="AU30" i="7"/>
  <c r="L22" i="7"/>
  <c r="L26" i="7"/>
  <c r="AB20" i="7"/>
  <c r="R28" i="7"/>
  <c r="P28" i="7" s="1"/>
  <c r="S28" i="7" s="1"/>
  <c r="M28" i="7" s="1"/>
  <c r="N28" i="7" s="1"/>
  <c r="AB28" i="7"/>
  <c r="U22" i="7"/>
  <c r="V22" i="7" s="1"/>
  <c r="U26" i="7"/>
  <c r="V26" i="7" s="1"/>
  <c r="AF31" i="7"/>
  <c r="K31" i="7" s="1"/>
  <c r="BJ31" i="7" s="1"/>
  <c r="BL31" i="7" s="1"/>
  <c r="AG31" i="7"/>
  <c r="J31" i="7" s="1"/>
  <c r="I31" i="7" s="1"/>
  <c r="AU20" i="7"/>
  <c r="O20" i="7"/>
  <c r="O24" i="7"/>
  <c r="AU24" i="7"/>
  <c r="O28" i="7"/>
  <c r="AU28" i="7"/>
  <c r="AG18" i="7"/>
  <c r="J18" i="7" s="1"/>
  <c r="I18" i="7" s="1"/>
  <c r="AF22" i="7"/>
  <c r="K22" i="7" s="1"/>
  <c r="BJ22" i="7" s="1"/>
  <c r="BL22" i="7" s="1"/>
  <c r="AF26" i="7"/>
  <c r="K26" i="7" s="1"/>
  <c r="BJ26" i="7" s="1"/>
  <c r="BL26" i="7" s="1"/>
  <c r="AG30" i="7"/>
  <c r="J30" i="7" s="1"/>
  <c r="I30" i="7" s="1"/>
  <c r="L31" i="7"/>
  <c r="BS29" i="7"/>
  <c r="BW29" i="7" s="1"/>
  <c r="BX29" i="7" s="1"/>
  <c r="BT25" i="7"/>
  <c r="AF30" i="7"/>
  <c r="K30" i="7" s="1"/>
  <c r="BJ30" i="7" s="1"/>
  <c r="BL30" i="7" s="1"/>
  <c r="T17" i="7"/>
  <c r="AG22" i="7"/>
  <c r="J22" i="7" s="1"/>
  <c r="I22" i="7" s="1"/>
  <c r="AG26" i="7"/>
  <c r="J26" i="7" s="1"/>
  <c r="I26" i="7" s="1"/>
  <c r="BS21" i="7"/>
  <c r="BW21" i="7" s="1"/>
  <c r="BX21" i="7" s="1"/>
  <c r="BS25" i="7"/>
  <c r="BW25" i="7" s="1"/>
  <c r="BX25" i="7" s="1"/>
  <c r="BT21" i="7"/>
  <c r="BT29" i="7"/>
  <c r="AF18" i="7"/>
  <c r="K18" i="7" s="1"/>
  <c r="BJ18" i="7" s="1"/>
  <c r="BL18" i="7" s="1"/>
  <c r="L19" i="7"/>
  <c r="U20" i="7"/>
  <c r="V20" i="7" s="1"/>
  <c r="R20" i="7" s="1"/>
  <c r="P20" i="7" s="1"/>
  <c r="S20" i="7" s="1"/>
  <c r="M20" i="7" s="1"/>
  <c r="N20" i="7" s="1"/>
  <c r="L23" i="7"/>
  <c r="U24" i="7"/>
  <c r="V24" i="7" s="1"/>
  <c r="U28" i="7"/>
  <c r="V28" i="7" s="1"/>
  <c r="DH17" i="7"/>
  <c r="BI17" i="7" s="1"/>
  <c r="BK17" i="7" s="1"/>
  <c r="DH19" i="7"/>
  <c r="BI19" i="7" s="1"/>
  <c r="BK19" i="7" s="1"/>
  <c r="DH21" i="7"/>
  <c r="BI21" i="7" s="1"/>
  <c r="BK21" i="7" s="1"/>
  <c r="DH23" i="7"/>
  <c r="BI23" i="7" s="1"/>
  <c r="BK23" i="7" s="1"/>
  <c r="DH25" i="7"/>
  <c r="BI25" i="7" s="1"/>
  <c r="BK25" i="7" s="1"/>
  <c r="DH27" i="7"/>
  <c r="BI27" i="7" s="1"/>
  <c r="BK27" i="7" s="1"/>
  <c r="DH29" i="7"/>
  <c r="BI29" i="7" s="1"/>
  <c r="BK29" i="7" s="1"/>
  <c r="DH31" i="7"/>
  <c r="BI31" i="7" s="1"/>
  <c r="BK31" i="7" s="1"/>
  <c r="BT25" i="6"/>
  <c r="BR25" i="6"/>
  <c r="BS25" i="6"/>
  <c r="BW25" i="6" s="1"/>
  <c r="BX25" i="6" s="1"/>
  <c r="AB24" i="6"/>
  <c r="AB18" i="6"/>
  <c r="AB20" i="6"/>
  <c r="BS23" i="6"/>
  <c r="BW23" i="6" s="1"/>
  <c r="BX23" i="6" s="1"/>
  <c r="BR23" i="6"/>
  <c r="BT23" i="6"/>
  <c r="BR17" i="6"/>
  <c r="BT17" i="6"/>
  <c r="BS17" i="6"/>
  <c r="BW17" i="6" s="1"/>
  <c r="BX17" i="6" s="1"/>
  <c r="BR21" i="6"/>
  <c r="BT21" i="6"/>
  <c r="BS21" i="6"/>
  <c r="BW21" i="6" s="1"/>
  <c r="BX21" i="6" s="1"/>
  <c r="BT19" i="6"/>
  <c r="BS19" i="6"/>
  <c r="BW19" i="6" s="1"/>
  <c r="BX19" i="6" s="1"/>
  <c r="BR19" i="6"/>
  <c r="AB22" i="6"/>
  <c r="AU17" i="6"/>
  <c r="AG17" i="6"/>
  <c r="J17" i="6" s="1"/>
  <c r="I17" i="6" s="1"/>
  <c r="AF17" i="6"/>
  <c r="K17" i="6" s="1"/>
  <c r="BJ17" i="6" s="1"/>
  <c r="BL17" i="6" s="1"/>
  <c r="L17" i="6"/>
  <c r="O17" i="6"/>
  <c r="BL22" i="6"/>
  <c r="AU24" i="6"/>
  <c r="AU19" i="6"/>
  <c r="L19" i="6"/>
  <c r="AG19" i="6"/>
  <c r="J19" i="6" s="1"/>
  <c r="I19" i="6" s="1"/>
  <c r="O19" i="6"/>
  <c r="AF19" i="6"/>
  <c r="K19" i="6" s="1"/>
  <c r="BJ19" i="6" s="1"/>
  <c r="BL19" i="6" s="1"/>
  <c r="L21" i="6"/>
  <c r="AU21" i="6"/>
  <c r="AF21" i="6"/>
  <c r="K21" i="6" s="1"/>
  <c r="BJ21" i="6" s="1"/>
  <c r="BL21" i="6" s="1"/>
  <c r="O21" i="6"/>
  <c r="AG21" i="6"/>
  <c r="J21" i="6" s="1"/>
  <c r="I21" i="6" s="1"/>
  <c r="BS22" i="6"/>
  <c r="BW22" i="6" s="1"/>
  <c r="BX22" i="6" s="1"/>
  <c r="L24" i="6"/>
  <c r="L28" i="6"/>
  <c r="BT22" i="6"/>
  <c r="L26" i="6"/>
  <c r="BS28" i="6"/>
  <c r="BW28" i="6" s="1"/>
  <c r="BX28" i="6" s="1"/>
  <c r="U18" i="6"/>
  <c r="V18" i="6" s="1"/>
  <c r="AG23" i="6"/>
  <c r="J23" i="6" s="1"/>
  <c r="I23" i="6" s="1"/>
  <c r="L23" i="6"/>
  <c r="AU23" i="6"/>
  <c r="O23" i="6"/>
  <c r="AF23" i="6"/>
  <c r="K23" i="6" s="1"/>
  <c r="BJ23" i="6" s="1"/>
  <c r="BL23" i="6" s="1"/>
  <c r="BS24" i="6"/>
  <c r="BW24" i="6" s="1"/>
  <c r="BX24" i="6" s="1"/>
  <c r="BS26" i="6"/>
  <c r="BW26" i="6" s="1"/>
  <c r="BX26" i="6" s="1"/>
  <c r="BT28" i="6"/>
  <c r="L29" i="6"/>
  <c r="AU29" i="6"/>
  <c r="O29" i="6"/>
  <c r="AG29" i="6"/>
  <c r="J29" i="6" s="1"/>
  <c r="I29" i="6" s="1"/>
  <c r="AF29" i="6"/>
  <c r="K29" i="6" s="1"/>
  <c r="BJ29" i="6" s="1"/>
  <c r="BL29" i="6" s="1"/>
  <c r="DH18" i="6"/>
  <c r="BI18" i="6" s="1"/>
  <c r="BL18" i="6" s="1"/>
  <c r="O24" i="6"/>
  <c r="BT24" i="6"/>
  <c r="BT26" i="6"/>
  <c r="AG27" i="6"/>
  <c r="J27" i="6" s="1"/>
  <c r="I27" i="6" s="1"/>
  <c r="L27" i="6"/>
  <c r="AU27" i="6"/>
  <c r="AF27" i="6"/>
  <c r="K27" i="6" s="1"/>
  <c r="BJ27" i="6" s="1"/>
  <c r="BL27" i="6" s="1"/>
  <c r="O27" i="6"/>
  <c r="O28" i="6"/>
  <c r="U20" i="6"/>
  <c r="V20" i="6" s="1"/>
  <c r="R20" i="6" s="1"/>
  <c r="P20" i="6" s="1"/>
  <c r="S20" i="6" s="1"/>
  <c r="M20" i="6" s="1"/>
  <c r="N20" i="6" s="1"/>
  <c r="AF25" i="6"/>
  <c r="K25" i="6" s="1"/>
  <c r="BJ25" i="6" s="1"/>
  <c r="BL25" i="6" s="1"/>
  <c r="AU25" i="6"/>
  <c r="L25" i="6"/>
  <c r="O25" i="6"/>
  <c r="AG25" i="6"/>
  <c r="J25" i="6" s="1"/>
  <c r="I25" i="6" s="1"/>
  <c r="O26" i="6"/>
  <c r="DH22" i="6"/>
  <c r="BI22" i="6" s="1"/>
  <c r="BK22" i="6" s="1"/>
  <c r="U28" i="6"/>
  <c r="V28" i="6" s="1"/>
  <c r="U24" i="6"/>
  <c r="V24" i="6" s="1"/>
  <c r="DH28" i="6"/>
  <c r="BI28" i="6" s="1"/>
  <c r="BK28" i="6" s="1"/>
  <c r="DH24" i="6"/>
  <c r="BI24" i="6" s="1"/>
  <c r="BK24" i="6" s="1"/>
  <c r="DH26" i="6"/>
  <c r="BI26" i="6" s="1"/>
  <c r="BK26" i="6" s="1"/>
  <c r="AF24" i="6"/>
  <c r="K24" i="6" s="1"/>
  <c r="BJ24" i="6" s="1"/>
  <c r="BL24" i="6" s="1"/>
  <c r="AF26" i="6"/>
  <c r="K26" i="6" s="1"/>
  <c r="BJ26" i="6" s="1"/>
  <c r="AG28" i="6"/>
  <c r="J28" i="6" s="1"/>
  <c r="I28" i="6" s="1"/>
  <c r="U22" i="6"/>
  <c r="V22" i="6" s="1"/>
  <c r="R22" i="6" s="1"/>
  <c r="P22" i="6" s="1"/>
  <c r="S22" i="6" s="1"/>
  <c r="M22" i="6" s="1"/>
  <c r="N22" i="6" s="1"/>
  <c r="BT27" i="6"/>
  <c r="BS27" i="6"/>
  <c r="BW27" i="6" s="1"/>
  <c r="BX27" i="6" s="1"/>
  <c r="BR27" i="6"/>
  <c r="AF28" i="6"/>
  <c r="K28" i="6" s="1"/>
  <c r="BJ28" i="6" s="1"/>
  <c r="BL28" i="6" s="1"/>
  <c r="BT29" i="6"/>
  <c r="BS29" i="6"/>
  <c r="BW29" i="6" s="1"/>
  <c r="BX29" i="6" s="1"/>
  <c r="BR29" i="6"/>
  <c r="AU18" i="6"/>
  <c r="U21" i="6"/>
  <c r="V21" i="6" s="1"/>
  <c r="BK18" i="6"/>
  <c r="AG26" i="6"/>
  <c r="J26" i="6" s="1"/>
  <c r="I26" i="6" s="1"/>
  <c r="BT25" i="4"/>
  <c r="BR25" i="4"/>
  <c r="BS25" i="4"/>
  <c r="BW25" i="4" s="1"/>
  <c r="BX25" i="4" s="1"/>
  <c r="BT19" i="4"/>
  <c r="BS19" i="4"/>
  <c r="BW19" i="4" s="1"/>
  <c r="BX19" i="4" s="1"/>
  <c r="BR19" i="4"/>
  <c r="AD17" i="4"/>
  <c r="AC17" i="4"/>
  <c r="W17" i="4"/>
  <c r="AA17" i="4" s="1"/>
  <c r="U24" i="4"/>
  <c r="V24" i="4" s="1"/>
  <c r="U26" i="4"/>
  <c r="V26" i="4" s="1"/>
  <c r="DH26" i="4"/>
  <c r="BI26" i="4" s="1"/>
  <c r="BK26" i="4" s="1"/>
  <c r="BL18" i="4"/>
  <c r="U22" i="4"/>
  <c r="V22" i="4" s="1"/>
  <c r="AD21" i="4"/>
  <c r="AE21" i="4" s="1"/>
  <c r="AC21" i="4"/>
  <c r="W21" i="4"/>
  <c r="AA21" i="4" s="1"/>
  <c r="BT27" i="4"/>
  <c r="BR27" i="4"/>
  <c r="BS27" i="4"/>
  <c r="BW27" i="4" s="1"/>
  <c r="BX27" i="4" s="1"/>
  <c r="AB29" i="4"/>
  <c r="BK25" i="4"/>
  <c r="R21" i="4"/>
  <c r="P21" i="4" s="1"/>
  <c r="S21" i="4" s="1"/>
  <c r="M21" i="4" s="1"/>
  <c r="N21" i="4" s="1"/>
  <c r="AB21" i="4"/>
  <c r="AB28" i="4"/>
  <c r="BT21" i="4"/>
  <c r="BS21" i="4"/>
  <c r="BW21" i="4" s="1"/>
  <c r="BX21" i="4" s="1"/>
  <c r="W25" i="4"/>
  <c r="AA25" i="4" s="1"/>
  <c r="AD25" i="4"/>
  <c r="AE25" i="4" s="1"/>
  <c r="AC25" i="4"/>
  <c r="BT23" i="4"/>
  <c r="BS23" i="4"/>
  <c r="BW23" i="4" s="1"/>
  <c r="BX23" i="4" s="1"/>
  <c r="BR23" i="4"/>
  <c r="O26" i="4"/>
  <c r="L26" i="4"/>
  <c r="AU26" i="4"/>
  <c r="AG26" i="4"/>
  <c r="J26" i="4" s="1"/>
  <c r="I26" i="4" s="1"/>
  <c r="AF26" i="4"/>
  <c r="K26" i="4" s="1"/>
  <c r="BJ26" i="4" s="1"/>
  <c r="BT29" i="4"/>
  <c r="BS29" i="4"/>
  <c r="BW29" i="4" s="1"/>
  <c r="BX29" i="4" s="1"/>
  <c r="BR29" i="4"/>
  <c r="BT17" i="4"/>
  <c r="BS17" i="4"/>
  <c r="BW17" i="4" s="1"/>
  <c r="BX17" i="4" s="1"/>
  <c r="BR17" i="4"/>
  <c r="BL25" i="4"/>
  <c r="BL28" i="4"/>
  <c r="U20" i="4"/>
  <c r="V20" i="4" s="1"/>
  <c r="R20" i="4" s="1"/>
  <c r="P20" i="4" s="1"/>
  <c r="S20" i="4" s="1"/>
  <c r="M20" i="4" s="1"/>
  <c r="N20" i="4" s="1"/>
  <c r="U18" i="4"/>
  <c r="V18" i="4" s="1"/>
  <c r="AC18" i="4" s="1"/>
  <c r="R27" i="4"/>
  <c r="P27" i="4" s="1"/>
  <c r="S27" i="4" s="1"/>
  <c r="M27" i="4" s="1"/>
  <c r="N27" i="4" s="1"/>
  <c r="AU28" i="4"/>
  <c r="L28" i="4"/>
  <c r="AF24" i="4"/>
  <c r="K24" i="4" s="1"/>
  <c r="BJ24" i="4" s="1"/>
  <c r="BL24" i="4" s="1"/>
  <c r="R25" i="4"/>
  <c r="P25" i="4" s="1"/>
  <c r="S25" i="4" s="1"/>
  <c r="M25" i="4" s="1"/>
  <c r="N25" i="4" s="1"/>
  <c r="AF22" i="4"/>
  <c r="K22" i="4" s="1"/>
  <c r="BJ22" i="4" s="1"/>
  <c r="BL22" i="4" s="1"/>
  <c r="AG24" i="4"/>
  <c r="J24" i="4" s="1"/>
  <c r="I24" i="4" s="1"/>
  <c r="BK28" i="4"/>
  <c r="U29" i="4"/>
  <c r="V29" i="4" s="1"/>
  <c r="AF20" i="4"/>
  <c r="K20" i="4" s="1"/>
  <c r="BJ20" i="4" s="1"/>
  <c r="BL20" i="4" s="1"/>
  <c r="AG22" i="4"/>
  <c r="J22" i="4" s="1"/>
  <c r="I22" i="4" s="1"/>
  <c r="R17" i="4"/>
  <c r="P17" i="4" s="1"/>
  <c r="S17" i="4" s="1"/>
  <c r="M17" i="4" s="1"/>
  <c r="N17" i="4" s="1"/>
  <c r="L22" i="4"/>
  <c r="AU20" i="4"/>
  <c r="O24" i="4"/>
  <c r="BK24" i="4"/>
  <c r="O20" i="4"/>
  <c r="BK20" i="4"/>
  <c r="BS24" i="4"/>
  <c r="BW24" i="4" s="1"/>
  <c r="BX24" i="4" s="1"/>
  <c r="L24" i="4"/>
  <c r="U27" i="4"/>
  <c r="V27" i="4" s="1"/>
  <c r="AU22" i="4"/>
  <c r="BS26" i="4"/>
  <c r="BW26" i="4" s="1"/>
  <c r="BX26" i="4" s="1"/>
  <c r="L18" i="4"/>
  <c r="AU18" i="4"/>
  <c r="BT26" i="4"/>
  <c r="BK22" i="4"/>
  <c r="U23" i="4"/>
  <c r="V23" i="4" s="1"/>
  <c r="T28" i="4"/>
  <c r="AE17" i="4"/>
  <c r="BK18" i="4"/>
  <c r="U19" i="4"/>
  <c r="V19" i="4" s="1"/>
  <c r="BS22" i="4"/>
  <c r="BW22" i="4" s="1"/>
  <c r="BX22" i="4" s="1"/>
  <c r="BT24" i="4"/>
  <c r="AD17" i="3"/>
  <c r="AC17" i="3"/>
  <c r="W17" i="3"/>
  <c r="AA17" i="3" s="1"/>
  <c r="AD25" i="3"/>
  <c r="AC25" i="3"/>
  <c r="W25" i="3"/>
  <c r="AA25" i="3" s="1"/>
  <c r="AE29" i="3"/>
  <c r="AC21" i="3"/>
  <c r="AD21" i="3"/>
  <c r="AE21" i="3" s="1"/>
  <c r="W21" i="3"/>
  <c r="AA21" i="3" s="1"/>
  <c r="R23" i="3"/>
  <c r="P23" i="3" s="1"/>
  <c r="S23" i="3" s="1"/>
  <c r="M23" i="3" s="1"/>
  <c r="N23" i="3" s="1"/>
  <c r="AB23" i="3"/>
  <c r="AB18" i="3"/>
  <c r="AB27" i="3"/>
  <c r="AC26" i="3"/>
  <c r="BK21" i="3"/>
  <c r="AB22" i="3"/>
  <c r="AD26" i="3"/>
  <c r="BL21" i="3"/>
  <c r="BK25" i="3"/>
  <c r="AB26" i="3"/>
  <c r="R26" i="3"/>
  <c r="P26" i="3" s="1"/>
  <c r="S26" i="3" s="1"/>
  <c r="M26" i="3" s="1"/>
  <c r="N26" i="3" s="1"/>
  <c r="BL20" i="3"/>
  <c r="AB20" i="3"/>
  <c r="BR19" i="3"/>
  <c r="BT19" i="3"/>
  <c r="BS19" i="3"/>
  <c r="BW19" i="3" s="1"/>
  <c r="BX19" i="3" s="1"/>
  <c r="BL24" i="3"/>
  <c r="U18" i="3"/>
  <c r="V18" i="3" s="1"/>
  <c r="AB24" i="3"/>
  <c r="R24" i="3"/>
  <c r="P24" i="3" s="1"/>
  <c r="S24" i="3" s="1"/>
  <c r="M24" i="3" s="1"/>
  <c r="N24" i="3" s="1"/>
  <c r="U28" i="3"/>
  <c r="V28" i="3" s="1"/>
  <c r="AB19" i="3"/>
  <c r="BR23" i="3"/>
  <c r="BT23" i="3"/>
  <c r="BS23" i="3"/>
  <c r="BW23" i="3" s="1"/>
  <c r="BX23" i="3" s="1"/>
  <c r="U22" i="3"/>
  <c r="V22" i="3" s="1"/>
  <c r="BR27" i="3"/>
  <c r="BT27" i="3"/>
  <c r="BS27" i="3"/>
  <c r="BW27" i="3" s="1"/>
  <c r="BX27" i="3" s="1"/>
  <c r="BL28" i="3"/>
  <c r="BK24" i="3"/>
  <c r="W29" i="3"/>
  <c r="AA29" i="3" s="1"/>
  <c r="AC29" i="3"/>
  <c r="U20" i="3"/>
  <c r="V20" i="3" s="1"/>
  <c r="R29" i="3"/>
  <c r="P29" i="3" s="1"/>
  <c r="S29" i="3" s="1"/>
  <c r="M29" i="3" s="1"/>
  <c r="N29" i="3" s="1"/>
  <c r="AB29" i="3"/>
  <c r="U27" i="3"/>
  <c r="V27" i="3" s="1"/>
  <c r="U19" i="3"/>
  <c r="V19" i="3" s="1"/>
  <c r="U23" i="3"/>
  <c r="V23" i="3" s="1"/>
  <c r="BK29" i="3"/>
  <c r="U24" i="3"/>
  <c r="V24" i="3" s="1"/>
  <c r="R17" i="3"/>
  <c r="P17" i="3" s="1"/>
  <c r="S17" i="3" s="1"/>
  <c r="M17" i="3" s="1"/>
  <c r="N17" i="3" s="1"/>
  <c r="AB17" i="3"/>
  <c r="R21" i="3"/>
  <c r="P21" i="3" s="1"/>
  <c r="S21" i="3" s="1"/>
  <c r="M21" i="3" s="1"/>
  <c r="N21" i="3" s="1"/>
  <c r="AB21" i="3"/>
  <c r="R25" i="3"/>
  <c r="P25" i="3" s="1"/>
  <c r="S25" i="3" s="1"/>
  <c r="M25" i="3" s="1"/>
  <c r="N25" i="3" s="1"/>
  <c r="AB25" i="3"/>
  <c r="BS18" i="3"/>
  <c r="BW18" i="3" s="1"/>
  <c r="BX18" i="3" s="1"/>
  <c r="BS22" i="3"/>
  <c r="BW22" i="3" s="1"/>
  <c r="BX22" i="3" s="1"/>
  <c r="BS26" i="3"/>
  <c r="BW26" i="3" s="1"/>
  <c r="BX26" i="3" s="1"/>
  <c r="BS29" i="3"/>
  <c r="BW29" i="3" s="1"/>
  <c r="BX29" i="3" s="1"/>
  <c r="BT18" i="3"/>
  <c r="BT22" i="3"/>
  <c r="BT26" i="3"/>
  <c r="AB28" i="3"/>
  <c r="R28" i="3"/>
  <c r="P28" i="3" s="1"/>
  <c r="S28" i="3" s="1"/>
  <c r="M28" i="3" s="1"/>
  <c r="N28" i="3" s="1"/>
  <c r="BT29" i="3"/>
  <c r="BK28" i="3"/>
  <c r="BS28" i="3"/>
  <c r="BW28" i="3" s="1"/>
  <c r="BX28" i="3" s="1"/>
  <c r="AB28" i="2"/>
  <c r="BT25" i="2"/>
  <c r="BS25" i="2"/>
  <c r="BW25" i="2" s="1"/>
  <c r="BX25" i="2" s="1"/>
  <c r="BR25" i="2"/>
  <c r="AD23" i="2"/>
  <c r="AC23" i="2"/>
  <c r="W23" i="2"/>
  <c r="AA23" i="2" s="1"/>
  <c r="BT23" i="2"/>
  <c r="BS23" i="2"/>
  <c r="BW23" i="2" s="1"/>
  <c r="BX23" i="2" s="1"/>
  <c r="BR23" i="2"/>
  <c r="AC22" i="2"/>
  <c r="AB20" i="2"/>
  <c r="R20" i="2"/>
  <c r="P20" i="2" s="1"/>
  <c r="S20" i="2" s="1"/>
  <c r="BL23" i="2"/>
  <c r="BK23" i="2"/>
  <c r="BT17" i="2"/>
  <c r="BS17" i="2"/>
  <c r="BW17" i="2" s="1"/>
  <c r="BX17" i="2" s="1"/>
  <c r="BR17" i="2"/>
  <c r="AB22" i="2"/>
  <c r="R22" i="2"/>
  <c r="P22" i="2" s="1"/>
  <c r="S22" i="2" s="1"/>
  <c r="M22" i="2" s="1"/>
  <c r="N22" i="2" s="1"/>
  <c r="BT27" i="2"/>
  <c r="BS27" i="2"/>
  <c r="BW27" i="2" s="1"/>
  <c r="BX27" i="2" s="1"/>
  <c r="BR27" i="2"/>
  <c r="BT19" i="2"/>
  <c r="BS19" i="2"/>
  <c r="BW19" i="2" s="1"/>
  <c r="BX19" i="2" s="1"/>
  <c r="BR19" i="2"/>
  <c r="BT29" i="2"/>
  <c r="BS29" i="2"/>
  <c r="BW29" i="2" s="1"/>
  <c r="BX29" i="2" s="1"/>
  <c r="BR29" i="2"/>
  <c r="BT21" i="2"/>
  <c r="BS21" i="2"/>
  <c r="BW21" i="2" s="1"/>
  <c r="BX21" i="2" s="1"/>
  <c r="BR21" i="2"/>
  <c r="BL24" i="2"/>
  <c r="AB24" i="2"/>
  <c r="R24" i="2"/>
  <c r="P24" i="2" s="1"/>
  <c r="S24" i="2" s="1"/>
  <c r="AB26" i="2"/>
  <c r="AB18" i="2"/>
  <c r="U26" i="2"/>
  <c r="V26" i="2" s="1"/>
  <c r="R26" i="2" s="1"/>
  <c r="P26" i="2" s="1"/>
  <c r="S26" i="2" s="1"/>
  <c r="M26" i="2" s="1"/>
  <c r="N26" i="2" s="1"/>
  <c r="R29" i="2"/>
  <c r="P29" i="2" s="1"/>
  <c r="S29" i="2" s="1"/>
  <c r="M29" i="2" s="1"/>
  <c r="N29" i="2" s="1"/>
  <c r="R17" i="2"/>
  <c r="P17" i="2" s="1"/>
  <c r="S17" i="2" s="1"/>
  <c r="M17" i="2" s="1"/>
  <c r="N17" i="2" s="1"/>
  <c r="BS22" i="2"/>
  <c r="BW22" i="2" s="1"/>
  <c r="BX22" i="2" s="1"/>
  <c r="U24" i="2"/>
  <c r="V24" i="2" s="1"/>
  <c r="R27" i="2"/>
  <c r="P27" i="2" s="1"/>
  <c r="S27" i="2" s="1"/>
  <c r="M27" i="2" s="1"/>
  <c r="N27" i="2" s="1"/>
  <c r="AU18" i="2"/>
  <c r="AU28" i="2"/>
  <c r="BT20" i="2"/>
  <c r="U22" i="2"/>
  <c r="V22" i="2" s="1"/>
  <c r="U29" i="2"/>
  <c r="V29" i="2" s="1"/>
  <c r="O18" i="2"/>
  <c r="DH22" i="2"/>
  <c r="BI22" i="2" s="1"/>
  <c r="BL22" i="2" s="1"/>
  <c r="U17" i="2"/>
  <c r="V17" i="2" s="1"/>
  <c r="BS18" i="2"/>
  <c r="BW18" i="2" s="1"/>
  <c r="BX18" i="2" s="1"/>
  <c r="U27" i="2"/>
  <c r="V27" i="2" s="1"/>
  <c r="AE23" i="2"/>
  <c r="R19" i="2"/>
  <c r="P19" i="2" s="1"/>
  <c r="S19" i="2" s="1"/>
  <c r="M19" i="2" s="1"/>
  <c r="N19" i="2" s="1"/>
  <c r="BK22" i="2"/>
  <c r="AU20" i="2"/>
  <c r="DH26" i="2"/>
  <c r="BI26" i="2" s="1"/>
  <c r="BL26" i="2" s="1"/>
  <c r="L20" i="2"/>
  <c r="BT22" i="2"/>
  <c r="U21" i="2"/>
  <c r="V21" i="2" s="1"/>
  <c r="O20" i="2"/>
  <c r="DH24" i="2"/>
  <c r="BI24" i="2" s="1"/>
  <c r="BS20" i="2"/>
  <c r="BW20" i="2" s="1"/>
  <c r="BX20" i="2" s="1"/>
  <c r="L28" i="2"/>
  <c r="U19" i="2"/>
  <c r="V19" i="2" s="1"/>
  <c r="AU26" i="2"/>
  <c r="L26" i="2"/>
  <c r="BS28" i="2"/>
  <c r="BW28" i="2" s="1"/>
  <c r="BX28" i="2" s="1"/>
  <c r="BT18" i="2"/>
  <c r="BT28" i="2"/>
  <c r="U20" i="2"/>
  <c r="V20" i="2" s="1"/>
  <c r="R23" i="2"/>
  <c r="P23" i="2" s="1"/>
  <c r="S23" i="2" s="1"/>
  <c r="M23" i="2" s="1"/>
  <c r="N23" i="2" s="1"/>
  <c r="BK26" i="2"/>
  <c r="DH20" i="2"/>
  <c r="BI20" i="2" s="1"/>
  <c r="BK20" i="2" s="1"/>
  <c r="AU24" i="2"/>
  <c r="L24" i="2"/>
  <c r="BS26" i="2"/>
  <c r="BW26" i="2" s="1"/>
  <c r="BX26" i="2" s="1"/>
  <c r="AB19" i="2"/>
  <c r="BT26" i="2"/>
  <c r="AB29" i="2"/>
  <c r="T18" i="2"/>
  <c r="AF20" i="2"/>
  <c r="K20" i="2" s="1"/>
  <c r="BJ20" i="2" s="1"/>
  <c r="R21" i="2"/>
  <c r="P21" i="2" s="1"/>
  <c r="S21" i="2" s="1"/>
  <c r="M21" i="2" s="1"/>
  <c r="N21" i="2" s="1"/>
  <c r="BK24" i="2"/>
  <c r="U25" i="2"/>
  <c r="V25" i="2" s="1"/>
  <c r="R25" i="2" s="1"/>
  <c r="P25" i="2" s="1"/>
  <c r="S25" i="2" s="1"/>
  <c r="M25" i="2" s="1"/>
  <c r="N25" i="2" s="1"/>
  <c r="T28" i="2"/>
  <c r="AB17" i="2"/>
  <c r="DH18" i="2"/>
  <c r="BI18" i="2" s="1"/>
  <c r="BK18" i="2" s="1"/>
  <c r="AU22" i="2"/>
  <c r="DH28" i="2"/>
  <c r="BI28" i="2" s="1"/>
  <c r="BK28" i="2" s="1"/>
  <c r="BS24" i="2"/>
  <c r="BW24" i="2" s="1"/>
  <c r="BX24" i="2" s="1"/>
  <c r="AD23" i="1"/>
  <c r="AC23" i="1"/>
  <c r="W23" i="1"/>
  <c r="AA23" i="1" s="1"/>
  <c r="AD17" i="1"/>
  <c r="AC17" i="1"/>
  <c r="W17" i="1"/>
  <c r="AA17" i="1" s="1"/>
  <c r="U22" i="1"/>
  <c r="V22" i="1" s="1"/>
  <c r="AB26" i="1"/>
  <c r="R26" i="1"/>
  <c r="P26" i="1" s="1"/>
  <c r="S26" i="1" s="1"/>
  <c r="M26" i="1" s="1"/>
  <c r="N26" i="1" s="1"/>
  <c r="U26" i="1"/>
  <c r="V26" i="1" s="1"/>
  <c r="W29" i="1"/>
  <c r="AA29" i="1" s="1"/>
  <c r="AD29" i="1"/>
  <c r="AC29" i="1"/>
  <c r="AD24" i="1"/>
  <c r="AC24" i="1"/>
  <c r="BL23" i="1"/>
  <c r="W24" i="1"/>
  <c r="AA24" i="1" s="1"/>
  <c r="R23" i="1"/>
  <c r="P23" i="1" s="1"/>
  <c r="S23" i="1" s="1"/>
  <c r="M23" i="1" s="1"/>
  <c r="N23" i="1" s="1"/>
  <c r="AB23" i="1"/>
  <c r="AB18" i="1"/>
  <c r="R18" i="1"/>
  <c r="P18" i="1" s="1"/>
  <c r="S18" i="1" s="1"/>
  <c r="M18" i="1" s="1"/>
  <c r="N18" i="1" s="1"/>
  <c r="R21" i="1"/>
  <c r="P21" i="1" s="1"/>
  <c r="S21" i="1" s="1"/>
  <c r="M21" i="1" s="1"/>
  <c r="N21" i="1" s="1"/>
  <c r="AB21" i="1"/>
  <c r="BR20" i="1"/>
  <c r="BT20" i="1"/>
  <c r="BS20" i="1"/>
  <c r="BW20" i="1" s="1"/>
  <c r="BX20" i="1" s="1"/>
  <c r="AB19" i="1"/>
  <c r="R17" i="1"/>
  <c r="P17" i="1" s="1"/>
  <c r="S17" i="1" s="1"/>
  <c r="M17" i="1" s="1"/>
  <c r="N17" i="1" s="1"/>
  <c r="AB17" i="1"/>
  <c r="AB27" i="1"/>
  <c r="W25" i="1"/>
  <c r="AA25" i="1" s="1"/>
  <c r="AD25" i="1"/>
  <c r="AC25" i="1"/>
  <c r="R29" i="1"/>
  <c r="P29" i="1" s="1"/>
  <c r="S29" i="1" s="1"/>
  <c r="M29" i="1" s="1"/>
  <c r="N29" i="1" s="1"/>
  <c r="AB29" i="1"/>
  <c r="AB22" i="1"/>
  <c r="BL24" i="1"/>
  <c r="BR28" i="1"/>
  <c r="BT28" i="1"/>
  <c r="BS28" i="1"/>
  <c r="BW28" i="1" s="1"/>
  <c r="BX28" i="1" s="1"/>
  <c r="AB24" i="1"/>
  <c r="R24" i="1"/>
  <c r="P24" i="1" s="1"/>
  <c r="S24" i="1" s="1"/>
  <c r="M24" i="1" s="1"/>
  <c r="N24" i="1" s="1"/>
  <c r="AB20" i="1"/>
  <c r="R20" i="1"/>
  <c r="P20" i="1" s="1"/>
  <c r="S20" i="1" s="1"/>
  <c r="M20" i="1" s="1"/>
  <c r="N20" i="1" s="1"/>
  <c r="BL25" i="1"/>
  <c r="BL21" i="1"/>
  <c r="BK23" i="1"/>
  <c r="R25" i="1"/>
  <c r="P25" i="1" s="1"/>
  <c r="S25" i="1" s="1"/>
  <c r="M25" i="1" s="1"/>
  <c r="N25" i="1" s="1"/>
  <c r="AB25" i="1"/>
  <c r="U21" i="1"/>
  <c r="V21" i="1" s="1"/>
  <c r="U28" i="1"/>
  <c r="V28" i="1" s="1"/>
  <c r="U19" i="1"/>
  <c r="V19" i="1" s="1"/>
  <c r="U18" i="1"/>
  <c r="V18" i="1" s="1"/>
  <c r="BT19" i="1"/>
  <c r="AE29" i="1"/>
  <c r="BS18" i="1"/>
  <c r="BW18" i="1" s="1"/>
  <c r="BX18" i="1" s="1"/>
  <c r="U27" i="1"/>
  <c r="V27" i="1" s="1"/>
  <c r="BT27" i="1"/>
  <c r="BT18" i="1"/>
  <c r="BS17" i="1"/>
  <c r="BW17" i="1" s="1"/>
  <c r="BX17" i="1" s="1"/>
  <c r="U20" i="1"/>
  <c r="V20" i="1" s="1"/>
  <c r="BS19" i="1"/>
  <c r="BW19" i="1" s="1"/>
  <c r="BX19" i="1" s="1"/>
  <c r="BS27" i="1"/>
  <c r="BW27" i="1" s="1"/>
  <c r="BX27" i="1" s="1"/>
  <c r="BT17" i="1"/>
  <c r="BS26" i="1"/>
  <c r="BW26" i="1" s="1"/>
  <c r="BX26" i="1" s="1"/>
  <c r="BT26" i="1"/>
  <c r="BS25" i="1"/>
  <c r="BW25" i="1" s="1"/>
  <c r="BX25" i="1" s="1"/>
  <c r="BT25" i="1"/>
  <c r="AB28" i="1"/>
  <c r="BK29" i="1"/>
  <c r="BS24" i="1"/>
  <c r="BW24" i="1" s="1"/>
  <c r="BX24" i="1" s="1"/>
  <c r="AD17" i="13" l="1"/>
  <c r="W17" i="13"/>
  <c r="AA17" i="13" s="1"/>
  <c r="AC17" i="13"/>
  <c r="W22" i="13"/>
  <c r="AA22" i="13" s="1"/>
  <c r="AC22" i="13"/>
  <c r="AD22" i="13"/>
  <c r="W18" i="13"/>
  <c r="AA18" i="13" s="1"/>
  <c r="AD18" i="13"/>
  <c r="AC18" i="13"/>
  <c r="R23" i="13"/>
  <c r="P23" i="13" s="1"/>
  <c r="S23" i="13" s="1"/>
  <c r="M23" i="13" s="1"/>
  <c r="N23" i="13" s="1"/>
  <c r="AB23" i="13"/>
  <c r="AD27" i="13"/>
  <c r="W27" i="13"/>
  <c r="AA27" i="13" s="1"/>
  <c r="AC27" i="13"/>
  <c r="AB26" i="13"/>
  <c r="R26" i="13"/>
  <c r="P26" i="13" s="1"/>
  <c r="S26" i="13" s="1"/>
  <c r="M26" i="13" s="1"/>
  <c r="N26" i="13" s="1"/>
  <c r="R21" i="13"/>
  <c r="P21" i="13" s="1"/>
  <c r="S21" i="13" s="1"/>
  <c r="M21" i="13" s="1"/>
  <c r="N21" i="13" s="1"/>
  <c r="AB21" i="13"/>
  <c r="AB28" i="13"/>
  <c r="R28" i="13"/>
  <c r="P28" i="13" s="1"/>
  <c r="S28" i="13" s="1"/>
  <c r="M28" i="13" s="1"/>
  <c r="N28" i="13" s="1"/>
  <c r="AB19" i="13"/>
  <c r="R25" i="13"/>
  <c r="P25" i="13" s="1"/>
  <c r="S25" i="13" s="1"/>
  <c r="M25" i="13" s="1"/>
  <c r="N25" i="13" s="1"/>
  <c r="AB25" i="13"/>
  <c r="AB18" i="13"/>
  <c r="R18" i="13"/>
  <c r="P18" i="13" s="1"/>
  <c r="S18" i="13" s="1"/>
  <c r="M18" i="13" s="1"/>
  <c r="N18" i="13" s="1"/>
  <c r="R17" i="13"/>
  <c r="P17" i="13" s="1"/>
  <c r="S17" i="13" s="1"/>
  <c r="M17" i="13" s="1"/>
  <c r="N17" i="13" s="1"/>
  <c r="AB17" i="13"/>
  <c r="R29" i="13"/>
  <c r="P29" i="13" s="1"/>
  <c r="S29" i="13" s="1"/>
  <c r="M29" i="13" s="1"/>
  <c r="N29" i="13" s="1"/>
  <c r="AB29" i="13"/>
  <c r="AB24" i="13"/>
  <c r="R24" i="13"/>
  <c r="P24" i="13" s="1"/>
  <c r="S24" i="13" s="1"/>
  <c r="M24" i="13" s="1"/>
  <c r="N24" i="13" s="1"/>
  <c r="R27" i="13"/>
  <c r="P27" i="13" s="1"/>
  <c r="S27" i="13" s="1"/>
  <c r="M27" i="13" s="1"/>
  <c r="N27" i="13" s="1"/>
  <c r="AB27" i="13"/>
  <c r="AB22" i="13"/>
  <c r="R22" i="13"/>
  <c r="P22" i="13" s="1"/>
  <c r="S22" i="13" s="1"/>
  <c r="M22" i="13" s="1"/>
  <c r="N22" i="13" s="1"/>
  <c r="AB20" i="13"/>
  <c r="U20" i="13"/>
  <c r="V20" i="13" s="1"/>
  <c r="W24" i="13"/>
  <c r="AA24" i="13" s="1"/>
  <c r="AD24" i="13"/>
  <c r="AC24" i="13"/>
  <c r="U23" i="13"/>
  <c r="V23" i="13" s="1"/>
  <c r="AD25" i="13"/>
  <c r="AC25" i="13"/>
  <c r="W25" i="13"/>
  <c r="AA25" i="13" s="1"/>
  <c r="U26" i="13"/>
  <c r="V26" i="13" s="1"/>
  <c r="U29" i="13"/>
  <c r="V29" i="13" s="1"/>
  <c r="U19" i="13"/>
  <c r="V19" i="13" s="1"/>
  <c r="U28" i="13"/>
  <c r="V28" i="13" s="1"/>
  <c r="U21" i="13"/>
  <c r="V21" i="13" s="1"/>
  <c r="AD19" i="9"/>
  <c r="W19" i="9"/>
  <c r="AA19" i="9" s="1"/>
  <c r="U20" i="9"/>
  <c r="V20" i="9" s="1"/>
  <c r="AD17" i="9"/>
  <c r="AE17" i="9" s="1"/>
  <c r="W17" i="9"/>
  <c r="AA17" i="9" s="1"/>
  <c r="U26" i="9"/>
  <c r="V26" i="9" s="1"/>
  <c r="AC29" i="9"/>
  <c r="AC19" i="9"/>
  <c r="BK27" i="9"/>
  <c r="AC17" i="9"/>
  <c r="M23" i="9"/>
  <c r="N23" i="9" s="1"/>
  <c r="BK24" i="9"/>
  <c r="BL24" i="9"/>
  <c r="BL22" i="9"/>
  <c r="U24" i="9"/>
  <c r="V24" i="9" s="1"/>
  <c r="U30" i="9"/>
  <c r="V30" i="9" s="1"/>
  <c r="BL26" i="9"/>
  <c r="AD29" i="9"/>
  <c r="W29" i="9"/>
  <c r="AA29" i="9" s="1"/>
  <c r="AD21" i="9"/>
  <c r="AE21" i="9" s="1"/>
  <c r="W21" i="9"/>
  <c r="AA21" i="9" s="1"/>
  <c r="U22" i="9"/>
  <c r="V22" i="9" s="1"/>
  <c r="AD27" i="9"/>
  <c r="AE27" i="9" s="1"/>
  <c r="W27" i="9"/>
  <c r="AA27" i="9" s="1"/>
  <c r="U25" i="9"/>
  <c r="V25" i="9" s="1"/>
  <c r="U28" i="9"/>
  <c r="V28" i="9" s="1"/>
  <c r="BL30" i="9"/>
  <c r="BL20" i="9"/>
  <c r="R17" i="9"/>
  <c r="P17" i="9" s="1"/>
  <c r="S17" i="9" s="1"/>
  <c r="M17" i="9" s="1"/>
  <c r="N17" i="9" s="1"/>
  <c r="R27" i="9"/>
  <c r="P27" i="9" s="1"/>
  <c r="S27" i="9" s="1"/>
  <c r="M27" i="9" s="1"/>
  <c r="N27" i="9" s="1"/>
  <c r="R19" i="9"/>
  <c r="P19" i="9" s="1"/>
  <c r="S19" i="9" s="1"/>
  <c r="M19" i="9" s="1"/>
  <c r="N19" i="9" s="1"/>
  <c r="AD31" i="9"/>
  <c r="AE31" i="9" s="1"/>
  <c r="W31" i="9"/>
  <c r="AA31" i="9" s="1"/>
  <c r="W20" i="8"/>
  <c r="AA20" i="8" s="1"/>
  <c r="AC20" i="8"/>
  <c r="AD20" i="8"/>
  <c r="AE20" i="8" s="1"/>
  <c r="BK26" i="8"/>
  <c r="AD19" i="8"/>
  <c r="AC19" i="8"/>
  <c r="W19" i="8"/>
  <c r="AA19" i="8" s="1"/>
  <c r="AD25" i="8"/>
  <c r="AC25" i="8"/>
  <c r="W25" i="8"/>
  <c r="AA25" i="8" s="1"/>
  <c r="R19" i="8"/>
  <c r="P19" i="8" s="1"/>
  <c r="S19" i="8" s="1"/>
  <c r="M19" i="8" s="1"/>
  <c r="N19" i="8" s="1"/>
  <c r="AD21" i="8"/>
  <c r="AC21" i="8"/>
  <c r="W21" i="8"/>
  <c r="AA21" i="8" s="1"/>
  <c r="W24" i="8"/>
  <c r="AA24" i="8" s="1"/>
  <c r="AD24" i="8"/>
  <c r="AE24" i="8" s="1"/>
  <c r="W18" i="8"/>
  <c r="AA18" i="8" s="1"/>
  <c r="AD18" i="8"/>
  <c r="AE18" i="8" s="1"/>
  <c r="AD29" i="8"/>
  <c r="AC29" i="8"/>
  <c r="W29" i="8"/>
  <c r="AA29" i="8" s="1"/>
  <c r="AD17" i="8"/>
  <c r="AC17" i="8"/>
  <c r="W17" i="8"/>
  <c r="AA17" i="8" s="1"/>
  <c r="BK20" i="8"/>
  <c r="AB24" i="8"/>
  <c r="R24" i="8"/>
  <c r="P24" i="8" s="1"/>
  <c r="S24" i="8" s="1"/>
  <c r="M24" i="8" s="1"/>
  <c r="N24" i="8" s="1"/>
  <c r="AD27" i="8"/>
  <c r="AC27" i="8"/>
  <c r="W27" i="8"/>
  <c r="AA27" i="8" s="1"/>
  <c r="W26" i="8"/>
  <c r="AA26" i="8" s="1"/>
  <c r="AD26" i="8"/>
  <c r="AD23" i="8"/>
  <c r="AC23" i="8"/>
  <c r="W23" i="8"/>
  <c r="AA23" i="8" s="1"/>
  <c r="R25" i="8"/>
  <c r="P25" i="8" s="1"/>
  <c r="S25" i="8" s="1"/>
  <c r="M25" i="8" s="1"/>
  <c r="N25" i="8" s="1"/>
  <c r="AC18" i="8"/>
  <c r="R27" i="8"/>
  <c r="P27" i="8" s="1"/>
  <c r="S27" i="8" s="1"/>
  <c r="M27" i="8" s="1"/>
  <c r="N27" i="8" s="1"/>
  <c r="AC26" i="8"/>
  <c r="R20" i="8"/>
  <c r="P20" i="8" s="1"/>
  <c r="S20" i="8" s="1"/>
  <c r="M20" i="8" s="1"/>
  <c r="N20" i="8" s="1"/>
  <c r="U28" i="8"/>
  <c r="V28" i="8" s="1"/>
  <c r="AC24" i="8"/>
  <c r="U22" i="8"/>
  <c r="V22" i="8" s="1"/>
  <c r="BL25" i="7"/>
  <c r="AE32" i="7"/>
  <c r="AD23" i="7"/>
  <c r="AE23" i="7" s="1"/>
  <c r="W23" i="7"/>
  <c r="AA23" i="7" s="1"/>
  <c r="W29" i="7"/>
  <c r="AA29" i="7" s="1"/>
  <c r="AD29" i="7"/>
  <c r="R29" i="7"/>
  <c r="P29" i="7" s="1"/>
  <c r="S29" i="7" s="1"/>
  <c r="M29" i="7" s="1"/>
  <c r="N29" i="7" s="1"/>
  <c r="AB30" i="7"/>
  <c r="U30" i="7"/>
  <c r="V30" i="7" s="1"/>
  <c r="R18" i="7"/>
  <c r="P18" i="7" s="1"/>
  <c r="S18" i="7" s="1"/>
  <c r="M18" i="7" s="1"/>
  <c r="N18" i="7" s="1"/>
  <c r="AB18" i="7"/>
  <c r="AD24" i="7"/>
  <c r="AC24" i="7"/>
  <c r="W24" i="7"/>
  <c r="AA24" i="7" s="1"/>
  <c r="AC29" i="7"/>
  <c r="AD28" i="7"/>
  <c r="AC28" i="7"/>
  <c r="W28" i="7"/>
  <c r="AA28" i="7" s="1"/>
  <c r="BL17" i="7"/>
  <c r="BL23" i="7"/>
  <c r="R22" i="7"/>
  <c r="P22" i="7" s="1"/>
  <c r="S22" i="7" s="1"/>
  <c r="M22" i="7" s="1"/>
  <c r="N22" i="7" s="1"/>
  <c r="AB22" i="7"/>
  <c r="U17" i="7"/>
  <c r="V17" i="7" s="1"/>
  <c r="BL21" i="7"/>
  <c r="AD22" i="7"/>
  <c r="AC22" i="7"/>
  <c r="W22" i="7"/>
  <c r="AA22" i="7" s="1"/>
  <c r="AD19" i="7"/>
  <c r="AE19" i="7" s="1"/>
  <c r="W19" i="7"/>
  <c r="AA19" i="7" s="1"/>
  <c r="AD27" i="7"/>
  <c r="AE27" i="7" s="1"/>
  <c r="W27" i="7"/>
  <c r="AA27" i="7" s="1"/>
  <c r="AD26" i="7"/>
  <c r="AC26" i="7"/>
  <c r="W26" i="7"/>
  <c r="AA26" i="7" s="1"/>
  <c r="R26" i="7"/>
  <c r="P26" i="7" s="1"/>
  <c r="S26" i="7" s="1"/>
  <c r="M26" i="7" s="1"/>
  <c r="N26" i="7" s="1"/>
  <c r="AB26" i="7"/>
  <c r="AD20" i="7"/>
  <c r="AC20" i="7"/>
  <c r="W20" i="7"/>
  <c r="AA20" i="7" s="1"/>
  <c r="AB31" i="7"/>
  <c r="U31" i="7"/>
  <c r="V31" i="7" s="1"/>
  <c r="R31" i="7" s="1"/>
  <c r="P31" i="7" s="1"/>
  <c r="S31" i="7" s="1"/>
  <c r="M31" i="7" s="1"/>
  <c r="N31" i="7" s="1"/>
  <c r="U18" i="7"/>
  <c r="V18" i="7" s="1"/>
  <c r="BL29" i="7"/>
  <c r="R19" i="7"/>
  <c r="P19" i="7" s="1"/>
  <c r="S19" i="7" s="1"/>
  <c r="M19" i="7" s="1"/>
  <c r="N19" i="7" s="1"/>
  <c r="R27" i="7"/>
  <c r="P27" i="7" s="1"/>
  <c r="S27" i="7" s="1"/>
  <c r="M27" i="7" s="1"/>
  <c r="N27" i="7" s="1"/>
  <c r="AB26" i="6"/>
  <c r="AB19" i="6"/>
  <c r="W18" i="6"/>
  <c r="AA18" i="6" s="1"/>
  <c r="AD18" i="6"/>
  <c r="R27" i="6"/>
  <c r="P27" i="6" s="1"/>
  <c r="S27" i="6" s="1"/>
  <c r="M27" i="6" s="1"/>
  <c r="N27" i="6" s="1"/>
  <c r="AB27" i="6"/>
  <c r="U19" i="6"/>
  <c r="V19" i="6" s="1"/>
  <c r="R23" i="6"/>
  <c r="P23" i="6" s="1"/>
  <c r="S23" i="6" s="1"/>
  <c r="M23" i="6" s="1"/>
  <c r="N23" i="6" s="1"/>
  <c r="AB23" i="6"/>
  <c r="AD21" i="6"/>
  <c r="AC21" i="6"/>
  <c r="W21" i="6"/>
  <c r="AA21" i="6" s="1"/>
  <c r="W24" i="6"/>
  <c r="AA24" i="6" s="1"/>
  <c r="AD24" i="6"/>
  <c r="W28" i="6"/>
  <c r="AA28" i="6" s="1"/>
  <c r="AD28" i="6"/>
  <c r="AC28" i="6"/>
  <c r="AC24" i="6"/>
  <c r="W20" i="6"/>
  <c r="AA20" i="6" s="1"/>
  <c r="AD20" i="6"/>
  <c r="AC20" i="6"/>
  <c r="U26" i="6"/>
  <c r="V26" i="6" s="1"/>
  <c r="AB17" i="6"/>
  <c r="R18" i="6"/>
  <c r="P18" i="6" s="1"/>
  <c r="S18" i="6" s="1"/>
  <c r="M18" i="6" s="1"/>
  <c r="N18" i="6" s="1"/>
  <c r="R29" i="6"/>
  <c r="P29" i="6" s="1"/>
  <c r="S29" i="6" s="1"/>
  <c r="M29" i="6" s="1"/>
  <c r="N29" i="6" s="1"/>
  <c r="AB29" i="6"/>
  <c r="W22" i="6"/>
  <c r="AA22" i="6" s="1"/>
  <c r="AD22" i="6"/>
  <c r="AC22" i="6"/>
  <c r="R21" i="6"/>
  <c r="P21" i="6" s="1"/>
  <c r="S21" i="6" s="1"/>
  <c r="M21" i="6" s="1"/>
  <c r="N21" i="6" s="1"/>
  <c r="AB21" i="6"/>
  <c r="R24" i="6"/>
  <c r="P24" i="6" s="1"/>
  <c r="S24" i="6" s="1"/>
  <c r="M24" i="6" s="1"/>
  <c r="N24" i="6" s="1"/>
  <c r="R25" i="6"/>
  <c r="P25" i="6" s="1"/>
  <c r="S25" i="6" s="1"/>
  <c r="M25" i="6" s="1"/>
  <c r="N25" i="6" s="1"/>
  <c r="AB25" i="6"/>
  <c r="U17" i="6"/>
  <c r="V17" i="6" s="1"/>
  <c r="AB28" i="6"/>
  <c r="R28" i="6"/>
  <c r="P28" i="6" s="1"/>
  <c r="S28" i="6" s="1"/>
  <c r="M28" i="6" s="1"/>
  <c r="N28" i="6" s="1"/>
  <c r="U27" i="6"/>
  <c r="V27" i="6" s="1"/>
  <c r="BL26" i="6"/>
  <c r="U25" i="6"/>
  <c r="V25" i="6" s="1"/>
  <c r="U23" i="6"/>
  <c r="V23" i="6" s="1"/>
  <c r="U29" i="6"/>
  <c r="V29" i="6" s="1"/>
  <c r="AC18" i="6"/>
  <c r="AD19" i="4"/>
  <c r="AE19" i="4" s="1"/>
  <c r="AC19" i="4"/>
  <c r="W19" i="4"/>
  <c r="AA19" i="4" s="1"/>
  <c r="U28" i="4"/>
  <c r="V28" i="4" s="1"/>
  <c r="AC20" i="4"/>
  <c r="AB22" i="4"/>
  <c r="R22" i="4"/>
  <c r="P22" i="4" s="1"/>
  <c r="S22" i="4" s="1"/>
  <c r="M22" i="4" s="1"/>
  <c r="N22" i="4" s="1"/>
  <c r="AB24" i="4"/>
  <c r="R24" i="4"/>
  <c r="P24" i="4" s="1"/>
  <c r="S24" i="4" s="1"/>
  <c r="M24" i="4" s="1"/>
  <c r="N24" i="4" s="1"/>
  <c r="BL26" i="4"/>
  <c r="W18" i="4"/>
  <c r="AA18" i="4" s="1"/>
  <c r="AD18" i="4"/>
  <c r="AE18" i="4" s="1"/>
  <c r="R18" i="4"/>
  <c r="P18" i="4" s="1"/>
  <c r="S18" i="4" s="1"/>
  <c r="M18" i="4" s="1"/>
  <c r="N18" i="4" s="1"/>
  <c r="W20" i="4"/>
  <c r="AA20" i="4" s="1"/>
  <c r="AD20" i="4"/>
  <c r="AE20" i="4" s="1"/>
  <c r="W26" i="4"/>
  <c r="AA26" i="4" s="1"/>
  <c r="AD26" i="4"/>
  <c r="AC26" i="4"/>
  <c r="W24" i="4"/>
  <c r="AA24" i="4" s="1"/>
  <c r="AD24" i="4"/>
  <c r="AE24" i="4" s="1"/>
  <c r="AC24" i="4"/>
  <c r="AD29" i="4"/>
  <c r="AC29" i="4"/>
  <c r="W29" i="4"/>
  <c r="AA29" i="4" s="1"/>
  <c r="AD27" i="4"/>
  <c r="W27" i="4"/>
  <c r="AA27" i="4" s="1"/>
  <c r="AC27" i="4"/>
  <c r="R19" i="4"/>
  <c r="P19" i="4" s="1"/>
  <c r="S19" i="4" s="1"/>
  <c r="M19" i="4" s="1"/>
  <c r="N19" i="4" s="1"/>
  <c r="W23" i="4"/>
  <c r="AA23" i="4" s="1"/>
  <c r="AD23" i="4"/>
  <c r="AC23" i="4"/>
  <c r="W22" i="4"/>
  <c r="AA22" i="4" s="1"/>
  <c r="AD22" i="4"/>
  <c r="AC22" i="4"/>
  <c r="R23" i="4"/>
  <c r="P23" i="4" s="1"/>
  <c r="S23" i="4" s="1"/>
  <c r="M23" i="4" s="1"/>
  <c r="N23" i="4" s="1"/>
  <c r="AB26" i="4"/>
  <c r="R26" i="4"/>
  <c r="P26" i="4" s="1"/>
  <c r="S26" i="4" s="1"/>
  <c r="M26" i="4" s="1"/>
  <c r="N26" i="4" s="1"/>
  <c r="R29" i="4"/>
  <c r="P29" i="4" s="1"/>
  <c r="S29" i="4" s="1"/>
  <c r="M29" i="4" s="1"/>
  <c r="N29" i="4" s="1"/>
  <c r="AD19" i="3"/>
  <c r="AC19" i="3"/>
  <c r="W19" i="3"/>
  <c r="AA19" i="3" s="1"/>
  <c r="W27" i="3"/>
  <c r="AA27" i="3" s="1"/>
  <c r="AD27" i="3"/>
  <c r="AC27" i="3"/>
  <c r="W18" i="3"/>
  <c r="AA18" i="3" s="1"/>
  <c r="AD18" i="3"/>
  <c r="AC18" i="3"/>
  <c r="W20" i="3"/>
  <c r="AA20" i="3" s="1"/>
  <c r="AD20" i="3"/>
  <c r="AC20" i="3"/>
  <c r="R27" i="3"/>
  <c r="P27" i="3" s="1"/>
  <c r="S27" i="3" s="1"/>
  <c r="M27" i="3" s="1"/>
  <c r="N27" i="3" s="1"/>
  <c r="R18" i="3"/>
  <c r="P18" i="3" s="1"/>
  <c r="S18" i="3" s="1"/>
  <c r="M18" i="3" s="1"/>
  <c r="N18" i="3" s="1"/>
  <c r="R20" i="3"/>
  <c r="P20" i="3" s="1"/>
  <c r="S20" i="3" s="1"/>
  <c r="M20" i="3" s="1"/>
  <c r="N20" i="3" s="1"/>
  <c r="W22" i="3"/>
  <c r="AA22" i="3" s="1"/>
  <c r="AD22" i="3"/>
  <c r="AC22" i="3"/>
  <c r="AE26" i="3"/>
  <c r="AE25" i="3"/>
  <c r="W24" i="3"/>
  <c r="AA24" i="3" s="1"/>
  <c r="AD24" i="3"/>
  <c r="AC24" i="3"/>
  <c r="R19" i="3"/>
  <c r="P19" i="3" s="1"/>
  <c r="S19" i="3" s="1"/>
  <c r="M19" i="3" s="1"/>
  <c r="N19" i="3" s="1"/>
  <c r="W28" i="3"/>
  <c r="AA28" i="3" s="1"/>
  <c r="AC28" i="3"/>
  <c r="AD28" i="3"/>
  <c r="AE28" i="3" s="1"/>
  <c r="R22" i="3"/>
  <c r="P22" i="3" s="1"/>
  <c r="S22" i="3" s="1"/>
  <c r="M22" i="3" s="1"/>
  <c r="N22" i="3" s="1"/>
  <c r="AD23" i="3"/>
  <c r="AC23" i="3"/>
  <c r="W23" i="3"/>
  <c r="AA23" i="3" s="1"/>
  <c r="AE17" i="3"/>
  <c r="W20" i="2"/>
  <c r="AA20" i="2" s="1"/>
  <c r="AD20" i="2"/>
  <c r="W24" i="2"/>
  <c r="AA24" i="2" s="1"/>
  <c r="AD24" i="2"/>
  <c r="U28" i="2"/>
  <c r="V28" i="2" s="1"/>
  <c r="AC24" i="2"/>
  <c r="AD19" i="2"/>
  <c r="AC19" i="2"/>
  <c r="W19" i="2"/>
  <c r="AA19" i="2" s="1"/>
  <c r="AC20" i="2"/>
  <c r="BL18" i="2"/>
  <c r="AD29" i="2"/>
  <c r="AC29" i="2"/>
  <c r="W29" i="2"/>
  <c r="AA29" i="2" s="1"/>
  <c r="M24" i="2"/>
  <c r="N24" i="2" s="1"/>
  <c r="M20" i="2"/>
  <c r="N20" i="2" s="1"/>
  <c r="AD27" i="2"/>
  <c r="W27" i="2"/>
  <c r="AA27" i="2" s="1"/>
  <c r="AC27" i="2"/>
  <c r="AD25" i="2"/>
  <c r="W25" i="2"/>
  <c r="AA25" i="2" s="1"/>
  <c r="AC25" i="2"/>
  <c r="BL28" i="2"/>
  <c r="W26" i="2"/>
  <c r="AA26" i="2" s="1"/>
  <c r="AD26" i="2"/>
  <c r="AC26" i="2"/>
  <c r="BL20" i="2"/>
  <c r="AC17" i="2"/>
  <c r="AD17" i="2"/>
  <c r="AE17" i="2" s="1"/>
  <c r="W17" i="2"/>
  <c r="AA17" i="2" s="1"/>
  <c r="U18" i="2"/>
  <c r="V18" i="2" s="1"/>
  <c r="AD21" i="2"/>
  <c r="AC21" i="2"/>
  <c r="W21" i="2"/>
  <c r="AA21" i="2" s="1"/>
  <c r="W22" i="2"/>
  <c r="AA22" i="2" s="1"/>
  <c r="AD22" i="2"/>
  <c r="AE22" i="2" s="1"/>
  <c r="AC22" i="1"/>
  <c r="W22" i="1"/>
  <c r="AA22" i="1" s="1"/>
  <c r="AD22" i="1"/>
  <c r="AE22" i="1" s="1"/>
  <c r="W27" i="1"/>
  <c r="AA27" i="1" s="1"/>
  <c r="AD27" i="1"/>
  <c r="AC27" i="1"/>
  <c r="R22" i="1"/>
  <c r="P22" i="1" s="1"/>
  <c r="S22" i="1" s="1"/>
  <c r="M22" i="1" s="1"/>
  <c r="N22" i="1" s="1"/>
  <c r="AE17" i="1"/>
  <c r="AD18" i="1"/>
  <c r="AC18" i="1"/>
  <c r="W18" i="1"/>
  <c r="AA18" i="1" s="1"/>
  <c r="AD19" i="1"/>
  <c r="AC19" i="1"/>
  <c r="W19" i="1"/>
  <c r="AA19" i="1" s="1"/>
  <c r="W28" i="1"/>
  <c r="AA28" i="1" s="1"/>
  <c r="AD28" i="1"/>
  <c r="AC28" i="1"/>
  <c r="AE23" i="1"/>
  <c r="R28" i="1"/>
  <c r="P28" i="1" s="1"/>
  <c r="S28" i="1" s="1"/>
  <c r="M28" i="1" s="1"/>
  <c r="N28" i="1" s="1"/>
  <c r="W21" i="1"/>
  <c r="AA21" i="1" s="1"/>
  <c r="AD21" i="1"/>
  <c r="AC21" i="1"/>
  <c r="AE25" i="1"/>
  <c r="R27" i="1"/>
  <c r="P27" i="1" s="1"/>
  <c r="S27" i="1" s="1"/>
  <c r="M27" i="1" s="1"/>
  <c r="N27" i="1" s="1"/>
  <c r="AE24" i="1"/>
  <c r="W20" i="1"/>
  <c r="AA20" i="1" s="1"/>
  <c r="AD20" i="1"/>
  <c r="AC20" i="1"/>
  <c r="R19" i="1"/>
  <c r="P19" i="1" s="1"/>
  <c r="S19" i="1" s="1"/>
  <c r="M19" i="1" s="1"/>
  <c r="N19" i="1" s="1"/>
  <c r="W26" i="1"/>
  <c r="AA26" i="1" s="1"/>
  <c r="AD26" i="1"/>
  <c r="AC26" i="1"/>
  <c r="W20" i="13" l="1"/>
  <c r="AA20" i="13" s="1"/>
  <c r="AD20" i="13"/>
  <c r="AE20" i="13" s="1"/>
  <c r="AC20" i="13"/>
  <c r="R20" i="13"/>
  <c r="P20" i="13" s="1"/>
  <c r="S20" i="13" s="1"/>
  <c r="M20" i="13" s="1"/>
  <c r="N20" i="13" s="1"/>
  <c r="AE27" i="13"/>
  <c r="AD21" i="13"/>
  <c r="W21" i="13"/>
  <c r="AA21" i="13" s="1"/>
  <c r="AC21" i="13"/>
  <c r="AE22" i="13"/>
  <c r="AD29" i="13"/>
  <c r="AE29" i="13" s="1"/>
  <c r="W29" i="13"/>
  <c r="AA29" i="13" s="1"/>
  <c r="AC29" i="13"/>
  <c r="W28" i="13"/>
  <c r="AA28" i="13" s="1"/>
  <c r="AD28" i="13"/>
  <c r="AC28" i="13"/>
  <c r="AD19" i="13"/>
  <c r="W19" i="13"/>
  <c r="AA19" i="13" s="1"/>
  <c r="AC19" i="13"/>
  <c r="W26" i="13"/>
  <c r="AA26" i="13" s="1"/>
  <c r="AD26" i="13"/>
  <c r="AE26" i="13" s="1"/>
  <c r="AC26" i="13"/>
  <c r="AE18" i="13"/>
  <c r="AE25" i="13"/>
  <c r="AD23" i="13"/>
  <c r="W23" i="13"/>
  <c r="AA23" i="13" s="1"/>
  <c r="AC23" i="13"/>
  <c r="AE24" i="13"/>
  <c r="R19" i="13"/>
  <c r="P19" i="13" s="1"/>
  <c r="S19" i="13" s="1"/>
  <c r="M19" i="13" s="1"/>
  <c r="N19" i="13" s="1"/>
  <c r="AE17" i="13"/>
  <c r="W28" i="9"/>
  <c r="AA28" i="9" s="1"/>
  <c r="AD28" i="9"/>
  <c r="AC28" i="9"/>
  <c r="R28" i="9"/>
  <c r="P28" i="9" s="1"/>
  <c r="S28" i="9" s="1"/>
  <c r="M28" i="9" s="1"/>
  <c r="N28" i="9" s="1"/>
  <c r="AD25" i="9"/>
  <c r="W25" i="9"/>
  <c r="AA25" i="9" s="1"/>
  <c r="R25" i="9"/>
  <c r="P25" i="9" s="1"/>
  <c r="S25" i="9" s="1"/>
  <c r="M25" i="9" s="1"/>
  <c r="N25" i="9" s="1"/>
  <c r="AC25" i="9"/>
  <c r="AD22" i="9"/>
  <c r="AC22" i="9"/>
  <c r="W22" i="9"/>
  <c r="AA22" i="9" s="1"/>
  <c r="R22" i="9"/>
  <c r="P22" i="9" s="1"/>
  <c r="S22" i="9" s="1"/>
  <c r="M22" i="9" s="1"/>
  <c r="N22" i="9" s="1"/>
  <c r="W30" i="9"/>
  <c r="AA30" i="9" s="1"/>
  <c r="AD30" i="9"/>
  <c r="AC30" i="9"/>
  <c r="R30" i="9"/>
  <c r="P30" i="9" s="1"/>
  <c r="S30" i="9" s="1"/>
  <c r="M30" i="9" s="1"/>
  <c r="N30" i="9" s="1"/>
  <c r="AD24" i="9"/>
  <c r="AC24" i="9"/>
  <c r="W24" i="9"/>
  <c r="AA24" i="9" s="1"/>
  <c r="R24" i="9"/>
  <c r="P24" i="9" s="1"/>
  <c r="S24" i="9" s="1"/>
  <c r="M24" i="9" s="1"/>
  <c r="N24" i="9" s="1"/>
  <c r="W26" i="9"/>
  <c r="AA26" i="9" s="1"/>
  <c r="AD26" i="9"/>
  <c r="AC26" i="9"/>
  <c r="R26" i="9"/>
  <c r="P26" i="9" s="1"/>
  <c r="S26" i="9" s="1"/>
  <c r="M26" i="9" s="1"/>
  <c r="N26" i="9" s="1"/>
  <c r="AD20" i="9"/>
  <c r="AC20" i="9"/>
  <c r="W20" i="9"/>
  <c r="AA20" i="9" s="1"/>
  <c r="R20" i="9"/>
  <c r="P20" i="9" s="1"/>
  <c r="S20" i="9" s="1"/>
  <c r="M20" i="9" s="1"/>
  <c r="N20" i="9" s="1"/>
  <c r="AE29" i="9"/>
  <c r="AE19" i="9"/>
  <c r="AE29" i="8"/>
  <c r="AE26" i="8"/>
  <c r="AE21" i="8"/>
  <c r="AE23" i="8"/>
  <c r="AE27" i="8"/>
  <c r="AE25" i="8"/>
  <c r="AE19" i="8"/>
  <c r="W22" i="8"/>
  <c r="AA22" i="8" s="1"/>
  <c r="AC22" i="8"/>
  <c r="AD22" i="8"/>
  <c r="AE22" i="8" s="1"/>
  <c r="R22" i="8"/>
  <c r="P22" i="8" s="1"/>
  <c r="S22" i="8" s="1"/>
  <c r="M22" i="8" s="1"/>
  <c r="N22" i="8" s="1"/>
  <c r="AE17" i="8"/>
  <c r="W28" i="8"/>
  <c r="AA28" i="8" s="1"/>
  <c r="AC28" i="8"/>
  <c r="AD28" i="8"/>
  <c r="AE28" i="8" s="1"/>
  <c r="R28" i="8"/>
  <c r="P28" i="8" s="1"/>
  <c r="S28" i="8" s="1"/>
  <c r="M28" i="8" s="1"/>
  <c r="N28" i="8" s="1"/>
  <c r="AE28" i="7"/>
  <c r="AE26" i="7"/>
  <c r="AE24" i="7"/>
  <c r="AE20" i="7"/>
  <c r="AD30" i="7"/>
  <c r="AC30" i="7"/>
  <c r="W30" i="7"/>
  <c r="AA30" i="7" s="1"/>
  <c r="R30" i="7"/>
  <c r="P30" i="7" s="1"/>
  <c r="S30" i="7" s="1"/>
  <c r="M30" i="7" s="1"/>
  <c r="N30" i="7" s="1"/>
  <c r="AE22" i="7"/>
  <c r="AD17" i="7"/>
  <c r="W17" i="7"/>
  <c r="AA17" i="7" s="1"/>
  <c r="R17" i="7"/>
  <c r="P17" i="7" s="1"/>
  <c r="S17" i="7" s="1"/>
  <c r="M17" i="7" s="1"/>
  <c r="N17" i="7" s="1"/>
  <c r="AC17" i="7"/>
  <c r="AE29" i="7"/>
  <c r="W31" i="7"/>
  <c r="AA31" i="7" s="1"/>
  <c r="AD31" i="7"/>
  <c r="AC31" i="7"/>
  <c r="AD18" i="7"/>
  <c r="AC18" i="7"/>
  <c r="W18" i="7"/>
  <c r="AA18" i="7" s="1"/>
  <c r="AE28" i="6"/>
  <c r="AD19" i="6"/>
  <c r="AC19" i="6"/>
  <c r="W19" i="6"/>
  <c r="AA19" i="6" s="1"/>
  <c r="AD29" i="6"/>
  <c r="AC29" i="6"/>
  <c r="W29" i="6"/>
  <c r="AA29" i="6" s="1"/>
  <c r="AD23" i="6"/>
  <c r="AE23" i="6" s="1"/>
  <c r="AC23" i="6"/>
  <c r="W23" i="6"/>
  <c r="AA23" i="6" s="1"/>
  <c r="AC25" i="6"/>
  <c r="AD25" i="6"/>
  <c r="W25" i="6"/>
  <c r="AA25" i="6" s="1"/>
  <c r="R19" i="6"/>
  <c r="P19" i="6" s="1"/>
  <c r="S19" i="6" s="1"/>
  <c r="M19" i="6" s="1"/>
  <c r="N19" i="6" s="1"/>
  <c r="AC17" i="6"/>
  <c r="AD17" i="6"/>
  <c r="AE17" i="6" s="1"/>
  <c r="W17" i="6"/>
  <c r="AA17" i="6" s="1"/>
  <c r="AE22" i="6"/>
  <c r="AE18" i="6"/>
  <c r="R17" i="6"/>
  <c r="P17" i="6" s="1"/>
  <c r="S17" i="6" s="1"/>
  <c r="M17" i="6" s="1"/>
  <c r="N17" i="6" s="1"/>
  <c r="W26" i="6"/>
  <c r="AA26" i="6" s="1"/>
  <c r="AD26" i="6"/>
  <c r="AC26" i="6"/>
  <c r="AE20" i="6"/>
  <c r="R26" i="6"/>
  <c r="P26" i="6" s="1"/>
  <c r="S26" i="6" s="1"/>
  <c r="M26" i="6" s="1"/>
  <c r="N26" i="6" s="1"/>
  <c r="AE24" i="6"/>
  <c r="AE21" i="6"/>
  <c r="AC27" i="6"/>
  <c r="AD27" i="6"/>
  <c r="AE27" i="6" s="1"/>
  <c r="W27" i="6"/>
  <c r="AA27" i="6" s="1"/>
  <c r="AE27" i="4"/>
  <c r="W28" i="4"/>
  <c r="AA28" i="4" s="1"/>
  <c r="AD28" i="4"/>
  <c r="AC28" i="4"/>
  <c r="R28" i="4"/>
  <c r="P28" i="4" s="1"/>
  <c r="S28" i="4" s="1"/>
  <c r="M28" i="4" s="1"/>
  <c r="N28" i="4" s="1"/>
  <c r="AE26" i="4"/>
  <c r="AE22" i="4"/>
  <c r="AE23" i="4"/>
  <c r="AE29" i="4"/>
  <c r="AE20" i="3"/>
  <c r="AE23" i="3"/>
  <c r="AE24" i="3"/>
  <c r="AE22" i="3"/>
  <c r="AE18" i="3"/>
  <c r="AE27" i="3"/>
  <c r="AE19" i="3"/>
  <c r="W18" i="2"/>
  <c r="AA18" i="2" s="1"/>
  <c r="AD18" i="2"/>
  <c r="R18" i="2"/>
  <c r="P18" i="2" s="1"/>
  <c r="S18" i="2" s="1"/>
  <c r="M18" i="2" s="1"/>
  <c r="N18" i="2" s="1"/>
  <c r="AC18" i="2"/>
  <c r="AE26" i="2"/>
  <c r="AE20" i="2"/>
  <c r="AE27" i="2"/>
  <c r="AE21" i="2"/>
  <c r="AE29" i="2"/>
  <c r="AE19" i="2"/>
  <c r="W28" i="2"/>
  <c r="AA28" i="2" s="1"/>
  <c r="AD28" i="2"/>
  <c r="R28" i="2"/>
  <c r="P28" i="2" s="1"/>
  <c r="S28" i="2" s="1"/>
  <c r="M28" i="2" s="1"/>
  <c r="N28" i="2" s="1"/>
  <c r="AC28" i="2"/>
  <c r="AE24" i="2"/>
  <c r="AE25" i="2"/>
  <c r="AE18" i="1"/>
  <c r="AE20" i="1"/>
  <c r="AE27" i="1"/>
  <c r="AE21" i="1"/>
  <c r="AE28" i="1"/>
  <c r="AE19" i="1"/>
  <c r="AE26" i="1"/>
  <c r="AE28" i="13" l="1"/>
  <c r="AE19" i="13"/>
  <c r="AE21" i="13"/>
  <c r="AE23" i="13"/>
  <c r="AE24" i="9"/>
  <c r="AE30" i="9"/>
  <c r="AE22" i="9"/>
  <c r="AE20" i="9"/>
  <c r="AE25" i="9"/>
  <c r="AE26" i="9"/>
  <c r="AE28" i="9"/>
  <c r="AE18" i="7"/>
  <c r="AE31" i="7"/>
  <c r="AE17" i="7"/>
  <c r="AE30" i="7"/>
  <c r="AE25" i="6"/>
  <c r="AE29" i="6"/>
  <c r="AE26" i="6"/>
  <c r="AE19" i="6"/>
  <c r="AE28" i="4"/>
  <c r="AE28" i="2"/>
  <c r="AE18" i="2"/>
</calcChain>
</file>

<file path=xl/sharedStrings.xml><?xml version="1.0" encoding="utf-8"?>
<sst xmlns="http://schemas.openxmlformats.org/spreadsheetml/2006/main" count="9384" uniqueCount="902">
  <si>
    <t>SysConst</t>
  </si>
  <si>
    <t>AvgTime</t>
  </si>
  <si>
    <t>Oxygen</t>
  </si>
  <si>
    <t>0.5</t>
  </si>
  <si>
    <t>21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</si>
  <si>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</si>
  <si>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</si>
  <si>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</si>
  <si>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</si>
  <si>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</si>
  <si>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</si>
  <si>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</si>
  <si>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</si>
  <si>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</si>
  <si>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</si>
  <si>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</si>
  <si>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6800-01A</t>
  </si>
  <si>
    <t>6 cm²</t>
  </si>
  <si>
    <t>LTConst</t>
  </si>
  <si>
    <t>deltaTw</t>
  </si>
  <si>
    <t>fT1</t>
  </si>
  <si>
    <t>fT2</t>
  </si>
  <si>
    <t>fTeb</t>
  </si>
  <si>
    <t>LQConst</t>
  </si>
  <si>
    <t>Leaf</t>
  </si>
  <si>
    <t>Ambient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</si>
  <si>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</si>
  <si>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</si>
  <si>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</si>
  <si>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</si>
  <si>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</si>
  <si>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</si>
  <si>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</si>
  <si>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</si>
  <si>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</si>
  <si>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</si>
  <si>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</si>
  <si>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</si>
  <si>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</si>
  <si>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</si>
  <si>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standard</t>
  </si>
  <si>
    <t>Sun+Sky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</si>
  <si>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</si>
  <si>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</si>
  <si>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</si>
  <si>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</si>
  <si>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</si>
  <si>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</si>
  <si>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</si>
  <si>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</si>
  <si>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</si>
  <si>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</si>
  <si>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</si>
  <si>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</si>
  <si>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Fs_true</t>
  </si>
  <si>
    <t>leak_wt</t>
  </si>
  <si>
    <t>6.64088 222.501 388.49 632.74 899.399 1104.51 1261.85 1384.36</t>
  </si>
  <si>
    <t>-0.0624733 220.664 383.856 594.041 805.783 1004.45 1201.29 1400.9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</si>
  <si>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</si>
  <si>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</si>
  <si>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</si>
  <si>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</si>
  <si>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</si>
  <si>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</si>
  <si>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</si>
  <si>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</si>
  <si>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</si>
  <si>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</si>
  <si>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</si>
  <si>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</si>
  <si>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</si>
  <si>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</si>
  <si>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</si>
  <si>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</si>
  <si>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</si>
  <si>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</si>
  <si>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</si>
  <si>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</si>
  <si>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</si>
  <si>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</si>
  <si>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</si>
  <si>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</si>
  <si>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</si>
  <si>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</si>
  <si>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</si>
  <si>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</si>
  <si>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newDef_0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</si>
  <si>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</si>
  <si>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</si>
  <si>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</si>
  <si>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</si>
  <si>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</si>
  <si>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</si>
  <si>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</si>
  <si>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</si>
  <si>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</si>
  <si>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</si>
  <si>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</si>
  <si>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</si>
  <si>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</si>
  <si>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</si>
  <si>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</si>
  <si>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</si>
  <si>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</si>
  <si>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</si>
  <si>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</si>
  <si>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</si>
  <si>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</si>
  <si>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</si>
  <si>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</si>
  <si>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</si>
  <si>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</si>
  <si>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</si>
  <si>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</si>
  <si>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</si>
  <si>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</si>
  <si>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</si>
  <si>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</si>
  <si>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</si>
  <si>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</si>
  <si>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</si>
  <si>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</si>
  <si>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</si>
  <si>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</si>
  <si>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</si>
  <si>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</si>
  <si>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</si>
  <si>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</si>
  <si>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</si>
  <si>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</si>
  <si>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</si>
  <si>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</si>
  <si>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</si>
  <si>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</si>
  <si>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</si>
  <si>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</si>
  <si>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</si>
  <si>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</si>
  <si>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</si>
  <si>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</si>
  <si>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</si>
  <si>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</si>
  <si>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</si>
  <si>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</si>
  <si>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</si>
  <si>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</si>
  <si>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</si>
  <si>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</si>
  <si>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</si>
  <si>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</si>
  <si>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</si>
  <si>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</si>
  <si>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</si>
  <si>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</si>
  <si>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</si>
  <si>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</si>
  <si>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</si>
  <si>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</si>
  <si>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</si>
  <si>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</si>
  <si>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</si>
  <si>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</si>
  <si>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</si>
  <si>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</si>
  <si>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</si>
  <si>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</si>
  <si>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</si>
  <si>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</si>
  <si>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</si>
  <si>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</si>
  <si>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</si>
  <si>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</si>
  <si>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</si>
  <si>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</si>
  <si>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</si>
  <si>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</si>
  <si>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</si>
  <si>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</si>
  <si>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</si>
  <si>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</si>
  <si>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</si>
  <si>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</si>
  <si>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</si>
  <si>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</si>
  <si>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</si>
  <si>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</si>
  <si>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</si>
  <si>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</si>
  <si>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</si>
  <si>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</si>
  <si>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</si>
  <si>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</si>
  <si>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</si>
  <si>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</si>
  <si>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</si>
  <si>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</si>
  <si>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</si>
  <si>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</si>
  <si>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</si>
  <si>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</si>
  <si>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</si>
  <si>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</si>
  <si>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</si>
  <si>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</si>
  <si>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</si>
  <si>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</si>
  <si>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</si>
  <si>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</si>
  <si>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</si>
  <si>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</si>
  <si>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</si>
  <si>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</si>
  <si>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</si>
  <si>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</si>
  <si>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</si>
  <si>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</si>
  <si>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</si>
  <si>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</si>
  <si>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</si>
  <si>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</si>
  <si>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</si>
  <si>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</si>
  <si>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</si>
  <si>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</si>
  <si>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</si>
  <si>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</si>
  <si>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</si>
  <si>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</si>
  <si>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</si>
  <si>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</si>
  <si>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</si>
  <si>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</si>
  <si>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</si>
  <si>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</si>
  <si>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</si>
  <si>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</si>
  <si>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</si>
  <si>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</si>
  <si>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</si>
  <si>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</si>
  <si>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</si>
  <si>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</si>
  <si>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</si>
  <si>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</si>
  <si>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</si>
  <si>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</si>
  <si>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</si>
  <si>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</si>
  <si>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</si>
  <si>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</si>
  <si>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</si>
  <si>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</si>
  <si>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</si>
  <si>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</si>
  <si>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</si>
  <si>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</si>
  <si>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</si>
  <si>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</si>
  <si>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</si>
  <si>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</si>
  <si>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</si>
  <si>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</si>
  <si>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</si>
  <si>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</si>
  <si>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</si>
  <si>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</si>
  <si>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</si>
  <si>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</si>
  <si>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</si>
  <si>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</si>
  <si>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</si>
  <si>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</si>
  <si>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</si>
  <si>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</si>
  <si>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</si>
  <si>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</si>
  <si>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</si>
  <si>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</si>
  <si>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</si>
  <si>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</si>
  <si>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</si>
  <si>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</si>
  <si>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</si>
  <si>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</si>
  <si>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</si>
  <si>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</si>
  <si>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</si>
  <si>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</si>
  <si>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</si>
  <si>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</si>
  <si>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</si>
  <si>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</si>
  <si>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</si>
  <si>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</si>
  <si>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</si>
  <si>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</si>
  <si>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</si>
  <si>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</si>
  <si>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</si>
  <si>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</si>
  <si>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</si>
  <si>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</si>
  <si>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</si>
  <si>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</si>
  <si>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</si>
  <si>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</si>
  <si>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</si>
  <si>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</si>
  <si>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</si>
  <si>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</si>
  <si>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</si>
  <si>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</si>
  <si>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</si>
  <si>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</si>
  <si>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</si>
  <si>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</si>
  <si>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</si>
  <si>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</si>
  <si>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</si>
  <si>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</si>
  <si>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</si>
  <si>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</si>
  <si>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</si>
  <si>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</si>
  <si>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</si>
  <si>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</si>
  <si>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</si>
  <si>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</si>
  <si>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</si>
  <si>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</si>
  <si>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</si>
  <si>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</si>
  <si>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</si>
  <si>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</si>
  <si>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</si>
  <si>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</si>
  <si>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</si>
  <si>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</si>
  <si>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</si>
  <si>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</si>
  <si>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</si>
  <si>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</si>
  <si>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</si>
  <si>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</si>
  <si>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</si>
  <si>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</si>
  <si>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</si>
  <si>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</si>
  <si>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</si>
  <si>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</si>
  <si>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</si>
  <si>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</si>
  <si>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</si>
  <si>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</si>
  <si>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</si>
  <si>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</si>
  <si>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</si>
  <si>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</si>
  <si>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</si>
  <si>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</si>
  <si>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</si>
  <si>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</si>
  <si>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</si>
  <si>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</si>
  <si>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</si>
  <si>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</si>
  <si>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</si>
  <si>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</si>
  <si>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</si>
  <si>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</si>
  <si>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</si>
  <si>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</si>
  <si>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</si>
  <si>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</si>
  <si>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</si>
  <si>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</si>
  <si>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</si>
  <si>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</si>
  <si>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</si>
  <si>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</si>
  <si>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</si>
  <si>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</si>
  <si>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</si>
  <si>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</si>
  <si>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</si>
  <si>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</si>
  <si>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</si>
  <si>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</si>
  <si>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</si>
  <si>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</si>
  <si>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</si>
  <si>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</si>
  <si>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</si>
  <si>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</si>
  <si>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</si>
  <si>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</si>
  <si>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</si>
  <si>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</si>
  <si>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</si>
  <si>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</si>
  <si>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</si>
  <si>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</si>
  <si>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</si>
  <si>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</si>
  <si>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20260806 12:27:13</t>
  </si>
  <si>
    <t>12:27:13</t>
  </si>
  <si>
    <t>RECT-4887-20260806-12_06_25</t>
  </si>
  <si>
    <t>RECT-4888-20260806-12_27_12</t>
  </si>
  <si>
    <t>-</t>
  </si>
  <si>
    <t>0: Broadleaf</t>
  </si>
  <si>
    <t>12:25:07</t>
  </si>
  <si>
    <t>2/2</t>
  </si>
  <si>
    <t>00000000</t>
  </si>
  <si>
    <t>iiiiiiii</t>
  </si>
  <si>
    <t>off</t>
  </si>
  <si>
    <t>on</t>
  </si>
  <si>
    <t>20260806 12:30:15</t>
  </si>
  <si>
    <t>12:30:15</t>
  </si>
  <si>
    <t>RECT-4889-20260806-12_30_14</t>
  </si>
  <si>
    <t>12:28:20</t>
  </si>
  <si>
    <t>20260806 12:33:16</t>
  </si>
  <si>
    <t>12:33:16</t>
  </si>
  <si>
    <t>RECT-4890-20260806-12_33_15</t>
  </si>
  <si>
    <t>12:31:17</t>
  </si>
  <si>
    <t>20260806 12:36:18</t>
  </si>
  <si>
    <t>12:36:18</t>
  </si>
  <si>
    <t>RECT-4891-20260806-12_36_17</t>
  </si>
  <si>
    <t>12:34:24</t>
  </si>
  <si>
    <t>20260806 12:39:19</t>
  </si>
  <si>
    <t>12:39:19</t>
  </si>
  <si>
    <t>RECT-4892-20260806-12_39_18</t>
  </si>
  <si>
    <t>12:38:00</t>
  </si>
  <si>
    <t>20260806 12:42:21</t>
  </si>
  <si>
    <t>12:42:21</t>
  </si>
  <si>
    <t>RECT-4893-20260806-12_42_20</t>
  </si>
  <si>
    <t>12:40:38</t>
  </si>
  <si>
    <t>20260806 12:45:22</t>
  </si>
  <si>
    <t>12:45:22</t>
  </si>
  <si>
    <t>RECT-4894-20260806-12_45_21</t>
  </si>
  <si>
    <t>12:44:07</t>
  </si>
  <si>
    <t>20260806 12:48:24</t>
  </si>
  <si>
    <t>12:48:24</t>
  </si>
  <si>
    <t>RECT-4895-20260806-12_48_23</t>
  </si>
  <si>
    <t>12:48:48</t>
  </si>
  <si>
    <t>1/2</t>
  </si>
  <si>
    <t>20260806 12:51:49</t>
  </si>
  <si>
    <t>12:51:49</t>
  </si>
  <si>
    <t>RECT-4896-20260806-12_51_48</t>
  </si>
  <si>
    <t>12:49:55</t>
  </si>
  <si>
    <t>20260806 12:54:51</t>
  </si>
  <si>
    <t>12:54:51</t>
  </si>
  <si>
    <t>RECT-4897-20260806-12_54_50</t>
  </si>
  <si>
    <t>12:55:07</t>
  </si>
  <si>
    <t>0/2</t>
  </si>
  <si>
    <t>20260806 12:58:08</t>
  </si>
  <si>
    <t>12:58:08</t>
  </si>
  <si>
    <t>RECT-4898-20260806-12_58_07</t>
  </si>
  <si>
    <t>12:56:29</t>
  </si>
  <si>
    <t>20260806 13:01:09</t>
  </si>
  <si>
    <t>13:01:09</t>
  </si>
  <si>
    <t>RECT-4899-20260806-13_01_08</t>
  </si>
  <si>
    <t>13:00:25</t>
  </si>
  <si>
    <t>20260806 13:04:11</t>
  </si>
  <si>
    <t>13:04:11</t>
  </si>
  <si>
    <t>RECT-4900-20260806-13_04_10</t>
  </si>
  <si>
    <t>13:04:28</t>
  </si>
  <si>
    <t>20260806 11:30:08</t>
  </si>
  <si>
    <t>11:30:08</t>
  </si>
  <si>
    <t>RECT-4874-20260806-11_02_25</t>
  </si>
  <si>
    <t>RECT-4875-20260806-11_30_07</t>
  </si>
  <si>
    <t>11:28:17</t>
  </si>
  <si>
    <t>20260806 11:33:10</t>
  </si>
  <si>
    <t>11:33:10</t>
  </si>
  <si>
    <t>RECT-4876-20260806-11_33_09</t>
  </si>
  <si>
    <t>11:31:13</t>
  </si>
  <si>
    <t>20260806 11:36:11</t>
  </si>
  <si>
    <t>11:36:11</t>
  </si>
  <si>
    <t>RECT-4877-20260806-11_36_10</t>
  </si>
  <si>
    <t>11:34:18</t>
  </si>
  <si>
    <t>20260806 11:39:13</t>
  </si>
  <si>
    <t>11:39:13</t>
  </si>
  <si>
    <t>RECT-4878-20260806-11_39_12</t>
  </si>
  <si>
    <t>11:37:26</t>
  </si>
  <si>
    <t>20260806 11:42:14</t>
  </si>
  <si>
    <t>11:42:14</t>
  </si>
  <si>
    <t>RECT-4879-20260806-11_42_13</t>
  </si>
  <si>
    <t>11:40:41</t>
  </si>
  <si>
    <t>20260806 11:45:16</t>
  </si>
  <si>
    <t>11:45:16</t>
  </si>
  <si>
    <t>RECT-4880-20260806-11_45_15</t>
  </si>
  <si>
    <t>11:43:40</t>
  </si>
  <si>
    <t>20260806 11:48:17</t>
  </si>
  <si>
    <t>11:48:17</t>
  </si>
  <si>
    <t>RECT-4881-20260806-11_48_16</t>
  </si>
  <si>
    <t>11:46:40</t>
  </si>
  <si>
    <t>20260806 11:51:19</t>
  </si>
  <si>
    <t>11:51:19</t>
  </si>
  <si>
    <t>RECT-4882-20260806-11_51_18</t>
  </si>
  <si>
    <t>11:49:41</t>
  </si>
  <si>
    <t>20260806 11:54:20</t>
  </si>
  <si>
    <t>11:54:20</t>
  </si>
  <si>
    <t>RECT-4883-20260806-11_54_19</t>
  </si>
  <si>
    <t>11:53:05</t>
  </si>
  <si>
    <t>20260806 11:57:22</t>
  </si>
  <si>
    <t>11:57:22</t>
  </si>
  <si>
    <t>RECT-4884-20260806-11_57_21</t>
  </si>
  <si>
    <t>11:56:17</t>
  </si>
  <si>
    <t>20260806 12:00:23</t>
  </si>
  <si>
    <t>12:00:23</t>
  </si>
  <si>
    <t>RECT-4885-20260806-12_00_22</t>
  </si>
  <si>
    <t>11:58:53</t>
  </si>
  <si>
    <t>20260806 12:03:25</t>
  </si>
  <si>
    <t>12:03:25</t>
  </si>
  <si>
    <t>RECT-4886-20260806-12_03_24</t>
  </si>
  <si>
    <t>12:02:05</t>
  </si>
  <si>
    <t>20260806 12:06:26</t>
  </si>
  <si>
    <t>12:06:26</t>
  </si>
  <si>
    <t>12:05:27</t>
  </si>
  <si>
    <t>20260806 10:26:08</t>
  </si>
  <si>
    <t>10:26:08</t>
  </si>
  <si>
    <t>RECT-4861-20260806-10_05_59</t>
  </si>
  <si>
    <t>RECT-4862-20260806-10_26_07</t>
  </si>
  <si>
    <t>10:23:58</t>
  </si>
  <si>
    <t>20260806 10:29:09</t>
  </si>
  <si>
    <t>10:29:09</t>
  </si>
  <si>
    <t>RECT-4863-20260806-10_29_08</t>
  </si>
  <si>
    <t>10:26:59</t>
  </si>
  <si>
    <t>20260806 10:32:11</t>
  </si>
  <si>
    <t>10:32:11</t>
  </si>
  <si>
    <t>RECT-4864-20260806-10_32_10</t>
  </si>
  <si>
    <t>10:30:07</t>
  </si>
  <si>
    <t>20260806 10:35:12</t>
  </si>
  <si>
    <t>10:35:12</t>
  </si>
  <si>
    <t>RECT-4865-20260806-10_35_11</t>
  </si>
  <si>
    <t>10:33:07</t>
  </si>
  <si>
    <t>20260806 10:38:14</t>
  </si>
  <si>
    <t>10:38:14</t>
  </si>
  <si>
    <t>RECT-4866-20260806-10_38_13</t>
  </si>
  <si>
    <t>10:36:25</t>
  </si>
  <si>
    <t>20260806 10:41:15</t>
  </si>
  <si>
    <t>10:41:15</t>
  </si>
  <si>
    <t>RECT-4867-20260806-10_41_14</t>
  </si>
  <si>
    <t>10:39:17</t>
  </si>
  <si>
    <t>20260806 10:44:17</t>
  </si>
  <si>
    <t>10:44:17</t>
  </si>
  <si>
    <t>RECT-4868-20260806-10_44_16</t>
  </si>
  <si>
    <t>10:42:32</t>
  </si>
  <si>
    <t>20260806 10:47:18</t>
  </si>
  <si>
    <t>10:47:18</t>
  </si>
  <si>
    <t>RECT-4869-20260806-10_47_17</t>
  </si>
  <si>
    <t>10:45:45</t>
  </si>
  <si>
    <t>20260806 10:50:20</t>
  </si>
  <si>
    <t>10:50:20</t>
  </si>
  <si>
    <t>RECT-4870-20260806-10_50_19</t>
  </si>
  <si>
    <t>10:48:52</t>
  </si>
  <si>
    <t>20260806 10:53:21</t>
  </si>
  <si>
    <t>10:53:21</t>
  </si>
  <si>
    <t>RECT-4871-20260806-10_53_20</t>
  </si>
  <si>
    <t>10:51:54</t>
  </si>
  <si>
    <t>20260806 10:56:23</t>
  </si>
  <si>
    <t>10:56:23</t>
  </si>
  <si>
    <t>RECT-4872-20260806-10_56_22</t>
  </si>
  <si>
    <t>10:54:58</t>
  </si>
  <si>
    <t>20260806 10:59:24</t>
  </si>
  <si>
    <t>10:59:24</t>
  </si>
  <si>
    <t>RECT-4873-20260806-10_59_23</t>
  </si>
  <si>
    <t>10:58:09</t>
  </si>
  <si>
    <t>20260806 11:02:26</t>
  </si>
  <si>
    <t>11:02:26</t>
  </si>
  <si>
    <t>11:01:40</t>
  </si>
  <si>
    <t>20260806 09:29:42</t>
  </si>
  <si>
    <t>09:29:42</t>
  </si>
  <si>
    <t>RECT-4848-20260805-13_57_07</t>
  </si>
  <si>
    <t>RECT-4849-20260806-09_29_40</t>
  </si>
  <si>
    <t>09:27:36</t>
  </si>
  <si>
    <t>20260806 09:32:44</t>
  </si>
  <si>
    <t>09:32:44</t>
  </si>
  <si>
    <t>RECT-4850-20260806-09_32_42</t>
  </si>
  <si>
    <t>09:30:49</t>
  </si>
  <si>
    <t>20260806 09:35:45</t>
  </si>
  <si>
    <t>09:35:45</t>
  </si>
  <si>
    <t>RECT-4851-20260806-09_35_44</t>
  </si>
  <si>
    <t>09:33:40</t>
  </si>
  <si>
    <t>20260806 09:38:47</t>
  </si>
  <si>
    <t>09:38:47</t>
  </si>
  <si>
    <t>RECT-4852-20260806-09_38_45</t>
  </si>
  <si>
    <t>09:36:56</t>
  </si>
  <si>
    <t>20260806 09:41:48</t>
  </si>
  <si>
    <t>09:41:48</t>
  </si>
  <si>
    <t>RECT-4853-20260806-09_41_47</t>
  </si>
  <si>
    <t>09:39:58</t>
  </si>
  <si>
    <t>20260806 09:44:50</t>
  </si>
  <si>
    <t>09:44:50</t>
  </si>
  <si>
    <t>RECT-4854-20260806-09_44_48</t>
  </si>
  <si>
    <t>09:42:52</t>
  </si>
  <si>
    <t>20260806 09:47:51</t>
  </si>
  <si>
    <t>09:47:51</t>
  </si>
  <si>
    <t>RECT-4855-20260806-09_47_50</t>
  </si>
  <si>
    <t>09:46:03</t>
  </si>
  <si>
    <t>20260806 09:50:53</t>
  </si>
  <si>
    <t>09:50:53</t>
  </si>
  <si>
    <t>RECT-4856-20260806-09_50_51</t>
  </si>
  <si>
    <t>09:49:15</t>
  </si>
  <si>
    <t>20260806 09:53:54</t>
  </si>
  <si>
    <t>09:53:54</t>
  </si>
  <si>
    <t>RECT-4857-20260806-09_53_53</t>
  </si>
  <si>
    <t>09:52:49</t>
  </si>
  <si>
    <t>20260806 09:56:56</t>
  </si>
  <si>
    <t>09:56:56</t>
  </si>
  <si>
    <t>RECT-4858-20260806-09_56_54</t>
  </si>
  <si>
    <t>09:55:29</t>
  </si>
  <si>
    <t>20260806 09:59:57</t>
  </si>
  <si>
    <t>09:59:57</t>
  </si>
  <si>
    <t>RECT-4859-20260806-09_59_56</t>
  </si>
  <si>
    <t>09:58:41</t>
  </si>
  <si>
    <t>20260806 10:02:59</t>
  </si>
  <si>
    <t>10:02:59</t>
  </si>
  <si>
    <t>RECT-4860-20260806-10_02_58</t>
  </si>
  <si>
    <t>10:01:38</t>
  </si>
  <si>
    <t>20260806 10:06:00</t>
  </si>
  <si>
    <t>10:06:00</t>
  </si>
  <si>
    <t>10:05:13</t>
  </si>
  <si>
    <t>20260805 13:20:49</t>
  </si>
  <si>
    <t>13:20:49</t>
  </si>
  <si>
    <t>RECT-4835-20260805-13_00_16</t>
  </si>
  <si>
    <t>RECT-4836-20260805-13_20_49</t>
  </si>
  <si>
    <t>13:19:53</t>
  </si>
  <si>
    <t>20260805 13:23:51</t>
  </si>
  <si>
    <t>13:23:51</t>
  </si>
  <si>
    <t>RECT-4837-20260805-13_23_51</t>
  </si>
  <si>
    <t>13:21:42</t>
  </si>
  <si>
    <t>20260805 13:26:52</t>
  </si>
  <si>
    <t>13:26:52</t>
  </si>
  <si>
    <t>RECT-4838-20260805-13_26_52</t>
  </si>
  <si>
    <t>13:24:52</t>
  </si>
  <si>
    <t>20260805 13:29:54</t>
  </si>
  <si>
    <t>13:29:54</t>
  </si>
  <si>
    <t>RECT-4839-20260805-13_29_54</t>
  </si>
  <si>
    <t>13:27:56</t>
  </si>
  <si>
    <t>20260805 13:32:55</t>
  </si>
  <si>
    <t>13:32:55</t>
  </si>
  <si>
    <t>RECT-4840-20260805-13_32_55</t>
  </si>
  <si>
    <t>13:31:12</t>
  </si>
  <si>
    <t>20260805 13:35:57</t>
  </si>
  <si>
    <t>13:35:57</t>
  </si>
  <si>
    <t>RECT-4841-20260805-13_35_57</t>
  </si>
  <si>
    <t>13:34:04</t>
  </si>
  <si>
    <t>20260805 13:38:58</t>
  </si>
  <si>
    <t>13:38:58</t>
  </si>
  <si>
    <t>RECT-4842-20260805-13_38_58</t>
  </si>
  <si>
    <t>13:37:25</t>
  </si>
  <si>
    <t>20260805 13:42:00</t>
  </si>
  <si>
    <t>13:42:00</t>
  </si>
  <si>
    <t>RECT-4843-20260805-13_42_00</t>
  </si>
  <si>
    <t>13:40:39</t>
  </si>
  <si>
    <t>20260805 13:45:01</t>
  </si>
  <si>
    <t>13:45:01</t>
  </si>
  <si>
    <t>RECT-4844-20260805-13_45_01</t>
  </si>
  <si>
    <t>13:43:30</t>
  </si>
  <si>
    <t>20260805 13:48:03</t>
  </si>
  <si>
    <t>13:48:03</t>
  </si>
  <si>
    <t>RECT-4845-20260805-13_48_03</t>
  </si>
  <si>
    <t>13:46:36</t>
  </si>
  <si>
    <t>20260805 13:51:04</t>
  </si>
  <si>
    <t>13:51:04</t>
  </si>
  <si>
    <t>RECT-4846-20260805-13_51_04</t>
  </si>
  <si>
    <t>13:49:49</t>
  </si>
  <si>
    <t>20260805 13:54:06</t>
  </si>
  <si>
    <t>13:54:06</t>
  </si>
  <si>
    <t>RECT-4847-20260805-13_54_06</t>
  </si>
  <si>
    <t>13:52:44</t>
  </si>
  <si>
    <t>20260805 13:57:07</t>
  </si>
  <si>
    <t>13:57:07</t>
  </si>
  <si>
    <t>13:57:23</t>
  </si>
  <si>
    <t>20260805 12:00:03</t>
  </si>
  <si>
    <t>12:00:03</t>
  </si>
  <si>
    <t>RECT-4819-20260805-11_39_41</t>
  </si>
  <si>
    <t>RECT-4820-20260805-12_00_03</t>
  </si>
  <si>
    <t>11:57:51</t>
  </si>
  <si>
    <t>20260805 12:03:05</t>
  </si>
  <si>
    <t>12:03:05</t>
  </si>
  <si>
    <t>RECT-4821-20260805-12_03_05</t>
  </si>
  <si>
    <t>12:00:51</t>
  </si>
  <si>
    <t>20260805 12:06:06</t>
  </si>
  <si>
    <t>12:06:06</t>
  </si>
  <si>
    <t>RECT-4822-20260805-12_06_06</t>
  </si>
  <si>
    <t>12:03:55</t>
  </si>
  <si>
    <t>20260805 12:23:58</t>
  </si>
  <si>
    <t>12:23:58</t>
  </si>
  <si>
    <t>RECT-4823-20260805-12_23_58</t>
  </si>
  <si>
    <t>12:21:56</t>
  </si>
  <si>
    <t>20260805 12:26:59</t>
  </si>
  <si>
    <t>12:26:59</t>
  </si>
  <si>
    <t>RECT-4824-20260805-12_26_59</t>
  </si>
  <si>
    <t>12:24:59</t>
  </si>
  <si>
    <t>20260805 12:30:01</t>
  </si>
  <si>
    <t>12:30:01</t>
  </si>
  <si>
    <t>RECT-4825-20260805-12_30_01</t>
  </si>
  <si>
    <t>12:27:56</t>
  </si>
  <si>
    <t>20260805 12:33:02</t>
  </si>
  <si>
    <t>12:33:02</t>
  </si>
  <si>
    <t>RECT-4826-20260805-12_33_02</t>
  </si>
  <si>
    <t>12:31:07</t>
  </si>
  <si>
    <t>20260805 12:36:04</t>
  </si>
  <si>
    <t>12:36:04</t>
  </si>
  <si>
    <t>RECT-4827-20260805-12_36_04</t>
  </si>
  <si>
    <t>12:34:23</t>
  </si>
  <si>
    <t>20260805 12:39:05</t>
  </si>
  <si>
    <t>12:39:05</t>
  </si>
  <si>
    <t>RECT-4828-20260805-12_39_05</t>
  </si>
  <si>
    <t>12:37:31</t>
  </si>
  <si>
    <t>20260805 12:42:07</t>
  </si>
  <si>
    <t>12:42:07</t>
  </si>
  <si>
    <t>RECT-4829-20260805-12_42_07</t>
  </si>
  <si>
    <t>12:40:34</t>
  </si>
  <si>
    <t>20260805 12:45:08</t>
  </si>
  <si>
    <t>12:45:08</t>
  </si>
  <si>
    <t>RECT-4830-20260805-12_45_08</t>
  </si>
  <si>
    <t>12:43:48</t>
  </si>
  <si>
    <t>20260805 12:48:10</t>
  </si>
  <si>
    <t>12:48:10</t>
  </si>
  <si>
    <t>RECT-4831-20260805-12_48_10</t>
  </si>
  <si>
    <t>12:46:55</t>
  </si>
  <si>
    <t>20260805 12:51:11</t>
  </si>
  <si>
    <t>12:51:11</t>
  </si>
  <si>
    <t>RECT-4832-20260805-12_51_11</t>
  </si>
  <si>
    <t>12:49:57</t>
  </si>
  <si>
    <t>20260805 12:54:13</t>
  </si>
  <si>
    <t>12:54:13</t>
  </si>
  <si>
    <t>RECT-4833-20260805-12_54_13</t>
  </si>
  <si>
    <t>12:53:25</t>
  </si>
  <si>
    <t>20260805 12:57:14</t>
  </si>
  <si>
    <t>12:57:14</t>
  </si>
  <si>
    <t>RECT-4834-20260805-12_57_14</t>
  </si>
  <si>
    <t>12:56:11</t>
  </si>
  <si>
    <t>20260805 13:00:16</t>
  </si>
  <si>
    <t>13:00:16</t>
  </si>
  <si>
    <t>12:59:18</t>
  </si>
  <si>
    <t>20260805 11:03:22</t>
  </si>
  <si>
    <t>11:03:22</t>
  </si>
  <si>
    <t>RECT-4806-20260805-10_37_30</t>
  </si>
  <si>
    <t>RECT-4807-20260805-11_03_22</t>
  </si>
  <si>
    <t>11:02:25</t>
  </si>
  <si>
    <t>20260805 11:06:24</t>
  </si>
  <si>
    <t>11:06:24</t>
  </si>
  <si>
    <t>RECT-4808-20260805-11_06_24</t>
  </si>
  <si>
    <t>11:04:25</t>
  </si>
  <si>
    <t>20260805 11:09:25</t>
  </si>
  <si>
    <t>11:09:25</t>
  </si>
  <si>
    <t>RECT-4809-20260805-11_09_25</t>
  </si>
  <si>
    <t>11:07:32</t>
  </si>
  <si>
    <t>20260805 11:12:27</t>
  </si>
  <si>
    <t>11:12:27</t>
  </si>
  <si>
    <t>RECT-4810-20260805-11_12_27</t>
  </si>
  <si>
    <t>11:10:22</t>
  </si>
  <si>
    <t>20260805 11:15:28</t>
  </si>
  <si>
    <t>11:15:28</t>
  </si>
  <si>
    <t>RECT-4811-20260805-11_15_28</t>
  </si>
  <si>
    <t>11:13:31</t>
  </si>
  <si>
    <t>20260805 11:18:30</t>
  </si>
  <si>
    <t>11:18:30</t>
  </si>
  <si>
    <t>RECT-4812-20260805-11_18_30</t>
  </si>
  <si>
    <t>11:16:33</t>
  </si>
  <si>
    <t>20260805 11:21:32</t>
  </si>
  <si>
    <t>11:21:32</t>
  </si>
  <si>
    <t>RECT-4813-20260805-11_21_32</t>
  </si>
  <si>
    <t>11:19:39</t>
  </si>
  <si>
    <t>20260805 11:24:33</t>
  </si>
  <si>
    <t>11:24:33</t>
  </si>
  <si>
    <t>RECT-4814-20260805-11_24_33</t>
  </si>
  <si>
    <t>11:23:00</t>
  </si>
  <si>
    <t>20260805 11:27:35</t>
  </si>
  <si>
    <t>11:27:35</t>
  </si>
  <si>
    <t>RECT-4815-20260805-11_27_35</t>
  </si>
  <si>
    <t>11:26:02</t>
  </si>
  <si>
    <t>20260805 11:30:36</t>
  </si>
  <si>
    <t>11:30:36</t>
  </si>
  <si>
    <t>RECT-4816-20260805-11_30_36</t>
  </si>
  <si>
    <t>11:29:21</t>
  </si>
  <si>
    <t>20260805 11:33:38</t>
  </si>
  <si>
    <t>11:33:38</t>
  </si>
  <si>
    <t>RECT-4817-20260805-11_33_38</t>
  </si>
  <si>
    <t>11:32:08</t>
  </si>
  <si>
    <t>20260805 11:36:39</t>
  </si>
  <si>
    <t>11:36:39</t>
  </si>
  <si>
    <t>RECT-4818-20260805-11_36_39</t>
  </si>
  <si>
    <t>11:35:01</t>
  </si>
  <si>
    <t>20260805 11:39:41</t>
  </si>
  <si>
    <t>11:39:41</t>
  </si>
  <si>
    <t>11:38:39</t>
  </si>
  <si>
    <t>20260805 09:52:49</t>
  </si>
  <si>
    <t>RECT-4791-20260804-13_38_54</t>
  </si>
  <si>
    <t>RECT-4792-20260805-09_52_49</t>
  </si>
  <si>
    <t>09:53:06</t>
  </si>
  <si>
    <t>20260805 09:56:07</t>
  </si>
  <si>
    <t>09:56:07</t>
  </si>
  <si>
    <t>RECT-4793-20260805-09_56_07</t>
  </si>
  <si>
    <t>09:54:30</t>
  </si>
  <si>
    <t>20260805 10:00:51</t>
  </si>
  <si>
    <t>10:00:51</t>
  </si>
  <si>
    <t>RECT-4794-20260805-10_00_50</t>
  </si>
  <si>
    <t>10:01:12</t>
  </si>
  <si>
    <t>20260805 10:04:13</t>
  </si>
  <si>
    <t>10:04:13</t>
  </si>
  <si>
    <t>RECT-4795-20260805-10_04_12</t>
  </si>
  <si>
    <t>10:02:32</t>
  </si>
  <si>
    <t>20260805 10:07:14</t>
  </si>
  <si>
    <t>10:07:14</t>
  </si>
  <si>
    <t>RECT-4796-20260805-10_07_14</t>
  </si>
  <si>
    <t>10:05:14</t>
  </si>
  <si>
    <t>20260805 10:10:16</t>
  </si>
  <si>
    <t>10:10:16</t>
  </si>
  <si>
    <t>RECT-4797-20260805-10_10_15</t>
  </si>
  <si>
    <t>10:08:28</t>
  </si>
  <si>
    <t>20260805 10:13:17</t>
  </si>
  <si>
    <t>10:13:17</t>
  </si>
  <si>
    <t>RECT-4798-20260805-10_13_17</t>
  </si>
  <si>
    <t>10:11:44</t>
  </si>
  <si>
    <t>20260805 10:16:19</t>
  </si>
  <si>
    <t>10:16:19</t>
  </si>
  <si>
    <t>RECT-4799-20260805-10_16_19</t>
  </si>
  <si>
    <t>10:14:42</t>
  </si>
  <si>
    <t>20260805 10:19:20</t>
  </si>
  <si>
    <t>10:19:20</t>
  </si>
  <si>
    <t>RECT-4800-20260805-10_19_20</t>
  </si>
  <si>
    <t>10:18:03</t>
  </si>
  <si>
    <t>20260805 10:22:22</t>
  </si>
  <si>
    <t>10:22:22</t>
  </si>
  <si>
    <t>RECT-4801-20260805-10_22_22</t>
  </si>
  <si>
    <t>10:21:17</t>
  </si>
  <si>
    <t>20260805 10:25:23</t>
  </si>
  <si>
    <t>10:25:23</t>
  </si>
  <si>
    <t>RECT-4802-20260805-10_25_23</t>
  </si>
  <si>
    <t>10:24:26</t>
  </si>
  <si>
    <t>20260805 10:28:25</t>
  </si>
  <si>
    <t>10:28:25</t>
  </si>
  <si>
    <t>RECT-4803-20260805-10_28_25</t>
  </si>
  <si>
    <t>10:27:00</t>
  </si>
  <si>
    <t>20260805 10:31:27</t>
  </si>
  <si>
    <t>10:31:27</t>
  </si>
  <si>
    <t>RECT-4804-20260805-10_31_27</t>
  </si>
  <si>
    <t>10:29:58</t>
  </si>
  <si>
    <t>20260805 10:34:28</t>
  </si>
  <si>
    <t>10:34:28</t>
  </si>
  <si>
    <t>RECT-4805-20260805-10_34_28</t>
  </si>
  <si>
    <t>10:33:00</t>
  </si>
  <si>
    <t>20260805 10:37:30</t>
  </si>
  <si>
    <t>10:37:30</t>
  </si>
  <si>
    <t>10:36:41</t>
  </si>
  <si>
    <t>20260805 10:16:25</t>
  </si>
  <si>
    <t>10:16:25</t>
  </si>
  <si>
    <t>RECT-4737-20260728-11_47_54</t>
  </si>
  <si>
    <t>RECT-4740-20260804-10_15_49</t>
  </si>
  <si>
    <t>10:14:27</t>
  </si>
  <si>
    <t>20260805 10:19:26</t>
  </si>
  <si>
    <t>10:19:26</t>
  </si>
  <si>
    <t>RECT-4741-20260804-10_18_50</t>
  </si>
  <si>
    <t>10:17:29</t>
  </si>
  <si>
    <t>20260805 10:22:28</t>
  </si>
  <si>
    <t>10:22:28</t>
  </si>
  <si>
    <t>RECT-4742-20260804-10_21_52</t>
  </si>
  <si>
    <t>10:20:47</t>
  </si>
  <si>
    <t>20260805 10:25:29</t>
  </si>
  <si>
    <t>10:25:29</t>
  </si>
  <si>
    <t>RECT-4743-20260804-10_24_53</t>
  </si>
  <si>
    <t>10:23:34</t>
  </si>
  <si>
    <t>20260805 10:28:31</t>
  </si>
  <si>
    <t>10:28:31</t>
  </si>
  <si>
    <t>RECT-4744-20260804-10_27_55</t>
  </si>
  <si>
    <t>10:26:51</t>
  </si>
  <si>
    <t>20260805 10:31:32</t>
  </si>
  <si>
    <t>10:31:32</t>
  </si>
  <si>
    <t>RECT-4745-20260804-10_30_56</t>
  </si>
  <si>
    <t>10:29:54</t>
  </si>
  <si>
    <t>20260805 10:34:34</t>
  </si>
  <si>
    <t>10:34:34</t>
  </si>
  <si>
    <t>RECT-4746-20260804-10_33_58</t>
  </si>
  <si>
    <t>10:32:34</t>
  </si>
  <si>
    <t>20260805 10:37:35</t>
  </si>
  <si>
    <t>10:37:35</t>
  </si>
  <si>
    <t>RECT-4747-20260804-10_36_59</t>
  </si>
  <si>
    <t>10:35:39</t>
  </si>
  <si>
    <t>20260805 10:40:37</t>
  </si>
  <si>
    <t>10:40:37</t>
  </si>
  <si>
    <t>RECT-4748-20260804-10_40_01</t>
  </si>
  <si>
    <t>10:38:38</t>
  </si>
  <si>
    <t>20260805 10:43:39</t>
  </si>
  <si>
    <t>10:43:39</t>
  </si>
  <si>
    <t>RECT-4749-20260804-10_43_03</t>
  </si>
  <si>
    <t>10:41:33</t>
  </si>
  <si>
    <t>20260805 10:46:40</t>
  </si>
  <si>
    <t>10:46:40</t>
  </si>
  <si>
    <t>RECT-4750-20260804-10_46_04</t>
  </si>
  <si>
    <t>10:44:37</t>
  </si>
  <si>
    <t>20260805 10:49:42</t>
  </si>
  <si>
    <t>10:49:42</t>
  </si>
  <si>
    <t>RECT-4751-20260804-10_49_06</t>
  </si>
  <si>
    <t>10:48:26</t>
  </si>
  <si>
    <t>20260805 10:52:43</t>
  </si>
  <si>
    <t>10:52:43</t>
  </si>
  <si>
    <t>RECT-4752-20260804-10_52_07</t>
  </si>
  <si>
    <t>10:51:45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</si>
</sst>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J29"/>
  <sheetViews>
    <sheetView workbookViewId="0">
      <selection activeCell="K14" sqref="K14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1786037233.5</v>
      </c>
      <c r="C17">
        <v>0</v>
      </c>
      <c r="D17" t="s">
        <v>404</v>
      </c>
      <c r="E17" t="s">
        <v>405</v>
      </c>
      <c r="F17">
        <v>15</v>
      </c>
      <c r="H17">
        <v>1786037225.75</v>
      </c>
      <c r="I17">
        <f t="shared" ref="I17:I29" si="0">(J17)/1000</f>
        <v>3.0713898604027338E-3</v>
      </c>
      <c r="J17">
        <f t="shared" ref="J17:J29" si="1">IF(DO17, AM17, AG17)</f>
        <v>3.0713898604027339</v>
      </c>
      <c r="K17">
        <f t="shared" ref="K17:K29" si="2">IF(DO17, AH17, AF17)</f>
        <v>38.664003679024951</v>
      </c>
      <c r="L17">
        <f t="shared" ref="L17:L29" si="3">DQ17 - IF(AT17&gt;1, K17*DK17*100/(AV17), 0)</f>
        <v>419.96786666666668</v>
      </c>
      <c r="M17">
        <f t="shared" ref="M17:M29" si="4">((S17-I17/2)*L17-K17)/(S17+I17/2)</f>
        <v>174.76174242551508</v>
      </c>
      <c r="N17">
        <f t="shared" ref="N17:N29" si="5">M17*(DX17+DY17)/1000</f>
        <v>17.119777676630921</v>
      </c>
      <c r="O17">
        <f t="shared" ref="O17:O29" si="6">(DQ17 - IF(AT17&gt;1, K17*DK17*100/(AV17), 0))*(DX17+DY17)/1000</f>
        <v>41.140334313882491</v>
      </c>
      <c r="P17">
        <f t="shared" ref="P17:P29" si="7">2/((1/R17-1/Q17)+SIGN(R17)*SQRT((1/R17-1/Q17)*(1/R17-1/Q17) + 4*DL17/((DL17+1)*(DL17+1))*(2*1/R17*1/Q17-1/Q17*1/Q17)))</f>
        <v>0.26965853313607696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2.8929404505353866</v>
      </c>
      <c r="R17">
        <f t="shared" ref="R17:R29" si="9">I17*(1000-(1000*0.61365*EXP(17.502*V17/(240.97+V17))/(DX17+DY17)+DS17)/2)/(1000*0.61365*EXP(17.502*V17/(240.97+V17))/(DX17+DY17)-DS17)</f>
        <v>0.25643207813023822</v>
      </c>
      <c r="S17">
        <f t="shared" ref="S17:S29" si="10">1/((DL17+1)/(P17/1.6)+1/(Q17/1.37)) + DL17/((DL17+1)/(P17/1.6) + DL17/(Q17/1.37))</f>
        <v>0.16140431666227692</v>
      </c>
      <c r="T17">
        <f t="shared" ref="T17:T29" si="11">(DG17*DJ17)</f>
        <v>319.77923109116625</v>
      </c>
      <c r="U17">
        <f t="shared" ref="U17:U29" si="12">(DZ17+(T17+2*0.95*0.0000000567*(((DZ17+$B$7)+273)^4-(DZ17+273)^4)-44100*I17)/(1.84*29.3*Q17+8*0.95*0.0000000567*(DZ17+273)^3))</f>
        <v>25.907405042092424</v>
      </c>
      <c r="V17">
        <f t="shared" ref="V17:V29" si="13">($C$7*EA17+$D$7*EB17+$E$7*U17)</f>
        <v>25.004276666666669</v>
      </c>
      <c r="W17">
        <f t="shared" ref="W17:W29" si="14">0.61365*EXP(17.502*V17/(240.97+V17))</f>
        <v>3.1804884058130494</v>
      </c>
      <c r="X17">
        <f t="shared" ref="X17:X29" si="15">(Y17/Z17*100)</f>
        <v>64.854724134300497</v>
      </c>
      <c r="Y17">
        <f t="shared" ref="Y17:Y29" si="16">DS17*(DX17+DY17)/1000</f>
        <v>2.0384286782377838</v>
      </c>
      <c r="Z17">
        <f t="shared" ref="Z17:Z29" si="17">0.61365*EXP(17.502*DZ17/(240.97+DZ17))</f>
        <v>3.1430689212656682</v>
      </c>
      <c r="AA17">
        <f t="shared" ref="AA17:AA29" si="18">(W17-DS17*(DX17+DY17)/1000)</f>
        <v>1.1420597275752655</v>
      </c>
      <c r="AB17">
        <f t="shared" ref="AB17:AB29" si="19">(-I17*44100)</f>
        <v>-135.44829284376056</v>
      </c>
      <c r="AC17">
        <f t="shared" ref="AC17:AC29" si="20">2*29.3*Q17*0.92*(DZ17-V17)</f>
        <v>-30.938619458774944</v>
      </c>
      <c r="AD17">
        <f t="shared" ref="AD17:AD29" si="21">2*0.95*0.0000000567*(((DZ17+$B$7)+273)^4-(V17+273)^4)</f>
        <v>-2.2599897570674892</v>
      </c>
      <c r="AE17">
        <f t="shared" ref="AE17:AE29" si="22">T17+AD17+AB17+AC17</f>
        <v>151.13232903156324</v>
      </c>
      <c r="AF17">
        <f t="shared" ref="AF17:AF29" si="23">DW17*AT17*(DR17-DQ17*(1000-AT17*DT17)/(1000-AT17*DS17))/(100*DK17)</f>
        <v>38.664003679024951</v>
      </c>
      <c r="AG17">
        <f t="shared" ref="AG17:AG29" si="24">1000*DW17*AT17*(DS17-DT17)/(100*DK17*(1000-AT17*DS17))</f>
        <v>3.0713898604027339</v>
      </c>
      <c r="AH17">
        <f t="shared" ref="AH17:AH29" si="25">(AI17 - AJ17 - DX17*1000/(8.314*(DZ17+273.15)) * AL17/DW17 * AK17) * DW17/(100*DK17) * (1000 - DT17)/1000</f>
        <v>38.512999259260795</v>
      </c>
      <c r="AI17">
        <v>476.03974706286118</v>
      </c>
      <c r="AJ17">
        <v>428.94857575757561</v>
      </c>
      <c r="AK17">
        <v>1.3106490334099901E-2</v>
      </c>
      <c r="AL17">
        <v>67.095118079706964</v>
      </c>
      <c r="AM17">
        <f t="shared" ref="AM17:AM29" si="26">(AO17 - AN17 + DX17*1000/(8.314*(DZ17+273.15)) * AQ17/DW17 * AP17) * DW17/(100*DK17) * 1000/(1000 - AO17)</f>
        <v>2.9906240791805092</v>
      </c>
      <c r="AN17">
        <v>17.2017513182827</v>
      </c>
      <c r="AO17">
        <v>20.76910909090909</v>
      </c>
      <c r="AP17">
        <v>-8.6252779204471757E-3</v>
      </c>
      <c r="AQ17">
        <v>78.256874953311041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52162.335320623904</v>
      </c>
      <c r="AW17" t="s">
        <v>406</v>
      </c>
      <c r="AX17">
        <v>13248.1</v>
      </c>
      <c r="AY17">
        <v>648.50294117647059</v>
      </c>
      <c r="AZ17">
        <v>2580.59</v>
      </c>
      <c r="BA17">
        <f t="shared" ref="BA17:BA29" si="30">1-AY17/AZ17</f>
        <v>0.74869973875103346</v>
      </c>
      <c r="BB17">
        <v>-2.3588818996945191</v>
      </c>
      <c r="BC17" t="s">
        <v>407</v>
      </c>
      <c r="BD17">
        <v>13204.1</v>
      </c>
      <c r="BE17">
        <v>829.34547058823512</v>
      </c>
      <c r="BF17">
        <v>1038.8499999999999</v>
      </c>
      <c r="BG17">
        <f t="shared" ref="BG17:BG29" si="31">1-BE17/BF17</f>
        <v>0.2016696630040572</v>
      </c>
      <c r="BH17">
        <v>0.5</v>
      </c>
      <c r="BI17">
        <f t="shared" ref="BI17:BI29" si="32">DH17</f>
        <v>1680.3094598399821</v>
      </c>
      <c r="BJ17">
        <f t="shared" ref="BJ17:BJ29" si="33">K17</f>
        <v>38.664003679024951</v>
      </c>
      <c r="BK17">
        <f t="shared" ref="BK17:BK29" si="34">BG17*BH17*BI17</f>
        <v>169.43372125422928</v>
      </c>
      <c r="BL17">
        <f t="shared" ref="BL17:BL29" si="35">(BJ17-BB17)/BI17</f>
        <v>2.441388717922598E-2</v>
      </c>
      <c r="BM17">
        <f t="shared" ref="BM17:BM29" si="36">(AZ17-BF17)/BF17</f>
        <v>1.484083361409251</v>
      </c>
      <c r="BN17">
        <f t="shared" ref="BN17:BN29" si="37">AY17/(BA17+AY17/BF17)</f>
        <v>472.34253818003032</v>
      </c>
      <c r="BO17" t="s">
        <v>408</v>
      </c>
      <c r="BP17">
        <v>0</v>
      </c>
      <c r="BQ17">
        <f t="shared" ref="BQ17:BQ29" si="38">IF(BP17&lt;&gt;0, BP17, BN17)</f>
        <v>472.34253818003032</v>
      </c>
      <c r="BR17">
        <f t="shared" ref="BR17:BR29" si="39">1-BQ17/BF17</f>
        <v>0.54532171325982537</v>
      </c>
      <c r="BS17">
        <f t="shared" ref="BS17:BS29" si="40">(BF17-BE17)/(BF17-BQ17)</f>
        <v>0.36981777563654267</v>
      </c>
      <c r="BT17">
        <f t="shared" ref="BT17:BT29" si="41">(AZ17-BF17)/(AZ17-BQ17)</f>
        <v>0.73128986417423447</v>
      </c>
      <c r="BU17">
        <f t="shared" ref="BU17:BU29" si="42">(BF17-BE17)/(BF17-AY17)</f>
        <v>0.53671348272276587</v>
      </c>
      <c r="BV17">
        <f t="shared" ref="BV17:BV29" si="43">(AZ17-BF17)/(AZ17-AY17)</f>
        <v>0.7979661128410972</v>
      </c>
      <c r="BW17">
        <f t="shared" ref="BW17:BW29" si="44">(BS17*BQ17/BE17)</f>
        <v>0.2106247311923711</v>
      </c>
      <c r="BX17">
        <f t="shared" ref="BX17:BX29" si="45">(1-BW17)</f>
        <v>0.78937526880762887</v>
      </c>
      <c r="DG17">
        <f t="shared" ref="DG17:DG29" si="46">$B$11*EF17+$C$11*EG17+$F$11*ER17*(1-EU17)</f>
        <v>2000.0123333333329</v>
      </c>
      <c r="DH17">
        <f t="shared" ref="DH17:DH29" si="47">DG17*DI17</f>
        <v>1680.3094598399821</v>
      </c>
      <c r="DI17">
        <f t="shared" ref="DI17:DI29" si="48">($B$11*$D$9+$C$11*$D$9+$F$11*((FE17+EW17)/MAX(FE17+EW17+FF17, 0.1)*$I$9+FF17/MAX(FE17+EW17+FF17, 0.1)*$J$9))/($B$11+$C$11+$F$11)</f>
        <v>0.84014954899777239</v>
      </c>
      <c r="DJ17">
        <f t="shared" ref="DJ17:DJ29" si="49">($B$11*$K$9+$C$11*$K$9+$F$11*((FE17+EW17)/MAX(FE17+EW17+FF17, 0.1)*$P$9+FF17/MAX(FE17+EW17+FF17, 0.1)*$Q$9))/($B$11+$C$11+$F$11)</f>
        <v>0.15988862956570085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1786037225.75</v>
      </c>
      <c r="DQ17">
        <v>419.96786666666668</v>
      </c>
      <c r="DR17">
        <v>467.90973333333318</v>
      </c>
      <c r="DS17">
        <v>20.808643333333329</v>
      </c>
      <c r="DT17">
        <v>17.19988</v>
      </c>
      <c r="DU17">
        <v>430.51516666666669</v>
      </c>
      <c r="DV17">
        <v>21.376163333333331</v>
      </c>
      <c r="DW17">
        <v>500.02920000000012</v>
      </c>
      <c r="DX17">
        <v>97.901603333333327</v>
      </c>
      <c r="DY17">
        <v>5.9068373333333327E-2</v>
      </c>
      <c r="DZ17">
        <v>24.805906666666669</v>
      </c>
      <c r="EA17">
        <v>25.004276666666669</v>
      </c>
      <c r="EB17">
        <v>999.9000000000002</v>
      </c>
      <c r="EC17">
        <v>0</v>
      </c>
      <c r="ED17">
        <v>0</v>
      </c>
      <c r="EE17">
        <v>10002.66666666667</v>
      </c>
      <c r="EF17">
        <v>0</v>
      </c>
      <c r="EG17">
        <v>2012.338666666667</v>
      </c>
      <c r="EH17">
        <v>-47.941793333333337</v>
      </c>
      <c r="EI17">
        <v>428.89260000000007</v>
      </c>
      <c r="EJ17">
        <v>476.0984666666667</v>
      </c>
      <c r="EK17">
        <v>3.6087543333333341</v>
      </c>
      <c r="EL17">
        <v>467.90973333333318</v>
      </c>
      <c r="EM17">
        <v>17.19988</v>
      </c>
      <c r="EN17">
        <v>2.0371999999999999</v>
      </c>
      <c r="EO17">
        <v>1.6838956666666669</v>
      </c>
      <c r="EP17">
        <v>17.736460000000001</v>
      </c>
      <c r="EQ17">
        <v>14.74876666666667</v>
      </c>
      <c r="ER17">
        <v>2000.0123333333329</v>
      </c>
      <c r="ES17">
        <v>0.99500300000000008</v>
      </c>
      <c r="ET17">
        <v>4.9971953333333326E-3</v>
      </c>
      <c r="EU17">
        <v>0</v>
      </c>
      <c r="EV17">
        <v>829.48986666666667</v>
      </c>
      <c r="EW17">
        <v>5.0010700000000003</v>
      </c>
      <c r="EX17">
        <v>20878.373333333329</v>
      </c>
      <c r="EY17">
        <v>18241.77</v>
      </c>
      <c r="EZ17">
        <v>42.135333333333321</v>
      </c>
      <c r="FA17">
        <v>44.504133333333343</v>
      </c>
      <c r="FB17">
        <v>42.910133333333313</v>
      </c>
      <c r="FC17">
        <v>43.745800000000003</v>
      </c>
      <c r="FD17">
        <v>43.093499999999999</v>
      </c>
      <c r="FE17">
        <v>1985.042333333334</v>
      </c>
      <c r="FF17">
        <v>9.9700000000000042</v>
      </c>
      <c r="FG17">
        <v>0</v>
      </c>
      <c r="FH17">
        <v>1246.3999998569491</v>
      </c>
      <c r="FI17">
        <v>0</v>
      </c>
      <c r="FJ17">
        <v>829.34547058823512</v>
      </c>
      <c r="FK17">
        <v>-1.1448529138648449</v>
      </c>
      <c r="FL17">
        <v>-140.04901973156211</v>
      </c>
      <c r="FM17">
        <v>20868.323529411769</v>
      </c>
      <c r="FN17">
        <v>10</v>
      </c>
      <c r="FO17">
        <v>1786037107.5</v>
      </c>
      <c r="FP17" t="s">
        <v>410</v>
      </c>
      <c r="FQ17">
        <v>1786037107.5</v>
      </c>
      <c r="FR17">
        <v>1786037105.5</v>
      </c>
      <c r="FS17">
        <v>44</v>
      </c>
      <c r="FT17">
        <v>-0.34</v>
      </c>
      <c r="FU17">
        <v>1.0999999999999999E-2</v>
      </c>
      <c r="FV17">
        <v>-10.722</v>
      </c>
      <c r="FW17">
        <v>-0.65100000000000002</v>
      </c>
      <c r="FX17">
        <v>467</v>
      </c>
      <c r="FY17">
        <v>17</v>
      </c>
      <c r="FZ17">
        <v>0.21</v>
      </c>
      <c r="GA17">
        <v>0.09</v>
      </c>
      <c r="GB17">
        <v>419.96286666666668</v>
      </c>
      <c r="GC17">
        <v>0.35698331479636503</v>
      </c>
      <c r="GD17">
        <v>7.1509781770669842E-2</v>
      </c>
      <c r="GE17">
        <v>-1</v>
      </c>
      <c r="GF17">
        <v>829.62723529411767</v>
      </c>
      <c r="GG17">
        <v>-2.670007642985452</v>
      </c>
      <c r="GH17">
        <v>0.3466176957248856</v>
      </c>
      <c r="GI17">
        <v>1</v>
      </c>
      <c r="GJ17">
        <v>3.6350614999999999</v>
      </c>
      <c r="GK17">
        <v>-0.44863452157597788</v>
      </c>
      <c r="GL17">
        <v>5.0676034402368147E-2</v>
      </c>
      <c r="GM17">
        <v>1</v>
      </c>
      <c r="GN17">
        <v>2</v>
      </c>
      <c r="GO17">
        <v>2</v>
      </c>
      <c r="GP17" t="s">
        <v>411</v>
      </c>
      <c r="GQ17">
        <v>3.13022</v>
      </c>
      <c r="GR17">
        <v>2.7354500000000002</v>
      </c>
      <c r="GS17">
        <v>9.2262999999999998E-2</v>
      </c>
      <c r="GT17">
        <v>9.8878900000000006E-2</v>
      </c>
      <c r="GU17">
        <v>0.102955</v>
      </c>
      <c r="GV17">
        <v>8.8524199999999997E-2</v>
      </c>
      <c r="GW17">
        <v>22716.5</v>
      </c>
      <c r="GX17">
        <v>29941.599999999999</v>
      </c>
      <c r="GY17">
        <v>27149.599999999999</v>
      </c>
      <c r="GZ17">
        <v>34172.400000000001</v>
      </c>
      <c r="HA17">
        <v>35645.300000000003</v>
      </c>
      <c r="HB17">
        <v>39302.199999999997</v>
      </c>
      <c r="HC17">
        <v>40061</v>
      </c>
      <c r="HD17">
        <v>43197.1</v>
      </c>
      <c r="HE17">
        <v>1.9636</v>
      </c>
      <c r="HF17">
        <v>1.7383999999999999</v>
      </c>
      <c r="HG17">
        <v>-6.8813600000000003E-2</v>
      </c>
      <c r="HH17">
        <v>0</v>
      </c>
      <c r="HI17">
        <v>26.1479</v>
      </c>
      <c r="HJ17">
        <v>999.9</v>
      </c>
      <c r="HK17">
        <v>56</v>
      </c>
      <c r="HL17">
        <v>39.1</v>
      </c>
      <c r="HM17">
        <v>40.411000000000001</v>
      </c>
      <c r="HN17">
        <v>61.428600000000003</v>
      </c>
      <c r="HO17">
        <v>4.6234000000000002</v>
      </c>
      <c r="HP17">
        <v>1</v>
      </c>
      <c r="HQ17">
        <v>0.61276399999999998</v>
      </c>
      <c r="HR17">
        <v>6.8578400000000004</v>
      </c>
      <c r="HS17">
        <v>20.0975</v>
      </c>
      <c r="HT17">
        <v>5.2100999999999997</v>
      </c>
      <c r="HU17">
        <v>11.9117</v>
      </c>
      <c r="HV17">
        <v>4.9847999999999999</v>
      </c>
      <c r="HW17">
        <v>3.2707999999999999</v>
      </c>
      <c r="HX17">
        <v>9999</v>
      </c>
      <c r="HY17">
        <v>9999</v>
      </c>
      <c r="HZ17">
        <v>9999</v>
      </c>
      <c r="IA17">
        <v>999.9</v>
      </c>
      <c r="IB17">
        <v>1.8675200000000001</v>
      </c>
      <c r="IC17">
        <v>1.8631</v>
      </c>
      <c r="ID17">
        <v>1.8626400000000001</v>
      </c>
      <c r="IE17">
        <v>1.8622099999999999</v>
      </c>
      <c r="IF17">
        <v>1.8622099999999999</v>
      </c>
      <c r="IG17">
        <v>1.86267</v>
      </c>
      <c r="IH17">
        <v>1.86365</v>
      </c>
      <c r="II17">
        <v>1.8615999999999999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-10.548</v>
      </c>
      <c r="IX17">
        <v>-0.56850000000000001</v>
      </c>
      <c r="IY17">
        <v>-8.5426818251347481</v>
      </c>
      <c r="IZ17">
        <v>-5.6215304933332991E-3</v>
      </c>
      <c r="JA17">
        <v>2.3979931213773931E-6</v>
      </c>
      <c r="JB17">
        <v>-3.6297174575716598E-10</v>
      </c>
      <c r="JC17">
        <v>-0.88916688170282887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2.1</v>
      </c>
      <c r="JM17">
        <v>1.1950700000000001</v>
      </c>
      <c r="JN17">
        <v>2.5427200000000001</v>
      </c>
      <c r="JO17">
        <v>1.50024</v>
      </c>
      <c r="JP17">
        <v>2.2729499999999998</v>
      </c>
      <c r="JQ17">
        <v>1.4477500000000001</v>
      </c>
      <c r="JR17">
        <v>2.50488</v>
      </c>
      <c r="JS17">
        <v>44.613199999999999</v>
      </c>
      <c r="JT17">
        <v>23.921099999999999</v>
      </c>
      <c r="JU17">
        <v>18</v>
      </c>
      <c r="JV17">
        <v>545.81899999999996</v>
      </c>
      <c r="JW17">
        <v>413.59</v>
      </c>
      <c r="JX17">
        <v>19.848199999999999</v>
      </c>
      <c r="JY17">
        <v>34.480899999999998</v>
      </c>
      <c r="JZ17">
        <v>30.001300000000001</v>
      </c>
      <c r="KA17">
        <v>34.200299999999999</v>
      </c>
      <c r="KB17">
        <v>34.1571</v>
      </c>
      <c r="KC17">
        <v>23.9071</v>
      </c>
      <c r="KD17">
        <v>55.151000000000003</v>
      </c>
      <c r="KE17">
        <v>0</v>
      </c>
      <c r="KF17">
        <v>19.831700000000001</v>
      </c>
      <c r="KG17">
        <v>467.899</v>
      </c>
      <c r="KH17">
        <v>17.297699999999999</v>
      </c>
      <c r="KI17">
        <v>100.154</v>
      </c>
      <c r="KJ17">
        <v>97.347399999999993</v>
      </c>
    </row>
    <row r="18" spans="1:296" x14ac:dyDescent="0.3">
      <c r="A18">
        <v>2</v>
      </c>
      <c r="B18">
        <v>1786037415</v>
      </c>
      <c r="C18">
        <v>181.5</v>
      </c>
      <c r="D18" t="s">
        <v>416</v>
      </c>
      <c r="E18" t="s">
        <v>417</v>
      </c>
      <c r="F18">
        <v>15</v>
      </c>
      <c r="H18">
        <v>1786037407</v>
      </c>
      <c r="I18">
        <f t="shared" si="0"/>
        <v>2.7558084505738887E-3</v>
      </c>
      <c r="J18">
        <f t="shared" si="1"/>
        <v>2.7558084505738889</v>
      </c>
      <c r="K18">
        <f t="shared" si="2"/>
        <v>37.829897806965491</v>
      </c>
      <c r="L18">
        <f t="shared" si="3"/>
        <v>420.03416129032257</v>
      </c>
      <c r="M18">
        <f t="shared" si="4"/>
        <v>153.88015449921349</v>
      </c>
      <c r="N18">
        <f t="shared" si="5"/>
        <v>15.07484904517611</v>
      </c>
      <c r="O18">
        <f t="shared" si="6"/>
        <v>41.148591225914913</v>
      </c>
      <c r="P18">
        <f t="shared" si="7"/>
        <v>0.24135923707078324</v>
      </c>
      <c r="Q18">
        <f t="shared" si="8"/>
        <v>2.8920474337251481</v>
      </c>
      <c r="R18">
        <f t="shared" si="9"/>
        <v>0.23070113915476947</v>
      </c>
      <c r="S18">
        <f t="shared" si="10"/>
        <v>0.14510657657675619</v>
      </c>
      <c r="T18">
        <f t="shared" si="11"/>
        <v>271.91283224155376</v>
      </c>
      <c r="U18">
        <f t="shared" si="12"/>
        <v>25.712379968982866</v>
      </c>
      <c r="V18">
        <f t="shared" si="13"/>
        <v>24.998254838709681</v>
      </c>
      <c r="W18">
        <f t="shared" si="14"/>
        <v>3.1793467756858496</v>
      </c>
      <c r="X18">
        <f t="shared" si="15"/>
        <v>64.88473426904207</v>
      </c>
      <c r="Y18">
        <f t="shared" si="16"/>
        <v>2.0402962958969804</v>
      </c>
      <c r="Z18">
        <f t="shared" si="17"/>
        <v>3.1444935682975443</v>
      </c>
      <c r="AA18">
        <f t="shared" si="18"/>
        <v>1.1390504797888692</v>
      </c>
      <c r="AB18">
        <f t="shared" si="19"/>
        <v>-121.5311526703085</v>
      </c>
      <c r="AC18">
        <f t="shared" si="20"/>
        <v>-28.806749702972532</v>
      </c>
      <c r="AD18">
        <f t="shared" si="21"/>
        <v>-2.104928287679261</v>
      </c>
      <c r="AE18">
        <f t="shared" si="22"/>
        <v>119.47000158059345</v>
      </c>
      <c r="AF18">
        <f t="shared" si="23"/>
        <v>37.829897806965491</v>
      </c>
      <c r="AG18">
        <f t="shared" si="24"/>
        <v>2.7558084505738889</v>
      </c>
      <c r="AH18">
        <f t="shared" si="25"/>
        <v>37.930180494486187</v>
      </c>
      <c r="AI18">
        <v>475.24931038617859</v>
      </c>
      <c r="AJ18">
        <v>428.94661818181788</v>
      </c>
      <c r="AK18">
        <v>-4.745880622007548E-3</v>
      </c>
      <c r="AL18">
        <v>67.094523458061261</v>
      </c>
      <c r="AM18">
        <f t="shared" si="26"/>
        <v>2.7475685388606474</v>
      </c>
      <c r="AN18">
        <v>17.591084683167349</v>
      </c>
      <c r="AO18">
        <v>20.819693939393929</v>
      </c>
      <c r="AP18">
        <v>-6.4557791829484548E-5</v>
      </c>
      <c r="AQ18">
        <v>78.257599048143177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52135.459342442031</v>
      </c>
      <c r="AW18" t="s">
        <v>406</v>
      </c>
      <c r="AX18">
        <v>13248.1</v>
      </c>
      <c r="AY18">
        <v>648.50294117647059</v>
      </c>
      <c r="AZ18">
        <v>2580.59</v>
      </c>
      <c r="BA18">
        <f t="shared" si="30"/>
        <v>0.74869973875103346</v>
      </c>
      <c r="BB18">
        <v>-2.3588818996945191</v>
      </c>
      <c r="BC18" t="s">
        <v>418</v>
      </c>
      <c r="BD18">
        <v>13205</v>
      </c>
      <c r="BE18">
        <v>820.55952941176474</v>
      </c>
      <c r="BF18">
        <v>1078.49</v>
      </c>
      <c r="BG18">
        <f t="shared" si="31"/>
        <v>0.23915888936219643</v>
      </c>
      <c r="BH18">
        <v>0.5</v>
      </c>
      <c r="BI18">
        <f t="shared" si="32"/>
        <v>1428.3206030333974</v>
      </c>
      <c r="BJ18">
        <f t="shared" si="33"/>
        <v>37.829897806965491</v>
      </c>
      <c r="BK18">
        <f t="shared" si="34"/>
        <v>170.79778453730498</v>
      </c>
      <c r="BL18">
        <f t="shared" si="35"/>
        <v>2.8137086044484019E-2</v>
      </c>
      <c r="BM18">
        <f t="shared" si="36"/>
        <v>1.3927806470157351</v>
      </c>
      <c r="BN18">
        <f t="shared" si="37"/>
        <v>480.37036406121297</v>
      </c>
      <c r="BO18" t="s">
        <v>408</v>
      </c>
      <c r="BP18">
        <v>0</v>
      </c>
      <c r="BQ18">
        <f t="shared" si="38"/>
        <v>480.37036406121297</v>
      </c>
      <c r="BR18">
        <f t="shared" si="39"/>
        <v>0.55458987652995118</v>
      </c>
      <c r="BS18">
        <f t="shared" si="40"/>
        <v>0.43123558413760632</v>
      </c>
      <c r="BT18">
        <f t="shared" si="41"/>
        <v>0.71521091141906656</v>
      </c>
      <c r="BU18">
        <f t="shared" si="42"/>
        <v>0.59985635682606031</v>
      </c>
      <c r="BV18">
        <f t="shared" si="43"/>
        <v>0.77744943900956842</v>
      </c>
      <c r="BW18">
        <f t="shared" si="44"/>
        <v>0.25245309709197283</v>
      </c>
      <c r="BX18">
        <f t="shared" si="45"/>
        <v>0.74754690290802717</v>
      </c>
      <c r="DG18">
        <f t="shared" si="46"/>
        <v>1700.0177419354841</v>
      </c>
      <c r="DH18">
        <f t="shared" si="47"/>
        <v>1428.3206030333974</v>
      </c>
      <c r="DI18">
        <f t="shared" si="48"/>
        <v>0.84017982153953452</v>
      </c>
      <c r="DJ18">
        <f t="shared" si="49"/>
        <v>0.15994705557130173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1786037407</v>
      </c>
      <c r="DQ18">
        <v>420.03416129032257</v>
      </c>
      <c r="DR18">
        <v>466.81577419354852</v>
      </c>
      <c r="DS18">
        <v>20.82681612903226</v>
      </c>
      <c r="DT18">
        <v>17.588948387096782</v>
      </c>
      <c r="DU18">
        <v>430.56380645161289</v>
      </c>
      <c r="DV18">
        <v>21.389935483870971</v>
      </c>
      <c r="DW18">
        <v>500.03532258064519</v>
      </c>
      <c r="DX18">
        <v>97.905945161290319</v>
      </c>
      <c r="DY18">
        <v>5.8922980645161292E-2</v>
      </c>
      <c r="DZ18">
        <v>24.813496774193549</v>
      </c>
      <c r="EA18">
        <v>24.998254838709681</v>
      </c>
      <c r="EB18">
        <v>999.90000000000032</v>
      </c>
      <c r="EC18">
        <v>0</v>
      </c>
      <c r="ED18">
        <v>0</v>
      </c>
      <c r="EE18">
        <v>9997.0967741935492</v>
      </c>
      <c r="EF18">
        <v>0</v>
      </c>
      <c r="EG18">
        <v>1870.422258064516</v>
      </c>
      <c r="EH18">
        <v>-46.781545161290332</v>
      </c>
      <c r="EI18">
        <v>428.96835483870962</v>
      </c>
      <c r="EJ18">
        <v>475.17361290322577</v>
      </c>
      <c r="EK18">
        <v>3.2378658064516128</v>
      </c>
      <c r="EL18">
        <v>466.81577419354852</v>
      </c>
      <c r="EM18">
        <v>17.588948387096782</v>
      </c>
      <c r="EN18">
        <v>2.039070322580645</v>
      </c>
      <c r="EO18">
        <v>1.7220629032258059</v>
      </c>
      <c r="EP18">
        <v>17.751016129032259</v>
      </c>
      <c r="EQ18">
        <v>15.09674838709677</v>
      </c>
      <c r="ER18">
        <v>1700.0177419354841</v>
      </c>
      <c r="ES18">
        <v>0.99399096774193574</v>
      </c>
      <c r="ET18">
        <v>6.009014516129031E-3</v>
      </c>
      <c r="EU18">
        <v>0</v>
      </c>
      <c r="EV18">
        <v>820.54325806451618</v>
      </c>
      <c r="EW18">
        <v>5.0010700000000003</v>
      </c>
      <c r="EX18">
        <v>17866.65483870967</v>
      </c>
      <c r="EY18">
        <v>15492.61612903226</v>
      </c>
      <c r="EZ18">
        <v>42.125</v>
      </c>
      <c r="FA18">
        <v>44.811999999999969</v>
      </c>
      <c r="FB18">
        <v>43.125</v>
      </c>
      <c r="FC18">
        <v>44.082322580645148</v>
      </c>
      <c r="FD18">
        <v>43.186999999999969</v>
      </c>
      <c r="FE18">
        <v>1684.827741935484</v>
      </c>
      <c r="FF18">
        <v>10.19</v>
      </c>
      <c r="FG18">
        <v>0</v>
      </c>
      <c r="FH18">
        <v>180.70000004768369</v>
      </c>
      <c r="FI18">
        <v>0</v>
      </c>
      <c r="FJ18">
        <v>820.55952941176474</v>
      </c>
      <c r="FK18">
        <v>1.469852938508343</v>
      </c>
      <c r="FL18">
        <v>45.39215675481821</v>
      </c>
      <c r="FM18">
        <v>17862.170588235291</v>
      </c>
      <c r="FN18">
        <v>10</v>
      </c>
      <c r="FO18">
        <v>1786037300.5</v>
      </c>
      <c r="FP18" t="s">
        <v>419</v>
      </c>
      <c r="FQ18">
        <v>1786037293</v>
      </c>
      <c r="FR18">
        <v>1786037300.5</v>
      </c>
      <c r="FS18">
        <v>45</v>
      </c>
      <c r="FT18">
        <v>1.7999999999999999E-2</v>
      </c>
      <c r="FU18">
        <v>4.0000000000000001E-3</v>
      </c>
      <c r="FV18">
        <v>-10.702999999999999</v>
      </c>
      <c r="FW18">
        <v>-0.64800000000000002</v>
      </c>
      <c r="FX18">
        <v>467</v>
      </c>
      <c r="FY18">
        <v>17</v>
      </c>
      <c r="FZ18">
        <v>0.25</v>
      </c>
      <c r="GA18">
        <v>0.08</v>
      </c>
      <c r="GB18">
        <v>420.03329032258068</v>
      </c>
      <c r="GC18">
        <v>-0.1165161290335846</v>
      </c>
      <c r="GD18">
        <v>7.4891402473264021E-2</v>
      </c>
      <c r="GE18">
        <v>-1</v>
      </c>
      <c r="GF18">
        <v>820.51799999999992</v>
      </c>
      <c r="GG18">
        <v>0.29384262198098171</v>
      </c>
      <c r="GH18">
        <v>0.17849386214525509</v>
      </c>
      <c r="GI18">
        <v>1</v>
      </c>
      <c r="GJ18">
        <v>3.244141951219512</v>
      </c>
      <c r="GK18">
        <v>-0.12441846689894991</v>
      </c>
      <c r="GL18">
        <v>1.2983590434967791E-2</v>
      </c>
      <c r="GM18">
        <v>1</v>
      </c>
      <c r="GN18">
        <v>2</v>
      </c>
      <c r="GO18">
        <v>2</v>
      </c>
      <c r="GP18" t="s">
        <v>411</v>
      </c>
      <c r="GQ18">
        <v>3.1305000000000001</v>
      </c>
      <c r="GR18">
        <v>2.7357</v>
      </c>
      <c r="GS18">
        <v>9.2237600000000003E-2</v>
      </c>
      <c r="GT18">
        <v>9.8724599999999996E-2</v>
      </c>
      <c r="GU18">
        <v>0.103119</v>
      </c>
      <c r="GV18">
        <v>8.9985700000000002E-2</v>
      </c>
      <c r="GW18">
        <v>22716</v>
      </c>
      <c r="GX18">
        <v>29945.7</v>
      </c>
      <c r="GY18">
        <v>27148.400000000001</v>
      </c>
      <c r="GZ18">
        <v>34171.300000000003</v>
      </c>
      <c r="HA18">
        <v>35637.300000000003</v>
      </c>
      <c r="HB18">
        <v>39237.5</v>
      </c>
      <c r="HC18">
        <v>40059.300000000003</v>
      </c>
      <c r="HD18">
        <v>43195.199999999997</v>
      </c>
      <c r="HE18">
        <v>1.9634</v>
      </c>
      <c r="HF18">
        <v>1.7370000000000001</v>
      </c>
      <c r="HG18">
        <v>-7.6591999999999993E-2</v>
      </c>
      <c r="HH18">
        <v>0</v>
      </c>
      <c r="HI18">
        <v>26.258099999999999</v>
      </c>
      <c r="HJ18">
        <v>999.9</v>
      </c>
      <c r="HK18">
        <v>55.5</v>
      </c>
      <c r="HL18">
        <v>39.299999999999997</v>
      </c>
      <c r="HM18">
        <v>40.479599999999998</v>
      </c>
      <c r="HN18">
        <v>61.408700000000003</v>
      </c>
      <c r="HO18">
        <v>4.7355799999999997</v>
      </c>
      <c r="HP18">
        <v>1</v>
      </c>
      <c r="HQ18">
        <v>0.61304899999999996</v>
      </c>
      <c r="HR18">
        <v>6.58575</v>
      </c>
      <c r="HS18">
        <v>20.1114</v>
      </c>
      <c r="HT18">
        <v>5.2088999999999999</v>
      </c>
      <c r="HU18">
        <v>11.914099999999999</v>
      </c>
      <c r="HV18">
        <v>4.9847999999999999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1.8673999999999999</v>
      </c>
      <c r="IC18">
        <v>1.8631</v>
      </c>
      <c r="ID18">
        <v>1.8626400000000001</v>
      </c>
      <c r="IE18">
        <v>1.8621799999999999</v>
      </c>
      <c r="IF18">
        <v>1.8622099999999999</v>
      </c>
      <c r="IG18">
        <v>1.8626400000000001</v>
      </c>
      <c r="IH18">
        <v>1.86368</v>
      </c>
      <c r="II18">
        <v>1.8615999999999999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-10.529</v>
      </c>
      <c r="IX18">
        <v>-0.56320000000000003</v>
      </c>
      <c r="IY18">
        <v>-8.5246932732003362</v>
      </c>
      <c r="IZ18">
        <v>-5.6215304933332991E-3</v>
      </c>
      <c r="JA18">
        <v>2.3979931213773931E-6</v>
      </c>
      <c r="JB18">
        <v>-3.6297174575716598E-10</v>
      </c>
      <c r="JC18">
        <v>-0.88512619706307882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</v>
      </c>
      <c r="JL18">
        <v>1.9</v>
      </c>
      <c r="JM18">
        <v>1.1938500000000001</v>
      </c>
      <c r="JN18">
        <v>2.5476100000000002</v>
      </c>
      <c r="JO18">
        <v>1.50024</v>
      </c>
      <c r="JP18">
        <v>2.2717299999999998</v>
      </c>
      <c r="JQ18">
        <v>1.4477500000000001</v>
      </c>
      <c r="JR18">
        <v>2.50122</v>
      </c>
      <c r="JS18">
        <v>44.725299999999997</v>
      </c>
      <c r="JT18">
        <v>23.938700000000001</v>
      </c>
      <c r="JU18">
        <v>18</v>
      </c>
      <c r="JV18">
        <v>546.04200000000003</v>
      </c>
      <c r="JW18">
        <v>413.08100000000002</v>
      </c>
      <c r="JX18">
        <v>20.008299999999998</v>
      </c>
      <c r="JY18">
        <v>34.496499999999997</v>
      </c>
      <c r="JZ18">
        <v>29.999500000000001</v>
      </c>
      <c r="KA18">
        <v>34.243600000000001</v>
      </c>
      <c r="KB18">
        <v>34.209400000000002</v>
      </c>
      <c r="KC18">
        <v>23.878799999999998</v>
      </c>
      <c r="KD18">
        <v>54.572600000000001</v>
      </c>
      <c r="KE18">
        <v>0</v>
      </c>
      <c r="KF18">
        <v>20.025700000000001</v>
      </c>
      <c r="KG18">
        <v>466.88200000000001</v>
      </c>
      <c r="KH18">
        <v>17.645900000000001</v>
      </c>
      <c r="KI18">
        <v>100.15</v>
      </c>
      <c r="KJ18">
        <v>97.343599999999995</v>
      </c>
    </row>
    <row r="19" spans="1:296" x14ac:dyDescent="0.3">
      <c r="A19">
        <v>3</v>
      </c>
      <c r="B19">
        <v>1786037596.5</v>
      </c>
      <c r="C19">
        <v>363</v>
      </c>
      <c r="D19" t="s">
        <v>420</v>
      </c>
      <c r="E19" t="s">
        <v>421</v>
      </c>
      <c r="F19">
        <v>15</v>
      </c>
      <c r="H19">
        <v>1786037588.75</v>
      </c>
      <c r="I19">
        <f t="shared" si="0"/>
        <v>2.6558525077178723E-3</v>
      </c>
      <c r="J19">
        <f t="shared" si="1"/>
        <v>2.6558525077178725</v>
      </c>
      <c r="K19">
        <f t="shared" si="2"/>
        <v>37.484391008136797</v>
      </c>
      <c r="L19">
        <f t="shared" si="3"/>
        <v>420.03039999999987</v>
      </c>
      <c r="M19">
        <f t="shared" si="4"/>
        <v>146.28462118550468</v>
      </c>
      <c r="N19">
        <f t="shared" si="5"/>
        <v>14.331751954497406</v>
      </c>
      <c r="O19">
        <f t="shared" si="6"/>
        <v>41.151089276258276</v>
      </c>
      <c r="P19">
        <f t="shared" si="7"/>
        <v>0.23198645239792523</v>
      </c>
      <c r="Q19">
        <f t="shared" si="8"/>
        <v>2.8926411076215857</v>
      </c>
      <c r="R19">
        <f t="shared" si="9"/>
        <v>0.22212380791945863</v>
      </c>
      <c r="S19">
        <f t="shared" si="10"/>
        <v>0.13967855781489422</v>
      </c>
      <c r="T19">
        <f t="shared" si="11"/>
        <v>255.91484122905686</v>
      </c>
      <c r="U19">
        <f t="shared" si="12"/>
        <v>25.602783646364468</v>
      </c>
      <c r="V19">
        <f t="shared" si="13"/>
        <v>24.992323333333339</v>
      </c>
      <c r="W19">
        <f t="shared" si="14"/>
        <v>3.1782226191937064</v>
      </c>
      <c r="X19">
        <f t="shared" si="15"/>
        <v>64.967259174373538</v>
      </c>
      <c r="Y19">
        <f t="shared" si="16"/>
        <v>2.0379953950809555</v>
      </c>
      <c r="Z19">
        <f t="shared" si="17"/>
        <v>3.1369576321681225</v>
      </c>
      <c r="AA19">
        <f t="shared" si="18"/>
        <v>1.1402272241127509</v>
      </c>
      <c r="AB19">
        <f t="shared" si="19"/>
        <v>-117.12309559035816</v>
      </c>
      <c r="AC19">
        <f t="shared" si="20"/>
        <v>-34.154186239980305</v>
      </c>
      <c r="AD19">
        <f t="shared" si="21"/>
        <v>-2.4945775953650244</v>
      </c>
      <c r="AE19">
        <f t="shared" si="22"/>
        <v>102.14298180335336</v>
      </c>
      <c r="AF19">
        <f t="shared" si="23"/>
        <v>37.484391008136797</v>
      </c>
      <c r="AG19">
        <f t="shared" si="24"/>
        <v>2.6558525077178725</v>
      </c>
      <c r="AH19">
        <f t="shared" si="25"/>
        <v>37.057671733829714</v>
      </c>
      <c r="AI19">
        <v>474.64422981241199</v>
      </c>
      <c r="AJ19">
        <v>429.07747272727272</v>
      </c>
      <c r="AK19">
        <v>5.6683902548818499E-2</v>
      </c>
      <c r="AL19">
        <v>67.094665723218895</v>
      </c>
      <c r="AM19">
        <f t="shared" si="26"/>
        <v>2.6572064025898032</v>
      </c>
      <c r="AN19">
        <v>17.683713901529291</v>
      </c>
      <c r="AO19">
        <v>20.805662424242421</v>
      </c>
      <c r="AP19">
        <v>1.8347046425776739E-5</v>
      </c>
      <c r="AQ19">
        <v>78.257455763441797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52159.685900605342</v>
      </c>
      <c r="AW19" t="s">
        <v>406</v>
      </c>
      <c r="AX19">
        <v>13248.1</v>
      </c>
      <c r="AY19">
        <v>648.50294117647059</v>
      </c>
      <c r="AZ19">
        <v>2580.59</v>
      </c>
      <c r="BA19">
        <f t="shared" si="30"/>
        <v>0.74869973875103346</v>
      </c>
      <c r="BB19">
        <v>-2.3588818996945191</v>
      </c>
      <c r="BC19" t="s">
        <v>422</v>
      </c>
      <c r="BD19">
        <v>13208.6</v>
      </c>
      <c r="BE19">
        <v>818.357705882353</v>
      </c>
      <c r="BF19">
        <v>1098.18</v>
      </c>
      <c r="BG19">
        <f t="shared" si="31"/>
        <v>0.25480549101025973</v>
      </c>
      <c r="BH19">
        <v>0.5</v>
      </c>
      <c r="BI19">
        <f t="shared" si="32"/>
        <v>1344.2882398078013</v>
      </c>
      <c r="BJ19">
        <f t="shared" si="33"/>
        <v>37.484391008136797</v>
      </c>
      <c r="BK19">
        <f t="shared" si="34"/>
        <v>171.26601250177231</v>
      </c>
      <c r="BL19">
        <f t="shared" si="35"/>
        <v>2.9638935853167826E-2</v>
      </c>
      <c r="BM19">
        <f t="shared" si="36"/>
        <v>1.3498788905279644</v>
      </c>
      <c r="BN19">
        <f t="shared" si="37"/>
        <v>484.23751121687428</v>
      </c>
      <c r="BO19" t="s">
        <v>408</v>
      </c>
      <c r="BP19">
        <v>0</v>
      </c>
      <c r="BQ19">
        <f t="shared" si="38"/>
        <v>484.23751121687428</v>
      </c>
      <c r="BR19">
        <f t="shared" si="39"/>
        <v>0.559054516366284</v>
      </c>
      <c r="BS19">
        <f t="shared" si="40"/>
        <v>0.45577932661457132</v>
      </c>
      <c r="BT19">
        <f t="shared" si="41"/>
        <v>0.70713775852671501</v>
      </c>
      <c r="BU19">
        <f t="shared" si="42"/>
        <v>0.62227389329074057</v>
      </c>
      <c r="BV19">
        <f t="shared" si="43"/>
        <v>0.76725838684653103</v>
      </c>
      <c r="BW19">
        <f t="shared" si="44"/>
        <v>0.26969312465381912</v>
      </c>
      <c r="BX19">
        <f t="shared" si="45"/>
        <v>0.73030687534618088</v>
      </c>
      <c r="DG19">
        <f t="shared" si="46"/>
        <v>1600.001</v>
      </c>
      <c r="DH19">
        <f t="shared" si="47"/>
        <v>1344.2882398078013</v>
      </c>
      <c r="DI19">
        <f t="shared" si="48"/>
        <v>0.84017962476761043</v>
      </c>
      <c r="DJ19">
        <f t="shared" si="49"/>
        <v>0.15994667580148816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1786037588.75</v>
      </c>
      <c r="DQ19">
        <v>420.03039999999987</v>
      </c>
      <c r="DR19">
        <v>466.3467</v>
      </c>
      <c r="DS19">
        <v>20.801880000000001</v>
      </c>
      <c r="DT19">
        <v>17.681396666666672</v>
      </c>
      <c r="DU19">
        <v>430.54573333333332</v>
      </c>
      <c r="DV19">
        <v>21.372493333333338</v>
      </c>
      <c r="DW19">
        <v>500.03903333333341</v>
      </c>
      <c r="DX19">
        <v>97.912516666666676</v>
      </c>
      <c r="DY19">
        <v>5.9176039999999999E-2</v>
      </c>
      <c r="DZ19">
        <v>24.773313333333341</v>
      </c>
      <c r="EA19">
        <v>24.992323333333339</v>
      </c>
      <c r="EB19">
        <v>999.9000000000002</v>
      </c>
      <c r="EC19">
        <v>0</v>
      </c>
      <c r="ED19">
        <v>0</v>
      </c>
      <c r="EE19">
        <v>9999.8333333333339</v>
      </c>
      <c r="EF19">
        <v>0</v>
      </c>
      <c r="EG19">
        <v>1691.890666666666</v>
      </c>
      <c r="EH19">
        <v>-46.31622333333334</v>
      </c>
      <c r="EI19">
        <v>428.95350000000002</v>
      </c>
      <c r="EJ19">
        <v>474.7406666666667</v>
      </c>
      <c r="EK19">
        <v>3.1204809999999998</v>
      </c>
      <c r="EL19">
        <v>466.3467</v>
      </c>
      <c r="EM19">
        <v>17.681396666666672</v>
      </c>
      <c r="EN19">
        <v>2.036763666666666</v>
      </c>
      <c r="EO19">
        <v>1.731230666666667</v>
      </c>
      <c r="EP19">
        <v>17.733080000000001</v>
      </c>
      <c r="EQ19">
        <v>15.179309999999999</v>
      </c>
      <c r="ER19">
        <v>1600.001</v>
      </c>
      <c r="ES19">
        <v>0.99399193333333324</v>
      </c>
      <c r="ET19">
        <v>6.0080543333333328E-3</v>
      </c>
      <c r="EU19">
        <v>0</v>
      </c>
      <c r="EV19">
        <v>818.33079999999984</v>
      </c>
      <c r="EW19">
        <v>5.0010700000000003</v>
      </c>
      <c r="EX19">
        <v>16725.703333333331</v>
      </c>
      <c r="EY19">
        <v>14578.47</v>
      </c>
      <c r="EZ19">
        <v>42.061999999999983</v>
      </c>
      <c r="FA19">
        <v>44.811999999999983</v>
      </c>
      <c r="FB19">
        <v>43.186999999999983</v>
      </c>
      <c r="FC19">
        <v>44.125</v>
      </c>
      <c r="FD19">
        <v>43.186999999999983</v>
      </c>
      <c r="FE19">
        <v>1585.421000000001</v>
      </c>
      <c r="FF19">
        <v>9.58</v>
      </c>
      <c r="FG19">
        <v>0</v>
      </c>
      <c r="FH19">
        <v>180.89999985694891</v>
      </c>
      <c r="FI19">
        <v>0</v>
      </c>
      <c r="FJ19">
        <v>818.357705882353</v>
      </c>
      <c r="FK19">
        <v>-0.86740199311536048</v>
      </c>
      <c r="FL19">
        <v>856.17646916658953</v>
      </c>
      <c r="FM19">
        <v>16740.947058823531</v>
      </c>
      <c r="FN19">
        <v>10</v>
      </c>
      <c r="FO19">
        <v>1786037477.5</v>
      </c>
      <c r="FP19" t="s">
        <v>423</v>
      </c>
      <c r="FQ19">
        <v>1786037477.5</v>
      </c>
      <c r="FR19">
        <v>1786037474.5</v>
      </c>
      <c r="FS19">
        <v>46</v>
      </c>
      <c r="FT19">
        <v>1.4E-2</v>
      </c>
      <c r="FU19">
        <v>-7.0000000000000001E-3</v>
      </c>
      <c r="FV19">
        <v>-10.686999999999999</v>
      </c>
      <c r="FW19">
        <v>-0.64800000000000002</v>
      </c>
      <c r="FX19">
        <v>466</v>
      </c>
      <c r="FY19">
        <v>18</v>
      </c>
      <c r="FZ19">
        <v>0.17</v>
      </c>
      <c r="GA19">
        <v>0.06</v>
      </c>
      <c r="GB19">
        <v>420.03145161290331</v>
      </c>
      <c r="GC19">
        <v>0.29264516128934759</v>
      </c>
      <c r="GD19">
        <v>6.867494199989356E-2</v>
      </c>
      <c r="GE19">
        <v>-1</v>
      </c>
      <c r="GF19">
        <v>818.36849999999993</v>
      </c>
      <c r="GG19">
        <v>-0.11317036882026341</v>
      </c>
      <c r="GH19">
        <v>0.23589968580884171</v>
      </c>
      <c r="GI19">
        <v>1</v>
      </c>
      <c r="GJ19">
        <v>3.1203690243902442</v>
      </c>
      <c r="GK19">
        <v>-5.8787456445975547E-4</v>
      </c>
      <c r="GL19">
        <v>3.316579052150177E-3</v>
      </c>
      <c r="GM19">
        <v>1</v>
      </c>
      <c r="GN19">
        <v>2</v>
      </c>
      <c r="GO19">
        <v>2</v>
      </c>
      <c r="GP19" t="s">
        <v>411</v>
      </c>
      <c r="GQ19">
        <v>3.1305000000000001</v>
      </c>
      <c r="GR19">
        <v>2.7350400000000001</v>
      </c>
      <c r="GS19">
        <v>9.2235399999999995E-2</v>
      </c>
      <c r="GT19">
        <v>9.8722400000000002E-2</v>
      </c>
      <c r="GU19">
        <v>0.103076</v>
      </c>
      <c r="GV19">
        <v>9.0334899999999996E-2</v>
      </c>
      <c r="GW19">
        <v>22712.5</v>
      </c>
      <c r="GX19">
        <v>29940.1</v>
      </c>
      <c r="GY19">
        <v>27144.400000000001</v>
      </c>
      <c r="GZ19">
        <v>34165.300000000003</v>
      </c>
      <c r="HA19">
        <v>35634.9</v>
      </c>
      <c r="HB19">
        <v>39215</v>
      </c>
      <c r="HC19">
        <v>40054.400000000001</v>
      </c>
      <c r="HD19">
        <v>43187</v>
      </c>
      <c r="HE19">
        <v>1.9630000000000001</v>
      </c>
      <c r="HF19">
        <v>1.7334000000000001</v>
      </c>
      <c r="HG19">
        <v>-8.1002699999999997E-2</v>
      </c>
      <c r="HH19">
        <v>0</v>
      </c>
      <c r="HI19">
        <v>26.315899999999999</v>
      </c>
      <c r="HJ19">
        <v>999.9</v>
      </c>
      <c r="HK19">
        <v>55.2</v>
      </c>
      <c r="HL19">
        <v>39.5</v>
      </c>
      <c r="HM19">
        <v>40.693800000000003</v>
      </c>
      <c r="HN19">
        <v>61.428800000000003</v>
      </c>
      <c r="HO19">
        <v>4.5632999999999999</v>
      </c>
      <c r="HP19">
        <v>1</v>
      </c>
      <c r="HQ19">
        <v>0.62018300000000004</v>
      </c>
      <c r="HR19">
        <v>6.5897199999999998</v>
      </c>
      <c r="HS19">
        <v>20.111699999999999</v>
      </c>
      <c r="HT19">
        <v>5.2088999999999999</v>
      </c>
      <c r="HU19">
        <v>11.9129</v>
      </c>
      <c r="HV19">
        <v>4.9843999999999999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1.8673999999999999</v>
      </c>
      <c r="IC19">
        <v>1.8631</v>
      </c>
      <c r="ID19">
        <v>1.8626400000000001</v>
      </c>
      <c r="IE19">
        <v>1.8621799999999999</v>
      </c>
      <c r="IF19">
        <v>1.8621799999999999</v>
      </c>
      <c r="IG19">
        <v>1.8626400000000001</v>
      </c>
      <c r="IH19">
        <v>1.8635900000000001</v>
      </c>
      <c r="II19">
        <v>1.8615699999999999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-10.515000000000001</v>
      </c>
      <c r="IX19">
        <v>-0.57050000000000001</v>
      </c>
      <c r="IY19">
        <v>-8.5105960924943709</v>
      </c>
      <c r="IZ19">
        <v>-5.6215304933332991E-3</v>
      </c>
      <c r="JA19">
        <v>2.3979931213773931E-6</v>
      </c>
      <c r="JB19">
        <v>-3.6297174575716598E-10</v>
      </c>
      <c r="JC19">
        <v>-0.89215795442346413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</v>
      </c>
      <c r="JL19">
        <v>2</v>
      </c>
      <c r="JM19">
        <v>1.1926300000000001</v>
      </c>
      <c r="JN19">
        <v>2.5439500000000002</v>
      </c>
      <c r="JO19">
        <v>1.50024</v>
      </c>
      <c r="JP19">
        <v>2.2717299999999998</v>
      </c>
      <c r="JQ19">
        <v>1.4477500000000001</v>
      </c>
      <c r="JR19">
        <v>2.48291</v>
      </c>
      <c r="JS19">
        <v>44.809600000000003</v>
      </c>
      <c r="JT19">
        <v>23.947399999999998</v>
      </c>
      <c r="JU19">
        <v>18</v>
      </c>
      <c r="JV19">
        <v>546.33900000000006</v>
      </c>
      <c r="JW19">
        <v>411.36900000000003</v>
      </c>
      <c r="JX19">
        <v>20.1539</v>
      </c>
      <c r="JY19">
        <v>34.565600000000003</v>
      </c>
      <c r="JZ19">
        <v>30.000399999999999</v>
      </c>
      <c r="KA19">
        <v>34.313099999999999</v>
      </c>
      <c r="KB19">
        <v>34.280299999999997</v>
      </c>
      <c r="KC19">
        <v>23.8599</v>
      </c>
      <c r="KD19">
        <v>54.735500000000002</v>
      </c>
      <c r="KE19">
        <v>0</v>
      </c>
      <c r="KF19">
        <v>20.1556</v>
      </c>
      <c r="KG19">
        <v>466.25799999999998</v>
      </c>
      <c r="KH19">
        <v>17.689299999999999</v>
      </c>
      <c r="KI19">
        <v>100.136</v>
      </c>
      <c r="KJ19">
        <v>97.325699999999998</v>
      </c>
    </row>
    <row r="20" spans="1:296" x14ac:dyDescent="0.3">
      <c r="A20">
        <v>4</v>
      </c>
      <c r="B20">
        <v>1786037778</v>
      </c>
      <c r="C20">
        <v>544.5</v>
      </c>
      <c r="D20" t="s">
        <v>424</v>
      </c>
      <c r="E20" t="s">
        <v>425</v>
      </c>
      <c r="F20">
        <v>15</v>
      </c>
      <c r="H20">
        <v>1786037770.25</v>
      </c>
      <c r="I20">
        <f t="shared" si="0"/>
        <v>2.5883427789091919E-3</v>
      </c>
      <c r="J20">
        <f t="shared" si="1"/>
        <v>2.5883427789091917</v>
      </c>
      <c r="K20">
        <f t="shared" si="2"/>
        <v>37.04723621118945</v>
      </c>
      <c r="L20">
        <f t="shared" si="3"/>
        <v>420.00003333333331</v>
      </c>
      <c r="M20">
        <f t="shared" si="4"/>
        <v>142.52583994365995</v>
      </c>
      <c r="N20">
        <f t="shared" si="5"/>
        <v>13.963332414811608</v>
      </c>
      <c r="O20">
        <f t="shared" si="6"/>
        <v>41.147626858284418</v>
      </c>
      <c r="P20">
        <f t="shared" si="7"/>
        <v>0.22589367578219607</v>
      </c>
      <c r="Q20">
        <f t="shared" si="8"/>
        <v>2.8919816437957544</v>
      </c>
      <c r="R20">
        <f t="shared" si="9"/>
        <v>0.2165290039330138</v>
      </c>
      <c r="S20">
        <f t="shared" si="10"/>
        <v>0.13613965551442292</v>
      </c>
      <c r="T20">
        <f t="shared" si="11"/>
        <v>224.00393599364182</v>
      </c>
      <c r="U20">
        <f t="shared" si="12"/>
        <v>25.416057577159908</v>
      </c>
      <c r="V20">
        <f t="shared" si="13"/>
        <v>25.005590000000002</v>
      </c>
      <c r="W20">
        <f t="shared" si="14"/>
        <v>3.1807374377380402</v>
      </c>
      <c r="X20">
        <f t="shared" si="15"/>
        <v>65.111756064347475</v>
      </c>
      <c r="Y20">
        <f t="shared" si="16"/>
        <v>2.0408267722081272</v>
      </c>
      <c r="Z20">
        <f t="shared" si="17"/>
        <v>3.1343445417003588</v>
      </c>
      <c r="AA20">
        <f t="shared" si="18"/>
        <v>1.1399106655299129</v>
      </c>
      <c r="AB20">
        <f t="shared" si="19"/>
        <v>-114.14591654989536</v>
      </c>
      <c r="AC20">
        <f t="shared" si="20"/>
        <v>-38.390338415865479</v>
      </c>
      <c r="AD20">
        <f t="shared" si="21"/>
        <v>-2.8046104714212428</v>
      </c>
      <c r="AE20">
        <f t="shared" si="22"/>
        <v>68.663070556459729</v>
      </c>
      <c r="AF20">
        <f t="shared" si="23"/>
        <v>37.04723621118945</v>
      </c>
      <c r="AG20">
        <f t="shared" si="24"/>
        <v>2.5883427789091917</v>
      </c>
      <c r="AH20">
        <f t="shared" si="25"/>
        <v>36.891821660617346</v>
      </c>
      <c r="AI20">
        <v>474.22369758152479</v>
      </c>
      <c r="AJ20">
        <v>428.97941818181812</v>
      </c>
      <c r="AK20">
        <v>3.2038000502704167E-2</v>
      </c>
      <c r="AL20">
        <v>67.094817318257242</v>
      </c>
      <c r="AM20">
        <f t="shared" si="26"/>
        <v>2.5808934839530679</v>
      </c>
      <c r="AN20">
        <v>17.791887352746031</v>
      </c>
      <c r="AO20">
        <v>20.824602424242421</v>
      </c>
      <c r="AP20">
        <v>2.9250884390210939E-6</v>
      </c>
      <c r="AQ20">
        <v>78.258295689842839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52143.166655217261</v>
      </c>
      <c r="AW20" t="s">
        <v>406</v>
      </c>
      <c r="AX20">
        <v>13248.1</v>
      </c>
      <c r="AY20">
        <v>648.50294117647059</v>
      </c>
      <c r="AZ20">
        <v>2580.59</v>
      </c>
      <c r="BA20">
        <f t="shared" si="30"/>
        <v>0.74869973875103346</v>
      </c>
      <c r="BB20">
        <v>-2.3588818996945191</v>
      </c>
      <c r="BC20" t="s">
        <v>426</v>
      </c>
      <c r="BD20">
        <v>13218.6</v>
      </c>
      <c r="BE20">
        <v>819.98447058823524</v>
      </c>
      <c r="BF20">
        <v>1155.79</v>
      </c>
      <c r="BG20">
        <f t="shared" si="31"/>
        <v>0.2905419924136432</v>
      </c>
      <c r="BH20">
        <v>0.5</v>
      </c>
      <c r="BI20">
        <f t="shared" si="32"/>
        <v>1176.2866412402293</v>
      </c>
      <c r="BJ20">
        <f t="shared" si="33"/>
        <v>37.04723621118945</v>
      </c>
      <c r="BK20">
        <f t="shared" si="34"/>
        <v>170.88033219774428</v>
      </c>
      <c r="BL20">
        <f t="shared" si="35"/>
        <v>3.3500438353474576E-2</v>
      </c>
      <c r="BM20">
        <f t="shared" si="36"/>
        <v>1.2327498940118882</v>
      </c>
      <c r="BN20">
        <f t="shared" si="37"/>
        <v>495.11964343470311</v>
      </c>
      <c r="BO20" t="s">
        <v>408</v>
      </c>
      <c r="BP20">
        <v>0</v>
      </c>
      <c r="BQ20">
        <f t="shared" si="38"/>
        <v>495.11964343470311</v>
      </c>
      <c r="BR20">
        <f t="shared" si="39"/>
        <v>0.57161798991624502</v>
      </c>
      <c r="BS20">
        <f t="shared" si="40"/>
        <v>0.50828000087298553</v>
      </c>
      <c r="BT20">
        <f t="shared" si="41"/>
        <v>0.68320318987731865</v>
      </c>
      <c r="BU20">
        <f t="shared" si="42"/>
        <v>0.66196352453883878</v>
      </c>
      <c r="BV20">
        <f t="shared" si="43"/>
        <v>0.73744088988804557</v>
      </c>
      <c r="BW20">
        <f t="shared" si="44"/>
        <v>0.30690753523257502</v>
      </c>
      <c r="BX20">
        <f t="shared" si="45"/>
        <v>0.69309246476742503</v>
      </c>
      <c r="DG20">
        <f t="shared" si="46"/>
        <v>1399.992666666667</v>
      </c>
      <c r="DH20">
        <f t="shared" si="47"/>
        <v>1176.2866412402293</v>
      </c>
      <c r="DI20">
        <f t="shared" si="48"/>
        <v>0.84020914483854126</v>
      </c>
      <c r="DJ20">
        <f t="shared" si="49"/>
        <v>0.16000364953838456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1786037770.25</v>
      </c>
      <c r="DQ20">
        <v>420.00003333333331</v>
      </c>
      <c r="DR20">
        <v>465.76360000000011</v>
      </c>
      <c r="DS20">
        <v>20.83102666666667</v>
      </c>
      <c r="DT20">
        <v>17.789560000000002</v>
      </c>
      <c r="DU20">
        <v>430.51409999999998</v>
      </c>
      <c r="DV20">
        <v>21.40546333333333</v>
      </c>
      <c r="DW20">
        <v>499.9742333333333</v>
      </c>
      <c r="DX20">
        <v>97.911356666666691</v>
      </c>
      <c r="DY20">
        <v>5.9175696666666673E-2</v>
      </c>
      <c r="DZ20">
        <v>24.759360000000001</v>
      </c>
      <c r="EA20">
        <v>25.005590000000002</v>
      </c>
      <c r="EB20">
        <v>999.9000000000002</v>
      </c>
      <c r="EC20">
        <v>0</v>
      </c>
      <c r="ED20">
        <v>0</v>
      </c>
      <c r="EE20">
        <v>9996.1666666666661</v>
      </c>
      <c r="EF20">
        <v>0</v>
      </c>
      <c r="EG20">
        <v>2144.9553333333329</v>
      </c>
      <c r="EH20">
        <v>-45.763550000000002</v>
      </c>
      <c r="EI20">
        <v>428.93523333333337</v>
      </c>
      <c r="EJ20">
        <v>474.19943333333327</v>
      </c>
      <c r="EK20">
        <v>3.0414643333333329</v>
      </c>
      <c r="EL20">
        <v>465.76360000000011</v>
      </c>
      <c r="EM20">
        <v>17.789560000000002</v>
      </c>
      <c r="EN20">
        <v>2.0395940000000001</v>
      </c>
      <c r="EO20">
        <v>1.741800666666667</v>
      </c>
      <c r="EP20">
        <v>17.75511333333333</v>
      </c>
      <c r="EQ20">
        <v>15.274053333333329</v>
      </c>
      <c r="ER20">
        <v>1399.992666666667</v>
      </c>
      <c r="ES20">
        <v>0.99300069999999985</v>
      </c>
      <c r="ET20">
        <v>6.9990343333333326E-3</v>
      </c>
      <c r="EU20">
        <v>0</v>
      </c>
      <c r="EV20">
        <v>819.9550999999999</v>
      </c>
      <c r="EW20">
        <v>5.0010700000000003</v>
      </c>
      <c r="EX20">
        <v>15859.21</v>
      </c>
      <c r="EY20">
        <v>12745.453333333329</v>
      </c>
      <c r="EZ20">
        <v>41.805799999999991</v>
      </c>
      <c r="FA20">
        <v>44.75</v>
      </c>
      <c r="FB20">
        <v>43.061999999999983</v>
      </c>
      <c r="FC20">
        <v>44.064099999999968</v>
      </c>
      <c r="FD20">
        <v>43.008266666666671</v>
      </c>
      <c r="FE20">
        <v>1385.225666666666</v>
      </c>
      <c r="FF20">
        <v>9.759999999999998</v>
      </c>
      <c r="FG20">
        <v>0</v>
      </c>
      <c r="FH20">
        <v>180.70000004768369</v>
      </c>
      <c r="FI20">
        <v>0</v>
      </c>
      <c r="FJ20">
        <v>819.98447058823524</v>
      </c>
      <c r="FK20">
        <v>0.220343163959515</v>
      </c>
      <c r="FL20">
        <v>-392.47548997871252</v>
      </c>
      <c r="FM20">
        <v>15872.188235294119</v>
      </c>
      <c r="FN20">
        <v>10</v>
      </c>
      <c r="FO20">
        <v>1786037664</v>
      </c>
      <c r="FP20" t="s">
        <v>427</v>
      </c>
      <c r="FQ20">
        <v>1786037664</v>
      </c>
      <c r="FR20">
        <v>1786037656</v>
      </c>
      <c r="FS20">
        <v>47</v>
      </c>
      <c r="FT20">
        <v>1E-3</v>
      </c>
      <c r="FU20">
        <v>-5.0000000000000001E-3</v>
      </c>
      <c r="FV20">
        <v>-10.683</v>
      </c>
      <c r="FW20">
        <v>-0.65</v>
      </c>
      <c r="FX20">
        <v>466</v>
      </c>
      <c r="FY20">
        <v>18</v>
      </c>
      <c r="FZ20">
        <v>0.2</v>
      </c>
      <c r="GA20">
        <v>0.08</v>
      </c>
      <c r="GB20">
        <v>419.99629999999991</v>
      </c>
      <c r="GC20">
        <v>-0.29389988876604711</v>
      </c>
      <c r="GD20">
        <v>5.604887747908821E-2</v>
      </c>
      <c r="GE20">
        <v>-1</v>
      </c>
      <c r="GF20">
        <v>819.78649999999993</v>
      </c>
      <c r="GG20">
        <v>1.922398788704309</v>
      </c>
      <c r="GH20">
        <v>0.30197363051996912</v>
      </c>
      <c r="GI20">
        <v>1</v>
      </c>
      <c r="GJ20">
        <v>3.0461407500000002</v>
      </c>
      <c r="GK20">
        <v>-7.9961763602257416E-2</v>
      </c>
      <c r="GL20">
        <v>8.3217889866002148E-3</v>
      </c>
      <c r="GM20">
        <v>1</v>
      </c>
      <c r="GN20">
        <v>2</v>
      </c>
      <c r="GO20">
        <v>2</v>
      </c>
      <c r="GP20" t="s">
        <v>411</v>
      </c>
      <c r="GQ20">
        <v>3.1301600000000001</v>
      </c>
      <c r="GR20">
        <v>2.7351999999999999</v>
      </c>
      <c r="GS20">
        <v>9.2221899999999996E-2</v>
      </c>
      <c r="GT20">
        <v>9.8573599999999997E-2</v>
      </c>
      <c r="GU20">
        <v>0.103141</v>
      </c>
      <c r="GV20">
        <v>9.0733300000000003E-2</v>
      </c>
      <c r="GW20">
        <v>22709.7</v>
      </c>
      <c r="GX20">
        <v>29939.200000000001</v>
      </c>
      <c r="GY20">
        <v>27141.3</v>
      </c>
      <c r="GZ20">
        <v>34159.4</v>
      </c>
      <c r="HA20">
        <v>35629.199999999997</v>
      </c>
      <c r="HB20">
        <v>39192.699999999997</v>
      </c>
      <c r="HC20">
        <v>40050.400000000001</v>
      </c>
      <c r="HD20">
        <v>43181.2</v>
      </c>
      <c r="HE20">
        <v>1.9608000000000001</v>
      </c>
      <c r="HF20">
        <v>1.7312000000000001</v>
      </c>
      <c r="HG20">
        <v>-8.9854000000000003E-2</v>
      </c>
      <c r="HH20">
        <v>0</v>
      </c>
      <c r="HI20">
        <v>26.481100000000001</v>
      </c>
      <c r="HJ20">
        <v>999.9</v>
      </c>
      <c r="HK20">
        <v>55</v>
      </c>
      <c r="HL20">
        <v>39.6</v>
      </c>
      <c r="HM20">
        <v>40.762599999999999</v>
      </c>
      <c r="HN20">
        <v>61.408799999999999</v>
      </c>
      <c r="HO20">
        <v>4.9959899999999999</v>
      </c>
      <c r="HP20">
        <v>1</v>
      </c>
      <c r="HQ20">
        <v>0.62981699999999996</v>
      </c>
      <c r="HR20">
        <v>6.8111499999999996</v>
      </c>
      <c r="HS20">
        <v>20.1051</v>
      </c>
      <c r="HT20">
        <v>5.2088999999999999</v>
      </c>
      <c r="HU20">
        <v>11.914099999999999</v>
      </c>
      <c r="HV20">
        <v>4.9843999999999999</v>
      </c>
      <c r="HW20">
        <v>3.2707999999999999</v>
      </c>
      <c r="HX20">
        <v>9999</v>
      </c>
      <c r="HY20">
        <v>9999</v>
      </c>
      <c r="HZ20">
        <v>9999</v>
      </c>
      <c r="IA20">
        <v>999.9</v>
      </c>
      <c r="IB20">
        <v>1.8674299999999999</v>
      </c>
      <c r="IC20">
        <v>1.8631</v>
      </c>
      <c r="ID20">
        <v>1.8626400000000001</v>
      </c>
      <c r="IE20">
        <v>1.8621799999999999</v>
      </c>
      <c r="IF20">
        <v>1.8621799999999999</v>
      </c>
      <c r="IG20">
        <v>1.86267</v>
      </c>
      <c r="IH20">
        <v>1.86365</v>
      </c>
      <c r="II20">
        <v>1.8615699999999999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-10.513999999999999</v>
      </c>
      <c r="IX20">
        <v>-0.5746</v>
      </c>
      <c r="IY20">
        <v>-8.5094738577039095</v>
      </c>
      <c r="IZ20">
        <v>-5.6215304933332991E-3</v>
      </c>
      <c r="JA20">
        <v>2.3979931213773931E-6</v>
      </c>
      <c r="JB20">
        <v>-3.6297174575716598E-10</v>
      </c>
      <c r="JC20">
        <v>-0.89682983053978771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2</v>
      </c>
      <c r="JM20">
        <v>1.1926300000000001</v>
      </c>
      <c r="JN20">
        <v>2.5463900000000002</v>
      </c>
      <c r="JO20">
        <v>1.50024</v>
      </c>
      <c r="JP20">
        <v>2.2717299999999998</v>
      </c>
      <c r="JQ20">
        <v>1.4477500000000001</v>
      </c>
      <c r="JR20">
        <v>2.4719199999999999</v>
      </c>
      <c r="JS20">
        <v>44.922199999999997</v>
      </c>
      <c r="JT20">
        <v>23.956199999999999</v>
      </c>
      <c r="JU20">
        <v>18</v>
      </c>
      <c r="JV20">
        <v>545.64400000000001</v>
      </c>
      <c r="JW20">
        <v>410.63799999999998</v>
      </c>
      <c r="JX20">
        <v>20.177299999999999</v>
      </c>
      <c r="JY20">
        <v>34.685200000000002</v>
      </c>
      <c r="JZ20">
        <v>30.000299999999999</v>
      </c>
      <c r="KA20">
        <v>34.408299999999997</v>
      </c>
      <c r="KB20">
        <v>34.373199999999997</v>
      </c>
      <c r="KC20">
        <v>23.851800000000001</v>
      </c>
      <c r="KD20">
        <v>54.637900000000002</v>
      </c>
      <c r="KE20">
        <v>0</v>
      </c>
      <c r="KF20">
        <v>20.176300000000001</v>
      </c>
      <c r="KG20">
        <v>465.73399999999998</v>
      </c>
      <c r="KH20">
        <v>17.793800000000001</v>
      </c>
      <c r="KI20">
        <v>100.126</v>
      </c>
      <c r="KJ20">
        <v>97.310900000000004</v>
      </c>
    </row>
    <row r="21" spans="1:296" x14ac:dyDescent="0.3">
      <c r="A21">
        <v>5</v>
      </c>
      <c r="B21">
        <v>1786037959.5</v>
      </c>
      <c r="C21">
        <v>726</v>
      </c>
      <c r="D21" t="s">
        <v>428</v>
      </c>
      <c r="E21" t="s">
        <v>429</v>
      </c>
      <c r="F21">
        <v>15</v>
      </c>
      <c r="H21">
        <v>1786037951.75</v>
      </c>
      <c r="I21">
        <f t="shared" si="0"/>
        <v>2.2075464900876678E-3</v>
      </c>
      <c r="J21">
        <f t="shared" si="1"/>
        <v>2.207546490087668</v>
      </c>
      <c r="K21">
        <f t="shared" si="2"/>
        <v>33.492529500490882</v>
      </c>
      <c r="L21">
        <f t="shared" si="3"/>
        <v>420.09213333333338</v>
      </c>
      <c r="M21">
        <f t="shared" si="4"/>
        <v>123.97992007660586</v>
      </c>
      <c r="N21">
        <f t="shared" si="5"/>
        <v>12.144915244276516</v>
      </c>
      <c r="O21">
        <f t="shared" si="6"/>
        <v>41.15169094292191</v>
      </c>
      <c r="P21">
        <f t="shared" si="7"/>
        <v>0.18996016673323929</v>
      </c>
      <c r="Q21">
        <f t="shared" si="8"/>
        <v>2.8913920401653752</v>
      </c>
      <c r="R21">
        <f t="shared" si="9"/>
        <v>0.18328924043556996</v>
      </c>
      <c r="S21">
        <f t="shared" si="10"/>
        <v>0.115135614642353</v>
      </c>
      <c r="T21">
        <f t="shared" si="11"/>
        <v>160.18303620917669</v>
      </c>
      <c r="U21">
        <f t="shared" si="12"/>
        <v>25.157618787840335</v>
      </c>
      <c r="V21">
        <f t="shared" si="13"/>
        <v>25.000540000000001</v>
      </c>
      <c r="W21">
        <f t="shared" si="14"/>
        <v>3.1797799589417091</v>
      </c>
      <c r="X21">
        <f t="shared" si="15"/>
        <v>64.721641821079771</v>
      </c>
      <c r="Y21">
        <f t="shared" si="16"/>
        <v>2.031340750908504</v>
      </c>
      <c r="Z21">
        <f t="shared" si="17"/>
        <v>3.1385803786066782</v>
      </c>
      <c r="AA21">
        <f t="shared" si="18"/>
        <v>1.1484392080332051</v>
      </c>
      <c r="AB21">
        <f t="shared" si="19"/>
        <v>-97.352800212866157</v>
      </c>
      <c r="AC21">
        <f t="shared" si="20"/>
        <v>-34.07033104427331</v>
      </c>
      <c r="AD21">
        <f t="shared" si="21"/>
        <v>-2.4897394923743832</v>
      </c>
      <c r="AE21">
        <f t="shared" si="22"/>
        <v>26.270165459662842</v>
      </c>
      <c r="AF21">
        <f t="shared" si="23"/>
        <v>33.492529500490882</v>
      </c>
      <c r="AG21">
        <f t="shared" si="24"/>
        <v>2.207546490087668</v>
      </c>
      <c r="AH21">
        <f t="shared" si="25"/>
        <v>33.779916649605497</v>
      </c>
      <c r="AI21">
        <v>469.89479430535721</v>
      </c>
      <c r="AJ21">
        <v>428.8889030303028</v>
      </c>
      <c r="AK21">
        <v>-5.2601327083720853E-2</v>
      </c>
      <c r="AL21">
        <v>67.094133097499395</v>
      </c>
      <c r="AM21">
        <f t="shared" si="26"/>
        <v>2.1640047283872348</v>
      </c>
      <c r="AN21">
        <v>18.199801384046879</v>
      </c>
      <c r="AO21">
        <v>20.742386666666661</v>
      </c>
      <c r="AP21">
        <v>5.7127691871408638E-5</v>
      </c>
      <c r="AQ21">
        <v>78.257893227929316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52122.020054233115</v>
      </c>
      <c r="AW21" t="s">
        <v>406</v>
      </c>
      <c r="AX21">
        <v>13248.1</v>
      </c>
      <c r="AY21">
        <v>648.50294117647059</v>
      </c>
      <c r="AZ21">
        <v>2580.59</v>
      </c>
      <c r="BA21">
        <f t="shared" si="30"/>
        <v>0.74869973875103346</v>
      </c>
      <c r="BB21">
        <v>-2.3588818996945191</v>
      </c>
      <c r="BC21" t="s">
        <v>430</v>
      </c>
      <c r="BD21">
        <v>13212.8</v>
      </c>
      <c r="BE21">
        <v>821.08852941176463</v>
      </c>
      <c r="BF21">
        <v>1308.69</v>
      </c>
      <c r="BG21">
        <f t="shared" si="31"/>
        <v>0.37258745049494946</v>
      </c>
      <c r="BH21">
        <v>0.5</v>
      </c>
      <c r="BI21">
        <f t="shared" si="32"/>
        <v>840.33498361097202</v>
      </c>
      <c r="BJ21">
        <f t="shared" si="33"/>
        <v>33.492529500490882</v>
      </c>
      <c r="BK21">
        <f t="shared" si="34"/>
        <v>156.54913455266359</v>
      </c>
      <c r="BL21">
        <f t="shared" si="35"/>
        <v>4.2663237993650627E-2</v>
      </c>
      <c r="BM21">
        <f t="shared" si="36"/>
        <v>0.97188791845280398</v>
      </c>
      <c r="BN21">
        <f t="shared" si="37"/>
        <v>521.20586760931053</v>
      </c>
      <c r="BO21" t="s">
        <v>408</v>
      </c>
      <c r="BP21">
        <v>0</v>
      </c>
      <c r="BQ21">
        <f t="shared" si="38"/>
        <v>521.20586760931053</v>
      </c>
      <c r="BR21">
        <f t="shared" si="39"/>
        <v>0.60173466014922516</v>
      </c>
      <c r="BS21">
        <f t="shared" si="40"/>
        <v>0.61918894684004222</v>
      </c>
      <c r="BT21">
        <f t="shared" si="41"/>
        <v>0.61761182869923448</v>
      </c>
      <c r="BU21">
        <f t="shared" si="42"/>
        <v>0.73858077657134624</v>
      </c>
      <c r="BV21">
        <f t="shared" si="43"/>
        <v>0.65830366918066052</v>
      </c>
      <c r="BW21">
        <f t="shared" si="44"/>
        <v>0.39304520851492414</v>
      </c>
      <c r="BX21">
        <f t="shared" si="45"/>
        <v>0.60695479148507592</v>
      </c>
      <c r="DG21">
        <f t="shared" si="46"/>
        <v>1000.043433333333</v>
      </c>
      <c r="DH21">
        <f t="shared" si="47"/>
        <v>840.33498361097202</v>
      </c>
      <c r="DI21">
        <f t="shared" si="48"/>
        <v>0.84029848664670226</v>
      </c>
      <c r="DJ21">
        <f t="shared" si="49"/>
        <v>0.16017607922813559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1786037951.75</v>
      </c>
      <c r="DQ21">
        <v>420.09213333333338</v>
      </c>
      <c r="DR21">
        <v>461.3959666666666</v>
      </c>
      <c r="DS21">
        <v>20.736699999999999</v>
      </c>
      <c r="DT21">
        <v>18.142579999999999</v>
      </c>
      <c r="DU21">
        <v>430.62589999999989</v>
      </c>
      <c r="DV21">
        <v>21.313216666666669</v>
      </c>
      <c r="DW21">
        <v>500.00060000000002</v>
      </c>
      <c r="DX21">
        <v>97.899436666666631</v>
      </c>
      <c r="DY21">
        <v>5.9291140000000013E-2</v>
      </c>
      <c r="DZ21">
        <v>24.78197333333334</v>
      </c>
      <c r="EA21">
        <v>25.000540000000001</v>
      </c>
      <c r="EB21">
        <v>999.9000000000002</v>
      </c>
      <c r="EC21">
        <v>0</v>
      </c>
      <c r="ED21">
        <v>0</v>
      </c>
      <c r="EE21">
        <v>9994</v>
      </c>
      <c r="EF21">
        <v>0</v>
      </c>
      <c r="EG21">
        <v>2103.1489999999999</v>
      </c>
      <c r="EH21">
        <v>-41.303716666666674</v>
      </c>
      <c r="EI21">
        <v>428.98790000000002</v>
      </c>
      <c r="EJ21">
        <v>469.92146666666667</v>
      </c>
      <c r="EK21">
        <v>2.5941260000000002</v>
      </c>
      <c r="EL21">
        <v>461.3959666666666</v>
      </c>
      <c r="EM21">
        <v>18.142579999999999</v>
      </c>
      <c r="EN21">
        <v>2.0301113333333332</v>
      </c>
      <c r="EO21">
        <v>1.7761480000000001</v>
      </c>
      <c r="EP21">
        <v>17.68115666666667</v>
      </c>
      <c r="EQ21">
        <v>15.57840333333333</v>
      </c>
      <c r="ER21">
        <v>1000.043433333333</v>
      </c>
      <c r="ES21">
        <v>0.9900024999999999</v>
      </c>
      <c r="ET21">
        <v>9.9970793333333339E-3</v>
      </c>
      <c r="EU21">
        <v>0</v>
      </c>
      <c r="EV21">
        <v>821.10786666666672</v>
      </c>
      <c r="EW21">
        <v>5.0010700000000003</v>
      </c>
      <c r="EX21">
        <v>12375.47</v>
      </c>
      <c r="EY21">
        <v>9080.6823333333323</v>
      </c>
      <c r="EZ21">
        <v>41.125</v>
      </c>
      <c r="FA21">
        <v>44.625</v>
      </c>
      <c r="FB21">
        <v>42.733199999999989</v>
      </c>
      <c r="FC21">
        <v>43.936999999999983</v>
      </c>
      <c r="FD21">
        <v>42.561999999999983</v>
      </c>
      <c r="FE21">
        <v>985.09366666666676</v>
      </c>
      <c r="FF21">
        <v>9.9499999999999975</v>
      </c>
      <c r="FG21">
        <v>0</v>
      </c>
      <c r="FH21">
        <v>180.89999985694891</v>
      </c>
      <c r="FI21">
        <v>0</v>
      </c>
      <c r="FJ21">
        <v>821.08852941176463</v>
      </c>
      <c r="FK21">
        <v>1.345588201283896</v>
      </c>
      <c r="FL21">
        <v>108.6519608252466</v>
      </c>
      <c r="FM21">
        <v>12382.36470588235</v>
      </c>
      <c r="FN21">
        <v>10</v>
      </c>
      <c r="FO21">
        <v>1786037880.5</v>
      </c>
      <c r="FP21" t="s">
        <v>431</v>
      </c>
      <c r="FQ21">
        <v>1786037875.5</v>
      </c>
      <c r="FR21">
        <v>1786037880.5</v>
      </c>
      <c r="FS21">
        <v>48</v>
      </c>
      <c r="FT21">
        <v>-1.9E-2</v>
      </c>
      <c r="FU21">
        <v>0</v>
      </c>
      <c r="FV21">
        <v>-10.691000000000001</v>
      </c>
      <c r="FW21">
        <v>-0.64900000000000002</v>
      </c>
      <c r="FX21">
        <v>463</v>
      </c>
      <c r="FY21">
        <v>18</v>
      </c>
      <c r="FZ21">
        <v>0.23</v>
      </c>
      <c r="GA21">
        <v>0.09</v>
      </c>
      <c r="GB21">
        <v>420.09829032258079</v>
      </c>
      <c r="GC21">
        <v>-3.2903225807455493E-2</v>
      </c>
      <c r="GD21">
        <v>7.1989333236918626E-2</v>
      </c>
      <c r="GE21">
        <v>-1</v>
      </c>
      <c r="GF21">
        <v>821.14020588235303</v>
      </c>
      <c r="GG21">
        <v>-0.23460656966021509</v>
      </c>
      <c r="GH21">
        <v>0.20180389132430221</v>
      </c>
      <c r="GI21">
        <v>1</v>
      </c>
      <c r="GJ21">
        <v>2.614793658536585</v>
      </c>
      <c r="GK21">
        <v>-0.4135910801393709</v>
      </c>
      <c r="GL21">
        <v>4.6469095828334313E-2</v>
      </c>
      <c r="GM21">
        <v>1</v>
      </c>
      <c r="GN21">
        <v>2</v>
      </c>
      <c r="GO21">
        <v>2</v>
      </c>
      <c r="GP21" t="s">
        <v>411</v>
      </c>
      <c r="GQ21">
        <v>3.1299600000000001</v>
      </c>
      <c r="GR21">
        <v>2.7357</v>
      </c>
      <c r="GS21">
        <v>9.2208799999999994E-2</v>
      </c>
      <c r="GT21">
        <v>9.7837199999999999E-2</v>
      </c>
      <c r="GU21">
        <v>0.10283399999999999</v>
      </c>
      <c r="GV21">
        <v>9.2181299999999994E-2</v>
      </c>
      <c r="GW21">
        <v>22706.799999999999</v>
      </c>
      <c r="GX21">
        <v>29960.2</v>
      </c>
      <c r="GY21">
        <v>27137.8</v>
      </c>
      <c r="GZ21">
        <v>34156</v>
      </c>
      <c r="HA21">
        <v>35636.9</v>
      </c>
      <c r="HB21">
        <v>39127.599999999999</v>
      </c>
      <c r="HC21">
        <v>40045.1</v>
      </c>
      <c r="HD21">
        <v>43178.2</v>
      </c>
      <c r="HE21">
        <v>1.9601999999999999</v>
      </c>
      <c r="HF21">
        <v>1.7282</v>
      </c>
      <c r="HG21">
        <v>-9.2178599999999999E-2</v>
      </c>
      <c r="HH21">
        <v>0</v>
      </c>
      <c r="HI21">
        <v>26.519200000000001</v>
      </c>
      <c r="HJ21">
        <v>999.9</v>
      </c>
      <c r="HK21">
        <v>54.6</v>
      </c>
      <c r="HL21">
        <v>39.799999999999997</v>
      </c>
      <c r="HM21">
        <v>40.904299999999999</v>
      </c>
      <c r="HN21">
        <v>61.308900000000001</v>
      </c>
      <c r="HO21">
        <v>4.6754800000000003</v>
      </c>
      <c r="HP21">
        <v>1</v>
      </c>
      <c r="HQ21">
        <v>0.631911</v>
      </c>
      <c r="HR21">
        <v>6.0265399999999998</v>
      </c>
      <c r="HS21">
        <v>20.1356</v>
      </c>
      <c r="HT21">
        <v>5.2088999999999999</v>
      </c>
      <c r="HU21">
        <v>11.9129</v>
      </c>
      <c r="HV21">
        <v>4.9843999999999999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1.8673999999999999</v>
      </c>
      <c r="IC21">
        <v>1.8631</v>
      </c>
      <c r="ID21">
        <v>1.8626400000000001</v>
      </c>
      <c r="IE21">
        <v>1.8621799999999999</v>
      </c>
      <c r="IF21">
        <v>1.8621799999999999</v>
      </c>
      <c r="IG21">
        <v>1.8626400000000001</v>
      </c>
      <c r="IH21">
        <v>1.86368</v>
      </c>
      <c r="II21">
        <v>1.8615699999999999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-10.534000000000001</v>
      </c>
      <c r="IX21">
        <v>-0.57630000000000003</v>
      </c>
      <c r="IY21">
        <v>-8.5287207320472938</v>
      </c>
      <c r="IZ21">
        <v>-5.6215304933332991E-3</v>
      </c>
      <c r="JA21">
        <v>2.3979931213773931E-6</v>
      </c>
      <c r="JB21">
        <v>-3.6297174575716598E-10</v>
      </c>
      <c r="JC21">
        <v>-0.89652347420952316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1.4</v>
      </c>
      <c r="JL21">
        <v>1.3</v>
      </c>
      <c r="JM21">
        <v>1.18408</v>
      </c>
      <c r="JN21">
        <v>2.5561500000000001</v>
      </c>
      <c r="JO21">
        <v>1.50024</v>
      </c>
      <c r="JP21">
        <v>2.2717299999999998</v>
      </c>
      <c r="JQ21">
        <v>1.4477500000000001</v>
      </c>
      <c r="JR21">
        <v>2.48169</v>
      </c>
      <c r="JS21">
        <v>45.035200000000003</v>
      </c>
      <c r="JT21">
        <v>23.9649</v>
      </c>
      <c r="JU21">
        <v>18</v>
      </c>
      <c r="JV21">
        <v>546.03599999999994</v>
      </c>
      <c r="JW21">
        <v>409.46699999999998</v>
      </c>
      <c r="JX21">
        <v>20.729199999999999</v>
      </c>
      <c r="JY21">
        <v>34.764299999999999</v>
      </c>
      <c r="JZ21">
        <v>30.0001</v>
      </c>
      <c r="KA21">
        <v>34.505200000000002</v>
      </c>
      <c r="KB21">
        <v>34.4726</v>
      </c>
      <c r="KC21">
        <v>23.682600000000001</v>
      </c>
      <c r="KD21">
        <v>54.008400000000002</v>
      </c>
      <c r="KE21">
        <v>0</v>
      </c>
      <c r="KF21">
        <v>20.728200000000001</v>
      </c>
      <c r="KG21">
        <v>461.32499999999999</v>
      </c>
      <c r="KH21">
        <v>18.207999999999998</v>
      </c>
      <c r="KI21">
        <v>100.113</v>
      </c>
      <c r="KJ21">
        <v>97.302899999999994</v>
      </c>
    </row>
    <row r="22" spans="1:296" x14ac:dyDescent="0.3">
      <c r="A22">
        <v>6</v>
      </c>
      <c r="B22">
        <v>1786038141</v>
      </c>
      <c r="C22">
        <v>907.5</v>
      </c>
      <c r="D22" t="s">
        <v>432</v>
      </c>
      <c r="E22" t="s">
        <v>433</v>
      </c>
      <c r="F22">
        <v>15</v>
      </c>
      <c r="H22">
        <v>1786038133</v>
      </c>
      <c r="I22">
        <f t="shared" si="0"/>
        <v>1.9916567561137455E-3</v>
      </c>
      <c r="J22">
        <f t="shared" si="1"/>
        <v>1.9916567561137453</v>
      </c>
      <c r="K22">
        <f t="shared" si="2"/>
        <v>31.558170697064554</v>
      </c>
      <c r="L22">
        <f t="shared" si="3"/>
        <v>420.03412903225808</v>
      </c>
      <c r="M22">
        <f t="shared" si="4"/>
        <v>114.31023562508588</v>
      </c>
      <c r="N22">
        <f t="shared" si="5"/>
        <v>11.196591412119645</v>
      </c>
      <c r="O22">
        <f t="shared" si="6"/>
        <v>41.141989570771671</v>
      </c>
      <c r="P22">
        <f t="shared" si="7"/>
        <v>0.17270345193998005</v>
      </c>
      <c r="Q22">
        <f t="shared" si="8"/>
        <v>2.8924084232808607</v>
      </c>
      <c r="R22">
        <f t="shared" si="9"/>
        <v>0.16717238064126932</v>
      </c>
      <c r="S22">
        <f t="shared" si="10"/>
        <v>0.10496492642891442</v>
      </c>
      <c r="T22">
        <f t="shared" si="11"/>
        <v>128.28138245137404</v>
      </c>
      <c r="U22">
        <f t="shared" si="12"/>
        <v>25.026227194788611</v>
      </c>
      <c r="V22">
        <f t="shared" si="13"/>
        <v>25.007919354838709</v>
      </c>
      <c r="W22">
        <f t="shared" si="14"/>
        <v>3.1811791677617145</v>
      </c>
      <c r="X22">
        <f t="shared" si="15"/>
        <v>65.158832693661822</v>
      </c>
      <c r="Y22">
        <f t="shared" si="16"/>
        <v>2.045367381079588</v>
      </c>
      <c r="Z22">
        <f t="shared" si="17"/>
        <v>3.1390485319092378</v>
      </c>
      <c r="AA22">
        <f t="shared" si="18"/>
        <v>1.1358117866821265</v>
      </c>
      <c r="AB22">
        <f t="shared" si="19"/>
        <v>-87.832062944616169</v>
      </c>
      <c r="AC22">
        <f t="shared" si="20"/>
        <v>-34.843541086653254</v>
      </c>
      <c r="AD22">
        <f t="shared" si="21"/>
        <v>-2.5454748197186303</v>
      </c>
      <c r="AE22">
        <f t="shared" si="22"/>
        <v>3.0603036003859856</v>
      </c>
      <c r="AF22">
        <f t="shared" si="23"/>
        <v>31.558170697064554</v>
      </c>
      <c r="AG22">
        <f t="shared" si="24"/>
        <v>1.9916567561137453</v>
      </c>
      <c r="AH22">
        <f t="shared" si="25"/>
        <v>31.52360947558736</v>
      </c>
      <c r="AI22">
        <v>467.6855263467271</v>
      </c>
      <c r="AJ22">
        <v>429.03777575757567</v>
      </c>
      <c r="AK22">
        <v>2.004607121644263E-2</v>
      </c>
      <c r="AL22">
        <v>67.091832655587865</v>
      </c>
      <c r="AM22">
        <f t="shared" si="26"/>
        <v>1.9862768676395939</v>
      </c>
      <c r="AN22">
        <v>18.543243127242899</v>
      </c>
      <c r="AO22">
        <v>20.876778787878781</v>
      </c>
      <c r="AP22">
        <v>2.3105557791088339E-5</v>
      </c>
      <c r="AQ22">
        <v>78.25680919154189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52150.557595683422</v>
      </c>
      <c r="AW22" t="s">
        <v>406</v>
      </c>
      <c r="AX22">
        <v>13248.1</v>
      </c>
      <c r="AY22">
        <v>648.50294117647059</v>
      </c>
      <c r="AZ22">
        <v>2580.59</v>
      </c>
      <c r="BA22">
        <f t="shared" si="30"/>
        <v>0.74869973875103346</v>
      </c>
      <c r="BB22">
        <v>-2.3588818996945191</v>
      </c>
      <c r="BC22" t="s">
        <v>434</v>
      </c>
      <c r="BD22">
        <v>13226.8</v>
      </c>
      <c r="BE22">
        <v>833.30988235294114</v>
      </c>
      <c r="BF22">
        <v>1467.41</v>
      </c>
      <c r="BG22">
        <f t="shared" si="31"/>
        <v>0.43212198202755803</v>
      </c>
      <c r="BH22">
        <v>0.5</v>
      </c>
      <c r="BI22">
        <f t="shared" si="32"/>
        <v>672.32864871791048</v>
      </c>
      <c r="BJ22">
        <f t="shared" si="33"/>
        <v>31.558170697064554</v>
      </c>
      <c r="BK22">
        <f t="shared" si="34"/>
        <v>145.26399412894665</v>
      </c>
      <c r="BL22">
        <f t="shared" si="35"/>
        <v>5.0447132754846621E-2</v>
      </c>
      <c r="BM22">
        <f t="shared" si="36"/>
        <v>0.75860189040554449</v>
      </c>
      <c r="BN22">
        <f t="shared" si="37"/>
        <v>544.66896384920233</v>
      </c>
      <c r="BO22" t="s">
        <v>408</v>
      </c>
      <c r="BP22">
        <v>0</v>
      </c>
      <c r="BQ22">
        <f t="shared" si="38"/>
        <v>544.66896384920233</v>
      </c>
      <c r="BR22">
        <f t="shared" si="39"/>
        <v>0.62882291667004975</v>
      </c>
      <c r="BS22">
        <f t="shared" si="40"/>
        <v>0.68719184777150411</v>
      </c>
      <c r="BT22">
        <f t="shared" si="41"/>
        <v>0.54676973233924009</v>
      </c>
      <c r="BU22">
        <f t="shared" si="42"/>
        <v>0.77432488927135312</v>
      </c>
      <c r="BV22">
        <f t="shared" si="43"/>
        <v>0.57615416185118928</v>
      </c>
      <c r="BW22">
        <f t="shared" si="44"/>
        <v>0.44916312600838182</v>
      </c>
      <c r="BX22">
        <f t="shared" si="45"/>
        <v>0.55083687399161818</v>
      </c>
      <c r="DG22">
        <f t="shared" si="46"/>
        <v>800.02251612903217</v>
      </c>
      <c r="DH22">
        <f t="shared" si="47"/>
        <v>672.32864871791048</v>
      </c>
      <c r="DI22">
        <f t="shared" si="48"/>
        <v>0.84038715806527819</v>
      </c>
      <c r="DJ22">
        <f t="shared" si="49"/>
        <v>0.16034721506598709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1786038133</v>
      </c>
      <c r="DQ22">
        <v>420.03412903225808</v>
      </c>
      <c r="DR22">
        <v>458.90625806451612</v>
      </c>
      <c r="DS22">
        <v>20.881929032258061</v>
      </c>
      <c r="DT22">
        <v>18.541941935483869</v>
      </c>
      <c r="DU22">
        <v>430.60903225806442</v>
      </c>
      <c r="DV22">
        <v>21.45996774193549</v>
      </c>
      <c r="DW22">
        <v>500.01996774193549</v>
      </c>
      <c r="DX22">
        <v>97.88991290322582</v>
      </c>
      <c r="DY22">
        <v>5.9245812903225809E-2</v>
      </c>
      <c r="DZ22">
        <v>24.784470967741939</v>
      </c>
      <c r="EA22">
        <v>25.007919354838709</v>
      </c>
      <c r="EB22">
        <v>999.90000000000032</v>
      </c>
      <c r="EC22">
        <v>0</v>
      </c>
      <c r="ED22">
        <v>0</v>
      </c>
      <c r="EE22">
        <v>10000.8064516129</v>
      </c>
      <c r="EF22">
        <v>0</v>
      </c>
      <c r="EG22">
        <v>2177.2858064516131</v>
      </c>
      <c r="EH22">
        <v>-38.872167741935478</v>
      </c>
      <c r="EI22">
        <v>428.99235483870979</v>
      </c>
      <c r="EJ22">
        <v>467.57599999999991</v>
      </c>
      <c r="EK22">
        <v>2.3399948387096772</v>
      </c>
      <c r="EL22">
        <v>458.90625806451612</v>
      </c>
      <c r="EM22">
        <v>18.541941935483869</v>
      </c>
      <c r="EN22">
        <v>2.044130967741935</v>
      </c>
      <c r="EO22">
        <v>1.815068709677419</v>
      </c>
      <c r="EP22">
        <v>17.79038709677419</v>
      </c>
      <c r="EQ22">
        <v>15.91716129032258</v>
      </c>
      <c r="ER22">
        <v>800.02251612903217</v>
      </c>
      <c r="ES22">
        <v>0.9870146129032259</v>
      </c>
      <c r="ET22">
        <v>1.298567096774194E-2</v>
      </c>
      <c r="EU22">
        <v>0</v>
      </c>
      <c r="EV22">
        <v>833.16512903225805</v>
      </c>
      <c r="EW22">
        <v>5.0010700000000003</v>
      </c>
      <c r="EX22">
        <v>11042.177419354841</v>
      </c>
      <c r="EY22">
        <v>7246.8654838709681</v>
      </c>
      <c r="EZ22">
        <v>40.625</v>
      </c>
      <c r="FA22">
        <v>44.436999999999969</v>
      </c>
      <c r="FB22">
        <v>42.386999999999993</v>
      </c>
      <c r="FC22">
        <v>43.864838709677407</v>
      </c>
      <c r="FD22">
        <v>42.186999999999983</v>
      </c>
      <c r="FE22">
        <v>784.69774193548392</v>
      </c>
      <c r="FF22">
        <v>10.32451612903226</v>
      </c>
      <c r="FG22">
        <v>0</v>
      </c>
      <c r="FH22">
        <v>180.70000004768369</v>
      </c>
      <c r="FI22">
        <v>0</v>
      </c>
      <c r="FJ22">
        <v>833.30988235294114</v>
      </c>
      <c r="FK22">
        <v>3.9450980535711571</v>
      </c>
      <c r="FL22">
        <v>532.72058739128533</v>
      </c>
      <c r="FM22">
        <v>11059.74117647059</v>
      </c>
      <c r="FN22">
        <v>10</v>
      </c>
      <c r="FO22">
        <v>1786038038.5</v>
      </c>
      <c r="FP22" t="s">
        <v>435</v>
      </c>
      <c r="FQ22">
        <v>1786038038.5</v>
      </c>
      <c r="FR22">
        <v>1786038038</v>
      </c>
      <c r="FS22">
        <v>49</v>
      </c>
      <c r="FT22">
        <v>-4.1000000000000002E-2</v>
      </c>
      <c r="FU22">
        <v>-5.0000000000000001E-3</v>
      </c>
      <c r="FV22">
        <v>-10.722</v>
      </c>
      <c r="FW22">
        <v>-0.64400000000000002</v>
      </c>
      <c r="FX22">
        <v>460</v>
      </c>
      <c r="FY22">
        <v>18</v>
      </c>
      <c r="FZ22">
        <v>0.27</v>
      </c>
      <c r="GA22">
        <v>0.12</v>
      </c>
      <c r="GB22">
        <v>420.03276666666659</v>
      </c>
      <c r="GC22">
        <v>-4.8026696329382008E-2</v>
      </c>
      <c r="GD22">
        <v>6.1916440107261717E-2</v>
      </c>
      <c r="GE22">
        <v>-1</v>
      </c>
      <c r="GF22">
        <v>833.04544117647049</v>
      </c>
      <c r="GG22">
        <v>2.6276088719319568</v>
      </c>
      <c r="GH22">
        <v>0.35080958394384532</v>
      </c>
      <c r="GI22">
        <v>1</v>
      </c>
      <c r="GJ22">
        <v>2.3424705000000001</v>
      </c>
      <c r="GK22">
        <v>-5.383879924953433E-2</v>
      </c>
      <c r="GL22">
        <v>6.5914429186635743E-3</v>
      </c>
      <c r="GM22">
        <v>1</v>
      </c>
      <c r="GN22">
        <v>2</v>
      </c>
      <c r="GO22">
        <v>2</v>
      </c>
      <c r="GP22" t="s">
        <v>411</v>
      </c>
      <c r="GQ22">
        <v>3.1302599999999998</v>
      </c>
      <c r="GR22">
        <v>2.73481</v>
      </c>
      <c r="GS22">
        <v>9.2159199999999997E-2</v>
      </c>
      <c r="GT22">
        <v>9.7404099999999993E-2</v>
      </c>
      <c r="GU22">
        <v>0.103254</v>
      </c>
      <c r="GV22">
        <v>9.3400300000000006E-2</v>
      </c>
      <c r="GW22">
        <v>22705.3</v>
      </c>
      <c r="GX22">
        <v>29969.8</v>
      </c>
      <c r="GY22">
        <v>27134.7</v>
      </c>
      <c r="GZ22">
        <v>34150.9</v>
      </c>
      <c r="HA22">
        <v>35616.800000000003</v>
      </c>
      <c r="HB22">
        <v>39069.4</v>
      </c>
      <c r="HC22">
        <v>40041</v>
      </c>
      <c r="HD22">
        <v>43171.9</v>
      </c>
      <c r="HE22">
        <v>1.9592000000000001</v>
      </c>
      <c r="HF22">
        <v>1.7272000000000001</v>
      </c>
      <c r="HG22">
        <v>-9.7304600000000005E-2</v>
      </c>
      <c r="HH22">
        <v>0</v>
      </c>
      <c r="HI22">
        <v>26.613600000000002</v>
      </c>
      <c r="HJ22">
        <v>999.9</v>
      </c>
      <c r="HK22">
        <v>54.2</v>
      </c>
      <c r="HL22">
        <v>40</v>
      </c>
      <c r="HM22">
        <v>41.0505</v>
      </c>
      <c r="HN22">
        <v>61.408999999999999</v>
      </c>
      <c r="HO22">
        <v>4.9078499999999998</v>
      </c>
      <c r="HP22">
        <v>1</v>
      </c>
      <c r="HQ22">
        <v>0.63939000000000001</v>
      </c>
      <c r="HR22">
        <v>6.3110200000000001</v>
      </c>
      <c r="HS22">
        <v>20.126899999999999</v>
      </c>
      <c r="HT22">
        <v>5.2100999999999997</v>
      </c>
      <c r="HU22">
        <v>11.914099999999999</v>
      </c>
      <c r="HV22">
        <v>4.984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1.8674599999999999</v>
      </c>
      <c r="IC22">
        <v>1.8631</v>
      </c>
      <c r="ID22">
        <v>1.8626400000000001</v>
      </c>
      <c r="IE22">
        <v>1.8621799999999999</v>
      </c>
      <c r="IF22">
        <v>1.8621799999999999</v>
      </c>
      <c r="IG22">
        <v>1.8626400000000001</v>
      </c>
      <c r="IH22">
        <v>1.86365</v>
      </c>
      <c r="II22">
        <v>1.8615699999999999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-10.574999999999999</v>
      </c>
      <c r="IX22">
        <v>-0.57820000000000005</v>
      </c>
      <c r="IY22">
        <v>-8.5697996675241939</v>
      </c>
      <c r="IZ22">
        <v>-5.6215304933332991E-3</v>
      </c>
      <c r="JA22">
        <v>2.3979931213773931E-6</v>
      </c>
      <c r="JB22">
        <v>-3.6297174575716598E-10</v>
      </c>
      <c r="JC22">
        <v>-0.90186735422324693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1.7</v>
      </c>
      <c r="JL22">
        <v>1.7</v>
      </c>
      <c r="JM22">
        <v>1.1792</v>
      </c>
      <c r="JN22">
        <v>2.5476100000000002</v>
      </c>
      <c r="JO22">
        <v>1.50024</v>
      </c>
      <c r="JP22">
        <v>2.2717299999999998</v>
      </c>
      <c r="JQ22">
        <v>1.4477500000000001</v>
      </c>
      <c r="JR22">
        <v>2.4560499999999998</v>
      </c>
      <c r="JS22">
        <v>45.148400000000002</v>
      </c>
      <c r="JT22">
        <v>23.973700000000001</v>
      </c>
      <c r="JU22">
        <v>18</v>
      </c>
      <c r="JV22">
        <v>546.00300000000004</v>
      </c>
      <c r="JW22">
        <v>409.399</v>
      </c>
      <c r="JX22">
        <v>20.6403</v>
      </c>
      <c r="JY22">
        <v>34.821300000000001</v>
      </c>
      <c r="JZ22">
        <v>30.000299999999999</v>
      </c>
      <c r="KA22">
        <v>34.583599999999997</v>
      </c>
      <c r="KB22">
        <v>34.556800000000003</v>
      </c>
      <c r="KC22">
        <v>23.592700000000001</v>
      </c>
      <c r="KD22">
        <v>53.450800000000001</v>
      </c>
      <c r="KE22">
        <v>0</v>
      </c>
      <c r="KF22">
        <v>20.6432</v>
      </c>
      <c r="KG22">
        <v>458.94799999999998</v>
      </c>
      <c r="KH22">
        <v>18.518699999999999</v>
      </c>
      <c r="KI22">
        <v>100.102</v>
      </c>
      <c r="KJ22">
        <v>97.288499999999999</v>
      </c>
    </row>
    <row r="23" spans="1:296" x14ac:dyDescent="0.3">
      <c r="A23">
        <v>7</v>
      </c>
      <c r="B23">
        <v>1786038322.5</v>
      </c>
      <c r="C23">
        <v>1089</v>
      </c>
      <c r="D23" t="s">
        <v>436</v>
      </c>
      <c r="E23" t="s">
        <v>437</v>
      </c>
      <c r="F23">
        <v>15</v>
      </c>
      <c r="H23">
        <v>1786038314.5</v>
      </c>
      <c r="I23">
        <f t="shared" si="0"/>
        <v>1.7110073674532543E-3</v>
      </c>
      <c r="J23">
        <f t="shared" si="1"/>
        <v>1.7110073674532542</v>
      </c>
      <c r="K23">
        <f t="shared" si="2"/>
        <v>27.126205409400708</v>
      </c>
      <c r="L23">
        <f t="shared" si="3"/>
        <v>420.1320322580645</v>
      </c>
      <c r="M23">
        <f t="shared" si="4"/>
        <v>107.79027285141997</v>
      </c>
      <c r="N23">
        <f t="shared" si="5"/>
        <v>10.557876427433381</v>
      </c>
      <c r="O23">
        <f t="shared" si="6"/>
        <v>41.151227865443396</v>
      </c>
      <c r="P23">
        <f t="shared" si="7"/>
        <v>0.14462393894000311</v>
      </c>
      <c r="Q23">
        <f t="shared" si="8"/>
        <v>2.8924423371104919</v>
      </c>
      <c r="R23">
        <f t="shared" si="9"/>
        <v>0.14072340424173135</v>
      </c>
      <c r="S23">
        <f t="shared" si="10"/>
        <v>8.8293812964788748E-2</v>
      </c>
      <c r="T23">
        <f t="shared" si="11"/>
        <v>96.347517095865172</v>
      </c>
      <c r="U23">
        <f t="shared" si="12"/>
        <v>24.896779815885573</v>
      </c>
      <c r="V23">
        <f t="shared" si="13"/>
        <v>25.0326870967742</v>
      </c>
      <c r="W23">
        <f t="shared" si="14"/>
        <v>3.1858793449394711</v>
      </c>
      <c r="X23">
        <f t="shared" si="15"/>
        <v>64.610933803615609</v>
      </c>
      <c r="Y23">
        <f t="shared" si="16"/>
        <v>2.0266481127273126</v>
      </c>
      <c r="Z23">
        <f t="shared" si="17"/>
        <v>3.136695282701365</v>
      </c>
      <c r="AA23">
        <f t="shared" si="18"/>
        <v>1.1592312322121585</v>
      </c>
      <c r="AB23">
        <f t="shared" si="19"/>
        <v>-75.455424904688513</v>
      </c>
      <c r="AC23">
        <f t="shared" si="20"/>
        <v>-40.664437023670814</v>
      </c>
      <c r="AD23">
        <f t="shared" si="21"/>
        <v>-2.9708649783257104</v>
      </c>
      <c r="AE23">
        <f t="shared" si="22"/>
        <v>-22.743209810819863</v>
      </c>
      <c r="AF23">
        <f t="shared" si="23"/>
        <v>27.126205409400708</v>
      </c>
      <c r="AG23">
        <f t="shared" si="24"/>
        <v>1.7110073674532542</v>
      </c>
      <c r="AH23">
        <f t="shared" si="25"/>
        <v>27.117434673406159</v>
      </c>
      <c r="AI23">
        <v>462.07439034469678</v>
      </c>
      <c r="AJ23">
        <v>428.93508484848479</v>
      </c>
      <c r="AK23">
        <v>-3.9110365644104139E-3</v>
      </c>
      <c r="AL23">
        <v>67.093294323475803</v>
      </c>
      <c r="AM23">
        <f t="shared" si="26"/>
        <v>1.679087729046411</v>
      </c>
      <c r="AN23">
        <v>18.682111929281071</v>
      </c>
      <c r="AO23">
        <v>20.660358787878781</v>
      </c>
      <c r="AP23">
        <v>-8.0664081562229807E-4</v>
      </c>
      <c r="AQ23">
        <v>78.256007578417922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52153.703536607718</v>
      </c>
      <c r="AW23" t="s">
        <v>406</v>
      </c>
      <c r="AX23">
        <v>13248.1</v>
      </c>
      <c r="AY23">
        <v>648.50294117647059</v>
      </c>
      <c r="AZ23">
        <v>2580.59</v>
      </c>
      <c r="BA23">
        <f t="shared" si="30"/>
        <v>0.74869973875103346</v>
      </c>
      <c r="BB23">
        <v>-2.3588818996945191</v>
      </c>
      <c r="BC23" t="s">
        <v>438</v>
      </c>
      <c r="BD23">
        <v>13235</v>
      </c>
      <c r="BE23">
        <v>838.70117647058828</v>
      </c>
      <c r="BF23">
        <v>1662.15</v>
      </c>
      <c r="BG23">
        <f t="shared" si="31"/>
        <v>0.49541186025894879</v>
      </c>
      <c r="BH23">
        <v>0.5</v>
      </c>
      <c r="BI23">
        <f t="shared" si="32"/>
        <v>504.31469770302215</v>
      </c>
      <c r="BJ23">
        <f t="shared" si="33"/>
        <v>27.126205409400708</v>
      </c>
      <c r="BK23">
        <f t="shared" si="34"/>
        <v>124.9217412724918</v>
      </c>
      <c r="BL23">
        <f t="shared" si="35"/>
        <v>5.8465651394634215E-2</v>
      </c>
      <c r="BM23">
        <f t="shared" si="36"/>
        <v>0.55256144150648256</v>
      </c>
      <c r="BN23">
        <f t="shared" si="37"/>
        <v>569.43224346188356</v>
      </c>
      <c r="BO23" t="s">
        <v>408</v>
      </c>
      <c r="BP23">
        <v>0</v>
      </c>
      <c r="BQ23">
        <f t="shared" si="38"/>
        <v>569.43224346188356</v>
      </c>
      <c r="BR23">
        <f t="shared" si="39"/>
        <v>0.65741224109624063</v>
      </c>
      <c r="BS23">
        <f t="shared" si="40"/>
        <v>0.75357869733737404</v>
      </c>
      <c r="BT23">
        <f t="shared" si="41"/>
        <v>0.45667228093580597</v>
      </c>
      <c r="BU23">
        <f t="shared" si="42"/>
        <v>0.81236246518105848</v>
      </c>
      <c r="BV23">
        <f t="shared" si="43"/>
        <v>0.47536160226612612</v>
      </c>
      <c r="BW23">
        <f t="shared" si="44"/>
        <v>0.51163873413852645</v>
      </c>
      <c r="BX23">
        <f t="shared" si="45"/>
        <v>0.48836126586147355</v>
      </c>
      <c r="DG23">
        <f t="shared" si="46"/>
        <v>600.01358064516126</v>
      </c>
      <c r="DH23">
        <f t="shared" si="47"/>
        <v>504.31469770302215</v>
      </c>
      <c r="DI23">
        <f t="shared" si="48"/>
        <v>0.84050547182742197</v>
      </c>
      <c r="DJ23">
        <f t="shared" si="49"/>
        <v>0.16057556062692455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1786038314.5</v>
      </c>
      <c r="DQ23">
        <v>420.1320322580645</v>
      </c>
      <c r="DR23">
        <v>453.54577419354843</v>
      </c>
      <c r="DS23">
        <v>20.690993548387102</v>
      </c>
      <c r="DT23">
        <v>18.68028709677419</v>
      </c>
      <c r="DU23">
        <v>430.68687096774192</v>
      </c>
      <c r="DV23">
        <v>21.28239032258065</v>
      </c>
      <c r="DW23">
        <v>500.00483870967747</v>
      </c>
      <c r="DX23">
        <v>97.888661290322602</v>
      </c>
      <c r="DY23">
        <v>5.9661393548387107E-2</v>
      </c>
      <c r="DZ23">
        <v>24.771912903225811</v>
      </c>
      <c r="EA23">
        <v>25.0326870967742</v>
      </c>
      <c r="EB23">
        <v>999.90000000000032</v>
      </c>
      <c r="EC23">
        <v>0</v>
      </c>
      <c r="ED23">
        <v>0</v>
      </c>
      <c r="EE23">
        <v>10001.129032258061</v>
      </c>
      <c r="EF23">
        <v>0</v>
      </c>
      <c r="EG23">
        <v>2153.84</v>
      </c>
      <c r="EH23">
        <v>-33.413822580645167</v>
      </c>
      <c r="EI23">
        <v>429.00870967741929</v>
      </c>
      <c r="EJ23">
        <v>462.17954838709682</v>
      </c>
      <c r="EK23">
        <v>2.010719354838709</v>
      </c>
      <c r="EL23">
        <v>453.54577419354843</v>
      </c>
      <c r="EM23">
        <v>18.68028709677419</v>
      </c>
      <c r="EN23">
        <v>2.0254151612903231</v>
      </c>
      <c r="EO23">
        <v>1.828587419354839</v>
      </c>
      <c r="EP23">
        <v>17.644406451612902</v>
      </c>
      <c r="EQ23">
        <v>16.033335483870971</v>
      </c>
      <c r="ER23">
        <v>600.01358064516126</v>
      </c>
      <c r="ES23">
        <v>0.98301003225806471</v>
      </c>
      <c r="ET23">
        <v>1.6990048387096768E-2</v>
      </c>
      <c r="EU23">
        <v>0</v>
      </c>
      <c r="EV23">
        <v>838.63551612903234</v>
      </c>
      <c r="EW23">
        <v>5.0010700000000003</v>
      </c>
      <c r="EX23">
        <v>9682.1183870967761</v>
      </c>
      <c r="EY23">
        <v>5415.2551612903226</v>
      </c>
      <c r="EZ23">
        <v>40.151000000000003</v>
      </c>
      <c r="FA23">
        <v>44.217483870967733</v>
      </c>
      <c r="FB23">
        <v>42.074193548387072</v>
      </c>
      <c r="FC23">
        <v>43.695129032258038</v>
      </c>
      <c r="FD23">
        <v>41.826225806451603</v>
      </c>
      <c r="FE23">
        <v>584.90354838709675</v>
      </c>
      <c r="FF23">
        <v>10.10967741935484</v>
      </c>
      <c r="FG23">
        <v>0</v>
      </c>
      <c r="FH23">
        <v>180.89999985694891</v>
      </c>
      <c r="FI23">
        <v>0</v>
      </c>
      <c r="FJ23">
        <v>838.70117647058828</v>
      </c>
      <c r="FK23">
        <v>4.1539215990979788</v>
      </c>
      <c r="FL23">
        <v>307.62009669742127</v>
      </c>
      <c r="FM23">
        <v>9696.3870588235295</v>
      </c>
      <c r="FN23">
        <v>10</v>
      </c>
      <c r="FO23">
        <v>1786038247</v>
      </c>
      <c r="FP23" t="s">
        <v>439</v>
      </c>
      <c r="FQ23">
        <v>1786038246</v>
      </c>
      <c r="FR23">
        <v>1786038247</v>
      </c>
      <c r="FS23">
        <v>50</v>
      </c>
      <c r="FT23">
        <v>0.02</v>
      </c>
      <c r="FU23">
        <v>-8.9999999999999993E-3</v>
      </c>
      <c r="FV23">
        <v>-10.685</v>
      </c>
      <c r="FW23">
        <v>-0.64400000000000002</v>
      </c>
      <c r="FX23">
        <v>455</v>
      </c>
      <c r="FY23">
        <v>19</v>
      </c>
      <c r="FZ23">
        <v>0.2</v>
      </c>
      <c r="GA23">
        <v>0.11</v>
      </c>
      <c r="GB23">
        <v>420.13459999999998</v>
      </c>
      <c r="GC23">
        <v>-0.75694771968735708</v>
      </c>
      <c r="GD23">
        <v>8.0935200417782113E-2</v>
      </c>
      <c r="GE23">
        <v>-1</v>
      </c>
      <c r="GF23">
        <v>838.52152941176473</v>
      </c>
      <c r="GG23">
        <v>1.4914896869626979</v>
      </c>
      <c r="GH23">
        <v>0.28138786663231569</v>
      </c>
      <c r="GI23">
        <v>1</v>
      </c>
      <c r="GJ23">
        <v>2.0325947499999999</v>
      </c>
      <c r="GK23">
        <v>-0.44490405253283771</v>
      </c>
      <c r="GL23">
        <v>4.3800408159485243E-2</v>
      </c>
      <c r="GM23">
        <v>1</v>
      </c>
      <c r="GN23">
        <v>2</v>
      </c>
      <c r="GO23">
        <v>2</v>
      </c>
      <c r="GP23" t="s">
        <v>411</v>
      </c>
      <c r="GQ23">
        <v>3.13036</v>
      </c>
      <c r="GR23">
        <v>2.7355100000000001</v>
      </c>
      <c r="GS23">
        <v>9.2132400000000003E-2</v>
      </c>
      <c r="GT23">
        <v>9.6555000000000002E-2</v>
      </c>
      <c r="GU23">
        <v>0.10253</v>
      </c>
      <c r="GV23">
        <v>9.3899300000000005E-2</v>
      </c>
      <c r="GW23">
        <v>22702.1</v>
      </c>
      <c r="GX23">
        <v>29989</v>
      </c>
      <c r="GY23">
        <v>27130.5</v>
      </c>
      <c r="GZ23">
        <v>34141.199999999997</v>
      </c>
      <c r="HA23">
        <v>35641</v>
      </c>
      <c r="HB23">
        <v>39038</v>
      </c>
      <c r="HC23">
        <v>40035.5</v>
      </c>
      <c r="HD23">
        <v>43160.9</v>
      </c>
      <c r="HE23">
        <v>1.9572000000000001</v>
      </c>
      <c r="HF23">
        <v>1.7248000000000001</v>
      </c>
      <c r="HG23">
        <v>-9.8258300000000007E-2</v>
      </c>
      <c r="HH23">
        <v>0</v>
      </c>
      <c r="HI23">
        <v>26.649699999999999</v>
      </c>
      <c r="HJ23">
        <v>999.9</v>
      </c>
      <c r="HK23">
        <v>53.8</v>
      </c>
      <c r="HL23">
        <v>40.1</v>
      </c>
      <c r="HM23">
        <v>40.964399999999998</v>
      </c>
      <c r="HN23">
        <v>61.429000000000002</v>
      </c>
      <c r="HO23">
        <v>4.9719499999999996</v>
      </c>
      <c r="HP23">
        <v>1</v>
      </c>
      <c r="HQ23">
        <v>0.64780499999999996</v>
      </c>
      <c r="HR23">
        <v>6.2683400000000002</v>
      </c>
      <c r="HS23">
        <v>20.1614</v>
      </c>
      <c r="HT23">
        <v>5.2112999999999996</v>
      </c>
      <c r="HU23">
        <v>11.914099999999999</v>
      </c>
      <c r="HV23">
        <v>4.9855999999999998</v>
      </c>
      <c r="HW23">
        <v>3.2707999999999999</v>
      </c>
      <c r="HX23">
        <v>9999</v>
      </c>
      <c r="HY23">
        <v>9999</v>
      </c>
      <c r="HZ23">
        <v>9999</v>
      </c>
      <c r="IA23">
        <v>999.9</v>
      </c>
      <c r="IB23">
        <v>1.8672200000000001</v>
      </c>
      <c r="IC23">
        <v>1.8629500000000001</v>
      </c>
      <c r="ID23">
        <v>1.86246</v>
      </c>
      <c r="IE23">
        <v>1.8620300000000001</v>
      </c>
      <c r="IF23">
        <v>1.8620300000000001</v>
      </c>
      <c r="IG23">
        <v>1.86249</v>
      </c>
      <c r="IH23">
        <v>1.8633999999999999</v>
      </c>
      <c r="II23">
        <v>1.8614200000000001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-10.554</v>
      </c>
      <c r="IX23">
        <v>-0.59230000000000005</v>
      </c>
      <c r="IY23">
        <v>-8.5494922502821016</v>
      </c>
      <c r="IZ23">
        <v>-5.6215304933332991E-3</v>
      </c>
      <c r="JA23">
        <v>2.3979931213773931E-6</v>
      </c>
      <c r="JB23">
        <v>-3.6297174575716598E-10</v>
      </c>
      <c r="JC23">
        <v>-0.91059272164404437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1.3</v>
      </c>
      <c r="JL23">
        <v>1.3</v>
      </c>
      <c r="JM23">
        <v>1.16821</v>
      </c>
      <c r="JN23">
        <v>2.5476100000000002</v>
      </c>
      <c r="JO23">
        <v>1.50024</v>
      </c>
      <c r="JP23">
        <v>2.2705099999999998</v>
      </c>
      <c r="JQ23">
        <v>1.4477500000000001</v>
      </c>
      <c r="JR23">
        <v>2.4499499999999999</v>
      </c>
      <c r="JS23">
        <v>45.120100000000001</v>
      </c>
      <c r="JT23">
        <v>16.251000000000001</v>
      </c>
      <c r="JU23">
        <v>18</v>
      </c>
      <c r="JV23">
        <v>545.50400000000002</v>
      </c>
      <c r="JW23">
        <v>408.61099999999999</v>
      </c>
      <c r="JX23">
        <v>20.836300000000001</v>
      </c>
      <c r="JY23">
        <v>34.923099999999998</v>
      </c>
      <c r="JZ23">
        <v>30.0002</v>
      </c>
      <c r="KA23">
        <v>34.6875</v>
      </c>
      <c r="KB23">
        <v>34.660200000000003</v>
      </c>
      <c r="KC23">
        <v>23.380700000000001</v>
      </c>
      <c r="KD23">
        <v>53.2879</v>
      </c>
      <c r="KE23">
        <v>0</v>
      </c>
      <c r="KF23">
        <v>20.848400000000002</v>
      </c>
      <c r="KG23">
        <v>453.601</v>
      </c>
      <c r="KH23">
        <v>18.759</v>
      </c>
      <c r="KI23">
        <v>100.08799999999999</v>
      </c>
      <c r="KJ23">
        <v>97.262500000000003</v>
      </c>
    </row>
    <row r="24" spans="1:296" x14ac:dyDescent="0.3">
      <c r="A24">
        <v>8</v>
      </c>
      <c r="B24">
        <v>1786038504</v>
      </c>
      <c r="C24">
        <v>1270.5</v>
      </c>
      <c r="D24" t="s">
        <v>440</v>
      </c>
      <c r="E24" t="s">
        <v>441</v>
      </c>
      <c r="F24">
        <v>15</v>
      </c>
      <c r="H24">
        <v>1786038496.25</v>
      </c>
      <c r="I24">
        <f t="shared" si="0"/>
        <v>1.2801053669546495E-3</v>
      </c>
      <c r="J24">
        <f t="shared" si="1"/>
        <v>1.2801053669546496</v>
      </c>
      <c r="K24">
        <f t="shared" si="2"/>
        <v>20.095729915573518</v>
      </c>
      <c r="L24">
        <f t="shared" si="3"/>
        <v>420.6277</v>
      </c>
      <c r="M24">
        <f t="shared" si="4"/>
        <v>112.75487658415656</v>
      </c>
      <c r="N24">
        <f t="shared" si="5"/>
        <v>11.044218039993956</v>
      </c>
      <c r="O24">
        <f t="shared" si="6"/>
        <v>41.200027645756968</v>
      </c>
      <c r="P24">
        <f t="shared" si="7"/>
        <v>0.10809637437179802</v>
      </c>
      <c r="Q24">
        <f t="shared" si="8"/>
        <v>2.8922630364113067</v>
      </c>
      <c r="R24">
        <f t="shared" si="9"/>
        <v>0.10590108857229866</v>
      </c>
      <c r="S24">
        <f t="shared" si="10"/>
        <v>6.6381704751613813E-2</v>
      </c>
      <c r="T24">
        <f t="shared" si="11"/>
        <v>64.419032406908073</v>
      </c>
      <c r="U24">
        <f t="shared" si="12"/>
        <v>24.756214617122378</v>
      </c>
      <c r="V24">
        <f t="shared" si="13"/>
        <v>24.957023333333328</v>
      </c>
      <c r="W24">
        <f t="shared" si="14"/>
        <v>3.1715396404255611</v>
      </c>
      <c r="X24">
        <f t="shared" si="15"/>
        <v>64.608735495170137</v>
      </c>
      <c r="Y24">
        <f t="shared" si="16"/>
        <v>2.018928626199787</v>
      </c>
      <c r="Z24">
        <f t="shared" si="17"/>
        <v>3.1248539546958218</v>
      </c>
      <c r="AA24">
        <f t="shared" si="18"/>
        <v>1.1526110142257742</v>
      </c>
      <c r="AB24">
        <f t="shared" si="19"/>
        <v>-56.452646682700042</v>
      </c>
      <c r="AC24">
        <f t="shared" si="20"/>
        <v>-38.73659498063364</v>
      </c>
      <c r="AD24">
        <f t="shared" si="21"/>
        <v>-2.8282158763018845</v>
      </c>
      <c r="AE24">
        <f t="shared" si="22"/>
        <v>-33.598425132727492</v>
      </c>
      <c r="AF24">
        <f t="shared" si="23"/>
        <v>20.095729915573518</v>
      </c>
      <c r="AG24">
        <f t="shared" si="24"/>
        <v>1.2801053669546496</v>
      </c>
      <c r="AH24">
        <f t="shared" si="25"/>
        <v>19.942318931309259</v>
      </c>
      <c r="AI24">
        <v>453.83557289492279</v>
      </c>
      <c r="AJ24">
        <v>429.45039999999977</v>
      </c>
      <c r="AK24">
        <v>-1.9953293570909858E-3</v>
      </c>
      <c r="AL24">
        <v>67.093294323475803</v>
      </c>
      <c r="AM24">
        <f t="shared" si="26"/>
        <v>1.2661723364155362</v>
      </c>
      <c r="AN24">
        <v>19.224812083211059</v>
      </c>
      <c r="AO24">
        <v>20.673046060606062</v>
      </c>
      <c r="AP24">
        <v>6.4154755003592752E-3</v>
      </c>
      <c r="AQ24">
        <v>78.256007578417922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52159.667086298396</v>
      </c>
      <c r="AW24" t="s">
        <v>406</v>
      </c>
      <c r="AX24">
        <v>13248.1</v>
      </c>
      <c r="AY24">
        <v>648.50294117647059</v>
      </c>
      <c r="AZ24">
        <v>2580.59</v>
      </c>
      <c r="BA24">
        <f t="shared" si="30"/>
        <v>0.74869973875103346</v>
      </c>
      <c r="BB24">
        <v>-2.3588818996945191</v>
      </c>
      <c r="BC24" t="s">
        <v>442</v>
      </c>
      <c r="BD24">
        <v>13232.5</v>
      </c>
      <c r="BE24">
        <v>826.29164705882351</v>
      </c>
      <c r="BF24">
        <v>1896.88</v>
      </c>
      <c r="BG24">
        <f t="shared" si="31"/>
        <v>0.56439434911073794</v>
      </c>
      <c r="BH24">
        <v>0.5</v>
      </c>
      <c r="BI24">
        <f t="shared" si="32"/>
        <v>336.33258093622163</v>
      </c>
      <c r="BJ24">
        <f t="shared" si="33"/>
        <v>20.095729915573518</v>
      </c>
      <c r="BK24">
        <f t="shared" si="34"/>
        <v>94.9121040511167</v>
      </c>
      <c r="BL24">
        <f t="shared" si="35"/>
        <v>6.6763118080213818E-2</v>
      </c>
      <c r="BM24">
        <f t="shared" si="36"/>
        <v>0.36043924760659607</v>
      </c>
      <c r="BN24">
        <f t="shared" si="37"/>
        <v>594.64124297420051</v>
      </c>
      <c r="BO24" t="s">
        <v>408</v>
      </c>
      <c r="BP24">
        <v>0</v>
      </c>
      <c r="BQ24">
        <f t="shared" si="38"/>
        <v>594.64124297420051</v>
      </c>
      <c r="BR24">
        <f t="shared" si="39"/>
        <v>0.68651615127251042</v>
      </c>
      <c r="BS24">
        <f t="shared" si="40"/>
        <v>0.82211372312885822</v>
      </c>
      <c r="BT24">
        <f t="shared" si="41"/>
        <v>0.34427373696385755</v>
      </c>
      <c r="BU24">
        <f t="shared" si="42"/>
        <v>0.85758412922943261</v>
      </c>
      <c r="BV24">
        <f t="shared" si="43"/>
        <v>0.35387121759219226</v>
      </c>
      <c r="BW24">
        <f t="shared" si="44"/>
        <v>0.59163459769633853</v>
      </c>
      <c r="BX24">
        <f t="shared" si="45"/>
        <v>0.40836540230366147</v>
      </c>
      <c r="DG24">
        <f t="shared" si="46"/>
        <v>400.04299999999989</v>
      </c>
      <c r="DH24">
        <f t="shared" si="47"/>
        <v>336.33258093622163</v>
      </c>
      <c r="DI24">
        <f t="shared" si="48"/>
        <v>0.84074107267524179</v>
      </c>
      <c r="DJ24">
        <f t="shared" si="49"/>
        <v>0.16103027026321692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1786038496.25</v>
      </c>
      <c r="DQ24">
        <v>420.6277</v>
      </c>
      <c r="DR24">
        <v>445.38749999999999</v>
      </c>
      <c r="DS24">
        <v>20.612056666666671</v>
      </c>
      <c r="DT24">
        <v>19.10766666666666</v>
      </c>
      <c r="DU24">
        <v>431.18433333333343</v>
      </c>
      <c r="DV24">
        <v>21.252056666666672</v>
      </c>
      <c r="DW24">
        <v>500.02449999999999</v>
      </c>
      <c r="DX24">
        <v>97.889636666666689</v>
      </c>
      <c r="DY24">
        <v>5.928026333333334E-2</v>
      </c>
      <c r="DZ24">
        <v>24.708596666666679</v>
      </c>
      <c r="EA24">
        <v>24.957023333333328</v>
      </c>
      <c r="EB24">
        <v>999.9000000000002</v>
      </c>
      <c r="EC24">
        <v>0</v>
      </c>
      <c r="ED24">
        <v>0</v>
      </c>
      <c r="EE24">
        <v>10000</v>
      </c>
      <c r="EF24">
        <v>0</v>
      </c>
      <c r="EG24">
        <v>1438.163066666667</v>
      </c>
      <c r="EH24">
        <v>-24.75977</v>
      </c>
      <c r="EI24">
        <v>429.50116666666668</v>
      </c>
      <c r="EJ24">
        <v>454.06360000000012</v>
      </c>
      <c r="EK24">
        <v>1.5522076666666671</v>
      </c>
      <c r="EL24">
        <v>445.38749999999999</v>
      </c>
      <c r="EM24">
        <v>19.10766666666666</v>
      </c>
      <c r="EN24">
        <v>2.0223870000000002</v>
      </c>
      <c r="EO24">
        <v>1.870441333333333</v>
      </c>
      <c r="EP24">
        <v>17.620693333333332</v>
      </c>
      <c r="EQ24">
        <v>16.388116666666669</v>
      </c>
      <c r="ER24">
        <v>400.04299999999989</v>
      </c>
      <c r="ES24">
        <v>0.97498070000000003</v>
      </c>
      <c r="ET24">
        <v>2.5019363333333329E-2</v>
      </c>
      <c r="EU24">
        <v>0</v>
      </c>
      <c r="EV24">
        <v>826.18813333333355</v>
      </c>
      <c r="EW24">
        <v>5.0010700000000003</v>
      </c>
      <c r="EX24">
        <v>6906.9493333333339</v>
      </c>
      <c r="EY24">
        <v>3584.0369999999998</v>
      </c>
      <c r="EZ24">
        <v>39.616599999999977</v>
      </c>
      <c r="FA24">
        <v>43.883200000000002</v>
      </c>
      <c r="FB24">
        <v>41.699599999999982</v>
      </c>
      <c r="FC24">
        <v>43.441199999999967</v>
      </c>
      <c r="FD24">
        <v>41.436999999999983</v>
      </c>
      <c r="FE24">
        <v>385.15866666666659</v>
      </c>
      <c r="FF24">
        <v>9.8820000000000014</v>
      </c>
      <c r="FG24">
        <v>0</v>
      </c>
      <c r="FH24">
        <v>180.70000004768369</v>
      </c>
      <c r="FI24">
        <v>0</v>
      </c>
      <c r="FJ24">
        <v>826.29164705882351</v>
      </c>
      <c r="FK24">
        <v>1.533578443788447</v>
      </c>
      <c r="FL24">
        <v>19225.497491380189</v>
      </c>
      <c r="FM24">
        <v>7434.6588235294112</v>
      </c>
      <c r="FN24">
        <v>10</v>
      </c>
      <c r="FO24">
        <v>1786038528.5</v>
      </c>
      <c r="FP24" t="s">
        <v>443</v>
      </c>
      <c r="FQ24">
        <v>1786038246</v>
      </c>
      <c r="FR24">
        <v>1786038528.5</v>
      </c>
      <c r="FS24">
        <v>51</v>
      </c>
      <c r="FT24">
        <v>0.02</v>
      </c>
      <c r="FU24">
        <v>-1.2999999999999999E-2</v>
      </c>
      <c r="FV24">
        <v>-10.685</v>
      </c>
      <c r="FW24">
        <v>-0.64</v>
      </c>
      <c r="FX24">
        <v>455</v>
      </c>
      <c r="FY24">
        <v>19</v>
      </c>
      <c r="FZ24">
        <v>0.2</v>
      </c>
      <c r="GA24">
        <v>0.18</v>
      </c>
      <c r="GB24">
        <v>420.62554838709679</v>
      </c>
      <c r="GC24">
        <v>-0.39362903225784313</v>
      </c>
      <c r="GD24">
        <v>7.7432942356048126E-2</v>
      </c>
      <c r="GE24">
        <v>-1</v>
      </c>
      <c r="GF24">
        <v>826.12752941176484</v>
      </c>
      <c r="GG24">
        <v>1.630924370191551</v>
      </c>
      <c r="GH24">
        <v>0.24972517073706671</v>
      </c>
      <c r="GI24">
        <v>1</v>
      </c>
      <c r="GJ24">
        <v>1.5773397560975611</v>
      </c>
      <c r="GK24">
        <v>-0.62639874564460052</v>
      </c>
      <c r="GL24">
        <v>7.5955577565805829E-2</v>
      </c>
      <c r="GM24">
        <v>0</v>
      </c>
      <c r="GN24">
        <v>1</v>
      </c>
      <c r="GO24">
        <v>2</v>
      </c>
      <c r="GP24" t="s">
        <v>444</v>
      </c>
      <c r="GQ24">
        <v>3.1301199999999998</v>
      </c>
      <c r="GR24">
        <v>2.7358799999999999</v>
      </c>
      <c r="GS24">
        <v>9.2216599999999996E-2</v>
      </c>
      <c r="GT24">
        <v>9.5180000000000001E-2</v>
      </c>
      <c r="GU24">
        <v>0.102561</v>
      </c>
      <c r="GV24">
        <v>9.5875799999999997E-2</v>
      </c>
      <c r="GW24">
        <v>22695.7</v>
      </c>
      <c r="GX24">
        <v>30027.5</v>
      </c>
      <c r="GY24">
        <v>27126</v>
      </c>
      <c r="GZ24">
        <v>34133.9</v>
      </c>
      <c r="HA24">
        <v>35633.9</v>
      </c>
      <c r="HB24">
        <v>38946.300000000003</v>
      </c>
      <c r="HC24">
        <v>40028.400000000001</v>
      </c>
      <c r="HD24">
        <v>43153.599999999999</v>
      </c>
      <c r="HE24">
        <v>1.9556</v>
      </c>
      <c r="HF24">
        <v>1.7245999999999999</v>
      </c>
      <c r="HG24">
        <v>-9.3430299999999994E-2</v>
      </c>
      <c r="HH24">
        <v>0</v>
      </c>
      <c r="HI24">
        <v>26.5304</v>
      </c>
      <c r="HJ24">
        <v>999.9</v>
      </c>
      <c r="HK24">
        <v>53.6</v>
      </c>
      <c r="HL24">
        <v>40.299999999999997</v>
      </c>
      <c r="HM24">
        <v>41.249499999999998</v>
      </c>
      <c r="HN24">
        <v>60.869</v>
      </c>
      <c r="HO24">
        <v>4.8718000000000004</v>
      </c>
      <c r="HP24">
        <v>1</v>
      </c>
      <c r="HQ24">
        <v>0.65101600000000004</v>
      </c>
      <c r="HR24">
        <v>5.1869899999999998</v>
      </c>
      <c r="HS24">
        <v>20.2014</v>
      </c>
      <c r="HT24">
        <v>5.2100999999999997</v>
      </c>
      <c r="HU24">
        <v>11.9117</v>
      </c>
      <c r="HV24">
        <v>4.984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1.8672200000000001</v>
      </c>
      <c r="IC24">
        <v>1.8629199999999999</v>
      </c>
      <c r="ID24">
        <v>1.8623400000000001</v>
      </c>
      <c r="IE24">
        <v>1.8619399999999999</v>
      </c>
      <c r="IF24">
        <v>1.8620300000000001</v>
      </c>
      <c r="IG24">
        <v>1.86249</v>
      </c>
      <c r="IH24">
        <v>1.8633999999999999</v>
      </c>
      <c r="II24">
        <v>1.8613599999999999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-10.555999999999999</v>
      </c>
      <c r="IX24">
        <v>-0.64</v>
      </c>
      <c r="IY24">
        <v>-8.5494922502821016</v>
      </c>
      <c r="IZ24">
        <v>-5.6215304933332991E-3</v>
      </c>
      <c r="JA24">
        <v>2.3979931213773931E-6</v>
      </c>
      <c r="JB24">
        <v>-3.6297174575716598E-10</v>
      </c>
      <c r="JC24">
        <v>-0.91059272164404437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4.3</v>
      </c>
      <c r="JL24">
        <v>4.3</v>
      </c>
      <c r="JM24">
        <v>1.1523399999999999</v>
      </c>
      <c r="JN24">
        <v>2.5500500000000001</v>
      </c>
      <c r="JO24">
        <v>1.50024</v>
      </c>
      <c r="JP24">
        <v>2.2705099999999998</v>
      </c>
      <c r="JQ24">
        <v>1.4477500000000001</v>
      </c>
      <c r="JR24">
        <v>2.4853499999999999</v>
      </c>
      <c r="JS24">
        <v>44.809600000000003</v>
      </c>
      <c r="JT24">
        <v>16.215900000000001</v>
      </c>
      <c r="JU24">
        <v>18</v>
      </c>
      <c r="JV24">
        <v>545.35299999999995</v>
      </c>
      <c r="JW24">
        <v>409.161</v>
      </c>
      <c r="JX24">
        <v>21.538399999999999</v>
      </c>
      <c r="JY24">
        <v>35.044600000000003</v>
      </c>
      <c r="JZ24">
        <v>29.9998</v>
      </c>
      <c r="KA24">
        <v>34.801299999999998</v>
      </c>
      <c r="KB24">
        <v>34.767200000000003</v>
      </c>
      <c r="KC24">
        <v>23.0488</v>
      </c>
      <c r="KD24">
        <v>52.460599999999999</v>
      </c>
      <c r="KE24">
        <v>0</v>
      </c>
      <c r="KF24">
        <v>21.533200000000001</v>
      </c>
      <c r="KG24">
        <v>444.846</v>
      </c>
      <c r="KH24">
        <v>19.208500000000001</v>
      </c>
      <c r="KI24">
        <v>100.07</v>
      </c>
      <c r="KJ24">
        <v>97.244100000000003</v>
      </c>
    </row>
    <row r="25" spans="1:296" x14ac:dyDescent="0.3">
      <c r="A25">
        <v>9</v>
      </c>
      <c r="B25">
        <v>1786038709.5999999</v>
      </c>
      <c r="C25">
        <v>1476.099999904633</v>
      </c>
      <c r="D25" t="s">
        <v>445</v>
      </c>
      <c r="E25" t="s">
        <v>446</v>
      </c>
      <c r="F25">
        <v>15</v>
      </c>
      <c r="H25">
        <v>1786038701.849999</v>
      </c>
      <c r="I25">
        <f t="shared" si="0"/>
        <v>1.3266055074365988E-3</v>
      </c>
      <c r="J25">
        <f t="shared" si="1"/>
        <v>1.3266055074365988</v>
      </c>
      <c r="K25">
        <f t="shared" si="2"/>
        <v>16.986590399762886</v>
      </c>
      <c r="L25">
        <f t="shared" si="3"/>
        <v>420.41890000000001</v>
      </c>
      <c r="M25">
        <f t="shared" si="4"/>
        <v>171.89783287973171</v>
      </c>
      <c r="N25">
        <f t="shared" si="5"/>
        <v>16.836484679121551</v>
      </c>
      <c r="O25">
        <f t="shared" si="6"/>
        <v>41.177810389357958</v>
      </c>
      <c r="P25">
        <f t="shared" si="7"/>
        <v>0.11398539646167123</v>
      </c>
      <c r="Q25">
        <f t="shared" si="8"/>
        <v>2.891865853491697</v>
      </c>
      <c r="R25">
        <f t="shared" si="9"/>
        <v>0.11154697917093284</v>
      </c>
      <c r="S25">
        <f t="shared" si="10"/>
        <v>6.9931599446033624E-2</v>
      </c>
      <c r="T25">
        <f t="shared" si="11"/>
        <v>48.451140883840495</v>
      </c>
      <c r="U25">
        <f t="shared" si="12"/>
        <v>24.528565322002372</v>
      </c>
      <c r="V25">
        <f t="shared" si="13"/>
        <v>24.902293333333329</v>
      </c>
      <c r="W25">
        <f t="shared" si="14"/>
        <v>3.1612024629647428</v>
      </c>
      <c r="X25">
        <f t="shared" si="15"/>
        <v>65.340786456387647</v>
      </c>
      <c r="Y25">
        <f t="shared" si="16"/>
        <v>2.027218299413275</v>
      </c>
      <c r="Z25">
        <f t="shared" si="17"/>
        <v>3.1025312203218767</v>
      </c>
      <c r="AA25">
        <f t="shared" si="18"/>
        <v>1.1339841635514678</v>
      </c>
      <c r="AB25">
        <f t="shared" si="19"/>
        <v>-58.503302877954006</v>
      </c>
      <c r="AC25">
        <f t="shared" si="20"/>
        <v>-48.896884053940937</v>
      </c>
      <c r="AD25">
        <f t="shared" si="21"/>
        <v>-3.5673842803351095</v>
      </c>
      <c r="AE25">
        <f t="shared" si="22"/>
        <v>-62.516430328389561</v>
      </c>
      <c r="AF25">
        <f t="shared" si="23"/>
        <v>16.986590399762886</v>
      </c>
      <c r="AG25">
        <f t="shared" si="24"/>
        <v>1.3266055074365988</v>
      </c>
      <c r="AH25">
        <f t="shared" si="25"/>
        <v>16.714554038189217</v>
      </c>
      <c r="AI25">
        <v>449.70467096512988</v>
      </c>
      <c r="AJ25">
        <v>429.28587272727259</v>
      </c>
      <c r="AK25">
        <v>-5.4188892237431131E-3</v>
      </c>
      <c r="AL25">
        <v>67.090433975706063</v>
      </c>
      <c r="AM25">
        <f t="shared" si="26"/>
        <v>1.3167512977067299</v>
      </c>
      <c r="AN25">
        <v>19.141191682731179</v>
      </c>
      <c r="AO25">
        <v>20.688571515151519</v>
      </c>
      <c r="AP25">
        <v>-1.053330965281265E-5</v>
      </c>
      <c r="AQ25">
        <v>78.249616317187517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52169.18180555234</v>
      </c>
      <c r="AW25" t="s">
        <v>406</v>
      </c>
      <c r="AX25">
        <v>13248.1</v>
      </c>
      <c r="AY25">
        <v>648.50294117647059</v>
      </c>
      <c r="AZ25">
        <v>2580.59</v>
      </c>
      <c r="BA25">
        <f t="shared" si="30"/>
        <v>0.74869973875103346</v>
      </c>
      <c r="BB25">
        <v>-2.3588818996945191</v>
      </c>
      <c r="BC25" t="s">
        <v>447</v>
      </c>
      <c r="BD25">
        <v>13233.6</v>
      </c>
      <c r="BE25">
        <v>796.06088235294101</v>
      </c>
      <c r="BF25">
        <v>2042.48</v>
      </c>
      <c r="BG25">
        <f t="shared" si="31"/>
        <v>0.61024789356422537</v>
      </c>
      <c r="BH25">
        <v>0.5</v>
      </c>
      <c r="BI25">
        <f t="shared" si="32"/>
        <v>252.33008240613495</v>
      </c>
      <c r="BJ25">
        <f t="shared" si="33"/>
        <v>16.986590399762886</v>
      </c>
      <c r="BK25">
        <f t="shared" si="34"/>
        <v>76.991950635615623</v>
      </c>
      <c r="BL25">
        <f t="shared" si="35"/>
        <v>7.6667324462408426E-2</v>
      </c>
      <c r="BM25">
        <f t="shared" si="36"/>
        <v>0.26345912811875766</v>
      </c>
      <c r="BN25">
        <f t="shared" si="37"/>
        <v>608.23341966307316</v>
      </c>
      <c r="BO25" t="s">
        <v>408</v>
      </c>
      <c r="BP25">
        <v>0</v>
      </c>
      <c r="BQ25">
        <f t="shared" si="38"/>
        <v>608.23341966307316</v>
      </c>
      <c r="BR25">
        <f t="shared" si="39"/>
        <v>0.70220838409038366</v>
      </c>
      <c r="BS25">
        <f t="shared" si="40"/>
        <v>0.86904102455956755</v>
      </c>
      <c r="BT25">
        <f t="shared" si="41"/>
        <v>0.27282592071058354</v>
      </c>
      <c r="BU25">
        <f t="shared" si="42"/>
        <v>0.89414607633428023</v>
      </c>
      <c r="BV25">
        <f t="shared" si="43"/>
        <v>0.27851229453793952</v>
      </c>
      <c r="BW25">
        <f t="shared" si="44"/>
        <v>0.66399418174276736</v>
      </c>
      <c r="BX25">
        <f t="shared" si="45"/>
        <v>0.33600581825723264</v>
      </c>
      <c r="DG25">
        <f t="shared" si="46"/>
        <v>300.04509999999999</v>
      </c>
      <c r="DH25">
        <f t="shared" si="47"/>
        <v>252.33008240613495</v>
      </c>
      <c r="DI25">
        <f t="shared" si="48"/>
        <v>0.84097384828525767</v>
      </c>
      <c r="DJ25">
        <f t="shared" si="49"/>
        <v>0.16147952719054734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1786038701.849999</v>
      </c>
      <c r="DQ25">
        <v>420.41890000000001</v>
      </c>
      <c r="DR25">
        <v>441.47076666666669</v>
      </c>
      <c r="DS25">
        <v>20.69757666666667</v>
      </c>
      <c r="DT25">
        <v>19.138696666666661</v>
      </c>
      <c r="DU25">
        <v>430.90899999999999</v>
      </c>
      <c r="DV25">
        <v>21.310763333333341</v>
      </c>
      <c r="DW25">
        <v>500.03129999999999</v>
      </c>
      <c r="DX25">
        <v>97.885263333333342</v>
      </c>
      <c r="DY25">
        <v>5.9454159999999999E-2</v>
      </c>
      <c r="DZ25">
        <v>24.588663333333329</v>
      </c>
      <c r="EA25">
        <v>24.902293333333329</v>
      </c>
      <c r="EB25">
        <v>999.9000000000002</v>
      </c>
      <c r="EC25">
        <v>0</v>
      </c>
      <c r="ED25">
        <v>0</v>
      </c>
      <c r="EE25">
        <v>9998.1666666666661</v>
      </c>
      <c r="EF25">
        <v>0</v>
      </c>
      <c r="EG25">
        <v>1933.748333333333</v>
      </c>
      <c r="EH25">
        <v>-21.051870000000001</v>
      </c>
      <c r="EI25">
        <v>429.30460000000011</v>
      </c>
      <c r="EJ25">
        <v>450.08483333333328</v>
      </c>
      <c r="EK25">
        <v>1.5588766666666669</v>
      </c>
      <c r="EL25">
        <v>441.47076666666669</v>
      </c>
      <c r="EM25">
        <v>19.138696666666661</v>
      </c>
      <c r="EN25">
        <v>2.025989</v>
      </c>
      <c r="EO25">
        <v>1.873396666666667</v>
      </c>
      <c r="EP25">
        <v>17.648913333333329</v>
      </c>
      <c r="EQ25">
        <v>16.413039999999999</v>
      </c>
      <c r="ER25">
        <v>300.04509999999999</v>
      </c>
      <c r="ES25">
        <v>0.96699296666666656</v>
      </c>
      <c r="ET25">
        <v>3.3006820000000013E-2</v>
      </c>
      <c r="EU25">
        <v>0</v>
      </c>
      <c r="EV25">
        <v>795.78983333333338</v>
      </c>
      <c r="EW25">
        <v>5.0010700000000003</v>
      </c>
      <c r="EX25">
        <v>6820.2653333333328</v>
      </c>
      <c r="EY25">
        <v>2668.427666666666</v>
      </c>
      <c r="EZ25">
        <v>39.139466666666657</v>
      </c>
      <c r="FA25">
        <v>43.547533333333327</v>
      </c>
      <c r="FB25">
        <v>41.311999999999983</v>
      </c>
      <c r="FC25">
        <v>43.122899999999987</v>
      </c>
      <c r="FD25">
        <v>41.035133333333327</v>
      </c>
      <c r="FE25">
        <v>285.30566666666681</v>
      </c>
      <c r="FF25">
        <v>9.7400000000000038</v>
      </c>
      <c r="FG25">
        <v>0</v>
      </c>
      <c r="FH25">
        <v>204.89999985694891</v>
      </c>
      <c r="FI25">
        <v>0</v>
      </c>
      <c r="FJ25">
        <v>796.06088235294101</v>
      </c>
      <c r="FK25">
        <v>5.2487745061362929</v>
      </c>
      <c r="FL25">
        <v>2667.012282397473</v>
      </c>
      <c r="FM25">
        <v>7354.7164705882351</v>
      </c>
      <c r="FN25">
        <v>10</v>
      </c>
      <c r="FO25">
        <v>1786038595.5</v>
      </c>
      <c r="FP25" t="s">
        <v>448</v>
      </c>
      <c r="FQ25">
        <v>1786038595</v>
      </c>
      <c r="FR25">
        <v>1786038595.5</v>
      </c>
      <c r="FS25">
        <v>52</v>
      </c>
      <c r="FT25">
        <v>6.6000000000000003E-2</v>
      </c>
      <c r="FU25">
        <v>-0.01</v>
      </c>
      <c r="FV25">
        <v>-10.574999999999999</v>
      </c>
      <c r="FW25">
        <v>-0.63700000000000001</v>
      </c>
      <c r="FX25">
        <v>443</v>
      </c>
      <c r="FY25">
        <v>20</v>
      </c>
      <c r="FZ25">
        <v>0.34</v>
      </c>
      <c r="GA25">
        <v>0.3</v>
      </c>
      <c r="GB25">
        <v>420.41969999999998</v>
      </c>
      <c r="GC25">
        <v>-9.4531701891692105E-2</v>
      </c>
      <c r="GD25">
        <v>4.3803462572421618E-2</v>
      </c>
      <c r="GE25">
        <v>-1</v>
      </c>
      <c r="GF25">
        <v>795.46132352941174</v>
      </c>
      <c r="GG25">
        <v>6.0602444567223497</v>
      </c>
      <c r="GH25">
        <v>0.61473766382801431</v>
      </c>
      <c r="GI25">
        <v>1</v>
      </c>
      <c r="GJ25">
        <v>1.56737525</v>
      </c>
      <c r="GK25">
        <v>-0.14434502814258929</v>
      </c>
      <c r="GL25">
        <v>1.4337048159837501E-2</v>
      </c>
      <c r="GM25">
        <v>1</v>
      </c>
      <c r="GN25">
        <v>2</v>
      </c>
      <c r="GO25">
        <v>2</v>
      </c>
      <c r="GP25" t="s">
        <v>411</v>
      </c>
      <c r="GQ25">
        <v>3.1309900000000002</v>
      </c>
      <c r="GR25">
        <v>2.7354799999999999</v>
      </c>
      <c r="GS25">
        <v>9.2145900000000003E-2</v>
      </c>
      <c r="GT25">
        <v>9.4506499999999993E-2</v>
      </c>
      <c r="GU25">
        <v>0.10263799999999999</v>
      </c>
      <c r="GV25">
        <v>9.5495700000000003E-2</v>
      </c>
      <c r="GW25">
        <v>22694.1</v>
      </c>
      <c r="GX25">
        <v>30045.8</v>
      </c>
      <c r="GY25">
        <v>27122.400000000001</v>
      </c>
      <c r="GZ25">
        <v>34129.9</v>
      </c>
      <c r="HA25">
        <v>35627.699999999997</v>
      </c>
      <c r="HB25">
        <v>38957.5</v>
      </c>
      <c r="HC25">
        <v>40024.5</v>
      </c>
      <c r="HD25">
        <v>43147.8</v>
      </c>
      <c r="HE25">
        <v>1.956</v>
      </c>
      <c r="HF25">
        <v>1.7205999999999999</v>
      </c>
      <c r="HG25">
        <v>-0.104696</v>
      </c>
      <c r="HH25">
        <v>0</v>
      </c>
      <c r="HI25">
        <v>26.656500000000001</v>
      </c>
      <c r="HJ25">
        <v>999.9</v>
      </c>
      <c r="HK25">
        <v>53.4</v>
      </c>
      <c r="HL25">
        <v>40.4</v>
      </c>
      <c r="HM25">
        <v>41.317500000000003</v>
      </c>
      <c r="HN25">
        <v>60.875500000000002</v>
      </c>
      <c r="HO25">
        <v>4.5192300000000003</v>
      </c>
      <c r="HP25">
        <v>1</v>
      </c>
      <c r="HQ25">
        <v>0.65733699999999995</v>
      </c>
      <c r="HR25">
        <v>5.1071200000000001</v>
      </c>
      <c r="HS25">
        <v>20.2057</v>
      </c>
      <c r="HT25">
        <v>5.2100999999999997</v>
      </c>
      <c r="HU25">
        <v>11.914099999999999</v>
      </c>
      <c r="HV25">
        <v>4.9843999999999999</v>
      </c>
      <c r="HW25">
        <v>3.2707999999999999</v>
      </c>
      <c r="HX25">
        <v>9999</v>
      </c>
      <c r="HY25">
        <v>9999</v>
      </c>
      <c r="HZ25">
        <v>9999</v>
      </c>
      <c r="IA25">
        <v>999.9</v>
      </c>
      <c r="IB25">
        <v>1.8672200000000001</v>
      </c>
      <c r="IC25">
        <v>1.8629199999999999</v>
      </c>
      <c r="ID25">
        <v>1.8623700000000001</v>
      </c>
      <c r="IE25">
        <v>1.8620300000000001</v>
      </c>
      <c r="IF25">
        <v>1.86188</v>
      </c>
      <c r="IG25">
        <v>1.86246</v>
      </c>
      <c r="IH25">
        <v>1.8633999999999999</v>
      </c>
      <c r="II25">
        <v>1.8613900000000001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-10.49</v>
      </c>
      <c r="IX25">
        <v>-0.61350000000000005</v>
      </c>
      <c r="IY25">
        <v>-8.4838723548382102</v>
      </c>
      <c r="IZ25">
        <v>-5.6215304933332991E-3</v>
      </c>
      <c r="JA25">
        <v>2.3979931213773931E-6</v>
      </c>
      <c r="JB25">
        <v>-3.6297174575716598E-10</v>
      </c>
      <c r="JC25">
        <v>-0.93312068631547285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1.9</v>
      </c>
      <c r="JL25">
        <v>1.9</v>
      </c>
      <c r="JM25">
        <v>1.1450199999999999</v>
      </c>
      <c r="JN25">
        <v>2.5500500000000001</v>
      </c>
      <c r="JO25">
        <v>1.50024</v>
      </c>
      <c r="JP25">
        <v>2.2705099999999998</v>
      </c>
      <c r="JQ25">
        <v>1.4477500000000001</v>
      </c>
      <c r="JR25">
        <v>2.50854</v>
      </c>
      <c r="JS25">
        <v>44.669199999999996</v>
      </c>
      <c r="JT25">
        <v>16.154599999999999</v>
      </c>
      <c r="JU25">
        <v>18</v>
      </c>
      <c r="JV25">
        <v>546.37300000000005</v>
      </c>
      <c r="JW25">
        <v>407.35700000000003</v>
      </c>
      <c r="JX25">
        <v>21.455400000000001</v>
      </c>
      <c r="JY25">
        <v>35.142200000000003</v>
      </c>
      <c r="JZ25">
        <v>29.9999</v>
      </c>
      <c r="KA25">
        <v>34.8934</v>
      </c>
      <c r="KB25">
        <v>34.862000000000002</v>
      </c>
      <c r="KC25">
        <v>22.903199999999998</v>
      </c>
      <c r="KD25">
        <v>53.174900000000001</v>
      </c>
      <c r="KE25">
        <v>0</v>
      </c>
      <c r="KF25">
        <v>21.461600000000001</v>
      </c>
      <c r="KG25">
        <v>441.029</v>
      </c>
      <c r="KH25">
        <v>19.0535</v>
      </c>
      <c r="KI25">
        <v>100.059</v>
      </c>
      <c r="KJ25">
        <v>97.231700000000004</v>
      </c>
    </row>
    <row r="26" spans="1:296" x14ac:dyDescent="0.3">
      <c r="A26">
        <v>10</v>
      </c>
      <c r="B26">
        <v>1786038891.0999999</v>
      </c>
      <c r="C26">
        <v>1657.599999904633</v>
      </c>
      <c r="D26" t="s">
        <v>449</v>
      </c>
      <c r="E26" t="s">
        <v>450</v>
      </c>
      <c r="F26">
        <v>15</v>
      </c>
      <c r="H26">
        <v>1786038883.349999</v>
      </c>
      <c r="I26">
        <f t="shared" si="0"/>
        <v>3.7042139296455793E-4</v>
      </c>
      <c r="J26">
        <f t="shared" si="1"/>
        <v>0.37042139296455795</v>
      </c>
      <c r="K26">
        <f t="shared" si="2"/>
        <v>8.3767220258535069</v>
      </c>
      <c r="L26">
        <f t="shared" si="3"/>
        <v>420.52379999999988</v>
      </c>
      <c r="M26">
        <f t="shared" si="4"/>
        <v>-22.929554813131492</v>
      </c>
      <c r="N26">
        <f t="shared" si="5"/>
        <v>-2.2455820970845926</v>
      </c>
      <c r="O26">
        <f t="shared" si="6"/>
        <v>41.183560883492596</v>
      </c>
      <c r="P26">
        <f t="shared" si="7"/>
        <v>3.0642942942858433E-2</v>
      </c>
      <c r="Q26">
        <f t="shared" si="8"/>
        <v>2.8912496421332845</v>
      </c>
      <c r="R26">
        <f t="shared" si="9"/>
        <v>3.0463655148270947E-2</v>
      </c>
      <c r="S26">
        <f t="shared" si="10"/>
        <v>1.9055805173653146E-2</v>
      </c>
      <c r="T26">
        <f t="shared" si="11"/>
        <v>32.482210204467627</v>
      </c>
      <c r="U26">
        <f t="shared" si="12"/>
        <v>24.88977678681179</v>
      </c>
      <c r="V26">
        <f t="shared" si="13"/>
        <v>24.991800000000001</v>
      </c>
      <c r="W26">
        <f t="shared" si="14"/>
        <v>3.1781234521853277</v>
      </c>
      <c r="X26">
        <f t="shared" si="15"/>
        <v>64.281899378247758</v>
      </c>
      <c r="Y26">
        <f t="shared" si="16"/>
        <v>2.0188965007625201</v>
      </c>
      <c r="Z26">
        <f t="shared" si="17"/>
        <v>3.1406920459567051</v>
      </c>
      <c r="AA26">
        <f t="shared" si="18"/>
        <v>1.1592269514228075</v>
      </c>
      <c r="AB26">
        <f t="shared" si="19"/>
        <v>-16.335583429737003</v>
      </c>
      <c r="AC26">
        <f t="shared" si="20"/>
        <v>-30.950672525155859</v>
      </c>
      <c r="AD26">
        <f t="shared" si="21"/>
        <v>-2.2619059445303544</v>
      </c>
      <c r="AE26">
        <f t="shared" si="22"/>
        <v>-17.06595169495559</v>
      </c>
      <c r="AF26">
        <f t="shared" si="23"/>
        <v>8.3767220258535069</v>
      </c>
      <c r="AG26">
        <f t="shared" si="24"/>
        <v>0.37042139296455795</v>
      </c>
      <c r="AH26">
        <f t="shared" si="25"/>
        <v>8.2107196759684662</v>
      </c>
      <c r="AI26">
        <v>439.35582424107997</v>
      </c>
      <c r="AJ26">
        <v>429.33306060606049</v>
      </c>
      <c r="AK26">
        <v>-6.0883675066704694E-3</v>
      </c>
      <c r="AL26">
        <v>67.090433975706063</v>
      </c>
      <c r="AM26">
        <f t="shared" si="26"/>
        <v>0.44656891996742987</v>
      </c>
      <c r="AN26">
        <v>20.188187701505122</v>
      </c>
      <c r="AO26">
        <v>20.672135757575749</v>
      </c>
      <c r="AP26">
        <v>6.6014954269043033E-3</v>
      </c>
      <c r="AQ26">
        <v>78.249616317187517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52115.433153952057</v>
      </c>
      <c r="AW26" t="s">
        <v>406</v>
      </c>
      <c r="AX26">
        <v>13248.1</v>
      </c>
      <c r="AY26">
        <v>648.50294117647059</v>
      </c>
      <c r="AZ26">
        <v>2580.59</v>
      </c>
      <c r="BA26">
        <f t="shared" si="30"/>
        <v>0.74869973875103346</v>
      </c>
      <c r="BB26">
        <v>-2.3588818996945191</v>
      </c>
      <c r="BC26" t="s">
        <v>451</v>
      </c>
      <c r="BD26">
        <v>13213.5</v>
      </c>
      <c r="BE26">
        <v>779.86076470588239</v>
      </c>
      <c r="BF26">
        <v>2102.36</v>
      </c>
      <c r="BG26">
        <f t="shared" si="31"/>
        <v>0.62905460306232885</v>
      </c>
      <c r="BH26">
        <v>0.5</v>
      </c>
      <c r="BI26">
        <f t="shared" si="32"/>
        <v>168.28304599195212</v>
      </c>
      <c r="BJ26">
        <f t="shared" si="33"/>
        <v>8.3767220258535069</v>
      </c>
      <c r="BK26">
        <f t="shared" si="34"/>
        <v>52.929612349293535</v>
      </c>
      <c r="BL26">
        <f t="shared" si="35"/>
        <v>6.3794922787774128E-2</v>
      </c>
      <c r="BM26">
        <f t="shared" si="36"/>
        <v>0.22747293517760991</v>
      </c>
      <c r="BN26">
        <f t="shared" si="37"/>
        <v>613.43645474699997</v>
      </c>
      <c r="BO26" t="s">
        <v>408</v>
      </c>
      <c r="BP26">
        <v>0</v>
      </c>
      <c r="BQ26">
        <f t="shared" si="38"/>
        <v>613.43645474699997</v>
      </c>
      <c r="BR26">
        <f t="shared" si="39"/>
        <v>0.70821531291168016</v>
      </c>
      <c r="BS26">
        <f t="shared" si="40"/>
        <v>0.88822508013290669</v>
      </c>
      <c r="BT26">
        <f t="shared" si="41"/>
        <v>0.24310761158122701</v>
      </c>
      <c r="BU26">
        <f t="shared" si="42"/>
        <v>0.90964873559460691</v>
      </c>
      <c r="BV26">
        <f t="shared" si="43"/>
        <v>0.24751990228183604</v>
      </c>
      <c r="BW26">
        <f t="shared" si="44"/>
        <v>0.69867554419101086</v>
      </c>
      <c r="BX26">
        <f t="shared" si="45"/>
        <v>0.30132445580898914</v>
      </c>
      <c r="DG26">
        <f t="shared" si="46"/>
        <v>199.98910000000001</v>
      </c>
      <c r="DH26">
        <f t="shared" si="47"/>
        <v>168.28304599195212</v>
      </c>
      <c r="DI26">
        <f t="shared" si="48"/>
        <v>0.84146108958914323</v>
      </c>
      <c r="DJ26">
        <f t="shared" si="49"/>
        <v>0.16241990290704655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1786038883.349999</v>
      </c>
      <c r="DQ26">
        <v>420.52379999999988</v>
      </c>
      <c r="DR26">
        <v>430.76203333333342</v>
      </c>
      <c r="DS26">
        <v>20.614876666666671</v>
      </c>
      <c r="DT26">
        <v>20.179566666666659</v>
      </c>
      <c r="DU26">
        <v>431.01426666666669</v>
      </c>
      <c r="DV26">
        <v>21.248876666666671</v>
      </c>
      <c r="DW26">
        <v>500.03703333333328</v>
      </c>
      <c r="DX26">
        <v>97.875109999999992</v>
      </c>
      <c r="DY26">
        <v>5.8849703333333343E-2</v>
      </c>
      <c r="DZ26">
        <v>24.793236666666669</v>
      </c>
      <c r="EA26">
        <v>24.991800000000001</v>
      </c>
      <c r="EB26">
        <v>999.9000000000002</v>
      </c>
      <c r="EC26">
        <v>0</v>
      </c>
      <c r="ED26">
        <v>0</v>
      </c>
      <c r="EE26">
        <v>9995.6666666666661</v>
      </c>
      <c r="EF26">
        <v>0</v>
      </c>
      <c r="EG26">
        <v>662.94266666666658</v>
      </c>
      <c r="EH26">
        <v>-10.238267</v>
      </c>
      <c r="EI26">
        <v>429.38369999999998</v>
      </c>
      <c r="EJ26">
        <v>439.63376666666659</v>
      </c>
      <c r="EK26">
        <v>0.45453466666666659</v>
      </c>
      <c r="EL26">
        <v>430.76203333333342</v>
      </c>
      <c r="EM26">
        <v>20.179566666666659</v>
      </c>
      <c r="EN26">
        <v>2.0195650000000001</v>
      </c>
      <c r="EO26">
        <v>1.975077</v>
      </c>
      <c r="EP26">
        <v>17.598553333333331</v>
      </c>
      <c r="EQ26">
        <v>17.24593333333333</v>
      </c>
      <c r="ER26">
        <v>199.98910000000001</v>
      </c>
      <c r="ES26">
        <v>0.95003989999999983</v>
      </c>
      <c r="ET26">
        <v>4.9959810000000007E-2</v>
      </c>
      <c r="EU26">
        <v>0</v>
      </c>
      <c r="EV26">
        <v>779.24086666666653</v>
      </c>
      <c r="EW26">
        <v>5.0010700000000003</v>
      </c>
      <c r="EX26">
        <v>4023.0463333333332</v>
      </c>
      <c r="EY26">
        <v>1751.7586666666659</v>
      </c>
      <c r="EZ26">
        <v>38.445399999999992</v>
      </c>
      <c r="FA26">
        <v>42.716399999999993</v>
      </c>
      <c r="FB26">
        <v>40.653933333333327</v>
      </c>
      <c r="FC26">
        <v>42.441266666666642</v>
      </c>
      <c r="FD26">
        <v>40.428733333333327</v>
      </c>
      <c r="FE26">
        <v>185.2466666666667</v>
      </c>
      <c r="FF26">
        <v>9.740000000000002</v>
      </c>
      <c r="FG26">
        <v>0</v>
      </c>
      <c r="FH26">
        <v>180.70000004768369</v>
      </c>
      <c r="FI26">
        <v>0</v>
      </c>
      <c r="FJ26">
        <v>779.86076470588239</v>
      </c>
      <c r="FK26">
        <v>13.19460783324906</v>
      </c>
      <c r="FL26">
        <v>-23.93872504116927</v>
      </c>
      <c r="FM26">
        <v>4018.979411764707</v>
      </c>
      <c r="FN26">
        <v>10</v>
      </c>
      <c r="FO26">
        <v>1786038907.0999999</v>
      </c>
      <c r="FP26" t="s">
        <v>452</v>
      </c>
      <c r="FQ26">
        <v>1786038595</v>
      </c>
      <c r="FR26">
        <v>1786038907.0999999</v>
      </c>
      <c r="FS26">
        <v>53</v>
      </c>
      <c r="FT26">
        <v>6.6000000000000003E-2</v>
      </c>
      <c r="FU26">
        <v>-1.2E-2</v>
      </c>
      <c r="FV26">
        <v>-10.574999999999999</v>
      </c>
      <c r="FW26">
        <v>-0.63400000000000001</v>
      </c>
      <c r="FX26">
        <v>443</v>
      </c>
      <c r="FY26">
        <v>20</v>
      </c>
      <c r="FZ26">
        <v>0.34</v>
      </c>
      <c r="GA26">
        <v>0.68</v>
      </c>
      <c r="GB26">
        <v>420.52296666666672</v>
      </c>
      <c r="GC26">
        <v>-0.1075595105672105</v>
      </c>
      <c r="GD26">
        <v>5.8841302576410591E-2</v>
      </c>
      <c r="GE26">
        <v>-1</v>
      </c>
      <c r="GF26">
        <v>778.511705882353</v>
      </c>
      <c r="GG26">
        <v>14.675660793446079</v>
      </c>
      <c r="GH26">
        <v>1.453806211890049</v>
      </c>
      <c r="GI26">
        <v>0</v>
      </c>
      <c r="GJ26">
        <v>0.50297585</v>
      </c>
      <c r="GK26">
        <v>-0.63198592120075214</v>
      </c>
      <c r="GL26">
        <v>8.3564444487338629E-2</v>
      </c>
      <c r="GM26">
        <v>0</v>
      </c>
      <c r="GN26">
        <v>0</v>
      </c>
      <c r="GO26">
        <v>2</v>
      </c>
      <c r="GP26" t="s">
        <v>453</v>
      </c>
      <c r="GQ26">
        <v>3.1310199999999999</v>
      </c>
      <c r="GR26">
        <v>2.7340800000000001</v>
      </c>
      <c r="GS26">
        <v>9.2158799999999999E-2</v>
      </c>
      <c r="GT26">
        <v>9.2803099999999999E-2</v>
      </c>
      <c r="GU26">
        <v>0.102628</v>
      </c>
      <c r="GV26">
        <v>9.92508E-2</v>
      </c>
      <c r="GW26">
        <v>22698</v>
      </c>
      <c r="GX26">
        <v>30109.7</v>
      </c>
      <c r="GY26">
        <v>27126.6</v>
      </c>
      <c r="GZ26">
        <v>34136.800000000003</v>
      </c>
      <c r="HA26">
        <v>35632.6</v>
      </c>
      <c r="HB26">
        <v>38802.9</v>
      </c>
      <c r="HC26">
        <v>40030.300000000003</v>
      </c>
      <c r="HD26">
        <v>43156.1</v>
      </c>
      <c r="HE26">
        <v>1.9570000000000001</v>
      </c>
      <c r="HF26">
        <v>1.7250000000000001</v>
      </c>
      <c r="HG26">
        <v>-7.5697899999999999E-2</v>
      </c>
      <c r="HH26">
        <v>0</v>
      </c>
      <c r="HI26">
        <v>26.2271</v>
      </c>
      <c r="HJ26">
        <v>999.9</v>
      </c>
      <c r="HK26">
        <v>53.2</v>
      </c>
      <c r="HL26">
        <v>40.4</v>
      </c>
      <c r="HM26">
        <v>41.167099999999998</v>
      </c>
      <c r="HN26">
        <v>61.005499999999998</v>
      </c>
      <c r="HO26">
        <v>4.4351000000000003</v>
      </c>
      <c r="HP26">
        <v>1</v>
      </c>
      <c r="HQ26">
        <v>0.64365899999999998</v>
      </c>
      <c r="HR26">
        <v>5.0580400000000001</v>
      </c>
      <c r="HS26">
        <v>20.207100000000001</v>
      </c>
      <c r="HT26">
        <v>5.2112999999999996</v>
      </c>
      <c r="HU26">
        <v>11.9093</v>
      </c>
      <c r="HV26">
        <v>4.9851999999999999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1.8672200000000001</v>
      </c>
      <c r="IC26">
        <v>1.8629199999999999</v>
      </c>
      <c r="ID26">
        <v>1.8623400000000001</v>
      </c>
      <c r="IE26">
        <v>1.8619699999999999</v>
      </c>
      <c r="IF26">
        <v>1.86191</v>
      </c>
      <c r="IG26">
        <v>1.86246</v>
      </c>
      <c r="IH26">
        <v>1.8633999999999999</v>
      </c>
      <c r="II26">
        <v>1.8614200000000001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-10.491</v>
      </c>
      <c r="IX26">
        <v>-0.63400000000000001</v>
      </c>
      <c r="IY26">
        <v>-8.4838723548382102</v>
      </c>
      <c r="IZ26">
        <v>-5.6215304933332991E-3</v>
      </c>
      <c r="JA26">
        <v>2.3979931213773931E-6</v>
      </c>
      <c r="JB26">
        <v>-3.6297174575716598E-10</v>
      </c>
      <c r="JC26">
        <v>-0.93312068631547285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4.9000000000000004</v>
      </c>
      <c r="JL26">
        <v>4.9000000000000004</v>
      </c>
      <c r="JM26">
        <v>1.1242700000000001</v>
      </c>
      <c r="JN26">
        <v>2.5463900000000002</v>
      </c>
      <c r="JO26">
        <v>1.50024</v>
      </c>
      <c r="JP26">
        <v>2.2692899999999998</v>
      </c>
      <c r="JQ26">
        <v>1.4477500000000001</v>
      </c>
      <c r="JR26">
        <v>2.4450699999999999</v>
      </c>
      <c r="JS26">
        <v>44.529299999999999</v>
      </c>
      <c r="JT26">
        <v>16.110900000000001</v>
      </c>
      <c r="JU26">
        <v>18</v>
      </c>
      <c r="JV26">
        <v>546.14200000000005</v>
      </c>
      <c r="JW26">
        <v>409.286</v>
      </c>
      <c r="JX26">
        <v>21.657399999999999</v>
      </c>
      <c r="JY26">
        <v>34.948599999999999</v>
      </c>
      <c r="JZ26">
        <v>29.998200000000001</v>
      </c>
      <c r="KA26">
        <v>34.782299999999999</v>
      </c>
      <c r="KB26">
        <v>34.7483</v>
      </c>
      <c r="KC26">
        <v>22.480699999999999</v>
      </c>
      <c r="KD26">
        <v>50.635300000000001</v>
      </c>
      <c r="KE26">
        <v>0</v>
      </c>
      <c r="KF26">
        <v>21.6831</v>
      </c>
      <c r="KG26">
        <v>430.35899999999998</v>
      </c>
      <c r="KH26">
        <v>20.305900000000001</v>
      </c>
      <c r="KI26">
        <v>100.074</v>
      </c>
      <c r="KJ26">
        <v>97.251000000000005</v>
      </c>
    </row>
    <row r="27" spans="1:296" x14ac:dyDescent="0.3">
      <c r="A27">
        <v>11</v>
      </c>
      <c r="B27">
        <v>1786039088.0999999</v>
      </c>
      <c r="C27">
        <v>1854.599999904633</v>
      </c>
      <c r="D27" t="s">
        <v>454</v>
      </c>
      <c r="E27" t="s">
        <v>455</v>
      </c>
      <c r="F27">
        <v>15</v>
      </c>
      <c r="H27">
        <v>1786039080.099999</v>
      </c>
      <c r="I27">
        <f t="shared" si="0"/>
        <v>4.81028186978207E-4</v>
      </c>
      <c r="J27">
        <f t="shared" si="1"/>
        <v>0.48102818697820698</v>
      </c>
      <c r="K27">
        <f t="shared" si="2"/>
        <v>5.1452576716258989</v>
      </c>
      <c r="L27">
        <f t="shared" si="3"/>
        <v>420.11022580645158</v>
      </c>
      <c r="M27">
        <f t="shared" si="4"/>
        <v>211.56668268652575</v>
      </c>
      <c r="N27">
        <f t="shared" si="5"/>
        <v>20.722088456448276</v>
      </c>
      <c r="O27">
        <f t="shared" si="6"/>
        <v>41.148072797069894</v>
      </c>
      <c r="P27">
        <f t="shared" si="7"/>
        <v>4.0914714863192092E-2</v>
      </c>
      <c r="Q27">
        <f t="shared" si="8"/>
        <v>2.892252625695094</v>
      </c>
      <c r="R27">
        <f t="shared" si="9"/>
        <v>4.059586869049598E-2</v>
      </c>
      <c r="S27">
        <f t="shared" si="10"/>
        <v>2.5400857736476969E-2</v>
      </c>
      <c r="T27">
        <f t="shared" si="11"/>
        <v>16.509589133548563</v>
      </c>
      <c r="U27">
        <f t="shared" si="12"/>
        <v>24.846754823173562</v>
      </c>
      <c r="V27">
        <f t="shared" si="13"/>
        <v>24.988803225806461</v>
      </c>
      <c r="W27">
        <f t="shared" si="14"/>
        <v>3.1775556422230573</v>
      </c>
      <c r="X27">
        <f t="shared" si="15"/>
        <v>64.889518714781332</v>
      </c>
      <c r="Y27">
        <f t="shared" si="16"/>
        <v>2.0479349572518473</v>
      </c>
      <c r="Z27">
        <f t="shared" si="17"/>
        <v>3.1560335132911748</v>
      </c>
      <c r="AA27">
        <f t="shared" si="18"/>
        <v>1.12962068497121</v>
      </c>
      <c r="AB27">
        <f t="shared" si="19"/>
        <v>-21.213343045738927</v>
      </c>
      <c r="AC27">
        <f t="shared" si="20"/>
        <v>-17.76563227101726</v>
      </c>
      <c r="AD27">
        <f t="shared" si="21"/>
        <v>-1.2983937154215333</v>
      </c>
      <c r="AE27">
        <f t="shared" si="22"/>
        <v>-23.767779898629158</v>
      </c>
      <c r="AF27">
        <f t="shared" si="23"/>
        <v>5.1452576716258989</v>
      </c>
      <c r="AG27">
        <f t="shared" si="24"/>
        <v>0.48102818697820698</v>
      </c>
      <c r="AH27">
        <f t="shared" si="25"/>
        <v>5.0304643506439763</v>
      </c>
      <c r="AI27">
        <v>435.28622801555713</v>
      </c>
      <c r="AJ27">
        <v>429.09447878787859</v>
      </c>
      <c r="AK27">
        <v>5.6347846777205883E-3</v>
      </c>
      <c r="AL27">
        <v>67.093330786187494</v>
      </c>
      <c r="AM27">
        <f t="shared" si="26"/>
        <v>0.48021677834778348</v>
      </c>
      <c r="AN27">
        <v>20.34265004782317</v>
      </c>
      <c r="AO27">
        <v>20.906924848484842</v>
      </c>
      <c r="AP27">
        <v>-1.0631070837926379E-5</v>
      </c>
      <c r="AQ27">
        <v>78.254871515445529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52130.240461746434</v>
      </c>
      <c r="AW27" t="s">
        <v>406</v>
      </c>
      <c r="AX27">
        <v>13248.1</v>
      </c>
      <c r="AY27">
        <v>648.50294117647059</v>
      </c>
      <c r="AZ27">
        <v>2580.59</v>
      </c>
      <c r="BA27">
        <f t="shared" si="30"/>
        <v>0.74869973875103346</v>
      </c>
      <c r="BB27">
        <v>-2.3588818996945191</v>
      </c>
      <c r="BC27" t="s">
        <v>456</v>
      </c>
      <c r="BD27">
        <v>13251.3</v>
      </c>
      <c r="BE27">
        <v>731.37347058823525</v>
      </c>
      <c r="BF27">
        <v>2195.9</v>
      </c>
      <c r="BG27">
        <f t="shared" si="31"/>
        <v>0.66693680468680938</v>
      </c>
      <c r="BH27">
        <v>0.5</v>
      </c>
      <c r="BI27">
        <f t="shared" si="32"/>
        <v>84.279941324753551</v>
      </c>
      <c r="BJ27">
        <f t="shared" si="33"/>
        <v>5.1452576716258989</v>
      </c>
      <c r="BK27">
        <f t="shared" si="34"/>
        <v>28.104697383161458</v>
      </c>
      <c r="BL27">
        <f t="shared" si="35"/>
        <v>8.9038262881614094E-2</v>
      </c>
      <c r="BM27">
        <f t="shared" si="36"/>
        <v>0.17518557311352978</v>
      </c>
      <c r="BN27">
        <f t="shared" si="37"/>
        <v>621.1570128538948</v>
      </c>
      <c r="BO27" t="s">
        <v>408</v>
      </c>
      <c r="BP27">
        <v>0</v>
      </c>
      <c r="BQ27">
        <f t="shared" si="38"/>
        <v>621.1570128538948</v>
      </c>
      <c r="BR27">
        <f t="shared" si="39"/>
        <v>0.71712873407081612</v>
      </c>
      <c r="BS27">
        <f t="shared" si="40"/>
        <v>0.93000987549461323</v>
      </c>
      <c r="BT27">
        <f t="shared" si="41"/>
        <v>0.19632720410627422</v>
      </c>
      <c r="BU27">
        <f t="shared" si="42"/>
        <v>0.94644520684641198</v>
      </c>
      <c r="BV27">
        <f t="shared" si="43"/>
        <v>0.19910593481964642</v>
      </c>
      <c r="BW27">
        <f t="shared" si="44"/>
        <v>0.78985932552657878</v>
      </c>
      <c r="BX27">
        <f t="shared" si="45"/>
        <v>0.21014067447342122</v>
      </c>
      <c r="DG27">
        <f t="shared" si="46"/>
        <v>99.99363548387096</v>
      </c>
      <c r="DH27">
        <f t="shared" si="47"/>
        <v>84.279941324753551</v>
      </c>
      <c r="DI27">
        <f t="shared" si="48"/>
        <v>0.84285305676627753</v>
      </c>
      <c r="DJ27">
        <f t="shared" si="49"/>
        <v>0.16510639955891562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1786039080.099999</v>
      </c>
      <c r="DQ27">
        <v>420.11022580645158</v>
      </c>
      <c r="DR27">
        <v>426.52699999999999</v>
      </c>
      <c r="DS27">
        <v>20.908838709677418</v>
      </c>
      <c r="DT27">
        <v>20.34367741935484</v>
      </c>
      <c r="DU27">
        <v>430.43835483870959</v>
      </c>
      <c r="DV27">
        <v>21.523916129032258</v>
      </c>
      <c r="DW27">
        <v>500.00287096774201</v>
      </c>
      <c r="DX27">
        <v>97.889051612903202</v>
      </c>
      <c r="DY27">
        <v>5.6845129032258072E-2</v>
      </c>
      <c r="DZ27">
        <v>24.874867741935478</v>
      </c>
      <c r="EA27">
        <v>24.988803225806461</v>
      </c>
      <c r="EB27">
        <v>999.90000000000032</v>
      </c>
      <c r="EC27">
        <v>0</v>
      </c>
      <c r="ED27">
        <v>0</v>
      </c>
      <c r="EE27">
        <v>10000</v>
      </c>
      <c r="EF27">
        <v>0</v>
      </c>
      <c r="EG27">
        <v>742.41409677419358</v>
      </c>
      <c r="EH27">
        <v>-6.4165809677419361</v>
      </c>
      <c r="EI27">
        <v>429.08183870967741</v>
      </c>
      <c r="EJ27">
        <v>435.38409677419372</v>
      </c>
      <c r="EK27">
        <v>0.56515645161290318</v>
      </c>
      <c r="EL27">
        <v>426.52699999999999</v>
      </c>
      <c r="EM27">
        <v>20.34367741935484</v>
      </c>
      <c r="EN27">
        <v>2.0467461290322579</v>
      </c>
      <c r="EO27">
        <v>1.9914229032258071</v>
      </c>
      <c r="EP27">
        <v>17.81066451612903</v>
      </c>
      <c r="EQ27">
        <v>17.376300000000001</v>
      </c>
      <c r="ER27">
        <v>99.99363548387096</v>
      </c>
      <c r="ES27">
        <v>0.89989480645161257</v>
      </c>
      <c r="ET27">
        <v>0.1001052387096774</v>
      </c>
      <c r="EU27">
        <v>0</v>
      </c>
      <c r="EV27">
        <v>731.33529032258082</v>
      </c>
      <c r="EW27">
        <v>5.0010700000000003</v>
      </c>
      <c r="EX27">
        <v>3187.063225806452</v>
      </c>
      <c r="EY27">
        <v>836.47996774193552</v>
      </c>
      <c r="EZ27">
        <v>37.475612903225787</v>
      </c>
      <c r="FA27">
        <v>41.693096774193521</v>
      </c>
      <c r="FB27">
        <v>39.733741935483849</v>
      </c>
      <c r="FC27">
        <v>41.487806451612883</v>
      </c>
      <c r="FD27">
        <v>39.576225806451603</v>
      </c>
      <c r="FE27">
        <v>85.483870967741922</v>
      </c>
      <c r="FF27">
        <v>9.509677419354837</v>
      </c>
      <c r="FG27">
        <v>0</v>
      </c>
      <c r="FH27">
        <v>196.5</v>
      </c>
      <c r="FI27">
        <v>0</v>
      </c>
      <c r="FJ27">
        <v>731.37347058823525</v>
      </c>
      <c r="FK27">
        <v>-0.32058823649133328</v>
      </c>
      <c r="FL27">
        <v>161.66911844303749</v>
      </c>
      <c r="FM27">
        <v>3192.032941176471</v>
      </c>
      <c r="FN27">
        <v>10</v>
      </c>
      <c r="FO27">
        <v>1786038989.5999999</v>
      </c>
      <c r="FP27" t="s">
        <v>457</v>
      </c>
      <c r="FQ27">
        <v>1786038989.5999999</v>
      </c>
      <c r="FR27">
        <v>1786038985.5999999</v>
      </c>
      <c r="FS27">
        <v>54</v>
      </c>
      <c r="FT27">
        <v>0.16</v>
      </c>
      <c r="FU27">
        <v>4.0000000000000001E-3</v>
      </c>
      <c r="FV27">
        <v>-10.356999999999999</v>
      </c>
      <c r="FW27">
        <v>-0.63100000000000001</v>
      </c>
      <c r="FX27">
        <v>428</v>
      </c>
      <c r="FY27">
        <v>20</v>
      </c>
      <c r="FZ27">
        <v>0.99</v>
      </c>
      <c r="GA27">
        <v>0.48</v>
      </c>
      <c r="GB27">
        <v>420.10870967741943</v>
      </c>
      <c r="GC27">
        <v>1.306451612981049E-2</v>
      </c>
      <c r="GD27">
        <v>4.7859467360440847E-2</v>
      </c>
      <c r="GE27">
        <v>-1</v>
      </c>
      <c r="GF27">
        <v>731.30408823529422</v>
      </c>
      <c r="GG27">
        <v>0.414866315141667</v>
      </c>
      <c r="GH27">
        <v>0.1693462112754697</v>
      </c>
      <c r="GI27">
        <v>1</v>
      </c>
      <c r="GJ27">
        <v>0.56378692682926834</v>
      </c>
      <c r="GK27">
        <v>1.3287867595819691E-2</v>
      </c>
      <c r="GL27">
        <v>3.9394764316621643E-3</v>
      </c>
      <c r="GM27">
        <v>1</v>
      </c>
      <c r="GN27">
        <v>2</v>
      </c>
      <c r="GO27">
        <v>2</v>
      </c>
      <c r="GP27" t="s">
        <v>411</v>
      </c>
      <c r="GQ27">
        <v>3.1309200000000001</v>
      </c>
      <c r="GR27">
        <v>2.7327599999999999</v>
      </c>
      <c r="GS27">
        <v>9.2192200000000002E-2</v>
      </c>
      <c r="GT27">
        <v>9.2234899999999995E-2</v>
      </c>
      <c r="GU27">
        <v>0.10355399999999999</v>
      </c>
      <c r="GV27">
        <v>9.9887100000000006E-2</v>
      </c>
      <c r="GW27">
        <v>22717.9</v>
      </c>
      <c r="GX27">
        <v>30158</v>
      </c>
      <c r="GY27">
        <v>27148.7</v>
      </c>
      <c r="GZ27">
        <v>34166.400000000001</v>
      </c>
      <c r="HA27">
        <v>35622</v>
      </c>
      <c r="HB27">
        <v>38802.1</v>
      </c>
      <c r="HC27">
        <v>40061.9</v>
      </c>
      <c r="HD27">
        <v>43186.7</v>
      </c>
      <c r="HE27">
        <v>1.9618</v>
      </c>
      <c r="HF27">
        <v>1.7334000000000001</v>
      </c>
      <c r="HG27">
        <v>-5.9902700000000003E-2</v>
      </c>
      <c r="HH27">
        <v>0</v>
      </c>
      <c r="HI27">
        <v>25.997699999999998</v>
      </c>
      <c r="HJ27">
        <v>999.9</v>
      </c>
      <c r="HK27">
        <v>52.8</v>
      </c>
      <c r="HL27">
        <v>40.5</v>
      </c>
      <c r="HM27">
        <v>41.069499999999998</v>
      </c>
      <c r="HN27">
        <v>59.905500000000004</v>
      </c>
      <c r="HO27">
        <v>4.7756400000000001</v>
      </c>
      <c r="HP27">
        <v>1</v>
      </c>
      <c r="HQ27">
        <v>0.58814999999999995</v>
      </c>
      <c r="HR27">
        <v>4.1637500000000003</v>
      </c>
      <c r="HS27">
        <v>20.232399999999998</v>
      </c>
      <c r="HT27">
        <v>5.2088999999999999</v>
      </c>
      <c r="HU27">
        <v>11.908099999999999</v>
      </c>
      <c r="HV27">
        <v>4.9851999999999999</v>
      </c>
      <c r="HW27">
        <v>3.2707999999999999</v>
      </c>
      <c r="HX27">
        <v>9999</v>
      </c>
      <c r="HY27">
        <v>9999</v>
      </c>
      <c r="HZ27">
        <v>9999</v>
      </c>
      <c r="IA27">
        <v>999.9</v>
      </c>
      <c r="IB27">
        <v>1.8672200000000001</v>
      </c>
      <c r="IC27">
        <v>1.8629500000000001</v>
      </c>
      <c r="ID27">
        <v>1.8623700000000001</v>
      </c>
      <c r="IE27">
        <v>1.8620000000000001</v>
      </c>
      <c r="IF27">
        <v>1.86188</v>
      </c>
      <c r="IG27">
        <v>1.86246</v>
      </c>
      <c r="IH27">
        <v>1.8633999999999999</v>
      </c>
      <c r="II27">
        <v>1.8614200000000001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-10.327999999999999</v>
      </c>
      <c r="IX27">
        <v>-0.61509999999999998</v>
      </c>
      <c r="IY27">
        <v>-8.3237543068958715</v>
      </c>
      <c r="IZ27">
        <v>-5.6215304933332991E-3</v>
      </c>
      <c r="JA27">
        <v>2.3979931213773931E-6</v>
      </c>
      <c r="JB27">
        <v>-3.6297174575716598E-10</v>
      </c>
      <c r="JC27">
        <v>-0.94057453888571096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1.6</v>
      </c>
      <c r="JL27">
        <v>1.7</v>
      </c>
      <c r="JM27">
        <v>1.11572</v>
      </c>
      <c r="JN27">
        <v>2.5561500000000001</v>
      </c>
      <c r="JO27">
        <v>1.50024</v>
      </c>
      <c r="JP27">
        <v>2.2692899999999998</v>
      </c>
      <c r="JQ27">
        <v>1.4477500000000001</v>
      </c>
      <c r="JR27">
        <v>2.4328599999999998</v>
      </c>
      <c r="JS27">
        <v>44.362099999999998</v>
      </c>
      <c r="JT27">
        <v>16.1021</v>
      </c>
      <c r="JU27">
        <v>18</v>
      </c>
      <c r="JV27">
        <v>545.83199999999999</v>
      </c>
      <c r="JW27">
        <v>411.73099999999999</v>
      </c>
      <c r="JX27">
        <v>22.3215</v>
      </c>
      <c r="JY27">
        <v>34.390300000000003</v>
      </c>
      <c r="JZ27">
        <v>29.998699999999999</v>
      </c>
      <c r="KA27">
        <v>34.349200000000003</v>
      </c>
      <c r="KB27">
        <v>34.336599999999997</v>
      </c>
      <c r="KC27">
        <v>22.3277</v>
      </c>
      <c r="KD27">
        <v>50.621299999999998</v>
      </c>
      <c r="KE27">
        <v>0</v>
      </c>
      <c r="KF27">
        <v>22.1812</v>
      </c>
      <c r="KG27">
        <v>426.49599999999998</v>
      </c>
      <c r="KH27">
        <v>20.4101</v>
      </c>
      <c r="KI27">
        <v>100.154</v>
      </c>
      <c r="KJ27">
        <v>97.326700000000002</v>
      </c>
    </row>
    <row r="28" spans="1:296" x14ac:dyDescent="0.3">
      <c r="A28">
        <v>12</v>
      </c>
      <c r="B28">
        <v>1786039269.5999999</v>
      </c>
      <c r="C28">
        <v>2036.099999904633</v>
      </c>
      <c r="D28" t="s">
        <v>458</v>
      </c>
      <c r="E28" t="s">
        <v>459</v>
      </c>
      <c r="F28">
        <v>15</v>
      </c>
      <c r="H28">
        <v>1786039261.599999</v>
      </c>
      <c r="I28">
        <f t="shared" si="0"/>
        <v>5.8150115202051141E-4</v>
      </c>
      <c r="J28">
        <f t="shared" si="1"/>
        <v>0.58150115202051145</v>
      </c>
      <c r="K28">
        <f t="shared" si="2"/>
        <v>0.98513188703516652</v>
      </c>
      <c r="L28">
        <f t="shared" si="3"/>
        <v>420.04132258064521</v>
      </c>
      <c r="M28">
        <f t="shared" si="4"/>
        <v>380.06780354073192</v>
      </c>
      <c r="N28">
        <f t="shared" si="5"/>
        <v>37.226286556087956</v>
      </c>
      <c r="O28">
        <f t="shared" si="6"/>
        <v>41.141550255280968</v>
      </c>
      <c r="P28">
        <f t="shared" si="7"/>
        <v>4.9136464673761079E-2</v>
      </c>
      <c r="Q28">
        <f t="shared" si="8"/>
        <v>2.8924944464196587</v>
      </c>
      <c r="R28">
        <f t="shared" si="9"/>
        <v>4.8677413814053647E-2</v>
      </c>
      <c r="S28">
        <f t="shared" si="10"/>
        <v>3.0464269986089795E-2</v>
      </c>
      <c r="T28">
        <f t="shared" si="11"/>
        <v>8.2396931023765525</v>
      </c>
      <c r="U28">
        <f t="shared" si="12"/>
        <v>24.561278128005302</v>
      </c>
      <c r="V28">
        <f t="shared" si="13"/>
        <v>25.038809677419351</v>
      </c>
      <c r="W28">
        <f t="shared" si="14"/>
        <v>3.1870421628081465</v>
      </c>
      <c r="X28">
        <f t="shared" si="15"/>
        <v>65.716625992259978</v>
      </c>
      <c r="Y28">
        <f t="shared" si="16"/>
        <v>2.048242902271709</v>
      </c>
      <c r="Z28">
        <f t="shared" si="17"/>
        <v>3.1167803753542498</v>
      </c>
      <c r="AA28">
        <f t="shared" si="18"/>
        <v>1.1387992605364374</v>
      </c>
      <c r="AB28">
        <f t="shared" si="19"/>
        <v>-25.644200804104553</v>
      </c>
      <c r="AC28">
        <f t="shared" si="20"/>
        <v>-58.244153015149372</v>
      </c>
      <c r="AD28">
        <f t="shared" si="21"/>
        <v>-4.2529766151052915</v>
      </c>
      <c r="AE28">
        <f t="shared" si="22"/>
        <v>-79.90163733198267</v>
      </c>
      <c r="AF28">
        <f t="shared" si="23"/>
        <v>0.98513188703516652</v>
      </c>
      <c r="AG28">
        <f t="shared" si="24"/>
        <v>0.58150115202051145</v>
      </c>
      <c r="AH28">
        <f t="shared" si="25"/>
        <v>1.0360626434906131</v>
      </c>
      <c r="AI28">
        <v>430.17597848778217</v>
      </c>
      <c r="AJ28">
        <v>428.94254545454538</v>
      </c>
      <c r="AK28">
        <v>-6.6929436156140457E-3</v>
      </c>
      <c r="AL28">
        <v>67.094388862321921</v>
      </c>
      <c r="AM28">
        <f t="shared" si="26"/>
        <v>0.54979353976426382</v>
      </c>
      <c r="AN28">
        <v>20.157324783051379</v>
      </c>
      <c r="AO28">
        <v>20.853316969696969</v>
      </c>
      <c r="AP28">
        <v>-8.0806457009231589E-3</v>
      </c>
      <c r="AQ28">
        <v>78.257309328049544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52173.873852776873</v>
      </c>
      <c r="AW28" t="s">
        <v>406</v>
      </c>
      <c r="AX28">
        <v>13248.1</v>
      </c>
      <c r="AY28">
        <v>648.50294117647059</v>
      </c>
      <c r="AZ28">
        <v>2580.59</v>
      </c>
      <c r="BA28">
        <f t="shared" si="30"/>
        <v>0.74869973875103346</v>
      </c>
      <c r="BB28">
        <v>-2.3588818996945191</v>
      </c>
      <c r="BC28" t="s">
        <v>460</v>
      </c>
      <c r="BD28">
        <v>13253.9</v>
      </c>
      <c r="BE28">
        <v>722.13699999999994</v>
      </c>
      <c r="BF28">
        <v>2275.13</v>
      </c>
      <c r="BG28">
        <f t="shared" si="31"/>
        <v>0.68259528026969885</v>
      </c>
      <c r="BH28">
        <v>0.5</v>
      </c>
      <c r="BI28">
        <f t="shared" si="32"/>
        <v>42.128446264644381</v>
      </c>
      <c r="BJ28">
        <f t="shared" si="33"/>
        <v>0.98513188703516652</v>
      </c>
      <c r="BK28">
        <f t="shared" si="34"/>
        <v>14.378339292670939</v>
      </c>
      <c r="BL28">
        <f t="shared" si="35"/>
        <v>7.9376622762755325E-2</v>
      </c>
      <c r="BM28">
        <f t="shared" si="36"/>
        <v>0.1342604598418552</v>
      </c>
      <c r="BN28">
        <f t="shared" si="37"/>
        <v>627.33679310854666</v>
      </c>
      <c r="BO28" t="s">
        <v>408</v>
      </c>
      <c r="BP28">
        <v>0</v>
      </c>
      <c r="BQ28">
        <f t="shared" si="38"/>
        <v>627.33679310854666</v>
      </c>
      <c r="BR28">
        <f t="shared" si="39"/>
        <v>0.72426331985049353</v>
      </c>
      <c r="BS28">
        <f t="shared" si="40"/>
        <v>0.94246838347495498</v>
      </c>
      <c r="BT28">
        <f t="shared" si="41"/>
        <v>0.15638525457031294</v>
      </c>
      <c r="BU28">
        <f t="shared" si="42"/>
        <v>0.95473205832639607</v>
      </c>
      <c r="BV28">
        <f t="shared" si="43"/>
        <v>0.15809846590763782</v>
      </c>
      <c r="BW28">
        <f t="shared" si="44"/>
        <v>0.81874366400748644</v>
      </c>
      <c r="BX28">
        <f t="shared" si="45"/>
        <v>0.18125633599251356</v>
      </c>
      <c r="DG28">
        <f t="shared" si="46"/>
        <v>49.991932258064523</v>
      </c>
      <c r="DH28">
        <f t="shared" si="47"/>
        <v>42.128446264644381</v>
      </c>
      <c r="DI28">
        <f t="shared" si="48"/>
        <v>0.84270489980607555</v>
      </c>
      <c r="DJ28">
        <f t="shared" si="49"/>
        <v>0.16482045662572592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1786039261.599999</v>
      </c>
      <c r="DQ28">
        <v>420.04132258064521</v>
      </c>
      <c r="DR28">
        <v>421.51658064516118</v>
      </c>
      <c r="DS28">
        <v>20.911867741935492</v>
      </c>
      <c r="DT28">
        <v>20.228661290322581</v>
      </c>
      <c r="DU28">
        <v>430.35254838709682</v>
      </c>
      <c r="DV28">
        <v>21.52375806451613</v>
      </c>
      <c r="DW28">
        <v>500.00190322580647</v>
      </c>
      <c r="DX28">
        <v>97.888432258064498</v>
      </c>
      <c r="DY28">
        <v>5.8003112903225823E-2</v>
      </c>
      <c r="DZ28">
        <v>24.665306451612899</v>
      </c>
      <c r="EA28">
        <v>25.038809677419351</v>
      </c>
      <c r="EB28">
        <v>999.90000000000032</v>
      </c>
      <c r="EC28">
        <v>0</v>
      </c>
      <c r="ED28">
        <v>0</v>
      </c>
      <c r="EE28">
        <v>10001.451612903231</v>
      </c>
      <c r="EF28">
        <v>0</v>
      </c>
      <c r="EG28">
        <v>2361.445483870968</v>
      </c>
      <c r="EH28">
        <v>-1.475128709677419</v>
      </c>
      <c r="EI28">
        <v>429.01280645161279</v>
      </c>
      <c r="EJ28">
        <v>430.2192903225806</v>
      </c>
      <c r="EK28">
        <v>0.68321180645161295</v>
      </c>
      <c r="EL28">
        <v>421.51658064516118</v>
      </c>
      <c r="EM28">
        <v>20.228661290322581</v>
      </c>
      <c r="EN28">
        <v>2.047029677419355</v>
      </c>
      <c r="EO28">
        <v>1.9801516129032259</v>
      </c>
      <c r="EP28">
        <v>17.812870967741929</v>
      </c>
      <c r="EQ28">
        <v>17.286396774193541</v>
      </c>
      <c r="ER28">
        <v>49.991932258064523</v>
      </c>
      <c r="ES28">
        <v>0.89980483870967731</v>
      </c>
      <c r="ET28">
        <v>0.10019531612903219</v>
      </c>
      <c r="EU28">
        <v>0</v>
      </c>
      <c r="EV28">
        <v>722.19809677419357</v>
      </c>
      <c r="EW28">
        <v>5.0010700000000003</v>
      </c>
      <c r="EX28">
        <v>5616.2874193548396</v>
      </c>
      <c r="EY28">
        <v>396.1634838709677</v>
      </c>
      <c r="EZ28">
        <v>37.125</v>
      </c>
      <c r="FA28">
        <v>41.625</v>
      </c>
      <c r="FB28">
        <v>39.428999999999988</v>
      </c>
      <c r="FC28">
        <v>41.303999999999981</v>
      </c>
      <c r="FD28">
        <v>39.213419354838699</v>
      </c>
      <c r="FE28">
        <v>40.483225806451621</v>
      </c>
      <c r="FF28">
        <v>4.5074193548387091</v>
      </c>
      <c r="FG28">
        <v>0</v>
      </c>
      <c r="FH28">
        <v>180.70000004768369</v>
      </c>
      <c r="FI28">
        <v>0</v>
      </c>
      <c r="FJ28">
        <v>722.13699999999994</v>
      </c>
      <c r="FK28">
        <v>-0.43235294907936228</v>
      </c>
      <c r="FL28">
        <v>286.96568746137342</v>
      </c>
      <c r="FM28">
        <v>5614.2388235294111</v>
      </c>
      <c r="FN28">
        <v>10</v>
      </c>
      <c r="FO28">
        <v>1786039225.0999999</v>
      </c>
      <c r="FP28" t="s">
        <v>461</v>
      </c>
      <c r="FQ28">
        <v>1786039222.0999999</v>
      </c>
      <c r="FR28">
        <v>1786039225.0999999</v>
      </c>
      <c r="FS28">
        <v>55</v>
      </c>
      <c r="FT28">
        <v>1.7000000000000001E-2</v>
      </c>
      <c r="FU28">
        <v>3.0000000000000001E-3</v>
      </c>
      <c r="FV28">
        <v>-10.317</v>
      </c>
      <c r="FW28">
        <v>-0.621</v>
      </c>
      <c r="FX28">
        <v>422</v>
      </c>
      <c r="FY28">
        <v>21</v>
      </c>
      <c r="FZ28">
        <v>1.67</v>
      </c>
      <c r="GA28">
        <v>0.51</v>
      </c>
      <c r="GB28">
        <v>420.04466666666673</v>
      </c>
      <c r="GC28">
        <v>-0.1638620689639157</v>
      </c>
      <c r="GD28">
        <v>5.2776467819998417E-2</v>
      </c>
      <c r="GE28">
        <v>-1</v>
      </c>
      <c r="GF28">
        <v>722.2966764705883</v>
      </c>
      <c r="GG28">
        <v>-1.4461573777532031</v>
      </c>
      <c r="GH28">
        <v>0.22631364500833159</v>
      </c>
      <c r="GI28">
        <v>1</v>
      </c>
      <c r="GJ28">
        <v>0.66421355000000004</v>
      </c>
      <c r="GK28">
        <v>0.49877963977485962</v>
      </c>
      <c r="GL28">
        <v>6.0482794720048277E-2</v>
      </c>
      <c r="GM28">
        <v>1</v>
      </c>
      <c r="GN28">
        <v>2</v>
      </c>
      <c r="GO28">
        <v>2</v>
      </c>
      <c r="GP28" t="s">
        <v>411</v>
      </c>
      <c r="GQ28">
        <v>3.1311399999999998</v>
      </c>
      <c r="GR28">
        <v>2.73427</v>
      </c>
      <c r="GS28">
        <v>9.2226699999999995E-2</v>
      </c>
      <c r="GT28">
        <v>9.1493699999999997E-2</v>
      </c>
      <c r="GU28">
        <v>0.10341400000000001</v>
      </c>
      <c r="GV28">
        <v>9.9270399999999995E-2</v>
      </c>
      <c r="GW28">
        <v>22722.9</v>
      </c>
      <c r="GX28">
        <v>30195.8</v>
      </c>
      <c r="GY28">
        <v>27154.799999999999</v>
      </c>
      <c r="GZ28">
        <v>34179.800000000003</v>
      </c>
      <c r="HA28">
        <v>35634.800000000003</v>
      </c>
      <c r="HB28">
        <v>38840.400000000001</v>
      </c>
      <c r="HC28">
        <v>40070.9</v>
      </c>
      <c r="HD28">
        <v>43200.3</v>
      </c>
      <c r="HE28">
        <v>1.9632000000000001</v>
      </c>
      <c r="HF28">
        <v>1.7345999999999999</v>
      </c>
      <c r="HG28">
        <v>-0.10252</v>
      </c>
      <c r="HH28">
        <v>0</v>
      </c>
      <c r="HI28">
        <v>26.715199999999999</v>
      </c>
      <c r="HJ28">
        <v>999.9</v>
      </c>
      <c r="HK28">
        <v>52.7</v>
      </c>
      <c r="HL28">
        <v>40.5</v>
      </c>
      <c r="HM28">
        <v>40.988500000000002</v>
      </c>
      <c r="HN28">
        <v>61.2455</v>
      </c>
      <c r="HO28">
        <v>5.0320499999999999</v>
      </c>
      <c r="HP28">
        <v>1</v>
      </c>
      <c r="HQ28">
        <v>0.58621900000000005</v>
      </c>
      <c r="HR28">
        <v>6.5978599999999998</v>
      </c>
      <c r="HS28">
        <v>20.158899999999999</v>
      </c>
      <c r="HT28">
        <v>5.2112999999999996</v>
      </c>
      <c r="HU28">
        <v>11.9129</v>
      </c>
      <c r="HV28">
        <v>4.9851999999999999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1.8672200000000001</v>
      </c>
      <c r="IC28">
        <v>1.8627899999999999</v>
      </c>
      <c r="ID28">
        <v>1.8623400000000001</v>
      </c>
      <c r="IE28">
        <v>1.86188</v>
      </c>
      <c r="IF28">
        <v>1.86188</v>
      </c>
      <c r="IG28">
        <v>1.8624000000000001</v>
      </c>
      <c r="IH28">
        <v>1.8633999999999999</v>
      </c>
      <c r="II28">
        <v>1.8613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-10.311</v>
      </c>
      <c r="IX28">
        <v>-0.61339999999999995</v>
      </c>
      <c r="IY28">
        <v>-8.3071417736269613</v>
      </c>
      <c r="IZ28">
        <v>-5.6215304933332991E-3</v>
      </c>
      <c r="JA28">
        <v>2.3979931213773931E-6</v>
      </c>
      <c r="JB28">
        <v>-3.6297174575716598E-10</v>
      </c>
      <c r="JC28">
        <v>-0.93738167176013709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0.8</v>
      </c>
      <c r="JL28">
        <v>0.7</v>
      </c>
      <c r="JM28">
        <v>1.1059600000000001</v>
      </c>
      <c r="JN28">
        <v>2.5573700000000001</v>
      </c>
      <c r="JO28">
        <v>1.50024</v>
      </c>
      <c r="JP28">
        <v>2.2692899999999998</v>
      </c>
      <c r="JQ28">
        <v>1.4477500000000001</v>
      </c>
      <c r="JR28">
        <v>2.4475099999999999</v>
      </c>
      <c r="JS28">
        <v>44.278700000000001</v>
      </c>
      <c r="JT28">
        <v>16.005800000000001</v>
      </c>
      <c r="JU28">
        <v>18</v>
      </c>
      <c r="JV28">
        <v>544.76199999999994</v>
      </c>
      <c r="JW28">
        <v>411.04899999999998</v>
      </c>
      <c r="JX28">
        <v>20.672699999999999</v>
      </c>
      <c r="JY28">
        <v>34.17</v>
      </c>
      <c r="JZ28">
        <v>30.0015</v>
      </c>
      <c r="KA28">
        <v>34.104700000000001</v>
      </c>
      <c r="KB28">
        <v>34.117199999999997</v>
      </c>
      <c r="KC28">
        <v>22.123200000000001</v>
      </c>
      <c r="KD28">
        <v>50.892899999999997</v>
      </c>
      <c r="KE28">
        <v>0</v>
      </c>
      <c r="KF28">
        <v>20.666599999999999</v>
      </c>
      <c r="KG28">
        <v>421.47800000000001</v>
      </c>
      <c r="KH28">
        <v>20.074100000000001</v>
      </c>
      <c r="KI28">
        <v>100.17700000000001</v>
      </c>
      <c r="KJ28">
        <v>97.360600000000005</v>
      </c>
    </row>
    <row r="29" spans="1:296" x14ac:dyDescent="0.3">
      <c r="A29">
        <v>13</v>
      </c>
      <c r="B29">
        <v>1786039451.0999999</v>
      </c>
      <c r="C29">
        <v>2217.599999904633</v>
      </c>
      <c r="D29" t="s">
        <v>462</v>
      </c>
      <c r="E29" t="s">
        <v>463</v>
      </c>
      <c r="F29">
        <v>15</v>
      </c>
      <c r="H29">
        <v>1786039443.349999</v>
      </c>
      <c r="I29">
        <f t="shared" si="0"/>
        <v>3.5600324920283027E-4</v>
      </c>
      <c r="J29">
        <f t="shared" si="1"/>
        <v>0.35600324920283027</v>
      </c>
      <c r="K29">
        <f t="shared" si="2"/>
        <v>-2.7876548374975045</v>
      </c>
      <c r="L29">
        <f t="shared" si="3"/>
        <v>420.11709999999988</v>
      </c>
      <c r="M29">
        <f t="shared" si="4"/>
        <v>562.87298770907159</v>
      </c>
      <c r="N29">
        <f t="shared" si="5"/>
        <v>55.130029121955999</v>
      </c>
      <c r="O29">
        <f t="shared" si="6"/>
        <v>41.14794716282033</v>
      </c>
      <c r="P29">
        <f t="shared" si="7"/>
        <v>2.9424427160024223E-2</v>
      </c>
      <c r="Q29">
        <f t="shared" si="8"/>
        <v>2.8925486314386579</v>
      </c>
      <c r="R29">
        <f t="shared" si="9"/>
        <v>2.925914689821385E-2</v>
      </c>
      <c r="S29">
        <f t="shared" si="10"/>
        <v>1.8301739051510744E-2</v>
      </c>
      <c r="T29">
        <f t="shared" si="11"/>
        <v>1.5966703903835998E-4</v>
      </c>
      <c r="U29">
        <f t="shared" si="12"/>
        <v>24.35552993712146</v>
      </c>
      <c r="V29">
        <f t="shared" si="13"/>
        <v>24.935253333333328</v>
      </c>
      <c r="W29">
        <f t="shared" si="14"/>
        <v>3.1674242795962293</v>
      </c>
      <c r="X29">
        <f t="shared" si="15"/>
        <v>65.236861520261129</v>
      </c>
      <c r="Y29">
        <f t="shared" si="16"/>
        <v>2.0071960002381486</v>
      </c>
      <c r="Z29">
        <f t="shared" si="17"/>
        <v>3.076781981019669</v>
      </c>
      <c r="AA29">
        <f t="shared" si="18"/>
        <v>1.1602282793580807</v>
      </c>
      <c r="AB29">
        <f t="shared" si="19"/>
        <v>-15.699743289844815</v>
      </c>
      <c r="AC29">
        <f t="shared" si="20"/>
        <v>-75.768584973242142</v>
      </c>
      <c r="AD29">
        <f t="shared" si="21"/>
        <v>-5.5236084040941691</v>
      </c>
      <c r="AE29">
        <f t="shared" si="22"/>
        <v>-96.991777000142093</v>
      </c>
      <c r="AF29">
        <f t="shared" si="23"/>
        <v>-2.7876548374975045</v>
      </c>
      <c r="AG29">
        <f t="shared" si="24"/>
        <v>0.35600324920283027</v>
      </c>
      <c r="AH29">
        <f t="shared" si="25"/>
        <v>-2.8726031999993547</v>
      </c>
      <c r="AI29">
        <v>425.36788488601837</v>
      </c>
      <c r="AJ29">
        <v>428.89505454545429</v>
      </c>
      <c r="AK29">
        <v>-1.784980703692493E-3</v>
      </c>
      <c r="AL29">
        <v>67.094388862321921</v>
      </c>
      <c r="AM29">
        <f t="shared" si="26"/>
        <v>0.37036519410316243</v>
      </c>
      <c r="AN29">
        <v>20.07912698235813</v>
      </c>
      <c r="AO29">
        <v>20.513986666666661</v>
      </c>
      <c r="AP29">
        <v>7.3542219875176546E-5</v>
      </c>
      <c r="AQ29">
        <v>78.257309328049544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52213.255226664522</v>
      </c>
      <c r="AW29" t="s">
        <v>464</v>
      </c>
      <c r="AX29">
        <v>13222.9</v>
      </c>
      <c r="AY29">
        <v>621.32352941176475</v>
      </c>
      <c r="AZ29">
        <v>2436.2800000000002</v>
      </c>
      <c r="BA29">
        <f t="shared" si="30"/>
        <v>0.74497039362808681</v>
      </c>
      <c r="BB29">
        <v>-2.787654837497457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-2.7876548374975045</v>
      </c>
      <c r="BK29" t="e">
        <f t="shared" si="34"/>
        <v>#DIV/0!</v>
      </c>
      <c r="BL29">
        <f t="shared" si="35"/>
        <v>-5.6544755201997057E-11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1.3423352237259945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1786039443.349999</v>
      </c>
      <c r="DQ29">
        <v>420.11709999999988</v>
      </c>
      <c r="DR29">
        <v>416.95143333333328</v>
      </c>
      <c r="DS29">
        <v>20.493303333333341</v>
      </c>
      <c r="DT29">
        <v>20.074860000000001</v>
      </c>
      <c r="DU29">
        <v>430.40210000000002</v>
      </c>
      <c r="DV29">
        <v>21.12330333333334</v>
      </c>
      <c r="DW29">
        <v>500.00686666666672</v>
      </c>
      <c r="DX29">
        <v>97.886109999999974</v>
      </c>
      <c r="DY29">
        <v>5.788505E-2</v>
      </c>
      <c r="DZ29">
        <v>24.449380000000001</v>
      </c>
      <c r="EA29">
        <v>24.935253333333328</v>
      </c>
      <c r="EB29">
        <v>999.9000000000002</v>
      </c>
      <c r="EC29">
        <v>0</v>
      </c>
      <c r="ED29">
        <v>0</v>
      </c>
      <c r="EE29">
        <v>10002</v>
      </c>
      <c r="EF29">
        <v>0</v>
      </c>
      <c r="EG29">
        <v>750.13606666666669</v>
      </c>
      <c r="EH29">
        <v>3.139394666666667</v>
      </c>
      <c r="EI29">
        <v>428.88330000000008</v>
      </c>
      <c r="EJ29">
        <v>425.49313333333339</v>
      </c>
      <c r="EK29">
        <v>0.42614096666666668</v>
      </c>
      <c r="EL29">
        <v>416.95143333333328</v>
      </c>
      <c r="EM29">
        <v>20.074860000000001</v>
      </c>
      <c r="EN29">
        <v>2.0067636666666662</v>
      </c>
      <c r="EO29">
        <v>1.965049666666667</v>
      </c>
      <c r="EP29">
        <v>17.497800000000002</v>
      </c>
      <c r="EQ29">
        <v>17.16549333333333</v>
      </c>
      <c r="ER29">
        <v>1.00021E-2</v>
      </c>
      <c r="ES29">
        <v>0</v>
      </c>
      <c r="ET29">
        <v>0</v>
      </c>
      <c r="EU29">
        <v>0</v>
      </c>
      <c r="EV29">
        <v>621.11666666666656</v>
      </c>
      <c r="EW29">
        <v>1.00021E-2</v>
      </c>
      <c r="EX29">
        <v>2442.103333333333</v>
      </c>
      <c r="EY29">
        <v>2.04</v>
      </c>
      <c r="EZ29">
        <v>37.028933333333327</v>
      </c>
      <c r="FA29">
        <v>41.75</v>
      </c>
      <c r="FB29">
        <v>39.436999999999983</v>
      </c>
      <c r="FC29">
        <v>41.311999999999983</v>
      </c>
      <c r="FD29">
        <v>38.978999999999999</v>
      </c>
      <c r="FE29">
        <v>0</v>
      </c>
      <c r="FF29">
        <v>0</v>
      </c>
      <c r="FG29">
        <v>0</v>
      </c>
      <c r="FH29">
        <v>180.9000000953674</v>
      </c>
      <c r="FI29">
        <v>0</v>
      </c>
      <c r="FJ29">
        <v>621.32352941176475</v>
      </c>
      <c r="FK29">
        <v>-23.602942064262919</v>
      </c>
      <c r="FL29">
        <v>-219.33823541352609</v>
      </c>
      <c r="FM29">
        <v>2431.2382352941172</v>
      </c>
      <c r="FN29">
        <v>10</v>
      </c>
      <c r="FO29">
        <v>1786039468.0999999</v>
      </c>
      <c r="FP29" t="s">
        <v>465</v>
      </c>
      <c r="FQ29">
        <v>1786039468.0999999</v>
      </c>
      <c r="FR29">
        <v>1786039466.0999999</v>
      </c>
      <c r="FS29">
        <v>56</v>
      </c>
      <c r="FT29">
        <v>1.4999999999999999E-2</v>
      </c>
      <c r="FU29">
        <v>2E-3</v>
      </c>
      <c r="FV29">
        <v>-10.285</v>
      </c>
      <c r="FW29">
        <v>-0.63</v>
      </c>
      <c r="FX29">
        <v>417</v>
      </c>
      <c r="FY29">
        <v>20</v>
      </c>
      <c r="FZ29">
        <v>1.47</v>
      </c>
      <c r="GA29">
        <v>0.44</v>
      </c>
      <c r="GB29">
        <v>420.08673333333331</v>
      </c>
      <c r="GC29">
        <v>0.26370634037795632</v>
      </c>
      <c r="GD29">
        <v>5.4593609719655128E-2</v>
      </c>
      <c r="GE29">
        <v>-1</v>
      </c>
      <c r="GF29">
        <v>622.32794117647052</v>
      </c>
      <c r="GG29">
        <v>-13.79602752135253</v>
      </c>
      <c r="GH29">
        <v>4.8117379637542426</v>
      </c>
      <c r="GI29">
        <v>0</v>
      </c>
      <c r="GJ29">
        <v>0.42275050000000008</v>
      </c>
      <c r="GK29">
        <v>7.0314281425889941E-2</v>
      </c>
      <c r="GL29">
        <v>7.3451402062860629E-3</v>
      </c>
      <c r="GM29">
        <v>1</v>
      </c>
      <c r="GN29">
        <v>1</v>
      </c>
      <c r="GO29">
        <v>2</v>
      </c>
      <c r="GP29" t="s">
        <v>444</v>
      </c>
      <c r="GQ29">
        <v>3.1300699999999999</v>
      </c>
      <c r="GR29">
        <v>2.7345199999999998</v>
      </c>
      <c r="GS29">
        <v>9.2194899999999996E-2</v>
      </c>
      <c r="GT29">
        <v>9.0691800000000003E-2</v>
      </c>
      <c r="GU29">
        <v>0.102219</v>
      </c>
      <c r="GV29">
        <v>9.8975400000000005E-2</v>
      </c>
      <c r="GW29">
        <v>22711.4</v>
      </c>
      <c r="GX29">
        <v>30202.400000000001</v>
      </c>
      <c r="GY29">
        <v>27141.7</v>
      </c>
      <c r="GZ29">
        <v>34159.599999999999</v>
      </c>
      <c r="HA29">
        <v>35667.199999999997</v>
      </c>
      <c r="HB29">
        <v>38832.9</v>
      </c>
      <c r="HC29">
        <v>40052.6</v>
      </c>
      <c r="HD29">
        <v>43177.3</v>
      </c>
      <c r="HE29">
        <v>1.9583999999999999</v>
      </c>
      <c r="HF29">
        <v>1.7302</v>
      </c>
      <c r="HG29">
        <v>-0.11131199999999999</v>
      </c>
      <c r="HH29">
        <v>0</v>
      </c>
      <c r="HI29">
        <v>26.765000000000001</v>
      </c>
      <c r="HJ29">
        <v>999.9</v>
      </c>
      <c r="HK29">
        <v>52.8</v>
      </c>
      <c r="HL29">
        <v>40.6</v>
      </c>
      <c r="HM29">
        <v>41.288499999999999</v>
      </c>
      <c r="HN29">
        <v>61.015599999999999</v>
      </c>
      <c r="HO29">
        <v>4.6754800000000003</v>
      </c>
      <c r="HP29">
        <v>1</v>
      </c>
      <c r="HQ29">
        <v>0.60878100000000002</v>
      </c>
      <c r="HR29">
        <v>5.2919</v>
      </c>
      <c r="HS29">
        <v>20.204899999999999</v>
      </c>
      <c r="HT29">
        <v>5.2100999999999997</v>
      </c>
      <c r="HU29">
        <v>11.9117</v>
      </c>
      <c r="HV29">
        <v>4.9828000000000001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1.8672200000000001</v>
      </c>
      <c r="IC29">
        <v>1.8628899999999999</v>
      </c>
      <c r="ID29">
        <v>1.8623700000000001</v>
      </c>
      <c r="IE29">
        <v>1.8620000000000001</v>
      </c>
      <c r="IF29">
        <v>1.8619699999999999</v>
      </c>
      <c r="IG29">
        <v>1.86249</v>
      </c>
      <c r="IH29">
        <v>1.8633999999999999</v>
      </c>
      <c r="II29">
        <v>1.8613900000000001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-10.285</v>
      </c>
      <c r="IX29">
        <v>-0.63</v>
      </c>
      <c r="IY29">
        <v>-8.3071417736269613</v>
      </c>
      <c r="IZ29">
        <v>-5.6215304933332991E-3</v>
      </c>
      <c r="JA29">
        <v>2.3979931213773931E-6</v>
      </c>
      <c r="JB29">
        <v>-3.6297174575716598E-10</v>
      </c>
      <c r="JC29">
        <v>-0.93738167176013709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3.8</v>
      </c>
      <c r="JL29">
        <v>3.8</v>
      </c>
      <c r="JM29">
        <v>1.09619</v>
      </c>
      <c r="JN29">
        <v>2.5524900000000001</v>
      </c>
      <c r="JO29">
        <v>1.50024</v>
      </c>
      <c r="JP29">
        <v>2.2692899999999998</v>
      </c>
      <c r="JQ29">
        <v>1.4477500000000001</v>
      </c>
      <c r="JR29">
        <v>2.4121100000000002</v>
      </c>
      <c r="JS29">
        <v>44.362099999999998</v>
      </c>
      <c r="JT29">
        <v>16.0321</v>
      </c>
      <c r="JU29">
        <v>18</v>
      </c>
      <c r="JV29">
        <v>543.11099999999999</v>
      </c>
      <c r="JW29">
        <v>409.4</v>
      </c>
      <c r="JX29">
        <v>21.402899999999999</v>
      </c>
      <c r="JY29">
        <v>34.524700000000003</v>
      </c>
      <c r="JZ29">
        <v>30.0002</v>
      </c>
      <c r="KA29">
        <v>34.296300000000002</v>
      </c>
      <c r="KB29">
        <v>34.2729</v>
      </c>
      <c r="KC29">
        <v>21.936</v>
      </c>
      <c r="KD29">
        <v>51.4206</v>
      </c>
      <c r="KE29">
        <v>0</v>
      </c>
      <c r="KF29">
        <v>21.3932</v>
      </c>
      <c r="KG29">
        <v>416.83</v>
      </c>
      <c r="KH29">
        <v>20.017299999999999</v>
      </c>
      <c r="KI29">
        <v>100.13</v>
      </c>
      <c r="KJ29">
        <v>97.306200000000004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9FA5-4989-4849-937D-80DFC705FF12}">
  <dimension ref="A2:KJ29"/>
  <sheetViews>
    <sheetView workbookViewId="0">
      <selection activeCell="F15" sqref="F15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1786033808.5</v>
      </c>
      <c r="C17">
        <v>0</v>
      </c>
      <c r="D17" t="s">
        <v>466</v>
      </c>
      <c r="E17" t="s">
        <v>467</v>
      </c>
      <c r="F17">
        <v>15</v>
      </c>
      <c r="H17">
        <v>1786033800.75</v>
      </c>
      <c r="I17">
        <f t="shared" ref="I17:I29" si="0">(J17)/1000</f>
        <v>3.3543091774321555E-3</v>
      </c>
      <c r="J17">
        <f t="shared" ref="J17:J29" si="1">IF(DO17, AM17, AG17)</f>
        <v>3.3543091774321554</v>
      </c>
      <c r="K17">
        <f t="shared" ref="K17:K29" si="2">IF(DO17, AH17, AF17)</f>
        <v>36.163111096764951</v>
      </c>
      <c r="L17">
        <f t="shared" ref="L17:L29" si="3">DQ17 - IF(AT17&gt;1, K17*DK17*100/(AV17), 0)</f>
        <v>419.84809999999987</v>
      </c>
      <c r="M17">
        <f t="shared" ref="M17:M29" si="4">((S17-I17/2)*L17-K17)/(S17+I17/2)</f>
        <v>219.70582126748067</v>
      </c>
      <c r="N17">
        <f t="shared" ref="N17:N29" si="5">M17*(DX17+DY17)/1000</f>
        <v>21.537402079515811</v>
      </c>
      <c r="O17">
        <f t="shared" ref="O17:O29" si="6">(DQ17 - IF(AT17&gt;1, K17*DK17*100/(AV17), 0))*(DX17+DY17)/1000</f>
        <v>41.157022102805605</v>
      </c>
      <c r="P17">
        <f t="shared" ref="P17:P29" si="7">2/((1/R17-1/Q17)+SIGN(R17)*SQRT((1/R17-1/Q17)*(1/R17-1/Q17) + 4*DL17/((DL17+1)*(DL17+1))*(2*1/R17*1/Q17-1/Q17*1/Q17)))</f>
        <v>0.31292145656578457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2.8946268436246716</v>
      </c>
      <c r="R17">
        <f t="shared" ref="R17:R29" si="9">I17*(1000-(1000*0.61365*EXP(17.502*V17/(240.97+V17))/(DX17+DY17)+DS17)/2)/(1000*0.61365*EXP(17.502*V17/(240.97+V17))/(DX17+DY17)-DS17)</f>
        <v>0.29526948287501226</v>
      </c>
      <c r="S17">
        <f t="shared" ref="S17:S29" si="10">1/((DL17+1)/(P17/1.6)+1/(Q17/1.37)) + DL17/((DL17+1)/(P17/1.6) + DL17/(Q17/1.37))</f>
        <v>0.18604635725325136</v>
      </c>
      <c r="T17">
        <f t="shared" ref="T17:T29" si="11">(DG17*DJ17)</f>
        <v>319.77875517747873</v>
      </c>
      <c r="U17">
        <f t="shared" ref="U17:U29" si="12">(DZ17+(T17+2*0.95*0.0000000567*(((DZ17+$B$7)+273)^4-(DZ17+273)^4)-44100*I17)/(1.84*29.3*Q17+8*0.95*0.0000000567*(DZ17+273)^3))</f>
        <v>25.980456936616182</v>
      </c>
      <c r="V17">
        <f t="shared" ref="V17:V29" si="13">($C$7*EA17+$D$7*EB17+$E$7*U17)</f>
        <v>25.004206666666668</v>
      </c>
      <c r="W17">
        <f t="shared" ref="W17:W29" si="14">0.61365*EXP(17.502*V17/(240.97+V17))</f>
        <v>3.1804751330161443</v>
      </c>
      <c r="X17">
        <f t="shared" ref="X17:X29" si="15">(Y17/Z17*100)</f>
        <v>66.125239134641618</v>
      </c>
      <c r="Y17">
        <f t="shared" ref="Y17:Y29" si="16">DS17*(DX17+DY17)/1000</f>
        <v>2.0968325739722014</v>
      </c>
      <c r="Z17">
        <f t="shared" ref="Z17:Z29" si="17">0.61365*EXP(17.502*DZ17/(240.97+DZ17))</f>
        <v>3.1710018767610251</v>
      </c>
      <c r="AA17">
        <f t="shared" ref="AA17:AA29" si="18">(W17-DS17*(DX17+DY17)/1000)</f>
        <v>1.0836425590439429</v>
      </c>
      <c r="AB17">
        <f t="shared" ref="AB17:AB29" si="19">(-I17*44100)</f>
        <v>-147.92503472475806</v>
      </c>
      <c r="AC17">
        <f t="shared" ref="AC17:AC29" si="20">2*29.3*Q17*0.92*(DZ17-V17)</f>
        <v>-7.8069175896052974</v>
      </c>
      <c r="AD17">
        <f t="shared" ref="AD17:AD29" si="21">2*0.95*0.0000000567*(((DZ17+$B$7)+273)^4-(V17+273)^4)</f>
        <v>-0.57036916770829005</v>
      </c>
      <c r="AE17">
        <f t="shared" ref="AE17:AE29" si="22">T17+AD17+AB17+AC17</f>
        <v>163.47643369540708</v>
      </c>
      <c r="AF17">
        <f t="shared" ref="AF17:AF29" si="23">DW17*AT17*(DR17-DQ17*(1000-AT17*DT17)/(1000-AT17*DS17))/(100*DK17)</f>
        <v>36.163111096764951</v>
      </c>
      <c r="AG17">
        <f t="shared" ref="AG17:AG29" si="24">1000*DW17*AT17*(DS17-DT17)/(100*DK17*(1000-AT17*DS17))</f>
        <v>3.3543091774321554</v>
      </c>
      <c r="AH17">
        <f t="shared" ref="AH17:AH29" si="25">(AI17 - AJ17 - DX17*1000/(8.314*(DZ17+273.15)) * AL17/DW17 * AK17) * DW17/(100*DK17) * (1000 - DT17)/1000</f>
        <v>36.299814222724351</v>
      </c>
      <c r="AI17">
        <v>473.29284289594023</v>
      </c>
      <c r="AJ17">
        <v>428.99719393939398</v>
      </c>
      <c r="AK17">
        <v>-7.1201781600875947E-3</v>
      </c>
      <c r="AL17">
        <v>67.079457310166006</v>
      </c>
      <c r="AM17">
        <f t="shared" ref="AM17:AM29" si="26">(AO17 - AN17 + DX17*1000/(8.314*(DZ17+273.15)) * AQ17/DW17 * AP17) * DW17/(100*DK17) * 1000/(1000 - AO17)</f>
        <v>3.2802836300915037</v>
      </c>
      <c r="AN17">
        <v>17.37742851037078</v>
      </c>
      <c r="AO17">
        <v>21.310037575757569</v>
      </c>
      <c r="AP17">
        <v>-1.296074591246401E-2</v>
      </c>
      <c r="AQ17">
        <v>78.217096659253713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52186.541528923524</v>
      </c>
      <c r="AW17" t="s">
        <v>468</v>
      </c>
      <c r="AX17">
        <v>13243.1</v>
      </c>
      <c r="AY17">
        <v>653.55000000000007</v>
      </c>
      <c r="AZ17">
        <v>2662</v>
      </c>
      <c r="BA17">
        <f t="shared" ref="BA17:BA29" si="30">1-AY17/AZ17</f>
        <v>0.75448910593538687</v>
      </c>
      <c r="BB17">
        <v>-2.0596600778842</v>
      </c>
      <c r="BC17" t="s">
        <v>469</v>
      </c>
      <c r="BD17">
        <v>13205</v>
      </c>
      <c r="BE17">
        <v>927.21570588235295</v>
      </c>
      <c r="BF17">
        <v>1126.76</v>
      </c>
      <c r="BG17">
        <f t="shared" ref="BG17:BG29" si="31">1-BE17/BF17</f>
        <v>0.17709564957723656</v>
      </c>
      <c r="BH17">
        <v>0.5</v>
      </c>
      <c r="BI17">
        <f t="shared" ref="BI17:BI29" si="32">DH17</f>
        <v>1680.306941335481</v>
      </c>
      <c r="BJ17">
        <f t="shared" ref="BJ17:BJ29" si="33">K17</f>
        <v>36.163111096764951</v>
      </c>
      <c r="BK17">
        <f t="shared" ref="BK17:BK29" si="34">BG17*BH17*BI17</f>
        <v>148.78752463247326</v>
      </c>
      <c r="BL17">
        <f t="shared" ref="BL17:BL29" si="35">(BJ17-BB17)/BI17</f>
        <v>2.2747493469419525E-2</v>
      </c>
      <c r="BM17">
        <f t="shared" ref="BM17:BM29" si="36">(AZ17-BF17)/BF17</f>
        <v>1.3625261812630907</v>
      </c>
      <c r="BN17">
        <f t="shared" ref="BN17:BN29" si="37">AY17/(BA17+AY17/BF17)</f>
        <v>489.72847044881428</v>
      </c>
      <c r="BO17" t="s">
        <v>408</v>
      </c>
      <c r="BP17">
        <v>0</v>
      </c>
      <c r="BQ17">
        <f t="shared" ref="BQ17:BQ29" si="38">IF(BP17&lt;&gt;0, BP17, BN17)</f>
        <v>489.72847044881428</v>
      </c>
      <c r="BR17">
        <f t="shared" ref="BR17:BR29" si="39">1-BQ17/BF17</f>
        <v>0.56536576515955983</v>
      </c>
      <c r="BS17">
        <f t="shared" ref="BS17:BS29" si="40">(BF17-BE17)/(BF17-BQ17)</f>
        <v>0.31324084422985154</v>
      </c>
      <c r="BT17">
        <f t="shared" ref="BT17:BT29" si="41">(AZ17-BF17)/(AZ17-BQ17)</f>
        <v>0.70674405989991351</v>
      </c>
      <c r="BU17">
        <f t="shared" ref="BU17:BU29" si="42">(BF17-BE17)/(BF17-AY17)</f>
        <v>0.42168232733384137</v>
      </c>
      <c r="BV17">
        <f t="shared" ref="BV17:BV29" si="43">(AZ17-BF17)/(AZ17-AY17)</f>
        <v>0.76439045034728281</v>
      </c>
      <c r="BW17">
        <f t="shared" ref="BW17:BW29" si="44">(BS17*BQ17/BE17)</f>
        <v>0.16544473799740031</v>
      </c>
      <c r="BX17">
        <f t="shared" ref="BX17:BX29" si="45">(1-BW17)</f>
        <v>0.83455526200259966</v>
      </c>
      <c r="DG17">
        <f t="shared" ref="DG17:DG29" si="46">$B$11*EF17+$C$11*EG17+$F$11*ER17*(1-EU17)</f>
        <v>2000.009333333333</v>
      </c>
      <c r="DH17">
        <f t="shared" ref="DH17:DH29" si="47">DG17*DI17</f>
        <v>1680.306941335481</v>
      </c>
      <c r="DI17">
        <f t="shared" ref="DI17:DI29" si="48">($B$11*$D$9+$C$11*$D$9+$F$11*((FE17+EW17)/MAX(FE17+EW17+FF17, 0.1)*$I$9+FF17/MAX(FE17+EW17+FF17, 0.1)*$J$9))/($B$11+$C$11+$F$11)</f>
        <v>0.84014954996984081</v>
      </c>
      <c r="DJ17">
        <f t="shared" ref="DJ17:DJ29" si="49">($B$11*$K$9+$C$11*$K$9+$F$11*((FE17+EW17)/MAX(FE17+EW17+FF17, 0.1)*$P$9+FF17/MAX(FE17+EW17+FF17, 0.1)*$Q$9))/($B$11+$C$11+$F$11)</f>
        <v>0.15988863144179266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1786033800.75</v>
      </c>
      <c r="DQ17">
        <v>419.84809999999987</v>
      </c>
      <c r="DR17">
        <v>464.93376666666671</v>
      </c>
      <c r="DS17">
        <v>21.390059999999998</v>
      </c>
      <c r="DT17">
        <v>17.450990000000001</v>
      </c>
      <c r="DU17">
        <v>429.82906666666668</v>
      </c>
      <c r="DV17">
        <v>21.898679999999999</v>
      </c>
      <c r="DW17">
        <v>500.00029999999998</v>
      </c>
      <c r="DX17">
        <v>97.981710000000007</v>
      </c>
      <c r="DY17">
        <v>4.6653359999999998E-2</v>
      </c>
      <c r="DZ17">
        <v>24.954180000000001</v>
      </c>
      <c r="EA17">
        <v>25.004206666666668</v>
      </c>
      <c r="EB17">
        <v>999.9000000000002</v>
      </c>
      <c r="EC17">
        <v>0</v>
      </c>
      <c r="ED17">
        <v>0</v>
      </c>
      <c r="EE17">
        <v>10004.16666666667</v>
      </c>
      <c r="EF17">
        <v>0</v>
      </c>
      <c r="EG17">
        <v>688.78819999999985</v>
      </c>
      <c r="EH17">
        <v>-45.085650000000001</v>
      </c>
      <c r="EI17">
        <v>429.02499999999998</v>
      </c>
      <c r="EJ17">
        <v>473.19143333333329</v>
      </c>
      <c r="EK17">
        <v>3.9390796666666659</v>
      </c>
      <c r="EL17">
        <v>464.93376666666671</v>
      </c>
      <c r="EM17">
        <v>17.450990000000001</v>
      </c>
      <c r="EN17">
        <v>2.0958346666666672</v>
      </c>
      <c r="EO17">
        <v>1.709876</v>
      </c>
      <c r="EP17">
        <v>18.187539999999998</v>
      </c>
      <c r="EQ17">
        <v>14.986143333333329</v>
      </c>
      <c r="ER17">
        <v>2000.009333333333</v>
      </c>
      <c r="ES17">
        <v>0.99500013333333348</v>
      </c>
      <c r="ET17">
        <v>4.9995823333333347E-3</v>
      </c>
      <c r="EU17">
        <v>0</v>
      </c>
      <c r="EV17">
        <v>927.4047999999998</v>
      </c>
      <c r="EW17">
        <v>5.0010700000000003</v>
      </c>
      <c r="EX17">
        <v>22080.076666666671</v>
      </c>
      <c r="EY17">
        <v>18241.73</v>
      </c>
      <c r="EZ17">
        <v>39.375</v>
      </c>
      <c r="FA17">
        <v>40.75826666666665</v>
      </c>
      <c r="FB17">
        <v>39.920466666666663</v>
      </c>
      <c r="FC17">
        <v>40.349799999999988</v>
      </c>
      <c r="FD17">
        <v>40.520666666666664</v>
      </c>
      <c r="FE17">
        <v>1985.0293333333329</v>
      </c>
      <c r="FF17">
        <v>9.9700000000000042</v>
      </c>
      <c r="FG17">
        <v>0</v>
      </c>
      <c r="FH17">
        <v>1661.6000001430509</v>
      </c>
      <c r="FI17">
        <v>0</v>
      </c>
      <c r="FJ17">
        <v>927.21570588235295</v>
      </c>
      <c r="FK17">
        <v>-3.325245060106107</v>
      </c>
      <c r="FL17">
        <v>3265.0245100656161</v>
      </c>
      <c r="FM17">
        <v>22160.335294117649</v>
      </c>
      <c r="FN17">
        <v>10</v>
      </c>
      <c r="FO17">
        <v>1786033697.5</v>
      </c>
      <c r="FP17" t="s">
        <v>470</v>
      </c>
      <c r="FQ17">
        <v>1786033694.5</v>
      </c>
      <c r="FR17">
        <v>1786033697.5</v>
      </c>
      <c r="FS17">
        <v>31</v>
      </c>
      <c r="FT17">
        <v>-0.28399999999999997</v>
      </c>
      <c r="FU17">
        <v>1.2999999999999999E-2</v>
      </c>
      <c r="FV17">
        <v>-10.141999999999999</v>
      </c>
      <c r="FW17">
        <v>-0.59799999999999998</v>
      </c>
      <c r="FX17">
        <v>463</v>
      </c>
      <c r="FY17">
        <v>18</v>
      </c>
      <c r="FZ17">
        <v>0.14000000000000001</v>
      </c>
      <c r="GA17">
        <v>0.08</v>
      </c>
      <c r="GB17">
        <v>419.8413870967741</v>
      </c>
      <c r="GC17">
        <v>0.27691935483791508</v>
      </c>
      <c r="GD17">
        <v>5.6962170479756609E-2</v>
      </c>
      <c r="GE17">
        <v>-1</v>
      </c>
      <c r="GF17">
        <v>927.60288235294104</v>
      </c>
      <c r="GG17">
        <v>-3.9663559986620891</v>
      </c>
      <c r="GH17">
        <v>0.4492548578876317</v>
      </c>
      <c r="GI17">
        <v>1</v>
      </c>
      <c r="GJ17">
        <v>3.771483414634146</v>
      </c>
      <c r="GK17">
        <v>2.2960641114982581</v>
      </c>
      <c r="GL17">
        <v>0.25035290848787889</v>
      </c>
      <c r="GM17">
        <v>0</v>
      </c>
      <c r="GN17">
        <v>1</v>
      </c>
      <c r="GO17">
        <v>2</v>
      </c>
      <c r="GP17" t="s">
        <v>444</v>
      </c>
      <c r="GQ17">
        <v>3.1303200000000002</v>
      </c>
      <c r="GR17">
        <v>2.7225700000000002</v>
      </c>
      <c r="GS17">
        <v>9.3274599999999999E-2</v>
      </c>
      <c r="GT17">
        <v>9.9658200000000002E-2</v>
      </c>
      <c r="GU17">
        <v>0.10581599999999999</v>
      </c>
      <c r="GV17">
        <v>8.9722899999999994E-2</v>
      </c>
      <c r="GW17">
        <v>22839.5</v>
      </c>
      <c r="GX17">
        <v>30161.3</v>
      </c>
      <c r="GY17">
        <v>27305.7</v>
      </c>
      <c r="GZ17">
        <v>34421.4</v>
      </c>
      <c r="HA17">
        <v>35707.4</v>
      </c>
      <c r="HB17">
        <v>39482.6</v>
      </c>
      <c r="HC17">
        <v>40278.9</v>
      </c>
      <c r="HD17">
        <v>43458.2</v>
      </c>
      <c r="HE17">
        <v>2.0059999999999998</v>
      </c>
      <c r="HF17">
        <v>1.851</v>
      </c>
      <c r="HG17">
        <v>-2.2113299999999999E-2</v>
      </c>
      <c r="HH17">
        <v>0</v>
      </c>
      <c r="HI17">
        <v>25.374700000000001</v>
      </c>
      <c r="HJ17">
        <v>999.9</v>
      </c>
      <c r="HK17">
        <v>60.4</v>
      </c>
      <c r="HL17">
        <v>34.200000000000003</v>
      </c>
      <c r="HM17">
        <v>33.307499999999997</v>
      </c>
      <c r="HN17">
        <v>60.264699999999998</v>
      </c>
      <c r="HO17">
        <v>4.8036899999999996</v>
      </c>
      <c r="HP17">
        <v>1</v>
      </c>
      <c r="HQ17">
        <v>0.21365899999999999</v>
      </c>
      <c r="HR17">
        <v>3.6857099999999998</v>
      </c>
      <c r="HS17">
        <v>20.2315</v>
      </c>
      <c r="HT17">
        <v>5.2125000000000004</v>
      </c>
      <c r="HU17">
        <v>11.902100000000001</v>
      </c>
      <c r="HV17">
        <v>4.9855999999999998</v>
      </c>
      <c r="HW17">
        <v>3.2702</v>
      </c>
      <c r="HX17">
        <v>9999</v>
      </c>
      <c r="HY17">
        <v>9999</v>
      </c>
      <c r="HZ17">
        <v>9999</v>
      </c>
      <c r="IA17">
        <v>999.9</v>
      </c>
      <c r="IB17">
        <v>1.86697</v>
      </c>
      <c r="IC17">
        <v>1.8626100000000001</v>
      </c>
      <c r="ID17">
        <v>1.86206</v>
      </c>
      <c r="IE17">
        <v>1.8615699999999999</v>
      </c>
      <c r="IF17">
        <v>1.8616600000000001</v>
      </c>
      <c r="IG17">
        <v>1.8623099999999999</v>
      </c>
      <c r="IH17">
        <v>1.8631599999999999</v>
      </c>
      <c r="II17">
        <v>1.86121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-9.9809999999999999</v>
      </c>
      <c r="IX17">
        <v>-0.51080000000000003</v>
      </c>
      <c r="IY17">
        <v>-7.9788583756465954</v>
      </c>
      <c r="IZ17">
        <v>-5.6215304933332991E-3</v>
      </c>
      <c r="JA17">
        <v>2.3979931213773931E-6</v>
      </c>
      <c r="JB17">
        <v>-3.6297174575716598E-10</v>
      </c>
      <c r="JC17">
        <v>-0.84396626259941132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1.9</v>
      </c>
      <c r="JL17">
        <v>1.9</v>
      </c>
      <c r="JM17">
        <v>1.1926300000000001</v>
      </c>
      <c r="JN17">
        <v>2.52319</v>
      </c>
      <c r="JO17">
        <v>1.50024</v>
      </c>
      <c r="JP17">
        <v>2.2741699999999998</v>
      </c>
      <c r="JQ17">
        <v>1.4477500000000001</v>
      </c>
      <c r="JR17">
        <v>2.3278799999999999</v>
      </c>
      <c r="JS17">
        <v>38.305599999999998</v>
      </c>
      <c r="JT17">
        <v>15.804399999999999</v>
      </c>
      <c r="JU17">
        <v>18</v>
      </c>
      <c r="JV17">
        <v>535.27</v>
      </c>
      <c r="JW17">
        <v>451.17500000000001</v>
      </c>
      <c r="JX17">
        <v>21.188700000000001</v>
      </c>
      <c r="JY17">
        <v>29.856200000000001</v>
      </c>
      <c r="JZ17">
        <v>30.001999999999999</v>
      </c>
      <c r="KA17">
        <v>29.660799999999998</v>
      </c>
      <c r="KB17">
        <v>29.6432</v>
      </c>
      <c r="KC17">
        <v>23.855899999999998</v>
      </c>
      <c r="KD17">
        <v>49.615099999999998</v>
      </c>
      <c r="KE17">
        <v>0</v>
      </c>
      <c r="KF17">
        <v>21.161000000000001</v>
      </c>
      <c r="KG17">
        <v>464.95800000000003</v>
      </c>
      <c r="KH17">
        <v>17.204499999999999</v>
      </c>
      <c r="KI17">
        <v>100.711</v>
      </c>
      <c r="KJ17">
        <v>97.989199999999997</v>
      </c>
    </row>
    <row r="18" spans="1:296" x14ac:dyDescent="0.3">
      <c r="A18">
        <v>2</v>
      </c>
      <c r="B18">
        <v>1786033990</v>
      </c>
      <c r="C18">
        <v>181.5</v>
      </c>
      <c r="D18" t="s">
        <v>471</v>
      </c>
      <c r="E18" t="s">
        <v>472</v>
      </c>
      <c r="F18">
        <v>15</v>
      </c>
      <c r="H18">
        <v>1786033982.25</v>
      </c>
      <c r="I18">
        <f t="shared" si="0"/>
        <v>3.0722293367598814E-3</v>
      </c>
      <c r="J18">
        <f t="shared" si="1"/>
        <v>3.0722293367598814</v>
      </c>
      <c r="K18">
        <f t="shared" si="2"/>
        <v>34.851733756203998</v>
      </c>
      <c r="L18">
        <f t="shared" si="3"/>
        <v>420.03636666666671</v>
      </c>
      <c r="M18">
        <f t="shared" si="4"/>
        <v>203.19395218449932</v>
      </c>
      <c r="N18">
        <f t="shared" si="5"/>
        <v>19.918919598386477</v>
      </c>
      <c r="O18">
        <f t="shared" si="6"/>
        <v>41.175785627885276</v>
      </c>
      <c r="P18">
        <f t="shared" si="7"/>
        <v>0.27617643154836263</v>
      </c>
      <c r="Q18">
        <f t="shared" si="8"/>
        <v>2.8935458889358232</v>
      </c>
      <c r="R18">
        <f t="shared" si="9"/>
        <v>0.26232324796013706</v>
      </c>
      <c r="S18">
        <f t="shared" si="10"/>
        <v>0.16513875791451876</v>
      </c>
      <c r="T18">
        <f t="shared" si="11"/>
        <v>271.90523881290318</v>
      </c>
      <c r="U18">
        <f t="shared" si="12"/>
        <v>25.82520215026026</v>
      </c>
      <c r="V18">
        <f t="shared" si="13"/>
        <v>24.988346666666661</v>
      </c>
      <c r="W18">
        <f t="shared" si="14"/>
        <v>3.1774691440455691</v>
      </c>
      <c r="X18">
        <f t="shared" si="15"/>
        <v>64.748645422058459</v>
      </c>
      <c r="Y18">
        <f t="shared" si="16"/>
        <v>2.0600599018700145</v>
      </c>
      <c r="Z18">
        <f t="shared" si="17"/>
        <v>3.1816262540192026</v>
      </c>
      <c r="AA18">
        <f t="shared" si="18"/>
        <v>1.1174092421755546</v>
      </c>
      <c r="AB18">
        <f t="shared" si="19"/>
        <v>-135.48531375111077</v>
      </c>
      <c r="AC18">
        <f t="shared" si="20"/>
        <v>3.4210108319985593</v>
      </c>
      <c r="AD18">
        <f t="shared" si="21"/>
        <v>0.25008121243275722</v>
      </c>
      <c r="AE18">
        <f t="shared" si="22"/>
        <v>140.09101710622372</v>
      </c>
      <c r="AF18">
        <f t="shared" si="23"/>
        <v>34.851733756203998</v>
      </c>
      <c r="AG18">
        <f t="shared" si="24"/>
        <v>3.0722293367598814</v>
      </c>
      <c r="AH18">
        <f t="shared" si="25"/>
        <v>34.860811860954442</v>
      </c>
      <c r="AI18">
        <v>471.54868777874299</v>
      </c>
      <c r="AJ18">
        <v>429.01979999999969</v>
      </c>
      <c r="AK18">
        <v>-7.8344902070539204E-3</v>
      </c>
      <c r="AL18">
        <v>67.0783040768153</v>
      </c>
      <c r="AM18">
        <f t="shared" si="26"/>
        <v>3.0689608640654651</v>
      </c>
      <c r="AN18">
        <v>17.411494749319779</v>
      </c>
      <c r="AO18">
        <v>21.016478181818179</v>
      </c>
      <c r="AP18">
        <v>1.0928033106823621E-5</v>
      </c>
      <c r="AQ18">
        <v>78.211776870566226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52145.675698239247</v>
      </c>
      <c r="AW18" t="s">
        <v>468</v>
      </c>
      <c r="AX18">
        <v>13243.1</v>
      </c>
      <c r="AY18">
        <v>653.55000000000007</v>
      </c>
      <c r="AZ18">
        <v>2662</v>
      </c>
      <c r="BA18">
        <f t="shared" si="30"/>
        <v>0.75448910593538687</v>
      </c>
      <c r="BB18">
        <v>-2.0596600778842</v>
      </c>
      <c r="BC18" t="s">
        <v>473</v>
      </c>
      <c r="BD18">
        <v>13213.8</v>
      </c>
      <c r="BE18">
        <v>911.62047058823532</v>
      </c>
      <c r="BF18">
        <v>1150.93</v>
      </c>
      <c r="BG18">
        <f t="shared" si="31"/>
        <v>0.2079270932304873</v>
      </c>
      <c r="BH18">
        <v>0.5</v>
      </c>
      <c r="BI18">
        <f t="shared" si="32"/>
        <v>1428.2916205248198</v>
      </c>
      <c r="BJ18">
        <f t="shared" si="33"/>
        <v>34.851733756203998</v>
      </c>
      <c r="BK18">
        <f t="shared" si="34"/>
        <v>148.49026247059399</v>
      </c>
      <c r="BL18">
        <f t="shared" si="35"/>
        <v>2.5843037446740227E-2</v>
      </c>
      <c r="BM18">
        <f t="shared" si="36"/>
        <v>1.3129121666825956</v>
      </c>
      <c r="BN18">
        <f t="shared" si="37"/>
        <v>494.23964100330505</v>
      </c>
      <c r="BO18" t="s">
        <v>408</v>
      </c>
      <c r="BP18">
        <v>0</v>
      </c>
      <c r="BQ18">
        <f t="shared" si="38"/>
        <v>494.23964100330505</v>
      </c>
      <c r="BR18">
        <f t="shared" si="39"/>
        <v>0.57057367433005912</v>
      </c>
      <c r="BS18">
        <f t="shared" si="40"/>
        <v>0.36441760737493806</v>
      </c>
      <c r="BT18">
        <f t="shared" si="41"/>
        <v>0.69706505782741079</v>
      </c>
      <c r="BU18">
        <f t="shared" si="42"/>
        <v>0.4811402336478442</v>
      </c>
      <c r="BV18">
        <f t="shared" si="43"/>
        <v>0.75235629465508236</v>
      </c>
      <c r="BW18">
        <f t="shared" si="44"/>
        <v>0.19757084582365136</v>
      </c>
      <c r="BX18">
        <f t="shared" si="45"/>
        <v>0.80242915417634864</v>
      </c>
      <c r="DG18">
        <f t="shared" si="46"/>
        <v>1699.984666666666</v>
      </c>
      <c r="DH18">
        <f t="shared" si="47"/>
        <v>1428.2916205248198</v>
      </c>
      <c r="DI18">
        <f t="shared" si="48"/>
        <v>0.84017911957136493</v>
      </c>
      <c r="DJ18">
        <f t="shared" si="49"/>
        <v>0.15994570077273437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1786033982.25</v>
      </c>
      <c r="DQ18">
        <v>420.03636666666671</v>
      </c>
      <c r="DR18">
        <v>463.40333333333342</v>
      </c>
      <c r="DS18">
        <v>21.014779999999998</v>
      </c>
      <c r="DT18">
        <v>17.405883333333339</v>
      </c>
      <c r="DU18">
        <v>430.16006666666658</v>
      </c>
      <c r="DV18">
        <v>21.53353666666667</v>
      </c>
      <c r="DW18">
        <v>500.04209999999989</v>
      </c>
      <c r="DX18">
        <v>97.981343333333356</v>
      </c>
      <c r="DY18">
        <v>4.7753419999999998E-2</v>
      </c>
      <c r="DZ18">
        <v>25.01027666666667</v>
      </c>
      <c r="EA18">
        <v>24.988346666666661</v>
      </c>
      <c r="EB18">
        <v>999.9000000000002</v>
      </c>
      <c r="EC18">
        <v>0</v>
      </c>
      <c r="ED18">
        <v>0</v>
      </c>
      <c r="EE18">
        <v>9998</v>
      </c>
      <c r="EF18">
        <v>0</v>
      </c>
      <c r="EG18">
        <v>427.89263333333332</v>
      </c>
      <c r="EH18">
        <v>-43.366809999999987</v>
      </c>
      <c r="EI18">
        <v>429.05299999999988</v>
      </c>
      <c r="EJ18">
        <v>471.61206666666669</v>
      </c>
      <c r="EK18">
        <v>3.608897666666667</v>
      </c>
      <c r="EL18">
        <v>463.40333333333342</v>
      </c>
      <c r="EM18">
        <v>17.405883333333339</v>
      </c>
      <c r="EN18">
        <v>2.0590556666666671</v>
      </c>
      <c r="EO18">
        <v>1.7054510000000001</v>
      </c>
      <c r="EP18">
        <v>17.905930000000001</v>
      </c>
      <c r="EQ18">
        <v>14.94613666666667</v>
      </c>
      <c r="ER18">
        <v>1699.984666666666</v>
      </c>
      <c r="ES18">
        <v>0.99400943333333314</v>
      </c>
      <c r="ET18">
        <v>5.9908946666666673E-3</v>
      </c>
      <c r="EU18">
        <v>0</v>
      </c>
      <c r="EV18">
        <v>911.76076666666677</v>
      </c>
      <c r="EW18">
        <v>5.0010700000000003</v>
      </c>
      <c r="EX18">
        <v>18040.94333333334</v>
      </c>
      <c r="EY18">
        <v>15492.43333333334</v>
      </c>
      <c r="EZ18">
        <v>39.436999999999983</v>
      </c>
      <c r="FA18">
        <v>41.186999999999983</v>
      </c>
      <c r="FB18">
        <v>40.226900000000001</v>
      </c>
      <c r="FC18">
        <v>40.811999999999983</v>
      </c>
      <c r="FD18">
        <v>40.716399999999993</v>
      </c>
      <c r="FE18">
        <v>1684.830666666666</v>
      </c>
      <c r="FF18">
        <v>10.15</v>
      </c>
      <c r="FG18">
        <v>0</v>
      </c>
      <c r="FH18">
        <v>180.70000004768369</v>
      </c>
      <c r="FI18">
        <v>0</v>
      </c>
      <c r="FJ18">
        <v>911.62047058823532</v>
      </c>
      <c r="FK18">
        <v>-2.3443627476326649</v>
      </c>
      <c r="FL18">
        <v>-321.54411869093678</v>
      </c>
      <c r="FM18">
        <v>18019.76470588235</v>
      </c>
      <c r="FN18">
        <v>10</v>
      </c>
      <c r="FO18">
        <v>1786033873</v>
      </c>
      <c r="FP18" t="s">
        <v>474</v>
      </c>
      <c r="FQ18">
        <v>1786033872.5</v>
      </c>
      <c r="FR18">
        <v>1786033873</v>
      </c>
      <c r="FS18">
        <v>32</v>
      </c>
      <c r="FT18">
        <v>-0.14099999999999999</v>
      </c>
      <c r="FU18">
        <v>-1E-3</v>
      </c>
      <c r="FV18">
        <v>-10.284000000000001</v>
      </c>
      <c r="FW18">
        <v>-0.61</v>
      </c>
      <c r="FX18">
        <v>463</v>
      </c>
      <c r="FY18">
        <v>17</v>
      </c>
      <c r="FZ18">
        <v>0.18</v>
      </c>
      <c r="GA18">
        <v>0.05</v>
      </c>
      <c r="GB18">
        <v>420.03489999999999</v>
      </c>
      <c r="GC18">
        <v>0.11567519466062059</v>
      </c>
      <c r="GD18">
        <v>5.9650845202171503E-2</v>
      </c>
      <c r="GE18">
        <v>-1</v>
      </c>
      <c r="GF18">
        <v>911.90261764705883</v>
      </c>
      <c r="GG18">
        <v>-3.116012219723387</v>
      </c>
      <c r="GH18">
        <v>0.35946070837443478</v>
      </c>
      <c r="GI18">
        <v>1</v>
      </c>
      <c r="GJ18">
        <v>3.6138119999999998</v>
      </c>
      <c r="GK18">
        <v>-8.575497185741035E-2</v>
      </c>
      <c r="GL18">
        <v>9.0951545341461642E-3</v>
      </c>
      <c r="GM18">
        <v>1</v>
      </c>
      <c r="GN18">
        <v>2</v>
      </c>
      <c r="GO18">
        <v>2</v>
      </c>
      <c r="GP18" t="s">
        <v>411</v>
      </c>
      <c r="GQ18">
        <v>3.12988</v>
      </c>
      <c r="GR18">
        <v>2.7239300000000002</v>
      </c>
      <c r="GS18">
        <v>9.3203800000000003E-2</v>
      </c>
      <c r="GT18">
        <v>9.9255700000000002E-2</v>
      </c>
      <c r="GU18">
        <v>0.104744</v>
      </c>
      <c r="GV18">
        <v>9.0315999999999994E-2</v>
      </c>
      <c r="GW18">
        <v>22824.400000000001</v>
      </c>
      <c r="GX18">
        <v>30148.799999999999</v>
      </c>
      <c r="GY18">
        <v>27287.599999999999</v>
      </c>
      <c r="GZ18">
        <v>34394.9</v>
      </c>
      <c r="HA18">
        <v>35729.4</v>
      </c>
      <c r="HB18">
        <v>39434.1</v>
      </c>
      <c r="HC18">
        <v>40253</v>
      </c>
      <c r="HD18">
        <v>43432.7</v>
      </c>
      <c r="HE18">
        <v>2.0002</v>
      </c>
      <c r="HF18">
        <v>1.8431999999999999</v>
      </c>
      <c r="HG18">
        <v>-2.8908300000000001E-2</v>
      </c>
      <c r="HH18">
        <v>0</v>
      </c>
      <c r="HI18">
        <v>25.461600000000001</v>
      </c>
      <c r="HJ18">
        <v>999.9</v>
      </c>
      <c r="HK18">
        <v>60.7</v>
      </c>
      <c r="HL18">
        <v>34.4</v>
      </c>
      <c r="HM18">
        <v>33.842799999999997</v>
      </c>
      <c r="HN18">
        <v>60.124600000000001</v>
      </c>
      <c r="HO18">
        <v>4.7435900000000002</v>
      </c>
      <c r="HP18">
        <v>1</v>
      </c>
      <c r="HQ18">
        <v>0.25247999999999998</v>
      </c>
      <c r="HR18">
        <v>3.5341999999999998</v>
      </c>
      <c r="HS18">
        <v>20.204499999999999</v>
      </c>
      <c r="HT18">
        <v>5.2112999999999996</v>
      </c>
      <c r="HU18">
        <v>11.902100000000001</v>
      </c>
      <c r="HV18">
        <v>4.9847999999999999</v>
      </c>
      <c r="HW18">
        <v>3.2706</v>
      </c>
      <c r="HX18">
        <v>9999</v>
      </c>
      <c r="HY18">
        <v>9999</v>
      </c>
      <c r="HZ18">
        <v>9999</v>
      </c>
      <c r="IA18">
        <v>999.9</v>
      </c>
      <c r="IB18">
        <v>1.8674299999999999</v>
      </c>
      <c r="IC18">
        <v>1.8631</v>
      </c>
      <c r="ID18">
        <v>1.8625499999999999</v>
      </c>
      <c r="IE18">
        <v>1.86206</v>
      </c>
      <c r="IF18">
        <v>1.86206</v>
      </c>
      <c r="IG18">
        <v>1.86273</v>
      </c>
      <c r="IH18">
        <v>1.8636200000000001</v>
      </c>
      <c r="II18">
        <v>1.8615699999999999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-10.122999999999999</v>
      </c>
      <c r="IX18">
        <v>-0.51870000000000005</v>
      </c>
      <c r="IY18">
        <v>-8.1203773280568221</v>
      </c>
      <c r="IZ18">
        <v>-5.6215304933332991E-3</v>
      </c>
      <c r="JA18">
        <v>2.3979931213773931E-6</v>
      </c>
      <c r="JB18">
        <v>-3.6297174575716598E-10</v>
      </c>
      <c r="JC18">
        <v>-0.84450627875901052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</v>
      </c>
      <c r="JL18">
        <v>1.9</v>
      </c>
      <c r="JM18">
        <v>1.18896</v>
      </c>
      <c r="JN18">
        <v>2.51831</v>
      </c>
      <c r="JO18">
        <v>1.50024</v>
      </c>
      <c r="JP18">
        <v>2.2741699999999998</v>
      </c>
      <c r="JQ18">
        <v>1.4477500000000001</v>
      </c>
      <c r="JR18">
        <v>2.35229</v>
      </c>
      <c r="JS18">
        <v>39.118000000000002</v>
      </c>
      <c r="JT18">
        <v>23.886099999999999</v>
      </c>
      <c r="JU18">
        <v>18</v>
      </c>
      <c r="JV18">
        <v>535.09100000000001</v>
      </c>
      <c r="JW18">
        <v>449.32100000000003</v>
      </c>
      <c r="JX18">
        <v>21.461099999999998</v>
      </c>
      <c r="JY18">
        <v>30.319800000000001</v>
      </c>
      <c r="JZ18">
        <v>30.000699999999998</v>
      </c>
      <c r="KA18">
        <v>30.070900000000002</v>
      </c>
      <c r="KB18">
        <v>30.042000000000002</v>
      </c>
      <c r="KC18">
        <v>23.778099999999998</v>
      </c>
      <c r="KD18">
        <v>49.720399999999998</v>
      </c>
      <c r="KE18">
        <v>0</v>
      </c>
      <c r="KF18">
        <v>21.460899999999999</v>
      </c>
      <c r="KG18">
        <v>463.38499999999999</v>
      </c>
      <c r="KH18">
        <v>17.3414</v>
      </c>
      <c r="KI18">
        <v>100.646</v>
      </c>
      <c r="KJ18">
        <v>97.923699999999997</v>
      </c>
    </row>
    <row r="19" spans="1:296" x14ac:dyDescent="0.3">
      <c r="A19">
        <v>3</v>
      </c>
      <c r="B19">
        <v>1786034171.5</v>
      </c>
      <c r="C19">
        <v>363</v>
      </c>
      <c r="D19" t="s">
        <v>475</v>
      </c>
      <c r="E19" t="s">
        <v>476</v>
      </c>
      <c r="F19">
        <v>15</v>
      </c>
      <c r="H19">
        <v>1786034163.5</v>
      </c>
      <c r="I19">
        <f t="shared" si="0"/>
        <v>2.6287092039757047E-3</v>
      </c>
      <c r="J19">
        <f t="shared" si="1"/>
        <v>2.6287092039757045</v>
      </c>
      <c r="K19">
        <f t="shared" si="2"/>
        <v>34.111926200126717</v>
      </c>
      <c r="L19">
        <f t="shared" si="3"/>
        <v>420.08916129032252</v>
      </c>
      <c r="M19">
        <f t="shared" si="4"/>
        <v>174.55439092753267</v>
      </c>
      <c r="N19">
        <f t="shared" si="5"/>
        <v>17.112072343467972</v>
      </c>
      <c r="O19">
        <f t="shared" si="6"/>
        <v>41.182556797962036</v>
      </c>
      <c r="P19">
        <f t="shared" si="7"/>
        <v>0.23618072995563247</v>
      </c>
      <c r="Q19">
        <f t="shared" si="8"/>
        <v>2.8938458618492082</v>
      </c>
      <c r="R19">
        <f t="shared" si="9"/>
        <v>0.22597072648018021</v>
      </c>
      <c r="S19">
        <f t="shared" si="10"/>
        <v>0.14211225008160669</v>
      </c>
      <c r="T19">
        <f t="shared" si="11"/>
        <v>255.91793778996356</v>
      </c>
      <c r="U19">
        <f t="shared" si="12"/>
        <v>25.873366779130464</v>
      </c>
      <c r="V19">
        <f t="shared" si="13"/>
        <v>24.958080645161289</v>
      </c>
      <c r="W19">
        <f t="shared" si="14"/>
        <v>3.171739631637815</v>
      </c>
      <c r="X19">
        <f t="shared" si="15"/>
        <v>64.698389563061539</v>
      </c>
      <c r="Y19">
        <f t="shared" si="16"/>
        <v>2.0617671384297793</v>
      </c>
      <c r="Z19">
        <f t="shared" si="17"/>
        <v>3.1867364123803639</v>
      </c>
      <c r="AA19">
        <f t="shared" si="18"/>
        <v>1.1099724932080357</v>
      </c>
      <c r="AB19">
        <f t="shared" si="19"/>
        <v>-115.92607589532858</v>
      </c>
      <c r="AC19">
        <f t="shared" si="20"/>
        <v>12.343649338829598</v>
      </c>
      <c r="AD19">
        <f t="shared" si="21"/>
        <v>0.90223126274321919</v>
      </c>
      <c r="AE19">
        <f t="shared" si="22"/>
        <v>153.2377424962078</v>
      </c>
      <c r="AF19">
        <f t="shared" si="23"/>
        <v>34.111926200126717</v>
      </c>
      <c r="AG19">
        <f t="shared" si="24"/>
        <v>2.6287092039757045</v>
      </c>
      <c r="AH19">
        <f t="shared" si="25"/>
        <v>34.322822920786123</v>
      </c>
      <c r="AI19">
        <v>470.79651115292768</v>
      </c>
      <c r="AJ19">
        <v>429.05907272727268</v>
      </c>
      <c r="AK19">
        <v>-3.8085145653497757E-2</v>
      </c>
      <c r="AL19">
        <v>67.076880443246509</v>
      </c>
      <c r="AM19">
        <f t="shared" si="26"/>
        <v>2.6285469260632186</v>
      </c>
      <c r="AN19">
        <v>17.94724525467419</v>
      </c>
      <c r="AO19">
        <v>21.03510666666666</v>
      </c>
      <c r="AP19">
        <v>6.3763785128554351E-7</v>
      </c>
      <c r="AQ19">
        <v>78.205499052007909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52149.653998015579</v>
      </c>
      <c r="AW19" t="s">
        <v>468</v>
      </c>
      <c r="AX19">
        <v>13243.1</v>
      </c>
      <c r="AY19">
        <v>653.55000000000007</v>
      </c>
      <c r="AZ19">
        <v>2662</v>
      </c>
      <c r="BA19">
        <f t="shared" si="30"/>
        <v>0.75448910593538687</v>
      </c>
      <c r="BB19">
        <v>-2.0596600778842</v>
      </c>
      <c r="BC19" t="s">
        <v>477</v>
      </c>
      <c r="BD19">
        <v>13187.4</v>
      </c>
      <c r="BE19">
        <v>901.08188235294119</v>
      </c>
      <c r="BF19">
        <v>1155.0899999999999</v>
      </c>
      <c r="BG19">
        <f t="shared" si="31"/>
        <v>0.21990331285619191</v>
      </c>
      <c r="BH19">
        <v>0.5</v>
      </c>
      <c r="BI19">
        <f t="shared" si="32"/>
        <v>1344.301790130183</v>
      </c>
      <c r="BJ19">
        <f t="shared" si="33"/>
        <v>34.111926200126717</v>
      </c>
      <c r="BK19">
        <f t="shared" si="34"/>
        <v>147.80820856406822</v>
      </c>
      <c r="BL19">
        <f t="shared" si="35"/>
        <v>2.6907340705473615E-2</v>
      </c>
      <c r="BM19">
        <f t="shared" si="36"/>
        <v>1.304582326918249</v>
      </c>
      <c r="BN19">
        <f t="shared" si="37"/>
        <v>495.0051951770526</v>
      </c>
      <c r="BO19" t="s">
        <v>408</v>
      </c>
      <c r="BP19">
        <v>0</v>
      </c>
      <c r="BQ19">
        <f t="shared" si="38"/>
        <v>495.0051951770526</v>
      </c>
      <c r="BR19">
        <f t="shared" si="39"/>
        <v>0.57145746636448014</v>
      </c>
      <c r="BS19">
        <f t="shared" si="40"/>
        <v>0.38481133907512177</v>
      </c>
      <c r="BT19">
        <f t="shared" si="41"/>
        <v>0.69539160714467929</v>
      </c>
      <c r="BU19">
        <f t="shared" si="42"/>
        <v>0.50645634973692788</v>
      </c>
      <c r="BV19">
        <f t="shared" si="43"/>
        <v>0.75028504568199372</v>
      </c>
      <c r="BW19">
        <f t="shared" si="44"/>
        <v>0.21139434244069491</v>
      </c>
      <c r="BX19">
        <f t="shared" si="45"/>
        <v>0.78860565755930512</v>
      </c>
      <c r="DG19">
        <f t="shared" si="46"/>
        <v>1600.0167741935479</v>
      </c>
      <c r="DH19">
        <f t="shared" si="47"/>
        <v>1344.301790130183</v>
      </c>
      <c r="DI19">
        <f t="shared" si="48"/>
        <v>0.84017981049464174</v>
      </c>
      <c r="DJ19">
        <f t="shared" si="49"/>
        <v>0.15994703425465848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1786034163.5</v>
      </c>
      <c r="DQ19">
        <v>420.08916129032252</v>
      </c>
      <c r="DR19">
        <v>462.34806451612889</v>
      </c>
      <c r="DS19">
        <v>21.031380645161288</v>
      </c>
      <c r="DT19">
        <v>17.943312903225809</v>
      </c>
      <c r="DU19">
        <v>430.33238709677408</v>
      </c>
      <c r="DV19">
        <v>21.554922580645169</v>
      </c>
      <c r="DW19">
        <v>500.0066129032258</v>
      </c>
      <c r="DX19">
        <v>97.984935483870984</v>
      </c>
      <c r="DY19">
        <v>4.7959893548387103E-2</v>
      </c>
      <c r="DZ19">
        <v>25.037199999999999</v>
      </c>
      <c r="EA19">
        <v>24.958080645161289</v>
      </c>
      <c r="EB19">
        <v>999.90000000000032</v>
      </c>
      <c r="EC19">
        <v>0</v>
      </c>
      <c r="ED19">
        <v>0</v>
      </c>
      <c r="EE19">
        <v>9999.354838709678</v>
      </c>
      <c r="EF19">
        <v>0</v>
      </c>
      <c r="EG19">
        <v>202.5722258064516</v>
      </c>
      <c r="EH19">
        <v>-42.259022580645158</v>
      </c>
      <c r="EI19">
        <v>429.11406451612908</v>
      </c>
      <c r="EJ19">
        <v>470.79570967741938</v>
      </c>
      <c r="EK19">
        <v>3.08805</v>
      </c>
      <c r="EL19">
        <v>462.34806451612889</v>
      </c>
      <c r="EM19">
        <v>17.943312903225809</v>
      </c>
      <c r="EN19">
        <v>2.060757419354839</v>
      </c>
      <c r="EO19">
        <v>1.758174193548387</v>
      </c>
      <c r="EP19">
        <v>17.91905483870968</v>
      </c>
      <c r="EQ19">
        <v>15.419825806451611</v>
      </c>
      <c r="ER19">
        <v>1600.0167741935479</v>
      </c>
      <c r="ES19">
        <v>0.99399000000000004</v>
      </c>
      <c r="ET19">
        <v>6.01024E-3</v>
      </c>
      <c r="EU19">
        <v>0</v>
      </c>
      <c r="EV19">
        <v>901.17622580645184</v>
      </c>
      <c r="EW19">
        <v>5.0010700000000003</v>
      </c>
      <c r="EX19">
        <v>15977.512903225799</v>
      </c>
      <c r="EY19">
        <v>14578.6</v>
      </c>
      <c r="EZ19">
        <v>39.324193548387079</v>
      </c>
      <c r="FA19">
        <v>41.066064516129011</v>
      </c>
      <c r="FB19">
        <v>40.186999999999983</v>
      </c>
      <c r="FC19">
        <v>40.745935483870959</v>
      </c>
      <c r="FD19">
        <v>40.628999999999998</v>
      </c>
      <c r="FE19">
        <v>1585.4267741935489</v>
      </c>
      <c r="FF19">
        <v>9.5899999999999963</v>
      </c>
      <c r="FG19">
        <v>0</v>
      </c>
      <c r="FH19">
        <v>180.9000000953674</v>
      </c>
      <c r="FI19">
        <v>0</v>
      </c>
      <c r="FJ19">
        <v>901.08188235294119</v>
      </c>
      <c r="FK19">
        <v>-3.6696078180335672</v>
      </c>
      <c r="FL19">
        <v>340.8333334386864</v>
      </c>
      <c r="FM19">
        <v>15995.552941176469</v>
      </c>
      <c r="FN19">
        <v>10</v>
      </c>
      <c r="FO19">
        <v>1786034058</v>
      </c>
      <c r="FP19" t="s">
        <v>478</v>
      </c>
      <c r="FQ19">
        <v>1786034055.5</v>
      </c>
      <c r="FR19">
        <v>1786034058</v>
      </c>
      <c r="FS19">
        <v>33</v>
      </c>
      <c r="FT19">
        <v>-0.11899999999999999</v>
      </c>
      <c r="FU19">
        <v>-5.0000000000000001E-3</v>
      </c>
      <c r="FV19">
        <v>-10.401</v>
      </c>
      <c r="FW19">
        <v>-0.60599999999999998</v>
      </c>
      <c r="FX19">
        <v>463</v>
      </c>
      <c r="FY19">
        <v>18</v>
      </c>
      <c r="FZ19">
        <v>0.17</v>
      </c>
      <c r="GA19">
        <v>0.08</v>
      </c>
      <c r="GB19">
        <v>420.08112903225799</v>
      </c>
      <c r="GC19">
        <v>0.7597258064507264</v>
      </c>
      <c r="GD19">
        <v>7.760393319575512E-2</v>
      </c>
      <c r="GE19">
        <v>-1</v>
      </c>
      <c r="GF19">
        <v>901.29126470588233</v>
      </c>
      <c r="GG19">
        <v>-1.7212681442167459</v>
      </c>
      <c r="GH19">
        <v>0.26503743451729073</v>
      </c>
      <c r="GI19">
        <v>1</v>
      </c>
      <c r="GJ19">
        <v>3.08873243902439</v>
      </c>
      <c r="GK19">
        <v>-1.9128710801392071E-2</v>
      </c>
      <c r="GL19">
        <v>4.3816383952546703E-3</v>
      </c>
      <c r="GM19">
        <v>1</v>
      </c>
      <c r="GN19">
        <v>2</v>
      </c>
      <c r="GO19">
        <v>2</v>
      </c>
      <c r="GP19" t="s">
        <v>411</v>
      </c>
      <c r="GQ19">
        <v>3.1295999999999999</v>
      </c>
      <c r="GR19">
        <v>2.72458</v>
      </c>
      <c r="GS19">
        <v>9.3154299999999995E-2</v>
      </c>
      <c r="GT19">
        <v>9.9032400000000007E-2</v>
      </c>
      <c r="GU19">
        <v>0.10474799999999999</v>
      </c>
      <c r="GV19">
        <v>9.22288E-2</v>
      </c>
      <c r="GW19">
        <v>22816.1</v>
      </c>
      <c r="GX19">
        <v>30141.1</v>
      </c>
      <c r="GY19">
        <v>27277.5</v>
      </c>
      <c r="GZ19">
        <v>34379.300000000003</v>
      </c>
      <c r="HA19">
        <v>35718.300000000003</v>
      </c>
      <c r="HB19">
        <v>39334.800000000003</v>
      </c>
      <c r="HC19">
        <v>40239.5</v>
      </c>
      <c r="HD19">
        <v>43414.7</v>
      </c>
      <c r="HE19">
        <v>1.998</v>
      </c>
      <c r="HF19">
        <v>1.8380000000000001</v>
      </c>
      <c r="HG19">
        <v>-1.7493999999999999E-2</v>
      </c>
      <c r="HH19">
        <v>0</v>
      </c>
      <c r="HI19">
        <v>25.236499999999999</v>
      </c>
      <c r="HJ19">
        <v>999.9</v>
      </c>
      <c r="HK19">
        <v>60.6</v>
      </c>
      <c r="HL19">
        <v>34.6</v>
      </c>
      <c r="HM19">
        <v>34.165799999999997</v>
      </c>
      <c r="HN19">
        <v>60.3247</v>
      </c>
      <c r="HO19">
        <v>4.9799699999999998</v>
      </c>
      <c r="HP19">
        <v>1</v>
      </c>
      <c r="HQ19">
        <v>0.27207300000000001</v>
      </c>
      <c r="HR19">
        <v>3.1292200000000001</v>
      </c>
      <c r="HS19">
        <v>20.212499999999999</v>
      </c>
      <c r="HT19">
        <v>5.2100999999999997</v>
      </c>
      <c r="HU19">
        <v>11.902100000000001</v>
      </c>
      <c r="HV19">
        <v>4.9843999999999999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1.8675200000000001</v>
      </c>
      <c r="IC19">
        <v>1.8631</v>
      </c>
      <c r="ID19">
        <v>1.8626400000000001</v>
      </c>
      <c r="IE19">
        <v>1.8621799999999999</v>
      </c>
      <c r="IF19">
        <v>1.8621799999999999</v>
      </c>
      <c r="IG19">
        <v>1.8627899999999999</v>
      </c>
      <c r="IH19">
        <v>1.86368</v>
      </c>
      <c r="II19">
        <v>1.8615999999999999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-10.243</v>
      </c>
      <c r="IX19">
        <v>-0.52349999999999997</v>
      </c>
      <c r="IY19">
        <v>-8.2394053401843852</v>
      </c>
      <c r="IZ19">
        <v>-5.6215304933332991E-3</v>
      </c>
      <c r="JA19">
        <v>2.3979931213773931E-6</v>
      </c>
      <c r="JB19">
        <v>-3.6297174575716598E-10</v>
      </c>
      <c r="JC19">
        <v>-0.84985973634293255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1.9</v>
      </c>
      <c r="JL19">
        <v>1.9</v>
      </c>
      <c r="JM19">
        <v>1.18652</v>
      </c>
      <c r="JN19">
        <v>2.52075</v>
      </c>
      <c r="JO19">
        <v>1.50024</v>
      </c>
      <c r="JP19">
        <v>2.2741699999999998</v>
      </c>
      <c r="JQ19">
        <v>1.4477500000000001</v>
      </c>
      <c r="JR19">
        <v>2.4316399999999998</v>
      </c>
      <c r="JS19">
        <v>39.792499999999997</v>
      </c>
      <c r="JT19">
        <v>23.886099999999999</v>
      </c>
      <c r="JU19">
        <v>18</v>
      </c>
      <c r="JV19">
        <v>536.18799999999999</v>
      </c>
      <c r="JW19">
        <v>448.221</v>
      </c>
      <c r="JX19">
        <v>21.885300000000001</v>
      </c>
      <c r="JY19">
        <v>30.5867</v>
      </c>
      <c r="JZ19">
        <v>30.0001</v>
      </c>
      <c r="KA19">
        <v>30.363199999999999</v>
      </c>
      <c r="KB19">
        <v>30.329000000000001</v>
      </c>
      <c r="KC19">
        <v>23.7271</v>
      </c>
      <c r="KD19">
        <v>48.922600000000003</v>
      </c>
      <c r="KE19">
        <v>0</v>
      </c>
      <c r="KF19">
        <v>21.883400000000002</v>
      </c>
      <c r="KG19">
        <v>462.30399999999997</v>
      </c>
      <c r="KH19">
        <v>18.003900000000002</v>
      </c>
      <c r="KI19">
        <v>100.611</v>
      </c>
      <c r="KJ19">
        <v>97.881500000000003</v>
      </c>
    </row>
    <row r="20" spans="1:296" x14ac:dyDescent="0.3">
      <c r="A20">
        <v>4</v>
      </c>
      <c r="B20">
        <v>1786034353</v>
      </c>
      <c r="C20">
        <v>544.5</v>
      </c>
      <c r="D20" t="s">
        <v>479</v>
      </c>
      <c r="E20" t="s">
        <v>480</v>
      </c>
      <c r="F20">
        <v>15</v>
      </c>
      <c r="H20">
        <v>1786034345</v>
      </c>
      <c r="I20">
        <f t="shared" si="0"/>
        <v>2.2377866357985127E-3</v>
      </c>
      <c r="J20">
        <f t="shared" si="1"/>
        <v>2.2377866357985128</v>
      </c>
      <c r="K20">
        <f t="shared" si="2"/>
        <v>32.801056136467963</v>
      </c>
      <c r="L20">
        <f t="shared" si="3"/>
        <v>420.00651612903232</v>
      </c>
      <c r="M20">
        <f t="shared" si="4"/>
        <v>146.27247186809595</v>
      </c>
      <c r="N20">
        <f t="shared" si="5"/>
        <v>14.339185392417276</v>
      </c>
      <c r="O20">
        <f t="shared" si="6"/>
        <v>41.173511487714812</v>
      </c>
      <c r="P20">
        <f t="shared" si="7"/>
        <v>0.20189357528814672</v>
      </c>
      <c r="Q20">
        <f t="shared" si="8"/>
        <v>2.8956584022646377</v>
      </c>
      <c r="R20">
        <f t="shared" si="9"/>
        <v>0.19438665493613919</v>
      </c>
      <c r="S20">
        <f t="shared" si="10"/>
        <v>0.12214287047296604</v>
      </c>
      <c r="T20">
        <f t="shared" si="11"/>
        <v>224.00202721281099</v>
      </c>
      <c r="U20">
        <f t="shared" si="12"/>
        <v>25.895274382842</v>
      </c>
      <c r="V20">
        <f t="shared" si="13"/>
        <v>25.012509677419359</v>
      </c>
      <c r="W20">
        <f t="shared" si="14"/>
        <v>3.1820498160549389</v>
      </c>
      <c r="X20">
        <f t="shared" si="15"/>
        <v>64.963274501418653</v>
      </c>
      <c r="Y20">
        <f t="shared" si="16"/>
        <v>2.0838277091737405</v>
      </c>
      <c r="Z20">
        <f t="shared" si="17"/>
        <v>3.2077011591037246</v>
      </c>
      <c r="AA20">
        <f t="shared" si="18"/>
        <v>1.0982221068811984</v>
      </c>
      <c r="AB20">
        <f t="shared" si="19"/>
        <v>-98.686390638714414</v>
      </c>
      <c r="AC20">
        <f t="shared" si="20"/>
        <v>21.036173438252906</v>
      </c>
      <c r="AD20">
        <f t="shared" si="21"/>
        <v>1.5379019855246898</v>
      </c>
      <c r="AE20">
        <f t="shared" si="22"/>
        <v>147.88971199787417</v>
      </c>
      <c r="AF20">
        <f t="shared" si="23"/>
        <v>32.801056136467963</v>
      </c>
      <c r="AG20">
        <f t="shared" si="24"/>
        <v>2.2377866357985128</v>
      </c>
      <c r="AH20">
        <f t="shared" si="25"/>
        <v>32.458884867024381</v>
      </c>
      <c r="AI20">
        <v>469.20285984743879</v>
      </c>
      <c r="AJ20">
        <v>429.25923636363592</v>
      </c>
      <c r="AK20">
        <v>4.7667176095462373E-2</v>
      </c>
      <c r="AL20">
        <v>67.083405479069768</v>
      </c>
      <c r="AM20">
        <f t="shared" si="26"/>
        <v>2.2229121696299909</v>
      </c>
      <c r="AN20">
        <v>18.63546007843544</v>
      </c>
      <c r="AO20">
        <v>21.246227272727278</v>
      </c>
      <c r="AP20">
        <v>1.836395762913806E-5</v>
      </c>
      <c r="AQ20">
        <v>78.227524586663677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52182.373742997137</v>
      </c>
      <c r="AW20" t="s">
        <v>468</v>
      </c>
      <c r="AX20">
        <v>13243.1</v>
      </c>
      <c r="AY20">
        <v>653.55000000000007</v>
      </c>
      <c r="AZ20">
        <v>2662</v>
      </c>
      <c r="BA20">
        <f t="shared" si="30"/>
        <v>0.75448910593538687</v>
      </c>
      <c r="BB20">
        <v>-2.0596600778842</v>
      </c>
      <c r="BC20" t="s">
        <v>481</v>
      </c>
      <c r="BD20">
        <v>13199</v>
      </c>
      <c r="BE20">
        <v>890.0207058823529</v>
      </c>
      <c r="BF20">
        <v>1185.57</v>
      </c>
      <c r="BG20">
        <f t="shared" si="31"/>
        <v>0.24928877596231946</v>
      </c>
      <c r="BH20">
        <v>0.5</v>
      </c>
      <c r="BI20">
        <f t="shared" si="32"/>
        <v>1176.2738610663064</v>
      </c>
      <c r="BJ20">
        <f t="shared" si="33"/>
        <v>32.801056136467963</v>
      </c>
      <c r="BK20">
        <f t="shared" si="34"/>
        <v>146.61593551084547</v>
      </c>
      <c r="BL20">
        <f t="shared" si="35"/>
        <v>2.9636564552025756E-2</v>
      </c>
      <c r="BM20">
        <f t="shared" si="36"/>
        <v>1.245333468289515</v>
      </c>
      <c r="BN20">
        <f t="shared" si="37"/>
        <v>500.51965312510686</v>
      </c>
      <c r="BO20" t="s">
        <v>408</v>
      </c>
      <c r="BP20">
        <v>0</v>
      </c>
      <c r="BQ20">
        <f t="shared" si="38"/>
        <v>500.51965312510686</v>
      </c>
      <c r="BR20">
        <f t="shared" si="39"/>
        <v>0.57782361806969906</v>
      </c>
      <c r="BS20">
        <f t="shared" si="40"/>
        <v>0.4314271140302357</v>
      </c>
      <c r="BT20">
        <f t="shared" si="41"/>
        <v>0.68306427219412325</v>
      </c>
      <c r="BU20">
        <f t="shared" si="42"/>
        <v>0.5555229016158173</v>
      </c>
      <c r="BV20">
        <f t="shared" si="43"/>
        <v>0.73510916378301683</v>
      </c>
      <c r="BW20">
        <f t="shared" si="44"/>
        <v>0.24262104020276934</v>
      </c>
      <c r="BX20">
        <f t="shared" si="45"/>
        <v>0.75737895979723069</v>
      </c>
      <c r="DG20">
        <f t="shared" si="46"/>
        <v>1399.9770967741929</v>
      </c>
      <c r="DH20">
        <f t="shared" si="47"/>
        <v>1176.2738610663064</v>
      </c>
      <c r="DI20">
        <f t="shared" si="48"/>
        <v>0.84020936040786642</v>
      </c>
      <c r="DJ20">
        <f t="shared" si="49"/>
        <v>0.16000406558718228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1786034345</v>
      </c>
      <c r="DQ20">
        <v>420.00651612903232</v>
      </c>
      <c r="DR20">
        <v>460.4965806451612</v>
      </c>
      <c r="DS20">
        <v>21.256900000000002</v>
      </c>
      <c r="DT20">
        <v>18.628577419354841</v>
      </c>
      <c r="DU20">
        <v>430.20558064516132</v>
      </c>
      <c r="DV20">
        <v>21.783383870967739</v>
      </c>
      <c r="DW20">
        <v>499.9884516129033</v>
      </c>
      <c r="DX20">
        <v>97.982587096774182</v>
      </c>
      <c r="DY20">
        <v>4.8062206451612903E-2</v>
      </c>
      <c r="DZ20">
        <v>25.147261290322579</v>
      </c>
      <c r="EA20">
        <v>25.012509677419359</v>
      </c>
      <c r="EB20">
        <v>999.90000000000032</v>
      </c>
      <c r="EC20">
        <v>0</v>
      </c>
      <c r="ED20">
        <v>0</v>
      </c>
      <c r="EE20">
        <v>10010</v>
      </c>
      <c r="EF20">
        <v>0</v>
      </c>
      <c r="EG20">
        <v>289.73909677419351</v>
      </c>
      <c r="EH20">
        <v>-40.489980645161303</v>
      </c>
      <c r="EI20">
        <v>429.12848387096773</v>
      </c>
      <c r="EJ20">
        <v>469.23774193548388</v>
      </c>
      <c r="EK20">
        <v>2.6283370967741941</v>
      </c>
      <c r="EL20">
        <v>460.4965806451612</v>
      </c>
      <c r="EM20">
        <v>18.628577419354841</v>
      </c>
      <c r="EN20">
        <v>2.082807096774193</v>
      </c>
      <c r="EO20">
        <v>1.8252761290322581</v>
      </c>
      <c r="EP20">
        <v>18.088293548387099</v>
      </c>
      <c r="EQ20">
        <v>16.004938709677418</v>
      </c>
      <c r="ER20">
        <v>1399.9770967741929</v>
      </c>
      <c r="ES20">
        <v>0.99299809677419359</v>
      </c>
      <c r="ET20">
        <v>7.0015490322580644E-3</v>
      </c>
      <c r="EU20">
        <v>0</v>
      </c>
      <c r="EV20">
        <v>890.10374193548387</v>
      </c>
      <c r="EW20">
        <v>5.0010700000000003</v>
      </c>
      <c r="EX20">
        <v>14347.348387096779</v>
      </c>
      <c r="EY20">
        <v>12745.30322580645</v>
      </c>
      <c r="EZ20">
        <v>38.811999999999983</v>
      </c>
      <c r="FA20">
        <v>40.693096774193528</v>
      </c>
      <c r="FB20">
        <v>39.862806451612883</v>
      </c>
      <c r="FC20">
        <v>40.362806451612897</v>
      </c>
      <c r="FD20">
        <v>40.25</v>
      </c>
      <c r="FE20">
        <v>1385.207096774194</v>
      </c>
      <c r="FF20">
        <v>9.7699999999999978</v>
      </c>
      <c r="FG20">
        <v>0</v>
      </c>
      <c r="FH20">
        <v>180.70000004768369</v>
      </c>
      <c r="FI20">
        <v>0</v>
      </c>
      <c r="FJ20">
        <v>890.0207058823529</v>
      </c>
      <c r="FK20">
        <v>-0.14681369770870581</v>
      </c>
      <c r="FL20">
        <v>-776.86274740420799</v>
      </c>
      <c r="FM20">
        <v>14307.064705882351</v>
      </c>
      <c r="FN20">
        <v>10</v>
      </c>
      <c r="FO20">
        <v>1786034246.5</v>
      </c>
      <c r="FP20" t="s">
        <v>482</v>
      </c>
      <c r="FQ20">
        <v>1786034236</v>
      </c>
      <c r="FR20">
        <v>1786034246.5</v>
      </c>
      <c r="FS20">
        <v>34</v>
      </c>
      <c r="FT20">
        <v>4.3999999999999997E-2</v>
      </c>
      <c r="FU20">
        <v>-8.9999999999999993E-3</v>
      </c>
      <c r="FV20">
        <v>-10.351000000000001</v>
      </c>
      <c r="FW20">
        <v>-0.59899999999999998</v>
      </c>
      <c r="FX20">
        <v>461</v>
      </c>
      <c r="FY20">
        <v>18</v>
      </c>
      <c r="FZ20">
        <v>0.24</v>
      </c>
      <c r="GA20">
        <v>0.1</v>
      </c>
      <c r="GB20">
        <v>420.00636666666662</v>
      </c>
      <c r="GC20">
        <v>0.48301668520582908</v>
      </c>
      <c r="GD20">
        <v>6.3261617290595901E-2</v>
      </c>
      <c r="GE20">
        <v>-1</v>
      </c>
      <c r="GF20">
        <v>890.17879411764704</v>
      </c>
      <c r="GG20">
        <v>-1.1746218495172731</v>
      </c>
      <c r="GH20">
        <v>0.26404052489897523</v>
      </c>
      <c r="GI20">
        <v>1</v>
      </c>
      <c r="GJ20">
        <v>2.6297665000000001</v>
      </c>
      <c r="GK20">
        <v>-7.4152120075047012E-2</v>
      </c>
      <c r="GL20">
        <v>1.0059956647520921E-2</v>
      </c>
      <c r="GM20">
        <v>1</v>
      </c>
      <c r="GN20">
        <v>2</v>
      </c>
      <c r="GO20">
        <v>2</v>
      </c>
      <c r="GP20" t="s">
        <v>411</v>
      </c>
      <c r="GQ20">
        <v>3.13028</v>
      </c>
      <c r="GR20">
        <v>2.7245900000000001</v>
      </c>
      <c r="GS20">
        <v>9.31588E-2</v>
      </c>
      <c r="GT20">
        <v>9.8749799999999999E-2</v>
      </c>
      <c r="GU20">
        <v>0.10546700000000001</v>
      </c>
      <c r="GV20">
        <v>9.4777200000000006E-2</v>
      </c>
      <c r="GW20">
        <v>22817.9</v>
      </c>
      <c r="GX20">
        <v>30150.799999999999</v>
      </c>
      <c r="GY20">
        <v>27279.7</v>
      </c>
      <c r="GZ20">
        <v>34379.4</v>
      </c>
      <c r="HA20">
        <v>35691.5</v>
      </c>
      <c r="HB20">
        <v>39224.199999999997</v>
      </c>
      <c r="HC20">
        <v>40242</v>
      </c>
      <c r="HD20">
        <v>43415</v>
      </c>
      <c r="HE20">
        <v>1.9972000000000001</v>
      </c>
      <c r="HF20">
        <v>1.8371999999999999</v>
      </c>
      <c r="HG20">
        <v>-8.9406999999999993E-3</v>
      </c>
      <c r="HH20">
        <v>0</v>
      </c>
      <c r="HI20">
        <v>25.177900000000001</v>
      </c>
      <c r="HJ20">
        <v>999.9</v>
      </c>
      <c r="HK20">
        <v>60.5</v>
      </c>
      <c r="HL20">
        <v>34.799999999999997</v>
      </c>
      <c r="HM20">
        <v>34.492400000000004</v>
      </c>
      <c r="HN20">
        <v>60.244700000000002</v>
      </c>
      <c r="HO20">
        <v>5.0921500000000002</v>
      </c>
      <c r="HP20">
        <v>1</v>
      </c>
      <c r="HQ20">
        <v>0.270061</v>
      </c>
      <c r="HR20">
        <v>3.1412399999999998</v>
      </c>
      <c r="HS20">
        <v>20.213799999999999</v>
      </c>
      <c r="HT20">
        <v>5.2100999999999997</v>
      </c>
      <c r="HU20">
        <v>11.902100000000001</v>
      </c>
      <c r="HV20">
        <v>4.9855999999999998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1.8675200000000001</v>
      </c>
      <c r="IC20">
        <v>1.8631</v>
      </c>
      <c r="ID20">
        <v>1.8626400000000001</v>
      </c>
      <c r="IE20">
        <v>1.8621799999999999</v>
      </c>
      <c r="IF20">
        <v>1.8621799999999999</v>
      </c>
      <c r="IG20">
        <v>1.8627899999999999</v>
      </c>
      <c r="IH20">
        <v>1.86371</v>
      </c>
      <c r="II20">
        <v>1.8616299999999999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-10.199</v>
      </c>
      <c r="IX20">
        <v>-0.52680000000000005</v>
      </c>
      <c r="IY20">
        <v>-8.1955980520499896</v>
      </c>
      <c r="IZ20">
        <v>-5.6215304933332991E-3</v>
      </c>
      <c r="JA20">
        <v>2.3979931213773931E-6</v>
      </c>
      <c r="JB20">
        <v>-3.6297174575716598E-10</v>
      </c>
      <c r="JC20">
        <v>-0.85877559961766758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1.8</v>
      </c>
      <c r="JM20">
        <v>1.18286</v>
      </c>
      <c r="JN20">
        <v>2.5122100000000001</v>
      </c>
      <c r="JO20">
        <v>1.50024</v>
      </c>
      <c r="JP20">
        <v>2.2753899999999998</v>
      </c>
      <c r="JQ20">
        <v>1.4477500000000001</v>
      </c>
      <c r="JR20">
        <v>2.5</v>
      </c>
      <c r="JS20">
        <v>40.146000000000001</v>
      </c>
      <c r="JT20">
        <v>23.886099999999999</v>
      </c>
      <c r="JU20">
        <v>18</v>
      </c>
      <c r="JV20">
        <v>536.245</v>
      </c>
      <c r="JW20">
        <v>448.32499999999999</v>
      </c>
      <c r="JX20">
        <v>22.0456</v>
      </c>
      <c r="JY20">
        <v>30.568100000000001</v>
      </c>
      <c r="JZ20">
        <v>30.000299999999999</v>
      </c>
      <c r="KA20">
        <v>30.429500000000001</v>
      </c>
      <c r="KB20">
        <v>30.409199999999998</v>
      </c>
      <c r="KC20">
        <v>23.654</v>
      </c>
      <c r="KD20">
        <v>48.063099999999999</v>
      </c>
      <c r="KE20">
        <v>0</v>
      </c>
      <c r="KF20">
        <v>22.040099999999999</v>
      </c>
      <c r="KG20">
        <v>460.339</v>
      </c>
      <c r="KH20">
        <v>18.597899999999999</v>
      </c>
      <c r="KI20">
        <v>100.61799999999999</v>
      </c>
      <c r="KJ20">
        <v>97.882000000000005</v>
      </c>
    </row>
    <row r="21" spans="1:296" x14ac:dyDescent="0.3">
      <c r="A21">
        <v>5</v>
      </c>
      <c r="B21">
        <v>1786034534.5</v>
      </c>
      <c r="C21">
        <v>726</v>
      </c>
      <c r="D21" t="s">
        <v>483</v>
      </c>
      <c r="E21" t="s">
        <v>484</v>
      </c>
      <c r="F21">
        <v>15</v>
      </c>
      <c r="H21">
        <v>1786034526.5</v>
      </c>
      <c r="I21">
        <f t="shared" si="0"/>
        <v>1.9626459502961224E-3</v>
      </c>
      <c r="J21">
        <f t="shared" si="1"/>
        <v>1.9626459502961227</v>
      </c>
      <c r="K21">
        <f t="shared" si="2"/>
        <v>30.655302326450133</v>
      </c>
      <c r="L21">
        <f t="shared" si="3"/>
        <v>419.91670967741942</v>
      </c>
      <c r="M21">
        <f t="shared" si="4"/>
        <v>129.22032664060316</v>
      </c>
      <c r="N21">
        <f t="shared" si="5"/>
        <v>12.667204378349219</v>
      </c>
      <c r="O21">
        <f t="shared" si="6"/>
        <v>41.163576363352369</v>
      </c>
      <c r="P21">
        <f t="shared" si="7"/>
        <v>0.17666816078323183</v>
      </c>
      <c r="Q21">
        <f t="shared" si="8"/>
        <v>2.8939683539369176</v>
      </c>
      <c r="R21">
        <f t="shared" si="9"/>
        <v>0.17088780775585075</v>
      </c>
      <c r="S21">
        <f t="shared" si="10"/>
        <v>0.10730846662355283</v>
      </c>
      <c r="T21">
        <f t="shared" si="11"/>
        <v>160.17741768687932</v>
      </c>
      <c r="U21">
        <f t="shared" si="12"/>
        <v>25.641658775602416</v>
      </c>
      <c r="V21">
        <f t="shared" si="13"/>
        <v>25.04023225806452</v>
      </c>
      <c r="W21">
        <f t="shared" si="14"/>
        <v>3.1873123964481427</v>
      </c>
      <c r="X21">
        <f t="shared" si="15"/>
        <v>64.999022388031946</v>
      </c>
      <c r="Y21">
        <f t="shared" si="16"/>
        <v>2.0917767930120132</v>
      </c>
      <c r="Z21">
        <f t="shared" si="17"/>
        <v>3.2181665449127821</v>
      </c>
      <c r="AA21">
        <f t="shared" si="18"/>
        <v>1.0955356034361294</v>
      </c>
      <c r="AB21">
        <f t="shared" si="19"/>
        <v>-86.552686408059003</v>
      </c>
      <c r="AC21">
        <f t="shared" si="20"/>
        <v>25.233909040947754</v>
      </c>
      <c r="AD21">
        <f t="shared" si="21"/>
        <v>1.8466310782345343</v>
      </c>
      <c r="AE21">
        <f t="shared" si="22"/>
        <v>100.70527139800261</v>
      </c>
      <c r="AF21">
        <f t="shared" si="23"/>
        <v>30.655302326450133</v>
      </c>
      <c r="AG21">
        <f t="shared" si="24"/>
        <v>1.9626459502961227</v>
      </c>
      <c r="AH21">
        <f t="shared" si="25"/>
        <v>30.513419617655124</v>
      </c>
      <c r="AI21">
        <v>466.63232758430519</v>
      </c>
      <c r="AJ21">
        <v>429.08736969696952</v>
      </c>
      <c r="AK21">
        <v>4.1791411013335222E-2</v>
      </c>
      <c r="AL21">
        <v>67.085110748892959</v>
      </c>
      <c r="AM21">
        <f t="shared" si="26"/>
        <v>1.973142632672759</v>
      </c>
      <c r="AN21">
        <v>19.02455526336529</v>
      </c>
      <c r="AO21">
        <v>21.340763636363629</v>
      </c>
      <c r="AP21">
        <v>1.362022260912255E-4</v>
      </c>
      <c r="AQ21">
        <v>78.231656925202984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52124.228618807574</v>
      </c>
      <c r="AW21" t="s">
        <v>468</v>
      </c>
      <c r="AX21">
        <v>13243.1</v>
      </c>
      <c r="AY21">
        <v>653.55000000000007</v>
      </c>
      <c r="AZ21">
        <v>2662</v>
      </c>
      <c r="BA21">
        <f t="shared" si="30"/>
        <v>0.75448910593538687</v>
      </c>
      <c r="BB21">
        <v>-2.0596600778842</v>
      </c>
      <c r="BC21" t="s">
        <v>485</v>
      </c>
      <c r="BD21">
        <v>13237</v>
      </c>
      <c r="BE21">
        <v>883.70300000000009</v>
      </c>
      <c r="BF21">
        <v>1321.52</v>
      </c>
      <c r="BG21">
        <f t="shared" si="31"/>
        <v>0.33129805072946295</v>
      </c>
      <c r="BH21">
        <v>0.5</v>
      </c>
      <c r="BI21">
        <f t="shared" si="32"/>
        <v>840.30540959875032</v>
      </c>
      <c r="BJ21">
        <f t="shared" si="33"/>
        <v>30.655302326450133</v>
      </c>
      <c r="BK21">
        <f t="shared" si="34"/>
        <v>139.19577210874445</v>
      </c>
      <c r="BL21">
        <f t="shared" si="35"/>
        <v>3.8932228723787321E-2</v>
      </c>
      <c r="BM21">
        <f t="shared" si="36"/>
        <v>1.0143471154428234</v>
      </c>
      <c r="BN21">
        <f t="shared" si="37"/>
        <v>523.24467022633632</v>
      </c>
      <c r="BO21" t="s">
        <v>408</v>
      </c>
      <c r="BP21">
        <v>0</v>
      </c>
      <c r="BQ21">
        <f t="shared" si="38"/>
        <v>523.24467022633632</v>
      </c>
      <c r="BR21">
        <f t="shared" si="39"/>
        <v>0.60405845524370694</v>
      </c>
      <c r="BS21">
        <f t="shared" si="40"/>
        <v>0.54845362705137701</v>
      </c>
      <c r="BT21">
        <f t="shared" si="41"/>
        <v>0.62675705880852584</v>
      </c>
      <c r="BU21">
        <f t="shared" si="42"/>
        <v>0.65544410677126208</v>
      </c>
      <c r="BV21">
        <f t="shared" si="43"/>
        <v>0.66742014986681275</v>
      </c>
      <c r="BW21">
        <f t="shared" si="44"/>
        <v>0.32474195201434847</v>
      </c>
      <c r="BX21">
        <f t="shared" si="45"/>
        <v>0.67525804798565159</v>
      </c>
      <c r="DG21">
        <f t="shared" si="46"/>
        <v>1000.008225806451</v>
      </c>
      <c r="DH21">
        <f t="shared" si="47"/>
        <v>840.30540959875032</v>
      </c>
      <c r="DI21">
        <f t="shared" si="48"/>
        <v>0.84029849746594909</v>
      </c>
      <c r="DJ21">
        <f t="shared" si="49"/>
        <v>0.16017610010928174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1786034526.5</v>
      </c>
      <c r="DQ21">
        <v>419.91670967741942</v>
      </c>
      <c r="DR21">
        <v>457.68893548387098</v>
      </c>
      <c r="DS21">
        <v>21.338574193548379</v>
      </c>
      <c r="DT21">
        <v>19.033845161290319</v>
      </c>
      <c r="DU21">
        <v>430.1134193548387</v>
      </c>
      <c r="DV21">
        <v>21.865464516129041</v>
      </c>
      <c r="DW21">
        <v>500.04122580645162</v>
      </c>
      <c r="DX21">
        <v>97.979180645161279</v>
      </c>
      <c r="DY21">
        <v>4.8774458064516128E-2</v>
      </c>
      <c r="DZ21">
        <v>25.20196774193548</v>
      </c>
      <c r="EA21">
        <v>25.04023225806452</v>
      </c>
      <c r="EB21">
        <v>999.90000000000032</v>
      </c>
      <c r="EC21">
        <v>0</v>
      </c>
      <c r="ED21">
        <v>0</v>
      </c>
      <c r="EE21">
        <v>10000.64516129032</v>
      </c>
      <c r="EF21">
        <v>0</v>
      </c>
      <c r="EG21">
        <v>537.96238709677425</v>
      </c>
      <c r="EH21">
        <v>-37.772290322580638</v>
      </c>
      <c r="EI21">
        <v>429.07248387096769</v>
      </c>
      <c r="EJ21">
        <v>466.56948387096782</v>
      </c>
      <c r="EK21">
        <v>2.3047316129032249</v>
      </c>
      <c r="EL21">
        <v>457.68893548387098</v>
      </c>
      <c r="EM21">
        <v>19.033845161290319</v>
      </c>
      <c r="EN21">
        <v>2.0907367741935481</v>
      </c>
      <c r="EO21">
        <v>1.8649209677419349</v>
      </c>
      <c r="EP21">
        <v>18.14878387096774</v>
      </c>
      <c r="EQ21">
        <v>16.341822580645161</v>
      </c>
      <c r="ER21">
        <v>1000.008225806451</v>
      </c>
      <c r="ES21">
        <v>0.98999800000000004</v>
      </c>
      <c r="ET21">
        <v>1.0001599999999999E-2</v>
      </c>
      <c r="EU21">
        <v>0</v>
      </c>
      <c r="EV21">
        <v>883.4833548387096</v>
      </c>
      <c r="EW21">
        <v>5.0010700000000003</v>
      </c>
      <c r="EX21">
        <v>11460.722580645161</v>
      </c>
      <c r="EY21">
        <v>9080.3461290322575</v>
      </c>
      <c r="EZ21">
        <v>38.061999999999983</v>
      </c>
      <c r="FA21">
        <v>40.551999999999992</v>
      </c>
      <c r="FB21">
        <v>39.375</v>
      </c>
      <c r="FC21">
        <v>40.277999999999999</v>
      </c>
      <c r="FD21">
        <v>39.745935483870973</v>
      </c>
      <c r="FE21">
        <v>985.05741935483888</v>
      </c>
      <c r="FF21">
        <v>9.9499999999999975</v>
      </c>
      <c r="FG21">
        <v>0</v>
      </c>
      <c r="FH21">
        <v>180.9000000953674</v>
      </c>
      <c r="FI21">
        <v>0</v>
      </c>
      <c r="FJ21">
        <v>883.70300000000009</v>
      </c>
      <c r="FK21">
        <v>3.50759802778451</v>
      </c>
      <c r="FL21">
        <v>-58.014706357760467</v>
      </c>
      <c r="FM21">
        <v>11459.523529411759</v>
      </c>
      <c r="FN21">
        <v>10</v>
      </c>
      <c r="FO21">
        <v>1786034441</v>
      </c>
      <c r="FP21" t="s">
        <v>486</v>
      </c>
      <c r="FQ21">
        <v>1786034434.5</v>
      </c>
      <c r="FR21">
        <v>1786034441</v>
      </c>
      <c r="FS21">
        <v>35</v>
      </c>
      <c r="FT21">
        <v>2E-3</v>
      </c>
      <c r="FU21">
        <v>-3.0000000000000001E-3</v>
      </c>
      <c r="FV21">
        <v>-10.336</v>
      </c>
      <c r="FW21">
        <v>-0.59399999999999997</v>
      </c>
      <c r="FX21">
        <v>458</v>
      </c>
      <c r="FY21">
        <v>19</v>
      </c>
      <c r="FZ21">
        <v>0.24</v>
      </c>
      <c r="GA21">
        <v>0.09</v>
      </c>
      <c r="GB21">
        <v>419.91666666666669</v>
      </c>
      <c r="GC21">
        <v>-0.58432925472729891</v>
      </c>
      <c r="GD21">
        <v>7.4426399139613575E-2</v>
      </c>
      <c r="GE21">
        <v>-1</v>
      </c>
      <c r="GF21">
        <v>883.2927647058824</v>
      </c>
      <c r="GG21">
        <v>3.6925286494548111</v>
      </c>
      <c r="GH21">
        <v>0.41318426731220298</v>
      </c>
      <c r="GI21">
        <v>1</v>
      </c>
      <c r="GJ21">
        <v>2.3015249999999998</v>
      </c>
      <c r="GK21">
        <v>8.1317448405254567E-2</v>
      </c>
      <c r="GL21">
        <v>1.7804995647289549E-2</v>
      </c>
      <c r="GM21">
        <v>1</v>
      </c>
      <c r="GN21">
        <v>2</v>
      </c>
      <c r="GO21">
        <v>2</v>
      </c>
      <c r="GP21" t="s">
        <v>411</v>
      </c>
      <c r="GQ21">
        <v>3.1314899999999999</v>
      </c>
      <c r="GR21">
        <v>2.7246000000000001</v>
      </c>
      <c r="GS21">
        <v>9.31062E-2</v>
      </c>
      <c r="GT21">
        <v>9.8293900000000003E-2</v>
      </c>
      <c r="GU21">
        <v>0.10578700000000001</v>
      </c>
      <c r="GV21">
        <v>9.5998700000000006E-2</v>
      </c>
      <c r="GW21">
        <v>22820.1</v>
      </c>
      <c r="GX21">
        <v>30163.5</v>
      </c>
      <c r="GY21">
        <v>27280.799999999999</v>
      </c>
      <c r="GZ21">
        <v>34376.699999999997</v>
      </c>
      <c r="HA21">
        <v>35680.699999999997</v>
      </c>
      <c r="HB21">
        <v>39168.400000000001</v>
      </c>
      <c r="HC21">
        <v>40244.300000000003</v>
      </c>
      <c r="HD21">
        <v>43412.1</v>
      </c>
      <c r="HE21">
        <v>1.9976</v>
      </c>
      <c r="HF21">
        <v>1.8338000000000001</v>
      </c>
      <c r="HG21">
        <v>-2.0205999999999998E-2</v>
      </c>
      <c r="HH21">
        <v>0</v>
      </c>
      <c r="HI21">
        <v>25.358799999999999</v>
      </c>
      <c r="HJ21">
        <v>999.9</v>
      </c>
      <c r="HK21">
        <v>60.5</v>
      </c>
      <c r="HL21">
        <v>35</v>
      </c>
      <c r="HM21">
        <v>34.875100000000003</v>
      </c>
      <c r="HN21">
        <v>60.294699999999999</v>
      </c>
      <c r="HO21">
        <v>4.72356</v>
      </c>
      <c r="HP21">
        <v>1</v>
      </c>
      <c r="HQ21">
        <v>0.27126</v>
      </c>
      <c r="HR21">
        <v>3.24159</v>
      </c>
      <c r="HS21">
        <v>20.214300000000001</v>
      </c>
      <c r="HT21">
        <v>5.2137000000000002</v>
      </c>
      <c r="HU21">
        <v>11.902100000000001</v>
      </c>
      <c r="HV21">
        <v>4.9847999999999999</v>
      </c>
      <c r="HW21">
        <v>3.2702</v>
      </c>
      <c r="HX21">
        <v>9999</v>
      </c>
      <c r="HY21">
        <v>9999</v>
      </c>
      <c r="HZ21">
        <v>9999</v>
      </c>
      <c r="IA21">
        <v>999.9</v>
      </c>
      <c r="IB21">
        <v>1.8675200000000001</v>
      </c>
      <c r="IC21">
        <v>1.8631</v>
      </c>
      <c r="ID21">
        <v>1.8626400000000001</v>
      </c>
      <c r="IE21">
        <v>1.8621799999999999</v>
      </c>
      <c r="IF21">
        <v>1.8621799999999999</v>
      </c>
      <c r="IG21">
        <v>1.8627899999999999</v>
      </c>
      <c r="IH21">
        <v>1.86371</v>
      </c>
      <c r="II21">
        <v>1.8616600000000001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-10.196</v>
      </c>
      <c r="IX21">
        <v>-0.52690000000000003</v>
      </c>
      <c r="IY21">
        <v>-8.193669335923099</v>
      </c>
      <c r="IZ21">
        <v>-5.6215304933332991E-3</v>
      </c>
      <c r="JA21">
        <v>2.3979931213773931E-6</v>
      </c>
      <c r="JB21">
        <v>-3.6297174575716598E-10</v>
      </c>
      <c r="JC21">
        <v>-0.86135382190654353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1.7</v>
      </c>
      <c r="JL21">
        <v>1.6</v>
      </c>
      <c r="JM21">
        <v>1.17676</v>
      </c>
      <c r="JN21">
        <v>2.52197</v>
      </c>
      <c r="JO21">
        <v>1.50024</v>
      </c>
      <c r="JP21">
        <v>2.2753899999999998</v>
      </c>
      <c r="JQ21">
        <v>1.4477500000000001</v>
      </c>
      <c r="JR21">
        <v>2.36328</v>
      </c>
      <c r="JS21">
        <v>40.527500000000003</v>
      </c>
      <c r="JT21">
        <v>23.886099999999999</v>
      </c>
      <c r="JU21">
        <v>18</v>
      </c>
      <c r="JV21">
        <v>536.93799999999999</v>
      </c>
      <c r="JW21">
        <v>446.64699999999999</v>
      </c>
      <c r="JX21">
        <v>22.1951</v>
      </c>
      <c r="JY21">
        <v>30.590900000000001</v>
      </c>
      <c r="JZ21">
        <v>30.000499999999999</v>
      </c>
      <c r="KA21">
        <v>30.479700000000001</v>
      </c>
      <c r="KB21">
        <v>30.4697</v>
      </c>
      <c r="KC21">
        <v>23.544799999999999</v>
      </c>
      <c r="KD21">
        <v>47.857599999999998</v>
      </c>
      <c r="KE21">
        <v>0</v>
      </c>
      <c r="KF21">
        <v>22.200700000000001</v>
      </c>
      <c r="KG21">
        <v>457.779</v>
      </c>
      <c r="KH21">
        <v>18.953700000000001</v>
      </c>
      <c r="KI21">
        <v>100.623</v>
      </c>
      <c r="KJ21">
        <v>97.874799999999993</v>
      </c>
    </row>
    <row r="22" spans="1:296" x14ac:dyDescent="0.3">
      <c r="A22">
        <v>6</v>
      </c>
      <c r="B22">
        <v>1786034716</v>
      </c>
      <c r="C22">
        <v>907.5</v>
      </c>
      <c r="D22" t="s">
        <v>487</v>
      </c>
      <c r="E22" t="s">
        <v>488</v>
      </c>
      <c r="F22">
        <v>15</v>
      </c>
      <c r="H22">
        <v>1786034708.25</v>
      </c>
      <c r="I22">
        <f t="shared" si="0"/>
        <v>2.0821796698325739E-3</v>
      </c>
      <c r="J22">
        <f t="shared" si="1"/>
        <v>2.0821796698325739</v>
      </c>
      <c r="K22">
        <f t="shared" si="2"/>
        <v>28.65436197086893</v>
      </c>
      <c r="L22">
        <f t="shared" si="3"/>
        <v>420.05236666666673</v>
      </c>
      <c r="M22">
        <f t="shared" si="4"/>
        <v>163.44552313822714</v>
      </c>
      <c r="N22">
        <f t="shared" si="5"/>
        <v>16.022348184513383</v>
      </c>
      <c r="O22">
        <f t="shared" si="6"/>
        <v>41.177177234584853</v>
      </c>
      <c r="P22">
        <f t="shared" si="7"/>
        <v>0.1880819318563762</v>
      </c>
      <c r="Q22">
        <f t="shared" si="8"/>
        <v>2.8935276324254078</v>
      </c>
      <c r="R22">
        <f t="shared" si="9"/>
        <v>0.18154447492386599</v>
      </c>
      <c r="S22">
        <f t="shared" si="10"/>
        <v>0.11403373070756327</v>
      </c>
      <c r="T22">
        <f t="shared" si="11"/>
        <v>128.27768964653336</v>
      </c>
      <c r="U22">
        <f t="shared" si="12"/>
        <v>25.336826031459641</v>
      </c>
      <c r="V22">
        <f t="shared" si="13"/>
        <v>24.98107666666667</v>
      </c>
      <c r="W22">
        <f t="shared" si="14"/>
        <v>3.1760920712244256</v>
      </c>
      <c r="X22">
        <f t="shared" si="15"/>
        <v>65.013115708964662</v>
      </c>
      <c r="Y22">
        <f t="shared" si="16"/>
        <v>2.0819290936527444</v>
      </c>
      <c r="Z22">
        <f t="shared" si="17"/>
        <v>3.2023216714803087</v>
      </c>
      <c r="AA22">
        <f t="shared" si="18"/>
        <v>1.0941629775716812</v>
      </c>
      <c r="AB22">
        <f t="shared" si="19"/>
        <v>-91.824123439616514</v>
      </c>
      <c r="AC22">
        <f t="shared" si="20"/>
        <v>21.527948903471202</v>
      </c>
      <c r="AD22">
        <f t="shared" si="21"/>
        <v>1.5745409927137717</v>
      </c>
      <c r="AE22">
        <f t="shared" si="22"/>
        <v>59.55605610310181</v>
      </c>
      <c r="AF22">
        <f t="shared" si="23"/>
        <v>28.65436197086893</v>
      </c>
      <c r="AG22">
        <f t="shared" si="24"/>
        <v>2.0821796698325739</v>
      </c>
      <c r="AH22">
        <f t="shared" si="25"/>
        <v>28.761200721480137</v>
      </c>
      <c r="AI22">
        <v>464.18240845277268</v>
      </c>
      <c r="AJ22">
        <v>429.14333333333309</v>
      </c>
      <c r="AK22">
        <v>-2.4826992383915569E-2</v>
      </c>
      <c r="AL22">
        <v>67.084827745495545</v>
      </c>
      <c r="AM22">
        <f t="shared" si="26"/>
        <v>2.0856888696858507</v>
      </c>
      <c r="AN22">
        <v>18.799014085721289</v>
      </c>
      <c r="AO22">
        <v>21.247247272727279</v>
      </c>
      <c r="AP22">
        <v>1.8627115228643981E-4</v>
      </c>
      <c r="AQ22">
        <v>78.230608179361852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52126.098106020407</v>
      </c>
      <c r="AW22" t="s">
        <v>468</v>
      </c>
      <c r="AX22">
        <v>13243.1</v>
      </c>
      <c r="AY22">
        <v>653.55000000000007</v>
      </c>
      <c r="AZ22">
        <v>2662</v>
      </c>
      <c r="BA22">
        <f t="shared" si="30"/>
        <v>0.75448910593538687</v>
      </c>
      <c r="BB22">
        <v>-2.0596600778842</v>
      </c>
      <c r="BC22" t="s">
        <v>489</v>
      </c>
      <c r="BD22">
        <v>13237.2</v>
      </c>
      <c r="BE22">
        <v>886.45370588235289</v>
      </c>
      <c r="BF22">
        <v>1449.27</v>
      </c>
      <c r="BG22">
        <f t="shared" si="31"/>
        <v>0.38834467981649179</v>
      </c>
      <c r="BH22">
        <v>0.5</v>
      </c>
      <c r="BI22">
        <f t="shared" si="32"/>
        <v>672.31319260442137</v>
      </c>
      <c r="BJ22">
        <f t="shared" si="33"/>
        <v>28.65436197086893</v>
      </c>
      <c r="BK22">
        <f t="shared" si="34"/>
        <v>130.5446257591837</v>
      </c>
      <c r="BL22">
        <f t="shared" si="35"/>
        <v>4.5684098403264241E-2</v>
      </c>
      <c r="BM22">
        <f t="shared" si="36"/>
        <v>0.83678679611114559</v>
      </c>
      <c r="BN22">
        <f t="shared" si="37"/>
        <v>542.16705203054391</v>
      </c>
      <c r="BO22" t="s">
        <v>408</v>
      </c>
      <c r="BP22">
        <v>0</v>
      </c>
      <c r="BQ22">
        <f t="shared" si="38"/>
        <v>542.16705203054391</v>
      </c>
      <c r="BR22">
        <f t="shared" si="39"/>
        <v>0.62590334994131946</v>
      </c>
      <c r="BS22">
        <f t="shared" si="40"/>
        <v>0.62045470734882702</v>
      </c>
      <c r="BT22">
        <f t="shared" si="41"/>
        <v>0.57208753225656239</v>
      </c>
      <c r="BU22">
        <f t="shared" si="42"/>
        <v>0.70730444643548884</v>
      </c>
      <c r="BV22">
        <f t="shared" si="43"/>
        <v>0.60381388633025479</v>
      </c>
      <c r="BW22">
        <f t="shared" si="44"/>
        <v>0.37947847402471341</v>
      </c>
      <c r="BX22">
        <f t="shared" si="45"/>
        <v>0.62052152597528654</v>
      </c>
      <c r="DG22">
        <f t="shared" si="46"/>
        <v>800.00463333333323</v>
      </c>
      <c r="DH22">
        <f t="shared" si="47"/>
        <v>672.31319260442137</v>
      </c>
      <c r="DI22">
        <f t="shared" si="48"/>
        <v>0.84038662351633231</v>
      </c>
      <c r="DJ22">
        <f t="shared" si="49"/>
        <v>0.16034618338652126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1786034708.25</v>
      </c>
      <c r="DQ22">
        <v>420.05236666666673</v>
      </c>
      <c r="DR22">
        <v>455.48333333333329</v>
      </c>
      <c r="DS22">
        <v>21.237960000000001</v>
      </c>
      <c r="DT22">
        <v>18.79267333333333</v>
      </c>
      <c r="DU22">
        <v>430.28840000000002</v>
      </c>
      <c r="DV22">
        <v>21.77385666666666</v>
      </c>
      <c r="DW22">
        <v>500.05386666666669</v>
      </c>
      <c r="DX22">
        <v>97.980316666666653</v>
      </c>
      <c r="DY22">
        <v>4.8359046666666669E-2</v>
      </c>
      <c r="DZ22">
        <v>25.11908</v>
      </c>
      <c r="EA22">
        <v>24.98107666666667</v>
      </c>
      <c r="EB22">
        <v>999.9000000000002</v>
      </c>
      <c r="EC22">
        <v>0</v>
      </c>
      <c r="ED22">
        <v>0</v>
      </c>
      <c r="EE22">
        <v>9998</v>
      </c>
      <c r="EF22">
        <v>0</v>
      </c>
      <c r="EG22">
        <v>414.97890000000001</v>
      </c>
      <c r="EH22">
        <v>-35.430863333333328</v>
      </c>
      <c r="EI22">
        <v>429.16693333333342</v>
      </c>
      <c r="EJ22">
        <v>464.20690000000002</v>
      </c>
      <c r="EK22">
        <v>2.4452946666666668</v>
      </c>
      <c r="EL22">
        <v>455.48333333333329</v>
      </c>
      <c r="EM22">
        <v>18.79267333333333</v>
      </c>
      <c r="EN22">
        <v>2.0809026666666668</v>
      </c>
      <c r="EO22">
        <v>1.8413120000000001</v>
      </c>
      <c r="EP22">
        <v>18.073736666666669</v>
      </c>
      <c r="EQ22">
        <v>16.141976666666661</v>
      </c>
      <c r="ER22">
        <v>800.00463333333323</v>
      </c>
      <c r="ES22">
        <v>0.98702933333333343</v>
      </c>
      <c r="ET22">
        <v>1.2970783333333329E-2</v>
      </c>
      <c r="EU22">
        <v>0</v>
      </c>
      <c r="EV22">
        <v>886.45723333333319</v>
      </c>
      <c r="EW22">
        <v>5.0010700000000003</v>
      </c>
      <c r="EX22">
        <v>9139.8479999999981</v>
      </c>
      <c r="EY22">
        <v>7246.7439999999997</v>
      </c>
      <c r="EZ22">
        <v>37.441199999999988</v>
      </c>
      <c r="FA22">
        <v>40.303733333333327</v>
      </c>
      <c r="FB22">
        <v>39</v>
      </c>
      <c r="FC22">
        <v>40.008266666666671</v>
      </c>
      <c r="FD22">
        <v>39.274799999999999</v>
      </c>
      <c r="FE22">
        <v>784.69200000000012</v>
      </c>
      <c r="FF22">
        <v>10.31</v>
      </c>
      <c r="FG22">
        <v>0</v>
      </c>
      <c r="FH22">
        <v>180.70000004768369</v>
      </c>
      <c r="FI22">
        <v>0</v>
      </c>
      <c r="FJ22">
        <v>886.45370588235289</v>
      </c>
      <c r="FK22">
        <v>0.67818631751803704</v>
      </c>
      <c r="FL22">
        <v>129.67647067761149</v>
      </c>
      <c r="FM22">
        <v>9146.4423529411761</v>
      </c>
      <c r="FN22">
        <v>10</v>
      </c>
      <c r="FO22">
        <v>1786034620</v>
      </c>
      <c r="FP22" t="s">
        <v>490</v>
      </c>
      <c r="FQ22">
        <v>1786034616.5</v>
      </c>
      <c r="FR22">
        <v>1786034620</v>
      </c>
      <c r="FS22">
        <v>36</v>
      </c>
      <c r="FT22">
        <v>-3.7999999999999999E-2</v>
      </c>
      <c r="FU22">
        <v>-7.0000000000000001E-3</v>
      </c>
      <c r="FV22">
        <v>-10.369</v>
      </c>
      <c r="FW22">
        <v>-0.59299999999999997</v>
      </c>
      <c r="FX22">
        <v>456</v>
      </c>
      <c r="FY22">
        <v>19</v>
      </c>
      <c r="FZ22">
        <v>0.19</v>
      </c>
      <c r="GA22">
        <v>0.12</v>
      </c>
      <c r="GB22">
        <v>420.04640000000001</v>
      </c>
      <c r="GC22">
        <v>0.37556395995554398</v>
      </c>
      <c r="GD22">
        <v>5.7093840882062867E-2</v>
      </c>
      <c r="GE22">
        <v>-1</v>
      </c>
      <c r="GF22">
        <v>886.38400000000001</v>
      </c>
      <c r="GG22">
        <v>0.70768526222076222</v>
      </c>
      <c r="GH22">
        <v>0.24040040129163229</v>
      </c>
      <c r="GI22">
        <v>1</v>
      </c>
      <c r="GJ22">
        <v>2.44224525</v>
      </c>
      <c r="GK22">
        <v>5.0558836772974687E-2</v>
      </c>
      <c r="GL22">
        <v>5.7227803502755701E-3</v>
      </c>
      <c r="GM22">
        <v>1</v>
      </c>
      <c r="GN22">
        <v>2</v>
      </c>
      <c r="GO22">
        <v>2</v>
      </c>
      <c r="GP22" t="s">
        <v>411</v>
      </c>
      <c r="GQ22">
        <v>3.1309999999999998</v>
      </c>
      <c r="GR22">
        <v>2.7242500000000001</v>
      </c>
      <c r="GS22">
        <v>9.3118500000000007E-2</v>
      </c>
      <c r="GT22">
        <v>9.7927299999999995E-2</v>
      </c>
      <c r="GU22">
        <v>0.105486</v>
      </c>
      <c r="GV22">
        <v>9.5345100000000002E-2</v>
      </c>
      <c r="GW22">
        <v>22817.8</v>
      </c>
      <c r="GX22">
        <v>30173.1</v>
      </c>
      <c r="GY22">
        <v>27278.9</v>
      </c>
      <c r="GZ22">
        <v>34374.199999999997</v>
      </c>
      <c r="HA22">
        <v>35691.1</v>
      </c>
      <c r="HB22">
        <v>39195.1</v>
      </c>
      <c r="HC22">
        <v>40242</v>
      </c>
      <c r="HD22">
        <v>43410.1</v>
      </c>
      <c r="HE22">
        <v>1.9967999999999999</v>
      </c>
      <c r="HF22">
        <v>1.83</v>
      </c>
      <c r="HG22">
        <v>-2.8312199999999999E-2</v>
      </c>
      <c r="HH22">
        <v>0</v>
      </c>
      <c r="HI22">
        <v>25.444500000000001</v>
      </c>
      <c r="HJ22">
        <v>999.9</v>
      </c>
      <c r="HK22">
        <v>60.5</v>
      </c>
      <c r="HL22">
        <v>35.200000000000003</v>
      </c>
      <c r="HM22">
        <v>35.2652</v>
      </c>
      <c r="HN22">
        <v>60.544600000000003</v>
      </c>
      <c r="HO22">
        <v>4.7796500000000002</v>
      </c>
      <c r="HP22">
        <v>1</v>
      </c>
      <c r="HQ22">
        <v>0.27518300000000001</v>
      </c>
      <c r="HR22">
        <v>2.8244400000000001</v>
      </c>
      <c r="HS22">
        <v>20.223500000000001</v>
      </c>
      <c r="HT22">
        <v>5.2112999999999996</v>
      </c>
      <c r="HU22">
        <v>11.9033</v>
      </c>
      <c r="HV22">
        <v>4.9855999999999998</v>
      </c>
      <c r="HW22">
        <v>3.2704</v>
      </c>
      <c r="HX22">
        <v>9999</v>
      </c>
      <c r="HY22">
        <v>9999</v>
      </c>
      <c r="HZ22">
        <v>9999</v>
      </c>
      <c r="IA22">
        <v>999.9</v>
      </c>
      <c r="IB22">
        <v>1.8675200000000001</v>
      </c>
      <c r="IC22">
        <v>1.86313</v>
      </c>
      <c r="ID22">
        <v>1.8626400000000001</v>
      </c>
      <c r="IE22">
        <v>1.8621799999999999</v>
      </c>
      <c r="IF22">
        <v>1.8621799999999999</v>
      </c>
      <c r="IG22">
        <v>1.8627899999999999</v>
      </c>
      <c r="IH22">
        <v>1.86371</v>
      </c>
      <c r="II22">
        <v>1.86172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-10.236000000000001</v>
      </c>
      <c r="IX22">
        <v>-0.53559999999999997</v>
      </c>
      <c r="IY22">
        <v>-8.2321357206882197</v>
      </c>
      <c r="IZ22">
        <v>-5.6215304933332991E-3</v>
      </c>
      <c r="JA22">
        <v>2.3979931213773931E-6</v>
      </c>
      <c r="JB22">
        <v>-3.6297174575716598E-10</v>
      </c>
      <c r="JC22">
        <v>-0.86794683831913555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1.7</v>
      </c>
      <c r="JL22">
        <v>1.6</v>
      </c>
      <c r="JM22">
        <v>1.17065</v>
      </c>
      <c r="JN22">
        <v>2.5158700000000001</v>
      </c>
      <c r="JO22">
        <v>1.50024</v>
      </c>
      <c r="JP22">
        <v>2.2741699999999998</v>
      </c>
      <c r="JQ22">
        <v>1.4477500000000001</v>
      </c>
      <c r="JR22">
        <v>2.3828100000000001</v>
      </c>
      <c r="JS22">
        <v>40.860799999999998</v>
      </c>
      <c r="JT22">
        <v>23.886099999999999</v>
      </c>
      <c r="JU22">
        <v>18</v>
      </c>
      <c r="JV22">
        <v>537.17200000000003</v>
      </c>
      <c r="JW22">
        <v>444.9</v>
      </c>
      <c r="JX22">
        <v>22.421399999999998</v>
      </c>
      <c r="JY22">
        <v>30.677199999999999</v>
      </c>
      <c r="JZ22">
        <v>30.0001</v>
      </c>
      <c r="KA22">
        <v>30.5671</v>
      </c>
      <c r="KB22">
        <v>30.553999999999998</v>
      </c>
      <c r="KC22">
        <v>23.428699999999999</v>
      </c>
      <c r="KD22">
        <v>48.624600000000001</v>
      </c>
      <c r="KE22">
        <v>0</v>
      </c>
      <c r="KF22">
        <v>22.417400000000001</v>
      </c>
      <c r="KG22">
        <v>455.38600000000002</v>
      </c>
      <c r="KH22">
        <v>18.77</v>
      </c>
      <c r="KI22">
        <v>100.616</v>
      </c>
      <c r="KJ22">
        <v>97.869200000000006</v>
      </c>
    </row>
    <row r="23" spans="1:296" x14ac:dyDescent="0.3">
      <c r="A23">
        <v>7</v>
      </c>
      <c r="B23">
        <v>1786034897.5</v>
      </c>
      <c r="C23">
        <v>1089</v>
      </c>
      <c r="D23" t="s">
        <v>491</v>
      </c>
      <c r="E23" t="s">
        <v>492</v>
      </c>
      <c r="F23">
        <v>15</v>
      </c>
      <c r="H23">
        <v>1786034889.75</v>
      </c>
      <c r="I23">
        <f t="shared" si="0"/>
        <v>1.957940045647589E-3</v>
      </c>
      <c r="J23">
        <f t="shared" si="1"/>
        <v>1.9579400456475888</v>
      </c>
      <c r="K23">
        <f t="shared" si="2"/>
        <v>25.423439777112836</v>
      </c>
      <c r="L23">
        <f t="shared" si="3"/>
        <v>420.05256666666668</v>
      </c>
      <c r="M23">
        <f t="shared" si="4"/>
        <v>177.70500832594635</v>
      </c>
      <c r="N23">
        <f t="shared" si="5"/>
        <v>17.420387104023991</v>
      </c>
      <c r="O23">
        <f t="shared" si="6"/>
        <v>41.177670704420805</v>
      </c>
      <c r="P23">
        <f t="shared" si="7"/>
        <v>0.17668856535209454</v>
      </c>
      <c r="Q23">
        <f t="shared" si="8"/>
        <v>2.8930279532707792</v>
      </c>
      <c r="R23">
        <f t="shared" si="9"/>
        <v>0.17090508737171756</v>
      </c>
      <c r="S23">
        <f t="shared" si="10"/>
        <v>0.10731953192357112</v>
      </c>
      <c r="T23">
        <f t="shared" si="11"/>
        <v>96.349654120123716</v>
      </c>
      <c r="U23">
        <f t="shared" si="12"/>
        <v>25.175909042520338</v>
      </c>
      <c r="V23">
        <f t="shared" si="13"/>
        <v>25.013146666666671</v>
      </c>
      <c r="W23">
        <f t="shared" si="14"/>
        <v>3.1821706505076981</v>
      </c>
      <c r="X23">
        <f t="shared" si="15"/>
        <v>65.25495286982455</v>
      </c>
      <c r="Y23">
        <f t="shared" si="16"/>
        <v>2.0893075749855967</v>
      </c>
      <c r="Z23">
        <f t="shared" si="17"/>
        <v>3.2017609133110607</v>
      </c>
      <c r="AA23">
        <f t="shared" si="18"/>
        <v>1.0928630755221014</v>
      </c>
      <c r="AB23">
        <f t="shared" si="19"/>
        <v>-86.34515601305867</v>
      </c>
      <c r="AC23">
        <f t="shared" si="20"/>
        <v>16.063759277903056</v>
      </c>
      <c r="AD23">
        <f t="shared" si="21"/>
        <v>1.1752686901432277</v>
      </c>
      <c r="AE23">
        <f t="shared" si="22"/>
        <v>27.24352607511133</v>
      </c>
      <c r="AF23">
        <f t="shared" si="23"/>
        <v>25.423439777112836</v>
      </c>
      <c r="AG23">
        <f t="shared" si="24"/>
        <v>1.9579400456475888</v>
      </c>
      <c r="AH23">
        <f t="shared" si="25"/>
        <v>25.479017451708472</v>
      </c>
      <c r="AI23">
        <v>460.33846918585681</v>
      </c>
      <c r="AJ23">
        <v>429.18808484848472</v>
      </c>
      <c r="AK23">
        <v>-3.241442821485072E-3</v>
      </c>
      <c r="AL23">
        <v>67.086539292162584</v>
      </c>
      <c r="AM23">
        <f t="shared" si="26"/>
        <v>1.9720387228070357</v>
      </c>
      <c r="AN23">
        <v>18.99424521962667</v>
      </c>
      <c r="AO23">
        <v>21.310687272727279</v>
      </c>
      <c r="AP23">
        <v>-6.7186291294485173E-5</v>
      </c>
      <c r="AQ23">
        <v>78.234874428379371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52112.302130665026</v>
      </c>
      <c r="AW23" t="s">
        <v>468</v>
      </c>
      <c r="AX23">
        <v>13243.1</v>
      </c>
      <c r="AY23">
        <v>653.55000000000007</v>
      </c>
      <c r="AZ23">
        <v>2662</v>
      </c>
      <c r="BA23">
        <f t="shared" si="30"/>
        <v>0.75448910593538687</v>
      </c>
      <c r="BB23">
        <v>-2.0596600778842</v>
      </c>
      <c r="BC23" t="s">
        <v>493</v>
      </c>
      <c r="BD23">
        <v>13234</v>
      </c>
      <c r="BE23">
        <v>882.02647058823538</v>
      </c>
      <c r="BF23">
        <v>1620.41</v>
      </c>
      <c r="BG23">
        <f t="shared" si="31"/>
        <v>0.45567697645149352</v>
      </c>
      <c r="BH23">
        <v>0.5</v>
      </c>
      <c r="BI23">
        <f t="shared" si="32"/>
        <v>504.3258665492869</v>
      </c>
      <c r="BJ23">
        <f t="shared" si="33"/>
        <v>25.423439777112836</v>
      </c>
      <c r="BK23">
        <f t="shared" si="34"/>
        <v>114.90484300772924</v>
      </c>
      <c r="BL23">
        <f t="shared" si="35"/>
        <v>5.449472588634547E-2</v>
      </c>
      <c r="BM23">
        <f t="shared" si="36"/>
        <v>0.6427941076641096</v>
      </c>
      <c r="BN23">
        <f t="shared" si="37"/>
        <v>564.46941327828142</v>
      </c>
      <c r="BO23" t="s">
        <v>408</v>
      </c>
      <c r="BP23">
        <v>0</v>
      </c>
      <c r="BQ23">
        <f t="shared" si="38"/>
        <v>564.46941327828142</v>
      </c>
      <c r="BR23">
        <f t="shared" si="39"/>
        <v>0.65165025315921188</v>
      </c>
      <c r="BS23">
        <f t="shared" si="40"/>
        <v>0.69926616960917831</v>
      </c>
      <c r="BT23">
        <f t="shared" si="41"/>
        <v>0.49657917104700067</v>
      </c>
      <c r="BU23">
        <f t="shared" si="42"/>
        <v>0.76369229196756994</v>
      </c>
      <c r="BV23">
        <f t="shared" si="43"/>
        <v>0.51860389852871613</v>
      </c>
      <c r="BW23">
        <f t="shared" si="44"/>
        <v>0.44750852457002083</v>
      </c>
      <c r="BX23">
        <f t="shared" si="45"/>
        <v>0.55249147542997923</v>
      </c>
      <c r="DG23">
        <f t="shared" si="46"/>
        <v>600.02686666666671</v>
      </c>
      <c r="DH23">
        <f t="shared" si="47"/>
        <v>504.3258665492869</v>
      </c>
      <c r="DI23">
        <f t="shared" si="48"/>
        <v>0.84050547494809991</v>
      </c>
      <c r="DJ23">
        <f t="shared" si="49"/>
        <v>0.16057556664983286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1786034889.75</v>
      </c>
      <c r="DQ23">
        <v>420.05256666666668</v>
      </c>
      <c r="DR23">
        <v>451.54776666666658</v>
      </c>
      <c r="DS23">
        <v>21.312983333333332</v>
      </c>
      <c r="DT23">
        <v>19.01352</v>
      </c>
      <c r="DU23">
        <v>430.19560000000001</v>
      </c>
      <c r="DV23">
        <v>21.8444</v>
      </c>
      <c r="DW23">
        <v>499.9976666666667</v>
      </c>
      <c r="DX23">
        <v>97.981620000000007</v>
      </c>
      <c r="DY23">
        <v>4.8183820000000002E-2</v>
      </c>
      <c r="DZ23">
        <v>25.116140000000001</v>
      </c>
      <c r="EA23">
        <v>25.013146666666671</v>
      </c>
      <c r="EB23">
        <v>999.9000000000002</v>
      </c>
      <c r="EC23">
        <v>0</v>
      </c>
      <c r="ED23">
        <v>0</v>
      </c>
      <c r="EE23">
        <v>9995</v>
      </c>
      <c r="EF23">
        <v>0</v>
      </c>
      <c r="EG23">
        <v>1013.690933333333</v>
      </c>
      <c r="EH23">
        <v>-31.495223333333339</v>
      </c>
      <c r="EI23">
        <v>429.20006666666671</v>
      </c>
      <c r="EJ23">
        <v>460.2996333333333</v>
      </c>
      <c r="EK23">
        <v>2.2994586666666672</v>
      </c>
      <c r="EL23">
        <v>451.54776666666658</v>
      </c>
      <c r="EM23">
        <v>19.01352</v>
      </c>
      <c r="EN23">
        <v>2.0882809999999998</v>
      </c>
      <c r="EO23">
        <v>1.862975</v>
      </c>
      <c r="EP23">
        <v>18.13006</v>
      </c>
      <c r="EQ23">
        <v>16.325430000000001</v>
      </c>
      <c r="ER23">
        <v>600.02686666666671</v>
      </c>
      <c r="ES23">
        <v>0.98301493333333323</v>
      </c>
      <c r="ET23">
        <v>1.698495333333333E-2</v>
      </c>
      <c r="EU23">
        <v>0</v>
      </c>
      <c r="EV23">
        <v>881.99223333333327</v>
      </c>
      <c r="EW23">
        <v>5.0010700000000003</v>
      </c>
      <c r="EX23">
        <v>9082.73</v>
      </c>
      <c r="EY23">
        <v>5415.387333333334</v>
      </c>
      <c r="EZ23">
        <v>36.86869999999999</v>
      </c>
      <c r="FA23">
        <v>40.057866666666648</v>
      </c>
      <c r="FB23">
        <v>38.566199999999988</v>
      </c>
      <c r="FC23">
        <v>39.780999999999977</v>
      </c>
      <c r="FD23">
        <v>38.811999999999991</v>
      </c>
      <c r="FE23">
        <v>584.9186666666667</v>
      </c>
      <c r="FF23">
        <v>10.11</v>
      </c>
      <c r="FG23">
        <v>0</v>
      </c>
      <c r="FH23">
        <v>180.9000000953674</v>
      </c>
      <c r="FI23">
        <v>0</v>
      </c>
      <c r="FJ23">
        <v>882.02647058823538</v>
      </c>
      <c r="FK23">
        <v>0.7318627649612065</v>
      </c>
      <c r="FL23">
        <v>2159.9338209426101</v>
      </c>
      <c r="FM23">
        <v>9185.6441176470598</v>
      </c>
      <c r="FN23">
        <v>10</v>
      </c>
      <c r="FO23">
        <v>1786034800.5</v>
      </c>
      <c r="FP23" t="s">
        <v>494</v>
      </c>
      <c r="FQ23">
        <v>1786034794.5</v>
      </c>
      <c r="FR23">
        <v>1786034800.5</v>
      </c>
      <c r="FS23">
        <v>37</v>
      </c>
      <c r="FT23">
        <v>9.2999999999999999E-2</v>
      </c>
      <c r="FU23">
        <v>3.0000000000000001E-3</v>
      </c>
      <c r="FV23">
        <v>-10.262</v>
      </c>
      <c r="FW23">
        <v>-0.59399999999999997</v>
      </c>
      <c r="FX23">
        <v>452</v>
      </c>
      <c r="FY23">
        <v>19</v>
      </c>
      <c r="FZ23">
        <v>0.23</v>
      </c>
      <c r="GA23">
        <v>0.12</v>
      </c>
      <c r="GB23">
        <v>420.05456666666669</v>
      </c>
      <c r="GC23">
        <v>-5.2244716351770158E-2</v>
      </c>
      <c r="GD23">
        <v>4.2759547341957499E-2</v>
      </c>
      <c r="GE23">
        <v>-1</v>
      </c>
      <c r="GF23">
        <v>882.01232352941179</v>
      </c>
      <c r="GG23">
        <v>0.17092437543109679</v>
      </c>
      <c r="GH23">
        <v>0.22835920112945809</v>
      </c>
      <c r="GI23">
        <v>1</v>
      </c>
      <c r="GJ23">
        <v>2.2873277500000002</v>
      </c>
      <c r="GK23">
        <v>0.28031425891181971</v>
      </c>
      <c r="GL23">
        <v>3.1136733650746019E-2</v>
      </c>
      <c r="GM23">
        <v>1</v>
      </c>
      <c r="GN23">
        <v>2</v>
      </c>
      <c r="GO23">
        <v>2</v>
      </c>
      <c r="GP23" t="s">
        <v>411</v>
      </c>
      <c r="GQ23">
        <v>3.1302400000000001</v>
      </c>
      <c r="GR23">
        <v>2.72418</v>
      </c>
      <c r="GS23">
        <v>9.3088299999999999E-2</v>
      </c>
      <c r="GT23">
        <v>9.7262600000000005E-2</v>
      </c>
      <c r="GU23">
        <v>0.10566399999999999</v>
      </c>
      <c r="GV23">
        <v>9.6042000000000002E-2</v>
      </c>
      <c r="GW23">
        <v>22814.799999999999</v>
      </c>
      <c r="GX23">
        <v>30191.7</v>
      </c>
      <c r="GY23">
        <v>27274.7</v>
      </c>
      <c r="GZ23">
        <v>34370.400000000001</v>
      </c>
      <c r="HA23">
        <v>35679.199999999997</v>
      </c>
      <c r="HB23">
        <v>39160.800000000003</v>
      </c>
      <c r="HC23">
        <v>40236.400000000001</v>
      </c>
      <c r="HD23">
        <v>43405.7</v>
      </c>
      <c r="HE23">
        <v>1.9954000000000001</v>
      </c>
      <c r="HF23">
        <v>1.8282</v>
      </c>
      <c r="HG23">
        <v>-3.7044300000000002E-2</v>
      </c>
      <c r="HH23">
        <v>0</v>
      </c>
      <c r="HI23">
        <v>25.6236</v>
      </c>
      <c r="HJ23">
        <v>999.9</v>
      </c>
      <c r="HK23">
        <v>60.6</v>
      </c>
      <c r="HL23">
        <v>35.4</v>
      </c>
      <c r="HM23">
        <v>35.716700000000003</v>
      </c>
      <c r="HN23">
        <v>60.444600000000001</v>
      </c>
      <c r="HO23">
        <v>4.9238799999999996</v>
      </c>
      <c r="HP23">
        <v>1</v>
      </c>
      <c r="HQ23">
        <v>0.28199200000000002</v>
      </c>
      <c r="HR23">
        <v>3.1476299999999999</v>
      </c>
      <c r="HS23">
        <v>20.218900000000001</v>
      </c>
      <c r="HT23">
        <v>5.2137000000000002</v>
      </c>
      <c r="HU23">
        <v>11.9069</v>
      </c>
      <c r="HV23">
        <v>4.9851999999999999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1.8675200000000001</v>
      </c>
      <c r="IC23">
        <v>1.8631899999999999</v>
      </c>
      <c r="ID23">
        <v>1.86267</v>
      </c>
      <c r="IE23">
        <v>1.8621799999999999</v>
      </c>
      <c r="IF23">
        <v>1.8621799999999999</v>
      </c>
      <c r="IG23">
        <v>1.8627899999999999</v>
      </c>
      <c r="IH23">
        <v>1.86371</v>
      </c>
      <c r="II23">
        <v>1.8616600000000001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-10.143000000000001</v>
      </c>
      <c r="IX23">
        <v>-0.53159999999999996</v>
      </c>
      <c r="IY23">
        <v>-8.1396161583140767</v>
      </c>
      <c r="IZ23">
        <v>-5.6215304933332991E-3</v>
      </c>
      <c r="JA23">
        <v>2.3979931213773931E-6</v>
      </c>
      <c r="JB23">
        <v>-3.6297174575716598E-10</v>
      </c>
      <c r="JC23">
        <v>-0.86533686828304357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1.7</v>
      </c>
      <c r="JL23">
        <v>1.6</v>
      </c>
      <c r="JM23">
        <v>1.16333</v>
      </c>
      <c r="JN23">
        <v>2.52319</v>
      </c>
      <c r="JO23">
        <v>1.50024</v>
      </c>
      <c r="JP23">
        <v>2.2741699999999998</v>
      </c>
      <c r="JQ23">
        <v>1.4477500000000001</v>
      </c>
      <c r="JR23">
        <v>2.4316399999999998</v>
      </c>
      <c r="JS23">
        <v>41.144599999999997</v>
      </c>
      <c r="JT23">
        <v>23.886099999999999</v>
      </c>
      <c r="JU23">
        <v>18</v>
      </c>
      <c r="JV23">
        <v>536.76599999999996</v>
      </c>
      <c r="JW23">
        <v>444.24599999999998</v>
      </c>
      <c r="JX23">
        <v>22.221900000000002</v>
      </c>
      <c r="JY23">
        <v>30.7332</v>
      </c>
      <c r="JZ23">
        <v>30.0002</v>
      </c>
      <c r="KA23">
        <v>30.625499999999999</v>
      </c>
      <c r="KB23">
        <v>30.6174</v>
      </c>
      <c r="KC23">
        <v>23.2667</v>
      </c>
      <c r="KD23">
        <v>48.691800000000001</v>
      </c>
      <c r="KE23">
        <v>0</v>
      </c>
      <c r="KF23">
        <v>22.223099999999999</v>
      </c>
      <c r="KG23">
        <v>451.476</v>
      </c>
      <c r="KH23">
        <v>18.9406</v>
      </c>
      <c r="KI23">
        <v>100.602</v>
      </c>
      <c r="KJ23">
        <v>97.858900000000006</v>
      </c>
    </row>
    <row r="24" spans="1:296" x14ac:dyDescent="0.3">
      <c r="A24">
        <v>8</v>
      </c>
      <c r="B24">
        <v>1786035079.0999999</v>
      </c>
      <c r="C24">
        <v>1270.599999904633</v>
      </c>
      <c r="D24" t="s">
        <v>495</v>
      </c>
      <c r="E24" t="s">
        <v>496</v>
      </c>
      <c r="F24">
        <v>15</v>
      </c>
      <c r="H24">
        <v>1786035071.099999</v>
      </c>
      <c r="I24">
        <f t="shared" si="0"/>
        <v>2.0988800167923054E-3</v>
      </c>
      <c r="J24">
        <f t="shared" si="1"/>
        <v>2.0988800167923056</v>
      </c>
      <c r="K24">
        <f t="shared" si="2"/>
        <v>19.971683292424849</v>
      </c>
      <c r="L24">
        <f t="shared" si="3"/>
        <v>420.07209677419371</v>
      </c>
      <c r="M24">
        <f t="shared" si="4"/>
        <v>239.76127095192177</v>
      </c>
      <c r="N24">
        <f t="shared" si="5"/>
        <v>23.503228777453813</v>
      </c>
      <c r="O24">
        <f t="shared" si="6"/>
        <v>41.178671410564846</v>
      </c>
      <c r="P24">
        <f t="shared" si="7"/>
        <v>0.18904835290034858</v>
      </c>
      <c r="Q24">
        <f t="shared" si="8"/>
        <v>2.8941862806964633</v>
      </c>
      <c r="R24">
        <f t="shared" si="9"/>
        <v>0.18244625590971755</v>
      </c>
      <c r="S24">
        <f t="shared" si="10"/>
        <v>0.11460287386049442</v>
      </c>
      <c r="T24">
        <f t="shared" si="11"/>
        <v>64.405963043006494</v>
      </c>
      <c r="U24">
        <f t="shared" si="12"/>
        <v>24.766562427656709</v>
      </c>
      <c r="V24">
        <f t="shared" si="13"/>
        <v>24.998206451612901</v>
      </c>
      <c r="W24">
        <f t="shared" si="14"/>
        <v>3.1793376038142291</v>
      </c>
      <c r="X24">
        <f t="shared" si="15"/>
        <v>65.729957782593374</v>
      </c>
      <c r="Y24">
        <f t="shared" si="16"/>
        <v>2.081880731576911</v>
      </c>
      <c r="Z24">
        <f t="shared" si="17"/>
        <v>3.1673240053840948</v>
      </c>
      <c r="AA24">
        <f t="shared" si="18"/>
        <v>1.0974568722373181</v>
      </c>
      <c r="AB24">
        <f t="shared" si="19"/>
        <v>-92.560608740540673</v>
      </c>
      <c r="AC24">
        <f t="shared" si="20"/>
        <v>-9.9054754085590559</v>
      </c>
      <c r="AD24">
        <f t="shared" si="21"/>
        <v>-0.7237060781350082</v>
      </c>
      <c r="AE24">
        <f t="shared" si="22"/>
        <v>-38.783827184228244</v>
      </c>
      <c r="AF24">
        <f t="shared" si="23"/>
        <v>19.971683292424849</v>
      </c>
      <c r="AG24">
        <f t="shared" si="24"/>
        <v>2.0988800167923056</v>
      </c>
      <c r="AH24">
        <f t="shared" si="25"/>
        <v>20.057391608296456</v>
      </c>
      <c r="AI24">
        <v>453.63394036282972</v>
      </c>
      <c r="AJ24">
        <v>429.15675151515143</v>
      </c>
      <c r="AK24">
        <v>-9.5047220758428877E-3</v>
      </c>
      <c r="AL24">
        <v>67.093063011430999</v>
      </c>
      <c r="AM24">
        <f t="shared" si="26"/>
        <v>2.1835908702711726</v>
      </c>
      <c r="AN24">
        <v>18.669361500184859</v>
      </c>
      <c r="AO24">
        <v>21.237928484848489</v>
      </c>
      <c r="AP24">
        <v>-6.6112523758869084E-4</v>
      </c>
      <c r="AQ24">
        <v>78.249144864627965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52177.233461821023</v>
      </c>
      <c r="AW24" t="s">
        <v>468</v>
      </c>
      <c r="AX24">
        <v>13243.1</v>
      </c>
      <c r="AY24">
        <v>653.55000000000007</v>
      </c>
      <c r="AZ24">
        <v>2662</v>
      </c>
      <c r="BA24">
        <f t="shared" si="30"/>
        <v>0.75448910593538687</v>
      </c>
      <c r="BB24">
        <v>-2.0596600778842</v>
      </c>
      <c r="BC24" t="s">
        <v>497</v>
      </c>
      <c r="BD24">
        <v>13233.6</v>
      </c>
      <c r="BE24">
        <v>870.12982352941162</v>
      </c>
      <c r="BF24">
        <v>1837.67</v>
      </c>
      <c r="BG24">
        <f t="shared" si="31"/>
        <v>0.52650376643825525</v>
      </c>
      <c r="BH24">
        <v>0.5</v>
      </c>
      <c r="BI24">
        <f t="shared" si="32"/>
        <v>336.2698174817516</v>
      </c>
      <c r="BJ24">
        <f t="shared" si="33"/>
        <v>19.971683292424849</v>
      </c>
      <c r="BK24">
        <f t="shared" si="34"/>
        <v>88.523662721823428</v>
      </c>
      <c r="BL24">
        <f t="shared" si="35"/>
        <v>6.5516862427014058E-2</v>
      </c>
      <c r="BM24">
        <f t="shared" si="36"/>
        <v>0.44857346531205272</v>
      </c>
      <c r="BN24">
        <f t="shared" si="37"/>
        <v>588.71500886469539</v>
      </c>
      <c r="BO24" t="s">
        <v>408</v>
      </c>
      <c r="BP24">
        <v>0</v>
      </c>
      <c r="BQ24">
        <f t="shared" si="38"/>
        <v>588.71500886469539</v>
      </c>
      <c r="BR24">
        <f t="shared" si="39"/>
        <v>0.67964051822977178</v>
      </c>
      <c r="BS24">
        <f t="shared" si="40"/>
        <v>0.77467977896552609</v>
      </c>
      <c r="BT24">
        <f t="shared" si="41"/>
        <v>0.39759608713928291</v>
      </c>
      <c r="BU24">
        <f t="shared" si="42"/>
        <v>0.81709638927692174</v>
      </c>
      <c r="BV24">
        <f t="shared" si="43"/>
        <v>0.41043092932360775</v>
      </c>
      <c r="BW24">
        <f t="shared" si="44"/>
        <v>0.52413513548024515</v>
      </c>
      <c r="BX24">
        <f t="shared" si="45"/>
        <v>0.47586486451975485</v>
      </c>
      <c r="DG24">
        <f t="shared" si="46"/>
        <v>399.96906451612892</v>
      </c>
      <c r="DH24">
        <f t="shared" si="47"/>
        <v>336.2698174817516</v>
      </c>
      <c r="DI24">
        <f t="shared" si="48"/>
        <v>0.84073956541754336</v>
      </c>
      <c r="DJ24">
        <f t="shared" si="49"/>
        <v>0.16102736125585856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1786035071.099999</v>
      </c>
      <c r="DQ24">
        <v>420.07209677419371</v>
      </c>
      <c r="DR24">
        <v>445.09435483870982</v>
      </c>
      <c r="DS24">
        <v>21.237693548387099</v>
      </c>
      <c r="DT24">
        <v>18.772703225806449</v>
      </c>
      <c r="DU24">
        <v>430.23054838709669</v>
      </c>
      <c r="DV24">
        <v>21.77063225806452</v>
      </c>
      <c r="DW24">
        <v>500.03554838709681</v>
      </c>
      <c r="DX24">
        <v>97.978793548387074</v>
      </c>
      <c r="DY24">
        <v>4.8834867741935503E-2</v>
      </c>
      <c r="DZ24">
        <v>24.934722580645161</v>
      </c>
      <c r="EA24">
        <v>24.998206451612901</v>
      </c>
      <c r="EB24">
        <v>999.90000000000032</v>
      </c>
      <c r="EC24">
        <v>0</v>
      </c>
      <c r="ED24">
        <v>0</v>
      </c>
      <c r="EE24">
        <v>10001.93548387097</v>
      </c>
      <c r="EF24">
        <v>0</v>
      </c>
      <c r="EG24">
        <v>1132.6548387096771</v>
      </c>
      <c r="EH24">
        <v>-25.02228387096774</v>
      </c>
      <c r="EI24">
        <v>429.18703225806462</v>
      </c>
      <c r="EJ24">
        <v>453.60996774193529</v>
      </c>
      <c r="EK24">
        <v>2.4649864516129032</v>
      </c>
      <c r="EL24">
        <v>445.09435483870982</v>
      </c>
      <c r="EM24">
        <v>18.772703225806449</v>
      </c>
      <c r="EN24">
        <v>2.0808429032258071</v>
      </c>
      <c r="EO24">
        <v>1.8393274193548379</v>
      </c>
      <c r="EP24">
        <v>18.073270967741941</v>
      </c>
      <c r="EQ24">
        <v>16.124961290322581</v>
      </c>
      <c r="ER24">
        <v>399.96906451612892</v>
      </c>
      <c r="ES24">
        <v>0.97502548387096788</v>
      </c>
      <c r="ET24">
        <v>2.4974799999999998E-2</v>
      </c>
      <c r="EU24">
        <v>0</v>
      </c>
      <c r="EV24">
        <v>870.24806451612903</v>
      </c>
      <c r="EW24">
        <v>5.0010700000000003</v>
      </c>
      <c r="EX24">
        <v>7459.637741935484</v>
      </c>
      <c r="EY24">
        <v>3583.4277419354839</v>
      </c>
      <c r="EZ24">
        <v>36.5</v>
      </c>
      <c r="FA24">
        <v>40.311999999999983</v>
      </c>
      <c r="FB24">
        <v>38.375</v>
      </c>
      <c r="FC24">
        <v>40.269999999999982</v>
      </c>
      <c r="FD24">
        <v>38.625</v>
      </c>
      <c r="FE24">
        <v>385.10354838709679</v>
      </c>
      <c r="FF24">
        <v>9.860000000000003</v>
      </c>
      <c r="FG24">
        <v>0</v>
      </c>
      <c r="FH24">
        <v>180.70000004768369</v>
      </c>
      <c r="FI24">
        <v>0</v>
      </c>
      <c r="FJ24">
        <v>870.12982352941162</v>
      </c>
      <c r="FK24">
        <v>-1.5879901843912989</v>
      </c>
      <c r="FL24">
        <v>-650.42157029469001</v>
      </c>
      <c r="FM24">
        <v>7543.5423529411764</v>
      </c>
      <c r="FN24">
        <v>10</v>
      </c>
      <c r="FO24">
        <v>1786034981</v>
      </c>
      <c r="FP24" t="s">
        <v>498</v>
      </c>
      <c r="FQ24">
        <v>1786034981</v>
      </c>
      <c r="FR24">
        <v>1786034981</v>
      </c>
      <c r="FS24">
        <v>38</v>
      </c>
      <c r="FT24">
        <v>-1.4999999999999999E-2</v>
      </c>
      <c r="FU24">
        <v>0</v>
      </c>
      <c r="FV24">
        <v>-10.255000000000001</v>
      </c>
      <c r="FW24">
        <v>-0.59299999999999997</v>
      </c>
      <c r="FX24">
        <v>446</v>
      </c>
      <c r="FY24">
        <v>19</v>
      </c>
      <c r="FZ24">
        <v>0.39</v>
      </c>
      <c r="GA24">
        <v>0.12</v>
      </c>
      <c r="GB24">
        <v>420.07209677419371</v>
      </c>
      <c r="GC24">
        <v>-0.12677419354794689</v>
      </c>
      <c r="GD24">
        <v>4.6096920923488521E-2</v>
      </c>
      <c r="GE24">
        <v>-1</v>
      </c>
      <c r="GF24">
        <v>870.32964705882353</v>
      </c>
      <c r="GG24">
        <v>-2.2811917431647322</v>
      </c>
      <c r="GH24">
        <v>0.32040405394668631</v>
      </c>
      <c r="GI24">
        <v>1</v>
      </c>
      <c r="GJ24">
        <v>2.4210270731707322</v>
      </c>
      <c r="GK24">
        <v>1.119216167247387</v>
      </c>
      <c r="GL24">
        <v>0.11312093580881891</v>
      </c>
      <c r="GM24">
        <v>0</v>
      </c>
      <c r="GN24">
        <v>1</v>
      </c>
      <c r="GO24">
        <v>2</v>
      </c>
      <c r="GP24" t="s">
        <v>444</v>
      </c>
      <c r="GQ24">
        <v>3.1311800000000001</v>
      </c>
      <c r="GR24">
        <v>2.7244600000000001</v>
      </c>
      <c r="GS24">
        <v>9.3064900000000006E-2</v>
      </c>
      <c r="GT24">
        <v>9.6126000000000003E-2</v>
      </c>
      <c r="GU24">
        <v>0.10535799999999999</v>
      </c>
      <c r="GV24">
        <v>9.4546599999999995E-2</v>
      </c>
      <c r="GW24">
        <v>22806.7</v>
      </c>
      <c r="GX24">
        <v>30215.1</v>
      </c>
      <c r="GY24">
        <v>27265.599999999999</v>
      </c>
      <c r="GZ24">
        <v>34355.9</v>
      </c>
      <c r="HA24">
        <v>35681</v>
      </c>
      <c r="HB24">
        <v>39212.5</v>
      </c>
      <c r="HC24">
        <v>40223.199999999997</v>
      </c>
      <c r="HD24">
        <v>43390.6</v>
      </c>
      <c r="HE24">
        <v>1.994</v>
      </c>
      <c r="HF24">
        <v>1.8188</v>
      </c>
      <c r="HG24">
        <v>-7.1674600000000005E-2</v>
      </c>
      <c r="HH24">
        <v>0</v>
      </c>
      <c r="HI24">
        <v>26.171800000000001</v>
      </c>
      <c r="HJ24">
        <v>999.9</v>
      </c>
      <c r="HK24">
        <v>60.6</v>
      </c>
      <c r="HL24">
        <v>35.700000000000003</v>
      </c>
      <c r="HM24">
        <v>36.310600000000001</v>
      </c>
      <c r="HN24">
        <v>60.318300000000001</v>
      </c>
      <c r="HO24">
        <v>4.9278899999999997</v>
      </c>
      <c r="HP24">
        <v>1</v>
      </c>
      <c r="HQ24">
        <v>0.30699199999999999</v>
      </c>
      <c r="HR24">
        <v>3.6590600000000002</v>
      </c>
      <c r="HS24">
        <v>20.210599999999999</v>
      </c>
      <c r="HT24">
        <v>5.2112999999999996</v>
      </c>
      <c r="HU24">
        <v>11.9057</v>
      </c>
      <c r="HV24">
        <v>4.9847999999999999</v>
      </c>
      <c r="HW24">
        <v>3.2706</v>
      </c>
      <c r="HX24">
        <v>9999</v>
      </c>
      <c r="HY24">
        <v>9999</v>
      </c>
      <c r="HZ24">
        <v>9999</v>
      </c>
      <c r="IA24">
        <v>999.9</v>
      </c>
      <c r="IB24">
        <v>1.8675200000000001</v>
      </c>
      <c r="IC24">
        <v>1.8631599999999999</v>
      </c>
      <c r="ID24">
        <v>1.8626400000000001</v>
      </c>
      <c r="IE24">
        <v>1.8621799999999999</v>
      </c>
      <c r="IF24">
        <v>1.8622099999999999</v>
      </c>
      <c r="IG24">
        <v>1.8627899999999999</v>
      </c>
      <c r="IH24">
        <v>1.86371</v>
      </c>
      <c r="II24">
        <v>1.86172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-10.159000000000001</v>
      </c>
      <c r="IX24">
        <v>-0.53300000000000003</v>
      </c>
      <c r="IY24">
        <v>-8.1548142845282179</v>
      </c>
      <c r="IZ24">
        <v>-5.6215304933332991E-3</v>
      </c>
      <c r="JA24">
        <v>2.3979931213773931E-6</v>
      </c>
      <c r="JB24">
        <v>-3.6297174575716598E-10</v>
      </c>
      <c r="JC24">
        <v>-0.86491123954432569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1.6</v>
      </c>
      <c r="JL24">
        <v>1.6</v>
      </c>
      <c r="JM24">
        <v>1.1498999999999999</v>
      </c>
      <c r="JN24">
        <v>2.52441</v>
      </c>
      <c r="JO24">
        <v>1.50024</v>
      </c>
      <c r="JP24">
        <v>2.2741699999999998</v>
      </c>
      <c r="JQ24">
        <v>1.4477500000000001</v>
      </c>
      <c r="JR24">
        <v>2.4731399999999999</v>
      </c>
      <c r="JS24">
        <v>41.534399999999998</v>
      </c>
      <c r="JT24">
        <v>23.886099999999999</v>
      </c>
      <c r="JU24">
        <v>18</v>
      </c>
      <c r="JV24">
        <v>537.75699999999995</v>
      </c>
      <c r="JW24">
        <v>440.02300000000002</v>
      </c>
      <c r="JX24">
        <v>21.8918</v>
      </c>
      <c r="JY24">
        <v>31.0319</v>
      </c>
      <c r="JZ24">
        <v>30.001899999999999</v>
      </c>
      <c r="KA24">
        <v>30.847300000000001</v>
      </c>
      <c r="KB24">
        <v>30.8383</v>
      </c>
      <c r="KC24">
        <v>22.9876</v>
      </c>
      <c r="KD24">
        <v>49.958300000000001</v>
      </c>
      <c r="KE24">
        <v>0</v>
      </c>
      <c r="KF24">
        <v>21.858000000000001</v>
      </c>
      <c r="KG24">
        <v>444.94799999999998</v>
      </c>
      <c r="KH24">
        <v>18.547000000000001</v>
      </c>
      <c r="KI24">
        <v>100.569</v>
      </c>
      <c r="KJ24">
        <v>97.821700000000007</v>
      </c>
    </row>
    <row r="25" spans="1:296" x14ac:dyDescent="0.3">
      <c r="A25">
        <v>9</v>
      </c>
      <c r="B25">
        <v>1786035260.5999999</v>
      </c>
      <c r="C25">
        <v>1452.099999904633</v>
      </c>
      <c r="D25" t="s">
        <v>499</v>
      </c>
      <c r="E25" t="s">
        <v>500</v>
      </c>
      <c r="F25">
        <v>15</v>
      </c>
      <c r="H25">
        <v>1786035252.849999</v>
      </c>
      <c r="I25">
        <f t="shared" si="0"/>
        <v>1.7706520007048096E-3</v>
      </c>
      <c r="J25">
        <f t="shared" si="1"/>
        <v>1.7706520007048097</v>
      </c>
      <c r="K25">
        <f t="shared" si="2"/>
        <v>15.405692140238283</v>
      </c>
      <c r="L25">
        <f t="shared" si="3"/>
        <v>420.08113333333341</v>
      </c>
      <c r="M25">
        <f t="shared" si="4"/>
        <v>247.26749115715182</v>
      </c>
      <c r="N25">
        <f t="shared" si="5"/>
        <v>24.237900925511187</v>
      </c>
      <c r="O25">
        <f t="shared" si="6"/>
        <v>41.177612320815172</v>
      </c>
      <c r="P25">
        <f t="shared" si="7"/>
        <v>0.15179228040002801</v>
      </c>
      <c r="Q25">
        <f t="shared" si="8"/>
        <v>2.8939463426271104</v>
      </c>
      <c r="R25">
        <f t="shared" si="9"/>
        <v>0.14750383838637526</v>
      </c>
      <c r="S25">
        <f t="shared" si="10"/>
        <v>9.2565106708941747E-2</v>
      </c>
      <c r="T25">
        <f t="shared" si="11"/>
        <v>48.442899208625676</v>
      </c>
      <c r="U25">
        <f t="shared" si="12"/>
        <v>24.666613118385214</v>
      </c>
      <c r="V25">
        <f t="shared" si="13"/>
        <v>25.026003333333328</v>
      </c>
      <c r="W25">
        <f t="shared" si="14"/>
        <v>3.1846103689349556</v>
      </c>
      <c r="X25">
        <f t="shared" si="15"/>
        <v>64.735826307374893</v>
      </c>
      <c r="Y25">
        <f t="shared" si="16"/>
        <v>2.0392858186319462</v>
      </c>
      <c r="Z25">
        <f t="shared" si="17"/>
        <v>3.1501657350431085</v>
      </c>
      <c r="AA25">
        <f t="shared" si="18"/>
        <v>1.1453245503030094</v>
      </c>
      <c r="AB25">
        <f t="shared" si="19"/>
        <v>-78.085753231082109</v>
      </c>
      <c r="AC25">
        <f t="shared" si="20"/>
        <v>-28.444761048535224</v>
      </c>
      <c r="AD25">
        <f t="shared" si="21"/>
        <v>-2.0777197173082458</v>
      </c>
      <c r="AE25">
        <f t="shared" si="22"/>
        <v>-60.165334788299901</v>
      </c>
      <c r="AF25">
        <f t="shared" si="23"/>
        <v>15.405692140238283</v>
      </c>
      <c r="AG25">
        <f t="shared" si="24"/>
        <v>1.7706520007048097</v>
      </c>
      <c r="AH25">
        <f t="shared" si="25"/>
        <v>15.387832802476401</v>
      </c>
      <c r="AI25">
        <v>447.78510262731169</v>
      </c>
      <c r="AJ25">
        <v>428.9667878787879</v>
      </c>
      <c r="AK25">
        <v>-1.3205404888835259E-4</v>
      </c>
      <c r="AL25">
        <v>67.083411134910818</v>
      </c>
      <c r="AM25">
        <f t="shared" si="26"/>
        <v>1.7567004605581629</v>
      </c>
      <c r="AN25">
        <v>18.728700784068611</v>
      </c>
      <c r="AO25">
        <v>20.789124242424229</v>
      </c>
      <c r="AP25">
        <v>6.357547810643808E-4</v>
      </c>
      <c r="AQ25">
        <v>78.224252564321574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52186.194760392682</v>
      </c>
      <c r="AW25" t="s">
        <v>468</v>
      </c>
      <c r="AX25">
        <v>13243.1</v>
      </c>
      <c r="AY25">
        <v>653.55000000000007</v>
      </c>
      <c r="AZ25">
        <v>2662</v>
      </c>
      <c r="BA25">
        <f t="shared" si="30"/>
        <v>0.75448910593538687</v>
      </c>
      <c r="BB25">
        <v>-2.0596600778842</v>
      </c>
      <c r="BC25" t="s">
        <v>501</v>
      </c>
      <c r="BD25">
        <v>13244.1</v>
      </c>
      <c r="BE25">
        <v>856.63282352941178</v>
      </c>
      <c r="BF25">
        <v>1954.08</v>
      </c>
      <c r="BG25">
        <f t="shared" si="31"/>
        <v>0.56161834544675149</v>
      </c>
      <c r="BH25">
        <v>0.5</v>
      </c>
      <c r="BI25">
        <f t="shared" si="32"/>
        <v>252.28946143452106</v>
      </c>
      <c r="BJ25">
        <f t="shared" si="33"/>
        <v>15.405692140238283</v>
      </c>
      <c r="BK25">
        <f t="shared" si="34"/>
        <v>70.845194952253863</v>
      </c>
      <c r="BL25">
        <f t="shared" si="35"/>
        <v>6.9227434704621713E-2</v>
      </c>
      <c r="BM25">
        <f t="shared" si="36"/>
        <v>0.3622779005977238</v>
      </c>
      <c r="BN25">
        <f t="shared" si="37"/>
        <v>600.1690604610942</v>
      </c>
      <c r="BO25" t="s">
        <v>408</v>
      </c>
      <c r="BP25">
        <v>0</v>
      </c>
      <c r="BQ25">
        <f t="shared" si="38"/>
        <v>600.1690604610942</v>
      </c>
      <c r="BR25">
        <f t="shared" si="39"/>
        <v>0.69286361844904287</v>
      </c>
      <c r="BS25">
        <f t="shared" si="40"/>
        <v>0.81057560318135835</v>
      </c>
      <c r="BT25">
        <f t="shared" si="41"/>
        <v>0.34334531819486352</v>
      </c>
      <c r="BU25">
        <f t="shared" si="42"/>
        <v>0.8438461061802407</v>
      </c>
      <c r="BV25">
        <f t="shared" si="43"/>
        <v>0.35247081082426751</v>
      </c>
      <c r="BW25">
        <f t="shared" si="44"/>
        <v>0.56790072109271394</v>
      </c>
      <c r="BX25">
        <f t="shared" si="45"/>
        <v>0.43209927890728606</v>
      </c>
      <c r="DG25">
        <f t="shared" si="46"/>
        <v>299.99709999999999</v>
      </c>
      <c r="DH25">
        <f t="shared" si="47"/>
        <v>252.28946143452106</v>
      </c>
      <c r="DI25">
        <f t="shared" si="48"/>
        <v>0.84097300085407845</v>
      </c>
      <c r="DJ25">
        <f t="shared" si="49"/>
        <v>0.16147789164837154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1786035252.849999</v>
      </c>
      <c r="DQ25">
        <v>420.08113333333341</v>
      </c>
      <c r="DR25">
        <v>439.46186666666671</v>
      </c>
      <c r="DS25">
        <v>20.804156666666671</v>
      </c>
      <c r="DT25">
        <v>18.723436666666672</v>
      </c>
      <c r="DU25">
        <v>430.28386666666671</v>
      </c>
      <c r="DV25">
        <v>21.351816666666672</v>
      </c>
      <c r="DW25">
        <v>499.96590000000009</v>
      </c>
      <c r="DX25">
        <v>97.974466666666686</v>
      </c>
      <c r="DY25">
        <v>4.8531876666666668E-2</v>
      </c>
      <c r="DZ25">
        <v>24.84368666666667</v>
      </c>
      <c r="EA25">
        <v>25.026003333333328</v>
      </c>
      <c r="EB25">
        <v>999.9000000000002</v>
      </c>
      <c r="EC25">
        <v>0</v>
      </c>
      <c r="ED25">
        <v>0</v>
      </c>
      <c r="EE25">
        <v>10001</v>
      </c>
      <c r="EF25">
        <v>0</v>
      </c>
      <c r="EG25">
        <v>1327.33</v>
      </c>
      <c r="EH25">
        <v>-19.380759999999999</v>
      </c>
      <c r="EI25">
        <v>429.00630000000001</v>
      </c>
      <c r="EJ25">
        <v>447.84719999999999</v>
      </c>
      <c r="EK25">
        <v>2.0807150000000001</v>
      </c>
      <c r="EL25">
        <v>439.46186666666671</v>
      </c>
      <c r="EM25">
        <v>18.723436666666672</v>
      </c>
      <c r="EN25">
        <v>2.0382760000000002</v>
      </c>
      <c r="EO25">
        <v>1.834418333333333</v>
      </c>
      <c r="EP25">
        <v>17.74485</v>
      </c>
      <c r="EQ25">
        <v>16.08320333333333</v>
      </c>
      <c r="ER25">
        <v>299.99709999999999</v>
      </c>
      <c r="ES25">
        <v>0.96702563333333347</v>
      </c>
      <c r="ET25">
        <v>3.2974046666666673E-2</v>
      </c>
      <c r="EU25">
        <v>0</v>
      </c>
      <c r="EV25">
        <v>856.67319999999995</v>
      </c>
      <c r="EW25">
        <v>5.0010700000000003</v>
      </c>
      <c r="EX25">
        <v>7049.9790000000021</v>
      </c>
      <c r="EY25">
        <v>2668.0276666666668</v>
      </c>
      <c r="EZ25">
        <v>36.436999999999998</v>
      </c>
      <c r="FA25">
        <v>40.670466666666663</v>
      </c>
      <c r="FB25">
        <v>38.441199999999988</v>
      </c>
      <c r="FC25">
        <v>40.620800000000003</v>
      </c>
      <c r="FD25">
        <v>38.625</v>
      </c>
      <c r="FE25">
        <v>285.26866666666672</v>
      </c>
      <c r="FF25">
        <v>9.73</v>
      </c>
      <c r="FG25">
        <v>0</v>
      </c>
      <c r="FH25">
        <v>180.89999985694891</v>
      </c>
      <c r="FI25">
        <v>0</v>
      </c>
      <c r="FJ25">
        <v>856.63282352941178</v>
      </c>
      <c r="FK25">
        <v>-0.7563725237068758</v>
      </c>
      <c r="FL25">
        <v>1117.384802476882</v>
      </c>
      <c r="FM25">
        <v>7040.2870588235301</v>
      </c>
      <c r="FN25">
        <v>10</v>
      </c>
      <c r="FO25">
        <v>1786035185.5999999</v>
      </c>
      <c r="FP25" t="s">
        <v>502</v>
      </c>
      <c r="FQ25">
        <v>1786035183.5999999</v>
      </c>
      <c r="FR25">
        <v>1786035185.5999999</v>
      </c>
      <c r="FS25">
        <v>39</v>
      </c>
      <c r="FT25">
        <v>-4.3999999999999997E-2</v>
      </c>
      <c r="FU25">
        <v>-4.0000000000000001E-3</v>
      </c>
      <c r="FV25">
        <v>-10.276999999999999</v>
      </c>
      <c r="FW25">
        <v>-0.59799999999999998</v>
      </c>
      <c r="FX25">
        <v>440</v>
      </c>
      <c r="FY25">
        <v>19</v>
      </c>
      <c r="FZ25">
        <v>0.4</v>
      </c>
      <c r="GA25">
        <v>0.14000000000000001</v>
      </c>
      <c r="GB25">
        <v>420.08113333333341</v>
      </c>
      <c r="GC25">
        <v>-0.1397819799774738</v>
      </c>
      <c r="GD25">
        <v>5.7322324524468622E-2</v>
      </c>
      <c r="GE25">
        <v>-1</v>
      </c>
      <c r="GF25">
        <v>856.7151470588235</v>
      </c>
      <c r="GG25">
        <v>-0.87405653359158786</v>
      </c>
      <c r="GH25">
        <v>0.2418002496413956</v>
      </c>
      <c r="GI25">
        <v>1</v>
      </c>
      <c r="GJ25">
        <v>2.0905502500000002</v>
      </c>
      <c r="GK25">
        <v>-0.22268318949343499</v>
      </c>
      <c r="GL25">
        <v>2.1752773442425689E-2</v>
      </c>
      <c r="GM25">
        <v>1</v>
      </c>
      <c r="GN25">
        <v>2</v>
      </c>
      <c r="GO25">
        <v>2</v>
      </c>
      <c r="GP25" t="s">
        <v>411</v>
      </c>
      <c r="GQ25">
        <v>3.1307399999999999</v>
      </c>
      <c r="GR25">
        <v>2.7249599999999998</v>
      </c>
      <c r="GS25">
        <v>9.2942399999999994E-2</v>
      </c>
      <c r="GT25">
        <v>9.5126199999999994E-2</v>
      </c>
      <c r="GU25">
        <v>0.10374700000000001</v>
      </c>
      <c r="GV25">
        <v>9.4883599999999998E-2</v>
      </c>
      <c r="GW25">
        <v>22792.2</v>
      </c>
      <c r="GX25">
        <v>30221.9</v>
      </c>
      <c r="GY25">
        <v>27247.200000000001</v>
      </c>
      <c r="GZ25">
        <v>34329.300000000003</v>
      </c>
      <c r="HA25">
        <v>35724.300000000003</v>
      </c>
      <c r="HB25">
        <v>39173.5</v>
      </c>
      <c r="HC25">
        <v>40196.9</v>
      </c>
      <c r="HD25">
        <v>43362.9</v>
      </c>
      <c r="HE25">
        <v>1.988</v>
      </c>
      <c r="HF25">
        <v>1.8093999999999999</v>
      </c>
      <c r="HG25">
        <v>-8.9049299999999998E-2</v>
      </c>
      <c r="HH25">
        <v>0</v>
      </c>
      <c r="HI25">
        <v>26.467700000000001</v>
      </c>
      <c r="HJ25">
        <v>999.9</v>
      </c>
      <c r="HK25">
        <v>60</v>
      </c>
      <c r="HL25">
        <v>36</v>
      </c>
      <c r="HM25">
        <v>36.555399999999999</v>
      </c>
      <c r="HN25">
        <v>60.818300000000001</v>
      </c>
      <c r="HO25">
        <v>5.4447099999999997</v>
      </c>
      <c r="HP25">
        <v>1</v>
      </c>
      <c r="HQ25">
        <v>0.35743900000000001</v>
      </c>
      <c r="HR25">
        <v>4.75</v>
      </c>
      <c r="HS25">
        <v>20.183900000000001</v>
      </c>
      <c r="HT25">
        <v>5.2100999999999997</v>
      </c>
      <c r="HU25">
        <v>11.908099999999999</v>
      </c>
      <c r="HV25">
        <v>4.9820000000000002</v>
      </c>
      <c r="HW25">
        <v>3.2707999999999999</v>
      </c>
      <c r="HX25">
        <v>9999</v>
      </c>
      <c r="HY25">
        <v>9999</v>
      </c>
      <c r="HZ25">
        <v>9999</v>
      </c>
      <c r="IA25">
        <v>999.9</v>
      </c>
      <c r="IB25">
        <v>1.8675200000000001</v>
      </c>
      <c r="IC25">
        <v>1.8632500000000001</v>
      </c>
      <c r="ID25">
        <v>1.86273</v>
      </c>
      <c r="IE25">
        <v>1.8621799999999999</v>
      </c>
      <c r="IF25">
        <v>1.8623099999999999</v>
      </c>
      <c r="IG25">
        <v>1.8627899999999999</v>
      </c>
      <c r="IH25">
        <v>1.86371</v>
      </c>
      <c r="II25">
        <v>1.86172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-10.202999999999999</v>
      </c>
      <c r="IX25">
        <v>-0.54800000000000004</v>
      </c>
      <c r="IY25">
        <v>-8.198898936548737</v>
      </c>
      <c r="IZ25">
        <v>-5.6215304933332991E-3</v>
      </c>
      <c r="JA25">
        <v>2.3979931213773931E-6</v>
      </c>
      <c r="JB25">
        <v>-3.6297174575716598E-10</v>
      </c>
      <c r="JC25">
        <v>-0.86868123822316812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1.3</v>
      </c>
      <c r="JL25">
        <v>1.2</v>
      </c>
      <c r="JM25">
        <v>1.1376999999999999</v>
      </c>
      <c r="JN25">
        <v>2.5268600000000001</v>
      </c>
      <c r="JO25">
        <v>1.50024</v>
      </c>
      <c r="JP25">
        <v>2.2741699999999998</v>
      </c>
      <c r="JQ25">
        <v>1.4477500000000001</v>
      </c>
      <c r="JR25">
        <v>2.3754900000000001</v>
      </c>
      <c r="JS25">
        <v>42.006500000000003</v>
      </c>
      <c r="JT25">
        <v>23.868600000000001</v>
      </c>
      <c r="JU25">
        <v>18</v>
      </c>
      <c r="JV25">
        <v>537.55899999999997</v>
      </c>
      <c r="JW25">
        <v>437.27199999999999</v>
      </c>
      <c r="JX25">
        <v>21.1249</v>
      </c>
      <c r="JY25">
        <v>31.5761</v>
      </c>
      <c r="JZ25">
        <v>30.0015</v>
      </c>
      <c r="KA25">
        <v>31.282900000000001</v>
      </c>
      <c r="KB25">
        <v>31.262699999999999</v>
      </c>
      <c r="KC25">
        <v>22.759699999999999</v>
      </c>
      <c r="KD25">
        <v>49.857500000000002</v>
      </c>
      <c r="KE25">
        <v>0</v>
      </c>
      <c r="KF25">
        <v>21.1373</v>
      </c>
      <c r="KG25">
        <v>439.33699999999999</v>
      </c>
      <c r="KH25">
        <v>18.852</v>
      </c>
      <c r="KI25">
        <v>100.502</v>
      </c>
      <c r="KJ25">
        <v>97.753299999999996</v>
      </c>
    </row>
    <row r="26" spans="1:296" x14ac:dyDescent="0.3">
      <c r="A26">
        <v>10</v>
      </c>
      <c r="B26">
        <v>1786035442.0999999</v>
      </c>
      <c r="C26">
        <v>1633.599999904633</v>
      </c>
      <c r="D26" t="s">
        <v>503</v>
      </c>
      <c r="E26" t="s">
        <v>504</v>
      </c>
      <c r="F26">
        <v>15</v>
      </c>
      <c r="H26">
        <v>1786035434.099999</v>
      </c>
      <c r="I26">
        <f t="shared" si="0"/>
        <v>1.046671371288469E-3</v>
      </c>
      <c r="J26">
        <f t="shared" si="1"/>
        <v>1.046671371288469</v>
      </c>
      <c r="K26">
        <f t="shared" si="2"/>
        <v>10.345984888701686</v>
      </c>
      <c r="L26">
        <f t="shared" si="3"/>
        <v>420.07519354838712</v>
      </c>
      <c r="M26">
        <f t="shared" si="4"/>
        <v>227.80680475376667</v>
      </c>
      <c r="N26">
        <f t="shared" si="5"/>
        <v>22.328605817391139</v>
      </c>
      <c r="O26">
        <f t="shared" si="6"/>
        <v>41.173894785735705</v>
      </c>
      <c r="P26">
        <f t="shared" si="7"/>
        <v>9.0234969865543815E-2</v>
      </c>
      <c r="Q26">
        <f t="shared" si="8"/>
        <v>2.8941546201338233</v>
      </c>
      <c r="R26">
        <f t="shared" si="9"/>
        <v>8.8700658499226842E-2</v>
      </c>
      <c r="S26">
        <f t="shared" si="10"/>
        <v>5.5573590258320531E-2</v>
      </c>
      <c r="T26">
        <f t="shared" si="11"/>
        <v>32.485209943647384</v>
      </c>
      <c r="U26">
        <f t="shared" si="12"/>
        <v>24.727326982994509</v>
      </c>
      <c r="V26">
        <f t="shared" si="13"/>
        <v>24.89773548387096</v>
      </c>
      <c r="W26">
        <f t="shared" si="14"/>
        <v>3.1603429247733703</v>
      </c>
      <c r="X26">
        <f t="shared" si="15"/>
        <v>64.714745497456917</v>
      </c>
      <c r="Y26">
        <f t="shared" si="16"/>
        <v>2.0344047507580649</v>
      </c>
      <c r="Z26">
        <f t="shared" si="17"/>
        <v>3.1436494652335618</v>
      </c>
      <c r="AA26">
        <f t="shared" si="18"/>
        <v>1.1259381740153054</v>
      </c>
      <c r="AB26">
        <f t="shared" si="19"/>
        <v>-46.158207473821484</v>
      </c>
      <c r="AC26">
        <f t="shared" si="20"/>
        <v>-13.845367722673004</v>
      </c>
      <c r="AD26">
        <f t="shared" si="21"/>
        <v>-1.0104190540409868</v>
      </c>
      <c r="AE26">
        <f t="shared" si="22"/>
        <v>-28.528784306888092</v>
      </c>
      <c r="AF26">
        <f t="shared" si="23"/>
        <v>10.345984888701686</v>
      </c>
      <c r="AG26">
        <f t="shared" si="24"/>
        <v>1.046671371288469</v>
      </c>
      <c r="AH26">
        <f t="shared" si="25"/>
        <v>9.9390017401990853</v>
      </c>
      <c r="AI26">
        <v>441.48442741802143</v>
      </c>
      <c r="AJ26">
        <v>429.12860606060588</v>
      </c>
      <c r="AK26">
        <v>3.6272266629123293E-2</v>
      </c>
      <c r="AL26">
        <v>67.090677782050818</v>
      </c>
      <c r="AM26">
        <f t="shared" si="26"/>
        <v>1.2050061532913805</v>
      </c>
      <c r="AN26">
        <v>19.537293685182</v>
      </c>
      <c r="AO26">
        <v>20.874140606060589</v>
      </c>
      <c r="AP26">
        <v>1.274457319778504E-2</v>
      </c>
      <c r="AQ26">
        <v>78.243905109240544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52198.070940610029</v>
      </c>
      <c r="AW26" t="s">
        <v>468</v>
      </c>
      <c r="AX26">
        <v>13243.1</v>
      </c>
      <c r="AY26">
        <v>653.55000000000007</v>
      </c>
      <c r="AZ26">
        <v>2662</v>
      </c>
      <c r="BA26">
        <f t="shared" si="30"/>
        <v>0.75448910593538687</v>
      </c>
      <c r="BB26">
        <v>-2.0596600778842</v>
      </c>
      <c r="BC26" t="s">
        <v>505</v>
      </c>
      <c r="BD26">
        <v>13237.6</v>
      </c>
      <c r="BE26">
        <v>839.77794117647056</v>
      </c>
      <c r="BF26">
        <v>2091.2199999999998</v>
      </c>
      <c r="BG26">
        <f t="shared" si="31"/>
        <v>0.59842678380253123</v>
      </c>
      <c r="BH26">
        <v>0.5</v>
      </c>
      <c r="BI26">
        <f t="shared" si="32"/>
        <v>168.29607954960835</v>
      </c>
      <c r="BJ26">
        <f t="shared" si="33"/>
        <v>10.345984888701686</v>
      </c>
      <c r="BK26">
        <f t="shared" si="34"/>
        <v>50.356440805723537</v>
      </c>
      <c r="BL26">
        <f t="shared" si="35"/>
        <v>7.3713214234019608E-2</v>
      </c>
      <c r="BM26">
        <f t="shared" si="36"/>
        <v>0.2729411539675406</v>
      </c>
      <c r="BN26">
        <f t="shared" si="37"/>
        <v>612.50595929097369</v>
      </c>
      <c r="BO26" t="s">
        <v>408</v>
      </c>
      <c r="BP26">
        <v>0</v>
      </c>
      <c r="BQ26">
        <f t="shared" si="38"/>
        <v>612.50595929097369</v>
      </c>
      <c r="BR26">
        <f t="shared" si="39"/>
        <v>0.7071059193719581</v>
      </c>
      <c r="BS26">
        <f t="shared" si="40"/>
        <v>0.84630430520797495</v>
      </c>
      <c r="BT26">
        <f t="shared" si="41"/>
        <v>0.2784980042208553</v>
      </c>
      <c r="BU26">
        <f t="shared" si="42"/>
        <v>0.87046544674614457</v>
      </c>
      <c r="BV26">
        <f t="shared" si="43"/>
        <v>0.28418930020662714</v>
      </c>
      <c r="BW26">
        <f t="shared" si="44"/>
        <v>0.61726607106075726</v>
      </c>
      <c r="BX26">
        <f t="shared" si="45"/>
        <v>0.38273392893924274</v>
      </c>
      <c r="DG26">
        <f t="shared" si="46"/>
        <v>200.00425806451611</v>
      </c>
      <c r="DH26">
        <f t="shared" si="47"/>
        <v>168.29607954960835</v>
      </c>
      <c r="DI26">
        <f t="shared" si="48"/>
        <v>0.84146248274034485</v>
      </c>
      <c r="DJ26">
        <f t="shared" si="49"/>
        <v>0.1624225916888655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1786035434.099999</v>
      </c>
      <c r="DQ26">
        <v>420.07519354838712</v>
      </c>
      <c r="DR26">
        <v>433.01696774193562</v>
      </c>
      <c r="DS26">
        <v>20.755941935483872</v>
      </c>
      <c r="DT26">
        <v>19.526103225806452</v>
      </c>
      <c r="DU26">
        <v>430.30980645161293</v>
      </c>
      <c r="DV26">
        <v>21.312009677419351</v>
      </c>
      <c r="DW26">
        <v>500.03958064516121</v>
      </c>
      <c r="DX26">
        <v>97.965954838709678</v>
      </c>
      <c r="DY26">
        <v>4.9580041935483869E-2</v>
      </c>
      <c r="DZ26">
        <v>24.809000000000001</v>
      </c>
      <c r="EA26">
        <v>24.89773548387096</v>
      </c>
      <c r="EB26">
        <v>999.90000000000032</v>
      </c>
      <c r="EC26">
        <v>0</v>
      </c>
      <c r="ED26">
        <v>0</v>
      </c>
      <c r="EE26">
        <v>10003.06451612903</v>
      </c>
      <c r="EF26">
        <v>0</v>
      </c>
      <c r="EG26">
        <v>395.75738709677421</v>
      </c>
      <c r="EH26">
        <v>-12.941793548387089</v>
      </c>
      <c r="EI26">
        <v>428.97906451612897</v>
      </c>
      <c r="EJ26">
        <v>441.64061290322581</v>
      </c>
      <c r="EK26">
        <v>1.229841290322581</v>
      </c>
      <c r="EL26">
        <v>433.01696774193562</v>
      </c>
      <c r="EM26">
        <v>19.526103225806452</v>
      </c>
      <c r="EN26">
        <v>2.033375806451613</v>
      </c>
      <c r="EO26">
        <v>1.912893225806451</v>
      </c>
      <c r="EP26">
        <v>17.70655161290323</v>
      </c>
      <c r="EQ26">
        <v>16.741177419354841</v>
      </c>
      <c r="ER26">
        <v>200.00425806451611</v>
      </c>
      <c r="ES26">
        <v>0.94999770967741903</v>
      </c>
      <c r="ET26">
        <v>5.00023E-2</v>
      </c>
      <c r="EU26">
        <v>0</v>
      </c>
      <c r="EV26">
        <v>839.79758064516125</v>
      </c>
      <c r="EW26">
        <v>5.0010700000000003</v>
      </c>
      <c r="EX26">
        <v>3162.4822580645159</v>
      </c>
      <c r="EY26">
        <v>1751.863548387096</v>
      </c>
      <c r="EZ26">
        <v>36.25</v>
      </c>
      <c r="FA26">
        <v>40.340451612903209</v>
      </c>
      <c r="FB26">
        <v>38.3648387096774</v>
      </c>
      <c r="FC26">
        <v>40.348580645161277</v>
      </c>
      <c r="FD26">
        <v>38.465451612903209</v>
      </c>
      <c r="FE26">
        <v>185.25129032258059</v>
      </c>
      <c r="FF26">
        <v>9.75</v>
      </c>
      <c r="FG26">
        <v>0</v>
      </c>
      <c r="FH26">
        <v>180.70000004768369</v>
      </c>
      <c r="FI26">
        <v>0</v>
      </c>
      <c r="FJ26">
        <v>839.77794117647056</v>
      </c>
      <c r="FK26">
        <v>-0.38088233407405592</v>
      </c>
      <c r="FL26">
        <v>472.35294042453143</v>
      </c>
      <c r="FM26">
        <v>3181.3794117647062</v>
      </c>
      <c r="FN26">
        <v>10</v>
      </c>
      <c r="FO26">
        <v>1786035377.5999999</v>
      </c>
      <c r="FP26" t="s">
        <v>506</v>
      </c>
      <c r="FQ26">
        <v>1786035377.5999999</v>
      </c>
      <c r="FR26">
        <v>1786035358.0999999</v>
      </c>
      <c r="FS26">
        <v>40</v>
      </c>
      <c r="FT26">
        <v>-3.2000000000000001E-2</v>
      </c>
      <c r="FU26">
        <v>-7.0000000000000001E-3</v>
      </c>
      <c r="FV26">
        <v>-10.287000000000001</v>
      </c>
      <c r="FW26">
        <v>-0.60399999999999998</v>
      </c>
      <c r="FX26">
        <v>434</v>
      </c>
      <c r="FY26">
        <v>19</v>
      </c>
      <c r="FZ26">
        <v>0.75</v>
      </c>
      <c r="GA26">
        <v>0.08</v>
      </c>
      <c r="GB26">
        <v>420.07519354838712</v>
      </c>
      <c r="GC26">
        <v>0.46025806451513451</v>
      </c>
      <c r="GD26">
        <v>6.2960007457286873E-2</v>
      </c>
      <c r="GE26">
        <v>-1</v>
      </c>
      <c r="GF26">
        <v>839.80847058823531</v>
      </c>
      <c r="GG26">
        <v>-0.52064171077431087</v>
      </c>
      <c r="GH26">
        <v>0.15843726449926249</v>
      </c>
      <c r="GI26">
        <v>1</v>
      </c>
      <c r="GJ26">
        <v>1.224470487804878</v>
      </c>
      <c r="GK26">
        <v>0.44538919860627307</v>
      </c>
      <c r="GL26">
        <v>6.2290576625581282E-2</v>
      </c>
      <c r="GM26">
        <v>1</v>
      </c>
      <c r="GN26">
        <v>2</v>
      </c>
      <c r="GO26">
        <v>2</v>
      </c>
      <c r="GP26" t="s">
        <v>411</v>
      </c>
      <c r="GQ26">
        <v>3.1299199999999998</v>
      </c>
      <c r="GR26">
        <v>2.7262599999999999</v>
      </c>
      <c r="GS26">
        <v>9.2848600000000003E-2</v>
      </c>
      <c r="GT26">
        <v>9.4069299999999995E-2</v>
      </c>
      <c r="GU26">
        <v>0.103962</v>
      </c>
      <c r="GV26">
        <v>9.7734000000000001E-2</v>
      </c>
      <c r="GW26">
        <v>22779.9</v>
      </c>
      <c r="GX26">
        <v>30232.1</v>
      </c>
      <c r="GY26">
        <v>27231.3</v>
      </c>
      <c r="GZ26">
        <v>34303.4</v>
      </c>
      <c r="HA26">
        <v>35697.300000000003</v>
      </c>
      <c r="HB26">
        <v>39024.5</v>
      </c>
      <c r="HC26">
        <v>40174.6</v>
      </c>
      <c r="HD26">
        <v>43334.3</v>
      </c>
      <c r="HE26">
        <v>1.9814000000000001</v>
      </c>
      <c r="HF26">
        <v>1.8044</v>
      </c>
      <c r="HG26">
        <v>-6.80983E-2</v>
      </c>
      <c r="HH26">
        <v>0</v>
      </c>
      <c r="HI26">
        <v>26.004300000000001</v>
      </c>
      <c r="HJ26">
        <v>999.9</v>
      </c>
      <c r="HK26">
        <v>59.5</v>
      </c>
      <c r="HL26">
        <v>36.299999999999997</v>
      </c>
      <c r="HM26">
        <v>36.857399999999998</v>
      </c>
      <c r="HN26">
        <v>60.738300000000002</v>
      </c>
      <c r="HO26">
        <v>5.1722799999999998</v>
      </c>
      <c r="HP26">
        <v>1</v>
      </c>
      <c r="HQ26">
        <v>0.38158500000000001</v>
      </c>
      <c r="HR26">
        <v>3.3542000000000001</v>
      </c>
      <c r="HS26">
        <v>20.217600000000001</v>
      </c>
      <c r="HT26">
        <v>5.2112999999999996</v>
      </c>
      <c r="HU26">
        <v>11.908099999999999</v>
      </c>
      <c r="HV26">
        <v>4.9859999999999998</v>
      </c>
      <c r="HW26">
        <v>3.2706</v>
      </c>
      <c r="HX26">
        <v>9999</v>
      </c>
      <c r="HY26">
        <v>9999</v>
      </c>
      <c r="HZ26">
        <v>9999</v>
      </c>
      <c r="IA26">
        <v>999.9</v>
      </c>
      <c r="IB26">
        <v>1.8675200000000001</v>
      </c>
      <c r="IC26">
        <v>1.8632500000000001</v>
      </c>
      <c r="ID26">
        <v>1.8627</v>
      </c>
      <c r="IE26">
        <v>1.8622099999999999</v>
      </c>
      <c r="IF26">
        <v>1.8622399999999999</v>
      </c>
      <c r="IG26">
        <v>1.8627899999999999</v>
      </c>
      <c r="IH26">
        <v>1.86374</v>
      </c>
      <c r="II26">
        <v>1.86172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-10.234</v>
      </c>
      <c r="IX26">
        <v>-0.55300000000000005</v>
      </c>
      <c r="IY26">
        <v>-8.2307862569230501</v>
      </c>
      <c r="IZ26">
        <v>-5.6215304933332991E-3</v>
      </c>
      <c r="JA26">
        <v>2.3979931213773931E-6</v>
      </c>
      <c r="JB26">
        <v>-3.6297174575716598E-10</v>
      </c>
      <c r="JC26">
        <v>-0.87602838116635673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1.1000000000000001</v>
      </c>
      <c r="JL26">
        <v>1.4</v>
      </c>
      <c r="JM26">
        <v>1.1242700000000001</v>
      </c>
      <c r="JN26">
        <v>2.52319</v>
      </c>
      <c r="JO26">
        <v>1.50024</v>
      </c>
      <c r="JP26">
        <v>2.2741699999999998</v>
      </c>
      <c r="JQ26">
        <v>1.4477500000000001</v>
      </c>
      <c r="JR26">
        <v>2.3864700000000001</v>
      </c>
      <c r="JS26">
        <v>42.271000000000001</v>
      </c>
      <c r="JT26">
        <v>23.8949</v>
      </c>
      <c r="JU26">
        <v>18</v>
      </c>
      <c r="JV26">
        <v>536.64099999999996</v>
      </c>
      <c r="JW26">
        <v>436.88200000000001</v>
      </c>
      <c r="JX26">
        <v>22.0732</v>
      </c>
      <c r="JY26">
        <v>31.9649</v>
      </c>
      <c r="JZ26">
        <v>29.998799999999999</v>
      </c>
      <c r="KA26">
        <v>31.683199999999999</v>
      </c>
      <c r="KB26">
        <v>31.6401</v>
      </c>
      <c r="KC26">
        <v>22.489899999999999</v>
      </c>
      <c r="KD26">
        <v>48.460599999999999</v>
      </c>
      <c r="KE26">
        <v>0</v>
      </c>
      <c r="KF26">
        <v>22.076599999999999</v>
      </c>
      <c r="KG26">
        <v>432.87599999999998</v>
      </c>
      <c r="KH26">
        <v>19.4895</v>
      </c>
      <c r="KI26">
        <v>100.44499999999999</v>
      </c>
      <c r="KJ26">
        <v>97.684799999999996</v>
      </c>
    </row>
    <row r="27" spans="1:296" x14ac:dyDescent="0.3">
      <c r="A27">
        <v>11</v>
      </c>
      <c r="B27">
        <v>1786035623.5999999</v>
      </c>
      <c r="C27">
        <v>1815.099999904633</v>
      </c>
      <c r="D27" t="s">
        <v>507</v>
      </c>
      <c r="E27" t="s">
        <v>508</v>
      </c>
      <c r="F27">
        <v>15</v>
      </c>
      <c r="H27">
        <v>1786035615.849999</v>
      </c>
      <c r="I27">
        <f t="shared" si="0"/>
        <v>7.1379899896036286E-4</v>
      </c>
      <c r="J27">
        <f t="shared" si="1"/>
        <v>0.71379899896036281</v>
      </c>
      <c r="K27">
        <f t="shared" si="2"/>
        <v>4.9725299090953081</v>
      </c>
      <c r="L27">
        <f t="shared" si="3"/>
        <v>420.06006666666673</v>
      </c>
      <c r="M27">
        <f t="shared" si="4"/>
        <v>280.68583073860248</v>
      </c>
      <c r="N27">
        <f t="shared" si="5"/>
        <v>27.509916007486105</v>
      </c>
      <c r="O27">
        <f t="shared" si="6"/>
        <v>41.169934092115724</v>
      </c>
      <c r="P27">
        <f t="shared" si="7"/>
        <v>6.055140748289399E-2</v>
      </c>
      <c r="Q27">
        <f t="shared" si="8"/>
        <v>2.8939515454297768</v>
      </c>
      <c r="R27">
        <f t="shared" si="9"/>
        <v>5.9856271427217049E-2</v>
      </c>
      <c r="S27">
        <f t="shared" si="10"/>
        <v>3.7471959823604795E-2</v>
      </c>
      <c r="T27">
        <f t="shared" si="11"/>
        <v>16.508724801882188</v>
      </c>
      <c r="U27">
        <f t="shared" si="12"/>
        <v>24.890812027970046</v>
      </c>
      <c r="V27">
        <f t="shared" si="13"/>
        <v>25.057179999999999</v>
      </c>
      <c r="W27">
        <f t="shared" si="14"/>
        <v>3.1905333326586165</v>
      </c>
      <c r="X27">
        <f t="shared" si="15"/>
        <v>64.642851112326881</v>
      </c>
      <c r="Y27">
        <f t="shared" si="16"/>
        <v>2.0530124120926652</v>
      </c>
      <c r="Z27">
        <f t="shared" si="17"/>
        <v>3.1759310995197918</v>
      </c>
      <c r="AA27">
        <f t="shared" si="18"/>
        <v>1.1375209205659513</v>
      </c>
      <c r="AB27">
        <f t="shared" si="19"/>
        <v>-31.478535854152003</v>
      </c>
      <c r="AC27">
        <f t="shared" si="20"/>
        <v>-12.006160236824297</v>
      </c>
      <c r="AD27">
        <f t="shared" si="21"/>
        <v>-0.87771729776569818</v>
      </c>
      <c r="AE27">
        <f t="shared" si="22"/>
        <v>-27.853688586859811</v>
      </c>
      <c r="AF27">
        <f t="shared" si="23"/>
        <v>4.9725299090953081</v>
      </c>
      <c r="AG27">
        <f t="shared" si="24"/>
        <v>0.71379899896036281</v>
      </c>
      <c r="AH27">
        <f t="shared" si="25"/>
        <v>4.9160016241288043</v>
      </c>
      <c r="AI27">
        <v>435.12649523673139</v>
      </c>
      <c r="AJ27">
        <v>429.06255757575741</v>
      </c>
      <c r="AK27">
        <v>8.3041551686563377E-3</v>
      </c>
      <c r="AL27">
        <v>67.090562557693104</v>
      </c>
      <c r="AM27">
        <f t="shared" si="26"/>
        <v>0.711847702051288</v>
      </c>
      <c r="AN27">
        <v>20.14242074902953</v>
      </c>
      <c r="AO27">
        <v>20.968527878787871</v>
      </c>
      <c r="AP27">
        <v>1.6410758519854491E-3</v>
      </c>
      <c r="AQ27">
        <v>78.243719517366614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52162.117764663337</v>
      </c>
      <c r="AW27" t="s">
        <v>468</v>
      </c>
      <c r="AX27">
        <v>13243.1</v>
      </c>
      <c r="AY27">
        <v>653.55000000000007</v>
      </c>
      <c r="AZ27">
        <v>2662</v>
      </c>
      <c r="BA27">
        <f t="shared" si="30"/>
        <v>0.75448910593538687</v>
      </c>
      <c r="BB27">
        <v>-2.0596600778842</v>
      </c>
      <c r="BC27" t="s">
        <v>509</v>
      </c>
      <c r="BD27">
        <v>13243.6</v>
      </c>
      <c r="BE27">
        <v>809.69205882352946</v>
      </c>
      <c r="BF27">
        <v>2332.58</v>
      </c>
      <c r="BG27">
        <f t="shared" si="31"/>
        <v>0.65287704652207879</v>
      </c>
      <c r="BH27">
        <v>0.5</v>
      </c>
      <c r="BI27">
        <f t="shared" si="32"/>
        <v>84.277035661078855</v>
      </c>
      <c r="BJ27">
        <f t="shared" si="33"/>
        <v>4.9725299090953081</v>
      </c>
      <c r="BK27">
        <f t="shared" si="34"/>
        <v>27.511271066020537</v>
      </c>
      <c r="BL27">
        <f t="shared" si="35"/>
        <v>8.3441354241024182E-2</v>
      </c>
      <c r="BM27">
        <f t="shared" si="36"/>
        <v>0.14122559569232357</v>
      </c>
      <c r="BN27">
        <f t="shared" si="37"/>
        <v>631.64919247623584</v>
      </c>
      <c r="BO27" t="s">
        <v>408</v>
      </c>
      <c r="BP27">
        <v>0</v>
      </c>
      <c r="BQ27">
        <f t="shared" si="38"/>
        <v>631.64919247623584</v>
      </c>
      <c r="BR27">
        <f t="shared" si="39"/>
        <v>0.72920577537480558</v>
      </c>
      <c r="BS27">
        <f t="shared" si="40"/>
        <v>0.89532621458806394</v>
      </c>
      <c r="BT27">
        <f t="shared" si="41"/>
        <v>0.16224782376488128</v>
      </c>
      <c r="BU27">
        <f t="shared" si="42"/>
        <v>0.90700460454933551</v>
      </c>
      <c r="BV27">
        <f t="shared" si="43"/>
        <v>0.16401702805646151</v>
      </c>
      <c r="BW27">
        <f t="shared" si="44"/>
        <v>0.69845328762278502</v>
      </c>
      <c r="BX27">
        <f t="shared" si="45"/>
        <v>0.30154671237721498</v>
      </c>
      <c r="DG27">
        <f t="shared" si="46"/>
        <v>99.990389999999991</v>
      </c>
      <c r="DH27">
        <f t="shared" si="47"/>
        <v>84.277035661078855</v>
      </c>
      <c r="DI27">
        <f t="shared" si="48"/>
        <v>0.84285135462596816</v>
      </c>
      <c r="DJ27">
        <f t="shared" si="49"/>
        <v>0.16510311442811842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1786035615.849999</v>
      </c>
      <c r="DQ27">
        <v>420.06006666666673</v>
      </c>
      <c r="DR27">
        <v>426.38653333333338</v>
      </c>
      <c r="DS27">
        <v>20.947046666666669</v>
      </c>
      <c r="DT27">
        <v>20.10848</v>
      </c>
      <c r="DU27">
        <v>430.2390666666667</v>
      </c>
      <c r="DV27">
        <v>21.50505333333334</v>
      </c>
      <c r="DW27">
        <v>500.02966666666663</v>
      </c>
      <c r="DX27">
        <v>97.960066666666691</v>
      </c>
      <c r="DY27">
        <v>4.9569000000000002E-2</v>
      </c>
      <c r="DZ27">
        <v>24.98022666666667</v>
      </c>
      <c r="EA27">
        <v>25.057179999999999</v>
      </c>
      <c r="EB27">
        <v>999.9000000000002</v>
      </c>
      <c r="EC27">
        <v>0</v>
      </c>
      <c r="ED27">
        <v>0</v>
      </c>
      <c r="EE27">
        <v>10002.5</v>
      </c>
      <c r="EF27">
        <v>0</v>
      </c>
      <c r="EG27">
        <v>1401.8009999999999</v>
      </c>
      <c r="EH27">
        <v>-6.3264390000000006</v>
      </c>
      <c r="EI27">
        <v>429.04736666666662</v>
      </c>
      <c r="EJ27">
        <v>435.13650000000013</v>
      </c>
      <c r="EK27">
        <v>0.83857333333333328</v>
      </c>
      <c r="EL27">
        <v>426.38653333333338</v>
      </c>
      <c r="EM27">
        <v>20.10848</v>
      </c>
      <c r="EN27">
        <v>2.051974</v>
      </c>
      <c r="EO27">
        <v>1.969827</v>
      </c>
      <c r="EP27">
        <v>17.851183333333331</v>
      </c>
      <c r="EQ27">
        <v>17.20384</v>
      </c>
      <c r="ER27">
        <v>99.990389999999991</v>
      </c>
      <c r="ES27">
        <v>0.89996613333333331</v>
      </c>
      <c r="ET27">
        <v>0.10003382</v>
      </c>
      <c r="EU27">
        <v>0</v>
      </c>
      <c r="EV27">
        <v>809.7735666666664</v>
      </c>
      <c r="EW27">
        <v>5.0010700000000003</v>
      </c>
      <c r="EX27">
        <v>5421.6466666666656</v>
      </c>
      <c r="EY27">
        <v>836.47550000000012</v>
      </c>
      <c r="EZ27">
        <v>35.59559999999999</v>
      </c>
      <c r="FA27">
        <v>39.811999999999983</v>
      </c>
      <c r="FB27">
        <v>37.754133333333343</v>
      </c>
      <c r="FC27">
        <v>39.754133333333328</v>
      </c>
      <c r="FD27">
        <v>37.883266666666671</v>
      </c>
      <c r="FE27">
        <v>85.486333333333306</v>
      </c>
      <c r="FF27">
        <v>9.5036666666666658</v>
      </c>
      <c r="FG27">
        <v>0</v>
      </c>
      <c r="FH27">
        <v>180.89999985694891</v>
      </c>
      <c r="FI27">
        <v>0</v>
      </c>
      <c r="FJ27">
        <v>809.69205882352946</v>
      </c>
      <c r="FK27">
        <v>-0.78088233647153427</v>
      </c>
      <c r="FL27">
        <v>-1138.5269611847079</v>
      </c>
      <c r="FM27">
        <v>5348.2776470588224</v>
      </c>
      <c r="FN27">
        <v>10</v>
      </c>
      <c r="FO27">
        <v>1786035533.5999999</v>
      </c>
      <c r="FP27" t="s">
        <v>510</v>
      </c>
      <c r="FQ27">
        <v>1786035523.0999999</v>
      </c>
      <c r="FR27">
        <v>1786035533.5999999</v>
      </c>
      <c r="FS27">
        <v>41</v>
      </c>
      <c r="FT27">
        <v>5.6000000000000001E-2</v>
      </c>
      <c r="FU27">
        <v>-7.0000000000000001E-3</v>
      </c>
      <c r="FV27">
        <v>-10.202999999999999</v>
      </c>
      <c r="FW27">
        <v>-0.59699999999999998</v>
      </c>
      <c r="FX27">
        <v>426</v>
      </c>
      <c r="FY27">
        <v>19</v>
      </c>
      <c r="FZ27">
        <v>1.07</v>
      </c>
      <c r="GA27">
        <v>0.18</v>
      </c>
      <c r="GB27">
        <v>420.06006666666673</v>
      </c>
      <c r="GC27">
        <v>-0.2066829810905296</v>
      </c>
      <c r="GD27">
        <v>4.9875132971135772E-2</v>
      </c>
      <c r="GE27">
        <v>-1</v>
      </c>
      <c r="GF27">
        <v>809.84114705882348</v>
      </c>
      <c r="GG27">
        <v>-1.4209778451546109</v>
      </c>
      <c r="GH27">
        <v>0.2243185933329635</v>
      </c>
      <c r="GI27">
        <v>1</v>
      </c>
      <c r="GJ27">
        <v>0.85685789999999995</v>
      </c>
      <c r="GK27">
        <v>-0.40409331332082798</v>
      </c>
      <c r="GL27">
        <v>4.4441158273496872E-2</v>
      </c>
      <c r="GM27">
        <v>1</v>
      </c>
      <c r="GN27">
        <v>2</v>
      </c>
      <c r="GO27">
        <v>2</v>
      </c>
      <c r="GP27" t="s">
        <v>411</v>
      </c>
      <c r="GQ27">
        <v>3.13103</v>
      </c>
      <c r="GR27">
        <v>2.7256900000000002</v>
      </c>
      <c r="GS27">
        <v>9.2836500000000002E-2</v>
      </c>
      <c r="GT27">
        <v>9.2915800000000007E-2</v>
      </c>
      <c r="GU27">
        <v>0.104295</v>
      </c>
      <c r="GV27">
        <v>9.99033E-2</v>
      </c>
      <c r="GW27">
        <v>22783.5</v>
      </c>
      <c r="GX27">
        <v>30276.5</v>
      </c>
      <c r="GY27">
        <v>27235</v>
      </c>
      <c r="GZ27">
        <v>34309.599999999999</v>
      </c>
      <c r="HA27">
        <v>35688.9</v>
      </c>
      <c r="HB27">
        <v>38937.1</v>
      </c>
      <c r="HC27">
        <v>40180.5</v>
      </c>
      <c r="HD27">
        <v>43342</v>
      </c>
      <c r="HE27">
        <v>1.984</v>
      </c>
      <c r="HF27">
        <v>1.8042</v>
      </c>
      <c r="HG27">
        <v>-6.5773700000000004E-2</v>
      </c>
      <c r="HH27">
        <v>0</v>
      </c>
      <c r="HI27">
        <v>26.127199999999998</v>
      </c>
      <c r="HJ27">
        <v>999.9</v>
      </c>
      <c r="HK27">
        <v>58.7</v>
      </c>
      <c r="HL27">
        <v>36.6</v>
      </c>
      <c r="HM27">
        <v>36.965200000000003</v>
      </c>
      <c r="HN27">
        <v>60.278300000000002</v>
      </c>
      <c r="HO27">
        <v>4.9719499999999996</v>
      </c>
      <c r="HP27">
        <v>1</v>
      </c>
      <c r="HQ27">
        <v>0.38012200000000002</v>
      </c>
      <c r="HR27">
        <v>4.4911300000000001</v>
      </c>
      <c r="HS27">
        <v>20.192699999999999</v>
      </c>
      <c r="HT27">
        <v>5.2112999999999996</v>
      </c>
      <c r="HU27">
        <v>11.908099999999999</v>
      </c>
      <c r="HV27">
        <v>4.9855999999999998</v>
      </c>
      <c r="HW27">
        <v>3.2707999999999999</v>
      </c>
      <c r="HX27">
        <v>9999</v>
      </c>
      <c r="HY27">
        <v>9999</v>
      </c>
      <c r="HZ27">
        <v>9999</v>
      </c>
      <c r="IA27">
        <v>999.9</v>
      </c>
      <c r="IB27">
        <v>1.8675200000000001</v>
      </c>
      <c r="IC27">
        <v>1.8632200000000001</v>
      </c>
      <c r="ID27">
        <v>1.8626400000000001</v>
      </c>
      <c r="IE27">
        <v>1.8621799999999999</v>
      </c>
      <c r="IF27">
        <v>1.8621799999999999</v>
      </c>
      <c r="IG27">
        <v>1.8627899999999999</v>
      </c>
      <c r="IH27">
        <v>1.86371</v>
      </c>
      <c r="II27">
        <v>1.86172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-10.179</v>
      </c>
      <c r="IX27">
        <v>-0.55740000000000001</v>
      </c>
      <c r="IY27">
        <v>-8.1752986059460433</v>
      </c>
      <c r="IZ27">
        <v>-5.6215304933332991E-3</v>
      </c>
      <c r="JA27">
        <v>2.3979931213773931E-6</v>
      </c>
      <c r="JB27">
        <v>-3.6297174575716598E-10</v>
      </c>
      <c r="JC27">
        <v>-0.88301463958714632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1.7</v>
      </c>
      <c r="JL27">
        <v>1.5</v>
      </c>
      <c r="JM27">
        <v>1.11206</v>
      </c>
      <c r="JN27">
        <v>2.5280800000000001</v>
      </c>
      <c r="JO27">
        <v>1.50024</v>
      </c>
      <c r="JP27">
        <v>2.2741699999999998</v>
      </c>
      <c r="JQ27">
        <v>1.4477500000000001</v>
      </c>
      <c r="JR27">
        <v>2.4072300000000002</v>
      </c>
      <c r="JS27">
        <v>42.430399999999999</v>
      </c>
      <c r="JT27">
        <v>23.903600000000001</v>
      </c>
      <c r="JU27">
        <v>18</v>
      </c>
      <c r="JV27">
        <v>538.60500000000002</v>
      </c>
      <c r="JW27">
        <v>437.13299999999998</v>
      </c>
      <c r="JX27">
        <v>21.511299999999999</v>
      </c>
      <c r="JY27">
        <v>31.897400000000001</v>
      </c>
      <c r="JZ27">
        <v>30.0002</v>
      </c>
      <c r="KA27">
        <v>31.713799999999999</v>
      </c>
      <c r="KB27">
        <v>31.692599999999999</v>
      </c>
      <c r="KC27">
        <v>22.233599999999999</v>
      </c>
      <c r="KD27">
        <v>47.296100000000003</v>
      </c>
      <c r="KE27">
        <v>0</v>
      </c>
      <c r="KF27">
        <v>21.5261</v>
      </c>
      <c r="KG27">
        <v>426.274</v>
      </c>
      <c r="KH27">
        <v>20.1843</v>
      </c>
      <c r="KI27">
        <v>100.459</v>
      </c>
      <c r="KJ27">
        <v>97.702200000000005</v>
      </c>
    </row>
    <row r="28" spans="1:296" x14ac:dyDescent="0.3">
      <c r="A28">
        <v>12</v>
      </c>
      <c r="B28">
        <v>1786035805.0999999</v>
      </c>
      <c r="C28">
        <v>1996.599999904633</v>
      </c>
      <c r="D28" t="s">
        <v>511</v>
      </c>
      <c r="E28" t="s">
        <v>512</v>
      </c>
      <c r="F28">
        <v>15</v>
      </c>
      <c r="H28">
        <v>1786035797.099999</v>
      </c>
      <c r="I28">
        <f t="shared" si="0"/>
        <v>5.5620875899441299E-4</v>
      </c>
      <c r="J28">
        <f t="shared" si="1"/>
        <v>0.55620875899441302</v>
      </c>
      <c r="K28">
        <f t="shared" si="2"/>
        <v>1.4398626331540223</v>
      </c>
      <c r="L28">
        <f t="shared" si="3"/>
        <v>420.08270967741942</v>
      </c>
      <c r="M28">
        <f t="shared" si="4"/>
        <v>363.50575362455049</v>
      </c>
      <c r="N28">
        <f t="shared" si="5"/>
        <v>35.626141501474692</v>
      </c>
      <c r="O28">
        <f t="shared" si="6"/>
        <v>41.171084386048861</v>
      </c>
      <c r="P28">
        <f t="shared" si="7"/>
        <v>4.7246249257699095E-2</v>
      </c>
      <c r="Q28">
        <f t="shared" si="8"/>
        <v>2.8923765729154498</v>
      </c>
      <c r="R28">
        <f t="shared" si="9"/>
        <v>4.6821655477328326E-2</v>
      </c>
      <c r="S28">
        <f t="shared" si="10"/>
        <v>2.9301364586893933E-2</v>
      </c>
      <c r="T28">
        <f t="shared" si="11"/>
        <v>8.240710893968517</v>
      </c>
      <c r="U28">
        <f t="shared" si="12"/>
        <v>24.629093339670728</v>
      </c>
      <c r="V28">
        <f t="shared" si="13"/>
        <v>24.93411935483871</v>
      </c>
      <c r="W28">
        <f t="shared" si="14"/>
        <v>3.167210042315963</v>
      </c>
      <c r="X28">
        <f t="shared" si="15"/>
        <v>65.01674211406926</v>
      </c>
      <c r="Y28">
        <f t="shared" si="16"/>
        <v>2.0338463154907322</v>
      </c>
      <c r="Z28">
        <f t="shared" si="17"/>
        <v>3.128188600902873</v>
      </c>
      <c r="AA28">
        <f t="shared" si="18"/>
        <v>1.1333637268252308</v>
      </c>
      <c r="AB28">
        <f t="shared" si="19"/>
        <v>-24.528806271653611</v>
      </c>
      <c r="AC28">
        <f t="shared" si="20"/>
        <v>-32.382924353964114</v>
      </c>
      <c r="AD28">
        <f t="shared" si="21"/>
        <v>-2.3641719319770358</v>
      </c>
      <c r="AE28">
        <f t="shared" si="22"/>
        <v>-51.035191663626243</v>
      </c>
      <c r="AF28">
        <f t="shared" si="23"/>
        <v>1.4398626331540223</v>
      </c>
      <c r="AG28">
        <f t="shared" si="24"/>
        <v>0.55620875899441302</v>
      </c>
      <c r="AH28">
        <f t="shared" si="25"/>
        <v>1.309517426820862</v>
      </c>
      <c r="AI28">
        <v>430.83602082274803</v>
      </c>
      <c r="AJ28">
        <v>429.08029090909082</v>
      </c>
      <c r="AK28">
        <v>2.8641983041434841E-2</v>
      </c>
      <c r="AL28">
        <v>67.092193821380363</v>
      </c>
      <c r="AM28">
        <f t="shared" si="26"/>
        <v>0.62495757896740656</v>
      </c>
      <c r="AN28">
        <v>20.093540740116769</v>
      </c>
      <c r="AO28">
        <v>20.808810909090909</v>
      </c>
      <c r="AP28">
        <v>3.0854395646256068E-3</v>
      </c>
      <c r="AQ28">
        <v>78.247194889194631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52161.243941118279</v>
      </c>
      <c r="AW28" t="s">
        <v>468</v>
      </c>
      <c r="AX28">
        <v>13243.1</v>
      </c>
      <c r="AY28">
        <v>653.55000000000007</v>
      </c>
      <c r="AZ28">
        <v>2662</v>
      </c>
      <c r="BA28">
        <f t="shared" si="30"/>
        <v>0.75448910593538687</v>
      </c>
      <c r="BB28">
        <v>-2.0596600778842</v>
      </c>
      <c r="BC28" t="s">
        <v>513</v>
      </c>
      <c r="BD28">
        <v>13240</v>
      </c>
      <c r="BE28">
        <v>763.40447058823531</v>
      </c>
      <c r="BF28">
        <v>2385.61</v>
      </c>
      <c r="BG28">
        <f t="shared" si="31"/>
        <v>0.67999611395482273</v>
      </c>
      <c r="BH28">
        <v>0.5</v>
      </c>
      <c r="BI28">
        <f t="shared" si="32"/>
        <v>42.13337576254429</v>
      </c>
      <c r="BJ28">
        <f t="shared" si="33"/>
        <v>1.4398626331540223</v>
      </c>
      <c r="BK28">
        <f t="shared" si="34"/>
        <v>14.325265893164216</v>
      </c>
      <c r="BL28">
        <f t="shared" si="35"/>
        <v>8.305820855088536E-2</v>
      </c>
      <c r="BM28">
        <f t="shared" si="36"/>
        <v>0.11585716022317137</v>
      </c>
      <c r="BN28">
        <f t="shared" si="37"/>
        <v>635.47444108646243</v>
      </c>
      <c r="BO28" t="s">
        <v>408</v>
      </c>
      <c r="BP28">
        <v>0</v>
      </c>
      <c r="BQ28">
        <f t="shared" si="38"/>
        <v>635.47444108646243</v>
      </c>
      <c r="BR28">
        <f t="shared" si="39"/>
        <v>0.73362182373210105</v>
      </c>
      <c r="BS28">
        <f t="shared" si="40"/>
        <v>0.92690278827247519</v>
      </c>
      <c r="BT28">
        <f t="shared" si="41"/>
        <v>0.13638614069500227</v>
      </c>
      <c r="BU28">
        <f t="shared" si="42"/>
        <v>0.93657582844229703</v>
      </c>
      <c r="BV28">
        <f t="shared" si="43"/>
        <v>0.1376135826134581</v>
      </c>
      <c r="BW28">
        <f t="shared" si="44"/>
        <v>0.77157398733212523</v>
      </c>
      <c r="BX28">
        <f t="shared" si="45"/>
        <v>0.22842601266787477</v>
      </c>
      <c r="DG28">
        <f t="shared" si="46"/>
        <v>49.997745161290339</v>
      </c>
      <c r="DH28">
        <f t="shared" si="47"/>
        <v>42.13337576254429</v>
      </c>
      <c r="DI28">
        <f t="shared" si="48"/>
        <v>0.84270551855136722</v>
      </c>
      <c r="DJ28">
        <f t="shared" si="49"/>
        <v>0.1648216508041388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1786035797.099999</v>
      </c>
      <c r="DQ28">
        <v>420.08270967741942</v>
      </c>
      <c r="DR28">
        <v>422.09100000000012</v>
      </c>
      <c r="DS28">
        <v>20.752032258064521</v>
      </c>
      <c r="DT28">
        <v>20.098409677419351</v>
      </c>
      <c r="DU28">
        <v>430.26270967741942</v>
      </c>
      <c r="DV28">
        <v>21.3195870967742</v>
      </c>
      <c r="DW28">
        <v>499.98238709677418</v>
      </c>
      <c r="DX28">
        <v>97.95605483870969</v>
      </c>
      <c r="DY28">
        <v>5.1036235483870949E-2</v>
      </c>
      <c r="DZ28">
        <v>24.726448387096781</v>
      </c>
      <c r="EA28">
        <v>24.93411935483871</v>
      </c>
      <c r="EB28">
        <v>999.90000000000032</v>
      </c>
      <c r="EC28">
        <v>0</v>
      </c>
      <c r="ED28">
        <v>0</v>
      </c>
      <c r="EE28">
        <v>9993.8709677419356</v>
      </c>
      <c r="EF28">
        <v>0</v>
      </c>
      <c r="EG28">
        <v>526.39870967741945</v>
      </c>
      <c r="EH28">
        <v>-2.0083038709677421</v>
      </c>
      <c r="EI28">
        <v>428.985064516129</v>
      </c>
      <c r="EJ28">
        <v>430.74845161290318</v>
      </c>
      <c r="EK28">
        <v>0.65361309677419355</v>
      </c>
      <c r="EL28">
        <v>422.09100000000012</v>
      </c>
      <c r="EM28">
        <v>20.098409677419351</v>
      </c>
      <c r="EN28">
        <v>2.0327867741935481</v>
      </c>
      <c r="EO28">
        <v>1.968760967741936</v>
      </c>
      <c r="EP28">
        <v>17.702025806451609</v>
      </c>
      <c r="EQ28">
        <v>17.19528064516129</v>
      </c>
      <c r="ER28">
        <v>49.997745161290339</v>
      </c>
      <c r="ES28">
        <v>0.89979093548387079</v>
      </c>
      <c r="ET28">
        <v>0.10020934516129031</v>
      </c>
      <c r="EU28">
        <v>0</v>
      </c>
      <c r="EV28">
        <v>763.40374193548394</v>
      </c>
      <c r="EW28">
        <v>5.0010700000000003</v>
      </c>
      <c r="EX28">
        <v>2254.1461290322582</v>
      </c>
      <c r="EY28">
        <v>396.21232258064509</v>
      </c>
      <c r="EZ28">
        <v>35.811999999999991</v>
      </c>
      <c r="FA28">
        <v>40.186999999999983</v>
      </c>
      <c r="FB28">
        <v>37.991870967741939</v>
      </c>
      <c r="FC28">
        <v>40.311999999999983</v>
      </c>
      <c r="FD28">
        <v>38.125</v>
      </c>
      <c r="FE28">
        <v>40.488064516129043</v>
      </c>
      <c r="FF28">
        <v>4.509032258064515</v>
      </c>
      <c r="FG28">
        <v>0</v>
      </c>
      <c r="FH28">
        <v>180.70000004768369</v>
      </c>
      <c r="FI28">
        <v>0</v>
      </c>
      <c r="FJ28">
        <v>763.40447058823531</v>
      </c>
      <c r="FK28">
        <v>-1.525490194692467</v>
      </c>
      <c r="FL28">
        <v>-649.02205746162974</v>
      </c>
      <c r="FM28">
        <v>2221.8964705882349</v>
      </c>
      <c r="FN28">
        <v>10</v>
      </c>
      <c r="FO28">
        <v>1786035725.5999999</v>
      </c>
      <c r="FP28" t="s">
        <v>514</v>
      </c>
      <c r="FQ28">
        <v>1786035718.5999999</v>
      </c>
      <c r="FR28">
        <v>1786035725.5999999</v>
      </c>
      <c r="FS28">
        <v>42</v>
      </c>
      <c r="FT28">
        <v>-1E-3</v>
      </c>
      <c r="FU28">
        <v>-5.0000000000000001E-3</v>
      </c>
      <c r="FV28">
        <v>-10.188000000000001</v>
      </c>
      <c r="FW28">
        <v>-0.59099999999999997</v>
      </c>
      <c r="FX28">
        <v>422</v>
      </c>
      <c r="FY28">
        <v>20</v>
      </c>
      <c r="FZ28">
        <v>1.69</v>
      </c>
      <c r="GA28">
        <v>0.27</v>
      </c>
      <c r="GB28">
        <v>420.08270967741942</v>
      </c>
      <c r="GC28">
        <v>8.8451612903233973E-2</v>
      </c>
      <c r="GD28">
        <v>5.4920584041950403E-2</v>
      </c>
      <c r="GE28">
        <v>-1</v>
      </c>
      <c r="GF28">
        <v>763.43982352941168</v>
      </c>
      <c r="GG28">
        <v>-0.69555385869303132</v>
      </c>
      <c r="GH28">
        <v>0.215104143120355</v>
      </c>
      <c r="GI28">
        <v>1</v>
      </c>
      <c r="GJ28">
        <v>0.66964234146341473</v>
      </c>
      <c r="GK28">
        <v>0.1046060696864104</v>
      </c>
      <c r="GL28">
        <v>6.5076561598950033E-2</v>
      </c>
      <c r="GM28">
        <v>1</v>
      </c>
      <c r="GN28">
        <v>2</v>
      </c>
      <c r="GO28">
        <v>2</v>
      </c>
      <c r="GP28" t="s">
        <v>411</v>
      </c>
      <c r="GQ28">
        <v>3.13035</v>
      </c>
      <c r="GR28">
        <v>2.7277499999999999</v>
      </c>
      <c r="GS28">
        <v>9.2754900000000001E-2</v>
      </c>
      <c r="GT28">
        <v>9.2107900000000006E-2</v>
      </c>
      <c r="GU28">
        <v>0.103684</v>
      </c>
      <c r="GV28">
        <v>9.9130499999999996E-2</v>
      </c>
      <c r="GW28">
        <v>22770.6</v>
      </c>
      <c r="GX28">
        <v>30278.5</v>
      </c>
      <c r="GY28">
        <v>27219.1</v>
      </c>
      <c r="GZ28">
        <v>34284.1</v>
      </c>
      <c r="HA28">
        <v>35695.199999999997</v>
      </c>
      <c r="HB28">
        <v>38945.699999999997</v>
      </c>
      <c r="HC28">
        <v>40158.400000000001</v>
      </c>
      <c r="HD28">
        <v>43313.7</v>
      </c>
      <c r="HE28">
        <v>1.9783999999999999</v>
      </c>
      <c r="HF28">
        <v>1.7951999999999999</v>
      </c>
      <c r="HG28">
        <v>-8.4489599999999998E-2</v>
      </c>
      <c r="HH28">
        <v>0</v>
      </c>
      <c r="HI28">
        <v>26.320399999999999</v>
      </c>
      <c r="HJ28">
        <v>999.9</v>
      </c>
      <c r="HK28">
        <v>58.5</v>
      </c>
      <c r="HL28">
        <v>36.799999999999997</v>
      </c>
      <c r="HM28">
        <v>37.247799999999998</v>
      </c>
      <c r="HN28">
        <v>60.378300000000003</v>
      </c>
      <c r="HO28">
        <v>5.2844499999999996</v>
      </c>
      <c r="HP28">
        <v>1</v>
      </c>
      <c r="HQ28">
        <v>0.41184999999999999</v>
      </c>
      <c r="HR28">
        <v>3.9664899999999998</v>
      </c>
      <c r="HS28">
        <v>20.2058</v>
      </c>
      <c r="HT28">
        <v>5.2112999999999996</v>
      </c>
      <c r="HU28">
        <v>11.908099999999999</v>
      </c>
      <c r="HV28">
        <v>4.9836</v>
      </c>
      <c r="HW28">
        <v>3.2707999999999999</v>
      </c>
      <c r="HX28">
        <v>9999</v>
      </c>
      <c r="HY28">
        <v>9999</v>
      </c>
      <c r="HZ28">
        <v>9999</v>
      </c>
      <c r="IA28">
        <v>999.9</v>
      </c>
      <c r="IB28">
        <v>1.8674599999999999</v>
      </c>
      <c r="IC28">
        <v>1.8631</v>
      </c>
      <c r="ID28">
        <v>1.8626400000000001</v>
      </c>
      <c r="IE28">
        <v>1.8621799999999999</v>
      </c>
      <c r="IF28">
        <v>1.8621799999999999</v>
      </c>
      <c r="IG28">
        <v>1.8627899999999999</v>
      </c>
      <c r="IH28">
        <v>1.86371</v>
      </c>
      <c r="II28">
        <v>1.86172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-10.18</v>
      </c>
      <c r="IX28">
        <v>-0.56599999999999995</v>
      </c>
      <c r="IY28">
        <v>-8.1763021991796254</v>
      </c>
      <c r="IZ28">
        <v>-5.6215304933332991E-3</v>
      </c>
      <c r="JA28">
        <v>2.3979931213773931E-6</v>
      </c>
      <c r="JB28">
        <v>-3.6297174575716598E-10</v>
      </c>
      <c r="JC28">
        <v>-0.88773646001947992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1.4</v>
      </c>
      <c r="JL28">
        <v>1.3</v>
      </c>
      <c r="JM28">
        <v>1.10229</v>
      </c>
      <c r="JN28">
        <v>2.5329600000000001</v>
      </c>
      <c r="JO28">
        <v>1.50024</v>
      </c>
      <c r="JP28">
        <v>2.2741699999999998</v>
      </c>
      <c r="JQ28">
        <v>1.4477500000000001</v>
      </c>
      <c r="JR28">
        <v>2.3535200000000001</v>
      </c>
      <c r="JS28">
        <v>42.697400000000002</v>
      </c>
      <c r="JT28">
        <v>23.9299</v>
      </c>
      <c r="JU28">
        <v>18</v>
      </c>
      <c r="JV28">
        <v>537.71799999999996</v>
      </c>
      <c r="JW28">
        <v>433.87599999999998</v>
      </c>
      <c r="JX28">
        <v>21.956199999999999</v>
      </c>
      <c r="JY28">
        <v>32.313699999999997</v>
      </c>
      <c r="JZ28">
        <v>30.000800000000002</v>
      </c>
      <c r="KA28">
        <v>32.044600000000003</v>
      </c>
      <c r="KB28">
        <v>32.019100000000002</v>
      </c>
      <c r="KC28">
        <v>22.050999999999998</v>
      </c>
      <c r="KD28">
        <v>48.280700000000003</v>
      </c>
      <c r="KE28">
        <v>0</v>
      </c>
      <c r="KF28">
        <v>21.9495</v>
      </c>
      <c r="KG28">
        <v>421.971</v>
      </c>
      <c r="KH28">
        <v>19.957599999999999</v>
      </c>
      <c r="KI28">
        <v>100.40300000000001</v>
      </c>
      <c r="KJ28">
        <v>97.634500000000003</v>
      </c>
    </row>
    <row r="29" spans="1:296" x14ac:dyDescent="0.3">
      <c r="A29">
        <v>13</v>
      </c>
      <c r="B29">
        <v>1786035986.5999999</v>
      </c>
      <c r="C29">
        <v>2178.099999904633</v>
      </c>
      <c r="D29" t="s">
        <v>515</v>
      </c>
      <c r="E29" t="s">
        <v>516</v>
      </c>
      <c r="F29">
        <v>15</v>
      </c>
      <c r="H29">
        <v>1786035978.599999</v>
      </c>
      <c r="I29">
        <f t="shared" si="0"/>
        <v>4.8318296535010218E-4</v>
      </c>
      <c r="J29">
        <f t="shared" si="1"/>
        <v>0.48318296535010219</v>
      </c>
      <c r="K29">
        <f t="shared" si="2"/>
        <v>-2.358881899694472</v>
      </c>
      <c r="L29">
        <f t="shared" si="3"/>
        <v>420.09893548387089</v>
      </c>
      <c r="M29">
        <f t="shared" si="4"/>
        <v>504.01730831869037</v>
      </c>
      <c r="N29">
        <f t="shared" si="5"/>
        <v>49.394653220534614</v>
      </c>
      <c r="O29">
        <f t="shared" si="6"/>
        <v>41.170493342305832</v>
      </c>
      <c r="P29">
        <f t="shared" si="7"/>
        <v>4.0992238211682276E-2</v>
      </c>
      <c r="Q29">
        <f t="shared" si="8"/>
        <v>2.8948459682625574</v>
      </c>
      <c r="R29">
        <f t="shared" si="9"/>
        <v>4.0672472026481811E-2</v>
      </c>
      <c r="S29">
        <f t="shared" si="10"/>
        <v>2.5448816678008759E-2</v>
      </c>
      <c r="T29">
        <f t="shared" si="11"/>
        <v>1.5966703903835998E-4</v>
      </c>
      <c r="U29">
        <f t="shared" si="12"/>
        <v>24.732378066563676</v>
      </c>
      <c r="V29">
        <f t="shared" si="13"/>
        <v>24.993816129032261</v>
      </c>
      <c r="W29">
        <f t="shared" si="14"/>
        <v>3.1785055055486304</v>
      </c>
      <c r="X29">
        <f t="shared" si="15"/>
        <v>64.864571833302662</v>
      </c>
      <c r="Y29">
        <f t="shared" si="16"/>
        <v>2.045286349336878</v>
      </c>
      <c r="Z29">
        <f t="shared" si="17"/>
        <v>3.1531640332000008</v>
      </c>
      <c r="AA29">
        <f t="shared" si="18"/>
        <v>1.1332191562117524</v>
      </c>
      <c r="AB29">
        <f t="shared" si="19"/>
        <v>-21.308368771939506</v>
      </c>
      <c r="AC29">
        <f t="shared" si="20"/>
        <v>-20.942672464673574</v>
      </c>
      <c r="AD29">
        <f t="shared" si="21"/>
        <v>-1.5291364484045713</v>
      </c>
      <c r="AE29">
        <f t="shared" si="22"/>
        <v>-43.780018017978612</v>
      </c>
      <c r="AF29">
        <f t="shared" si="23"/>
        <v>-2.358881899694472</v>
      </c>
      <c r="AG29">
        <f t="shared" si="24"/>
        <v>0.48318296535010219</v>
      </c>
      <c r="AH29">
        <f t="shared" si="25"/>
        <v>-2.2460732434261024</v>
      </c>
      <c r="AI29">
        <v>426.2200563050269</v>
      </c>
      <c r="AJ29">
        <v>429.03994545454549</v>
      </c>
      <c r="AK29">
        <v>-1.296215488293437E-2</v>
      </c>
      <c r="AL29">
        <v>67.090703357481317</v>
      </c>
      <c r="AM29">
        <f t="shared" si="26"/>
        <v>0.48353392945310397</v>
      </c>
      <c r="AN29">
        <v>20.31048085187447</v>
      </c>
      <c r="AO29">
        <v>20.878473939393938</v>
      </c>
      <c r="AP29">
        <v>2.1079997849830521E-5</v>
      </c>
      <c r="AQ29">
        <v>78.243490606572919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52208.734200175932</v>
      </c>
      <c r="AW29" t="s">
        <v>406</v>
      </c>
      <c r="AX29">
        <v>13248.1</v>
      </c>
      <c r="AY29">
        <v>648.50294117647059</v>
      </c>
      <c r="AZ29">
        <v>2580.59</v>
      </c>
      <c r="BA29">
        <f t="shared" si="30"/>
        <v>0.74869973875103346</v>
      </c>
      <c r="BB29">
        <v>-2.3588818996945191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-2.358881899694472</v>
      </c>
      <c r="BK29" t="e">
        <f t="shared" si="34"/>
        <v>#DIV/0!</v>
      </c>
      <c r="BL29">
        <f t="shared" si="35"/>
        <v>5.6016299545903629E-11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1.3356489233830651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1786035978.599999</v>
      </c>
      <c r="DQ29">
        <v>420.09893548387089</v>
      </c>
      <c r="DR29">
        <v>417.51187096774191</v>
      </c>
      <c r="DS29">
        <v>20.869864516129031</v>
      </c>
      <c r="DT29">
        <v>20.302148387096771</v>
      </c>
      <c r="DU29">
        <v>430.30561290322589</v>
      </c>
      <c r="DV29">
        <v>21.446658064516122</v>
      </c>
      <c r="DW29">
        <v>500.00235483870972</v>
      </c>
      <c r="DX29">
        <v>97.951129032258066</v>
      </c>
      <c r="DY29">
        <v>5.0769722580645167E-2</v>
      </c>
      <c r="DZ29">
        <v>24.859625806451611</v>
      </c>
      <c r="EA29">
        <v>24.993816129032261</v>
      </c>
      <c r="EB29">
        <v>999.90000000000032</v>
      </c>
      <c r="EC29">
        <v>0</v>
      </c>
      <c r="ED29">
        <v>0</v>
      </c>
      <c r="EE29">
        <v>10008.548387096769</v>
      </c>
      <c r="EF29">
        <v>0</v>
      </c>
      <c r="EG29">
        <v>1080.4690000000001</v>
      </c>
      <c r="EH29">
        <v>2.5870735483870968</v>
      </c>
      <c r="EI29">
        <v>429.05312903225808</v>
      </c>
      <c r="EJ29">
        <v>426.16383870967729</v>
      </c>
      <c r="EK29">
        <v>0.56771554838709692</v>
      </c>
      <c r="EL29">
        <v>417.51187096774191</v>
      </c>
      <c r="EM29">
        <v>20.302148387096771</v>
      </c>
      <c r="EN29">
        <v>2.0442261290322579</v>
      </c>
      <c r="EO29">
        <v>1.988617419354838</v>
      </c>
      <c r="EP29">
        <v>17.79110967741936</v>
      </c>
      <c r="EQ29">
        <v>17.353996774193551</v>
      </c>
      <c r="ER29">
        <v>1.00021E-2</v>
      </c>
      <c r="ES29">
        <v>0</v>
      </c>
      <c r="ET29">
        <v>0</v>
      </c>
      <c r="EU29">
        <v>0</v>
      </c>
      <c r="EV29">
        <v>647.24032258064506</v>
      </c>
      <c r="EW29">
        <v>1.00021E-2</v>
      </c>
      <c r="EX29">
        <v>3521.3403225806451</v>
      </c>
      <c r="EY29">
        <v>3.430645161290323</v>
      </c>
      <c r="EZ29">
        <v>35.628999999999998</v>
      </c>
      <c r="FA29">
        <v>39.959354838709658</v>
      </c>
      <c r="FB29">
        <v>37.875</v>
      </c>
      <c r="FC29">
        <v>40</v>
      </c>
      <c r="FD29">
        <v>37.76</v>
      </c>
      <c r="FE29">
        <v>0</v>
      </c>
      <c r="FF29">
        <v>0</v>
      </c>
      <c r="FG29">
        <v>0</v>
      </c>
      <c r="FH29">
        <v>180.89999985694891</v>
      </c>
      <c r="FI29">
        <v>0</v>
      </c>
      <c r="FJ29">
        <v>648.50294117647059</v>
      </c>
      <c r="FK29">
        <v>-32.38970716096857</v>
      </c>
      <c r="FL29">
        <v>15039.27697531205</v>
      </c>
      <c r="FM29">
        <v>4079.7470588235292</v>
      </c>
      <c r="FN29">
        <v>10</v>
      </c>
      <c r="FO29">
        <v>1786035927.0999999</v>
      </c>
      <c r="FP29" t="s">
        <v>517</v>
      </c>
      <c r="FQ29">
        <v>1786035925.0999999</v>
      </c>
      <c r="FR29">
        <v>1786035927.0999999</v>
      </c>
      <c r="FS29">
        <v>43</v>
      </c>
      <c r="FT29">
        <v>-2.5999999999999999E-2</v>
      </c>
      <c r="FU29">
        <v>-1.2999999999999999E-2</v>
      </c>
      <c r="FV29">
        <v>-10.199</v>
      </c>
      <c r="FW29">
        <v>-0.59399999999999997</v>
      </c>
      <c r="FX29">
        <v>418</v>
      </c>
      <c r="FY29">
        <v>20</v>
      </c>
      <c r="FZ29">
        <v>1.55</v>
      </c>
      <c r="GA29">
        <v>0.47</v>
      </c>
      <c r="GB29">
        <v>420.09906666666672</v>
      </c>
      <c r="GC29">
        <v>8.9325917687449033E-2</v>
      </c>
      <c r="GD29">
        <v>5.5754182703087317E-2</v>
      </c>
      <c r="GE29">
        <v>-1</v>
      </c>
      <c r="GF29">
        <v>647.20882352941169</v>
      </c>
      <c r="GG29">
        <v>2.4690602549597171</v>
      </c>
      <c r="GH29">
        <v>3.949543357600227</v>
      </c>
      <c r="GI29">
        <v>1</v>
      </c>
      <c r="GJ29">
        <v>0.57119977499999997</v>
      </c>
      <c r="GK29">
        <v>-9.0239515947467527E-2</v>
      </c>
      <c r="GL29">
        <v>9.2755473759975528E-3</v>
      </c>
      <c r="GM29">
        <v>1</v>
      </c>
      <c r="GN29">
        <v>2</v>
      </c>
      <c r="GO29">
        <v>2</v>
      </c>
      <c r="GP29" t="s">
        <v>411</v>
      </c>
      <c r="GQ29">
        <v>3.13178</v>
      </c>
      <c r="GR29">
        <v>2.7261600000000001</v>
      </c>
      <c r="GS29">
        <v>9.2671100000000006E-2</v>
      </c>
      <c r="GT29">
        <v>9.1268799999999997E-2</v>
      </c>
      <c r="GU29">
        <v>0.103869</v>
      </c>
      <c r="GV29">
        <v>0.10034700000000001</v>
      </c>
      <c r="GW29">
        <v>22761.1</v>
      </c>
      <c r="GX29">
        <v>30289.1</v>
      </c>
      <c r="GY29">
        <v>27206.7</v>
      </c>
      <c r="GZ29">
        <v>34266.699999999997</v>
      </c>
      <c r="HA29">
        <v>35673.300000000003</v>
      </c>
      <c r="HB29">
        <v>38877.699999999997</v>
      </c>
      <c r="HC29">
        <v>40140.699999999997</v>
      </c>
      <c r="HD29">
        <v>43296.1</v>
      </c>
      <c r="HE29">
        <v>1.9774</v>
      </c>
      <c r="HF29">
        <v>1.7869999999999999</v>
      </c>
      <c r="HG29">
        <v>-6.4879699999999998E-2</v>
      </c>
      <c r="HH29">
        <v>0</v>
      </c>
      <c r="HI29">
        <v>26.087900000000001</v>
      </c>
      <c r="HJ29">
        <v>999.9</v>
      </c>
      <c r="HK29">
        <v>58.3</v>
      </c>
      <c r="HL29">
        <v>37.1</v>
      </c>
      <c r="HM29">
        <v>37.729599999999998</v>
      </c>
      <c r="HN29">
        <v>60.008299999999998</v>
      </c>
      <c r="HO29">
        <v>4.8117000000000001</v>
      </c>
      <c r="HP29">
        <v>1</v>
      </c>
      <c r="HQ29">
        <v>0.43768299999999999</v>
      </c>
      <c r="HR29">
        <v>3.6413700000000002</v>
      </c>
      <c r="HS29">
        <v>20.213100000000001</v>
      </c>
      <c r="HT29">
        <v>5.2100999999999997</v>
      </c>
      <c r="HU29">
        <v>11.908099999999999</v>
      </c>
      <c r="HV29">
        <v>4.984</v>
      </c>
      <c r="HW29">
        <v>3.2707999999999999</v>
      </c>
      <c r="HX29">
        <v>9999</v>
      </c>
      <c r="HY29">
        <v>9999</v>
      </c>
      <c r="HZ29">
        <v>9999</v>
      </c>
      <c r="IA29">
        <v>999.9</v>
      </c>
      <c r="IB29">
        <v>1.8673999999999999</v>
      </c>
      <c r="IC29">
        <v>1.8631</v>
      </c>
      <c r="ID29">
        <v>1.8626400000000001</v>
      </c>
      <c r="IE29">
        <v>1.8621799999999999</v>
      </c>
      <c r="IF29">
        <v>1.8621799999999999</v>
      </c>
      <c r="IG29">
        <v>1.8626400000000001</v>
      </c>
      <c r="IH29">
        <v>1.86371</v>
      </c>
      <c r="II29">
        <v>1.8616299999999999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-10.206</v>
      </c>
      <c r="IX29">
        <v>-0.5766</v>
      </c>
      <c r="IY29">
        <v>-8.2027382105300255</v>
      </c>
      <c r="IZ29">
        <v>-5.6215304933332991E-3</v>
      </c>
      <c r="JA29">
        <v>2.3979931213773931E-6</v>
      </c>
      <c r="JB29">
        <v>-3.6297174575716598E-10</v>
      </c>
      <c r="JC29">
        <v>-0.90028084319411827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</v>
      </c>
      <c r="JL29">
        <v>1</v>
      </c>
      <c r="JM29">
        <v>1.09253</v>
      </c>
      <c r="JN29">
        <v>2.52319</v>
      </c>
      <c r="JO29">
        <v>1.50024</v>
      </c>
      <c r="JP29">
        <v>2.2729499999999998</v>
      </c>
      <c r="JQ29">
        <v>1.4477500000000001</v>
      </c>
      <c r="JR29">
        <v>2.49268</v>
      </c>
      <c r="JS29">
        <v>42.885199999999998</v>
      </c>
      <c r="JT29">
        <v>23.956199999999999</v>
      </c>
      <c r="JU29">
        <v>18</v>
      </c>
      <c r="JV29">
        <v>539.73400000000004</v>
      </c>
      <c r="JW29">
        <v>430.95499999999998</v>
      </c>
      <c r="JX29">
        <v>22.5138</v>
      </c>
      <c r="JY29">
        <v>32.6492</v>
      </c>
      <c r="JZ29">
        <v>30.000499999999999</v>
      </c>
      <c r="KA29">
        <v>32.362900000000003</v>
      </c>
      <c r="KB29">
        <v>32.324300000000001</v>
      </c>
      <c r="KC29">
        <v>21.855</v>
      </c>
      <c r="KD29">
        <v>48.169199999999996</v>
      </c>
      <c r="KE29">
        <v>0</v>
      </c>
      <c r="KF29">
        <v>22.508400000000002</v>
      </c>
      <c r="KG29">
        <v>417.44799999999998</v>
      </c>
      <c r="KH29">
        <v>20.244700000000002</v>
      </c>
      <c r="KI29">
        <v>100.358</v>
      </c>
      <c r="KJ29">
        <v>97.590500000000006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85B0-8829-44CB-B94C-84F36181E3AD}">
  <dimension ref="A2:KJ29"/>
  <sheetViews>
    <sheetView workbookViewId="0">
      <selection activeCell="E9" sqref="E9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1786029968</v>
      </c>
      <c r="C17">
        <v>0</v>
      </c>
      <c r="D17" t="s">
        <v>518</v>
      </c>
      <c r="E17" t="s">
        <v>519</v>
      </c>
      <c r="F17">
        <v>15</v>
      </c>
      <c r="H17">
        <v>1786029960.0193551</v>
      </c>
      <c r="I17">
        <f t="shared" ref="I17:I29" si="0">(J17)/1000</f>
        <v>2.0314841016165104E-3</v>
      </c>
      <c r="J17">
        <f t="shared" ref="J17:J29" si="1">IF(DO17, AM17, AG17)</f>
        <v>2.0314841016165106</v>
      </c>
      <c r="K17">
        <f t="shared" ref="K17:K29" si="2">IF(DO17, AH17, AF17)</f>
        <v>27.081416125927333</v>
      </c>
      <c r="L17">
        <f t="shared" ref="L17:L29" si="3">DQ17 - IF(AT17&gt;1, K17*DK17*100/(AV17), 0)</f>
        <v>419.79899999999998</v>
      </c>
      <c r="M17">
        <f t="shared" ref="M17:M29" si="4">((S17-I17/2)*L17-K17)/(S17+I17/2)</f>
        <v>167.08492285477047</v>
      </c>
      <c r="N17">
        <f t="shared" ref="N17:N29" si="5">M17*(DX17+DY17)/1000</f>
        <v>16.374921990596189</v>
      </c>
      <c r="O17">
        <f t="shared" ref="O17:O29" si="6">(DQ17 - IF(AT17&gt;1, K17*DK17*100/(AV17), 0))*(DX17+DY17)/1000</f>
        <v>41.141808364751704</v>
      </c>
      <c r="P17">
        <f t="shared" ref="P17:P29" si="7">2/((1/R17-1/Q17)+SIGN(R17)*SQRT((1/R17-1/Q17)*(1/R17-1/Q17) + 4*DL17/((DL17+1)*(DL17+1))*(2*1/R17*1/Q17-1/Q17*1/Q17)))</f>
        <v>0.18041893251381994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2.8937784575683887</v>
      </c>
      <c r="R17">
        <f t="shared" ref="R17:R29" si="9">I17*(1000-(1000*0.61365*EXP(17.502*V17/(240.97+V17))/(DX17+DY17)+DS17)/2)/(1000*0.61365*EXP(17.502*V17/(240.97+V17))/(DX17+DY17)-DS17)</f>
        <v>0.17439465544097632</v>
      </c>
      <c r="S17">
        <f t="shared" ref="S17:S29" si="10">1/((DL17+1)/(P17/1.6)+1/(Q17/1.37)) + DL17/((DL17+1)/(P17/1.6) + DL17/(Q17/1.37))</f>
        <v>0.1095211597152482</v>
      </c>
      <c r="T17">
        <f t="shared" ref="T17:T29" si="11">(DG17*DJ17)</f>
        <v>319.77993985245746</v>
      </c>
      <c r="U17">
        <f t="shared" ref="U17:U29" si="12">(DZ17+(T17+2*0.95*0.0000000567*(((DZ17+$B$7)+273)^4-(DZ17+273)^4)-44100*I17)/(1.84*29.3*Q17+8*0.95*0.0000000567*(DZ17+273)^3))</f>
        <v>26.286078234669819</v>
      </c>
      <c r="V17">
        <f t="shared" ref="V17:V29" si="13">($C$7*EA17+$D$7*EB17+$E$7*U17)</f>
        <v>24.985906451612902</v>
      </c>
      <c r="W17">
        <f t="shared" ref="W17:W29" si="14">0.61365*EXP(17.502*V17/(240.97+V17))</f>
        <v>3.1770068638984914</v>
      </c>
      <c r="X17">
        <f t="shared" ref="X17:X29" si="15">(Y17/Z17*100)</f>
        <v>65.318458097963784</v>
      </c>
      <c r="Y17">
        <f t="shared" ref="Y17:Y29" si="16">DS17*(DX17+DY17)/1000</f>
        <v>2.0659219641761486</v>
      </c>
      <c r="Z17">
        <f t="shared" ref="Z17:Z29" si="17">0.61365*EXP(17.502*DZ17/(240.97+DZ17))</f>
        <v>3.1628455789291681</v>
      </c>
      <c r="AA17">
        <f t="shared" ref="AA17:AA29" si="18">(W17-DS17*(DX17+DY17)/1000)</f>
        <v>1.1110848997223428</v>
      </c>
      <c r="AB17">
        <f t="shared" ref="AB17:AB29" si="19">(-I17*44100)</f>
        <v>-89.588448881288116</v>
      </c>
      <c r="AC17">
        <f t="shared" ref="AC17:AC29" si="20">2*29.3*Q17*0.92*(DZ17-V17)</f>
        <v>-11.685606132989673</v>
      </c>
      <c r="AD17">
        <f t="shared" ref="AD17:AD29" si="21">2*0.95*0.0000000567*(((DZ17+$B$7)+273)^4-(V17+273)^4)</f>
        <v>-0.85373009708307257</v>
      </c>
      <c r="AE17">
        <f t="shared" ref="AE17:AE29" si="22">T17+AD17+AB17+AC17</f>
        <v>217.65215474109658</v>
      </c>
      <c r="AF17">
        <f t="shared" ref="AF17:AF29" si="23">DW17*AT17*(DR17-DQ17*(1000-AT17*DT17)/(1000-AT17*DS17))/(100*DK17)</f>
        <v>27.081416125927333</v>
      </c>
      <c r="AG17">
        <f t="shared" ref="AG17:AG29" si="24">1000*DW17*AT17*(DS17-DT17)/(100*DK17*(1000-AT17*DS17))</f>
        <v>2.0314841016165106</v>
      </c>
      <c r="AH17">
        <f t="shared" ref="AH17:AH29" si="25">(AI17 - AJ17 - DX17*1000/(8.314*(DZ17+273.15)) * AL17/DW17 * AK17) * DW17/(100*DK17) * (1000 - DT17)/1000</f>
        <v>27.011104579285799</v>
      </c>
      <c r="AI17">
        <v>461.93472641581832</v>
      </c>
      <c r="AJ17">
        <v>428.87687272727271</v>
      </c>
      <c r="AK17">
        <v>5.6798717459998803E-3</v>
      </c>
      <c r="AL17">
        <v>67.078525048156777</v>
      </c>
      <c r="AM17">
        <f t="shared" ref="AM17:AM29" si="26">(AO17 - AN17 + DX17*1000/(8.314*(DZ17+273.15)) * AQ17/DW17 * AP17) * DW17/(100*DK17) * 1000/(1000 - AO17)</f>
        <v>2.0398470188491054</v>
      </c>
      <c r="AN17">
        <v>18.677429007966239</v>
      </c>
      <c r="AO17">
        <v>21.073634545454532</v>
      </c>
      <c r="AP17">
        <v>-3.1666689510408972E-5</v>
      </c>
      <c r="AQ17">
        <v>78.214293213002662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52169.176250237862</v>
      </c>
      <c r="AW17" t="s">
        <v>520</v>
      </c>
      <c r="AX17">
        <v>13221.9</v>
      </c>
      <c r="AY17">
        <v>635.76176470588234</v>
      </c>
      <c r="AZ17">
        <v>2570.27</v>
      </c>
      <c r="BA17">
        <f t="shared" ref="BA17:BA29" si="30">1-AY17/AZ17</f>
        <v>0.75264786784817073</v>
      </c>
      <c r="BB17">
        <v>-2.1832016218308832</v>
      </c>
      <c r="BC17" t="s">
        <v>521</v>
      </c>
      <c r="BD17">
        <v>13213</v>
      </c>
      <c r="BE17">
        <v>988.38258823529418</v>
      </c>
      <c r="BF17">
        <v>1157.6099999999999</v>
      </c>
      <c r="BG17">
        <f t="shared" ref="BG17:BG29" si="31">1-BE17/BF17</f>
        <v>0.14618689521056805</v>
      </c>
      <c r="BH17">
        <v>0.5</v>
      </c>
      <c r="BI17">
        <f t="shared" ref="BI17:BI29" si="32">DH17</f>
        <v>1680.3131901625638</v>
      </c>
      <c r="BJ17">
        <f t="shared" ref="BJ17:BJ29" si="33">K17</f>
        <v>27.081416125927333</v>
      </c>
      <c r="BK17">
        <f t="shared" ref="BK17:BK29" si="34">BG17*BH17*BI17</f>
        <v>122.819884125615</v>
      </c>
      <c r="BL17">
        <f t="shared" ref="BL17:BL29" si="35">(BJ17-BB17)/BI17</f>
        <v>1.7416168556605199E-2</v>
      </c>
      <c r="BM17">
        <f t="shared" ref="BM17:BM29" si="36">(AZ17-BF17)/BF17</f>
        <v>1.220324634375999</v>
      </c>
      <c r="BN17">
        <f t="shared" ref="BN17:BN29" si="37">AY17/(BA17+AY17/BF17)</f>
        <v>488.3525854965402</v>
      </c>
      <c r="BO17" t="s">
        <v>408</v>
      </c>
      <c r="BP17">
        <v>0</v>
      </c>
      <c r="BQ17">
        <f t="shared" ref="BQ17:BQ29" si="38">IF(BP17&lt;&gt;0, BP17, BN17)</f>
        <v>488.3525854965402</v>
      </c>
      <c r="BR17">
        <f t="shared" ref="BR17:BR29" si="39">1-BQ17/BF17</f>
        <v>0.57813720899392695</v>
      </c>
      <c r="BS17">
        <f t="shared" ref="BS17:BS29" si="40">(BF17-BE17)/(BF17-BQ17)</f>
        <v>0.25285847881156481</v>
      </c>
      <c r="BT17">
        <f t="shared" ref="BT17:BT29" si="41">(AZ17-BF17)/(AZ17-BQ17)</f>
        <v>0.67853796224521301</v>
      </c>
      <c r="BU17">
        <f t="shared" ref="BU17:BU29" si="42">(BF17-BE17)/(BF17-AY17)</f>
        <v>0.32428472555690047</v>
      </c>
      <c r="BV17">
        <f t="shared" ref="BV17:BV29" si="43">(AZ17-BF17)/(AZ17-AY17)</f>
        <v>0.73024243279337753</v>
      </c>
      <c r="BW17">
        <f t="shared" ref="BW17:BW29" si="44">(BS17*BQ17/BE17)</f>
        <v>0.12493551926367323</v>
      </c>
      <c r="BX17">
        <f t="shared" ref="BX17:BX29" si="45">(1-BW17)</f>
        <v>0.87506448073632681</v>
      </c>
      <c r="DG17">
        <f t="shared" ref="DG17:DG29" si="46">$B$11*EF17+$C$11*EG17+$F$11*ER17*(1-EU17)</f>
        <v>2000.0167741935491</v>
      </c>
      <c r="DH17">
        <f t="shared" ref="DH17:DH29" si="47">DG17*DI17</f>
        <v>1680.3131901625638</v>
      </c>
      <c r="DI17">
        <f t="shared" ref="DI17:DI29" si="48">($B$11*$D$9+$C$11*$D$9+$F$11*((FE17+EW17)/MAX(FE17+EW17+FF17, 0.1)*$I$9+FF17/MAX(FE17+EW17+FF17, 0.1)*$J$9))/($B$11+$C$11+$F$11)</f>
        <v>0.84014954866571223</v>
      </c>
      <c r="DJ17">
        <f t="shared" ref="DJ17:DJ29" si="49">($B$11*$K$9+$C$11*$K$9+$F$11*((FE17+EW17)/MAX(FE17+EW17+FF17, 0.1)*$P$9+FF17/MAX(FE17+EW17+FF17, 0.1)*$Q$9))/($B$11+$C$11+$F$11)</f>
        <v>0.15988862892482478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1786029960.0193551</v>
      </c>
      <c r="DQ17">
        <v>419.79899999999998</v>
      </c>
      <c r="DR17">
        <v>453.31696774193551</v>
      </c>
      <c r="DS17">
        <v>21.080064516129031</v>
      </c>
      <c r="DT17">
        <v>18.693893548387098</v>
      </c>
      <c r="DU17">
        <v>430.10967741935491</v>
      </c>
      <c r="DV17">
        <v>21.628509677419359</v>
      </c>
      <c r="DW17">
        <v>500.04638709677408</v>
      </c>
      <c r="DX17">
        <v>97.955864516129054</v>
      </c>
      <c r="DY17">
        <v>4.7723783870967741E-2</v>
      </c>
      <c r="DZ17">
        <v>24.91100322580645</v>
      </c>
      <c r="EA17">
        <v>24.985906451612902</v>
      </c>
      <c r="EB17">
        <v>999.90000000000032</v>
      </c>
      <c r="EC17">
        <v>0</v>
      </c>
      <c r="ED17">
        <v>0</v>
      </c>
      <c r="EE17">
        <v>10001.93548387097</v>
      </c>
      <c r="EF17">
        <v>0</v>
      </c>
      <c r="EG17">
        <v>355.76048387096779</v>
      </c>
      <c r="EH17">
        <v>-33.517967741935493</v>
      </c>
      <c r="EI17">
        <v>428.8389354838709</v>
      </c>
      <c r="EJ17">
        <v>461.95264516129038</v>
      </c>
      <c r="EK17">
        <v>2.386175483870967</v>
      </c>
      <c r="EL17">
        <v>453.31696774193551</v>
      </c>
      <c r="EM17">
        <v>18.693893548387098</v>
      </c>
      <c r="EN17">
        <v>2.0649158064516131</v>
      </c>
      <c r="EO17">
        <v>1.831176451612903</v>
      </c>
      <c r="EP17">
        <v>17.95109032258064</v>
      </c>
      <c r="EQ17">
        <v>16.05547096774194</v>
      </c>
      <c r="ER17">
        <v>2000.0167741935491</v>
      </c>
      <c r="ES17">
        <v>0.99500300000000008</v>
      </c>
      <c r="ET17">
        <v>4.9971087096774202E-3</v>
      </c>
      <c r="EU17">
        <v>0</v>
      </c>
      <c r="EV17">
        <v>988.65154838709691</v>
      </c>
      <c r="EW17">
        <v>5.0010700000000003</v>
      </c>
      <c r="EX17">
        <v>21632.83870967742</v>
      </c>
      <c r="EY17">
        <v>18241.809677419351</v>
      </c>
      <c r="EZ17">
        <v>38.125</v>
      </c>
      <c r="FA17">
        <v>39.311999999999983</v>
      </c>
      <c r="FB17">
        <v>38.652999999999999</v>
      </c>
      <c r="FC17">
        <v>38.936999999999983</v>
      </c>
      <c r="FD17">
        <v>39.375</v>
      </c>
      <c r="FE17">
        <v>1985.046774193549</v>
      </c>
      <c r="FF17">
        <v>9.970000000000006</v>
      </c>
      <c r="FG17">
        <v>0</v>
      </c>
      <c r="FH17">
        <v>1207</v>
      </c>
      <c r="FI17">
        <v>0</v>
      </c>
      <c r="FJ17">
        <v>988.38258823529418</v>
      </c>
      <c r="FK17">
        <v>-6.2713235228419206</v>
      </c>
      <c r="FL17">
        <v>-161.64215703068109</v>
      </c>
      <c r="FM17">
        <v>21626.54117647059</v>
      </c>
      <c r="FN17">
        <v>10</v>
      </c>
      <c r="FO17">
        <v>1786029838.5999999</v>
      </c>
      <c r="FP17" t="s">
        <v>522</v>
      </c>
      <c r="FQ17">
        <v>1786029835.5999999</v>
      </c>
      <c r="FR17">
        <v>1786029838.5999999</v>
      </c>
      <c r="FS17">
        <v>17</v>
      </c>
      <c r="FT17">
        <v>7.0999999999999994E-2</v>
      </c>
      <c r="FU17">
        <v>0.01</v>
      </c>
      <c r="FV17">
        <v>-10.427</v>
      </c>
      <c r="FW17">
        <v>-0.60299999999999998</v>
      </c>
      <c r="FX17">
        <v>451</v>
      </c>
      <c r="FY17">
        <v>19</v>
      </c>
      <c r="FZ17">
        <v>0.17</v>
      </c>
      <c r="GA17">
        <v>0.14000000000000001</v>
      </c>
      <c r="GB17">
        <v>419.79851612903218</v>
      </c>
      <c r="GC17">
        <v>0.2298885919815371</v>
      </c>
      <c r="GD17">
        <v>5.9699176504698838E-2</v>
      </c>
      <c r="GE17">
        <v>-1</v>
      </c>
      <c r="GF17">
        <v>988.90958823529411</v>
      </c>
      <c r="GG17">
        <v>-4.9039266618116866</v>
      </c>
      <c r="GH17">
        <v>0.51242440576761628</v>
      </c>
      <c r="GI17">
        <v>1</v>
      </c>
      <c r="GJ17">
        <v>2.375235365853658</v>
      </c>
      <c r="GK17">
        <v>0.23621571091644991</v>
      </c>
      <c r="GL17">
        <v>2.6482212999557948E-2</v>
      </c>
      <c r="GM17">
        <v>1</v>
      </c>
      <c r="GN17">
        <v>2</v>
      </c>
      <c r="GO17">
        <v>2</v>
      </c>
      <c r="GP17" t="s">
        <v>411</v>
      </c>
      <c r="GQ17">
        <v>3.1306400000000001</v>
      </c>
      <c r="GR17">
        <v>2.72417</v>
      </c>
      <c r="GS17">
        <v>9.3422599999999995E-2</v>
      </c>
      <c r="GT17">
        <v>9.8083400000000001E-2</v>
      </c>
      <c r="GU17">
        <v>0.10528899999999999</v>
      </c>
      <c r="GV17">
        <v>9.5299999999999996E-2</v>
      </c>
      <c r="GW17">
        <v>22889.5</v>
      </c>
      <c r="GX17">
        <v>30293.200000000001</v>
      </c>
      <c r="GY17">
        <v>27364.1</v>
      </c>
      <c r="GZ17">
        <v>34502.9</v>
      </c>
      <c r="HA17">
        <v>35791</v>
      </c>
      <c r="HB17">
        <v>39318.400000000001</v>
      </c>
      <c r="HC17">
        <v>40354.5</v>
      </c>
      <c r="HD17">
        <v>43547.6</v>
      </c>
      <c r="HE17">
        <v>2.0173999999999999</v>
      </c>
      <c r="HF17">
        <v>1.9086000000000001</v>
      </c>
      <c r="HG17">
        <v>1.9937799999999999E-2</v>
      </c>
      <c r="HH17">
        <v>0</v>
      </c>
      <c r="HI17">
        <v>24.647200000000002</v>
      </c>
      <c r="HJ17">
        <v>999.9</v>
      </c>
      <c r="HK17">
        <v>68.900000000000006</v>
      </c>
      <c r="HL17">
        <v>29.9</v>
      </c>
      <c r="HM17">
        <v>29.7943</v>
      </c>
      <c r="HN17">
        <v>60.523699999999998</v>
      </c>
      <c r="HO17">
        <v>4.0023999999999997</v>
      </c>
      <c r="HP17">
        <v>1</v>
      </c>
      <c r="HQ17">
        <v>0.107602</v>
      </c>
      <c r="HR17">
        <v>2.5497200000000002</v>
      </c>
      <c r="HS17">
        <v>20.254300000000001</v>
      </c>
      <c r="HT17">
        <v>5.2137000000000002</v>
      </c>
      <c r="HU17">
        <v>11.902100000000001</v>
      </c>
      <c r="HV17">
        <v>4.9851999999999999</v>
      </c>
      <c r="HW17">
        <v>3.2702</v>
      </c>
      <c r="HX17">
        <v>9999</v>
      </c>
      <c r="HY17">
        <v>9999</v>
      </c>
      <c r="HZ17">
        <v>9999</v>
      </c>
      <c r="IA17">
        <v>999.9</v>
      </c>
      <c r="IB17">
        <v>1.8667899999999999</v>
      </c>
      <c r="IC17">
        <v>1.86246</v>
      </c>
      <c r="ID17">
        <v>1.86188</v>
      </c>
      <c r="IE17">
        <v>1.8613900000000001</v>
      </c>
      <c r="IF17">
        <v>1.8614200000000001</v>
      </c>
      <c r="IG17">
        <v>1.86209</v>
      </c>
      <c r="IH17">
        <v>1.8630100000000001</v>
      </c>
      <c r="II17">
        <v>1.8609599999999999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-10.311</v>
      </c>
      <c r="IX17">
        <v>-0.54849999999999999</v>
      </c>
      <c r="IY17">
        <v>-8.3075696964261709</v>
      </c>
      <c r="IZ17">
        <v>-5.6215304933332991E-3</v>
      </c>
      <c r="JA17">
        <v>2.3979931213773931E-6</v>
      </c>
      <c r="JB17">
        <v>-3.6297174575716598E-10</v>
      </c>
      <c r="JC17">
        <v>-0.87668354160055983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2.2000000000000002</v>
      </c>
      <c r="JL17">
        <v>2.2000000000000002</v>
      </c>
      <c r="JM17">
        <v>1.17065</v>
      </c>
      <c r="JN17">
        <v>2.4939</v>
      </c>
      <c r="JO17">
        <v>1.50024</v>
      </c>
      <c r="JP17">
        <v>2.2778299999999998</v>
      </c>
      <c r="JQ17">
        <v>1.4477500000000001</v>
      </c>
      <c r="JR17">
        <v>2.32544</v>
      </c>
      <c r="JS17">
        <v>34.554900000000004</v>
      </c>
      <c r="JT17">
        <v>15.410399999999999</v>
      </c>
      <c r="JU17">
        <v>18</v>
      </c>
      <c r="JV17">
        <v>532.12599999999998</v>
      </c>
      <c r="JW17">
        <v>478.56200000000001</v>
      </c>
      <c r="JX17">
        <v>21.856400000000001</v>
      </c>
      <c r="JY17">
        <v>28.604600000000001</v>
      </c>
      <c r="JZ17">
        <v>30.0002</v>
      </c>
      <c r="KA17">
        <v>29.034400000000002</v>
      </c>
      <c r="KB17">
        <v>28.533799999999999</v>
      </c>
      <c r="KC17">
        <v>23.405799999999999</v>
      </c>
      <c r="KD17">
        <v>42.5916</v>
      </c>
      <c r="KE17">
        <v>0</v>
      </c>
      <c r="KF17">
        <v>21.871300000000002</v>
      </c>
      <c r="KG17">
        <v>453.51900000000001</v>
      </c>
      <c r="KH17">
        <v>18.613099999999999</v>
      </c>
      <c r="KI17">
        <v>100.911</v>
      </c>
      <c r="KJ17">
        <v>98.204099999999997</v>
      </c>
    </row>
    <row r="18" spans="1:296" x14ac:dyDescent="0.3">
      <c r="A18">
        <v>2</v>
      </c>
      <c r="B18">
        <v>1786030149.5</v>
      </c>
      <c r="C18">
        <v>181.5</v>
      </c>
      <c r="D18" t="s">
        <v>523</v>
      </c>
      <c r="E18" t="s">
        <v>524</v>
      </c>
      <c r="F18">
        <v>15</v>
      </c>
      <c r="H18">
        <v>1786030141.5</v>
      </c>
      <c r="I18">
        <f t="shared" si="0"/>
        <v>2.0849801891910402E-3</v>
      </c>
      <c r="J18">
        <f t="shared" si="1"/>
        <v>2.08498018919104</v>
      </c>
      <c r="K18">
        <f t="shared" si="2"/>
        <v>28.418479598013363</v>
      </c>
      <c r="L18">
        <f t="shared" si="3"/>
        <v>419.84209677419352</v>
      </c>
      <c r="M18">
        <f t="shared" si="4"/>
        <v>161.40640674373509</v>
      </c>
      <c r="N18">
        <f t="shared" si="5"/>
        <v>15.819535575553996</v>
      </c>
      <c r="O18">
        <f t="shared" si="6"/>
        <v>41.148967503994889</v>
      </c>
      <c r="P18">
        <f t="shared" si="7"/>
        <v>0.18514824660101473</v>
      </c>
      <c r="Q18">
        <f t="shared" si="8"/>
        <v>2.8942088218775037</v>
      </c>
      <c r="R18">
        <f t="shared" si="9"/>
        <v>0.17881087952307956</v>
      </c>
      <c r="S18">
        <f t="shared" si="10"/>
        <v>0.11230811581019842</v>
      </c>
      <c r="T18">
        <f t="shared" si="11"/>
        <v>271.912986693167</v>
      </c>
      <c r="U18">
        <f t="shared" si="12"/>
        <v>26.079280520442886</v>
      </c>
      <c r="V18">
        <f t="shared" si="13"/>
        <v>24.99862580645161</v>
      </c>
      <c r="W18">
        <f t="shared" si="14"/>
        <v>3.179417094136443</v>
      </c>
      <c r="X18">
        <f t="shared" si="15"/>
        <v>64.994899163943714</v>
      </c>
      <c r="Y18">
        <f t="shared" si="16"/>
        <v>2.0671771899388443</v>
      </c>
      <c r="Z18">
        <f t="shared" si="17"/>
        <v>3.1805221894791744</v>
      </c>
      <c r="AA18">
        <f t="shared" si="18"/>
        <v>1.1122399041975988</v>
      </c>
      <c r="AB18">
        <f t="shared" si="19"/>
        <v>-91.94762634332487</v>
      </c>
      <c r="AC18">
        <f t="shared" si="20"/>
        <v>0.90951897713195995</v>
      </c>
      <c r="AD18">
        <f t="shared" si="21"/>
        <v>6.6473513850269644E-2</v>
      </c>
      <c r="AE18">
        <f t="shared" si="22"/>
        <v>180.94135284082435</v>
      </c>
      <c r="AF18">
        <f t="shared" si="23"/>
        <v>28.418479598013363</v>
      </c>
      <c r="AG18">
        <f t="shared" si="24"/>
        <v>2.08498018919104</v>
      </c>
      <c r="AH18">
        <f t="shared" si="25"/>
        <v>28.3391876235982</v>
      </c>
      <c r="AI18">
        <v>463.56282638276952</v>
      </c>
      <c r="AJ18">
        <v>428.89459393939393</v>
      </c>
      <c r="AK18">
        <v>3.322355282271555E-3</v>
      </c>
      <c r="AL18">
        <v>67.05942763526123</v>
      </c>
      <c r="AM18">
        <f t="shared" si="26"/>
        <v>2.0870103040312764</v>
      </c>
      <c r="AN18">
        <v>18.643966692855511</v>
      </c>
      <c r="AO18">
        <v>21.095646060606072</v>
      </c>
      <c r="AP18">
        <v>-4.3732584777699172E-5</v>
      </c>
      <c r="AQ18">
        <v>78.119921993366972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52165.320117607145</v>
      </c>
      <c r="AW18" t="s">
        <v>520</v>
      </c>
      <c r="AX18">
        <v>13221.9</v>
      </c>
      <c r="AY18">
        <v>635.76176470588234</v>
      </c>
      <c r="AZ18">
        <v>2570.27</v>
      </c>
      <c r="BA18">
        <f t="shared" si="30"/>
        <v>0.75264786784817073</v>
      </c>
      <c r="BB18">
        <v>-2.1832016218308832</v>
      </c>
      <c r="BC18" t="s">
        <v>525</v>
      </c>
      <c r="BD18">
        <v>13206.9</v>
      </c>
      <c r="BE18">
        <v>969.11217647058822</v>
      </c>
      <c r="BF18">
        <v>1183.2</v>
      </c>
      <c r="BG18">
        <f t="shared" si="31"/>
        <v>0.18093967505866448</v>
      </c>
      <c r="BH18">
        <v>0.5</v>
      </c>
      <c r="BI18">
        <f t="shared" si="32"/>
        <v>1428.3214159366237</v>
      </c>
      <c r="BJ18">
        <f t="shared" si="33"/>
        <v>28.418479598013363</v>
      </c>
      <c r="BK18">
        <f t="shared" si="34"/>
        <v>129.22000643945213</v>
      </c>
      <c r="BL18">
        <f t="shared" si="35"/>
        <v>2.1424926405501771E-2</v>
      </c>
      <c r="BM18">
        <f t="shared" si="36"/>
        <v>1.1723039215686273</v>
      </c>
      <c r="BN18">
        <f t="shared" si="37"/>
        <v>492.84932273236245</v>
      </c>
      <c r="BO18" t="s">
        <v>408</v>
      </c>
      <c r="BP18">
        <v>0</v>
      </c>
      <c r="BQ18">
        <f t="shared" si="38"/>
        <v>492.84932273236245</v>
      </c>
      <c r="BR18">
        <f t="shared" si="39"/>
        <v>0.58346068058454836</v>
      </c>
      <c r="BS18">
        <f t="shared" si="40"/>
        <v>0.3101145991146953</v>
      </c>
      <c r="BT18">
        <f t="shared" si="41"/>
        <v>0.66768855012282202</v>
      </c>
      <c r="BU18">
        <f t="shared" si="42"/>
        <v>0.39107210590504443</v>
      </c>
      <c r="BV18">
        <f t="shared" si="43"/>
        <v>0.71701426475918484</v>
      </c>
      <c r="BW18">
        <f t="shared" si="44"/>
        <v>0.1577111234942101</v>
      </c>
      <c r="BX18">
        <f t="shared" si="45"/>
        <v>0.84228887650578987</v>
      </c>
      <c r="DG18">
        <f t="shared" si="46"/>
        <v>1700.01870967742</v>
      </c>
      <c r="DH18">
        <f t="shared" si="47"/>
        <v>1428.3214159366237</v>
      </c>
      <c r="DI18">
        <f t="shared" si="48"/>
        <v>0.84017982143717052</v>
      </c>
      <c r="DJ18">
        <f t="shared" si="49"/>
        <v>0.15994705537373921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1786030141.5</v>
      </c>
      <c r="DQ18">
        <v>419.84209677419352</v>
      </c>
      <c r="DR18">
        <v>454.99225806451608</v>
      </c>
      <c r="DS18">
        <v>21.091367741935489</v>
      </c>
      <c r="DT18">
        <v>18.642332258064521</v>
      </c>
      <c r="DU18">
        <v>430.16490322580643</v>
      </c>
      <c r="DV18">
        <v>21.64110322580645</v>
      </c>
      <c r="DW18">
        <v>500.0348387096775</v>
      </c>
      <c r="DX18">
        <v>97.962683870967723</v>
      </c>
      <c r="DY18">
        <v>4.7896345161290321E-2</v>
      </c>
      <c r="DZ18">
        <v>25.00445483870967</v>
      </c>
      <c r="EA18">
        <v>24.99862580645161</v>
      </c>
      <c r="EB18">
        <v>999.90000000000032</v>
      </c>
      <c r="EC18">
        <v>0</v>
      </c>
      <c r="ED18">
        <v>0</v>
      </c>
      <c r="EE18">
        <v>10003.709677419351</v>
      </c>
      <c r="EF18">
        <v>0</v>
      </c>
      <c r="EG18">
        <v>345.79703225806452</v>
      </c>
      <c r="EH18">
        <v>-35.150096774193543</v>
      </c>
      <c r="EI18">
        <v>428.88783870967751</v>
      </c>
      <c r="EJ18">
        <v>463.63535483870982</v>
      </c>
      <c r="EK18">
        <v>2.4490277419354838</v>
      </c>
      <c r="EL18">
        <v>454.99225806451608</v>
      </c>
      <c r="EM18">
        <v>18.642332258064521</v>
      </c>
      <c r="EN18">
        <v>2.0661667741935492</v>
      </c>
      <c r="EO18">
        <v>1.826253225806451</v>
      </c>
      <c r="EP18">
        <v>17.960719354838709</v>
      </c>
      <c r="EQ18">
        <v>16.013332258064519</v>
      </c>
      <c r="ER18">
        <v>1700.01870967742</v>
      </c>
      <c r="ES18">
        <v>0.99399051612903233</v>
      </c>
      <c r="ET18">
        <v>6.009494838709677E-3</v>
      </c>
      <c r="EU18">
        <v>0</v>
      </c>
      <c r="EV18">
        <v>969.22893548387106</v>
      </c>
      <c r="EW18">
        <v>5.0010700000000003</v>
      </c>
      <c r="EX18">
        <v>18231.893548387099</v>
      </c>
      <c r="EY18">
        <v>15492.619354838709</v>
      </c>
      <c r="EZ18">
        <v>37.545999999999999</v>
      </c>
      <c r="FA18">
        <v>39.061999999999983</v>
      </c>
      <c r="FB18">
        <v>38.338419354838692</v>
      </c>
      <c r="FC18">
        <v>38.662999999999997</v>
      </c>
      <c r="FD18">
        <v>38.947161290322569</v>
      </c>
      <c r="FE18">
        <v>1684.8287096774191</v>
      </c>
      <c r="FF18">
        <v>10.19</v>
      </c>
      <c r="FG18">
        <v>0</v>
      </c>
      <c r="FH18">
        <v>180.70000004768369</v>
      </c>
      <c r="FI18">
        <v>0</v>
      </c>
      <c r="FJ18">
        <v>969.11217647058822</v>
      </c>
      <c r="FK18">
        <v>-3.6237745404108428</v>
      </c>
      <c r="FL18">
        <v>-113.3333332754766</v>
      </c>
      <c r="FM18">
        <v>18225.664705882351</v>
      </c>
      <c r="FN18">
        <v>10</v>
      </c>
      <c r="FO18">
        <v>1786030019</v>
      </c>
      <c r="FP18" t="s">
        <v>526</v>
      </c>
      <c r="FQ18">
        <v>1786030017.5</v>
      </c>
      <c r="FR18">
        <v>1786030019</v>
      </c>
      <c r="FS18">
        <v>18</v>
      </c>
      <c r="FT18">
        <v>-1.2E-2</v>
      </c>
      <c r="FU18">
        <v>-2E-3</v>
      </c>
      <c r="FV18">
        <v>-10.446999999999999</v>
      </c>
      <c r="FW18">
        <v>-0.61199999999999999</v>
      </c>
      <c r="FX18">
        <v>453</v>
      </c>
      <c r="FY18">
        <v>19</v>
      </c>
      <c r="FZ18">
        <v>0.18</v>
      </c>
      <c r="GA18">
        <v>0.13</v>
      </c>
      <c r="GB18">
        <v>419.84209677419352</v>
      </c>
      <c r="GC18">
        <v>-8.1774193549132387E-2</v>
      </c>
      <c r="GD18">
        <v>4.6124903943400422E-2</v>
      </c>
      <c r="GE18">
        <v>-1</v>
      </c>
      <c r="GF18">
        <v>969.34964705882351</v>
      </c>
      <c r="GG18">
        <v>-2.7962719698756859</v>
      </c>
      <c r="GH18">
        <v>0.34209939064486111</v>
      </c>
      <c r="GI18">
        <v>1</v>
      </c>
      <c r="GJ18">
        <v>2.4483514634146339</v>
      </c>
      <c r="GK18">
        <v>1.728961672474456E-2</v>
      </c>
      <c r="GL18">
        <v>3.4268249978273899E-3</v>
      </c>
      <c r="GM18">
        <v>1</v>
      </c>
      <c r="GN18">
        <v>2</v>
      </c>
      <c r="GO18">
        <v>2</v>
      </c>
      <c r="GP18" t="s">
        <v>411</v>
      </c>
      <c r="GQ18">
        <v>3.13096</v>
      </c>
      <c r="GR18">
        <v>2.7235499999999999</v>
      </c>
      <c r="GS18">
        <v>9.3423699999999998E-2</v>
      </c>
      <c r="GT18">
        <v>9.8326999999999998E-2</v>
      </c>
      <c r="GU18">
        <v>0.10534200000000001</v>
      </c>
      <c r="GV18">
        <v>9.51766E-2</v>
      </c>
      <c r="GW18">
        <v>22886.400000000001</v>
      </c>
      <c r="GX18">
        <v>30280.6</v>
      </c>
      <c r="GY18">
        <v>27360.7</v>
      </c>
      <c r="GZ18">
        <v>34498.199999999997</v>
      </c>
      <c r="HA18">
        <v>35784.6</v>
      </c>
      <c r="HB18">
        <v>39319</v>
      </c>
      <c r="HC18">
        <v>40349.5</v>
      </c>
      <c r="HD18">
        <v>43542.2</v>
      </c>
      <c r="HE18">
        <v>2.0179999999999998</v>
      </c>
      <c r="HF18">
        <v>1.905</v>
      </c>
      <c r="HG18">
        <v>2.14577E-2</v>
      </c>
      <c r="HH18">
        <v>0</v>
      </c>
      <c r="HI18">
        <v>24.647200000000002</v>
      </c>
      <c r="HJ18">
        <v>999.9</v>
      </c>
      <c r="HK18">
        <v>68.7</v>
      </c>
      <c r="HL18">
        <v>30.1</v>
      </c>
      <c r="HM18">
        <v>30.0505</v>
      </c>
      <c r="HN18">
        <v>60.243699999999997</v>
      </c>
      <c r="HO18">
        <v>4.4190699999999996</v>
      </c>
      <c r="HP18">
        <v>1</v>
      </c>
      <c r="HQ18">
        <v>0.111585</v>
      </c>
      <c r="HR18">
        <v>2.3574099999999998</v>
      </c>
      <c r="HS18">
        <v>20.226700000000001</v>
      </c>
      <c r="HT18">
        <v>5.2148899999999996</v>
      </c>
      <c r="HU18">
        <v>11.902100000000001</v>
      </c>
      <c r="HV18">
        <v>4.9851999999999999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1.8672200000000001</v>
      </c>
      <c r="IC18">
        <v>1.8627899999999999</v>
      </c>
      <c r="ID18">
        <v>1.8623099999999999</v>
      </c>
      <c r="IE18">
        <v>1.86175</v>
      </c>
      <c r="IF18">
        <v>1.86182</v>
      </c>
      <c r="IG18">
        <v>1.86249</v>
      </c>
      <c r="IH18">
        <v>1.8633999999999999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-10.323</v>
      </c>
      <c r="IX18">
        <v>-0.54959999999999998</v>
      </c>
      <c r="IY18">
        <v>-8.3195170638049767</v>
      </c>
      <c r="IZ18">
        <v>-5.6215304933332991E-3</v>
      </c>
      <c r="JA18">
        <v>2.3979931213773931E-6</v>
      </c>
      <c r="JB18">
        <v>-3.6297174575716598E-10</v>
      </c>
      <c r="JC18">
        <v>-0.87829155084280819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2.2000000000000002</v>
      </c>
      <c r="JL18">
        <v>2.2000000000000002</v>
      </c>
      <c r="JM18">
        <v>1.1731</v>
      </c>
      <c r="JN18">
        <v>2.48169</v>
      </c>
      <c r="JO18">
        <v>1.50024</v>
      </c>
      <c r="JP18">
        <v>2.2766099999999998</v>
      </c>
      <c r="JQ18">
        <v>1.4477500000000001</v>
      </c>
      <c r="JR18">
        <v>2.4438499999999999</v>
      </c>
      <c r="JS18">
        <v>34.967399999999998</v>
      </c>
      <c r="JT18">
        <v>23.956199999999999</v>
      </c>
      <c r="JU18">
        <v>18</v>
      </c>
      <c r="JV18">
        <v>533.13400000000001</v>
      </c>
      <c r="JW18">
        <v>476.815</v>
      </c>
      <c r="JX18">
        <v>22.267299999999999</v>
      </c>
      <c r="JY18">
        <v>28.6584</v>
      </c>
      <c r="JZ18">
        <v>30.000599999999999</v>
      </c>
      <c r="KA18">
        <v>29.104900000000001</v>
      </c>
      <c r="KB18">
        <v>28.605599999999999</v>
      </c>
      <c r="KC18">
        <v>23.4665</v>
      </c>
      <c r="KD18">
        <v>42.811100000000003</v>
      </c>
      <c r="KE18">
        <v>0</v>
      </c>
      <c r="KF18">
        <v>22.260400000000001</v>
      </c>
      <c r="KG18">
        <v>455.15899999999999</v>
      </c>
      <c r="KH18">
        <v>18.685199999999998</v>
      </c>
      <c r="KI18">
        <v>100.899</v>
      </c>
      <c r="KJ18">
        <v>98.191500000000005</v>
      </c>
    </row>
    <row r="19" spans="1:296" x14ac:dyDescent="0.3">
      <c r="A19">
        <v>3</v>
      </c>
      <c r="B19">
        <v>1786030331</v>
      </c>
      <c r="C19">
        <v>363</v>
      </c>
      <c r="D19" t="s">
        <v>527</v>
      </c>
      <c r="E19" t="s">
        <v>528</v>
      </c>
      <c r="F19">
        <v>15</v>
      </c>
      <c r="H19">
        <v>1786030323</v>
      </c>
      <c r="I19">
        <f t="shared" si="0"/>
        <v>2.1678146102100874E-3</v>
      </c>
      <c r="J19">
        <f t="shared" si="1"/>
        <v>2.1678146102100873</v>
      </c>
      <c r="K19">
        <f t="shared" si="2"/>
        <v>29.788870372377346</v>
      </c>
      <c r="L19">
        <f t="shared" si="3"/>
        <v>419.877064516129</v>
      </c>
      <c r="M19">
        <f t="shared" si="4"/>
        <v>159.92670216404662</v>
      </c>
      <c r="N19">
        <f t="shared" si="5"/>
        <v>15.675244081026529</v>
      </c>
      <c r="O19">
        <f t="shared" si="6"/>
        <v>41.154324957967418</v>
      </c>
      <c r="P19">
        <f t="shared" si="7"/>
        <v>0.19314913205046139</v>
      </c>
      <c r="Q19">
        <f t="shared" si="8"/>
        <v>2.8936763674503942</v>
      </c>
      <c r="R19">
        <f t="shared" si="9"/>
        <v>0.18626195286051417</v>
      </c>
      <c r="S19">
        <f t="shared" si="10"/>
        <v>0.1170120465899237</v>
      </c>
      <c r="T19">
        <f t="shared" si="11"/>
        <v>255.91530055381773</v>
      </c>
      <c r="U19">
        <f t="shared" si="12"/>
        <v>25.986505549839411</v>
      </c>
      <c r="V19">
        <f t="shared" si="13"/>
        <v>24.997393548387091</v>
      </c>
      <c r="W19">
        <f t="shared" si="14"/>
        <v>3.1791835198281775</v>
      </c>
      <c r="X19">
        <f t="shared" si="15"/>
        <v>64.956621567953093</v>
      </c>
      <c r="Y19">
        <f t="shared" si="16"/>
        <v>2.0689717101309504</v>
      </c>
      <c r="Z19">
        <f t="shared" si="17"/>
        <v>3.1851590495151236</v>
      </c>
      <c r="AA19">
        <f t="shared" si="18"/>
        <v>1.1102118096972271</v>
      </c>
      <c r="AB19">
        <f t="shared" si="19"/>
        <v>-95.600624310264863</v>
      </c>
      <c r="AC19">
        <f t="shared" si="20"/>
        <v>4.9141222301438434</v>
      </c>
      <c r="AD19">
        <f t="shared" si="21"/>
        <v>0.35926380227103188</v>
      </c>
      <c r="AE19">
        <f t="shared" si="22"/>
        <v>165.58806227596776</v>
      </c>
      <c r="AF19">
        <f t="shared" si="23"/>
        <v>29.788870372377346</v>
      </c>
      <c r="AG19">
        <f t="shared" si="24"/>
        <v>2.1678146102100873</v>
      </c>
      <c r="AH19">
        <f t="shared" si="25"/>
        <v>29.816998622878749</v>
      </c>
      <c r="AI19">
        <v>465.34056503317743</v>
      </c>
      <c r="AJ19">
        <v>428.92227878787872</v>
      </c>
      <c r="AK19">
        <v>-7.9552455260897756E-3</v>
      </c>
      <c r="AL19">
        <v>67.080177518782548</v>
      </c>
      <c r="AM19">
        <f t="shared" si="26"/>
        <v>2.1707821204324378</v>
      </c>
      <c r="AN19">
        <v>18.563230592004821</v>
      </c>
      <c r="AO19">
        <v>21.113290303030301</v>
      </c>
      <c r="AP19">
        <v>1.85132006029921E-5</v>
      </c>
      <c r="AQ19">
        <v>78.218960136242941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52145.86279673619</v>
      </c>
      <c r="AW19" t="s">
        <v>520</v>
      </c>
      <c r="AX19">
        <v>13221.9</v>
      </c>
      <c r="AY19">
        <v>635.76176470588234</v>
      </c>
      <c r="AZ19">
        <v>2570.27</v>
      </c>
      <c r="BA19">
        <f t="shared" si="30"/>
        <v>0.75264786784817073</v>
      </c>
      <c r="BB19">
        <v>-2.1832016218308832</v>
      </c>
      <c r="BC19" t="s">
        <v>529</v>
      </c>
      <c r="BD19">
        <v>13208.9</v>
      </c>
      <c r="BE19">
        <v>959.91588235294114</v>
      </c>
      <c r="BF19">
        <v>1200.01</v>
      </c>
      <c r="BG19">
        <f t="shared" si="31"/>
        <v>0.2000767640661818</v>
      </c>
      <c r="BH19">
        <v>0.5</v>
      </c>
      <c r="BI19">
        <f t="shared" si="32"/>
        <v>1344.2906520001395</v>
      </c>
      <c r="BJ19">
        <f t="shared" si="33"/>
        <v>29.788870372377346</v>
      </c>
      <c r="BK19">
        <f t="shared" si="34"/>
        <v>134.48066180830281</v>
      </c>
      <c r="BL19">
        <f t="shared" si="35"/>
        <v>2.3783600627317991E-2</v>
      </c>
      <c r="BM19">
        <f t="shared" si="36"/>
        <v>1.1418738177181857</v>
      </c>
      <c r="BN19">
        <f t="shared" si="37"/>
        <v>495.74196370955872</v>
      </c>
      <c r="BO19" t="s">
        <v>408</v>
      </c>
      <c r="BP19">
        <v>0</v>
      </c>
      <c r="BQ19">
        <f t="shared" si="38"/>
        <v>495.74196370955872</v>
      </c>
      <c r="BR19">
        <f t="shared" si="39"/>
        <v>0.58688513953253829</v>
      </c>
      <c r="BS19">
        <f t="shared" si="40"/>
        <v>0.34091298380045132</v>
      </c>
      <c r="BT19">
        <f t="shared" si="41"/>
        <v>0.66051650111715277</v>
      </c>
      <c r="BU19">
        <f t="shared" si="42"/>
        <v>0.42551150828483925</v>
      </c>
      <c r="BV19">
        <f t="shared" si="43"/>
        <v>0.70832471787935769</v>
      </c>
      <c r="BW19">
        <f t="shared" si="44"/>
        <v>0.17606216872780228</v>
      </c>
      <c r="BX19">
        <f t="shared" si="45"/>
        <v>0.82393783127219766</v>
      </c>
      <c r="DG19">
        <f t="shared" si="46"/>
        <v>1600.0038709677419</v>
      </c>
      <c r="DH19">
        <f t="shared" si="47"/>
        <v>1344.2906520001395</v>
      </c>
      <c r="DI19">
        <f t="shared" si="48"/>
        <v>0.84017962480744657</v>
      </c>
      <c r="DJ19">
        <f t="shared" si="49"/>
        <v>0.15994667587837186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1786030323</v>
      </c>
      <c r="DQ19">
        <v>419.877064516129</v>
      </c>
      <c r="DR19">
        <v>456.71935483870982</v>
      </c>
      <c r="DS19">
        <v>21.10868709677419</v>
      </c>
      <c r="DT19">
        <v>18.5619870967742</v>
      </c>
      <c r="DU19">
        <v>430.25141935483867</v>
      </c>
      <c r="DV19">
        <v>21.657170967741941</v>
      </c>
      <c r="DW19">
        <v>499.9540322580645</v>
      </c>
      <c r="DX19">
        <v>97.967503225806453</v>
      </c>
      <c r="DY19">
        <v>4.7674158064516123E-2</v>
      </c>
      <c r="DZ19">
        <v>25.028893548387099</v>
      </c>
      <c r="EA19">
        <v>24.997393548387091</v>
      </c>
      <c r="EB19">
        <v>999.90000000000032</v>
      </c>
      <c r="EC19">
        <v>0</v>
      </c>
      <c r="ED19">
        <v>0</v>
      </c>
      <c r="EE19">
        <v>10000.16129032258</v>
      </c>
      <c r="EF19">
        <v>0</v>
      </c>
      <c r="EG19">
        <v>343.15619354838708</v>
      </c>
      <c r="EH19">
        <v>-36.842316129032262</v>
      </c>
      <c r="EI19">
        <v>428.9313225806452</v>
      </c>
      <c r="EJ19">
        <v>465.35735483870968</v>
      </c>
      <c r="EK19">
        <v>2.546702580645162</v>
      </c>
      <c r="EL19">
        <v>456.71935483870982</v>
      </c>
      <c r="EM19">
        <v>18.5619870967742</v>
      </c>
      <c r="EN19">
        <v>2.0679645161290319</v>
      </c>
      <c r="EO19">
        <v>1.818470967741936</v>
      </c>
      <c r="EP19">
        <v>17.974548387096771</v>
      </c>
      <c r="EQ19">
        <v>15.94646451612903</v>
      </c>
      <c r="ER19">
        <v>1600.0038709677419</v>
      </c>
      <c r="ES19">
        <v>0.99399129032258082</v>
      </c>
      <c r="ET19">
        <v>6.0087835483870989E-3</v>
      </c>
      <c r="EU19">
        <v>0</v>
      </c>
      <c r="EV19">
        <v>960.00983870967741</v>
      </c>
      <c r="EW19">
        <v>5.0010700000000003</v>
      </c>
      <c r="EX19">
        <v>17035.558064516132</v>
      </c>
      <c r="EY19">
        <v>14578.490322580639</v>
      </c>
      <c r="EZ19">
        <v>37.186999999999983</v>
      </c>
      <c r="FA19">
        <v>38.936999999999983</v>
      </c>
      <c r="FB19">
        <v>38.061999999999983</v>
      </c>
      <c r="FC19">
        <v>38.561999999999983</v>
      </c>
      <c r="FD19">
        <v>38.686999999999983</v>
      </c>
      <c r="FE19">
        <v>1585.4206451612899</v>
      </c>
      <c r="FF19">
        <v>9.5799999999999983</v>
      </c>
      <c r="FG19">
        <v>0</v>
      </c>
      <c r="FH19">
        <v>180.9000000953674</v>
      </c>
      <c r="FI19">
        <v>0</v>
      </c>
      <c r="FJ19">
        <v>959.91588235294114</v>
      </c>
      <c r="FK19">
        <v>-0.72132351401999106</v>
      </c>
      <c r="FL19">
        <v>-10.2941180429235</v>
      </c>
      <c r="FM19">
        <v>17035.176470588231</v>
      </c>
      <c r="FN19">
        <v>10</v>
      </c>
      <c r="FO19">
        <v>1786030207.5</v>
      </c>
      <c r="FP19" t="s">
        <v>530</v>
      </c>
      <c r="FQ19">
        <v>1786030207.5</v>
      </c>
      <c r="FR19">
        <v>1786030206</v>
      </c>
      <c r="FS19">
        <v>19</v>
      </c>
      <c r="FT19">
        <v>-5.0999999999999997E-2</v>
      </c>
      <c r="FU19">
        <v>1E-3</v>
      </c>
      <c r="FV19">
        <v>-10.506</v>
      </c>
      <c r="FW19">
        <v>-0.60699999999999998</v>
      </c>
      <c r="FX19">
        <v>455</v>
      </c>
      <c r="FY19">
        <v>19</v>
      </c>
      <c r="FZ19">
        <v>0.19</v>
      </c>
      <c r="GA19">
        <v>0.12</v>
      </c>
      <c r="GB19">
        <v>419.87922580645147</v>
      </c>
      <c r="GC19">
        <v>0.12861290322522431</v>
      </c>
      <c r="GD19">
        <v>6.4104606888662763E-2</v>
      </c>
      <c r="GE19">
        <v>-1</v>
      </c>
      <c r="GF19">
        <v>960.1424411764707</v>
      </c>
      <c r="GG19">
        <v>-2.1709243653710359</v>
      </c>
      <c r="GH19">
        <v>0.3038818647373735</v>
      </c>
      <c r="GI19">
        <v>1</v>
      </c>
      <c r="GJ19">
        <v>2.545370487804878</v>
      </c>
      <c r="GK19">
        <v>2.7152822299648969E-2</v>
      </c>
      <c r="GL19">
        <v>4.3496503651019747E-3</v>
      </c>
      <c r="GM19">
        <v>1</v>
      </c>
      <c r="GN19">
        <v>2</v>
      </c>
      <c r="GO19">
        <v>2</v>
      </c>
      <c r="GP19" t="s">
        <v>411</v>
      </c>
      <c r="GQ19">
        <v>3.13083</v>
      </c>
      <c r="GR19">
        <v>2.7240799999999998</v>
      </c>
      <c r="GS19">
        <v>9.3433600000000006E-2</v>
      </c>
      <c r="GT19">
        <v>9.8553500000000002E-2</v>
      </c>
      <c r="GU19">
        <v>0.105395</v>
      </c>
      <c r="GV19">
        <v>9.4873600000000002E-2</v>
      </c>
      <c r="GW19">
        <v>22883.599999999999</v>
      </c>
      <c r="GX19">
        <v>30270.9</v>
      </c>
      <c r="GY19">
        <v>27357.9</v>
      </c>
      <c r="GZ19">
        <v>34496.1</v>
      </c>
      <c r="HA19">
        <v>35779.699999999997</v>
      </c>
      <c r="HB19">
        <v>39330.699999999997</v>
      </c>
      <c r="HC19">
        <v>40346.1</v>
      </c>
      <c r="HD19">
        <v>43540.4</v>
      </c>
      <c r="HE19">
        <v>2.0186000000000002</v>
      </c>
      <c r="HF19">
        <v>1.901</v>
      </c>
      <c r="HG19">
        <v>1.6123100000000001E-2</v>
      </c>
      <c r="HH19">
        <v>0</v>
      </c>
      <c r="HI19">
        <v>24.722000000000001</v>
      </c>
      <c r="HJ19">
        <v>999.9</v>
      </c>
      <c r="HK19">
        <v>68.2</v>
      </c>
      <c r="HL19">
        <v>30.4</v>
      </c>
      <c r="HM19">
        <v>30.347300000000001</v>
      </c>
      <c r="HN19">
        <v>60.223700000000001</v>
      </c>
      <c r="HO19">
        <v>4.4751599999999998</v>
      </c>
      <c r="HP19">
        <v>1</v>
      </c>
      <c r="HQ19">
        <v>0.114228</v>
      </c>
      <c r="HR19">
        <v>2.2507600000000001</v>
      </c>
      <c r="HS19">
        <v>20.2287</v>
      </c>
      <c r="HT19">
        <v>5.2112999999999996</v>
      </c>
      <c r="HU19">
        <v>11.902100000000001</v>
      </c>
      <c r="HV19">
        <v>4.9859999999999998</v>
      </c>
      <c r="HW19">
        <v>3.2706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1.8629199999999999</v>
      </c>
      <c r="ID19">
        <v>1.8624000000000001</v>
      </c>
      <c r="IE19">
        <v>1.86188</v>
      </c>
      <c r="IF19">
        <v>1.8620000000000001</v>
      </c>
      <c r="IG19">
        <v>1.8626400000000001</v>
      </c>
      <c r="IH19">
        <v>1.8635600000000001</v>
      </c>
      <c r="II19">
        <v>1.86148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-10.374000000000001</v>
      </c>
      <c r="IX19">
        <v>-0.5484</v>
      </c>
      <c r="IY19">
        <v>-8.3706482530677242</v>
      </c>
      <c r="IZ19">
        <v>-5.6215304933332991E-3</v>
      </c>
      <c r="JA19">
        <v>2.3979931213773931E-6</v>
      </c>
      <c r="JB19">
        <v>-3.6297174575716598E-10</v>
      </c>
      <c r="JC19">
        <v>-0.87747071680688116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2.1</v>
      </c>
      <c r="JM19">
        <v>1.17554</v>
      </c>
      <c r="JN19">
        <v>2.4865699999999999</v>
      </c>
      <c r="JO19">
        <v>1.50024</v>
      </c>
      <c r="JP19">
        <v>2.2778299999999998</v>
      </c>
      <c r="JQ19">
        <v>1.4477500000000001</v>
      </c>
      <c r="JR19">
        <v>2.47559</v>
      </c>
      <c r="JS19">
        <v>35.824399999999997</v>
      </c>
      <c r="JT19">
        <v>23.956199999999999</v>
      </c>
      <c r="JU19">
        <v>18</v>
      </c>
      <c r="JV19">
        <v>533.99800000000005</v>
      </c>
      <c r="JW19">
        <v>474.67599999999999</v>
      </c>
      <c r="JX19">
        <v>22.366700000000002</v>
      </c>
      <c r="JY19">
        <v>28.697700000000001</v>
      </c>
      <c r="JZ19">
        <v>30.0001</v>
      </c>
      <c r="KA19">
        <v>29.1586</v>
      </c>
      <c r="KB19">
        <v>28.6614</v>
      </c>
      <c r="KC19">
        <v>23.526499999999999</v>
      </c>
      <c r="KD19">
        <v>43.133400000000002</v>
      </c>
      <c r="KE19">
        <v>0</v>
      </c>
      <c r="KF19">
        <v>22.367000000000001</v>
      </c>
      <c r="KG19">
        <v>456.80099999999999</v>
      </c>
      <c r="KH19">
        <v>18.5566</v>
      </c>
      <c r="KI19">
        <v>100.889</v>
      </c>
      <c r="KJ19">
        <v>98.186499999999995</v>
      </c>
    </row>
    <row r="20" spans="1:296" x14ac:dyDescent="0.3">
      <c r="A20">
        <v>4</v>
      </c>
      <c r="B20">
        <v>1786030512.5</v>
      </c>
      <c r="C20">
        <v>544.5</v>
      </c>
      <c r="D20" t="s">
        <v>531</v>
      </c>
      <c r="E20" t="s">
        <v>532</v>
      </c>
      <c r="F20">
        <v>15</v>
      </c>
      <c r="H20">
        <v>1786030504.75</v>
      </c>
      <c r="I20">
        <f t="shared" si="0"/>
        <v>2.2118537162792475E-3</v>
      </c>
      <c r="J20">
        <f t="shared" si="1"/>
        <v>2.2118537162792475</v>
      </c>
      <c r="K20">
        <f t="shared" si="2"/>
        <v>30.195715666135609</v>
      </c>
      <c r="L20">
        <f t="shared" si="3"/>
        <v>419.9204666666667</v>
      </c>
      <c r="M20">
        <f t="shared" si="4"/>
        <v>161.98987462458737</v>
      </c>
      <c r="N20">
        <f t="shared" si="5"/>
        <v>15.876914464705727</v>
      </c>
      <c r="O20">
        <f t="shared" si="6"/>
        <v>41.157148535961852</v>
      </c>
      <c r="P20">
        <f t="shared" si="7"/>
        <v>0.19749867591342826</v>
      </c>
      <c r="Q20">
        <f t="shared" si="8"/>
        <v>2.8933741410478282</v>
      </c>
      <c r="R20">
        <f t="shared" si="9"/>
        <v>0.19030331128031863</v>
      </c>
      <c r="S20">
        <f t="shared" si="10"/>
        <v>0.11956420406528442</v>
      </c>
      <c r="T20">
        <f t="shared" si="11"/>
        <v>224.00701876810297</v>
      </c>
      <c r="U20">
        <f t="shared" si="12"/>
        <v>25.825474670844194</v>
      </c>
      <c r="V20">
        <f t="shared" si="13"/>
        <v>25.00630666666666</v>
      </c>
      <c r="W20">
        <f t="shared" si="14"/>
        <v>3.1808733379795635</v>
      </c>
      <c r="X20">
        <f t="shared" si="15"/>
        <v>64.899748834714771</v>
      </c>
      <c r="Y20">
        <f t="shared" si="16"/>
        <v>2.0722318331045977</v>
      </c>
      <c r="Z20">
        <f t="shared" si="17"/>
        <v>3.1929735789611629</v>
      </c>
      <c r="AA20">
        <f t="shared" si="18"/>
        <v>1.1086415048749658</v>
      </c>
      <c r="AB20">
        <f t="shared" si="19"/>
        <v>-97.542748887914811</v>
      </c>
      <c r="AC20">
        <f t="shared" si="20"/>
        <v>9.9369292309145898</v>
      </c>
      <c r="AD20">
        <f t="shared" si="21"/>
        <v>0.72673223998360703</v>
      </c>
      <c r="AE20">
        <f t="shared" si="22"/>
        <v>137.12793135108637</v>
      </c>
      <c r="AF20">
        <f t="shared" si="23"/>
        <v>30.195715666135609</v>
      </c>
      <c r="AG20">
        <f t="shared" si="24"/>
        <v>2.2118537162792475</v>
      </c>
      <c r="AH20">
        <f t="shared" si="25"/>
        <v>30.336730523670688</v>
      </c>
      <c r="AI20">
        <v>465.8813803445496</v>
      </c>
      <c r="AJ20">
        <v>428.96196969696962</v>
      </c>
      <c r="AK20">
        <v>-3.2338121948384618E-2</v>
      </c>
      <c r="AL20">
        <v>67.065721358837777</v>
      </c>
      <c r="AM20">
        <f t="shared" si="26"/>
        <v>2.2310337843280568</v>
      </c>
      <c r="AN20">
        <v>18.466032794608029</v>
      </c>
      <c r="AO20">
        <v>21.121721212121209</v>
      </c>
      <c r="AP20">
        <v>-5.6799876617284117E-3</v>
      </c>
      <c r="AQ20">
        <v>78.151853856076542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52129.909269211646</v>
      </c>
      <c r="AW20" t="s">
        <v>520</v>
      </c>
      <c r="AX20">
        <v>13221.9</v>
      </c>
      <c r="AY20">
        <v>635.76176470588234</v>
      </c>
      <c r="AZ20">
        <v>2570.27</v>
      </c>
      <c r="BA20">
        <f t="shared" si="30"/>
        <v>0.75264786784817073</v>
      </c>
      <c r="BB20">
        <v>-2.1832016218308832</v>
      </c>
      <c r="BC20" t="s">
        <v>533</v>
      </c>
      <c r="BD20">
        <v>13225.1</v>
      </c>
      <c r="BE20">
        <v>950.00352941176482</v>
      </c>
      <c r="BF20">
        <v>1239.0999999999999</v>
      </c>
      <c r="BG20">
        <f t="shared" si="31"/>
        <v>0.23331165409429033</v>
      </c>
      <c r="BH20">
        <v>0.5</v>
      </c>
      <c r="BI20">
        <f t="shared" si="32"/>
        <v>1176.3028797762183</v>
      </c>
      <c r="BJ20">
        <f t="shared" si="33"/>
        <v>30.195715666135609</v>
      </c>
      <c r="BK20">
        <f t="shared" si="34"/>
        <v>137.22258529823333</v>
      </c>
      <c r="BL20">
        <f t="shared" si="35"/>
        <v>2.7526003586870677E-2</v>
      </c>
      <c r="BM20">
        <f t="shared" si="36"/>
        <v>1.0743039302719717</v>
      </c>
      <c r="BN20">
        <f t="shared" si="37"/>
        <v>502.28806910674956</v>
      </c>
      <c r="BO20" t="s">
        <v>408</v>
      </c>
      <c r="BP20">
        <v>0</v>
      </c>
      <c r="BQ20">
        <f t="shared" si="38"/>
        <v>502.28806910674956</v>
      </c>
      <c r="BR20">
        <f t="shared" si="39"/>
        <v>0.59463475982023273</v>
      </c>
      <c r="BS20">
        <f t="shared" si="40"/>
        <v>0.39236127764347989</v>
      </c>
      <c r="BT20">
        <f t="shared" si="41"/>
        <v>0.64370485066327943</v>
      </c>
      <c r="BU20">
        <f t="shared" si="42"/>
        <v>0.47916152777439219</v>
      </c>
      <c r="BV20">
        <f t="shared" si="43"/>
        <v>0.68811803212489941</v>
      </c>
      <c r="BW20">
        <f t="shared" si="44"/>
        <v>0.20745016459236765</v>
      </c>
      <c r="BX20">
        <f t="shared" si="45"/>
        <v>0.79254983540763235</v>
      </c>
      <c r="DG20">
        <f t="shared" si="46"/>
        <v>1400.011999999999</v>
      </c>
      <c r="DH20">
        <f t="shared" si="47"/>
        <v>1176.3028797762183</v>
      </c>
      <c r="DI20">
        <f t="shared" si="48"/>
        <v>0.84020914090466314</v>
      </c>
      <c r="DJ20">
        <f t="shared" si="49"/>
        <v>0.16000364194599984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1786030504.75</v>
      </c>
      <c r="DQ20">
        <v>419.9204666666667</v>
      </c>
      <c r="DR20">
        <v>457.26873333333327</v>
      </c>
      <c r="DS20">
        <v>21.142683333333331</v>
      </c>
      <c r="DT20">
        <v>18.544656666666661</v>
      </c>
      <c r="DU20">
        <v>430.28379999999993</v>
      </c>
      <c r="DV20">
        <v>21.691913333333328</v>
      </c>
      <c r="DW20">
        <v>500.01546666666673</v>
      </c>
      <c r="DX20">
        <v>97.963520000000003</v>
      </c>
      <c r="DY20">
        <v>4.8250806666666653E-2</v>
      </c>
      <c r="DZ20">
        <v>25.07001</v>
      </c>
      <c r="EA20">
        <v>25.00630666666666</v>
      </c>
      <c r="EB20">
        <v>999.9000000000002</v>
      </c>
      <c r="EC20">
        <v>0</v>
      </c>
      <c r="ED20">
        <v>0</v>
      </c>
      <c r="EE20">
        <v>9998.8333333333339</v>
      </c>
      <c r="EF20">
        <v>0</v>
      </c>
      <c r="EG20">
        <v>406.70846666666671</v>
      </c>
      <c r="EH20">
        <v>-37.348309999999998</v>
      </c>
      <c r="EI20">
        <v>428.99039999999991</v>
      </c>
      <c r="EJ20">
        <v>465.90890000000002</v>
      </c>
      <c r="EK20">
        <v>2.5980196666666671</v>
      </c>
      <c r="EL20">
        <v>457.26873333333327</v>
      </c>
      <c r="EM20">
        <v>18.544656666666661</v>
      </c>
      <c r="EN20">
        <v>2.071210666666667</v>
      </c>
      <c r="EO20">
        <v>1.8167003333333329</v>
      </c>
      <c r="EP20">
        <v>17.99949333333333</v>
      </c>
      <c r="EQ20">
        <v>15.93114666666667</v>
      </c>
      <c r="ER20">
        <v>1400.011999999999</v>
      </c>
      <c r="ES20">
        <v>0.9930009666666666</v>
      </c>
      <c r="ET20">
        <v>6.998631666666668E-3</v>
      </c>
      <c r="EU20">
        <v>0</v>
      </c>
      <c r="EV20">
        <v>950.04873333333353</v>
      </c>
      <c r="EW20">
        <v>5.0010700000000003</v>
      </c>
      <c r="EX20">
        <v>15080.78</v>
      </c>
      <c r="EY20">
        <v>12745.626666666671</v>
      </c>
      <c r="EZ20">
        <v>36.916333333333327</v>
      </c>
      <c r="FA20">
        <v>38.875</v>
      </c>
      <c r="FB20">
        <v>37.932866666666648</v>
      </c>
      <c r="FC20">
        <v>38.557866666666648</v>
      </c>
      <c r="FD20">
        <v>38.5</v>
      </c>
      <c r="FE20">
        <v>1385.252</v>
      </c>
      <c r="FF20">
        <v>9.759999999999998</v>
      </c>
      <c r="FG20">
        <v>0</v>
      </c>
      <c r="FH20">
        <v>180.70000004768369</v>
      </c>
      <c r="FI20">
        <v>0</v>
      </c>
      <c r="FJ20">
        <v>950.00352941176482</v>
      </c>
      <c r="FK20">
        <v>-2.884068627415914</v>
      </c>
      <c r="FL20">
        <v>186.4460780678871</v>
      </c>
      <c r="FM20">
        <v>15088.89411764706</v>
      </c>
      <c r="FN20">
        <v>10</v>
      </c>
      <c r="FO20">
        <v>1786030387.5</v>
      </c>
      <c r="FP20" t="s">
        <v>534</v>
      </c>
      <c r="FQ20">
        <v>1786030385.5</v>
      </c>
      <c r="FR20">
        <v>1786030387.5</v>
      </c>
      <c r="FS20">
        <v>20</v>
      </c>
      <c r="FT20">
        <v>1.0999999999999999E-2</v>
      </c>
      <c r="FU20">
        <v>-2E-3</v>
      </c>
      <c r="FV20">
        <v>-10.499000000000001</v>
      </c>
      <c r="FW20">
        <v>-0.61299999999999999</v>
      </c>
      <c r="FX20">
        <v>457</v>
      </c>
      <c r="FY20">
        <v>19</v>
      </c>
      <c r="FZ20">
        <v>0.18</v>
      </c>
      <c r="GA20">
        <v>0.12</v>
      </c>
      <c r="GB20">
        <v>419.91793548387102</v>
      </c>
      <c r="GC20">
        <v>0.48517741935407621</v>
      </c>
      <c r="GD20">
        <v>6.0401845455605327E-2</v>
      </c>
      <c r="GE20">
        <v>-1</v>
      </c>
      <c r="GF20">
        <v>950.08144117647066</v>
      </c>
      <c r="GG20">
        <v>-0.96511840812532401</v>
      </c>
      <c r="GH20">
        <v>0.233635990274521</v>
      </c>
      <c r="GI20">
        <v>1</v>
      </c>
      <c r="GJ20">
        <v>2.5875368292682932</v>
      </c>
      <c r="GK20">
        <v>0.38172501742160247</v>
      </c>
      <c r="GL20">
        <v>4.8245591252593367E-2</v>
      </c>
      <c r="GM20">
        <v>1</v>
      </c>
      <c r="GN20">
        <v>2</v>
      </c>
      <c r="GO20">
        <v>2</v>
      </c>
      <c r="GP20" t="s">
        <v>411</v>
      </c>
      <c r="GQ20">
        <v>3.1301399999999999</v>
      </c>
      <c r="GR20">
        <v>2.7244600000000001</v>
      </c>
      <c r="GS20">
        <v>9.3422500000000006E-2</v>
      </c>
      <c r="GT20">
        <v>9.8594299999999996E-2</v>
      </c>
      <c r="GU20">
        <v>0.10539999999999999</v>
      </c>
      <c r="GV20">
        <v>9.4467300000000004E-2</v>
      </c>
      <c r="GW20">
        <v>22880.9</v>
      </c>
      <c r="GX20">
        <v>30265.599999999999</v>
      </c>
      <c r="GY20">
        <v>27354.7</v>
      </c>
      <c r="GZ20">
        <v>34492.199999999997</v>
      </c>
      <c r="HA20">
        <v>35775.9</v>
      </c>
      <c r="HB20">
        <v>39345.4</v>
      </c>
      <c r="HC20">
        <v>40341.800000000003</v>
      </c>
      <c r="HD20">
        <v>43536.9</v>
      </c>
      <c r="HE20">
        <v>2.0154000000000001</v>
      </c>
      <c r="HF20">
        <v>1.8992</v>
      </c>
      <c r="HG20">
        <v>1.04308E-2</v>
      </c>
      <c r="HH20">
        <v>0</v>
      </c>
      <c r="HI20">
        <v>24.834599999999998</v>
      </c>
      <c r="HJ20">
        <v>999.9</v>
      </c>
      <c r="HK20">
        <v>67.599999999999994</v>
      </c>
      <c r="HL20">
        <v>30.6</v>
      </c>
      <c r="HM20">
        <v>30.427299999999999</v>
      </c>
      <c r="HN20">
        <v>60.393700000000003</v>
      </c>
      <c r="HO20">
        <v>4.53125</v>
      </c>
      <c r="HP20">
        <v>1</v>
      </c>
      <c r="HQ20">
        <v>0.121341</v>
      </c>
      <c r="HR20">
        <v>2.26057</v>
      </c>
      <c r="HS20">
        <v>20.229299999999999</v>
      </c>
      <c r="HT20">
        <v>5.2112999999999996</v>
      </c>
      <c r="HU20">
        <v>11.902100000000001</v>
      </c>
      <c r="HV20">
        <v>4.9859999999999998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1.8629500000000001</v>
      </c>
      <c r="ID20">
        <v>1.86246</v>
      </c>
      <c r="IE20">
        <v>1.86188</v>
      </c>
      <c r="IF20">
        <v>1.8620300000000001</v>
      </c>
      <c r="IG20">
        <v>1.8626400000000001</v>
      </c>
      <c r="IH20">
        <v>1.8635900000000001</v>
      </c>
      <c r="II20">
        <v>1.8615699999999999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-10.364000000000001</v>
      </c>
      <c r="IX20">
        <v>-0.54979999999999996</v>
      </c>
      <c r="IY20">
        <v>-8.3596732958025139</v>
      </c>
      <c r="IZ20">
        <v>-5.6215304933332991E-3</v>
      </c>
      <c r="JA20">
        <v>2.3979931213773931E-6</v>
      </c>
      <c r="JB20">
        <v>-3.6297174575716598E-10</v>
      </c>
      <c r="JC20">
        <v>-0.87914681224208557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2.1</v>
      </c>
      <c r="JL20">
        <v>2.1</v>
      </c>
      <c r="JM20">
        <v>1.17676</v>
      </c>
      <c r="JN20">
        <v>2.4877899999999999</v>
      </c>
      <c r="JO20">
        <v>1.50024</v>
      </c>
      <c r="JP20">
        <v>2.2778299999999998</v>
      </c>
      <c r="JQ20">
        <v>1.4477500000000001</v>
      </c>
      <c r="JR20">
        <v>2.4572799999999999</v>
      </c>
      <c r="JS20">
        <v>36.505099999999999</v>
      </c>
      <c r="JT20">
        <v>23.938700000000001</v>
      </c>
      <c r="JU20">
        <v>18</v>
      </c>
      <c r="JV20">
        <v>532.64</v>
      </c>
      <c r="JW20">
        <v>474.18900000000002</v>
      </c>
      <c r="JX20">
        <v>22.5244</v>
      </c>
      <c r="JY20">
        <v>28.781199999999998</v>
      </c>
      <c r="JZ20">
        <v>30.000499999999999</v>
      </c>
      <c r="KA20">
        <v>29.236899999999999</v>
      </c>
      <c r="KB20">
        <v>28.744199999999999</v>
      </c>
      <c r="KC20">
        <v>23.531500000000001</v>
      </c>
      <c r="KD20">
        <v>43.803600000000003</v>
      </c>
      <c r="KE20">
        <v>0</v>
      </c>
      <c r="KF20">
        <v>22.5244</v>
      </c>
      <c r="KG20">
        <v>457.27199999999999</v>
      </c>
      <c r="KH20">
        <v>18.515599999999999</v>
      </c>
      <c r="KI20">
        <v>100.878</v>
      </c>
      <c r="KJ20">
        <v>98.177199999999999</v>
      </c>
    </row>
    <row r="21" spans="1:296" x14ac:dyDescent="0.3">
      <c r="A21">
        <v>5</v>
      </c>
      <c r="B21">
        <v>1786030694</v>
      </c>
      <c r="C21">
        <v>726</v>
      </c>
      <c r="D21" t="s">
        <v>535</v>
      </c>
      <c r="E21" t="s">
        <v>536</v>
      </c>
      <c r="F21">
        <v>15</v>
      </c>
      <c r="H21">
        <v>1786030686</v>
      </c>
      <c r="I21">
        <f t="shared" si="0"/>
        <v>2.1627076792829865E-3</v>
      </c>
      <c r="J21">
        <f t="shared" si="1"/>
        <v>2.1627076792829865</v>
      </c>
      <c r="K21">
        <f t="shared" si="2"/>
        <v>28.730348164971236</v>
      </c>
      <c r="L21">
        <f t="shared" si="3"/>
        <v>419.96748387096773</v>
      </c>
      <c r="M21">
        <f t="shared" si="4"/>
        <v>171.50235145335273</v>
      </c>
      <c r="N21">
        <f t="shared" si="5"/>
        <v>16.808575959147795</v>
      </c>
      <c r="O21">
        <f t="shared" si="6"/>
        <v>41.160108262056944</v>
      </c>
      <c r="P21">
        <f t="shared" si="7"/>
        <v>0.19518137585177239</v>
      </c>
      <c r="Q21">
        <f t="shared" si="8"/>
        <v>2.893953219210275</v>
      </c>
      <c r="R21">
        <f t="shared" si="9"/>
        <v>0.18815198957450266</v>
      </c>
      <c r="S21">
        <f t="shared" si="10"/>
        <v>0.11820546431064999</v>
      </c>
      <c r="T21">
        <f t="shared" si="11"/>
        <v>160.17459897311096</v>
      </c>
      <c r="U21">
        <f t="shared" si="12"/>
        <v>25.489477237915267</v>
      </c>
      <c r="V21">
        <f t="shared" si="13"/>
        <v>25.005183870967741</v>
      </c>
      <c r="W21">
        <f t="shared" si="14"/>
        <v>3.180660426455217</v>
      </c>
      <c r="X21">
        <f t="shared" si="15"/>
        <v>65.153838852861554</v>
      </c>
      <c r="Y21">
        <f t="shared" si="16"/>
        <v>2.0843714204605779</v>
      </c>
      <c r="Z21">
        <f t="shared" si="17"/>
        <v>3.1991536602590105</v>
      </c>
      <c r="AA21">
        <f t="shared" si="18"/>
        <v>1.0962890059946391</v>
      </c>
      <c r="AB21">
        <f t="shared" si="19"/>
        <v>-95.375408656379705</v>
      </c>
      <c r="AC21">
        <f t="shared" si="20"/>
        <v>15.177610100506774</v>
      </c>
      <c r="AD21">
        <f t="shared" si="21"/>
        <v>1.1099596727557055</v>
      </c>
      <c r="AE21">
        <f t="shared" si="22"/>
        <v>81.086760089993732</v>
      </c>
      <c r="AF21">
        <f t="shared" si="23"/>
        <v>28.730348164971236</v>
      </c>
      <c r="AG21">
        <f t="shared" si="24"/>
        <v>2.1627076792829865</v>
      </c>
      <c r="AH21">
        <f t="shared" si="25"/>
        <v>28.778011998560324</v>
      </c>
      <c r="AI21">
        <v>464.19386318169347</v>
      </c>
      <c r="AJ21">
        <v>429.04595151515139</v>
      </c>
      <c r="AK21">
        <v>-8.5233453513391729E-3</v>
      </c>
      <c r="AL21">
        <v>67.068689947740111</v>
      </c>
      <c r="AM21">
        <f t="shared" si="26"/>
        <v>2.1477459700976214</v>
      </c>
      <c r="AN21">
        <v>18.729853121904199</v>
      </c>
      <c r="AO21">
        <v>21.252130909090901</v>
      </c>
      <c r="AP21">
        <v>4.4206586749692151E-5</v>
      </c>
      <c r="AQ21">
        <v>78.162446716784572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52140.761402324344</v>
      </c>
      <c r="AW21" t="s">
        <v>520</v>
      </c>
      <c r="AX21">
        <v>13221.9</v>
      </c>
      <c r="AY21">
        <v>635.76176470588234</v>
      </c>
      <c r="AZ21">
        <v>2570.27</v>
      </c>
      <c r="BA21">
        <f t="shared" si="30"/>
        <v>0.75264786784817073</v>
      </c>
      <c r="BB21">
        <v>-2.1832016218308832</v>
      </c>
      <c r="BC21" t="s">
        <v>537</v>
      </c>
      <c r="BD21">
        <v>13227.4</v>
      </c>
      <c r="BE21">
        <v>937.50170588235301</v>
      </c>
      <c r="BF21">
        <v>1362.94</v>
      </c>
      <c r="BG21">
        <f t="shared" si="31"/>
        <v>0.31214748566895612</v>
      </c>
      <c r="BH21">
        <v>0.5</v>
      </c>
      <c r="BI21">
        <f t="shared" si="32"/>
        <v>840.29058634408204</v>
      </c>
      <c r="BJ21">
        <f t="shared" si="33"/>
        <v>28.730348164971236</v>
      </c>
      <c r="BK21">
        <f t="shared" si="34"/>
        <v>131.14729687929903</v>
      </c>
      <c r="BL21">
        <f t="shared" si="35"/>
        <v>3.6789118299301815E-2</v>
      </c>
      <c r="BM21">
        <f t="shared" si="36"/>
        <v>0.8858276960100957</v>
      </c>
      <c r="BN21">
        <f t="shared" si="37"/>
        <v>521.49605089543559</v>
      </c>
      <c r="BO21" t="s">
        <v>408</v>
      </c>
      <c r="BP21">
        <v>0</v>
      </c>
      <c r="BQ21">
        <f t="shared" si="38"/>
        <v>521.49605089543559</v>
      </c>
      <c r="BR21">
        <f t="shared" si="39"/>
        <v>0.61737416841868642</v>
      </c>
      <c r="BS21">
        <f t="shared" si="40"/>
        <v>0.50560503117335831</v>
      </c>
      <c r="BT21">
        <f t="shared" si="41"/>
        <v>0.58929390454602115</v>
      </c>
      <c r="BU21">
        <f t="shared" si="42"/>
        <v>0.58505366837000061</v>
      </c>
      <c r="BV21">
        <f t="shared" si="43"/>
        <v>0.62410176290432828</v>
      </c>
      <c r="BW21">
        <f t="shared" si="44"/>
        <v>0.281248583778959</v>
      </c>
      <c r="BX21">
        <f t="shared" si="45"/>
        <v>0.718751416221041</v>
      </c>
      <c r="DG21">
        <f t="shared" si="46"/>
        <v>999.99058064516112</v>
      </c>
      <c r="DH21">
        <f t="shared" si="47"/>
        <v>840.29058634408204</v>
      </c>
      <c r="DI21">
        <f t="shared" si="48"/>
        <v>0.84029850141383744</v>
      </c>
      <c r="DJ21">
        <f t="shared" si="49"/>
        <v>0.16017610772870636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1786030686</v>
      </c>
      <c r="DQ21">
        <v>419.96748387096773</v>
      </c>
      <c r="DR21">
        <v>455.53422580645162</v>
      </c>
      <c r="DS21">
        <v>21.267393548387091</v>
      </c>
      <c r="DT21">
        <v>18.72730967741936</v>
      </c>
      <c r="DU21">
        <v>430.34729032258059</v>
      </c>
      <c r="DV21">
        <v>21.813816129032261</v>
      </c>
      <c r="DW21">
        <v>499.99432258064519</v>
      </c>
      <c r="DX21">
        <v>97.959370967741933</v>
      </c>
      <c r="DY21">
        <v>4.8474503225806459E-2</v>
      </c>
      <c r="DZ21">
        <v>25.102464516129039</v>
      </c>
      <c r="EA21">
        <v>25.005183870967741</v>
      </c>
      <c r="EB21">
        <v>999.90000000000032</v>
      </c>
      <c r="EC21">
        <v>0</v>
      </c>
      <c r="ED21">
        <v>0</v>
      </c>
      <c r="EE21">
        <v>10002.58064516129</v>
      </c>
      <c r="EF21">
        <v>0</v>
      </c>
      <c r="EG21">
        <v>447.60225806451609</v>
      </c>
      <c r="EH21">
        <v>-35.566816129032269</v>
      </c>
      <c r="EI21">
        <v>429.09309677419361</v>
      </c>
      <c r="EJ21">
        <v>464.22803225806462</v>
      </c>
      <c r="EK21">
        <v>2.5400758064516129</v>
      </c>
      <c r="EL21">
        <v>455.53422580645162</v>
      </c>
      <c r="EM21">
        <v>18.72730967741936</v>
      </c>
      <c r="EN21">
        <v>2.0833403225806451</v>
      </c>
      <c r="EO21">
        <v>1.834516129032258</v>
      </c>
      <c r="EP21">
        <v>18.092370967741939</v>
      </c>
      <c r="EQ21">
        <v>16.08403548387097</v>
      </c>
      <c r="ER21">
        <v>999.99058064516112</v>
      </c>
      <c r="ES21">
        <v>0.99000412903225787</v>
      </c>
      <c r="ET21">
        <v>9.9954409677419399E-3</v>
      </c>
      <c r="EU21">
        <v>0</v>
      </c>
      <c r="EV21">
        <v>937.46622580645169</v>
      </c>
      <c r="EW21">
        <v>5.0010700000000003</v>
      </c>
      <c r="EX21">
        <v>11108.309677419349</v>
      </c>
      <c r="EY21">
        <v>9080.2093548387093</v>
      </c>
      <c r="EZ21">
        <v>36.441064516129018</v>
      </c>
      <c r="FA21">
        <v>39.021999999999977</v>
      </c>
      <c r="FB21">
        <v>37.758000000000003</v>
      </c>
      <c r="FC21">
        <v>38.75</v>
      </c>
      <c r="FD21">
        <v>38.25</v>
      </c>
      <c r="FE21">
        <v>985.04419354838694</v>
      </c>
      <c r="FF21">
        <v>9.9499999999999975</v>
      </c>
      <c r="FG21">
        <v>0</v>
      </c>
      <c r="FH21">
        <v>180.9000000953674</v>
      </c>
      <c r="FI21">
        <v>0</v>
      </c>
      <c r="FJ21">
        <v>937.50170588235301</v>
      </c>
      <c r="FK21">
        <v>-0.63480396491477997</v>
      </c>
      <c r="FL21">
        <v>-114.33823498775701</v>
      </c>
      <c r="FM21">
        <v>11101.85294117647</v>
      </c>
      <c r="FN21">
        <v>10</v>
      </c>
      <c r="FO21">
        <v>1786030585.5</v>
      </c>
      <c r="FP21" t="s">
        <v>538</v>
      </c>
      <c r="FQ21">
        <v>1786030579</v>
      </c>
      <c r="FR21">
        <v>1786030585.5</v>
      </c>
      <c r="FS21">
        <v>21</v>
      </c>
      <c r="FT21">
        <v>-1.6E-2</v>
      </c>
      <c r="FU21">
        <v>0</v>
      </c>
      <c r="FV21">
        <v>-10.51</v>
      </c>
      <c r="FW21">
        <v>-0.61399999999999999</v>
      </c>
      <c r="FX21">
        <v>455</v>
      </c>
      <c r="FY21">
        <v>19</v>
      </c>
      <c r="FZ21">
        <v>0.3</v>
      </c>
      <c r="GA21">
        <v>0.13</v>
      </c>
      <c r="GB21">
        <v>419.97251612903221</v>
      </c>
      <c r="GC21">
        <v>-8.9032258065912008E-3</v>
      </c>
      <c r="GD21">
        <v>6.9859246030735997E-2</v>
      </c>
      <c r="GE21">
        <v>-1</v>
      </c>
      <c r="GF21">
        <v>937.42050000000006</v>
      </c>
      <c r="GG21">
        <v>1.111031324217868</v>
      </c>
      <c r="GH21">
        <v>0.25801234010615559</v>
      </c>
      <c r="GI21">
        <v>1</v>
      </c>
      <c r="GJ21">
        <v>2.5503556097560982</v>
      </c>
      <c r="GK21">
        <v>-0.20173902439024571</v>
      </c>
      <c r="GL21">
        <v>2.014038123610163E-2</v>
      </c>
      <c r="GM21">
        <v>1</v>
      </c>
      <c r="GN21">
        <v>2</v>
      </c>
      <c r="GO21">
        <v>2</v>
      </c>
      <c r="GP21" t="s">
        <v>411</v>
      </c>
      <c r="GQ21">
        <v>3.1311900000000001</v>
      </c>
      <c r="GR21">
        <v>2.72431</v>
      </c>
      <c r="GS21">
        <v>9.3382900000000005E-2</v>
      </c>
      <c r="GT21">
        <v>9.8270300000000005E-2</v>
      </c>
      <c r="GU21">
        <v>0.105797</v>
      </c>
      <c r="GV21">
        <v>9.5417699999999994E-2</v>
      </c>
      <c r="GW21">
        <v>22873.9</v>
      </c>
      <c r="GX21">
        <v>30264.3</v>
      </c>
      <c r="GY21">
        <v>27346.1</v>
      </c>
      <c r="GZ21">
        <v>34479.9</v>
      </c>
      <c r="HA21">
        <v>35750.5</v>
      </c>
      <c r="HB21">
        <v>39291.800000000003</v>
      </c>
      <c r="HC21">
        <v>40330.300000000003</v>
      </c>
      <c r="HD21">
        <v>43523.199999999997</v>
      </c>
      <c r="HE21">
        <v>2.0152000000000001</v>
      </c>
      <c r="HF21">
        <v>1.8914</v>
      </c>
      <c r="HG21">
        <v>-5.3942199999999999E-3</v>
      </c>
      <c r="HH21">
        <v>0</v>
      </c>
      <c r="HI21">
        <v>25.082599999999999</v>
      </c>
      <c r="HJ21">
        <v>999.9</v>
      </c>
      <c r="HK21">
        <v>67.2</v>
      </c>
      <c r="HL21">
        <v>30.9</v>
      </c>
      <c r="HM21">
        <v>30.770099999999999</v>
      </c>
      <c r="HN21">
        <v>60.523699999999998</v>
      </c>
      <c r="HO21">
        <v>4.4150600000000004</v>
      </c>
      <c r="HP21">
        <v>1</v>
      </c>
      <c r="HQ21">
        <v>0.138963</v>
      </c>
      <c r="HR21">
        <v>2.29732</v>
      </c>
      <c r="HS21">
        <v>20.231999999999999</v>
      </c>
      <c r="HT21">
        <v>5.2112999999999996</v>
      </c>
      <c r="HU21">
        <v>11.902100000000001</v>
      </c>
      <c r="HV21">
        <v>4.9855999999999998</v>
      </c>
      <c r="HW21">
        <v>3.2704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1.86307</v>
      </c>
      <c r="ID21">
        <v>1.86249</v>
      </c>
      <c r="IE21">
        <v>1.8619699999999999</v>
      </c>
      <c r="IF21">
        <v>1.8620300000000001</v>
      </c>
      <c r="IG21">
        <v>1.8626400000000001</v>
      </c>
      <c r="IH21">
        <v>1.8635600000000001</v>
      </c>
      <c r="II21">
        <v>1.8615699999999999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-10.38</v>
      </c>
      <c r="IX21">
        <v>-0.54679999999999995</v>
      </c>
      <c r="IY21">
        <v>-8.3757548324788509</v>
      </c>
      <c r="IZ21">
        <v>-5.6215304933332991E-3</v>
      </c>
      <c r="JA21">
        <v>2.3979931213773931E-6</v>
      </c>
      <c r="JB21">
        <v>-3.6297174575716598E-10</v>
      </c>
      <c r="JC21">
        <v>-0.87953106603184672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1.9</v>
      </c>
      <c r="JL21">
        <v>1.8</v>
      </c>
      <c r="JM21">
        <v>1.1731</v>
      </c>
      <c r="JN21">
        <v>2.4890099999999999</v>
      </c>
      <c r="JO21">
        <v>1.50024</v>
      </c>
      <c r="JP21">
        <v>2.2778299999999998</v>
      </c>
      <c r="JQ21">
        <v>1.4477500000000001</v>
      </c>
      <c r="JR21">
        <v>2.49512</v>
      </c>
      <c r="JS21">
        <v>37.146299999999997</v>
      </c>
      <c r="JT21">
        <v>23.938700000000001</v>
      </c>
      <c r="JU21">
        <v>18</v>
      </c>
      <c r="JV21">
        <v>534.221</v>
      </c>
      <c r="JW21">
        <v>470.70100000000002</v>
      </c>
      <c r="JX21">
        <v>22.723700000000001</v>
      </c>
      <c r="JY21">
        <v>29.0059</v>
      </c>
      <c r="JZ21">
        <v>30.000800000000002</v>
      </c>
      <c r="KA21">
        <v>29.430700000000002</v>
      </c>
      <c r="KB21">
        <v>28.935199999999998</v>
      </c>
      <c r="KC21">
        <v>23.453800000000001</v>
      </c>
      <c r="KD21">
        <v>43.591900000000003</v>
      </c>
      <c r="KE21">
        <v>0</v>
      </c>
      <c r="KF21">
        <v>22.719899999999999</v>
      </c>
      <c r="KG21">
        <v>455.49400000000003</v>
      </c>
      <c r="KH21">
        <v>18.745699999999999</v>
      </c>
      <c r="KI21">
        <v>100.848</v>
      </c>
      <c r="KJ21">
        <v>98.144499999999994</v>
      </c>
    </row>
    <row r="22" spans="1:296" x14ac:dyDescent="0.3">
      <c r="A22">
        <v>6</v>
      </c>
      <c r="B22">
        <v>1786030875.5</v>
      </c>
      <c r="C22">
        <v>907.5</v>
      </c>
      <c r="D22" t="s">
        <v>539</v>
      </c>
      <c r="E22" t="s">
        <v>540</v>
      </c>
      <c r="F22">
        <v>15</v>
      </c>
      <c r="H22">
        <v>1786030867.75</v>
      </c>
      <c r="I22">
        <f t="shared" si="0"/>
        <v>2.0426870921807444E-3</v>
      </c>
      <c r="J22">
        <f t="shared" si="1"/>
        <v>2.0426870921807443</v>
      </c>
      <c r="K22">
        <f t="shared" si="2"/>
        <v>27.272227469089319</v>
      </c>
      <c r="L22">
        <f t="shared" si="3"/>
        <v>420.01316666666668</v>
      </c>
      <c r="M22">
        <f t="shared" si="4"/>
        <v>169.45368994982547</v>
      </c>
      <c r="N22">
        <f t="shared" si="5"/>
        <v>16.608554900803206</v>
      </c>
      <c r="O22">
        <f t="shared" si="6"/>
        <v>41.166478816183051</v>
      </c>
      <c r="P22">
        <f t="shared" si="7"/>
        <v>0.18335101894616748</v>
      </c>
      <c r="Q22">
        <f t="shared" si="8"/>
        <v>2.8928244341880429</v>
      </c>
      <c r="R22">
        <f t="shared" si="9"/>
        <v>0.17713099843890359</v>
      </c>
      <c r="S22">
        <f t="shared" si="10"/>
        <v>0.1112481395793688</v>
      </c>
      <c r="T22">
        <f t="shared" si="11"/>
        <v>128.27909091619017</v>
      </c>
      <c r="U22">
        <f t="shared" si="12"/>
        <v>25.342313329142154</v>
      </c>
      <c r="V22">
        <f t="shared" si="13"/>
        <v>24.993800000000011</v>
      </c>
      <c r="W22">
        <f t="shared" si="14"/>
        <v>3.1785024489624756</v>
      </c>
      <c r="X22">
        <f t="shared" si="15"/>
        <v>64.926194922096343</v>
      </c>
      <c r="Y22">
        <f t="shared" si="16"/>
        <v>2.0785293507635729</v>
      </c>
      <c r="Z22">
        <f t="shared" si="17"/>
        <v>3.2013725018962824</v>
      </c>
      <c r="AA22">
        <f t="shared" si="18"/>
        <v>1.0999730981989027</v>
      </c>
      <c r="AB22">
        <f t="shared" si="19"/>
        <v>-90.082500765170835</v>
      </c>
      <c r="AC22">
        <f t="shared" si="20"/>
        <v>18.762261352617884</v>
      </c>
      <c r="AD22">
        <f t="shared" si="21"/>
        <v>1.372647369760583</v>
      </c>
      <c r="AE22">
        <f t="shared" si="22"/>
        <v>58.331498873397805</v>
      </c>
      <c r="AF22">
        <f t="shared" si="23"/>
        <v>27.272227469089319</v>
      </c>
      <c r="AG22">
        <f t="shared" si="24"/>
        <v>2.0426870921807443</v>
      </c>
      <c r="AH22">
        <f t="shared" si="25"/>
        <v>27.150230255611838</v>
      </c>
      <c r="AI22">
        <v>462.52360488778243</v>
      </c>
      <c r="AJ22">
        <v>429.18929090909052</v>
      </c>
      <c r="AK22">
        <v>2.4706923468461438E-2</v>
      </c>
      <c r="AL22">
        <v>67.057015218973305</v>
      </c>
      <c r="AM22">
        <f t="shared" si="26"/>
        <v>2.0394563039975324</v>
      </c>
      <c r="AN22">
        <v>18.812896620439371</v>
      </c>
      <c r="AO22">
        <v>21.208357575757582</v>
      </c>
      <c r="AP22">
        <v>-1.8776911768481209E-5</v>
      </c>
      <c r="AQ22">
        <v>78.180589908251662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52106.428901721636</v>
      </c>
      <c r="AW22" t="s">
        <v>520</v>
      </c>
      <c r="AX22">
        <v>13221.9</v>
      </c>
      <c r="AY22">
        <v>635.76176470588234</v>
      </c>
      <c r="AZ22">
        <v>2570.27</v>
      </c>
      <c r="BA22">
        <f t="shared" si="30"/>
        <v>0.75264786784817073</v>
      </c>
      <c r="BB22">
        <v>-2.1832016218308832</v>
      </c>
      <c r="BC22" t="s">
        <v>541</v>
      </c>
      <c r="BD22">
        <v>13231.9</v>
      </c>
      <c r="BE22">
        <v>931.83688235294107</v>
      </c>
      <c r="BF22">
        <v>1480.09</v>
      </c>
      <c r="BG22">
        <f t="shared" si="31"/>
        <v>0.37041877024171432</v>
      </c>
      <c r="BH22">
        <v>0.5</v>
      </c>
      <c r="BI22">
        <f t="shared" si="32"/>
        <v>672.3123283089069</v>
      </c>
      <c r="BJ22">
        <f t="shared" si="33"/>
        <v>27.272227469089319</v>
      </c>
      <c r="BK22">
        <f t="shared" si="34"/>
        <v>124.51855293526449</v>
      </c>
      <c r="BL22">
        <f t="shared" si="35"/>
        <v>4.3812121019720963E-2</v>
      </c>
      <c r="BM22">
        <f t="shared" si="36"/>
        <v>0.73656331709558209</v>
      </c>
      <c r="BN22">
        <f t="shared" si="37"/>
        <v>537.78283700397128</v>
      </c>
      <c r="BO22" t="s">
        <v>408</v>
      </c>
      <c r="BP22">
        <v>0</v>
      </c>
      <c r="BQ22">
        <f t="shared" si="38"/>
        <v>537.78283700397128</v>
      </c>
      <c r="BR22">
        <f t="shared" si="39"/>
        <v>0.63665531352554816</v>
      </c>
      <c r="BS22">
        <f t="shared" si="40"/>
        <v>0.58181996187305807</v>
      </c>
      <c r="BT22">
        <f t="shared" si="41"/>
        <v>0.53637731142813139</v>
      </c>
      <c r="BU22">
        <f t="shared" si="42"/>
        <v>0.64933647215537871</v>
      </c>
      <c r="BV22">
        <f t="shared" si="43"/>
        <v>0.56354373690957793</v>
      </c>
      <c r="BW22">
        <f t="shared" si="44"/>
        <v>0.33578064535454261</v>
      </c>
      <c r="BX22">
        <f t="shared" si="45"/>
        <v>0.66421935464545734</v>
      </c>
      <c r="DG22">
        <f t="shared" si="46"/>
        <v>800.00253333333342</v>
      </c>
      <c r="DH22">
        <f t="shared" si="47"/>
        <v>672.3123283089069</v>
      </c>
      <c r="DI22">
        <f t="shared" si="48"/>
        <v>0.8403877491582612</v>
      </c>
      <c r="DJ22">
        <f t="shared" si="49"/>
        <v>0.1603483558754441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1786030867.75</v>
      </c>
      <c r="DQ22">
        <v>420.01316666666668</v>
      </c>
      <c r="DR22">
        <v>453.76800000000009</v>
      </c>
      <c r="DS22">
        <v>21.206810000000001</v>
      </c>
      <c r="DT22">
        <v>18.807666666666659</v>
      </c>
      <c r="DU22">
        <v>430.47153333333341</v>
      </c>
      <c r="DV22">
        <v>21.75951666666667</v>
      </c>
      <c r="DW22">
        <v>500.02053333333339</v>
      </c>
      <c r="DX22">
        <v>97.963639999999998</v>
      </c>
      <c r="DY22">
        <v>4.8713143333333327E-2</v>
      </c>
      <c r="DZ22">
        <v>25.11410333333334</v>
      </c>
      <c r="EA22">
        <v>24.993800000000011</v>
      </c>
      <c r="EB22">
        <v>999.9000000000002</v>
      </c>
      <c r="EC22">
        <v>0</v>
      </c>
      <c r="ED22">
        <v>0</v>
      </c>
      <c r="EE22">
        <v>9995.6666666666661</v>
      </c>
      <c r="EF22">
        <v>0</v>
      </c>
      <c r="EG22">
        <v>449.62470000000008</v>
      </c>
      <c r="EH22">
        <v>-33.754893333333342</v>
      </c>
      <c r="EI22">
        <v>429.11323333333331</v>
      </c>
      <c r="EJ22">
        <v>462.46586666666673</v>
      </c>
      <c r="EK22">
        <v>2.3991263333333328</v>
      </c>
      <c r="EL22">
        <v>453.76800000000009</v>
      </c>
      <c r="EM22">
        <v>18.807666666666659</v>
      </c>
      <c r="EN22">
        <v>2.0774946666666669</v>
      </c>
      <c r="EO22">
        <v>1.8424676666666671</v>
      </c>
      <c r="EP22">
        <v>18.047676666666671</v>
      </c>
      <c r="EQ22">
        <v>16.151826666666668</v>
      </c>
      <c r="ER22">
        <v>800.00253333333342</v>
      </c>
      <c r="ES22">
        <v>0.98699359999999958</v>
      </c>
      <c r="ET22">
        <v>1.3006739999999999E-2</v>
      </c>
      <c r="EU22">
        <v>0</v>
      </c>
      <c r="EV22">
        <v>931.80916666666644</v>
      </c>
      <c r="EW22">
        <v>5.0010700000000003</v>
      </c>
      <c r="EX22">
        <v>9041.3079999999991</v>
      </c>
      <c r="EY22">
        <v>7246.6243333333314</v>
      </c>
      <c r="EZ22">
        <v>35.941199999999988</v>
      </c>
      <c r="FA22">
        <v>38.883266666666671</v>
      </c>
      <c r="FB22">
        <v>37.5</v>
      </c>
      <c r="FC22">
        <v>38.561999999999991</v>
      </c>
      <c r="FD22">
        <v>37.879133333333343</v>
      </c>
      <c r="FE22">
        <v>784.66066666666688</v>
      </c>
      <c r="FF22">
        <v>10.34</v>
      </c>
      <c r="FG22">
        <v>0</v>
      </c>
      <c r="FH22">
        <v>180.70000004768369</v>
      </c>
      <c r="FI22">
        <v>0</v>
      </c>
      <c r="FJ22">
        <v>931.83688235294107</v>
      </c>
      <c r="FK22">
        <v>0.74460786127586087</v>
      </c>
      <c r="FL22">
        <v>-83.39460758490533</v>
      </c>
      <c r="FM22">
        <v>9042.8241176470601</v>
      </c>
      <c r="FN22">
        <v>10</v>
      </c>
      <c r="FO22">
        <v>1786030757.5</v>
      </c>
      <c r="FP22" t="s">
        <v>542</v>
      </c>
      <c r="FQ22">
        <v>1786030756</v>
      </c>
      <c r="FR22">
        <v>1786030757.5</v>
      </c>
      <c r="FS22">
        <v>22</v>
      </c>
      <c r="FT22">
        <v>-7.8E-2</v>
      </c>
      <c r="FU22">
        <v>-5.0000000000000001E-3</v>
      </c>
      <c r="FV22">
        <v>-10.584</v>
      </c>
      <c r="FW22">
        <v>-0.61299999999999999</v>
      </c>
      <c r="FX22">
        <v>454</v>
      </c>
      <c r="FY22">
        <v>19</v>
      </c>
      <c r="FZ22">
        <v>0.26</v>
      </c>
      <c r="GA22">
        <v>0.13</v>
      </c>
      <c r="GB22">
        <v>420.0091612903226</v>
      </c>
      <c r="GC22">
        <v>-4.6790322580768748E-2</v>
      </c>
      <c r="GD22">
        <v>7.3648290948436404E-2</v>
      </c>
      <c r="GE22">
        <v>-1</v>
      </c>
      <c r="GF22">
        <v>931.80638235294111</v>
      </c>
      <c r="GG22">
        <v>0.29462185065871438</v>
      </c>
      <c r="GH22">
        <v>0.20866395933144241</v>
      </c>
      <c r="GI22">
        <v>1</v>
      </c>
      <c r="GJ22">
        <v>2.4015778048780492</v>
      </c>
      <c r="GK22">
        <v>-3.5653588850174389E-2</v>
      </c>
      <c r="GL22">
        <v>4.7835416577255247E-3</v>
      </c>
      <c r="GM22">
        <v>1</v>
      </c>
      <c r="GN22">
        <v>2</v>
      </c>
      <c r="GO22">
        <v>2</v>
      </c>
      <c r="GP22" t="s">
        <v>411</v>
      </c>
      <c r="GQ22">
        <v>3.13089</v>
      </c>
      <c r="GR22">
        <v>2.72418</v>
      </c>
      <c r="GS22">
        <v>9.3356499999999995E-2</v>
      </c>
      <c r="GT22">
        <v>9.7943600000000006E-2</v>
      </c>
      <c r="GU22">
        <v>0.10562000000000001</v>
      </c>
      <c r="GV22">
        <v>9.5677100000000001E-2</v>
      </c>
      <c r="GW22">
        <v>22867.4</v>
      </c>
      <c r="GX22">
        <v>30263.3</v>
      </c>
      <c r="GY22">
        <v>27338.6</v>
      </c>
      <c r="GZ22">
        <v>34467.699999999997</v>
      </c>
      <c r="HA22">
        <v>35749.199999999997</v>
      </c>
      <c r="HB22">
        <v>39269.1</v>
      </c>
      <c r="HC22">
        <v>40319.9</v>
      </c>
      <c r="HD22">
        <v>43510.3</v>
      </c>
      <c r="HE22">
        <v>2.0125999999999999</v>
      </c>
      <c r="HF22">
        <v>1.8854</v>
      </c>
      <c r="HG22">
        <v>-7.3015700000000003E-3</v>
      </c>
      <c r="HH22">
        <v>0</v>
      </c>
      <c r="HI22">
        <v>25.118600000000001</v>
      </c>
      <c r="HJ22">
        <v>999.9</v>
      </c>
      <c r="HK22">
        <v>66.599999999999994</v>
      </c>
      <c r="HL22">
        <v>31.2</v>
      </c>
      <c r="HM22">
        <v>31.0215</v>
      </c>
      <c r="HN22">
        <v>60.213700000000003</v>
      </c>
      <c r="HO22">
        <v>4.5152200000000002</v>
      </c>
      <c r="HP22">
        <v>1</v>
      </c>
      <c r="HQ22">
        <v>0.153943</v>
      </c>
      <c r="HR22">
        <v>1.9941599999999999</v>
      </c>
      <c r="HS22">
        <v>20.236699999999999</v>
      </c>
      <c r="HT22">
        <v>5.2137000000000002</v>
      </c>
      <c r="HU22">
        <v>11.902100000000001</v>
      </c>
      <c r="HV22">
        <v>4.9855999999999998</v>
      </c>
      <c r="HW22">
        <v>3.2706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1.86307</v>
      </c>
      <c r="ID22">
        <v>1.86249</v>
      </c>
      <c r="IE22">
        <v>1.8620300000000001</v>
      </c>
      <c r="IF22">
        <v>1.8620300000000001</v>
      </c>
      <c r="IG22">
        <v>1.8626400000000001</v>
      </c>
      <c r="IH22">
        <v>1.8635600000000001</v>
      </c>
      <c r="II22">
        <v>1.8615699999999999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-10.458</v>
      </c>
      <c r="IX22">
        <v>-0.55259999999999998</v>
      </c>
      <c r="IY22">
        <v>-8.4539661952452523</v>
      </c>
      <c r="IZ22">
        <v>-5.6215304933332991E-3</v>
      </c>
      <c r="JA22">
        <v>2.3979931213773931E-6</v>
      </c>
      <c r="JB22">
        <v>-3.6297174575716598E-10</v>
      </c>
      <c r="JC22">
        <v>-0.88439101709883472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2</v>
      </c>
      <c r="JL22">
        <v>2</v>
      </c>
      <c r="JM22">
        <v>1.16821</v>
      </c>
      <c r="JN22">
        <v>2.4939</v>
      </c>
      <c r="JO22">
        <v>1.50024</v>
      </c>
      <c r="JP22">
        <v>2.2778299999999998</v>
      </c>
      <c r="JQ22">
        <v>1.4477500000000001</v>
      </c>
      <c r="JR22">
        <v>2.3645</v>
      </c>
      <c r="JS22">
        <v>37.626300000000001</v>
      </c>
      <c r="JT22">
        <v>23.9299</v>
      </c>
      <c r="JU22">
        <v>18</v>
      </c>
      <c r="JV22">
        <v>534.37699999999995</v>
      </c>
      <c r="JW22">
        <v>468.452</v>
      </c>
      <c r="JX22">
        <v>23.0337</v>
      </c>
      <c r="JY22">
        <v>29.223700000000001</v>
      </c>
      <c r="JZ22">
        <v>30.0002</v>
      </c>
      <c r="KA22">
        <v>29.6371</v>
      </c>
      <c r="KB22">
        <v>29.135300000000001</v>
      </c>
      <c r="KC22">
        <v>23.372800000000002</v>
      </c>
      <c r="KD22">
        <v>43.782800000000002</v>
      </c>
      <c r="KE22">
        <v>0</v>
      </c>
      <c r="KF22">
        <v>23.029900000000001</v>
      </c>
      <c r="KG22">
        <v>453.709</v>
      </c>
      <c r="KH22">
        <v>18.7852</v>
      </c>
      <c r="KI22">
        <v>100.821</v>
      </c>
      <c r="KJ22">
        <v>98.112899999999996</v>
      </c>
    </row>
    <row r="23" spans="1:296" x14ac:dyDescent="0.3">
      <c r="A23">
        <v>7</v>
      </c>
      <c r="B23">
        <v>1786031057</v>
      </c>
      <c r="C23">
        <v>1089</v>
      </c>
      <c r="D23" t="s">
        <v>543</v>
      </c>
      <c r="E23" t="s">
        <v>544</v>
      </c>
      <c r="F23">
        <v>15</v>
      </c>
      <c r="H23">
        <v>1786031049.25</v>
      </c>
      <c r="I23">
        <f t="shared" si="0"/>
        <v>1.8434933784576178E-3</v>
      </c>
      <c r="J23">
        <f t="shared" si="1"/>
        <v>1.8434933784576177</v>
      </c>
      <c r="K23">
        <f t="shared" si="2"/>
        <v>24.867803136875942</v>
      </c>
      <c r="L23">
        <f t="shared" si="3"/>
        <v>420.00423333333327</v>
      </c>
      <c r="M23">
        <f t="shared" si="4"/>
        <v>166.80006292676529</v>
      </c>
      <c r="N23">
        <f t="shared" si="5"/>
        <v>16.350141140488049</v>
      </c>
      <c r="O23">
        <f t="shared" si="6"/>
        <v>41.169819567859115</v>
      </c>
      <c r="P23">
        <f t="shared" si="7"/>
        <v>0.16490270347764482</v>
      </c>
      <c r="Q23">
        <f t="shared" si="8"/>
        <v>2.8925605705130142</v>
      </c>
      <c r="R23">
        <f t="shared" si="9"/>
        <v>0.15985240037835749</v>
      </c>
      <c r="S23">
        <f t="shared" si="10"/>
        <v>0.10034861595439126</v>
      </c>
      <c r="T23">
        <f t="shared" si="11"/>
        <v>96.344358243156194</v>
      </c>
      <c r="U23">
        <f t="shared" si="12"/>
        <v>25.248634100458929</v>
      </c>
      <c r="V23">
        <f t="shared" si="13"/>
        <v>25.000783333333331</v>
      </c>
      <c r="W23">
        <f t="shared" si="14"/>
        <v>3.1798260891072583</v>
      </c>
      <c r="X23">
        <f t="shared" si="15"/>
        <v>64.790730428103004</v>
      </c>
      <c r="Y23">
        <f t="shared" si="16"/>
        <v>2.0797133163555959</v>
      </c>
      <c r="Z23">
        <f t="shared" si="17"/>
        <v>3.2098933020417366</v>
      </c>
      <c r="AA23">
        <f t="shared" si="18"/>
        <v>1.1001127727516624</v>
      </c>
      <c r="AB23">
        <f t="shared" si="19"/>
        <v>-81.298057989980947</v>
      </c>
      <c r="AC23">
        <f t="shared" si="20"/>
        <v>24.631311439170684</v>
      </c>
      <c r="AD23">
        <f t="shared" si="21"/>
        <v>1.8026597765183034</v>
      </c>
      <c r="AE23">
        <f t="shared" si="22"/>
        <v>41.480271468864231</v>
      </c>
      <c r="AF23">
        <f t="shared" si="23"/>
        <v>24.867803136875942</v>
      </c>
      <c r="AG23">
        <f t="shared" si="24"/>
        <v>1.8434933784576177</v>
      </c>
      <c r="AH23">
        <f t="shared" si="25"/>
        <v>24.85276004854299</v>
      </c>
      <c r="AI23">
        <v>459.52443530811757</v>
      </c>
      <c r="AJ23">
        <v>429.10509696969689</v>
      </c>
      <c r="AK23">
        <v>3.0235826344484381E-3</v>
      </c>
      <c r="AL23">
        <v>67.056382000811624</v>
      </c>
      <c r="AM23">
        <f t="shared" si="26"/>
        <v>1.8395614999889185</v>
      </c>
      <c r="AN23">
        <v>19.05542967753415</v>
      </c>
      <c r="AO23">
        <v>21.21597393939393</v>
      </c>
      <c r="AP23">
        <v>2.4680189295715182E-5</v>
      </c>
      <c r="AQ23">
        <v>78.177600921997282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52091.26945021085</v>
      </c>
      <c r="AW23" t="s">
        <v>520</v>
      </c>
      <c r="AX23">
        <v>13221.9</v>
      </c>
      <c r="AY23">
        <v>635.76176470588234</v>
      </c>
      <c r="AZ23">
        <v>2570.27</v>
      </c>
      <c r="BA23">
        <f t="shared" si="30"/>
        <v>0.75264786784817073</v>
      </c>
      <c r="BB23">
        <v>-2.1832016218308832</v>
      </c>
      <c r="BC23" t="s">
        <v>545</v>
      </c>
      <c r="BD23">
        <v>13247.1</v>
      </c>
      <c r="BE23">
        <v>925.40882352941185</v>
      </c>
      <c r="BF23">
        <v>1661.63</v>
      </c>
      <c r="BG23">
        <f t="shared" si="31"/>
        <v>0.44307166846445245</v>
      </c>
      <c r="BH23">
        <v>0.5</v>
      </c>
      <c r="BI23">
        <f t="shared" si="32"/>
        <v>504.29431971147977</v>
      </c>
      <c r="BJ23">
        <f t="shared" si="33"/>
        <v>24.867803136875942</v>
      </c>
      <c r="BK23">
        <f t="shared" si="34"/>
        <v>111.71926281585567</v>
      </c>
      <c r="BL23">
        <f t="shared" si="35"/>
        <v>5.3641303701741923E-2</v>
      </c>
      <c r="BM23">
        <f t="shared" si="36"/>
        <v>0.54683654002395232</v>
      </c>
      <c r="BN23">
        <f t="shared" si="37"/>
        <v>560.0136546572412</v>
      </c>
      <c r="BO23" t="s">
        <v>408</v>
      </c>
      <c r="BP23">
        <v>0</v>
      </c>
      <c r="BQ23">
        <f t="shared" si="38"/>
        <v>560.0136546572412</v>
      </c>
      <c r="BR23">
        <f t="shared" si="39"/>
        <v>0.66297331255620007</v>
      </c>
      <c r="BS23">
        <f t="shared" si="40"/>
        <v>0.66830996070734505</v>
      </c>
      <c r="BT23">
        <f t="shared" si="41"/>
        <v>0.45200205541202865</v>
      </c>
      <c r="BU23">
        <f t="shared" si="42"/>
        <v>0.71765666499997705</v>
      </c>
      <c r="BV23">
        <f t="shared" si="43"/>
        <v>0.46970076602535249</v>
      </c>
      <c r="BW23">
        <f t="shared" si="44"/>
        <v>0.40442958184919719</v>
      </c>
      <c r="BX23">
        <f t="shared" si="45"/>
        <v>0.59557041815080281</v>
      </c>
      <c r="DG23">
        <f t="shared" si="46"/>
        <v>599.98883333333322</v>
      </c>
      <c r="DH23">
        <f t="shared" si="47"/>
        <v>504.29431971147977</v>
      </c>
      <c r="DI23">
        <f t="shared" si="48"/>
        <v>0.84050617560629026</v>
      </c>
      <c r="DJ23">
        <f t="shared" si="49"/>
        <v>0.16057691892014025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1786031049.25</v>
      </c>
      <c r="DQ23">
        <v>420.00423333333327</v>
      </c>
      <c r="DR23">
        <v>450.77553333333339</v>
      </c>
      <c r="DS23">
        <v>21.21671666666667</v>
      </c>
      <c r="DT23">
        <v>19.051403333333329</v>
      </c>
      <c r="DU23">
        <v>430.4622</v>
      </c>
      <c r="DV23">
        <v>21.77067666666667</v>
      </c>
      <c r="DW23">
        <v>499.98689999999999</v>
      </c>
      <c r="DX23">
        <v>97.973306666666659</v>
      </c>
      <c r="DY23">
        <v>4.9085253333333342E-2</v>
      </c>
      <c r="DZ23">
        <v>25.158733333333331</v>
      </c>
      <c r="EA23">
        <v>25.000783333333331</v>
      </c>
      <c r="EB23">
        <v>999.9000000000002</v>
      </c>
      <c r="EC23">
        <v>0</v>
      </c>
      <c r="ED23">
        <v>0</v>
      </c>
      <c r="EE23">
        <v>9993.1666666666661</v>
      </c>
      <c r="EF23">
        <v>0</v>
      </c>
      <c r="EG23">
        <v>408.18830000000008</v>
      </c>
      <c r="EH23">
        <v>-30.771329999999999</v>
      </c>
      <c r="EI23">
        <v>429.10859999999991</v>
      </c>
      <c r="EJ23">
        <v>459.53030000000001</v>
      </c>
      <c r="EK23">
        <v>2.1653093333333331</v>
      </c>
      <c r="EL23">
        <v>450.77553333333339</v>
      </c>
      <c r="EM23">
        <v>19.051403333333329</v>
      </c>
      <c r="EN23">
        <v>2.0786716666666671</v>
      </c>
      <c r="EO23">
        <v>1.866528333333334</v>
      </c>
      <c r="EP23">
        <v>18.056673333333329</v>
      </c>
      <c r="EQ23">
        <v>16.355363333333329</v>
      </c>
      <c r="ER23">
        <v>599.98883333333322</v>
      </c>
      <c r="ES23">
        <v>0.98298583333333356</v>
      </c>
      <c r="ET23">
        <v>1.7014366666666669E-2</v>
      </c>
      <c r="EU23">
        <v>0</v>
      </c>
      <c r="EV23">
        <v>925.37719999999979</v>
      </c>
      <c r="EW23">
        <v>5.0010700000000003</v>
      </c>
      <c r="EX23">
        <v>7038.4789999999985</v>
      </c>
      <c r="EY23">
        <v>5414.9793333333337</v>
      </c>
      <c r="EZ23">
        <v>35.375</v>
      </c>
      <c r="FA23">
        <v>38.504133333333343</v>
      </c>
      <c r="FB23">
        <v>37.061999999999991</v>
      </c>
      <c r="FC23">
        <v>38.25</v>
      </c>
      <c r="FD23">
        <v>37.432866666666662</v>
      </c>
      <c r="FE23">
        <v>584.86500000000001</v>
      </c>
      <c r="FF23">
        <v>10.12333333333333</v>
      </c>
      <c r="FG23">
        <v>0</v>
      </c>
      <c r="FH23">
        <v>180.9000000953674</v>
      </c>
      <c r="FI23">
        <v>0</v>
      </c>
      <c r="FJ23">
        <v>925.40882352941185</v>
      </c>
      <c r="FK23">
        <v>0.27573529892393561</v>
      </c>
      <c r="FL23">
        <v>129.9117646175566</v>
      </c>
      <c r="FM23">
        <v>7046.4205882352944</v>
      </c>
      <c r="FN23">
        <v>10</v>
      </c>
      <c r="FO23">
        <v>1786030952</v>
      </c>
      <c r="FP23" t="s">
        <v>546</v>
      </c>
      <c r="FQ23">
        <v>1786030947</v>
      </c>
      <c r="FR23">
        <v>1786030952</v>
      </c>
      <c r="FS23">
        <v>23</v>
      </c>
      <c r="FT23">
        <v>1E-3</v>
      </c>
      <c r="FU23">
        <v>-2E-3</v>
      </c>
      <c r="FV23">
        <v>-10.573</v>
      </c>
      <c r="FW23">
        <v>-0.61399999999999999</v>
      </c>
      <c r="FX23">
        <v>451</v>
      </c>
      <c r="FY23">
        <v>19</v>
      </c>
      <c r="FZ23">
        <v>0.28999999999999998</v>
      </c>
      <c r="GA23">
        <v>0.09</v>
      </c>
      <c r="GB23">
        <v>420.00423333333327</v>
      </c>
      <c r="GC23">
        <v>-0.31573748609528562</v>
      </c>
      <c r="GD23">
        <v>5.6270586356361313E-2</v>
      </c>
      <c r="GE23">
        <v>-1</v>
      </c>
      <c r="GF23">
        <v>925.29758823529414</v>
      </c>
      <c r="GG23">
        <v>1.47758594847869</v>
      </c>
      <c r="GH23">
        <v>0.2252427602345084</v>
      </c>
      <c r="GI23">
        <v>1</v>
      </c>
      <c r="GJ23">
        <v>2.1669817500000002</v>
      </c>
      <c r="GK23">
        <v>-4.1603414634145103E-2</v>
      </c>
      <c r="GL23">
        <v>4.9122066769935564E-3</v>
      </c>
      <c r="GM23">
        <v>1</v>
      </c>
      <c r="GN23">
        <v>2</v>
      </c>
      <c r="GO23">
        <v>2</v>
      </c>
      <c r="GP23" t="s">
        <v>411</v>
      </c>
      <c r="GQ23">
        <v>3.13049</v>
      </c>
      <c r="GR23">
        <v>2.7253400000000001</v>
      </c>
      <c r="GS23">
        <v>9.3339400000000003E-2</v>
      </c>
      <c r="GT23">
        <v>9.7459500000000004E-2</v>
      </c>
      <c r="GU23">
        <v>0.105627</v>
      </c>
      <c r="GV23">
        <v>9.6564200000000003E-2</v>
      </c>
      <c r="GW23">
        <v>22865.7</v>
      </c>
      <c r="GX23">
        <v>30276</v>
      </c>
      <c r="GY23">
        <v>27336.3</v>
      </c>
      <c r="GZ23">
        <v>34464</v>
      </c>
      <c r="HA23">
        <v>35746.5</v>
      </c>
      <c r="HB23">
        <v>39227.599999999999</v>
      </c>
      <c r="HC23">
        <v>40316.800000000003</v>
      </c>
      <c r="HD23">
        <v>43507.199999999997</v>
      </c>
      <c r="HE23">
        <v>2.0095999999999998</v>
      </c>
      <c r="HF23">
        <v>1.8834</v>
      </c>
      <c r="HG23">
        <v>-8.7916899999999996E-3</v>
      </c>
      <c r="HH23">
        <v>0</v>
      </c>
      <c r="HI23">
        <v>25.146100000000001</v>
      </c>
      <c r="HJ23">
        <v>999.9</v>
      </c>
      <c r="HK23">
        <v>66.099999999999994</v>
      </c>
      <c r="HL23">
        <v>31.5</v>
      </c>
      <c r="HM23">
        <v>31.317299999999999</v>
      </c>
      <c r="HN23">
        <v>60.313800000000001</v>
      </c>
      <c r="HO23">
        <v>4.3589700000000002</v>
      </c>
      <c r="HP23">
        <v>1</v>
      </c>
      <c r="HQ23">
        <v>0.158252</v>
      </c>
      <c r="HR23">
        <v>1.94462</v>
      </c>
      <c r="HS23">
        <v>20.238399999999999</v>
      </c>
      <c r="HT23">
        <v>5.2137000000000002</v>
      </c>
      <c r="HU23">
        <v>11.902100000000001</v>
      </c>
      <c r="HV23">
        <v>4.9855999999999998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1.86304</v>
      </c>
      <c r="ID23">
        <v>1.86252</v>
      </c>
      <c r="IE23">
        <v>1.8620300000000001</v>
      </c>
      <c r="IF23">
        <v>1.86206</v>
      </c>
      <c r="IG23">
        <v>1.8626400000000001</v>
      </c>
      <c r="IH23">
        <v>1.8636200000000001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-10.458</v>
      </c>
      <c r="IX23">
        <v>-0.55400000000000005</v>
      </c>
      <c r="IY23">
        <v>-8.4535096858637395</v>
      </c>
      <c r="IZ23">
        <v>-5.6215304933332991E-3</v>
      </c>
      <c r="JA23">
        <v>2.3979931213773931E-6</v>
      </c>
      <c r="JB23">
        <v>-3.6297174575716598E-10</v>
      </c>
      <c r="JC23">
        <v>-0.88593598503591187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1.8</v>
      </c>
      <c r="JL23">
        <v>1.8</v>
      </c>
      <c r="JM23">
        <v>1.16211</v>
      </c>
      <c r="JN23">
        <v>2.4939</v>
      </c>
      <c r="JO23">
        <v>1.50024</v>
      </c>
      <c r="JP23">
        <v>2.2778299999999998</v>
      </c>
      <c r="JQ23">
        <v>1.4477500000000001</v>
      </c>
      <c r="JR23">
        <v>2.4902299999999999</v>
      </c>
      <c r="JS23">
        <v>38.013399999999997</v>
      </c>
      <c r="JT23">
        <v>23.9299</v>
      </c>
      <c r="JU23">
        <v>18</v>
      </c>
      <c r="JV23">
        <v>533.327</v>
      </c>
      <c r="JW23">
        <v>468.005</v>
      </c>
      <c r="JX23">
        <v>23.177</v>
      </c>
      <c r="JY23">
        <v>29.281400000000001</v>
      </c>
      <c r="JZ23">
        <v>30.000299999999999</v>
      </c>
      <c r="KA23">
        <v>29.736999999999998</v>
      </c>
      <c r="KB23">
        <v>29.239599999999999</v>
      </c>
      <c r="KC23">
        <v>23.244800000000001</v>
      </c>
      <c r="KD23">
        <v>43.392600000000002</v>
      </c>
      <c r="KE23">
        <v>0</v>
      </c>
      <c r="KF23">
        <v>23.176500000000001</v>
      </c>
      <c r="KG23">
        <v>450.77600000000001</v>
      </c>
      <c r="KH23">
        <v>19.118400000000001</v>
      </c>
      <c r="KI23">
        <v>100.81399999999999</v>
      </c>
      <c r="KJ23">
        <v>98.104399999999998</v>
      </c>
    </row>
    <row r="24" spans="1:296" x14ac:dyDescent="0.3">
      <c r="A24">
        <v>8</v>
      </c>
      <c r="B24">
        <v>1786031238.5</v>
      </c>
      <c r="C24">
        <v>1270.5</v>
      </c>
      <c r="D24" t="s">
        <v>547</v>
      </c>
      <c r="E24" t="s">
        <v>548</v>
      </c>
      <c r="F24">
        <v>15</v>
      </c>
      <c r="H24">
        <v>1786031230.5</v>
      </c>
      <c r="I24">
        <f t="shared" si="0"/>
        <v>1.5296935483354425E-3</v>
      </c>
      <c r="J24">
        <f t="shared" si="1"/>
        <v>1.5296935483354426</v>
      </c>
      <c r="K24">
        <f t="shared" si="2"/>
        <v>20.495131215025147</v>
      </c>
      <c r="L24">
        <f t="shared" si="3"/>
        <v>420.02548387096778</v>
      </c>
      <c r="M24">
        <f t="shared" si="4"/>
        <v>169.17330794339088</v>
      </c>
      <c r="N24">
        <f t="shared" si="5"/>
        <v>16.584647455760802</v>
      </c>
      <c r="O24">
        <f t="shared" si="6"/>
        <v>41.176558271038324</v>
      </c>
      <c r="P24">
        <f t="shared" si="7"/>
        <v>0.13659359226881257</v>
      </c>
      <c r="Q24">
        <f t="shared" si="8"/>
        <v>2.8923222791852119</v>
      </c>
      <c r="R24">
        <f t="shared" si="9"/>
        <v>0.13310843034010678</v>
      </c>
      <c r="S24">
        <f t="shared" si="10"/>
        <v>8.3498490427027811E-2</v>
      </c>
      <c r="T24">
        <f t="shared" si="11"/>
        <v>64.412107426336348</v>
      </c>
      <c r="U24">
        <f t="shared" si="12"/>
        <v>25.151087602287028</v>
      </c>
      <c r="V24">
        <f t="shared" si="13"/>
        <v>25.00937096774194</v>
      </c>
      <c r="W24">
        <f t="shared" si="14"/>
        <v>3.1814544732438703</v>
      </c>
      <c r="X24">
        <f t="shared" si="15"/>
        <v>64.917923425103126</v>
      </c>
      <c r="Y24">
        <f t="shared" si="16"/>
        <v>2.0851072099104573</v>
      </c>
      <c r="Z24">
        <f t="shared" si="17"/>
        <v>3.2119129816530245</v>
      </c>
      <c r="AA24">
        <f t="shared" si="18"/>
        <v>1.096347263333413</v>
      </c>
      <c r="AB24">
        <f t="shared" si="19"/>
        <v>-67.45948548159302</v>
      </c>
      <c r="AC24">
        <f t="shared" si="20"/>
        <v>24.937371529273943</v>
      </c>
      <c r="AD24">
        <f t="shared" si="21"/>
        <v>1.8253852690445984</v>
      </c>
      <c r="AE24">
        <f t="shared" si="22"/>
        <v>23.715378743061873</v>
      </c>
      <c r="AF24">
        <f t="shared" si="23"/>
        <v>20.495131215025147</v>
      </c>
      <c r="AG24">
        <f t="shared" si="24"/>
        <v>1.5296935483354426</v>
      </c>
      <c r="AH24">
        <f t="shared" si="25"/>
        <v>20.402598871257979</v>
      </c>
      <c r="AI24">
        <v>454.13671839470862</v>
      </c>
      <c r="AJ24">
        <v>429.15126060606082</v>
      </c>
      <c r="AK24">
        <v>3.3182078037879269E-3</v>
      </c>
      <c r="AL24">
        <v>67.071624187961774</v>
      </c>
      <c r="AM24">
        <f t="shared" si="26"/>
        <v>1.5281524094250085</v>
      </c>
      <c r="AN24">
        <v>19.472479599123591</v>
      </c>
      <c r="AO24">
        <v>21.267243636363641</v>
      </c>
      <c r="AP24">
        <v>-1.3960957411393529E-5</v>
      </c>
      <c r="AQ24">
        <v>78.193882406761105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52082.8334979547</v>
      </c>
      <c r="AW24" t="s">
        <v>520</v>
      </c>
      <c r="AX24">
        <v>13221.9</v>
      </c>
      <c r="AY24">
        <v>635.76176470588234</v>
      </c>
      <c r="AZ24">
        <v>2570.27</v>
      </c>
      <c r="BA24">
        <f t="shared" si="30"/>
        <v>0.75264786784817073</v>
      </c>
      <c r="BB24">
        <v>-2.1832016218308832</v>
      </c>
      <c r="BC24" t="s">
        <v>549</v>
      </c>
      <c r="BD24">
        <v>13255.9</v>
      </c>
      <c r="BE24">
        <v>917.45835294117637</v>
      </c>
      <c r="BF24">
        <v>1949.22</v>
      </c>
      <c r="BG24">
        <f t="shared" si="31"/>
        <v>0.52932026505926655</v>
      </c>
      <c r="BH24">
        <v>0.5</v>
      </c>
      <c r="BI24">
        <f t="shared" si="32"/>
        <v>336.294669814749</v>
      </c>
      <c r="BJ24">
        <f t="shared" si="33"/>
        <v>20.495131215025147</v>
      </c>
      <c r="BK24">
        <f t="shared" si="34"/>
        <v>89.003791882180735</v>
      </c>
      <c r="BL24">
        <f t="shared" si="35"/>
        <v>6.7435897361527011E-2</v>
      </c>
      <c r="BM24">
        <f t="shared" si="36"/>
        <v>0.31861462533731438</v>
      </c>
      <c r="BN24">
        <f t="shared" si="37"/>
        <v>589.31763761232617</v>
      </c>
      <c r="BO24" t="s">
        <v>408</v>
      </c>
      <c r="BP24">
        <v>0</v>
      </c>
      <c r="BQ24">
        <f t="shared" si="38"/>
        <v>589.31763761232617</v>
      </c>
      <c r="BR24">
        <f t="shared" si="39"/>
        <v>0.6976648928226028</v>
      </c>
      <c r="BS24">
        <f t="shared" si="40"/>
        <v>0.75870273895788298</v>
      </c>
      <c r="BT24">
        <f t="shared" si="41"/>
        <v>0.31351082024579247</v>
      </c>
      <c r="BU24">
        <f t="shared" si="42"/>
        <v>0.7855306086894992</v>
      </c>
      <c r="BV24">
        <f t="shared" si="43"/>
        <v>0.32103766149415081</v>
      </c>
      <c r="BW24">
        <f t="shared" si="44"/>
        <v>0.48734299964603217</v>
      </c>
      <c r="BX24">
        <f t="shared" si="45"/>
        <v>0.51265700035396788</v>
      </c>
      <c r="DG24">
        <f t="shared" si="46"/>
        <v>399.99767741935489</v>
      </c>
      <c r="DH24">
        <f t="shared" si="47"/>
        <v>336.294669814749</v>
      </c>
      <c r="DI24">
        <f t="shared" si="48"/>
        <v>0.84074155626203773</v>
      </c>
      <c r="DJ24">
        <f t="shared" si="49"/>
        <v>0.16103120358573264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1786031230.5</v>
      </c>
      <c r="DQ24">
        <v>420.02548387096778</v>
      </c>
      <c r="DR24">
        <v>445.38916129032259</v>
      </c>
      <c r="DS24">
        <v>21.26933870967742</v>
      </c>
      <c r="DT24">
        <v>19.472854838709679</v>
      </c>
      <c r="DU24">
        <v>430.46922580645167</v>
      </c>
      <c r="DV24">
        <v>21.827703225806442</v>
      </c>
      <c r="DW24">
        <v>500.02941935483881</v>
      </c>
      <c r="DX24">
        <v>97.98462903225807</v>
      </c>
      <c r="DY24">
        <v>4.8847154838709668E-2</v>
      </c>
      <c r="DZ24">
        <v>25.169296774193551</v>
      </c>
      <c r="EA24">
        <v>25.00937096774194</v>
      </c>
      <c r="EB24">
        <v>999.90000000000032</v>
      </c>
      <c r="EC24">
        <v>0</v>
      </c>
      <c r="ED24">
        <v>0</v>
      </c>
      <c r="EE24">
        <v>9990.645161290322</v>
      </c>
      <c r="EF24">
        <v>0</v>
      </c>
      <c r="EG24">
        <v>393.7612580645162</v>
      </c>
      <c r="EH24">
        <v>-25.363593548387101</v>
      </c>
      <c r="EI24">
        <v>429.15322580645159</v>
      </c>
      <c r="EJ24">
        <v>454.23429032258059</v>
      </c>
      <c r="EK24">
        <v>1.7964887096774189</v>
      </c>
      <c r="EL24">
        <v>445.38916129032259</v>
      </c>
      <c r="EM24">
        <v>19.472854838709679</v>
      </c>
      <c r="EN24">
        <v>2.0840680645161291</v>
      </c>
      <c r="EO24">
        <v>1.90804</v>
      </c>
      <c r="EP24">
        <v>18.09793548387097</v>
      </c>
      <c r="EQ24">
        <v>16.701177419354838</v>
      </c>
      <c r="ER24">
        <v>399.99767741935489</v>
      </c>
      <c r="ES24">
        <v>0.97497429032258054</v>
      </c>
      <c r="ET24">
        <v>2.502578709677419E-2</v>
      </c>
      <c r="EU24">
        <v>0</v>
      </c>
      <c r="EV24">
        <v>917.37274193548387</v>
      </c>
      <c r="EW24">
        <v>5.0010700000000003</v>
      </c>
      <c r="EX24">
        <v>5016.6712903225798</v>
      </c>
      <c r="EY24">
        <v>3583.6158064516121</v>
      </c>
      <c r="EZ24">
        <v>34.753999999999998</v>
      </c>
      <c r="FA24">
        <v>38.125</v>
      </c>
      <c r="FB24">
        <v>36.586387096774182</v>
      </c>
      <c r="FC24">
        <v>38</v>
      </c>
      <c r="FD24">
        <v>36.965451612903223</v>
      </c>
      <c r="FE24">
        <v>385.11161290322588</v>
      </c>
      <c r="FF24">
        <v>9.8874193548387073</v>
      </c>
      <c r="FG24">
        <v>0</v>
      </c>
      <c r="FH24">
        <v>180.70000004768369</v>
      </c>
      <c r="FI24">
        <v>0</v>
      </c>
      <c r="FJ24">
        <v>917.45835294117637</v>
      </c>
      <c r="FK24">
        <v>0.20269607370310261</v>
      </c>
      <c r="FL24">
        <v>133.45833334028089</v>
      </c>
      <c r="FM24">
        <v>5020.8370588235302</v>
      </c>
      <c r="FN24">
        <v>10</v>
      </c>
      <c r="FO24">
        <v>1786031145</v>
      </c>
      <c r="FP24" t="s">
        <v>550</v>
      </c>
      <c r="FQ24">
        <v>1786031145</v>
      </c>
      <c r="FR24">
        <v>1786031142.5</v>
      </c>
      <c r="FS24">
        <v>24</v>
      </c>
      <c r="FT24">
        <v>1.4E-2</v>
      </c>
      <c r="FU24">
        <v>-6.0000000000000001E-3</v>
      </c>
      <c r="FV24">
        <v>-10.539</v>
      </c>
      <c r="FW24">
        <v>-0.61</v>
      </c>
      <c r="FX24">
        <v>446</v>
      </c>
      <c r="FY24">
        <v>19</v>
      </c>
      <c r="FZ24">
        <v>0.35</v>
      </c>
      <c r="GA24">
        <v>0.16</v>
      </c>
      <c r="GB24">
        <v>420.02641935483871</v>
      </c>
      <c r="GC24">
        <v>-9.7451612902155066E-2</v>
      </c>
      <c r="GD24">
        <v>5.6276262224011282E-2</v>
      </c>
      <c r="GE24">
        <v>-1</v>
      </c>
      <c r="GF24">
        <v>917.31044117647048</v>
      </c>
      <c r="GG24">
        <v>0.91851795021297045</v>
      </c>
      <c r="GH24">
        <v>0.22010174000119939</v>
      </c>
      <c r="GI24">
        <v>1</v>
      </c>
      <c r="GJ24">
        <v>1.7978697560975609</v>
      </c>
      <c r="GK24">
        <v>-2.0821463414637871E-2</v>
      </c>
      <c r="GL24">
        <v>3.6021324902197941E-3</v>
      </c>
      <c r="GM24">
        <v>1</v>
      </c>
      <c r="GN24">
        <v>2</v>
      </c>
      <c r="GO24">
        <v>2</v>
      </c>
      <c r="GP24" t="s">
        <v>411</v>
      </c>
      <c r="GQ24">
        <v>3.1299600000000001</v>
      </c>
      <c r="GR24">
        <v>2.7255699999999998</v>
      </c>
      <c r="GS24">
        <v>9.3329599999999999E-2</v>
      </c>
      <c r="GT24">
        <v>9.6599000000000004E-2</v>
      </c>
      <c r="GU24">
        <v>0.105827</v>
      </c>
      <c r="GV24">
        <v>9.8073800000000003E-2</v>
      </c>
      <c r="GW24">
        <v>22862.9</v>
      </c>
      <c r="GX24">
        <v>30300.799999999999</v>
      </c>
      <c r="GY24">
        <v>27333</v>
      </c>
      <c r="GZ24">
        <v>34459.699999999997</v>
      </c>
      <c r="HA24">
        <v>35735.4</v>
      </c>
      <c r="HB24">
        <v>39157</v>
      </c>
      <c r="HC24">
        <v>40313.300000000003</v>
      </c>
      <c r="HD24">
        <v>43502</v>
      </c>
      <c r="HE24">
        <v>2.0087999999999999</v>
      </c>
      <c r="HF24">
        <v>1.8812</v>
      </c>
      <c r="HG24">
        <v>-1.3410999999999999E-2</v>
      </c>
      <c r="HH24">
        <v>0</v>
      </c>
      <c r="HI24">
        <v>25.209700000000002</v>
      </c>
      <c r="HJ24">
        <v>999.9</v>
      </c>
      <c r="HK24">
        <v>65.400000000000006</v>
      </c>
      <c r="HL24">
        <v>31.8</v>
      </c>
      <c r="HM24">
        <v>31.510300000000001</v>
      </c>
      <c r="HN24">
        <v>60.753799999999998</v>
      </c>
      <c r="HO24">
        <v>4.3950300000000002</v>
      </c>
      <c r="HP24">
        <v>1</v>
      </c>
      <c r="HQ24">
        <v>0.16321099999999999</v>
      </c>
      <c r="HR24">
        <v>2.00943</v>
      </c>
      <c r="HS24">
        <v>20.2393</v>
      </c>
      <c r="HT24">
        <v>5.2112999999999996</v>
      </c>
      <c r="HU24">
        <v>11.902100000000001</v>
      </c>
      <c r="HV24">
        <v>4.9855999999999998</v>
      </c>
      <c r="HW24">
        <v>3.2706</v>
      </c>
      <c r="HX24">
        <v>9999</v>
      </c>
      <c r="HY24">
        <v>9999</v>
      </c>
      <c r="HZ24">
        <v>9999</v>
      </c>
      <c r="IA24">
        <v>999.9</v>
      </c>
      <c r="IB24">
        <v>1.8674299999999999</v>
      </c>
      <c r="IC24">
        <v>1.86304</v>
      </c>
      <c r="ID24">
        <v>1.86252</v>
      </c>
      <c r="IE24">
        <v>1.8620300000000001</v>
      </c>
      <c r="IF24">
        <v>1.86206</v>
      </c>
      <c r="IG24">
        <v>1.8627</v>
      </c>
      <c r="IH24">
        <v>1.86368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-10.444000000000001</v>
      </c>
      <c r="IX24">
        <v>-0.55840000000000001</v>
      </c>
      <c r="IY24">
        <v>-8.4392303719732915</v>
      </c>
      <c r="IZ24">
        <v>-5.6215304933332991E-3</v>
      </c>
      <c r="JA24">
        <v>2.3979931213773931E-6</v>
      </c>
      <c r="JB24">
        <v>-3.6297174575716598E-10</v>
      </c>
      <c r="JC24">
        <v>-0.89183870253108499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1.6</v>
      </c>
      <c r="JL24">
        <v>1.6</v>
      </c>
      <c r="JM24">
        <v>1.1511199999999999</v>
      </c>
      <c r="JN24">
        <v>2.4939</v>
      </c>
      <c r="JO24">
        <v>1.50024</v>
      </c>
      <c r="JP24">
        <v>2.2778299999999998</v>
      </c>
      <c r="JQ24">
        <v>1.4477500000000001</v>
      </c>
      <c r="JR24">
        <v>2.49756</v>
      </c>
      <c r="JS24">
        <v>38.378999999999998</v>
      </c>
      <c r="JT24">
        <v>23.9299</v>
      </c>
      <c r="JU24">
        <v>18</v>
      </c>
      <c r="JV24">
        <v>533.40499999999997</v>
      </c>
      <c r="JW24">
        <v>467.17</v>
      </c>
      <c r="JX24">
        <v>23.2392</v>
      </c>
      <c r="JY24">
        <v>29.334299999999999</v>
      </c>
      <c r="JZ24">
        <v>30.000399999999999</v>
      </c>
      <c r="KA24">
        <v>29.804600000000001</v>
      </c>
      <c r="KB24">
        <v>29.312000000000001</v>
      </c>
      <c r="KC24">
        <v>23.023900000000001</v>
      </c>
      <c r="KD24">
        <v>42.7744</v>
      </c>
      <c r="KE24">
        <v>0</v>
      </c>
      <c r="KF24">
        <v>23.241099999999999</v>
      </c>
      <c r="KG24">
        <v>445.37599999999998</v>
      </c>
      <c r="KH24">
        <v>19.4818</v>
      </c>
      <c r="KI24">
        <v>100.803</v>
      </c>
      <c r="KJ24">
        <v>98.092399999999998</v>
      </c>
    </row>
    <row r="25" spans="1:296" x14ac:dyDescent="0.3">
      <c r="A25">
        <v>9</v>
      </c>
      <c r="B25">
        <v>1786031420</v>
      </c>
      <c r="C25">
        <v>1452</v>
      </c>
      <c r="D25" t="s">
        <v>551</v>
      </c>
      <c r="E25" t="s">
        <v>552</v>
      </c>
      <c r="F25">
        <v>15</v>
      </c>
      <c r="H25">
        <v>1786031412.25</v>
      </c>
      <c r="I25">
        <f t="shared" si="0"/>
        <v>1.3284371908907978E-3</v>
      </c>
      <c r="J25">
        <f t="shared" si="1"/>
        <v>1.3284371908907977</v>
      </c>
      <c r="K25">
        <f t="shared" si="2"/>
        <v>16.546745636017317</v>
      </c>
      <c r="L25">
        <f t="shared" si="3"/>
        <v>420.07363333333342</v>
      </c>
      <c r="M25">
        <f t="shared" si="4"/>
        <v>186.10547530453758</v>
      </c>
      <c r="N25">
        <f t="shared" si="5"/>
        <v>18.245537911980691</v>
      </c>
      <c r="O25">
        <f t="shared" si="6"/>
        <v>41.18347077250089</v>
      </c>
      <c r="P25">
        <f t="shared" si="7"/>
        <v>0.11815568354184303</v>
      </c>
      <c r="Q25">
        <f t="shared" si="8"/>
        <v>2.8952671007568074</v>
      </c>
      <c r="R25">
        <f t="shared" si="9"/>
        <v>0.11554078748642252</v>
      </c>
      <c r="S25">
        <f t="shared" si="10"/>
        <v>7.2443110271693659E-2</v>
      </c>
      <c r="T25">
        <f t="shared" si="11"/>
        <v>48.442315762966921</v>
      </c>
      <c r="U25">
        <f t="shared" si="12"/>
        <v>25.09221275125692</v>
      </c>
      <c r="V25">
        <f t="shared" si="13"/>
        <v>24.999000000000009</v>
      </c>
      <c r="W25">
        <f t="shared" si="14"/>
        <v>3.1794880254286939</v>
      </c>
      <c r="X25">
        <f t="shared" si="15"/>
        <v>64.901650122152731</v>
      </c>
      <c r="Y25">
        <f t="shared" si="16"/>
        <v>2.0825324014689492</v>
      </c>
      <c r="Z25">
        <f t="shared" si="17"/>
        <v>3.2087510834460637</v>
      </c>
      <c r="AA25">
        <f t="shared" si="18"/>
        <v>1.0969556239597447</v>
      </c>
      <c r="AB25">
        <f t="shared" si="19"/>
        <v>-58.584080118284184</v>
      </c>
      <c r="AC25">
        <f t="shared" si="20"/>
        <v>23.999822737758567</v>
      </c>
      <c r="AD25">
        <f t="shared" si="21"/>
        <v>1.7547333585387421</v>
      </c>
      <c r="AE25">
        <f t="shared" si="22"/>
        <v>15.612791740980047</v>
      </c>
      <c r="AF25">
        <f t="shared" si="23"/>
        <v>16.546745636017317</v>
      </c>
      <c r="AG25">
        <f t="shared" si="24"/>
        <v>1.3284371908907977</v>
      </c>
      <c r="AH25">
        <f t="shared" si="25"/>
        <v>16.664091045573617</v>
      </c>
      <c r="AI25">
        <v>449.38080810799983</v>
      </c>
      <c r="AJ25">
        <v>429.13342424242433</v>
      </c>
      <c r="AK25">
        <v>-2.8368629897345229E-2</v>
      </c>
      <c r="AL25">
        <v>67.075583873926476</v>
      </c>
      <c r="AM25">
        <f t="shared" si="26"/>
        <v>1.3140898640793932</v>
      </c>
      <c r="AN25">
        <v>19.685238658986989</v>
      </c>
      <c r="AO25">
        <v>21.229261818181818</v>
      </c>
      <c r="AP25">
        <v>-1.036239813431016E-4</v>
      </c>
      <c r="AQ25">
        <v>78.206466334556453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52170.340839911187</v>
      </c>
      <c r="AW25" t="s">
        <v>520</v>
      </c>
      <c r="AX25">
        <v>13221.9</v>
      </c>
      <c r="AY25">
        <v>635.76176470588234</v>
      </c>
      <c r="AZ25">
        <v>2570.27</v>
      </c>
      <c r="BA25">
        <f t="shared" si="30"/>
        <v>0.75264786784817073</v>
      </c>
      <c r="BB25">
        <v>-2.1832016218308832</v>
      </c>
      <c r="BC25" t="s">
        <v>553</v>
      </c>
      <c r="BD25">
        <v>13255.5</v>
      </c>
      <c r="BE25">
        <v>898.63764705882352</v>
      </c>
      <c r="BF25">
        <v>2103.61</v>
      </c>
      <c r="BG25">
        <f t="shared" si="31"/>
        <v>0.57281166800936323</v>
      </c>
      <c r="BH25">
        <v>0.5</v>
      </c>
      <c r="BI25">
        <f t="shared" si="32"/>
        <v>252.28633185645947</v>
      </c>
      <c r="BJ25">
        <f t="shared" si="33"/>
        <v>16.546745636017317</v>
      </c>
      <c r="BK25">
        <f t="shared" si="34"/>
        <v>72.256277283331144</v>
      </c>
      <c r="BL25">
        <f t="shared" si="35"/>
        <v>7.4240832311537067E-2</v>
      </c>
      <c r="BM25">
        <f t="shared" si="36"/>
        <v>0.22183769805239556</v>
      </c>
      <c r="BN25">
        <f t="shared" si="37"/>
        <v>602.69089336777563</v>
      </c>
      <c r="BO25" t="s">
        <v>408</v>
      </c>
      <c r="BP25">
        <v>0</v>
      </c>
      <c r="BQ25">
        <f t="shared" si="38"/>
        <v>602.69089336777563</v>
      </c>
      <c r="BR25">
        <f t="shared" si="39"/>
        <v>0.71349684905102384</v>
      </c>
      <c r="BS25">
        <f t="shared" si="40"/>
        <v>0.80282298200927316</v>
      </c>
      <c r="BT25">
        <f t="shared" si="41"/>
        <v>0.23717470795812171</v>
      </c>
      <c r="BU25">
        <f t="shared" si="42"/>
        <v>0.82091072085509731</v>
      </c>
      <c r="BV25">
        <f t="shared" si="43"/>
        <v>0.24122926513623763</v>
      </c>
      <c r="BW25">
        <f t="shared" si="44"/>
        <v>0.5384307032172202</v>
      </c>
      <c r="BX25">
        <f t="shared" si="45"/>
        <v>0.4615692967827798</v>
      </c>
      <c r="DG25">
        <f t="shared" si="46"/>
        <v>299.99336666666659</v>
      </c>
      <c r="DH25">
        <f t="shared" si="47"/>
        <v>252.28633185645947</v>
      </c>
      <c r="DI25">
        <f t="shared" si="48"/>
        <v>0.84097303436973614</v>
      </c>
      <c r="DJ25">
        <f t="shared" si="49"/>
        <v>0.16147795633359094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1786031412.25</v>
      </c>
      <c r="DQ25">
        <v>420.07363333333342</v>
      </c>
      <c r="DR25">
        <v>440.59873333333331</v>
      </c>
      <c r="DS25">
        <v>21.241943333333339</v>
      </c>
      <c r="DT25">
        <v>19.681730000000002</v>
      </c>
      <c r="DU25">
        <v>430.50213333333329</v>
      </c>
      <c r="DV25">
        <v>21.804113333333341</v>
      </c>
      <c r="DW25">
        <v>500.01569999999998</v>
      </c>
      <c r="DX25">
        <v>97.989959999999968</v>
      </c>
      <c r="DY25">
        <v>4.8734896666666659E-2</v>
      </c>
      <c r="DZ25">
        <v>25.152756666666669</v>
      </c>
      <c r="EA25">
        <v>24.999000000000009</v>
      </c>
      <c r="EB25">
        <v>999.9000000000002</v>
      </c>
      <c r="EC25">
        <v>0</v>
      </c>
      <c r="ED25">
        <v>0</v>
      </c>
      <c r="EE25">
        <v>10007</v>
      </c>
      <c r="EF25">
        <v>0</v>
      </c>
      <c r="EG25">
        <v>316.65696666666668</v>
      </c>
      <c r="EH25">
        <v>-20.524979999999999</v>
      </c>
      <c r="EI25">
        <v>429.19060000000007</v>
      </c>
      <c r="EJ25">
        <v>449.4446333333334</v>
      </c>
      <c r="EK25">
        <v>1.560223666666666</v>
      </c>
      <c r="EL25">
        <v>440.59873333333331</v>
      </c>
      <c r="EM25">
        <v>19.681730000000002</v>
      </c>
      <c r="EN25">
        <v>2.0814983333333328</v>
      </c>
      <c r="EO25">
        <v>1.9286123333333329</v>
      </c>
      <c r="EP25">
        <v>18.078289999999999</v>
      </c>
      <c r="EQ25">
        <v>16.87011</v>
      </c>
      <c r="ER25">
        <v>299.99336666666659</v>
      </c>
      <c r="ES25">
        <v>0.96700599999999992</v>
      </c>
      <c r="ET25">
        <v>3.2994106666666662E-2</v>
      </c>
      <c r="EU25">
        <v>0</v>
      </c>
      <c r="EV25">
        <v>898.74566666666658</v>
      </c>
      <c r="EW25">
        <v>5.0010700000000003</v>
      </c>
      <c r="EX25">
        <v>3791.9639999999999</v>
      </c>
      <c r="EY25">
        <v>2667.9723333333341</v>
      </c>
      <c r="EZ25">
        <v>35.312333333333328</v>
      </c>
      <c r="FA25">
        <v>40.32473333333332</v>
      </c>
      <c r="FB25">
        <v>37.599733333333333</v>
      </c>
      <c r="FC25">
        <v>40.616399999999992</v>
      </c>
      <c r="FD25">
        <v>38.187333333333328</v>
      </c>
      <c r="FE25">
        <v>285.25833333333333</v>
      </c>
      <c r="FF25">
        <v>9.73</v>
      </c>
      <c r="FG25">
        <v>0</v>
      </c>
      <c r="FH25">
        <v>180.9000000953674</v>
      </c>
      <c r="FI25">
        <v>0</v>
      </c>
      <c r="FJ25">
        <v>898.63764705882352</v>
      </c>
      <c r="FK25">
        <v>-2.2460783879395461</v>
      </c>
      <c r="FL25">
        <v>-326.69117591678338</v>
      </c>
      <c r="FM25">
        <v>3775.143529411765</v>
      </c>
      <c r="FN25">
        <v>10</v>
      </c>
      <c r="FO25">
        <v>1786031332</v>
      </c>
      <c r="FP25" t="s">
        <v>554</v>
      </c>
      <c r="FQ25">
        <v>1786031332</v>
      </c>
      <c r="FR25">
        <v>1786031331.5</v>
      </c>
      <c r="FS25">
        <v>25</v>
      </c>
      <c r="FT25">
        <v>1.4999999999999999E-2</v>
      </c>
      <c r="FU25">
        <v>-3.0000000000000001E-3</v>
      </c>
      <c r="FV25">
        <v>-10.507</v>
      </c>
      <c r="FW25">
        <v>-0.60499999999999998</v>
      </c>
      <c r="FX25">
        <v>441</v>
      </c>
      <c r="FY25">
        <v>20</v>
      </c>
      <c r="FZ25">
        <v>0.41</v>
      </c>
      <c r="GA25">
        <v>0.17</v>
      </c>
      <c r="GB25">
        <v>420.07363333333342</v>
      </c>
      <c r="GC25">
        <v>-0.21135483870896579</v>
      </c>
      <c r="GD25">
        <v>6.0478361603317148E-2</v>
      </c>
      <c r="GE25">
        <v>-1</v>
      </c>
      <c r="GF25">
        <v>898.88264705882375</v>
      </c>
      <c r="GG25">
        <v>-2.5074102298998819</v>
      </c>
      <c r="GH25">
        <v>0.31423800293941101</v>
      </c>
      <c r="GI25">
        <v>1</v>
      </c>
      <c r="GJ25">
        <v>1.5645472499999999</v>
      </c>
      <c r="GK25">
        <v>-0.11107193245778819</v>
      </c>
      <c r="GL25">
        <v>1.135436589764045E-2</v>
      </c>
      <c r="GM25">
        <v>1</v>
      </c>
      <c r="GN25">
        <v>2</v>
      </c>
      <c r="GO25">
        <v>2</v>
      </c>
      <c r="GP25" t="s">
        <v>411</v>
      </c>
      <c r="GQ25">
        <v>3.1311</v>
      </c>
      <c r="GR25">
        <v>2.7244000000000002</v>
      </c>
      <c r="GS25">
        <v>9.3329599999999999E-2</v>
      </c>
      <c r="GT25">
        <v>9.5779299999999998E-2</v>
      </c>
      <c r="GU25">
        <v>0.105696</v>
      </c>
      <c r="GV25">
        <v>9.8823800000000003E-2</v>
      </c>
      <c r="GW25">
        <v>22860.7</v>
      </c>
      <c r="GX25">
        <v>30324.3</v>
      </c>
      <c r="GY25">
        <v>27330.6</v>
      </c>
      <c r="GZ25">
        <v>34455.599999999999</v>
      </c>
      <c r="HA25">
        <v>35737.9</v>
      </c>
      <c r="HB25">
        <v>39120.800000000003</v>
      </c>
      <c r="HC25">
        <v>40309.800000000003</v>
      </c>
      <c r="HD25">
        <v>43498.1</v>
      </c>
      <c r="HE25">
        <v>2.0104000000000002</v>
      </c>
      <c r="HF25">
        <v>1.8757999999999999</v>
      </c>
      <c r="HG25">
        <v>-1.5467399999999999E-2</v>
      </c>
      <c r="HH25">
        <v>0</v>
      </c>
      <c r="HI25">
        <v>25.241599999999998</v>
      </c>
      <c r="HJ25">
        <v>999.9</v>
      </c>
      <c r="HK25">
        <v>64.7</v>
      </c>
      <c r="HL25">
        <v>32.200000000000003</v>
      </c>
      <c r="HM25">
        <v>31.888100000000001</v>
      </c>
      <c r="HN25">
        <v>59.863799999999998</v>
      </c>
      <c r="HO25">
        <v>4.5793299999999997</v>
      </c>
      <c r="HP25">
        <v>1</v>
      </c>
      <c r="HQ25">
        <v>0.16823199999999999</v>
      </c>
      <c r="HR25">
        <v>1.90601</v>
      </c>
      <c r="HS25">
        <v>20.242799999999999</v>
      </c>
      <c r="HT25">
        <v>5.2112999999999996</v>
      </c>
      <c r="HU25">
        <v>11.902100000000001</v>
      </c>
      <c r="HV25">
        <v>4.9843999999999999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1.8674299999999999</v>
      </c>
      <c r="IC25">
        <v>1.8631</v>
      </c>
      <c r="ID25">
        <v>1.8625499999999999</v>
      </c>
      <c r="IE25">
        <v>1.8620300000000001</v>
      </c>
      <c r="IF25">
        <v>1.86215</v>
      </c>
      <c r="IG25">
        <v>1.8627</v>
      </c>
      <c r="IH25">
        <v>1.8635900000000001</v>
      </c>
      <c r="II25">
        <v>1.8615699999999999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-10.429</v>
      </c>
      <c r="IX25">
        <v>-0.5625</v>
      </c>
      <c r="IY25">
        <v>-8.4237106362527943</v>
      </c>
      <c r="IZ25">
        <v>-5.6215304933332991E-3</v>
      </c>
      <c r="JA25">
        <v>2.3979931213773931E-6</v>
      </c>
      <c r="JB25">
        <v>-3.6297174575716598E-10</v>
      </c>
      <c r="JC25">
        <v>-0.8950153705971533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1.5</v>
      </c>
      <c r="JL25">
        <v>1.5</v>
      </c>
      <c r="JM25">
        <v>1.1413599999999999</v>
      </c>
      <c r="JN25">
        <v>2.50366</v>
      </c>
      <c r="JO25">
        <v>1.50024</v>
      </c>
      <c r="JP25">
        <v>2.2778299999999998</v>
      </c>
      <c r="JQ25">
        <v>1.4477500000000001</v>
      </c>
      <c r="JR25">
        <v>2.36572</v>
      </c>
      <c r="JS25">
        <v>38.697899999999997</v>
      </c>
      <c r="JT25">
        <v>23.921099999999999</v>
      </c>
      <c r="JU25">
        <v>18</v>
      </c>
      <c r="JV25">
        <v>535.05499999999995</v>
      </c>
      <c r="JW25">
        <v>464.26100000000002</v>
      </c>
      <c r="JX25">
        <v>23.3749</v>
      </c>
      <c r="JY25">
        <v>29.4</v>
      </c>
      <c r="JZ25">
        <v>30.0001</v>
      </c>
      <c r="KA25">
        <v>29.875</v>
      </c>
      <c r="KB25">
        <v>29.382000000000001</v>
      </c>
      <c r="KC25">
        <v>22.8324</v>
      </c>
      <c r="KD25">
        <v>42.677100000000003</v>
      </c>
      <c r="KE25">
        <v>0</v>
      </c>
      <c r="KF25">
        <v>23.379200000000001</v>
      </c>
      <c r="KG25">
        <v>440.47899999999998</v>
      </c>
      <c r="KH25">
        <v>19.666499999999999</v>
      </c>
      <c r="KI25">
        <v>100.794</v>
      </c>
      <c r="KJ25">
        <v>98.082300000000004</v>
      </c>
    </row>
    <row r="26" spans="1:296" x14ac:dyDescent="0.3">
      <c r="A26">
        <v>10</v>
      </c>
      <c r="B26">
        <v>1786031601.5</v>
      </c>
      <c r="C26">
        <v>1633.5</v>
      </c>
      <c r="D26" t="s">
        <v>555</v>
      </c>
      <c r="E26" t="s">
        <v>556</v>
      </c>
      <c r="F26">
        <v>15</v>
      </c>
      <c r="H26">
        <v>1786031593.5</v>
      </c>
      <c r="I26">
        <f t="shared" si="0"/>
        <v>9.8589126544404025E-4</v>
      </c>
      <c r="J26">
        <f t="shared" si="1"/>
        <v>0.98589126544404027</v>
      </c>
      <c r="K26">
        <f t="shared" si="2"/>
        <v>11.300120743979582</v>
      </c>
      <c r="L26">
        <f t="shared" si="3"/>
        <v>420.07045161290313</v>
      </c>
      <c r="M26">
        <f t="shared" si="4"/>
        <v>204.73162534848535</v>
      </c>
      <c r="N26">
        <f t="shared" si="5"/>
        <v>20.071559786498547</v>
      </c>
      <c r="O26">
        <f t="shared" si="6"/>
        <v>41.183032517512359</v>
      </c>
      <c r="P26">
        <f t="shared" si="7"/>
        <v>8.7487957643624811E-2</v>
      </c>
      <c r="Q26">
        <f t="shared" si="8"/>
        <v>2.8963472888619659</v>
      </c>
      <c r="R26">
        <f t="shared" si="9"/>
        <v>8.6045909798755052E-2</v>
      </c>
      <c r="S26">
        <f t="shared" si="10"/>
        <v>5.390627598610373E-2</v>
      </c>
      <c r="T26">
        <f t="shared" si="11"/>
        <v>32.484878303845406</v>
      </c>
      <c r="U26">
        <f t="shared" si="12"/>
        <v>25.136786986091423</v>
      </c>
      <c r="V26">
        <f t="shared" si="13"/>
        <v>24.99596774193548</v>
      </c>
      <c r="W26">
        <f t="shared" si="14"/>
        <v>3.1789132771689212</v>
      </c>
      <c r="X26">
        <f t="shared" si="15"/>
        <v>64.810938481507804</v>
      </c>
      <c r="Y26">
        <f t="shared" si="16"/>
        <v>2.0857760074582448</v>
      </c>
      <c r="Z26">
        <f t="shared" si="17"/>
        <v>3.2182468828982769</v>
      </c>
      <c r="AA26">
        <f t="shared" si="18"/>
        <v>1.0931372697106765</v>
      </c>
      <c r="AB26">
        <f t="shared" si="19"/>
        <v>-43.477804806082176</v>
      </c>
      <c r="AC26">
        <f t="shared" si="20"/>
        <v>32.231943624598834</v>
      </c>
      <c r="AD26">
        <f t="shared" si="21"/>
        <v>2.3562938648655503</v>
      </c>
      <c r="AE26">
        <f t="shared" si="22"/>
        <v>23.595310987227613</v>
      </c>
      <c r="AF26">
        <f t="shared" si="23"/>
        <v>11.300120743979582</v>
      </c>
      <c r="AG26">
        <f t="shared" si="24"/>
        <v>0.98589126544404027</v>
      </c>
      <c r="AH26">
        <f t="shared" si="25"/>
        <v>11.184028039930237</v>
      </c>
      <c r="AI26">
        <v>442.9812991483625</v>
      </c>
      <c r="AJ26">
        <v>429.26094545454538</v>
      </c>
      <c r="AK26">
        <v>4.4175781397252549E-3</v>
      </c>
      <c r="AL26">
        <v>67.07346481659367</v>
      </c>
      <c r="AM26">
        <f t="shared" si="26"/>
        <v>0.98063228908500155</v>
      </c>
      <c r="AN26">
        <v>20.118281232565479</v>
      </c>
      <c r="AO26">
        <v>21.270373333333328</v>
      </c>
      <c r="AP26">
        <v>-5.0970264652964713E-5</v>
      </c>
      <c r="AQ26">
        <v>78.199808740700149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52192.657578299026</v>
      </c>
      <c r="AW26" t="s">
        <v>520</v>
      </c>
      <c r="AX26">
        <v>13221.9</v>
      </c>
      <c r="AY26">
        <v>635.76176470588234</v>
      </c>
      <c r="AZ26">
        <v>2570.27</v>
      </c>
      <c r="BA26">
        <f t="shared" si="30"/>
        <v>0.75264786784817073</v>
      </c>
      <c r="BB26">
        <v>-2.1832016218308832</v>
      </c>
      <c r="BC26" t="s">
        <v>557</v>
      </c>
      <c r="BD26">
        <v>13232.2</v>
      </c>
      <c r="BE26">
        <v>869.11164705882345</v>
      </c>
      <c r="BF26">
        <v>2231.54</v>
      </c>
      <c r="BG26">
        <f t="shared" si="31"/>
        <v>0.61053279481487066</v>
      </c>
      <c r="BH26">
        <v>0.5</v>
      </c>
      <c r="BI26">
        <f t="shared" si="32"/>
        <v>168.2956145649207</v>
      </c>
      <c r="BJ26">
        <f t="shared" si="33"/>
        <v>11.300120743979582</v>
      </c>
      <c r="BK26">
        <f t="shared" si="34"/>
        <v>51.374995957703646</v>
      </c>
      <c r="BL26">
        <f t="shared" si="35"/>
        <v>8.0116896691976608E-2</v>
      </c>
      <c r="BM26">
        <f t="shared" si="36"/>
        <v>0.15179203599308103</v>
      </c>
      <c r="BN26">
        <f t="shared" si="37"/>
        <v>612.75520640987895</v>
      </c>
      <c r="BO26" t="s">
        <v>408</v>
      </c>
      <c r="BP26">
        <v>0</v>
      </c>
      <c r="BQ26">
        <f t="shared" si="38"/>
        <v>612.75520640987895</v>
      </c>
      <c r="BR26">
        <f t="shared" si="39"/>
        <v>0.72541150666809506</v>
      </c>
      <c r="BS26">
        <f t="shared" si="40"/>
        <v>0.84163649074043967</v>
      </c>
      <c r="BT26">
        <f t="shared" si="41"/>
        <v>0.17304083785684321</v>
      </c>
      <c r="BU26">
        <f t="shared" si="42"/>
        <v>0.85377048189284743</v>
      </c>
      <c r="BV26">
        <f t="shared" si="43"/>
        <v>0.17509876351004541</v>
      </c>
      <c r="BW26">
        <f t="shared" si="44"/>
        <v>0.59338422554914783</v>
      </c>
      <c r="BX26">
        <f t="shared" si="45"/>
        <v>0.40661577445085217</v>
      </c>
      <c r="DG26">
        <f t="shared" si="46"/>
        <v>200.0038709677419</v>
      </c>
      <c r="DH26">
        <f t="shared" si="47"/>
        <v>168.2956145649207</v>
      </c>
      <c r="DI26">
        <f t="shared" si="48"/>
        <v>0.84146178646744618</v>
      </c>
      <c r="DJ26">
        <f t="shared" si="49"/>
        <v>0.16242124788217127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1786031593.5</v>
      </c>
      <c r="DQ26">
        <v>420.07045161290313</v>
      </c>
      <c r="DR26">
        <v>434.12816129032268</v>
      </c>
      <c r="DS26">
        <v>21.27509354838709</v>
      </c>
      <c r="DT26">
        <v>20.11714516129032</v>
      </c>
      <c r="DU26">
        <v>430.48977419354839</v>
      </c>
      <c r="DV26">
        <v>21.838519354838709</v>
      </c>
      <c r="DW26">
        <v>499.97893548387088</v>
      </c>
      <c r="DX26">
        <v>97.989738709677411</v>
      </c>
      <c r="DY26">
        <v>4.8655467741935493E-2</v>
      </c>
      <c r="DZ26">
        <v>25.202387096774189</v>
      </c>
      <c r="EA26">
        <v>24.99596774193548</v>
      </c>
      <c r="EB26">
        <v>999.90000000000032</v>
      </c>
      <c r="EC26">
        <v>0</v>
      </c>
      <c r="ED26">
        <v>0</v>
      </c>
      <c r="EE26">
        <v>10013.22580645161</v>
      </c>
      <c r="EF26">
        <v>0</v>
      </c>
      <c r="EG26">
        <v>203.43709677419349</v>
      </c>
      <c r="EH26">
        <v>-14.0577064516129</v>
      </c>
      <c r="EI26">
        <v>429.20174193548388</v>
      </c>
      <c r="EJ26">
        <v>443.04090322580652</v>
      </c>
      <c r="EK26">
        <v>1.15795870967742</v>
      </c>
      <c r="EL26">
        <v>434.12816129032268</v>
      </c>
      <c r="EM26">
        <v>20.11714516129032</v>
      </c>
      <c r="EN26">
        <v>2.084740967741936</v>
      </c>
      <c r="EO26">
        <v>1.971271935483871</v>
      </c>
      <c r="EP26">
        <v>18.10306774193548</v>
      </c>
      <c r="EQ26">
        <v>17.215458064516131</v>
      </c>
      <c r="ER26">
        <v>200.0038709677419</v>
      </c>
      <c r="ES26">
        <v>0.95003593548387089</v>
      </c>
      <c r="ET26">
        <v>4.9963806451612899E-2</v>
      </c>
      <c r="EU26">
        <v>0</v>
      </c>
      <c r="EV26">
        <v>869.09674193548358</v>
      </c>
      <c r="EW26">
        <v>5.0010700000000003</v>
      </c>
      <c r="EX26">
        <v>2639.525483870967</v>
      </c>
      <c r="EY26">
        <v>1751.887741935484</v>
      </c>
      <c r="EZ26">
        <v>35.235774193548387</v>
      </c>
      <c r="FA26">
        <v>38.997709677419337</v>
      </c>
      <c r="FB26">
        <v>37.384903225806447</v>
      </c>
      <c r="FC26">
        <v>38.935322580645163</v>
      </c>
      <c r="FD26">
        <v>37.520000000000003</v>
      </c>
      <c r="FE26">
        <v>185.25838709677419</v>
      </c>
      <c r="FF26">
        <v>9.7454838709677407</v>
      </c>
      <c r="FG26">
        <v>0</v>
      </c>
      <c r="FH26">
        <v>180.70000004768369</v>
      </c>
      <c r="FI26">
        <v>0</v>
      </c>
      <c r="FJ26">
        <v>869.11164705882345</v>
      </c>
      <c r="FK26">
        <v>-0.69191176902488016</v>
      </c>
      <c r="FL26">
        <v>-10.99509782816183</v>
      </c>
      <c r="FM26">
        <v>2638.5252941176468</v>
      </c>
      <c r="FN26">
        <v>10</v>
      </c>
      <c r="FO26">
        <v>1786031514</v>
      </c>
      <c r="FP26" t="s">
        <v>558</v>
      </c>
      <c r="FQ26">
        <v>1786031509</v>
      </c>
      <c r="FR26">
        <v>1786031514</v>
      </c>
      <c r="FS26">
        <v>26</v>
      </c>
      <c r="FT26">
        <v>8.9999999999999993E-3</v>
      </c>
      <c r="FU26">
        <v>-2E-3</v>
      </c>
      <c r="FV26">
        <v>-10.474</v>
      </c>
      <c r="FW26">
        <v>-0.6</v>
      </c>
      <c r="FX26">
        <v>435</v>
      </c>
      <c r="FY26">
        <v>20</v>
      </c>
      <c r="FZ26">
        <v>0.41</v>
      </c>
      <c r="GA26">
        <v>0.21</v>
      </c>
      <c r="GB26">
        <v>420.06219354838697</v>
      </c>
      <c r="GC26">
        <v>0.26211290322568248</v>
      </c>
      <c r="GD26">
        <v>4.8811962676292557E-2</v>
      </c>
      <c r="GE26">
        <v>-1</v>
      </c>
      <c r="GF26">
        <v>869.13920588235294</v>
      </c>
      <c r="GG26">
        <v>-0.42036669652761699</v>
      </c>
      <c r="GH26">
        <v>0.19300392855065021</v>
      </c>
      <c r="GI26">
        <v>1</v>
      </c>
      <c r="GJ26">
        <v>1.163384878048781</v>
      </c>
      <c r="GK26">
        <v>-9.4896376306619123E-2</v>
      </c>
      <c r="GL26">
        <v>9.8915879812093831E-3</v>
      </c>
      <c r="GM26">
        <v>1</v>
      </c>
      <c r="GN26">
        <v>2</v>
      </c>
      <c r="GO26">
        <v>2</v>
      </c>
      <c r="GP26" t="s">
        <v>411</v>
      </c>
      <c r="GQ26">
        <v>3.1310199999999999</v>
      </c>
      <c r="GR26">
        <v>2.7250000000000001</v>
      </c>
      <c r="GS26">
        <v>9.3303200000000003E-2</v>
      </c>
      <c r="GT26">
        <v>9.4737500000000002E-2</v>
      </c>
      <c r="GU26">
        <v>0.10582900000000001</v>
      </c>
      <c r="GV26">
        <v>0.10036200000000001</v>
      </c>
      <c r="GW26">
        <v>22860</v>
      </c>
      <c r="GX26">
        <v>30357.9</v>
      </c>
      <c r="GY26">
        <v>27329</v>
      </c>
      <c r="GZ26">
        <v>34454.199999999997</v>
      </c>
      <c r="HA26">
        <v>35730.6</v>
      </c>
      <c r="HB26">
        <v>39052.9</v>
      </c>
      <c r="HC26">
        <v>40307.5</v>
      </c>
      <c r="HD26">
        <v>43497.3</v>
      </c>
      <c r="HE26">
        <v>2.0095999999999998</v>
      </c>
      <c r="HF26">
        <v>1.8737999999999999</v>
      </c>
      <c r="HG26">
        <v>-1.1026899999999999E-2</v>
      </c>
      <c r="HH26">
        <v>0</v>
      </c>
      <c r="HI26">
        <v>25.177900000000001</v>
      </c>
      <c r="HJ26">
        <v>999.9</v>
      </c>
      <c r="HK26">
        <v>64.099999999999994</v>
      </c>
      <c r="HL26">
        <v>32.5</v>
      </c>
      <c r="HM26">
        <v>32.133200000000002</v>
      </c>
      <c r="HN26">
        <v>59.793799999999997</v>
      </c>
      <c r="HO26">
        <v>4.7275600000000004</v>
      </c>
      <c r="HP26">
        <v>1</v>
      </c>
      <c r="HQ26">
        <v>0.169268</v>
      </c>
      <c r="HR26">
        <v>1.76078</v>
      </c>
      <c r="HS26">
        <v>20.243300000000001</v>
      </c>
      <c r="HT26">
        <v>5.2148899999999996</v>
      </c>
      <c r="HU26">
        <v>11.902100000000001</v>
      </c>
      <c r="HV26">
        <v>4.9859999999999998</v>
      </c>
      <c r="HW26">
        <v>3.2707999999999999</v>
      </c>
      <c r="HX26">
        <v>9999</v>
      </c>
      <c r="HY26">
        <v>9999</v>
      </c>
      <c r="HZ26">
        <v>9999</v>
      </c>
      <c r="IA26">
        <v>999.9</v>
      </c>
      <c r="IB26">
        <v>1.8675200000000001</v>
      </c>
      <c r="IC26">
        <v>1.8631</v>
      </c>
      <c r="ID26">
        <v>1.86252</v>
      </c>
      <c r="IE26">
        <v>1.8620300000000001</v>
      </c>
      <c r="IF26">
        <v>1.86215</v>
      </c>
      <c r="IG26">
        <v>1.86276</v>
      </c>
      <c r="IH26">
        <v>1.86371</v>
      </c>
      <c r="II26">
        <v>1.8615699999999999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-10.419</v>
      </c>
      <c r="IX26">
        <v>-0.56359999999999999</v>
      </c>
      <c r="IY26">
        <v>-8.414660635389394</v>
      </c>
      <c r="IZ26">
        <v>-5.6215304933332991E-3</v>
      </c>
      <c r="JA26">
        <v>2.3979931213773931E-6</v>
      </c>
      <c r="JB26">
        <v>-3.6297174575716598E-10</v>
      </c>
      <c r="JC26">
        <v>-0.8971828566798008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1.5</v>
      </c>
      <c r="JL26">
        <v>1.5</v>
      </c>
      <c r="JM26">
        <v>1.1279300000000001</v>
      </c>
      <c r="JN26">
        <v>2.49512</v>
      </c>
      <c r="JO26">
        <v>1.50024</v>
      </c>
      <c r="JP26">
        <v>2.2766099999999998</v>
      </c>
      <c r="JQ26">
        <v>1.4477500000000001</v>
      </c>
      <c r="JR26">
        <v>2.4426299999999999</v>
      </c>
      <c r="JS26">
        <v>38.944499999999998</v>
      </c>
      <c r="JT26">
        <v>23.921099999999999</v>
      </c>
      <c r="JU26">
        <v>18</v>
      </c>
      <c r="JV26">
        <v>534.82500000000005</v>
      </c>
      <c r="JW26">
        <v>463.23899999999998</v>
      </c>
      <c r="JX26">
        <v>23.476900000000001</v>
      </c>
      <c r="JY26">
        <v>29.4177</v>
      </c>
      <c r="JZ26">
        <v>30.0002</v>
      </c>
      <c r="KA26">
        <v>29.907699999999998</v>
      </c>
      <c r="KB26">
        <v>29.4146</v>
      </c>
      <c r="KC26">
        <v>22.571899999999999</v>
      </c>
      <c r="KD26">
        <v>41.972799999999999</v>
      </c>
      <c r="KE26">
        <v>0</v>
      </c>
      <c r="KF26">
        <v>23.477399999999999</v>
      </c>
      <c r="KG26">
        <v>434.10199999999998</v>
      </c>
      <c r="KH26">
        <v>20.1706</v>
      </c>
      <c r="KI26">
        <v>100.789</v>
      </c>
      <c r="KJ26">
        <v>98.079599999999999</v>
      </c>
    </row>
    <row r="27" spans="1:296" x14ac:dyDescent="0.3">
      <c r="A27">
        <v>11</v>
      </c>
      <c r="B27">
        <v>1786031783.0999999</v>
      </c>
      <c r="C27">
        <v>1815.099999904633</v>
      </c>
      <c r="D27" t="s">
        <v>559</v>
      </c>
      <c r="E27" t="s">
        <v>560</v>
      </c>
      <c r="F27">
        <v>15</v>
      </c>
      <c r="H27">
        <v>1786031775.099999</v>
      </c>
      <c r="I27">
        <f t="shared" si="0"/>
        <v>6.8427605950547026E-4</v>
      </c>
      <c r="J27">
        <f t="shared" si="1"/>
        <v>0.68427605950547021</v>
      </c>
      <c r="K27">
        <f t="shared" si="2"/>
        <v>5.4975899152978975</v>
      </c>
      <c r="L27">
        <f t="shared" si="3"/>
        <v>419.9955161290323</v>
      </c>
      <c r="M27">
        <f t="shared" si="4"/>
        <v>266.58081208078085</v>
      </c>
      <c r="N27">
        <f t="shared" si="5"/>
        <v>26.134535613015224</v>
      </c>
      <c r="O27">
        <f t="shared" si="6"/>
        <v>41.174710542388084</v>
      </c>
      <c r="P27">
        <f t="shared" si="7"/>
        <v>6.0378554383241821E-2</v>
      </c>
      <c r="Q27">
        <f t="shared" si="8"/>
        <v>2.893633223960868</v>
      </c>
      <c r="R27">
        <f t="shared" si="9"/>
        <v>5.9687281871924347E-2</v>
      </c>
      <c r="S27">
        <f t="shared" si="10"/>
        <v>3.7365999713453182E-2</v>
      </c>
      <c r="T27">
        <f t="shared" si="11"/>
        <v>16.50991600303816</v>
      </c>
      <c r="U27">
        <f t="shared" si="12"/>
        <v>25.082596832723553</v>
      </c>
      <c r="V27">
        <f t="shared" si="13"/>
        <v>24.991277419354841</v>
      </c>
      <c r="W27">
        <f t="shared" si="14"/>
        <v>3.1780244305027954</v>
      </c>
      <c r="X27">
        <f t="shared" si="15"/>
        <v>64.911414253527681</v>
      </c>
      <c r="Y27">
        <f t="shared" si="16"/>
        <v>2.0842687057541576</v>
      </c>
      <c r="Z27">
        <f t="shared" si="17"/>
        <v>3.2109432982210611</v>
      </c>
      <c r="AA27">
        <f t="shared" si="18"/>
        <v>1.0937557247486378</v>
      </c>
      <c r="AB27">
        <f t="shared" si="19"/>
        <v>-30.176574224191238</v>
      </c>
      <c r="AC27">
        <f t="shared" si="20"/>
        <v>26.980217212911494</v>
      </c>
      <c r="AD27">
        <f t="shared" si="21"/>
        <v>1.9737942933328643</v>
      </c>
      <c r="AE27">
        <f t="shared" si="22"/>
        <v>15.287353285091282</v>
      </c>
      <c r="AF27">
        <f t="shared" si="23"/>
        <v>5.4975899152978975</v>
      </c>
      <c r="AG27">
        <f t="shared" si="24"/>
        <v>0.68427605950547021</v>
      </c>
      <c r="AH27">
        <f t="shared" si="25"/>
        <v>5.3107116273216972</v>
      </c>
      <c r="AI27">
        <v>435.70633103368681</v>
      </c>
      <c r="AJ27">
        <v>429.14397575757528</v>
      </c>
      <c r="AK27">
        <v>1.0663840974541469E-2</v>
      </c>
      <c r="AL27">
        <v>67.070459500060252</v>
      </c>
      <c r="AM27">
        <f t="shared" si="26"/>
        <v>0.67441043559233249</v>
      </c>
      <c r="AN27">
        <v>20.458142349996908</v>
      </c>
      <c r="AO27">
        <v>21.250176969696959</v>
      </c>
      <c r="AP27">
        <v>7.7576288087251385E-6</v>
      </c>
      <c r="AQ27">
        <v>78.188418342885498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52121.384784704205</v>
      </c>
      <c r="AW27" t="s">
        <v>520</v>
      </c>
      <c r="AX27">
        <v>13221.9</v>
      </c>
      <c r="AY27">
        <v>635.76176470588234</v>
      </c>
      <c r="AZ27">
        <v>2570.27</v>
      </c>
      <c r="BA27">
        <f t="shared" si="30"/>
        <v>0.75264786784817073</v>
      </c>
      <c r="BB27">
        <v>-2.1832016218308832</v>
      </c>
      <c r="BC27" t="s">
        <v>561</v>
      </c>
      <c r="BD27">
        <v>13231</v>
      </c>
      <c r="BE27">
        <v>830.06717647058827</v>
      </c>
      <c r="BF27">
        <v>2405.25</v>
      </c>
      <c r="BG27">
        <f t="shared" si="31"/>
        <v>0.65489359672774627</v>
      </c>
      <c r="BH27">
        <v>0.5</v>
      </c>
      <c r="BI27">
        <f t="shared" si="32"/>
        <v>84.286933767243568</v>
      </c>
      <c r="BJ27">
        <f t="shared" si="33"/>
        <v>5.4975899152978975</v>
      </c>
      <c r="BK27">
        <f t="shared" si="34"/>
        <v>27.599486605991736</v>
      </c>
      <c r="BL27">
        <f t="shared" si="35"/>
        <v>9.1126716726214169E-2</v>
      </c>
      <c r="BM27">
        <f t="shared" si="36"/>
        <v>6.8608252780376258E-2</v>
      </c>
      <c r="BN27">
        <f t="shared" si="37"/>
        <v>625.15267524106287</v>
      </c>
      <c r="BO27" t="s">
        <v>408</v>
      </c>
      <c r="BP27">
        <v>0</v>
      </c>
      <c r="BQ27">
        <f t="shared" si="38"/>
        <v>625.15267524106287</v>
      </c>
      <c r="BR27">
        <f t="shared" si="39"/>
        <v>0.74008827554679857</v>
      </c>
      <c r="BS27">
        <f t="shared" si="40"/>
        <v>0.88488578777158977</v>
      </c>
      <c r="BT27">
        <f t="shared" si="41"/>
        <v>8.4838070125384996E-2</v>
      </c>
      <c r="BU27">
        <f t="shared" si="42"/>
        <v>0.89019118189705893</v>
      </c>
      <c r="BV27">
        <f t="shared" si="43"/>
        <v>8.5303332903574211E-2</v>
      </c>
      <c r="BW27">
        <f t="shared" si="44"/>
        <v>0.66643849219570461</v>
      </c>
      <c r="BX27">
        <f t="shared" si="45"/>
        <v>0.33356150780429539</v>
      </c>
      <c r="DG27">
        <f t="shared" si="46"/>
        <v>100.0026451612903</v>
      </c>
      <c r="DH27">
        <f t="shared" si="47"/>
        <v>84.286933767243568</v>
      </c>
      <c r="DI27">
        <f t="shared" si="48"/>
        <v>0.84284704300871749</v>
      </c>
      <c r="DJ27">
        <f t="shared" si="49"/>
        <v>0.16509479300682467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1786031775.099999</v>
      </c>
      <c r="DQ27">
        <v>419.9955161290323</v>
      </c>
      <c r="DR27">
        <v>426.93738709677422</v>
      </c>
      <c r="DS27">
        <v>21.260222580645159</v>
      </c>
      <c r="DT27">
        <v>20.456561290322579</v>
      </c>
      <c r="DU27">
        <v>430.33493548387099</v>
      </c>
      <c r="DV27">
        <v>21.83066451612903</v>
      </c>
      <c r="DW27">
        <v>500.00780645161302</v>
      </c>
      <c r="DX27">
        <v>97.987203225806454</v>
      </c>
      <c r="DY27">
        <v>4.8868496774193547E-2</v>
      </c>
      <c r="DZ27">
        <v>25.164225806451611</v>
      </c>
      <c r="EA27">
        <v>24.991277419354841</v>
      </c>
      <c r="EB27">
        <v>999.90000000000032</v>
      </c>
      <c r="EC27">
        <v>0</v>
      </c>
      <c r="ED27">
        <v>0</v>
      </c>
      <c r="EE27">
        <v>9997.9032258064508</v>
      </c>
      <c r="EF27">
        <v>0</v>
      </c>
      <c r="EG27">
        <v>184.55422580645171</v>
      </c>
      <c r="EH27">
        <v>-6.9420164516129041</v>
      </c>
      <c r="EI27">
        <v>429.11864516129032</v>
      </c>
      <c r="EJ27">
        <v>435.85348387096781</v>
      </c>
      <c r="EK27">
        <v>0.80367161290322586</v>
      </c>
      <c r="EL27">
        <v>426.93738709677422</v>
      </c>
      <c r="EM27">
        <v>20.456561290322579</v>
      </c>
      <c r="EN27">
        <v>2.0832296774193551</v>
      </c>
      <c r="EO27">
        <v>2.004479354838709</v>
      </c>
      <c r="EP27">
        <v>18.09152903225807</v>
      </c>
      <c r="EQ27">
        <v>17.479770967741931</v>
      </c>
      <c r="ER27">
        <v>100.0026451612903</v>
      </c>
      <c r="ES27">
        <v>0.90006574193548405</v>
      </c>
      <c r="ET27">
        <v>9.9934432258064546E-2</v>
      </c>
      <c r="EU27">
        <v>0</v>
      </c>
      <c r="EV27">
        <v>830.06241935483854</v>
      </c>
      <c r="EW27">
        <v>5.0010700000000003</v>
      </c>
      <c r="EX27">
        <v>1621.9825806451611</v>
      </c>
      <c r="EY27">
        <v>836.61548387096786</v>
      </c>
      <c r="EZ27">
        <v>34.505774193548383</v>
      </c>
      <c r="FA27">
        <v>38.866677419354822</v>
      </c>
      <c r="FB27">
        <v>36.771967741935477</v>
      </c>
      <c r="FC27">
        <v>38.860580645161278</v>
      </c>
      <c r="FD27">
        <v>37.292096774193553</v>
      </c>
      <c r="FE27">
        <v>85.507419354838717</v>
      </c>
      <c r="FF27">
        <v>9.490000000000002</v>
      </c>
      <c r="FG27">
        <v>0</v>
      </c>
      <c r="FH27">
        <v>180.9000000953674</v>
      </c>
      <c r="FI27">
        <v>0</v>
      </c>
      <c r="FJ27">
        <v>830.06717647058827</v>
      </c>
      <c r="FK27">
        <v>0.8747548821590746</v>
      </c>
      <c r="FL27">
        <v>-24.247548984068729</v>
      </c>
      <c r="FM27">
        <v>1621.36</v>
      </c>
      <c r="FN27">
        <v>10</v>
      </c>
      <c r="FO27">
        <v>1786031698.5</v>
      </c>
      <c r="FP27" t="s">
        <v>562</v>
      </c>
      <c r="FQ27">
        <v>1786031696.5</v>
      </c>
      <c r="FR27">
        <v>1786031698.5</v>
      </c>
      <c r="FS27">
        <v>27</v>
      </c>
      <c r="FT27">
        <v>7.9000000000000001E-2</v>
      </c>
      <c r="FU27">
        <v>-7.0000000000000001E-3</v>
      </c>
      <c r="FV27">
        <v>-10.365</v>
      </c>
      <c r="FW27">
        <v>-0.59499999999999997</v>
      </c>
      <c r="FX27">
        <v>427</v>
      </c>
      <c r="FY27">
        <v>20</v>
      </c>
      <c r="FZ27">
        <v>1.31</v>
      </c>
      <c r="GA27">
        <v>0.26</v>
      </c>
      <c r="GB27">
        <v>419.9955161290323</v>
      </c>
      <c r="GC27">
        <v>-0.10132258064585931</v>
      </c>
      <c r="GD27">
        <v>5.8293401921624612E-2</v>
      </c>
      <c r="GE27">
        <v>-1</v>
      </c>
      <c r="GF27">
        <v>830.0985588235294</v>
      </c>
      <c r="GG27">
        <v>-0.40099312460959502</v>
      </c>
      <c r="GH27">
        <v>0.19126378322904811</v>
      </c>
      <c r="GI27">
        <v>1</v>
      </c>
      <c r="GJ27">
        <v>0.80745234146341471</v>
      </c>
      <c r="GK27">
        <v>-9.5464557491288515E-2</v>
      </c>
      <c r="GL27">
        <v>1.01141958787462E-2</v>
      </c>
      <c r="GM27">
        <v>1</v>
      </c>
      <c r="GN27">
        <v>2</v>
      </c>
      <c r="GO27">
        <v>2</v>
      </c>
      <c r="GP27" t="s">
        <v>411</v>
      </c>
      <c r="GQ27">
        <v>3.1310799999999999</v>
      </c>
      <c r="GR27">
        <v>2.7244799999999998</v>
      </c>
      <c r="GS27">
        <v>9.3284900000000004E-2</v>
      </c>
      <c r="GT27">
        <v>9.3568799999999994E-2</v>
      </c>
      <c r="GU27">
        <v>0.10578799999999999</v>
      </c>
      <c r="GV27">
        <v>0.101577</v>
      </c>
      <c r="GW27">
        <v>22862.5</v>
      </c>
      <c r="GX27">
        <v>30399.9</v>
      </c>
      <c r="GY27">
        <v>27331.1</v>
      </c>
      <c r="GZ27">
        <v>34456.9</v>
      </c>
      <c r="HA27">
        <v>35735</v>
      </c>
      <c r="HB27">
        <v>39002</v>
      </c>
      <c r="HC27">
        <v>40310.9</v>
      </c>
      <c r="HD27">
        <v>43500</v>
      </c>
      <c r="HE27">
        <v>2.0093999999999999</v>
      </c>
      <c r="HF27">
        <v>1.8740000000000001</v>
      </c>
      <c r="HG27">
        <v>-1.0162600000000001E-2</v>
      </c>
      <c r="HH27">
        <v>0</v>
      </c>
      <c r="HI27">
        <v>25.154499999999999</v>
      </c>
      <c r="HJ27">
        <v>999.9</v>
      </c>
      <c r="HK27">
        <v>63.2</v>
      </c>
      <c r="HL27">
        <v>32.700000000000003</v>
      </c>
      <c r="HM27">
        <v>32.0396</v>
      </c>
      <c r="HN27">
        <v>60.084600000000002</v>
      </c>
      <c r="HO27">
        <v>4.6955099999999996</v>
      </c>
      <c r="HP27">
        <v>1</v>
      </c>
      <c r="HQ27">
        <v>0.16339400000000001</v>
      </c>
      <c r="HR27">
        <v>1.67292</v>
      </c>
      <c r="HS27">
        <v>20.2471</v>
      </c>
      <c r="HT27">
        <v>5.2148899999999996</v>
      </c>
      <c r="HU27">
        <v>11.902100000000001</v>
      </c>
      <c r="HV27">
        <v>4.9851999999999999</v>
      </c>
      <c r="HW27">
        <v>3.2702</v>
      </c>
      <c r="HX27">
        <v>9999</v>
      </c>
      <c r="HY27">
        <v>9999</v>
      </c>
      <c r="HZ27">
        <v>9999</v>
      </c>
      <c r="IA27">
        <v>999.9</v>
      </c>
      <c r="IB27">
        <v>1.8674599999999999</v>
      </c>
      <c r="IC27">
        <v>1.8631</v>
      </c>
      <c r="ID27">
        <v>1.8625799999999999</v>
      </c>
      <c r="IE27">
        <v>1.86209</v>
      </c>
      <c r="IF27">
        <v>1.86215</v>
      </c>
      <c r="IG27">
        <v>1.86276</v>
      </c>
      <c r="IH27">
        <v>1.86368</v>
      </c>
      <c r="II27">
        <v>1.8616299999999999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-10.34</v>
      </c>
      <c r="IX27">
        <v>-0.57079999999999997</v>
      </c>
      <c r="IY27">
        <v>-8.3354569463972084</v>
      </c>
      <c r="IZ27">
        <v>-5.6215304933332991E-3</v>
      </c>
      <c r="JA27">
        <v>2.3979931213773931E-6</v>
      </c>
      <c r="JB27">
        <v>-3.6297174575716598E-10</v>
      </c>
      <c r="JC27">
        <v>-0.90397888336067855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1.4</v>
      </c>
      <c r="JL27">
        <v>1.4</v>
      </c>
      <c r="JM27">
        <v>1.1145</v>
      </c>
      <c r="JN27">
        <v>2.50854</v>
      </c>
      <c r="JO27">
        <v>1.50024</v>
      </c>
      <c r="JP27">
        <v>2.2766099999999998</v>
      </c>
      <c r="JQ27">
        <v>1.4477500000000001</v>
      </c>
      <c r="JR27">
        <v>2.36816</v>
      </c>
      <c r="JS27">
        <v>39.142800000000001</v>
      </c>
      <c r="JT27">
        <v>23.912400000000002</v>
      </c>
      <c r="JU27">
        <v>18</v>
      </c>
      <c r="JV27">
        <v>534.32000000000005</v>
      </c>
      <c r="JW27">
        <v>463.04899999999998</v>
      </c>
      <c r="JX27">
        <v>23.586500000000001</v>
      </c>
      <c r="JY27">
        <v>29.3535</v>
      </c>
      <c r="JZ27">
        <v>29.9999</v>
      </c>
      <c r="KA27">
        <v>29.864899999999999</v>
      </c>
      <c r="KB27">
        <v>29.374500000000001</v>
      </c>
      <c r="KC27">
        <v>22.289000000000001</v>
      </c>
      <c r="KD27">
        <v>41.109400000000001</v>
      </c>
      <c r="KE27">
        <v>0</v>
      </c>
      <c r="KF27">
        <v>23.588100000000001</v>
      </c>
      <c r="KG27">
        <v>427.012</v>
      </c>
      <c r="KH27">
        <v>20.489799999999999</v>
      </c>
      <c r="KI27">
        <v>100.797</v>
      </c>
      <c r="KJ27">
        <v>98.086399999999998</v>
      </c>
    </row>
    <row r="28" spans="1:296" x14ac:dyDescent="0.3">
      <c r="A28">
        <v>12</v>
      </c>
      <c r="B28">
        <v>1786031964.5999999</v>
      </c>
      <c r="C28">
        <v>1996.599999904633</v>
      </c>
      <c r="D28" t="s">
        <v>563</v>
      </c>
      <c r="E28" t="s">
        <v>564</v>
      </c>
      <c r="F28">
        <v>15</v>
      </c>
      <c r="H28">
        <v>1786031956.849999</v>
      </c>
      <c r="I28">
        <f t="shared" si="0"/>
        <v>4.2763041084072648E-4</v>
      </c>
      <c r="J28">
        <f t="shared" si="1"/>
        <v>0.4276304108407265</v>
      </c>
      <c r="K28">
        <f t="shared" si="2"/>
        <v>2.0471598271364138</v>
      </c>
      <c r="L28">
        <f t="shared" si="3"/>
        <v>419.99939999999998</v>
      </c>
      <c r="M28">
        <f t="shared" si="4"/>
        <v>325.34013813587643</v>
      </c>
      <c r="N28">
        <f t="shared" si="5"/>
        <v>31.894347028669234</v>
      </c>
      <c r="O28">
        <f t="shared" si="6"/>
        <v>41.174159119088664</v>
      </c>
      <c r="P28">
        <f t="shared" si="7"/>
        <v>3.7526221138769071E-2</v>
      </c>
      <c r="Q28">
        <f t="shared" si="8"/>
        <v>2.8941695264704519</v>
      </c>
      <c r="R28">
        <f t="shared" si="9"/>
        <v>3.7257990195705103E-2</v>
      </c>
      <c r="S28">
        <f t="shared" si="10"/>
        <v>2.3310183389747531E-2</v>
      </c>
      <c r="T28">
        <f t="shared" si="11"/>
        <v>8.2430028779919304</v>
      </c>
      <c r="U28">
        <f t="shared" si="12"/>
        <v>25.147841490329434</v>
      </c>
      <c r="V28">
        <f t="shared" si="13"/>
        <v>25.002126666666669</v>
      </c>
      <c r="W28">
        <f t="shared" si="14"/>
        <v>3.1800807634238817</v>
      </c>
      <c r="X28">
        <f t="shared" si="15"/>
        <v>64.756077549335131</v>
      </c>
      <c r="Y28">
        <f t="shared" si="16"/>
        <v>2.0851081455822604</v>
      </c>
      <c r="Z28">
        <f t="shared" si="17"/>
        <v>3.2199420108385932</v>
      </c>
      <c r="AA28">
        <f t="shared" si="18"/>
        <v>1.0949726178416213</v>
      </c>
      <c r="AB28">
        <f t="shared" si="19"/>
        <v>-18.858501118076038</v>
      </c>
      <c r="AC28">
        <f t="shared" si="20"/>
        <v>32.627010959683133</v>
      </c>
      <c r="AD28">
        <f t="shared" si="21"/>
        <v>2.3871499880588121</v>
      </c>
      <c r="AE28">
        <f t="shared" si="22"/>
        <v>24.398662707657838</v>
      </c>
      <c r="AF28">
        <f t="shared" si="23"/>
        <v>2.0471598271364138</v>
      </c>
      <c r="AG28">
        <f t="shared" si="24"/>
        <v>0.4276304108407265</v>
      </c>
      <c r="AH28">
        <f t="shared" si="25"/>
        <v>2.0244550075537271</v>
      </c>
      <c r="AI28">
        <v>431.56343182575688</v>
      </c>
      <c r="AJ28">
        <v>429.12590909090932</v>
      </c>
      <c r="AK28">
        <v>-8.1574512086258853E-3</v>
      </c>
      <c r="AL28">
        <v>67.090080377957548</v>
      </c>
      <c r="AM28">
        <f t="shared" si="26"/>
        <v>0.43754763168418148</v>
      </c>
      <c r="AN28">
        <v>20.773928272750421</v>
      </c>
      <c r="AO28">
        <v>21.28742909090909</v>
      </c>
      <c r="AP28">
        <v>5.7705869263881969E-5</v>
      </c>
      <c r="AQ28">
        <v>78.242176685650463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52128.515828885407</v>
      </c>
      <c r="AW28" t="s">
        <v>520</v>
      </c>
      <c r="AX28">
        <v>13221.9</v>
      </c>
      <c r="AY28">
        <v>635.76176470588234</v>
      </c>
      <c r="AZ28">
        <v>2570.27</v>
      </c>
      <c r="BA28">
        <f t="shared" si="30"/>
        <v>0.75264786784817073</v>
      </c>
      <c r="BB28">
        <v>-2.1832016218308832</v>
      </c>
      <c r="BC28" t="s">
        <v>565</v>
      </c>
      <c r="BD28">
        <v>13256.2</v>
      </c>
      <c r="BE28">
        <v>788.6628823529411</v>
      </c>
      <c r="BF28">
        <v>2467.7199999999998</v>
      </c>
      <c r="BG28">
        <f t="shared" si="31"/>
        <v>0.68040827875409637</v>
      </c>
      <c r="BH28">
        <v>0.5</v>
      </c>
      <c r="BI28">
        <f t="shared" si="32"/>
        <v>42.146282502586502</v>
      </c>
      <c r="BJ28">
        <f t="shared" si="33"/>
        <v>2.0471598271364138</v>
      </c>
      <c r="BK28">
        <f t="shared" si="34"/>
        <v>14.338339766734386</v>
      </c>
      <c r="BL28">
        <f t="shared" si="35"/>
        <v>0.10037329979714538</v>
      </c>
      <c r="BM28">
        <f t="shared" si="36"/>
        <v>4.1556578542136138E-2</v>
      </c>
      <c r="BN28">
        <f t="shared" si="37"/>
        <v>629.29319182999495</v>
      </c>
      <c r="BO28" t="s">
        <v>408</v>
      </c>
      <c r="BP28">
        <v>0</v>
      </c>
      <c r="BQ28">
        <f t="shared" si="38"/>
        <v>629.29319182999495</v>
      </c>
      <c r="BR28">
        <f t="shared" si="39"/>
        <v>0.7449900345946886</v>
      </c>
      <c r="BS28">
        <f t="shared" si="40"/>
        <v>0.91331191983564208</v>
      </c>
      <c r="BT28">
        <f t="shared" si="41"/>
        <v>5.2834222216537739E-2</v>
      </c>
      <c r="BU28">
        <f t="shared" si="42"/>
        <v>0.91653678850243503</v>
      </c>
      <c r="BV28">
        <f t="shared" si="43"/>
        <v>5.3010888312092788E-2</v>
      </c>
      <c r="BW28">
        <f t="shared" si="44"/>
        <v>0.72875367413645387</v>
      </c>
      <c r="BX28">
        <f t="shared" si="45"/>
        <v>0.27124632586354613</v>
      </c>
      <c r="DG28">
        <f t="shared" si="46"/>
        <v>50.013220000000011</v>
      </c>
      <c r="DH28">
        <f t="shared" si="47"/>
        <v>42.146282502586502</v>
      </c>
      <c r="DI28">
        <f t="shared" si="48"/>
        <v>0.84270283942098689</v>
      </c>
      <c r="DJ28">
        <f t="shared" si="49"/>
        <v>0.16481648008250477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1786031956.849999</v>
      </c>
      <c r="DQ28">
        <v>419.99939999999998</v>
      </c>
      <c r="DR28">
        <v>422.67140000000012</v>
      </c>
      <c r="DS28">
        <v>21.26926666666667</v>
      </c>
      <c r="DT28">
        <v>20.767046666666669</v>
      </c>
      <c r="DU28">
        <v>430.33453333333341</v>
      </c>
      <c r="DV28">
        <v>21.841840000000001</v>
      </c>
      <c r="DW28">
        <v>500.02193333333332</v>
      </c>
      <c r="DX28">
        <v>97.985383333333345</v>
      </c>
      <c r="DY28">
        <v>4.8468903333333341E-2</v>
      </c>
      <c r="DZ28">
        <v>25.21123333333334</v>
      </c>
      <c r="EA28">
        <v>25.002126666666669</v>
      </c>
      <c r="EB28">
        <v>999.9000000000002</v>
      </c>
      <c r="EC28">
        <v>0</v>
      </c>
      <c r="ED28">
        <v>0</v>
      </c>
      <c r="EE28">
        <v>10001.16666666667</v>
      </c>
      <c r="EF28">
        <v>0</v>
      </c>
      <c r="EG28">
        <v>163.66266666666669</v>
      </c>
      <c r="EH28">
        <v>-2.672004666666667</v>
      </c>
      <c r="EI28">
        <v>429.12666666666672</v>
      </c>
      <c r="EJ28">
        <v>431.63516666666658</v>
      </c>
      <c r="EK28">
        <v>0.50222199999999995</v>
      </c>
      <c r="EL28">
        <v>422.67140000000012</v>
      </c>
      <c r="EM28">
        <v>20.767046666666669</v>
      </c>
      <c r="EN28">
        <v>2.0840770000000002</v>
      </c>
      <c r="EO28">
        <v>2.0348683333333328</v>
      </c>
      <c r="EP28">
        <v>18.097996666666671</v>
      </c>
      <c r="EQ28">
        <v>17.718286666666671</v>
      </c>
      <c r="ER28">
        <v>50.013220000000011</v>
      </c>
      <c r="ES28">
        <v>0.89991960000000015</v>
      </c>
      <c r="ET28">
        <v>0.10008056</v>
      </c>
      <c r="EU28">
        <v>0</v>
      </c>
      <c r="EV28">
        <v>788.63743333333343</v>
      </c>
      <c r="EW28">
        <v>5.0010700000000003</v>
      </c>
      <c r="EX28">
        <v>1107.013666666666</v>
      </c>
      <c r="EY28">
        <v>396.36916666666667</v>
      </c>
      <c r="EZ28">
        <v>35.103966666666672</v>
      </c>
      <c r="FA28">
        <v>39.408066666666649</v>
      </c>
      <c r="FB28">
        <v>37.514266666666657</v>
      </c>
      <c r="FC28">
        <v>39.695566666666657</v>
      </c>
      <c r="FD28">
        <v>37.566433333333329</v>
      </c>
      <c r="FE28">
        <v>40.506999999999991</v>
      </c>
      <c r="FF28">
        <v>4.5060000000000002</v>
      </c>
      <c r="FG28">
        <v>0</v>
      </c>
      <c r="FH28">
        <v>180.70000004768369</v>
      </c>
      <c r="FI28">
        <v>0</v>
      </c>
      <c r="FJ28">
        <v>788.6628823529411</v>
      </c>
      <c r="FK28">
        <v>1.0299019880703699</v>
      </c>
      <c r="FL28">
        <v>62.700980742272407</v>
      </c>
      <c r="FM28">
        <v>1109.4629411764711</v>
      </c>
      <c r="FN28">
        <v>10</v>
      </c>
      <c r="FO28">
        <v>1786031889.5999999</v>
      </c>
      <c r="FP28" t="s">
        <v>566</v>
      </c>
      <c r="FQ28">
        <v>1786031889.0999999</v>
      </c>
      <c r="FR28">
        <v>1786031889.5999999</v>
      </c>
      <c r="FS28">
        <v>28</v>
      </c>
      <c r="FT28">
        <v>4.0000000000000001E-3</v>
      </c>
      <c r="FU28">
        <v>-2E-3</v>
      </c>
      <c r="FV28">
        <v>-10.345000000000001</v>
      </c>
      <c r="FW28">
        <v>-0.58799999999999997</v>
      </c>
      <c r="FX28">
        <v>423</v>
      </c>
      <c r="FY28">
        <v>21</v>
      </c>
      <c r="FZ28">
        <v>1.88</v>
      </c>
      <c r="GA28">
        <v>0.42</v>
      </c>
      <c r="GB28">
        <v>419.99396666666672</v>
      </c>
      <c r="GC28">
        <v>0.33538598442607859</v>
      </c>
      <c r="GD28">
        <v>5.9260713986779921E-2</v>
      </c>
      <c r="GE28">
        <v>-1</v>
      </c>
      <c r="GF28">
        <v>788.49920588235295</v>
      </c>
      <c r="GG28">
        <v>2.1876088665935129</v>
      </c>
      <c r="GH28">
        <v>0.3140875467512626</v>
      </c>
      <c r="GI28">
        <v>1</v>
      </c>
      <c r="GJ28">
        <v>0.51854365000000002</v>
      </c>
      <c r="GK28">
        <v>-0.21207908442776779</v>
      </c>
      <c r="GL28">
        <v>3.028333122821034E-2</v>
      </c>
      <c r="GM28">
        <v>1</v>
      </c>
      <c r="GN28">
        <v>2</v>
      </c>
      <c r="GO28">
        <v>2</v>
      </c>
      <c r="GP28" t="s">
        <v>411</v>
      </c>
      <c r="GQ28">
        <v>3.13165</v>
      </c>
      <c r="GR28">
        <v>2.7240700000000002</v>
      </c>
      <c r="GS28">
        <v>9.3291600000000002E-2</v>
      </c>
      <c r="GT28">
        <v>9.2902499999999999E-2</v>
      </c>
      <c r="GU28">
        <v>0.105921</v>
      </c>
      <c r="GV28">
        <v>0.102702</v>
      </c>
      <c r="GW28">
        <v>22861.3</v>
      </c>
      <c r="GX28">
        <v>30420.400000000001</v>
      </c>
      <c r="GY28">
        <v>27329.8</v>
      </c>
      <c r="GZ28">
        <v>34454.6</v>
      </c>
      <c r="HA28">
        <v>35728.5</v>
      </c>
      <c r="HB28">
        <v>38949</v>
      </c>
      <c r="HC28">
        <v>40309.699999999997</v>
      </c>
      <c r="HD28">
        <v>43495.8</v>
      </c>
      <c r="HE28">
        <v>2.0099999999999998</v>
      </c>
      <c r="HF28">
        <v>1.8714</v>
      </c>
      <c r="HG28">
        <v>-7.1525599999999996E-3</v>
      </c>
      <c r="HH28">
        <v>0</v>
      </c>
      <c r="HI28">
        <v>25.1206</v>
      </c>
      <c r="HJ28">
        <v>999.9</v>
      </c>
      <c r="HK28">
        <v>62.6</v>
      </c>
      <c r="HL28">
        <v>33</v>
      </c>
      <c r="HM28">
        <v>32.277099999999997</v>
      </c>
      <c r="HN28">
        <v>60.1646</v>
      </c>
      <c r="HO28">
        <v>4.3950300000000002</v>
      </c>
      <c r="HP28">
        <v>1</v>
      </c>
      <c r="HQ28">
        <v>0.16256100000000001</v>
      </c>
      <c r="HR28">
        <v>1.661</v>
      </c>
      <c r="HS28">
        <v>20.245799999999999</v>
      </c>
      <c r="HT28">
        <v>5.2112999999999996</v>
      </c>
      <c r="HU28">
        <v>11.902100000000001</v>
      </c>
      <c r="HV28">
        <v>4.9855999999999998</v>
      </c>
      <c r="HW28">
        <v>3.2706</v>
      </c>
      <c r="HX28">
        <v>9999</v>
      </c>
      <c r="HY28">
        <v>9999</v>
      </c>
      <c r="HZ28">
        <v>9999</v>
      </c>
      <c r="IA28">
        <v>999.9</v>
      </c>
      <c r="IB28">
        <v>1.8674599999999999</v>
      </c>
      <c r="IC28">
        <v>1.8631</v>
      </c>
      <c r="ID28">
        <v>1.8626400000000001</v>
      </c>
      <c r="IE28">
        <v>1.86212</v>
      </c>
      <c r="IF28">
        <v>1.86215</v>
      </c>
      <c r="IG28">
        <v>1.86276</v>
      </c>
      <c r="IH28">
        <v>1.86371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-10.335000000000001</v>
      </c>
      <c r="IX28">
        <v>-0.57220000000000004</v>
      </c>
      <c r="IY28">
        <v>-8.3311528598219553</v>
      </c>
      <c r="IZ28">
        <v>-5.6215304933332991E-3</v>
      </c>
      <c r="JA28">
        <v>2.3979931213773931E-6</v>
      </c>
      <c r="JB28">
        <v>-3.6297174575716598E-10</v>
      </c>
      <c r="JC28">
        <v>-0.90641132650465162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1.2</v>
      </c>
      <c r="JM28">
        <v>1.1059600000000001</v>
      </c>
      <c r="JN28">
        <v>2.50366</v>
      </c>
      <c r="JO28">
        <v>1.50024</v>
      </c>
      <c r="JP28">
        <v>2.2766099999999998</v>
      </c>
      <c r="JQ28">
        <v>1.4477500000000001</v>
      </c>
      <c r="JR28">
        <v>2.4731399999999999</v>
      </c>
      <c r="JS28">
        <v>39.292000000000002</v>
      </c>
      <c r="JT28">
        <v>23.921099999999999</v>
      </c>
      <c r="JU28">
        <v>18</v>
      </c>
      <c r="JV28">
        <v>534.50800000000004</v>
      </c>
      <c r="JW28">
        <v>461.23</v>
      </c>
      <c r="JX28">
        <v>23.6312</v>
      </c>
      <c r="JY28">
        <v>29.3293</v>
      </c>
      <c r="JZ28">
        <v>30.0002</v>
      </c>
      <c r="KA28">
        <v>29.842300000000002</v>
      </c>
      <c r="KB28">
        <v>29.354500000000002</v>
      </c>
      <c r="KC28">
        <v>22.1218</v>
      </c>
      <c r="KD28">
        <v>40.521700000000003</v>
      </c>
      <c r="KE28">
        <v>0</v>
      </c>
      <c r="KF28">
        <v>23.6311</v>
      </c>
      <c r="KG28">
        <v>422.74400000000003</v>
      </c>
      <c r="KH28">
        <v>20.785599999999999</v>
      </c>
      <c r="KI28">
        <v>100.79300000000001</v>
      </c>
      <c r="KJ28">
        <v>98.078199999999995</v>
      </c>
    </row>
    <row r="29" spans="1:296" x14ac:dyDescent="0.3">
      <c r="A29">
        <v>13</v>
      </c>
      <c r="B29">
        <v>1786032146.0999999</v>
      </c>
      <c r="C29">
        <v>2178.099999904633</v>
      </c>
      <c r="D29" t="s">
        <v>567</v>
      </c>
      <c r="E29" t="s">
        <v>568</v>
      </c>
      <c r="F29">
        <v>15</v>
      </c>
      <c r="H29">
        <v>1786032138.349999</v>
      </c>
      <c r="I29">
        <f t="shared" si="0"/>
        <v>3.3571388402670879E-4</v>
      </c>
      <c r="J29">
        <f t="shared" si="1"/>
        <v>0.33571388402670876</v>
      </c>
      <c r="K29">
        <f t="shared" si="2"/>
        <v>-2.0596600778842005</v>
      </c>
      <c r="L29">
        <f t="shared" si="3"/>
        <v>420.10099999999989</v>
      </c>
      <c r="M29">
        <f t="shared" si="4"/>
        <v>523.46045002164522</v>
      </c>
      <c r="N29">
        <f t="shared" si="5"/>
        <v>51.318365272897367</v>
      </c>
      <c r="O29">
        <f t="shared" si="6"/>
        <v>41.185339921321635</v>
      </c>
      <c r="P29">
        <f t="shared" si="7"/>
        <v>2.9574709650231852E-2</v>
      </c>
      <c r="Q29">
        <f t="shared" si="8"/>
        <v>2.8939079304074284</v>
      </c>
      <c r="R29">
        <f t="shared" si="9"/>
        <v>2.9407819889275679E-2</v>
      </c>
      <c r="S29">
        <f t="shared" si="10"/>
        <v>1.8394803163946018E-2</v>
      </c>
      <c r="T29">
        <f t="shared" si="11"/>
        <v>1.5966703903835998E-4</v>
      </c>
      <c r="U29">
        <f t="shared" si="12"/>
        <v>25.074303998396825</v>
      </c>
      <c r="V29">
        <f t="shared" si="13"/>
        <v>24.988463333333339</v>
      </c>
      <c r="W29">
        <f t="shared" si="14"/>
        <v>3.1774912471288332</v>
      </c>
      <c r="X29">
        <f t="shared" si="15"/>
        <v>65.045273153227996</v>
      </c>
      <c r="Y29">
        <f t="shared" si="16"/>
        <v>2.0883799916148562</v>
      </c>
      <c r="Z29">
        <f t="shared" si="17"/>
        <v>3.2106560405938067</v>
      </c>
      <c r="AA29">
        <f t="shared" si="18"/>
        <v>1.089111255513977</v>
      </c>
      <c r="AB29">
        <f t="shared" si="19"/>
        <v>-14.804982285577857</v>
      </c>
      <c r="AC29">
        <f t="shared" si="20"/>
        <v>27.18741165060732</v>
      </c>
      <c r="AD29">
        <f t="shared" si="21"/>
        <v>1.9887200365191882</v>
      </c>
      <c r="AE29">
        <f t="shared" si="22"/>
        <v>14.371309068587689</v>
      </c>
      <c r="AF29">
        <f t="shared" si="23"/>
        <v>-2.0596600778842005</v>
      </c>
      <c r="AG29">
        <f t="shared" si="24"/>
        <v>0.33571388402670876</v>
      </c>
      <c r="AH29">
        <f t="shared" si="25"/>
        <v>-2.0539171996475001</v>
      </c>
      <c r="AI29">
        <v>426.65845673892062</v>
      </c>
      <c r="AJ29">
        <v>429.20437575757569</v>
      </c>
      <c r="AK29">
        <v>-5.4323958284311184E-3</v>
      </c>
      <c r="AL29">
        <v>67.072264136787553</v>
      </c>
      <c r="AM29">
        <f t="shared" si="26"/>
        <v>0.33471173223778383</v>
      </c>
      <c r="AN29">
        <v>20.906202071444099</v>
      </c>
      <c r="AO29">
        <v>21.29922909090909</v>
      </c>
      <c r="AP29">
        <v>6.5650179067905521E-6</v>
      </c>
      <c r="AQ29">
        <v>78.194991787174928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52129.561033706486</v>
      </c>
      <c r="AW29" t="s">
        <v>468</v>
      </c>
      <c r="AX29">
        <v>13243.1</v>
      </c>
      <c r="AY29">
        <v>653.55000000000007</v>
      </c>
      <c r="AZ29">
        <v>2662</v>
      </c>
      <c r="BA29">
        <f t="shared" si="30"/>
        <v>0.75448910593538687</v>
      </c>
      <c r="BB29">
        <v>-2.0596600778842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-2.0596600778842005</v>
      </c>
      <c r="BK29" t="e">
        <f t="shared" si="34"/>
        <v>#DIV/0!</v>
      </c>
      <c r="BL29">
        <f t="shared" si="35"/>
        <v>-5.2845565609343049E-13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1.3254001842216636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1786032138.349999</v>
      </c>
      <c r="DQ29">
        <v>420.10099999999989</v>
      </c>
      <c r="DR29">
        <v>417.79883333333328</v>
      </c>
      <c r="DS29">
        <v>21.302009999999999</v>
      </c>
      <c r="DT29">
        <v>20.907766666666671</v>
      </c>
      <c r="DU29">
        <v>430.43166666666662</v>
      </c>
      <c r="DV29">
        <v>21.874020000000009</v>
      </c>
      <c r="DW29">
        <v>500.04016666666672</v>
      </c>
      <c r="DX29">
        <v>97.988636666666665</v>
      </c>
      <c r="DY29">
        <v>4.8120973333333331E-2</v>
      </c>
      <c r="DZ29">
        <v>25.162723333333339</v>
      </c>
      <c r="EA29">
        <v>24.988463333333339</v>
      </c>
      <c r="EB29">
        <v>999.9000000000002</v>
      </c>
      <c r="EC29">
        <v>0</v>
      </c>
      <c r="ED29">
        <v>0</v>
      </c>
      <c r="EE29">
        <v>9999.3333333333339</v>
      </c>
      <c r="EF29">
        <v>0</v>
      </c>
      <c r="EG29">
        <v>151.25040000000001</v>
      </c>
      <c r="EH29">
        <v>2.3022956666666672</v>
      </c>
      <c r="EI29">
        <v>429.2448333333333</v>
      </c>
      <c r="EJ29">
        <v>426.72053333333332</v>
      </c>
      <c r="EK29">
        <v>0.39423383333333328</v>
      </c>
      <c r="EL29">
        <v>417.79883333333328</v>
      </c>
      <c r="EM29">
        <v>20.907766666666671</v>
      </c>
      <c r="EN29">
        <v>2.0873546666666671</v>
      </c>
      <c r="EO29">
        <v>2.0487229999999998</v>
      </c>
      <c r="EP29">
        <v>18.12300333333333</v>
      </c>
      <c r="EQ29">
        <v>17.826016666666661</v>
      </c>
      <c r="ER29">
        <v>1.00021E-2</v>
      </c>
      <c r="ES29">
        <v>0</v>
      </c>
      <c r="ET29">
        <v>0</v>
      </c>
      <c r="EU29">
        <v>0</v>
      </c>
      <c r="EV29">
        <v>654.22166666666658</v>
      </c>
      <c r="EW29">
        <v>1.00021E-2</v>
      </c>
      <c r="EX29">
        <v>612.18166666666662</v>
      </c>
      <c r="EY29">
        <v>0.59333333333333327</v>
      </c>
      <c r="EZ29">
        <v>34.362299999999998</v>
      </c>
      <c r="FA29">
        <v>39.187233333333317</v>
      </c>
      <c r="FB29">
        <v>36.872566666666657</v>
      </c>
      <c r="FC29">
        <v>39.097699999999989</v>
      </c>
      <c r="FD29">
        <v>37.07269999999999</v>
      </c>
      <c r="FE29">
        <v>0</v>
      </c>
      <c r="FF29">
        <v>0</v>
      </c>
      <c r="FG29">
        <v>0</v>
      </c>
      <c r="FH29">
        <v>181</v>
      </c>
      <c r="FI29">
        <v>0</v>
      </c>
      <c r="FJ29">
        <v>653.55000000000007</v>
      </c>
      <c r="FK29">
        <v>2.4632361355789012</v>
      </c>
      <c r="FL29">
        <v>-71.127451704405829</v>
      </c>
      <c r="FM29">
        <v>608.32647058823534</v>
      </c>
      <c r="FN29">
        <v>10</v>
      </c>
      <c r="FO29">
        <v>1786032100.0999999</v>
      </c>
      <c r="FP29" t="s">
        <v>569</v>
      </c>
      <c r="FQ29">
        <v>1786032100.0999999</v>
      </c>
      <c r="FR29">
        <v>1786032099.0999999</v>
      </c>
      <c r="FS29">
        <v>29</v>
      </c>
      <c r="FT29">
        <v>5.0000000000000001E-3</v>
      </c>
      <c r="FU29">
        <v>0</v>
      </c>
      <c r="FV29">
        <v>-10.324</v>
      </c>
      <c r="FW29">
        <v>-0.58199999999999996</v>
      </c>
      <c r="FX29">
        <v>418</v>
      </c>
      <c r="FY29">
        <v>21</v>
      </c>
      <c r="FZ29">
        <v>1.36</v>
      </c>
      <c r="GA29">
        <v>0.51</v>
      </c>
      <c r="GB29">
        <v>420.10761290322569</v>
      </c>
      <c r="GC29">
        <v>-0.1592419354837446</v>
      </c>
      <c r="GD29">
        <v>5.0582846397133278E-2</v>
      </c>
      <c r="GE29">
        <v>-1</v>
      </c>
      <c r="GF29">
        <v>654.439705882353</v>
      </c>
      <c r="GG29">
        <v>-11.95187154536646</v>
      </c>
      <c r="GH29">
        <v>4.7126672136313577</v>
      </c>
      <c r="GI29">
        <v>0</v>
      </c>
      <c r="GJ29">
        <v>0.39807375609756102</v>
      </c>
      <c r="GK29">
        <v>-5.6467108013936368E-2</v>
      </c>
      <c r="GL29">
        <v>7.1151646083506912E-3</v>
      </c>
      <c r="GM29">
        <v>1</v>
      </c>
      <c r="GN29">
        <v>1</v>
      </c>
      <c r="GO29">
        <v>2</v>
      </c>
      <c r="GP29" t="s">
        <v>444</v>
      </c>
      <c r="GQ29">
        <v>3.1311200000000001</v>
      </c>
      <c r="GR29">
        <v>2.7248600000000001</v>
      </c>
      <c r="GS29">
        <v>9.3315899999999993E-2</v>
      </c>
      <c r="GT29">
        <v>9.2060299999999998E-2</v>
      </c>
      <c r="GU29">
        <v>0.105991</v>
      </c>
      <c r="GV29">
        <v>0.103155</v>
      </c>
      <c r="GW29">
        <v>22863.4</v>
      </c>
      <c r="GX29">
        <v>30453.1</v>
      </c>
      <c r="GY29">
        <v>27332.799999999999</v>
      </c>
      <c r="GZ29">
        <v>34459.199999999997</v>
      </c>
      <c r="HA29">
        <v>35729.699999999997</v>
      </c>
      <c r="HB29">
        <v>38934.5</v>
      </c>
      <c r="HC29">
        <v>40314.5</v>
      </c>
      <c r="HD29">
        <v>43501.8</v>
      </c>
      <c r="HE29">
        <v>2.0093999999999999</v>
      </c>
      <c r="HF29">
        <v>1.8735999999999999</v>
      </c>
      <c r="HG29">
        <v>-6.1690800000000004E-3</v>
      </c>
      <c r="HH29">
        <v>0</v>
      </c>
      <c r="HI29">
        <v>25.099499999999999</v>
      </c>
      <c r="HJ29">
        <v>999.9</v>
      </c>
      <c r="HK29">
        <v>61.8</v>
      </c>
      <c r="HL29">
        <v>33.200000000000003</v>
      </c>
      <c r="HM29">
        <v>32.2226</v>
      </c>
      <c r="HN29">
        <v>60.2346</v>
      </c>
      <c r="HO29">
        <v>4.4711499999999997</v>
      </c>
      <c r="HP29">
        <v>1</v>
      </c>
      <c r="HQ29">
        <v>0.15664600000000001</v>
      </c>
      <c r="HR29">
        <v>1.5531200000000001</v>
      </c>
      <c r="HS29">
        <v>20.2498</v>
      </c>
      <c r="HT29">
        <v>5.2148899999999996</v>
      </c>
      <c r="HU29">
        <v>11.902100000000001</v>
      </c>
      <c r="HV29">
        <v>4.9855999999999998</v>
      </c>
      <c r="HW29">
        <v>3.2707999999999999</v>
      </c>
      <c r="HX29">
        <v>9999</v>
      </c>
      <c r="HY29">
        <v>9999</v>
      </c>
      <c r="HZ29">
        <v>9999</v>
      </c>
      <c r="IA29">
        <v>999.9</v>
      </c>
      <c r="IB29">
        <v>1.8674599999999999</v>
      </c>
      <c r="IC29">
        <v>1.8631</v>
      </c>
      <c r="ID29">
        <v>1.8626100000000001</v>
      </c>
      <c r="IE29">
        <v>1.86212</v>
      </c>
      <c r="IF29">
        <v>1.8621799999999999</v>
      </c>
      <c r="IG29">
        <v>1.86276</v>
      </c>
      <c r="IH29">
        <v>1.86368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-10.33</v>
      </c>
      <c r="IX29">
        <v>-0.57210000000000005</v>
      </c>
      <c r="IY29">
        <v>-8.3263056853430832</v>
      </c>
      <c r="IZ29">
        <v>-5.6215304933332991E-3</v>
      </c>
      <c r="JA29">
        <v>2.3979931213773931E-6</v>
      </c>
      <c r="JB29">
        <v>-3.6297174575716598E-10</v>
      </c>
      <c r="JC29">
        <v>-0.90670336891607906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0.8</v>
      </c>
      <c r="JL29">
        <v>0.8</v>
      </c>
      <c r="JM29">
        <v>1.09619</v>
      </c>
      <c r="JN29">
        <v>2.50244</v>
      </c>
      <c r="JO29">
        <v>1.50024</v>
      </c>
      <c r="JP29">
        <v>2.2753899999999998</v>
      </c>
      <c r="JQ29">
        <v>1.4477500000000001</v>
      </c>
      <c r="JR29">
        <v>2.47559</v>
      </c>
      <c r="JS29">
        <v>39.416600000000003</v>
      </c>
      <c r="JT29">
        <v>23.921099999999999</v>
      </c>
      <c r="JU29">
        <v>18</v>
      </c>
      <c r="JV29">
        <v>533.63599999999997</v>
      </c>
      <c r="JW29">
        <v>462.19799999999998</v>
      </c>
      <c r="JX29">
        <v>23.7058</v>
      </c>
      <c r="JY29">
        <v>29.266400000000001</v>
      </c>
      <c r="JZ29">
        <v>29.9999</v>
      </c>
      <c r="KA29">
        <v>29.786999999999999</v>
      </c>
      <c r="KB29">
        <v>29.299499999999998</v>
      </c>
      <c r="KC29">
        <v>21.921700000000001</v>
      </c>
      <c r="KD29">
        <v>40.257300000000001</v>
      </c>
      <c r="KE29">
        <v>0</v>
      </c>
      <c r="KF29">
        <v>23.708200000000001</v>
      </c>
      <c r="KG29">
        <v>417.77699999999999</v>
      </c>
      <c r="KH29">
        <v>20.870899999999999</v>
      </c>
      <c r="KI29">
        <v>100.80500000000001</v>
      </c>
      <c r="KJ29">
        <v>98.0916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D07C-C379-45F8-BAB4-30D11A289530}">
  <dimension ref="A2:KJ29"/>
  <sheetViews>
    <sheetView workbookViewId="0">
      <selection activeCell="D12" sqref="D12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1786026582.0999999</v>
      </c>
      <c r="C17">
        <v>0</v>
      </c>
      <c r="D17" t="s">
        <v>570</v>
      </c>
      <c r="E17" t="s">
        <v>571</v>
      </c>
      <c r="F17">
        <v>15</v>
      </c>
      <c r="H17">
        <v>1786026574.099999</v>
      </c>
      <c r="I17">
        <f t="shared" ref="I17:I29" si="0">(J17)/1000</f>
        <v>2.7346365618516073E-3</v>
      </c>
      <c r="J17">
        <f t="shared" ref="J17:J29" si="1">IF(DO17, AM17, AG17)</f>
        <v>2.7346365618516071</v>
      </c>
      <c r="K17">
        <f t="shared" ref="K17:K29" si="2">IF(DO17, AH17, AF17)</f>
        <v>29.618950142283193</v>
      </c>
      <c r="L17">
        <f t="shared" ref="L17:L29" si="3">DQ17 - IF(AT17&gt;1, K17*DK17*100/(AV17), 0)</f>
        <v>419.88777419354841</v>
      </c>
      <c r="M17">
        <f t="shared" ref="M17:M29" si="4">((S17-I17/2)*L17-K17)/(S17+I17/2)</f>
        <v>217.03544401520998</v>
      </c>
      <c r="N17">
        <f t="shared" ref="N17:N29" si="5">M17*(DX17+DY17)/1000</f>
        <v>21.26407874817253</v>
      </c>
      <c r="O17">
        <f t="shared" ref="O17:O29" si="6">(DQ17 - IF(AT17&gt;1, K17*DK17*100/(AV17), 0))*(DX17+DY17)/1000</f>
        <v>41.138564884456301</v>
      </c>
      <c r="P17">
        <f t="shared" ref="P17:P29" si="7">2/((1/R17-1/Q17)+SIGN(R17)*SQRT((1/R17-1/Q17)*(1/R17-1/Q17) + 4*DL17/((DL17+1)*(DL17+1))*(2*1/R17*1/Q17-1/Q17*1/Q17)))</f>
        <v>0.25035412127632095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2.8938910303262078</v>
      </c>
      <c r="R17">
        <f t="shared" ref="R17:R29" si="9">I17*(1000-(1000*0.61365*EXP(17.502*V17/(240.97+V17))/(DX17+DY17)+DS17)/2)/(1000*0.61365*EXP(17.502*V17/(240.97+V17))/(DX17+DY17)-DS17)</f>
        <v>0.23891399894181942</v>
      </c>
      <c r="S17">
        <f t="shared" ref="S17:S29" si="10">1/((DL17+1)/(P17/1.6)+1/(Q17/1.37)) + DL17/((DL17+1)/(P17/1.6) + DL17/(Q17/1.37))</f>
        <v>0.15030552952130682</v>
      </c>
      <c r="T17">
        <f t="shared" ref="T17:T29" si="11">(DG17*DJ17)</f>
        <v>319.77288656212789</v>
      </c>
      <c r="U17">
        <f t="shared" ref="U17:U29" si="12">(DZ17+(T17+2*0.95*0.0000000567*(((DZ17+$B$7)+273)^4-(DZ17+273)^4)-44100*I17)/(1.84*29.3*Q17+8*0.95*0.0000000567*(DZ17+273)^3))</f>
        <v>26.280832601694648</v>
      </c>
      <c r="V17">
        <f t="shared" ref="V17:V29" si="13">($C$7*EA17+$D$7*EB17+$E$7*U17)</f>
        <v>24.957206451612901</v>
      </c>
      <c r="W17">
        <f t="shared" ref="W17:W29" si="14">0.61365*EXP(17.502*V17/(240.97+V17))</f>
        <v>3.1715742765768771</v>
      </c>
      <c r="X17">
        <f t="shared" ref="X17:X29" si="15">(Y17/Z17*100)</f>
        <v>65.066871098923542</v>
      </c>
      <c r="Y17">
        <f t="shared" ref="Y17:Y29" si="16">DS17*(DX17+DY17)/1000</f>
        <v>2.0801959185581924</v>
      </c>
      <c r="Z17">
        <f t="shared" ref="Z17:Z29" si="17">0.61365*EXP(17.502*DZ17/(240.97+DZ17))</f>
        <v>3.197012371158273</v>
      </c>
      <c r="AA17">
        <f t="shared" ref="AA17:AA29" si="18">(W17-DS17*(DX17+DY17)/1000)</f>
        <v>1.0913783580186847</v>
      </c>
      <c r="AB17">
        <f t="shared" ref="AB17:AB29" si="19">(-I17*44100)</f>
        <v>-120.59747237765588</v>
      </c>
      <c r="AC17">
        <f t="shared" ref="AC17:AC29" si="20">2*29.3*Q17*0.92*(DZ17-V17)</f>
        <v>20.909090386344285</v>
      </c>
      <c r="AD17">
        <f t="shared" ref="AD17:AD29" si="21">2*0.95*0.0000000567*(((DZ17+$B$7)+273)^4-(V17+273)^4)</f>
        <v>1.5286880095196542</v>
      </c>
      <c r="AE17">
        <f t="shared" ref="AE17:AE29" si="22">T17+AD17+AB17+AC17</f>
        <v>221.61319258033595</v>
      </c>
      <c r="AF17">
        <f t="shared" ref="AF17:AF29" si="23">DW17*AT17*(DR17-DQ17*(1000-AT17*DT17)/(1000-AT17*DS17))/(100*DK17)</f>
        <v>29.618950142283193</v>
      </c>
      <c r="AG17">
        <f t="shared" ref="AG17:AG29" si="24">1000*DW17*AT17*(DS17-DT17)/(100*DK17*(1000-AT17*DS17))</f>
        <v>2.7346365618516071</v>
      </c>
      <c r="AH17">
        <f t="shared" ref="AH17:AH29" si="25">(AI17 - AJ17 - DX17*1000/(8.314*(DZ17+273.15)) * AL17/DW17 * AK17) * DW17/(100*DK17) * (1000 - DT17)/1000</f>
        <v>29.78121615447288</v>
      </c>
      <c r="AI17">
        <v>465.30268383831458</v>
      </c>
      <c r="AJ17">
        <v>428.97424848484837</v>
      </c>
      <c r="AK17">
        <v>-1.2398324534644369E-2</v>
      </c>
      <c r="AL17">
        <v>67.056210902213593</v>
      </c>
      <c r="AM17">
        <f t="shared" ref="AM17:AM29" si="26">(AO17 - AN17 + DX17*1000/(8.314*(DZ17+273.15)) * AQ17/DW17 * AP17) * DW17/(100*DK17) * 1000/(1000 - AO17)</f>
        <v>2.7285387172015416</v>
      </c>
      <c r="AN17">
        <v>18.02164600287314</v>
      </c>
      <c r="AO17">
        <v>21.226590909090909</v>
      </c>
      <c r="AP17">
        <v>-2.031039166567578E-5</v>
      </c>
      <c r="AQ17">
        <v>78.107655021582303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52140.246335240663</v>
      </c>
      <c r="AW17" t="s">
        <v>572</v>
      </c>
      <c r="AX17">
        <v>13230.3</v>
      </c>
      <c r="AY17">
        <v>678.92352941176466</v>
      </c>
      <c r="AZ17">
        <v>2566.7399999999998</v>
      </c>
      <c r="BA17">
        <f t="shared" ref="BA17:BA29" si="30">1-AY17/AZ17</f>
        <v>0.73549189656460534</v>
      </c>
      <c r="BB17">
        <v>-2.0951853600362038</v>
      </c>
      <c r="BC17" t="s">
        <v>573</v>
      </c>
      <c r="BD17">
        <v>13202</v>
      </c>
      <c r="BE17">
        <v>883.53294117647056</v>
      </c>
      <c r="BF17">
        <v>1048.9100000000001</v>
      </c>
      <c r="BG17">
        <f t="shared" ref="BG17:BG29" si="31">1-BE17/BF17</f>
        <v>0.15766563272685885</v>
      </c>
      <c r="BH17">
        <v>0.5</v>
      </c>
      <c r="BI17">
        <f t="shared" ref="BI17:BI29" si="32">DH17</f>
        <v>1680.2760675819147</v>
      </c>
      <c r="BJ17">
        <f t="shared" ref="BJ17:BJ29" si="33">K17</f>
        <v>29.618950142283193</v>
      </c>
      <c r="BK17">
        <f t="shared" ref="BK17:BK29" si="34">BG17*BH17*BI17</f>
        <v>132.46089467555041</v>
      </c>
      <c r="BL17">
        <f t="shared" ref="BL17:BL29" si="35">(BJ17-BB17)/BI17</f>
        <v>1.8874360061533941E-2</v>
      </c>
      <c r="BM17">
        <f t="shared" ref="BM17:BM29" si="36">(AZ17-BF17)/BF17</f>
        <v>1.4470545614018357</v>
      </c>
      <c r="BN17">
        <f t="shared" ref="BN17:BN29" si="37">AY17/(BA17+AY17/BF17)</f>
        <v>490.99242060117297</v>
      </c>
      <c r="BO17" t="s">
        <v>408</v>
      </c>
      <c r="BP17">
        <v>0</v>
      </c>
      <c r="BQ17">
        <f t="shared" ref="BQ17:BQ29" si="38">IF(BP17&lt;&gt;0, BP17, BN17)</f>
        <v>490.99242060117297</v>
      </c>
      <c r="BR17">
        <f t="shared" ref="BR17:BR29" si="39">1-BQ17/BF17</f>
        <v>0.53190224080123849</v>
      </c>
      <c r="BS17">
        <f t="shared" ref="BS17:BS29" si="40">(BF17-BE17)/(BF17-BQ17)</f>
        <v>0.29641844051898891</v>
      </c>
      <c r="BT17">
        <f t="shared" ref="BT17:BT29" si="41">(AZ17-BF17)/(AZ17-BQ17)</f>
        <v>0.73122089365007958</v>
      </c>
      <c r="BU17">
        <f t="shared" ref="BU17:BU29" si="42">(BF17-BE17)/(BF17-AY17)</f>
        <v>0.44698136815813627</v>
      </c>
      <c r="BV17">
        <f t="shared" ref="BV17:BV29" si="43">(AZ17-BF17)/(AZ17-AY17)</f>
        <v>0.80401353820535892</v>
      </c>
      <c r="BW17">
        <f t="shared" ref="BW17:BW29" si="44">(BS17*BQ17/BE17)</f>
        <v>0.16472414421521181</v>
      </c>
      <c r="BX17">
        <f t="shared" ref="BX17:BX29" si="45">(1-BW17)</f>
        <v>0.83527585578478813</v>
      </c>
      <c r="DG17">
        <f t="shared" ref="DG17:DG29" si="46">$B$11*EF17+$C$11*EG17+$F$11*ER17*(1-EU17)</f>
        <v>1999.9725806451611</v>
      </c>
      <c r="DH17">
        <f t="shared" ref="DH17:DH29" si="47">DG17*DI17</f>
        <v>1680.2760675819147</v>
      </c>
      <c r="DI17">
        <f t="shared" ref="DI17:DI29" si="48">($B$11*$D$9+$C$11*$D$9+$F$11*((FE17+EW17)/MAX(FE17+EW17+FF17, 0.1)*$I$9+FF17/MAX(FE17+EW17+FF17, 0.1)*$J$9))/($B$11+$C$11+$F$11)</f>
        <v>0.84014955197029895</v>
      </c>
      <c r="DJ17">
        <f t="shared" ref="DJ17:DJ29" si="49">($B$11*$K$9+$C$11*$K$9+$F$11*((FE17+EW17)/MAX(FE17+EW17+FF17, 0.1)*$P$9+FF17/MAX(FE17+EW17+FF17, 0.1)*$Q$9))/($B$11+$C$11+$F$11)</f>
        <v>0.159888635302677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1786026574.099999</v>
      </c>
      <c r="DQ17">
        <v>419.88777419354841</v>
      </c>
      <c r="DR17">
        <v>456.80925806451631</v>
      </c>
      <c r="DS17">
        <v>21.231874193548379</v>
      </c>
      <c r="DT17">
        <v>18.01990967741936</v>
      </c>
      <c r="DU17">
        <v>429.61377419354841</v>
      </c>
      <c r="DV17">
        <v>21.716167741935489</v>
      </c>
      <c r="DW17">
        <v>499.98841935483881</v>
      </c>
      <c r="DX17">
        <v>97.927451612903241</v>
      </c>
      <c r="DY17">
        <v>4.769177741935484E-2</v>
      </c>
      <c r="DZ17">
        <v>25.091225806451611</v>
      </c>
      <c r="EA17">
        <v>24.957206451612901</v>
      </c>
      <c r="EB17">
        <v>999.90000000000032</v>
      </c>
      <c r="EC17">
        <v>0</v>
      </c>
      <c r="ED17">
        <v>0</v>
      </c>
      <c r="EE17">
        <v>10005.483870967741</v>
      </c>
      <c r="EF17">
        <v>0</v>
      </c>
      <c r="EG17">
        <v>423.20470967741937</v>
      </c>
      <c r="EH17">
        <v>-36.921464516129028</v>
      </c>
      <c r="EI17">
        <v>428.99612903225812</v>
      </c>
      <c r="EJ17">
        <v>465.19193548387091</v>
      </c>
      <c r="EK17">
        <v>3.2119674193548389</v>
      </c>
      <c r="EL17">
        <v>456.80925806451631</v>
      </c>
      <c r="EM17">
        <v>18.01990967741936</v>
      </c>
      <c r="EN17">
        <v>2.0791838709677419</v>
      </c>
      <c r="EO17">
        <v>1.7646445161290321</v>
      </c>
      <c r="EP17">
        <v>18.0605935483871</v>
      </c>
      <c r="EQ17">
        <v>15.47707741935484</v>
      </c>
      <c r="ER17">
        <v>1999.9725806451611</v>
      </c>
      <c r="ES17">
        <v>0.99500454838709707</v>
      </c>
      <c r="ET17">
        <v>4.9955087096774176E-3</v>
      </c>
      <c r="EU17">
        <v>0</v>
      </c>
      <c r="EV17">
        <v>883.68051612903253</v>
      </c>
      <c r="EW17">
        <v>5.0010700000000003</v>
      </c>
      <c r="EX17">
        <v>19633.970967741941</v>
      </c>
      <c r="EY17">
        <v>18241.416129032259</v>
      </c>
      <c r="EZ17">
        <v>37.186999999999983</v>
      </c>
      <c r="FA17">
        <v>38.195129032258052</v>
      </c>
      <c r="FB17">
        <v>37.625</v>
      </c>
      <c r="FC17">
        <v>37.936999999999983</v>
      </c>
      <c r="FD17">
        <v>38.58232258064514</v>
      </c>
      <c r="FE17">
        <v>1985.0025806451611</v>
      </c>
      <c r="FF17">
        <v>9.970000000000006</v>
      </c>
      <c r="FG17">
        <v>0</v>
      </c>
      <c r="FH17">
        <v>1786026582.7</v>
      </c>
      <c r="FI17">
        <v>0</v>
      </c>
      <c r="FJ17">
        <v>883.53294117647056</v>
      </c>
      <c r="FK17">
        <v>-2.8539215155508511</v>
      </c>
      <c r="FL17">
        <v>-279.63235285368307</v>
      </c>
      <c r="FM17">
        <v>19614.352941176468</v>
      </c>
      <c r="FN17">
        <v>10</v>
      </c>
      <c r="FO17">
        <v>1786026456.5999999</v>
      </c>
      <c r="FP17" t="s">
        <v>574</v>
      </c>
      <c r="FQ17">
        <v>1786026455.0999999</v>
      </c>
      <c r="FR17">
        <v>1786026456.5999999</v>
      </c>
      <c r="FS17">
        <v>3</v>
      </c>
      <c r="FT17">
        <v>-2.1999999999999999E-2</v>
      </c>
      <c r="FU17">
        <v>0</v>
      </c>
      <c r="FV17">
        <v>-9.8569999999999993</v>
      </c>
      <c r="FW17">
        <v>-0.55600000000000005</v>
      </c>
      <c r="FX17">
        <v>455</v>
      </c>
      <c r="FY17">
        <v>18</v>
      </c>
      <c r="FZ17">
        <v>0.2</v>
      </c>
      <c r="GA17">
        <v>7.0000000000000007E-2</v>
      </c>
      <c r="GB17">
        <v>419.88879999999989</v>
      </c>
      <c r="GC17">
        <v>0.27545272525154979</v>
      </c>
      <c r="GD17">
        <v>5.0858889750628751E-2</v>
      </c>
      <c r="GE17">
        <v>-1</v>
      </c>
      <c r="GF17">
        <v>883.85729411764714</v>
      </c>
      <c r="GG17">
        <v>-3.5987165709327309</v>
      </c>
      <c r="GH17">
        <v>0.42122849251514177</v>
      </c>
      <c r="GI17">
        <v>1</v>
      </c>
      <c r="GJ17">
        <v>3.21342675</v>
      </c>
      <c r="GK17">
        <v>-5.0634934333969511E-2</v>
      </c>
      <c r="GL17">
        <v>6.8943021356407562E-3</v>
      </c>
      <c r="GM17">
        <v>1</v>
      </c>
      <c r="GN17">
        <v>2</v>
      </c>
      <c r="GO17">
        <v>2</v>
      </c>
      <c r="GP17" t="s">
        <v>411</v>
      </c>
      <c r="GQ17">
        <v>3.13117</v>
      </c>
      <c r="GR17">
        <v>2.7230099999999999</v>
      </c>
      <c r="GS17">
        <v>9.3668199999999993E-2</v>
      </c>
      <c r="GT17">
        <v>9.8763799999999999E-2</v>
      </c>
      <c r="GU17">
        <v>0.105921</v>
      </c>
      <c r="GV17">
        <v>9.3058199999999994E-2</v>
      </c>
      <c r="GW17">
        <v>22941.599999999999</v>
      </c>
      <c r="GX17">
        <v>30322.7</v>
      </c>
      <c r="GY17">
        <v>27427.4</v>
      </c>
      <c r="GZ17">
        <v>34553</v>
      </c>
      <c r="HA17">
        <v>35827.599999999999</v>
      </c>
      <c r="HB17">
        <v>39440.800000000003</v>
      </c>
      <c r="HC17">
        <v>40430.9</v>
      </c>
      <c r="HD17">
        <v>43576.5</v>
      </c>
      <c r="HE17">
        <v>2.036</v>
      </c>
      <c r="HF17">
        <v>1.9756</v>
      </c>
      <c r="HG17">
        <v>4.1872300000000001E-2</v>
      </c>
      <c r="HH17">
        <v>0</v>
      </c>
      <c r="HI17">
        <v>24.2836</v>
      </c>
      <c r="HJ17">
        <v>999.9</v>
      </c>
      <c r="HK17">
        <v>80.2</v>
      </c>
      <c r="HL17">
        <v>24.2</v>
      </c>
      <c r="HM17">
        <v>24.821899999999999</v>
      </c>
      <c r="HN17">
        <v>60.887300000000003</v>
      </c>
      <c r="HO17">
        <v>3.0689099999999998</v>
      </c>
      <c r="HP17">
        <v>1</v>
      </c>
      <c r="HQ17">
        <v>3.0081299999999999E-3</v>
      </c>
      <c r="HR17">
        <v>1.2617</v>
      </c>
      <c r="HS17">
        <v>20.268899999999999</v>
      </c>
      <c r="HT17">
        <v>5.2137000000000002</v>
      </c>
      <c r="HU17">
        <v>11.902100000000001</v>
      </c>
      <c r="HV17">
        <v>4.9847999999999999</v>
      </c>
      <c r="HW17">
        <v>3.2706</v>
      </c>
      <c r="HX17">
        <v>9999</v>
      </c>
      <c r="HY17">
        <v>9999</v>
      </c>
      <c r="HZ17">
        <v>9999</v>
      </c>
      <c r="IA17">
        <v>999.9</v>
      </c>
      <c r="IB17">
        <v>1.8666100000000001</v>
      </c>
      <c r="IC17">
        <v>1.86215</v>
      </c>
      <c r="ID17">
        <v>1.8615699999999999</v>
      </c>
      <c r="IE17">
        <v>1.8610800000000001</v>
      </c>
      <c r="IF17">
        <v>1.86111</v>
      </c>
      <c r="IG17">
        <v>1.86188</v>
      </c>
      <c r="IH17">
        <v>1.8627899999999999</v>
      </c>
      <c r="II17">
        <v>1.8607800000000001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-9.7260000000000009</v>
      </c>
      <c r="IX17">
        <v>-0.48449999999999999</v>
      </c>
      <c r="IY17">
        <v>-7.7247735330603442</v>
      </c>
      <c r="IZ17">
        <v>-5.6215304933332991E-3</v>
      </c>
      <c r="JA17">
        <v>2.3979931213773931E-6</v>
      </c>
      <c r="JB17">
        <v>-3.6297174575716598E-10</v>
      </c>
      <c r="JC17">
        <v>-0.81482237749673181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2.1</v>
      </c>
      <c r="JM17">
        <v>1.16821</v>
      </c>
      <c r="JN17">
        <v>2.4450699999999999</v>
      </c>
      <c r="JO17">
        <v>1.50024</v>
      </c>
      <c r="JP17">
        <v>2.2827099999999998</v>
      </c>
      <c r="JQ17">
        <v>1.4477500000000001</v>
      </c>
      <c r="JR17">
        <v>2.33765</v>
      </c>
      <c r="JS17">
        <v>30.264900000000001</v>
      </c>
      <c r="JT17">
        <v>15.9358</v>
      </c>
      <c r="JU17">
        <v>18</v>
      </c>
      <c r="JV17">
        <v>530.57500000000005</v>
      </c>
      <c r="JW17">
        <v>510.04199999999997</v>
      </c>
      <c r="JX17">
        <v>22.921299999999999</v>
      </c>
      <c r="JY17">
        <v>27.202100000000002</v>
      </c>
      <c r="JZ17">
        <v>30.000599999999999</v>
      </c>
      <c r="KA17">
        <v>27.546500000000002</v>
      </c>
      <c r="KB17">
        <v>27.611000000000001</v>
      </c>
      <c r="KC17">
        <v>23.360399999999998</v>
      </c>
      <c r="KD17">
        <v>36.077100000000002</v>
      </c>
      <c r="KE17">
        <v>77.499499999999998</v>
      </c>
      <c r="KF17">
        <v>22.930700000000002</v>
      </c>
      <c r="KG17">
        <v>456.89</v>
      </c>
      <c r="KH17">
        <v>17.994599999999998</v>
      </c>
      <c r="KI17">
        <v>101.119</v>
      </c>
      <c r="KJ17">
        <v>98.3035</v>
      </c>
    </row>
    <row r="18" spans="1:296" x14ac:dyDescent="0.3">
      <c r="A18">
        <v>2</v>
      </c>
      <c r="B18">
        <v>1786026764</v>
      </c>
      <c r="C18">
        <v>181.9000000953674</v>
      </c>
      <c r="D18" t="s">
        <v>575</v>
      </c>
      <c r="E18" t="s">
        <v>576</v>
      </c>
      <c r="F18">
        <v>15</v>
      </c>
      <c r="H18">
        <v>1786026756</v>
      </c>
      <c r="I18">
        <f t="shared" si="0"/>
        <v>2.6587245063817429E-3</v>
      </c>
      <c r="J18">
        <f t="shared" si="1"/>
        <v>2.6587245063817431</v>
      </c>
      <c r="K18">
        <f t="shared" si="2"/>
        <v>30.012121607932833</v>
      </c>
      <c r="L18">
        <f t="shared" si="3"/>
        <v>419.8771290322581</v>
      </c>
      <c r="M18">
        <f t="shared" si="4"/>
        <v>210.98493827262914</v>
      </c>
      <c r="N18">
        <f t="shared" si="5"/>
        <v>20.672384471828718</v>
      </c>
      <c r="O18">
        <f t="shared" si="6"/>
        <v>41.139720746637323</v>
      </c>
      <c r="P18">
        <f t="shared" si="7"/>
        <v>0.24581836317819444</v>
      </c>
      <c r="Q18">
        <f t="shared" si="8"/>
        <v>2.8938894130734125</v>
      </c>
      <c r="R18">
        <f t="shared" si="9"/>
        <v>0.23477918707808529</v>
      </c>
      <c r="S18">
        <f t="shared" si="10"/>
        <v>0.14768750193576025</v>
      </c>
      <c r="T18">
        <f t="shared" si="11"/>
        <v>271.90957608062411</v>
      </c>
      <c r="U18">
        <f t="shared" si="12"/>
        <v>26.115106032827004</v>
      </c>
      <c r="V18">
        <f t="shared" si="13"/>
        <v>25.02555806451613</v>
      </c>
      <c r="W18">
        <f t="shared" si="14"/>
        <v>3.1845258461136607</v>
      </c>
      <c r="X18">
        <f t="shared" si="15"/>
        <v>65.448137807857606</v>
      </c>
      <c r="Y18">
        <f t="shared" si="16"/>
        <v>2.1049102957229016</v>
      </c>
      <c r="Z18">
        <f t="shared" si="17"/>
        <v>3.2161500177476237</v>
      </c>
      <c r="AA18">
        <f t="shared" si="18"/>
        <v>1.0796155503907592</v>
      </c>
      <c r="AB18">
        <f t="shared" si="19"/>
        <v>-117.24975073143486</v>
      </c>
      <c r="AC18">
        <f t="shared" si="20"/>
        <v>25.879929573394364</v>
      </c>
      <c r="AD18">
        <f t="shared" si="21"/>
        <v>1.8937187160595879</v>
      </c>
      <c r="AE18">
        <f t="shared" si="22"/>
        <v>182.43347363864319</v>
      </c>
      <c r="AF18">
        <f t="shared" si="23"/>
        <v>30.012121607932833</v>
      </c>
      <c r="AG18">
        <f t="shared" si="24"/>
        <v>2.6587245063817431</v>
      </c>
      <c r="AH18">
        <f t="shared" si="25"/>
        <v>30.005553423206372</v>
      </c>
      <c r="AI18">
        <v>465.85932001908452</v>
      </c>
      <c r="AJ18">
        <v>429.16790909090912</v>
      </c>
      <c r="AK18">
        <v>1.647931137636895E-3</v>
      </c>
      <c r="AL18">
        <v>67.042935673939255</v>
      </c>
      <c r="AM18">
        <f t="shared" si="26"/>
        <v>2.6667116661967345</v>
      </c>
      <c r="AN18">
        <v>18.293805096277179</v>
      </c>
      <c r="AO18">
        <v>21.467119999999991</v>
      </c>
      <c r="AP18">
        <v>-6.7802287037074362E-3</v>
      </c>
      <c r="AQ18">
        <v>77.954819189377488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52122.778584081876</v>
      </c>
      <c r="AW18" t="s">
        <v>572</v>
      </c>
      <c r="AX18">
        <v>13230.3</v>
      </c>
      <c r="AY18">
        <v>678.92352941176466</v>
      </c>
      <c r="AZ18">
        <v>2566.7399999999998</v>
      </c>
      <c r="BA18">
        <f t="shared" si="30"/>
        <v>0.73549189656460534</v>
      </c>
      <c r="BB18">
        <v>-2.0951853600362038</v>
      </c>
      <c r="BC18" t="s">
        <v>577</v>
      </c>
      <c r="BD18">
        <v>13209.4</v>
      </c>
      <c r="BE18">
        <v>872.41499999999996</v>
      </c>
      <c r="BF18">
        <v>1080.05</v>
      </c>
      <c r="BG18">
        <f t="shared" si="31"/>
        <v>0.19224572936438122</v>
      </c>
      <c r="BH18">
        <v>0.5</v>
      </c>
      <c r="BI18">
        <f t="shared" si="32"/>
        <v>1428.3062127110031</v>
      </c>
      <c r="BJ18">
        <f t="shared" si="33"/>
        <v>30.012121607932833</v>
      </c>
      <c r="BK18">
        <f t="shared" si="34"/>
        <v>137.2928848091519</v>
      </c>
      <c r="BL18">
        <f t="shared" si="35"/>
        <v>2.2479288182208224E-2</v>
      </c>
      <c r="BM18">
        <f t="shared" si="36"/>
        <v>1.3765010879125965</v>
      </c>
      <c r="BN18">
        <f t="shared" si="37"/>
        <v>497.70960594883798</v>
      </c>
      <c r="BO18" t="s">
        <v>408</v>
      </c>
      <c r="BP18">
        <v>0</v>
      </c>
      <c r="BQ18">
        <f t="shared" si="38"/>
        <v>497.70960594883798</v>
      </c>
      <c r="BR18">
        <f t="shared" si="39"/>
        <v>0.53917910657021617</v>
      </c>
      <c r="BS18">
        <f t="shared" si="40"/>
        <v>0.3565526316241735</v>
      </c>
      <c r="BT18">
        <f t="shared" si="41"/>
        <v>0.71854430185003748</v>
      </c>
      <c r="BU18">
        <f t="shared" si="42"/>
        <v>0.51762976324028653</v>
      </c>
      <c r="BV18">
        <f t="shared" si="43"/>
        <v>0.78751829066135548</v>
      </c>
      <c r="BW18">
        <f t="shared" si="44"/>
        <v>0.20341198831483709</v>
      </c>
      <c r="BX18">
        <f t="shared" si="45"/>
        <v>0.79658801168516291</v>
      </c>
      <c r="DG18">
        <f t="shared" si="46"/>
        <v>1700.000967741935</v>
      </c>
      <c r="DH18">
        <f t="shared" si="47"/>
        <v>1428.3062127110031</v>
      </c>
      <c r="DI18">
        <f t="shared" si="48"/>
        <v>0.84017964684348589</v>
      </c>
      <c r="DJ18">
        <f t="shared" si="49"/>
        <v>0.15994671840792785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1786026756</v>
      </c>
      <c r="DQ18">
        <v>419.8771290322581</v>
      </c>
      <c r="DR18">
        <v>457.23387096774189</v>
      </c>
      <c r="DS18">
        <v>21.482977419354839</v>
      </c>
      <c r="DT18">
        <v>18.360832258064519</v>
      </c>
      <c r="DU18">
        <v>429.53741935483862</v>
      </c>
      <c r="DV18">
        <v>21.963561290322581</v>
      </c>
      <c r="DW18">
        <v>499.96532258064519</v>
      </c>
      <c r="DX18">
        <v>97.932096774193553</v>
      </c>
      <c r="DY18">
        <v>4.8283441935483867E-2</v>
      </c>
      <c r="DZ18">
        <v>25.191438709677421</v>
      </c>
      <c r="EA18">
        <v>25.02555806451613</v>
      </c>
      <c r="EB18">
        <v>999.90000000000032</v>
      </c>
      <c r="EC18">
        <v>0</v>
      </c>
      <c r="ED18">
        <v>0</v>
      </c>
      <c r="EE18">
        <v>10005</v>
      </c>
      <c r="EF18">
        <v>0</v>
      </c>
      <c r="EG18">
        <v>451.30309677419359</v>
      </c>
      <c r="EH18">
        <v>-37.356725806451607</v>
      </c>
      <c r="EI18">
        <v>429.0954516129031</v>
      </c>
      <c r="EJ18">
        <v>465.78616129032258</v>
      </c>
      <c r="EK18">
        <v>3.1221406451612901</v>
      </c>
      <c r="EL18">
        <v>457.23387096774189</v>
      </c>
      <c r="EM18">
        <v>18.360832258064519</v>
      </c>
      <c r="EN18">
        <v>2.103873225806451</v>
      </c>
      <c r="EO18">
        <v>1.7981154838709681</v>
      </c>
      <c r="EP18">
        <v>18.248525806451621</v>
      </c>
      <c r="EQ18">
        <v>15.77034516129032</v>
      </c>
      <c r="ER18">
        <v>1700.000967741935</v>
      </c>
      <c r="ES18">
        <v>0.99399293548387091</v>
      </c>
      <c r="ET18">
        <v>6.0069183870967756E-3</v>
      </c>
      <c r="EU18">
        <v>0</v>
      </c>
      <c r="EV18">
        <v>872.53022580645154</v>
      </c>
      <c r="EW18">
        <v>5.0010700000000003</v>
      </c>
      <c r="EX18">
        <v>16812.52580645162</v>
      </c>
      <c r="EY18">
        <v>15492.470967741931</v>
      </c>
      <c r="EZ18">
        <v>36.86077419354838</v>
      </c>
      <c r="FA18">
        <v>38.25</v>
      </c>
      <c r="FB18">
        <v>37.561999999999983</v>
      </c>
      <c r="FC18">
        <v>37.838419354838713</v>
      </c>
      <c r="FD18">
        <v>38.311999999999983</v>
      </c>
      <c r="FE18">
        <v>1684.820967741935</v>
      </c>
      <c r="FF18">
        <v>10.18</v>
      </c>
      <c r="FG18">
        <v>0</v>
      </c>
      <c r="FH18">
        <v>181.5</v>
      </c>
      <c r="FI18">
        <v>0</v>
      </c>
      <c r="FJ18">
        <v>872.41499999999996</v>
      </c>
      <c r="FK18">
        <v>-2.235294141989554</v>
      </c>
      <c r="FL18">
        <v>158.45588259567589</v>
      </c>
      <c r="FM18">
        <v>16812.852941176468</v>
      </c>
      <c r="FN18">
        <v>10</v>
      </c>
      <c r="FO18">
        <v>1786026649.0999999</v>
      </c>
      <c r="FP18" t="s">
        <v>578</v>
      </c>
      <c r="FQ18">
        <v>1786026642.0999999</v>
      </c>
      <c r="FR18">
        <v>1786026649.0999999</v>
      </c>
      <c r="FS18">
        <v>4</v>
      </c>
      <c r="FT18">
        <v>6.6000000000000003E-2</v>
      </c>
      <c r="FU18">
        <v>-3.0000000000000001E-3</v>
      </c>
      <c r="FV18">
        <v>-9.7949999999999999</v>
      </c>
      <c r="FW18">
        <v>-0.56399999999999995</v>
      </c>
      <c r="FX18">
        <v>456</v>
      </c>
      <c r="FY18">
        <v>18</v>
      </c>
      <c r="FZ18">
        <v>0.32</v>
      </c>
      <c r="GA18">
        <v>0.08</v>
      </c>
      <c r="GB18">
        <v>419.8771290322581</v>
      </c>
      <c r="GC18">
        <v>0.25611290322518587</v>
      </c>
      <c r="GD18">
        <v>7.0954206920440452E-2</v>
      </c>
      <c r="GE18">
        <v>-1</v>
      </c>
      <c r="GF18">
        <v>872.5913823529412</v>
      </c>
      <c r="GG18">
        <v>-1.943177996950582</v>
      </c>
      <c r="GH18">
        <v>0.2613394248533924</v>
      </c>
      <c r="GI18">
        <v>1</v>
      </c>
      <c r="GJ18">
        <v>3.095821951219512</v>
      </c>
      <c r="GK18">
        <v>0.67315024390243972</v>
      </c>
      <c r="GL18">
        <v>6.7635299169544028E-2</v>
      </c>
      <c r="GM18">
        <v>0</v>
      </c>
      <c r="GN18">
        <v>1</v>
      </c>
      <c r="GO18">
        <v>2</v>
      </c>
      <c r="GP18" t="s">
        <v>444</v>
      </c>
      <c r="GQ18">
        <v>3.1310099999999998</v>
      </c>
      <c r="GR18">
        <v>2.7241499999999998</v>
      </c>
      <c r="GS18">
        <v>9.3615799999999999E-2</v>
      </c>
      <c r="GT18">
        <v>9.8796200000000001E-2</v>
      </c>
      <c r="GU18">
        <v>0.10668999999999999</v>
      </c>
      <c r="GV18">
        <v>9.3826300000000001E-2</v>
      </c>
      <c r="GW18">
        <v>22936.2</v>
      </c>
      <c r="GX18">
        <v>30315.3</v>
      </c>
      <c r="GY18">
        <v>27420.1</v>
      </c>
      <c r="GZ18">
        <v>34547.1</v>
      </c>
      <c r="HA18">
        <v>35788.800000000003</v>
      </c>
      <c r="HB18">
        <v>39405.199999999997</v>
      </c>
      <c r="HC18">
        <v>40421.599999999999</v>
      </c>
      <c r="HD18">
        <v>43574.1</v>
      </c>
      <c r="HE18">
        <v>2.0333999999999999</v>
      </c>
      <c r="HF18">
        <v>1.9688000000000001</v>
      </c>
      <c r="HG18">
        <v>3.2782600000000002E-2</v>
      </c>
      <c r="HH18">
        <v>0</v>
      </c>
      <c r="HI18">
        <v>24.480899999999998</v>
      </c>
      <c r="HJ18">
        <v>999.9</v>
      </c>
      <c r="HK18">
        <v>79.3</v>
      </c>
      <c r="HL18">
        <v>24.6</v>
      </c>
      <c r="HM18">
        <v>25.136800000000001</v>
      </c>
      <c r="HN18">
        <v>60.777299999999997</v>
      </c>
      <c r="HO18">
        <v>3.1530499999999999</v>
      </c>
      <c r="HP18">
        <v>1</v>
      </c>
      <c r="HQ18">
        <v>1.7479700000000001E-2</v>
      </c>
      <c r="HR18">
        <v>1.7831600000000001</v>
      </c>
      <c r="HS18">
        <v>20.266300000000001</v>
      </c>
      <c r="HT18">
        <v>5.2112999999999996</v>
      </c>
      <c r="HU18">
        <v>11.902100000000001</v>
      </c>
      <c r="HV18">
        <v>4.9859999999999998</v>
      </c>
      <c r="HW18">
        <v>3.2704</v>
      </c>
      <c r="HX18">
        <v>9999</v>
      </c>
      <c r="HY18">
        <v>9999</v>
      </c>
      <c r="HZ18">
        <v>9999</v>
      </c>
      <c r="IA18">
        <v>999.9</v>
      </c>
      <c r="IB18">
        <v>1.8666100000000001</v>
      </c>
      <c r="IC18">
        <v>1.86215</v>
      </c>
      <c r="ID18">
        <v>1.8615699999999999</v>
      </c>
      <c r="IE18">
        <v>1.86111</v>
      </c>
      <c r="IF18">
        <v>1.86111</v>
      </c>
      <c r="IG18">
        <v>1.86188</v>
      </c>
      <c r="IH18">
        <v>1.8627899999999999</v>
      </c>
      <c r="II18">
        <v>1.8608100000000001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-9.6609999999999996</v>
      </c>
      <c r="IX18">
        <v>-0.48110000000000003</v>
      </c>
      <c r="IY18">
        <v>-7.6592685039744142</v>
      </c>
      <c r="IZ18">
        <v>-5.6215304933332991E-3</v>
      </c>
      <c r="JA18">
        <v>2.3979931213773931E-6</v>
      </c>
      <c r="JB18">
        <v>-3.6297174575716598E-10</v>
      </c>
      <c r="JC18">
        <v>-0.81763993700768767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</v>
      </c>
      <c r="JL18">
        <v>1.9</v>
      </c>
      <c r="JM18">
        <v>1.16943</v>
      </c>
      <c r="JN18">
        <v>2.4523899999999998</v>
      </c>
      <c r="JO18">
        <v>1.50024</v>
      </c>
      <c r="JP18">
        <v>2.2814899999999998</v>
      </c>
      <c r="JQ18">
        <v>1.4477500000000001</v>
      </c>
      <c r="JR18">
        <v>2.2851599999999999</v>
      </c>
      <c r="JS18">
        <v>30.673999999999999</v>
      </c>
      <c r="JT18">
        <v>15.918200000000001</v>
      </c>
      <c r="JU18">
        <v>18</v>
      </c>
      <c r="JV18">
        <v>530.93299999999999</v>
      </c>
      <c r="JW18">
        <v>507.55799999999999</v>
      </c>
      <c r="JX18">
        <v>22.782599999999999</v>
      </c>
      <c r="JY18">
        <v>27.384799999999998</v>
      </c>
      <c r="JZ18">
        <v>30.001100000000001</v>
      </c>
      <c r="KA18">
        <v>27.7666</v>
      </c>
      <c r="KB18">
        <v>27.8446</v>
      </c>
      <c r="KC18">
        <v>23.391500000000001</v>
      </c>
      <c r="KD18">
        <v>36.090899999999998</v>
      </c>
      <c r="KE18">
        <v>74.095699999999994</v>
      </c>
      <c r="KF18">
        <v>22.7318</v>
      </c>
      <c r="KG18">
        <v>457.30799999999999</v>
      </c>
      <c r="KH18">
        <v>18.224699999999999</v>
      </c>
      <c r="KI18">
        <v>101.095</v>
      </c>
      <c r="KJ18">
        <v>98.293000000000006</v>
      </c>
    </row>
    <row r="19" spans="1:296" x14ac:dyDescent="0.3">
      <c r="A19">
        <v>3</v>
      </c>
      <c r="B19">
        <v>1786026945.5</v>
      </c>
      <c r="C19">
        <v>363.40000009536737</v>
      </c>
      <c r="D19" t="s">
        <v>579</v>
      </c>
      <c r="E19" t="s">
        <v>580</v>
      </c>
      <c r="F19">
        <v>15</v>
      </c>
      <c r="H19">
        <v>1786026937.75</v>
      </c>
      <c r="I19">
        <f t="shared" si="0"/>
        <v>2.696274011066006E-3</v>
      </c>
      <c r="J19">
        <f t="shared" si="1"/>
        <v>2.6962740110660062</v>
      </c>
      <c r="K19">
        <f t="shared" si="2"/>
        <v>30.481935760779944</v>
      </c>
      <c r="L19">
        <f t="shared" si="3"/>
        <v>419.92426666666671</v>
      </c>
      <c r="M19">
        <f t="shared" si="4"/>
        <v>208.72988211319804</v>
      </c>
      <c r="N19">
        <f t="shared" si="5"/>
        <v>20.452096707273558</v>
      </c>
      <c r="O19">
        <f t="shared" si="6"/>
        <v>41.145674134669363</v>
      </c>
      <c r="P19">
        <f t="shared" si="7"/>
        <v>0.24695819934847274</v>
      </c>
      <c r="Q19">
        <f t="shared" si="8"/>
        <v>2.8930700093676425</v>
      </c>
      <c r="R19">
        <f t="shared" si="9"/>
        <v>0.23581590182729328</v>
      </c>
      <c r="S19">
        <f t="shared" si="10"/>
        <v>0.14834413210688449</v>
      </c>
      <c r="T19">
        <f t="shared" si="11"/>
        <v>255.91984202906426</v>
      </c>
      <c r="U19">
        <f t="shared" si="12"/>
        <v>26.009265954084391</v>
      </c>
      <c r="V19">
        <f t="shared" si="13"/>
        <v>24.987103333333341</v>
      </c>
      <c r="W19">
        <f t="shared" si="14"/>
        <v>3.177233596675455</v>
      </c>
      <c r="X19">
        <f t="shared" si="15"/>
        <v>64.893954443859442</v>
      </c>
      <c r="Y19">
        <f t="shared" si="16"/>
        <v>2.0870034266084336</v>
      </c>
      <c r="Z19">
        <f t="shared" si="17"/>
        <v>3.2160213451222575</v>
      </c>
      <c r="AA19">
        <f t="shared" si="18"/>
        <v>1.0902301700670214</v>
      </c>
      <c r="AB19">
        <f t="shared" si="19"/>
        <v>-118.90568388801087</v>
      </c>
      <c r="AC19">
        <f t="shared" si="20"/>
        <v>31.765612529635415</v>
      </c>
      <c r="AD19">
        <f t="shared" si="21"/>
        <v>2.3245940166356167</v>
      </c>
      <c r="AE19">
        <f t="shared" si="22"/>
        <v>171.10436468732445</v>
      </c>
      <c r="AF19">
        <f t="shared" si="23"/>
        <v>30.481935760779944</v>
      </c>
      <c r="AG19">
        <f t="shared" si="24"/>
        <v>2.6962740110660062</v>
      </c>
      <c r="AH19">
        <f t="shared" si="25"/>
        <v>30.493059124774188</v>
      </c>
      <c r="AI19">
        <v>466.38736059437832</v>
      </c>
      <c r="AJ19">
        <v>429.10093333333322</v>
      </c>
      <c r="AK19">
        <v>3.1727238696132578E-3</v>
      </c>
      <c r="AL19">
        <v>67.060045129399214</v>
      </c>
      <c r="AM19">
        <f t="shared" si="26"/>
        <v>2.7140473810112447</v>
      </c>
      <c r="AN19">
        <v>18.09972918622686</v>
      </c>
      <c r="AO19">
        <v>21.28817575757575</v>
      </c>
      <c r="AP19">
        <v>-1.190649828505373E-4</v>
      </c>
      <c r="AQ19">
        <v>78.12664873848901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52099.454524499735</v>
      </c>
      <c r="AW19" t="s">
        <v>572</v>
      </c>
      <c r="AX19">
        <v>13230.3</v>
      </c>
      <c r="AY19">
        <v>678.92352941176466</v>
      </c>
      <c r="AZ19">
        <v>2566.7399999999998</v>
      </c>
      <c r="BA19">
        <f t="shared" si="30"/>
        <v>0.73549189656460534</v>
      </c>
      <c r="BB19">
        <v>-2.0951853600362038</v>
      </c>
      <c r="BC19" t="s">
        <v>581</v>
      </c>
      <c r="BD19">
        <v>13211.6</v>
      </c>
      <c r="BE19">
        <v>867.99229411764713</v>
      </c>
      <c r="BF19">
        <v>1098.27</v>
      </c>
      <c r="BG19">
        <f t="shared" si="31"/>
        <v>0.20967312763013912</v>
      </c>
      <c r="BH19">
        <v>0.5</v>
      </c>
      <c r="BI19">
        <f t="shared" si="32"/>
        <v>1344.3145598078056</v>
      </c>
      <c r="BJ19">
        <f t="shared" si="33"/>
        <v>30.481935760779944</v>
      </c>
      <c r="BK19">
        <f t="shared" si="34"/>
        <v>140.93331913681817</v>
      </c>
      <c r="BL19">
        <f t="shared" si="35"/>
        <v>2.4233257672574521E-2</v>
      </c>
      <c r="BM19">
        <f t="shared" si="36"/>
        <v>1.3370755825070337</v>
      </c>
      <c r="BN19">
        <f t="shared" si="37"/>
        <v>501.54385507541616</v>
      </c>
      <c r="BO19" t="s">
        <v>408</v>
      </c>
      <c r="BP19">
        <v>0</v>
      </c>
      <c r="BQ19">
        <f t="shared" si="38"/>
        <v>501.54385507541616</v>
      </c>
      <c r="BR19">
        <f t="shared" si="39"/>
        <v>0.54333282792444826</v>
      </c>
      <c r="BS19">
        <f t="shared" si="40"/>
        <v>0.38590182086199032</v>
      </c>
      <c r="BT19">
        <f t="shared" si="41"/>
        <v>0.71105594672394912</v>
      </c>
      <c r="BU19">
        <f t="shared" si="42"/>
        <v>0.54913471802763092</v>
      </c>
      <c r="BV19">
        <f t="shared" si="43"/>
        <v>0.77786692873933405</v>
      </c>
      <c r="BW19">
        <f t="shared" si="44"/>
        <v>0.22298203362795302</v>
      </c>
      <c r="BX19">
        <f t="shared" si="45"/>
        <v>0.77701796637204701</v>
      </c>
      <c r="DG19">
        <f t="shared" si="46"/>
        <v>1600.032333333334</v>
      </c>
      <c r="DH19">
        <f t="shared" si="47"/>
        <v>1344.3145598078056</v>
      </c>
      <c r="DI19">
        <f t="shared" si="48"/>
        <v>0.84017962125003209</v>
      </c>
      <c r="DJ19">
        <f t="shared" si="49"/>
        <v>0.15994666901256213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1786026937.75</v>
      </c>
      <c r="DQ19">
        <v>419.92426666666671</v>
      </c>
      <c r="DR19">
        <v>457.86349999999999</v>
      </c>
      <c r="DS19">
        <v>21.299526666666669</v>
      </c>
      <c r="DT19">
        <v>18.13272666666667</v>
      </c>
      <c r="DU19">
        <v>429.54090000000002</v>
      </c>
      <c r="DV19">
        <v>21.78828</v>
      </c>
      <c r="DW19">
        <v>499.97056666666668</v>
      </c>
      <c r="DX19">
        <v>97.934993333333338</v>
      </c>
      <c r="DY19">
        <v>4.8565610000000009E-2</v>
      </c>
      <c r="DZ19">
        <v>25.190766666666669</v>
      </c>
      <c r="EA19">
        <v>24.987103333333341</v>
      </c>
      <c r="EB19">
        <v>999.9000000000002</v>
      </c>
      <c r="EC19">
        <v>0</v>
      </c>
      <c r="ED19">
        <v>0</v>
      </c>
      <c r="EE19">
        <v>10000</v>
      </c>
      <c r="EF19">
        <v>0</v>
      </c>
      <c r="EG19">
        <v>358.1302</v>
      </c>
      <c r="EH19">
        <v>-37.939346666666673</v>
      </c>
      <c r="EI19">
        <v>429.06299999999999</v>
      </c>
      <c r="EJ19">
        <v>466.31916666666672</v>
      </c>
      <c r="EK19">
        <v>3.1668033333333332</v>
      </c>
      <c r="EL19">
        <v>457.86349999999999</v>
      </c>
      <c r="EM19">
        <v>18.13272666666667</v>
      </c>
      <c r="EN19">
        <v>2.0859679999999998</v>
      </c>
      <c r="EO19">
        <v>1.7758290000000001</v>
      </c>
      <c r="EP19">
        <v>18.11244666666666</v>
      </c>
      <c r="EQ19">
        <v>15.57561333333333</v>
      </c>
      <c r="ER19">
        <v>1600.032333333334</v>
      </c>
      <c r="ES19">
        <v>0.99399363333333346</v>
      </c>
      <c r="ET19">
        <v>6.0061273333333332E-3</v>
      </c>
      <c r="EU19">
        <v>0</v>
      </c>
      <c r="EV19">
        <v>868.11076666666656</v>
      </c>
      <c r="EW19">
        <v>5.0010700000000003</v>
      </c>
      <c r="EX19">
        <v>15483.95</v>
      </c>
      <c r="EY19">
        <v>14578.75666666667</v>
      </c>
      <c r="EZ19">
        <v>36.610299999999988</v>
      </c>
      <c r="FA19">
        <v>38.160133333333327</v>
      </c>
      <c r="FB19">
        <v>37.381200000000007</v>
      </c>
      <c r="FC19">
        <v>37.885333333333328</v>
      </c>
      <c r="FD19">
        <v>38.186999999999991</v>
      </c>
      <c r="FE19">
        <v>1585.4523333333329</v>
      </c>
      <c r="FF19">
        <v>9.58</v>
      </c>
      <c r="FG19">
        <v>0</v>
      </c>
      <c r="FH19">
        <v>180.69999980926511</v>
      </c>
      <c r="FI19">
        <v>0</v>
      </c>
      <c r="FJ19">
        <v>867.99229411764713</v>
      </c>
      <c r="FK19">
        <v>0.70098043451389547</v>
      </c>
      <c r="FL19">
        <v>68.553921577799329</v>
      </c>
      <c r="FM19">
        <v>15486.7</v>
      </c>
      <c r="FN19">
        <v>10</v>
      </c>
      <c r="FO19">
        <v>1786026820.5</v>
      </c>
      <c r="FP19" t="s">
        <v>582</v>
      </c>
      <c r="FQ19">
        <v>1786026816.5</v>
      </c>
      <c r="FR19">
        <v>1786026820.5</v>
      </c>
      <c r="FS19">
        <v>5</v>
      </c>
      <c r="FT19">
        <v>4.3999999999999997E-2</v>
      </c>
      <c r="FU19">
        <v>-4.0000000000000001E-3</v>
      </c>
      <c r="FV19">
        <v>-9.7550000000000008</v>
      </c>
      <c r="FW19">
        <v>-0.56399999999999995</v>
      </c>
      <c r="FX19">
        <v>457</v>
      </c>
      <c r="FY19">
        <v>18</v>
      </c>
      <c r="FZ19">
        <v>0.19</v>
      </c>
      <c r="GA19">
        <v>0.13</v>
      </c>
      <c r="GB19">
        <v>419.9250322580645</v>
      </c>
      <c r="GC19">
        <v>9.8758064516005994E-2</v>
      </c>
      <c r="GD19">
        <v>5.8182961629101311E-2</v>
      </c>
      <c r="GE19">
        <v>-1</v>
      </c>
      <c r="GF19">
        <v>868.15302941176469</v>
      </c>
      <c r="GG19">
        <v>-1.2734148141514039</v>
      </c>
      <c r="GH19">
        <v>0.26287197569451881</v>
      </c>
      <c r="GI19">
        <v>1</v>
      </c>
      <c r="GJ19">
        <v>3.1654817073170731</v>
      </c>
      <c r="GK19">
        <v>7.2164738675963847E-2</v>
      </c>
      <c r="GL19">
        <v>1.5957687940367209E-2</v>
      </c>
      <c r="GM19">
        <v>1</v>
      </c>
      <c r="GN19">
        <v>2</v>
      </c>
      <c r="GO19">
        <v>2</v>
      </c>
      <c r="GP19" t="s">
        <v>411</v>
      </c>
      <c r="GQ19">
        <v>3.13104</v>
      </c>
      <c r="GR19">
        <v>2.7250100000000002</v>
      </c>
      <c r="GS19">
        <v>9.3571500000000002E-2</v>
      </c>
      <c r="GT19">
        <v>9.8860600000000007E-2</v>
      </c>
      <c r="GU19">
        <v>0.106057</v>
      </c>
      <c r="GV19">
        <v>9.3246800000000005E-2</v>
      </c>
      <c r="GW19">
        <v>22929</v>
      </c>
      <c r="GX19">
        <v>30304.3</v>
      </c>
      <c r="GY19">
        <v>27411.200000000001</v>
      </c>
      <c r="GZ19">
        <v>34538.400000000001</v>
      </c>
      <c r="HA19">
        <v>35804.800000000003</v>
      </c>
      <c r="HB19">
        <v>39424.5</v>
      </c>
      <c r="HC19">
        <v>40409.699999999997</v>
      </c>
      <c r="HD19">
        <v>43567.1</v>
      </c>
      <c r="HE19">
        <v>2.0310000000000001</v>
      </c>
      <c r="HF19">
        <v>1.962</v>
      </c>
      <c r="HG19">
        <v>3.4868700000000002E-2</v>
      </c>
      <c r="HH19">
        <v>0</v>
      </c>
      <c r="HI19">
        <v>24.4406</v>
      </c>
      <c r="HJ19">
        <v>999.9</v>
      </c>
      <c r="HK19">
        <v>78.400000000000006</v>
      </c>
      <c r="HL19">
        <v>25</v>
      </c>
      <c r="HM19">
        <v>25.451499999999999</v>
      </c>
      <c r="HN19">
        <v>60.9773</v>
      </c>
      <c r="HO19">
        <v>2.88862</v>
      </c>
      <c r="HP19">
        <v>1</v>
      </c>
      <c r="HQ19">
        <v>3.1219500000000001E-2</v>
      </c>
      <c r="HR19">
        <v>1.3264899999999999</v>
      </c>
      <c r="HS19">
        <v>20.2712</v>
      </c>
      <c r="HT19">
        <v>5.2112999999999996</v>
      </c>
      <c r="HU19">
        <v>11.902100000000001</v>
      </c>
      <c r="HV19">
        <v>4.9863999999999997</v>
      </c>
      <c r="HW19">
        <v>3.2706</v>
      </c>
      <c r="HX19">
        <v>9999</v>
      </c>
      <c r="HY19">
        <v>9999</v>
      </c>
      <c r="HZ19">
        <v>9999</v>
      </c>
      <c r="IA19">
        <v>999.9</v>
      </c>
      <c r="IB19">
        <v>1.8666100000000001</v>
      </c>
      <c r="IC19">
        <v>1.8621799999999999</v>
      </c>
      <c r="ID19">
        <v>1.8615699999999999</v>
      </c>
      <c r="IE19">
        <v>1.86111</v>
      </c>
      <c r="IF19">
        <v>1.86117</v>
      </c>
      <c r="IG19">
        <v>1.86191</v>
      </c>
      <c r="IH19">
        <v>1.8627899999999999</v>
      </c>
      <c r="II19">
        <v>1.8608100000000001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-9.6170000000000009</v>
      </c>
      <c r="IX19">
        <v>-0.48909999999999998</v>
      </c>
      <c r="IY19">
        <v>-7.6157030881077494</v>
      </c>
      <c r="IZ19">
        <v>-5.6215304933332991E-3</v>
      </c>
      <c r="JA19">
        <v>2.3979931213773931E-6</v>
      </c>
      <c r="JB19">
        <v>-3.6297174575716598E-10</v>
      </c>
      <c r="JC19">
        <v>-0.82118259168190066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2.1</v>
      </c>
      <c r="JM19">
        <v>1.17188</v>
      </c>
      <c r="JN19">
        <v>2.4511699999999998</v>
      </c>
      <c r="JO19">
        <v>1.50024</v>
      </c>
      <c r="JP19">
        <v>2.2802699999999998</v>
      </c>
      <c r="JQ19">
        <v>1.4477500000000001</v>
      </c>
      <c r="JR19">
        <v>2.4670399999999999</v>
      </c>
      <c r="JS19">
        <v>31.0853</v>
      </c>
      <c r="JT19">
        <v>15.918200000000001</v>
      </c>
      <c r="JU19">
        <v>18</v>
      </c>
      <c r="JV19">
        <v>531.44500000000005</v>
      </c>
      <c r="JW19">
        <v>504.94900000000001</v>
      </c>
      <c r="JX19">
        <v>23.253699999999998</v>
      </c>
      <c r="JY19">
        <v>27.594799999999999</v>
      </c>
      <c r="JZ19">
        <v>30.0001</v>
      </c>
      <c r="KA19">
        <v>27.991099999999999</v>
      </c>
      <c r="KB19">
        <v>28.0657</v>
      </c>
      <c r="KC19">
        <v>23.431999999999999</v>
      </c>
      <c r="KD19">
        <v>36.9377</v>
      </c>
      <c r="KE19">
        <v>69.930099999999996</v>
      </c>
      <c r="KF19">
        <v>23.252700000000001</v>
      </c>
      <c r="KG19">
        <v>457.87</v>
      </c>
      <c r="KH19">
        <v>18.0901</v>
      </c>
      <c r="KI19">
        <v>101.063</v>
      </c>
      <c r="KJ19">
        <v>98.273399999999995</v>
      </c>
    </row>
    <row r="20" spans="1:296" x14ac:dyDescent="0.3">
      <c r="A20">
        <v>4</v>
      </c>
      <c r="B20">
        <v>1786027127</v>
      </c>
      <c r="C20">
        <v>544.90000009536743</v>
      </c>
      <c r="D20" t="s">
        <v>583</v>
      </c>
      <c r="E20" t="s">
        <v>584</v>
      </c>
      <c r="F20">
        <v>15</v>
      </c>
      <c r="H20">
        <v>1786027119</v>
      </c>
      <c r="I20">
        <f t="shared" si="0"/>
        <v>2.4823904012538788E-3</v>
      </c>
      <c r="J20">
        <f t="shared" si="1"/>
        <v>2.4823904012538787</v>
      </c>
      <c r="K20">
        <f t="shared" si="2"/>
        <v>30.227346909338213</v>
      </c>
      <c r="L20">
        <f t="shared" si="3"/>
        <v>419.97645161290319</v>
      </c>
      <c r="M20">
        <f t="shared" si="4"/>
        <v>195.20741458939668</v>
      </c>
      <c r="N20">
        <f t="shared" si="5"/>
        <v>19.12768305601805</v>
      </c>
      <c r="O20">
        <f t="shared" si="6"/>
        <v>41.152004775740011</v>
      </c>
      <c r="P20">
        <f t="shared" si="7"/>
        <v>0.22888391342882808</v>
      </c>
      <c r="Q20">
        <f t="shared" si="8"/>
        <v>2.8932284885191337</v>
      </c>
      <c r="R20">
        <f t="shared" si="9"/>
        <v>0.21927929682707303</v>
      </c>
      <c r="S20">
        <f t="shared" si="10"/>
        <v>0.13787891153500192</v>
      </c>
      <c r="T20">
        <f t="shared" si="11"/>
        <v>224.0117449874671</v>
      </c>
      <c r="U20">
        <f t="shared" si="12"/>
        <v>25.911583591565719</v>
      </c>
      <c r="V20">
        <f t="shared" si="13"/>
        <v>25.01210967741936</v>
      </c>
      <c r="W20">
        <f t="shared" si="14"/>
        <v>3.1819739396162019</v>
      </c>
      <c r="X20">
        <f t="shared" si="15"/>
        <v>65.236909074094498</v>
      </c>
      <c r="Y20">
        <f t="shared" si="16"/>
        <v>2.102613320903767</v>
      </c>
      <c r="Z20">
        <f t="shared" si="17"/>
        <v>3.2230425241570995</v>
      </c>
      <c r="AA20">
        <f t="shared" si="18"/>
        <v>1.0793606187124349</v>
      </c>
      <c r="AB20">
        <f t="shared" si="19"/>
        <v>-109.47341669529605</v>
      </c>
      <c r="AC20">
        <f t="shared" si="20"/>
        <v>33.581430468120246</v>
      </c>
      <c r="AD20">
        <f t="shared" si="21"/>
        <v>2.4581025468653843</v>
      </c>
      <c r="AE20">
        <f t="shared" si="22"/>
        <v>150.57786130715667</v>
      </c>
      <c r="AF20">
        <f t="shared" si="23"/>
        <v>30.227346909338213</v>
      </c>
      <c r="AG20">
        <f t="shared" si="24"/>
        <v>2.4823904012538787</v>
      </c>
      <c r="AH20">
        <f t="shared" si="25"/>
        <v>30.088420354965763</v>
      </c>
      <c r="AI20">
        <v>466.01698790593412</v>
      </c>
      <c r="AJ20">
        <v>429.20766666666651</v>
      </c>
      <c r="AK20">
        <v>3.9564062927155931E-3</v>
      </c>
      <c r="AL20">
        <v>67.054920260873587</v>
      </c>
      <c r="AM20">
        <f t="shared" si="26"/>
        <v>2.4725073715400172</v>
      </c>
      <c r="AN20">
        <v>18.54843747433253</v>
      </c>
      <c r="AO20">
        <v>21.451593939393931</v>
      </c>
      <c r="AP20">
        <v>3.4508995317589641E-5</v>
      </c>
      <c r="AQ20">
        <v>78.098679037068294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52097.655700030926</v>
      </c>
      <c r="AW20" t="s">
        <v>572</v>
      </c>
      <c r="AX20">
        <v>13230.3</v>
      </c>
      <c r="AY20">
        <v>678.92352941176466</v>
      </c>
      <c r="AZ20">
        <v>2566.7399999999998</v>
      </c>
      <c r="BA20">
        <f t="shared" si="30"/>
        <v>0.73549189656460534</v>
      </c>
      <c r="BB20">
        <v>-2.0951853600362038</v>
      </c>
      <c r="BC20" t="s">
        <v>585</v>
      </c>
      <c r="BD20">
        <v>13224</v>
      </c>
      <c r="BE20">
        <v>862.02499999999998</v>
      </c>
      <c r="BF20">
        <v>1135.6500000000001</v>
      </c>
      <c r="BG20">
        <f t="shared" si="31"/>
        <v>0.24094131114339812</v>
      </c>
      <c r="BH20">
        <v>0.5</v>
      </c>
      <c r="BI20">
        <f t="shared" si="32"/>
        <v>1176.3277546149336</v>
      </c>
      <c r="BJ20">
        <f t="shared" si="33"/>
        <v>30.227346909338213</v>
      </c>
      <c r="BK20">
        <f t="shared" si="34"/>
        <v>141.71297576564581</v>
      </c>
      <c r="BL20">
        <f t="shared" si="35"/>
        <v>2.7477488431746702E-2</v>
      </c>
      <c r="BM20">
        <f t="shared" si="36"/>
        <v>1.2601505745608239</v>
      </c>
      <c r="BN20">
        <f t="shared" si="37"/>
        <v>509.19772432530391</v>
      </c>
      <c r="BO20" t="s">
        <v>408</v>
      </c>
      <c r="BP20">
        <v>0</v>
      </c>
      <c r="BQ20">
        <f t="shared" si="38"/>
        <v>509.19772432530391</v>
      </c>
      <c r="BR20">
        <f t="shared" si="39"/>
        <v>0.55162442273120782</v>
      </c>
      <c r="BS20">
        <f t="shared" si="40"/>
        <v>0.43678506827244401</v>
      </c>
      <c r="BT20">
        <f t="shared" si="41"/>
        <v>0.69553370393360503</v>
      </c>
      <c r="BU20">
        <f t="shared" si="42"/>
        <v>0.59910037543387418</v>
      </c>
      <c r="BV20">
        <f t="shared" si="43"/>
        <v>0.75806627513641656</v>
      </c>
      <c r="BW20">
        <f t="shared" si="44"/>
        <v>0.25800871527345609</v>
      </c>
      <c r="BX20">
        <f t="shared" si="45"/>
        <v>0.74199128472654396</v>
      </c>
      <c r="DG20">
        <f t="shared" si="46"/>
        <v>1400.041612903226</v>
      </c>
      <c r="DH20">
        <f t="shared" si="47"/>
        <v>1176.3277546149336</v>
      </c>
      <c r="DI20">
        <f t="shared" si="48"/>
        <v>0.84020913648103401</v>
      </c>
      <c r="DJ20">
        <f t="shared" si="49"/>
        <v>0.16000363340839591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1786027119</v>
      </c>
      <c r="DQ20">
        <v>419.97645161290319</v>
      </c>
      <c r="DR20">
        <v>457.5004193548387</v>
      </c>
      <c r="DS20">
        <v>21.45820322580645</v>
      </c>
      <c r="DT20">
        <v>18.543248387096771</v>
      </c>
      <c r="DU20">
        <v>429.59109677419349</v>
      </c>
      <c r="DV20">
        <v>21.946345161290321</v>
      </c>
      <c r="DW20">
        <v>499.99870967741919</v>
      </c>
      <c r="DX20">
        <v>97.937583870967757</v>
      </c>
      <c r="DY20">
        <v>4.8873745161290331E-2</v>
      </c>
      <c r="DZ20">
        <v>25.227403225806459</v>
      </c>
      <c r="EA20">
        <v>25.01210967741936</v>
      </c>
      <c r="EB20">
        <v>999.90000000000032</v>
      </c>
      <c r="EC20">
        <v>0</v>
      </c>
      <c r="ED20">
        <v>0</v>
      </c>
      <c r="EE20">
        <v>10000.64516129032</v>
      </c>
      <c r="EF20">
        <v>0</v>
      </c>
      <c r="EG20">
        <v>304.86787096774202</v>
      </c>
      <c r="EH20">
        <v>-37.524051612903222</v>
      </c>
      <c r="EI20">
        <v>429.18599999999998</v>
      </c>
      <c r="EJ20">
        <v>466.1443548387096</v>
      </c>
      <c r="EK20">
        <v>2.9149551612903219</v>
      </c>
      <c r="EL20">
        <v>457.5004193548387</v>
      </c>
      <c r="EM20">
        <v>18.543248387096771</v>
      </c>
      <c r="EN20">
        <v>2.1015658064516129</v>
      </c>
      <c r="EO20">
        <v>1.816081612903226</v>
      </c>
      <c r="EP20">
        <v>18.231038709677421</v>
      </c>
      <c r="EQ20">
        <v>15.92588709677419</v>
      </c>
      <c r="ER20">
        <v>1400.041612903226</v>
      </c>
      <c r="ES20">
        <v>0.9930044516129034</v>
      </c>
      <c r="ET20">
        <v>6.9959058064516149E-3</v>
      </c>
      <c r="EU20">
        <v>0</v>
      </c>
      <c r="EV20">
        <v>862.03467741935469</v>
      </c>
      <c r="EW20">
        <v>5.0010700000000003</v>
      </c>
      <c r="EX20">
        <v>13402.787096774189</v>
      </c>
      <c r="EY20">
        <v>12745.903225806451</v>
      </c>
      <c r="EZ20">
        <v>36.186999999999991</v>
      </c>
      <c r="FA20">
        <v>38</v>
      </c>
      <c r="FB20">
        <v>37.128999999999998</v>
      </c>
      <c r="FC20">
        <v>37.686999999999983</v>
      </c>
      <c r="FD20">
        <v>37.811999999999983</v>
      </c>
      <c r="FE20">
        <v>1385.281612903226</v>
      </c>
      <c r="FF20">
        <v>9.759999999999998</v>
      </c>
      <c r="FG20">
        <v>0</v>
      </c>
      <c r="FH20">
        <v>180.89999985694891</v>
      </c>
      <c r="FI20">
        <v>0</v>
      </c>
      <c r="FJ20">
        <v>862.02499999999998</v>
      </c>
      <c r="FK20">
        <v>-2.042156893413452</v>
      </c>
      <c r="FL20">
        <v>-125.6862748432394</v>
      </c>
      <c r="FM20">
        <v>13396.558823529411</v>
      </c>
      <c r="FN20">
        <v>10</v>
      </c>
      <c r="FO20">
        <v>1786027016.5</v>
      </c>
      <c r="FP20" t="s">
        <v>586</v>
      </c>
      <c r="FQ20">
        <v>1786027015.5</v>
      </c>
      <c r="FR20">
        <v>1786027016.5</v>
      </c>
      <c r="FS20">
        <v>6</v>
      </c>
      <c r="FT20">
        <v>2E-3</v>
      </c>
      <c r="FU20">
        <v>-4.0000000000000001E-3</v>
      </c>
      <c r="FV20">
        <v>-9.7520000000000007</v>
      </c>
      <c r="FW20">
        <v>-0.56299999999999994</v>
      </c>
      <c r="FX20">
        <v>457</v>
      </c>
      <c r="FY20">
        <v>18</v>
      </c>
      <c r="FZ20">
        <v>0.19</v>
      </c>
      <c r="GA20">
        <v>7.0000000000000007E-2</v>
      </c>
      <c r="GB20">
        <v>419.97606666666672</v>
      </c>
      <c r="GC20">
        <v>0.28207341490564453</v>
      </c>
      <c r="GD20">
        <v>6.0763439299924879E-2</v>
      </c>
      <c r="GE20">
        <v>-1</v>
      </c>
      <c r="GF20">
        <v>862.07482352941167</v>
      </c>
      <c r="GG20">
        <v>-0.63749427222293342</v>
      </c>
      <c r="GH20">
        <v>0.20921456346061451</v>
      </c>
      <c r="GI20">
        <v>1</v>
      </c>
      <c r="GJ20">
        <v>2.9192239999999998</v>
      </c>
      <c r="GK20">
        <v>-9.7468142589124548E-2</v>
      </c>
      <c r="GL20">
        <v>1.004821645865578E-2</v>
      </c>
      <c r="GM20">
        <v>1</v>
      </c>
      <c r="GN20">
        <v>2</v>
      </c>
      <c r="GO20">
        <v>2</v>
      </c>
      <c r="GP20" t="s">
        <v>411</v>
      </c>
      <c r="GQ20">
        <v>3.1307800000000001</v>
      </c>
      <c r="GR20">
        <v>2.7244299999999999</v>
      </c>
      <c r="GS20">
        <v>9.3532599999999994E-2</v>
      </c>
      <c r="GT20">
        <v>9.8791100000000007E-2</v>
      </c>
      <c r="GU20">
        <v>0.10659100000000001</v>
      </c>
      <c r="GV20">
        <v>9.4893500000000006E-2</v>
      </c>
      <c r="GW20">
        <v>22925.8</v>
      </c>
      <c r="GX20">
        <v>30304.5</v>
      </c>
      <c r="GY20">
        <v>27406.6</v>
      </c>
      <c r="GZ20">
        <v>34536.5</v>
      </c>
      <c r="HA20">
        <v>35779.300000000003</v>
      </c>
      <c r="HB20">
        <v>39351.9</v>
      </c>
      <c r="HC20">
        <v>40405.1</v>
      </c>
      <c r="HD20">
        <v>43566.400000000001</v>
      </c>
      <c r="HE20">
        <v>2.0284</v>
      </c>
      <c r="HF20">
        <v>1.9592000000000001</v>
      </c>
      <c r="HG20">
        <v>2.7597E-2</v>
      </c>
      <c r="HH20">
        <v>0</v>
      </c>
      <c r="HI20">
        <v>24.5623</v>
      </c>
      <c r="HJ20">
        <v>999.9</v>
      </c>
      <c r="HK20">
        <v>77.599999999999994</v>
      </c>
      <c r="HL20">
        <v>25.4</v>
      </c>
      <c r="HM20">
        <v>25.800599999999999</v>
      </c>
      <c r="HN20">
        <v>61.107399999999998</v>
      </c>
      <c r="HO20">
        <v>3.0609000000000002</v>
      </c>
      <c r="HP20">
        <v>1</v>
      </c>
      <c r="HQ20">
        <v>3.8048800000000001E-2</v>
      </c>
      <c r="HR20">
        <v>1.62832</v>
      </c>
      <c r="HS20">
        <v>20.270299999999999</v>
      </c>
      <c r="HT20">
        <v>5.2125000000000004</v>
      </c>
      <c r="HU20">
        <v>11.902100000000001</v>
      </c>
      <c r="HV20">
        <v>4.9855999999999998</v>
      </c>
      <c r="HW20">
        <v>3.2702</v>
      </c>
      <c r="HX20">
        <v>9999</v>
      </c>
      <c r="HY20">
        <v>9999</v>
      </c>
      <c r="HZ20">
        <v>9999</v>
      </c>
      <c r="IA20">
        <v>999.9</v>
      </c>
      <c r="IB20">
        <v>1.8666100000000001</v>
      </c>
      <c r="IC20">
        <v>1.8621799999999999</v>
      </c>
      <c r="ID20">
        <v>1.8616900000000001</v>
      </c>
      <c r="IE20">
        <v>1.86114</v>
      </c>
      <c r="IF20">
        <v>1.86124</v>
      </c>
      <c r="IG20">
        <v>1.8619399999999999</v>
      </c>
      <c r="IH20">
        <v>1.8627899999999999</v>
      </c>
      <c r="II20">
        <v>1.8608100000000001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-9.6150000000000002</v>
      </c>
      <c r="IX20">
        <v>-0.4884</v>
      </c>
      <c r="IY20">
        <v>-7.6135449390981211</v>
      </c>
      <c r="IZ20">
        <v>-5.6215304933332991E-3</v>
      </c>
      <c r="JA20">
        <v>2.3979931213773931E-6</v>
      </c>
      <c r="JB20">
        <v>-3.6297174575716598E-10</v>
      </c>
      <c r="JC20">
        <v>-0.82474314316383324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1.8</v>
      </c>
      <c r="JM20">
        <v>1.17188</v>
      </c>
      <c r="JN20">
        <v>2.4511699999999998</v>
      </c>
      <c r="JO20">
        <v>1.50024</v>
      </c>
      <c r="JP20">
        <v>2.2802699999999998</v>
      </c>
      <c r="JQ20">
        <v>1.4477500000000001</v>
      </c>
      <c r="JR20">
        <v>2.4072300000000002</v>
      </c>
      <c r="JS20">
        <v>31.389800000000001</v>
      </c>
      <c r="JT20">
        <v>15.891999999999999</v>
      </c>
      <c r="JU20">
        <v>18</v>
      </c>
      <c r="JV20">
        <v>530.86599999999999</v>
      </c>
      <c r="JW20">
        <v>504.22300000000001</v>
      </c>
      <c r="JX20">
        <v>23.0518</v>
      </c>
      <c r="JY20">
        <v>27.679300000000001</v>
      </c>
      <c r="JZ20">
        <v>30.0002</v>
      </c>
      <c r="KA20">
        <v>28.11</v>
      </c>
      <c r="KB20">
        <v>28.195599999999999</v>
      </c>
      <c r="KC20">
        <v>23.440300000000001</v>
      </c>
      <c r="KD20">
        <v>35.994399999999999</v>
      </c>
      <c r="KE20">
        <v>65.842699999999994</v>
      </c>
      <c r="KF20">
        <v>23.052199999999999</v>
      </c>
      <c r="KG20">
        <v>457.59800000000001</v>
      </c>
      <c r="KH20">
        <v>18.496700000000001</v>
      </c>
      <c r="KI20">
        <v>101.05</v>
      </c>
      <c r="KJ20">
        <v>98.270099999999999</v>
      </c>
    </row>
    <row r="21" spans="1:296" x14ac:dyDescent="0.3">
      <c r="A21">
        <v>5</v>
      </c>
      <c r="B21">
        <v>1786027308.5</v>
      </c>
      <c r="C21">
        <v>726.40000009536743</v>
      </c>
      <c r="D21" t="s">
        <v>587</v>
      </c>
      <c r="E21" t="s">
        <v>588</v>
      </c>
      <c r="F21">
        <v>15</v>
      </c>
      <c r="H21">
        <v>1786027300.5</v>
      </c>
      <c r="I21">
        <f t="shared" si="0"/>
        <v>2.1070255444158234E-3</v>
      </c>
      <c r="J21">
        <f t="shared" si="1"/>
        <v>2.1070255444158232</v>
      </c>
      <c r="K21">
        <f t="shared" si="2"/>
        <v>28.14463558158868</v>
      </c>
      <c r="L21">
        <f t="shared" si="3"/>
        <v>420.01164516129018</v>
      </c>
      <c r="M21">
        <f t="shared" si="4"/>
        <v>173.41857046301519</v>
      </c>
      <c r="N21">
        <f t="shared" si="5"/>
        <v>16.992647580168832</v>
      </c>
      <c r="O21">
        <f t="shared" si="6"/>
        <v>41.155395565406607</v>
      </c>
      <c r="P21">
        <f t="shared" si="7"/>
        <v>0.19256876880125809</v>
      </c>
      <c r="Q21">
        <f t="shared" si="8"/>
        <v>2.8920760265929566</v>
      </c>
      <c r="R21">
        <f t="shared" si="9"/>
        <v>0.18571848297531937</v>
      </c>
      <c r="S21">
        <f t="shared" si="10"/>
        <v>0.11666922085449888</v>
      </c>
      <c r="T21">
        <f t="shared" si="11"/>
        <v>160.17635363528851</v>
      </c>
      <c r="U21">
        <f t="shared" si="12"/>
        <v>25.744710878424989</v>
      </c>
      <c r="V21">
        <f t="shared" si="13"/>
        <v>25.006880645161289</v>
      </c>
      <c r="W21">
        <f t="shared" si="14"/>
        <v>3.1809821841728536</v>
      </c>
      <c r="X21">
        <f t="shared" si="15"/>
        <v>64.686900080717322</v>
      </c>
      <c r="Y21">
        <f t="shared" si="16"/>
        <v>2.0992541834514475</v>
      </c>
      <c r="Z21">
        <f t="shared" si="17"/>
        <v>3.2452539553324788</v>
      </c>
      <c r="AA21">
        <f t="shared" si="18"/>
        <v>1.0817280007214061</v>
      </c>
      <c r="AB21">
        <f t="shared" si="19"/>
        <v>-92.919826508737813</v>
      </c>
      <c r="AC21">
        <f t="shared" si="20"/>
        <v>52.382781962452448</v>
      </c>
      <c r="AD21">
        <f t="shared" si="21"/>
        <v>3.8379850992175775</v>
      </c>
      <c r="AE21">
        <f t="shared" si="22"/>
        <v>123.47729418822072</v>
      </c>
      <c r="AF21">
        <f t="shared" si="23"/>
        <v>28.14463558158868</v>
      </c>
      <c r="AG21">
        <f t="shared" si="24"/>
        <v>2.1070255444158232</v>
      </c>
      <c r="AH21">
        <f t="shared" si="25"/>
        <v>28.269773531524542</v>
      </c>
      <c r="AI21">
        <v>463.6250445669869</v>
      </c>
      <c r="AJ21">
        <v>429.16287272727283</v>
      </c>
      <c r="AK21">
        <v>-2.2329909084666661E-2</v>
      </c>
      <c r="AL21">
        <v>67.065667487522759</v>
      </c>
      <c r="AM21">
        <f t="shared" si="26"/>
        <v>2.1230843532051358</v>
      </c>
      <c r="AN21">
        <v>18.98888365888342</v>
      </c>
      <c r="AO21">
        <v>21.444691515151511</v>
      </c>
      <c r="AP21">
        <v>6.0563166430968197E-3</v>
      </c>
      <c r="AQ21">
        <v>78.151013763500586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52044.4604105814</v>
      </c>
      <c r="AW21" t="s">
        <v>572</v>
      </c>
      <c r="AX21">
        <v>13230.3</v>
      </c>
      <c r="AY21">
        <v>678.92352941176466</v>
      </c>
      <c r="AZ21">
        <v>2566.7399999999998</v>
      </c>
      <c r="BA21">
        <f t="shared" si="30"/>
        <v>0.73549189656460534</v>
      </c>
      <c r="BB21">
        <v>-2.0951853600362038</v>
      </c>
      <c r="BC21" t="s">
        <v>589</v>
      </c>
      <c r="BD21">
        <v>13208.9</v>
      </c>
      <c r="BE21">
        <v>846.01470588235293</v>
      </c>
      <c r="BF21">
        <v>1242.8499999999999</v>
      </c>
      <c r="BG21">
        <f t="shared" si="31"/>
        <v>0.31929460040845392</v>
      </c>
      <c r="BH21">
        <v>0.5</v>
      </c>
      <c r="BI21">
        <f t="shared" si="32"/>
        <v>840.30033887170202</v>
      </c>
      <c r="BJ21">
        <f t="shared" si="33"/>
        <v>28.14463558158868</v>
      </c>
      <c r="BK21">
        <f t="shared" si="34"/>
        <v>134.15168046156427</v>
      </c>
      <c r="BL21">
        <f t="shared" si="35"/>
        <v>3.5986919846097948E-2</v>
      </c>
      <c r="BM21">
        <f t="shared" si="36"/>
        <v>1.0652049724423702</v>
      </c>
      <c r="BN21">
        <f t="shared" si="37"/>
        <v>529.68261921790315</v>
      </c>
      <c r="BO21" t="s">
        <v>408</v>
      </c>
      <c r="BP21">
        <v>0</v>
      </c>
      <c r="BQ21">
        <f t="shared" si="38"/>
        <v>529.68261921790315</v>
      </c>
      <c r="BR21">
        <f t="shared" si="39"/>
        <v>0.57381613290589917</v>
      </c>
      <c r="BS21">
        <f t="shared" si="40"/>
        <v>0.55644061241619969</v>
      </c>
      <c r="BT21">
        <f t="shared" si="41"/>
        <v>0.64990314582680675</v>
      </c>
      <c r="BU21">
        <f t="shared" si="42"/>
        <v>0.70370041985031417</v>
      </c>
      <c r="BV21">
        <f t="shared" si="43"/>
        <v>0.70128109412430428</v>
      </c>
      <c r="BW21">
        <f t="shared" si="44"/>
        <v>0.34838273965513422</v>
      </c>
      <c r="BX21">
        <f t="shared" si="45"/>
        <v>0.65161726034486578</v>
      </c>
      <c r="DG21">
        <f t="shared" si="46"/>
        <v>1000.002258064516</v>
      </c>
      <c r="DH21">
        <f t="shared" si="47"/>
        <v>840.30033887170202</v>
      </c>
      <c r="DI21">
        <f t="shared" si="48"/>
        <v>0.84029844142360854</v>
      </c>
      <c r="DJ21">
        <f t="shared" si="49"/>
        <v>0.16017599194756477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1786027300.5</v>
      </c>
      <c r="DQ21">
        <v>420.01164516129018</v>
      </c>
      <c r="DR21">
        <v>454.84858064516118</v>
      </c>
      <c r="DS21">
        <v>21.423951612903231</v>
      </c>
      <c r="DT21">
        <v>18.94959032258064</v>
      </c>
      <c r="DU21">
        <v>429.63683870967742</v>
      </c>
      <c r="DV21">
        <v>21.91527741935484</v>
      </c>
      <c r="DW21">
        <v>499.97987096774187</v>
      </c>
      <c r="DX21">
        <v>97.9375741935484</v>
      </c>
      <c r="DY21">
        <v>4.8746041935483868E-2</v>
      </c>
      <c r="DZ21">
        <v>25.342845161290331</v>
      </c>
      <c r="EA21">
        <v>25.006880645161289</v>
      </c>
      <c r="EB21">
        <v>999.90000000000032</v>
      </c>
      <c r="EC21">
        <v>0</v>
      </c>
      <c r="ED21">
        <v>0</v>
      </c>
      <c r="EE21">
        <v>9994.032258064517</v>
      </c>
      <c r="EF21">
        <v>0</v>
      </c>
      <c r="EG21">
        <v>273.67761290322579</v>
      </c>
      <c r="EH21">
        <v>-34.836858064516122</v>
      </c>
      <c r="EI21">
        <v>429.20693548387101</v>
      </c>
      <c r="EJ21">
        <v>463.6341290322581</v>
      </c>
      <c r="EK21">
        <v>2.474370645161291</v>
      </c>
      <c r="EL21">
        <v>454.84858064516118</v>
      </c>
      <c r="EM21">
        <v>18.94959032258064</v>
      </c>
      <c r="EN21">
        <v>2.0982099999999999</v>
      </c>
      <c r="EO21">
        <v>1.8558761290322581</v>
      </c>
      <c r="EP21">
        <v>18.2056</v>
      </c>
      <c r="EQ21">
        <v>16.265503225806452</v>
      </c>
      <c r="ER21">
        <v>1000.002258064516</v>
      </c>
      <c r="ES21">
        <v>0.99000116129032301</v>
      </c>
      <c r="ET21">
        <v>9.9988664516129037E-3</v>
      </c>
      <c r="EU21">
        <v>0</v>
      </c>
      <c r="EV21">
        <v>845.98519354838697</v>
      </c>
      <c r="EW21">
        <v>5.0010700000000003</v>
      </c>
      <c r="EX21">
        <v>9622.4335483870964</v>
      </c>
      <c r="EY21">
        <v>9080.3058064516117</v>
      </c>
      <c r="EZ21">
        <v>37.900967741935482</v>
      </c>
      <c r="FA21">
        <v>40.677161290322573</v>
      </c>
      <c r="FB21">
        <v>39.314387096774198</v>
      </c>
      <c r="FC21">
        <v>41.211387096774168</v>
      </c>
      <c r="FD21">
        <v>39.808225806451603</v>
      </c>
      <c r="FE21">
        <v>985.05258064516147</v>
      </c>
      <c r="FF21">
        <v>9.9480645161290333</v>
      </c>
      <c r="FG21">
        <v>0</v>
      </c>
      <c r="FH21">
        <v>180.69999980926511</v>
      </c>
      <c r="FI21">
        <v>0</v>
      </c>
      <c r="FJ21">
        <v>846.01470588235293</v>
      </c>
      <c r="FK21">
        <v>0.53431374185516445</v>
      </c>
      <c r="FL21">
        <v>46.306372614985968</v>
      </c>
      <c r="FM21">
        <v>9623.2852941176461</v>
      </c>
      <c r="FN21">
        <v>10</v>
      </c>
      <c r="FO21">
        <v>1786027198</v>
      </c>
      <c r="FP21" t="s">
        <v>590</v>
      </c>
      <c r="FQ21">
        <v>1786027198</v>
      </c>
      <c r="FR21">
        <v>1786027194</v>
      </c>
      <c r="FS21">
        <v>7</v>
      </c>
      <c r="FT21">
        <v>-0.01</v>
      </c>
      <c r="FU21">
        <v>-2E-3</v>
      </c>
      <c r="FV21">
        <v>-9.7539999999999996</v>
      </c>
      <c r="FW21">
        <v>-0.56399999999999995</v>
      </c>
      <c r="FX21">
        <v>455</v>
      </c>
      <c r="FY21">
        <v>18</v>
      </c>
      <c r="FZ21">
        <v>0.22</v>
      </c>
      <c r="GA21">
        <v>0.1</v>
      </c>
      <c r="GB21">
        <v>420.01663333333329</v>
      </c>
      <c r="GC21">
        <v>7.3388209120403669E-2</v>
      </c>
      <c r="GD21">
        <v>4.6353341003883233E-2</v>
      </c>
      <c r="GE21">
        <v>-1</v>
      </c>
      <c r="GF21">
        <v>845.94729411764695</v>
      </c>
      <c r="GG21">
        <v>0.98080977379324485</v>
      </c>
      <c r="GH21">
        <v>0.2249889578220905</v>
      </c>
      <c r="GI21">
        <v>1</v>
      </c>
      <c r="GJ21">
        <v>2.4886765</v>
      </c>
      <c r="GK21">
        <v>-0.30374611632270532</v>
      </c>
      <c r="GL21">
        <v>3.1610750113687559E-2</v>
      </c>
      <c r="GM21">
        <v>1</v>
      </c>
      <c r="GN21">
        <v>2</v>
      </c>
      <c r="GO21">
        <v>2</v>
      </c>
      <c r="GP21" t="s">
        <v>411</v>
      </c>
      <c r="GQ21">
        <v>3.1313200000000001</v>
      </c>
      <c r="GR21">
        <v>2.7249599999999998</v>
      </c>
      <c r="GS21">
        <v>9.3526399999999996E-2</v>
      </c>
      <c r="GT21">
        <v>9.8302600000000004E-2</v>
      </c>
      <c r="GU21">
        <v>0.10656599999999999</v>
      </c>
      <c r="GV21">
        <v>9.6496499999999999E-2</v>
      </c>
      <c r="GW21">
        <v>22921.1</v>
      </c>
      <c r="GX21">
        <v>30313.200000000001</v>
      </c>
      <c r="GY21">
        <v>27401.3</v>
      </c>
      <c r="GZ21">
        <v>34528.6</v>
      </c>
      <c r="HA21">
        <v>35774.400000000001</v>
      </c>
      <c r="HB21">
        <v>39276.300000000003</v>
      </c>
      <c r="HC21">
        <v>40397.800000000003</v>
      </c>
      <c r="HD21">
        <v>43560.2</v>
      </c>
      <c r="HE21">
        <v>2.0278</v>
      </c>
      <c r="HF21">
        <v>1.9538</v>
      </c>
      <c r="HG21">
        <v>2.0563600000000001E-2</v>
      </c>
      <c r="HH21">
        <v>0</v>
      </c>
      <c r="HI21">
        <v>24.667899999999999</v>
      </c>
      <c r="HJ21">
        <v>999.9</v>
      </c>
      <c r="HK21">
        <v>76.8</v>
      </c>
      <c r="HL21">
        <v>25.8</v>
      </c>
      <c r="HM21">
        <v>26.148599999999998</v>
      </c>
      <c r="HN21">
        <v>60.917400000000001</v>
      </c>
      <c r="HO21">
        <v>2.9887800000000002</v>
      </c>
      <c r="HP21">
        <v>1</v>
      </c>
      <c r="HQ21">
        <v>4.8374E-2</v>
      </c>
      <c r="HR21">
        <v>1.5415000000000001</v>
      </c>
      <c r="HS21">
        <v>20.273800000000001</v>
      </c>
      <c r="HT21">
        <v>5.2137000000000002</v>
      </c>
      <c r="HU21">
        <v>11.902100000000001</v>
      </c>
      <c r="HV21">
        <v>4.9863999999999997</v>
      </c>
      <c r="HW21">
        <v>3.2704</v>
      </c>
      <c r="HX21">
        <v>9999</v>
      </c>
      <c r="HY21">
        <v>9999</v>
      </c>
      <c r="HZ21">
        <v>9999</v>
      </c>
      <c r="IA21">
        <v>999.9</v>
      </c>
      <c r="IB21">
        <v>1.86676</v>
      </c>
      <c r="IC21">
        <v>1.8622099999999999</v>
      </c>
      <c r="ID21">
        <v>1.86172</v>
      </c>
      <c r="IE21">
        <v>1.86121</v>
      </c>
      <c r="IF21">
        <v>1.86127</v>
      </c>
      <c r="IG21">
        <v>1.8619699999999999</v>
      </c>
      <c r="IH21">
        <v>1.8629199999999999</v>
      </c>
      <c r="II21">
        <v>1.8608100000000001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-9.6259999999999994</v>
      </c>
      <c r="IX21">
        <v>-0.49070000000000003</v>
      </c>
      <c r="IY21">
        <v>-7.6238919470941324</v>
      </c>
      <c r="IZ21">
        <v>-5.6215304933332991E-3</v>
      </c>
      <c r="JA21">
        <v>2.3979931213773931E-6</v>
      </c>
      <c r="JB21">
        <v>-3.6297174575716598E-10</v>
      </c>
      <c r="JC21">
        <v>-0.82709860662187062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1.8</v>
      </c>
      <c r="JL21">
        <v>1.9</v>
      </c>
      <c r="JM21">
        <v>1.16821</v>
      </c>
      <c r="JN21">
        <v>2.4597199999999999</v>
      </c>
      <c r="JO21">
        <v>1.50024</v>
      </c>
      <c r="JP21">
        <v>2.2790499999999998</v>
      </c>
      <c r="JQ21">
        <v>1.4477500000000001</v>
      </c>
      <c r="JR21">
        <v>2.4658199999999999</v>
      </c>
      <c r="JS21">
        <v>31.7392</v>
      </c>
      <c r="JT21">
        <v>15.891999999999999</v>
      </c>
      <c r="JU21">
        <v>18</v>
      </c>
      <c r="JV21">
        <v>531.79200000000003</v>
      </c>
      <c r="JW21">
        <v>501.887</v>
      </c>
      <c r="JX21">
        <v>23.234000000000002</v>
      </c>
      <c r="JY21">
        <v>27.811299999999999</v>
      </c>
      <c r="JZ21">
        <v>30.0001</v>
      </c>
      <c r="KA21">
        <v>28.255299999999998</v>
      </c>
      <c r="KB21">
        <v>28.342600000000001</v>
      </c>
      <c r="KC21">
        <v>23.355599999999999</v>
      </c>
      <c r="KD21">
        <v>35.211100000000002</v>
      </c>
      <c r="KE21">
        <v>61.754199999999997</v>
      </c>
      <c r="KF21">
        <v>23.239000000000001</v>
      </c>
      <c r="KG21">
        <v>454.76799999999997</v>
      </c>
      <c r="KH21">
        <v>19.008299999999998</v>
      </c>
      <c r="KI21">
        <v>101.03100000000001</v>
      </c>
      <c r="KJ21">
        <v>98.252399999999994</v>
      </c>
    </row>
    <row r="22" spans="1:296" x14ac:dyDescent="0.3">
      <c r="A22">
        <v>6</v>
      </c>
      <c r="B22">
        <v>1786027490</v>
      </c>
      <c r="C22">
        <v>907.90000009536743</v>
      </c>
      <c r="D22" t="s">
        <v>591</v>
      </c>
      <c r="E22" t="s">
        <v>592</v>
      </c>
      <c r="F22">
        <v>15</v>
      </c>
      <c r="H22">
        <v>1786027482.25</v>
      </c>
      <c r="I22">
        <f t="shared" si="0"/>
        <v>1.9791661860517505E-3</v>
      </c>
      <c r="J22">
        <f t="shared" si="1"/>
        <v>1.9791661860517507</v>
      </c>
      <c r="K22">
        <f t="shared" si="2"/>
        <v>26.539226381932902</v>
      </c>
      <c r="L22">
        <f t="shared" si="3"/>
        <v>420.02830000000012</v>
      </c>
      <c r="M22">
        <f t="shared" si="4"/>
        <v>175.29466531435551</v>
      </c>
      <c r="N22">
        <f t="shared" si="5"/>
        <v>17.175695675670831</v>
      </c>
      <c r="O22">
        <f t="shared" si="6"/>
        <v>41.155150061366804</v>
      </c>
      <c r="P22">
        <f t="shared" si="7"/>
        <v>0.18267480464141958</v>
      </c>
      <c r="Q22">
        <f t="shared" si="8"/>
        <v>2.8916637011488486</v>
      </c>
      <c r="R22">
        <f t="shared" si="9"/>
        <v>0.17649735957482249</v>
      </c>
      <c r="S22">
        <f t="shared" si="10"/>
        <v>0.11084846575397711</v>
      </c>
      <c r="T22">
        <f t="shared" si="11"/>
        <v>128.27977417609949</v>
      </c>
      <c r="U22">
        <f t="shared" si="12"/>
        <v>25.566580624353325</v>
      </c>
      <c r="V22">
        <f t="shared" si="13"/>
        <v>24.99037666666667</v>
      </c>
      <c r="W22">
        <f t="shared" si="14"/>
        <v>3.1778537568655332</v>
      </c>
      <c r="X22">
        <f t="shared" si="15"/>
        <v>65.062315640191073</v>
      </c>
      <c r="Y22">
        <f t="shared" si="16"/>
        <v>2.1087679975168441</v>
      </c>
      <c r="Z22">
        <f t="shared" si="17"/>
        <v>3.2411511591115132</v>
      </c>
      <c r="AA22">
        <f t="shared" si="18"/>
        <v>1.0690857593486891</v>
      </c>
      <c r="AB22">
        <f t="shared" si="19"/>
        <v>-87.28122880488219</v>
      </c>
      <c r="AC22">
        <f t="shared" si="20"/>
        <v>51.632028037494479</v>
      </c>
      <c r="AD22">
        <f t="shared" si="21"/>
        <v>3.7827992408462032</v>
      </c>
      <c r="AE22">
        <f t="shared" si="22"/>
        <v>96.413372649557985</v>
      </c>
      <c r="AF22">
        <f t="shared" si="23"/>
        <v>26.539226381932902</v>
      </c>
      <c r="AG22">
        <f t="shared" si="24"/>
        <v>1.9791661860517507</v>
      </c>
      <c r="AH22">
        <f t="shared" si="25"/>
        <v>26.666456086068482</v>
      </c>
      <c r="AI22">
        <v>461.82733085673232</v>
      </c>
      <c r="AJ22">
        <v>429.24552727272709</v>
      </c>
      <c r="AK22">
        <v>-8.8861544209829293E-3</v>
      </c>
      <c r="AL22">
        <v>67.062601591568452</v>
      </c>
      <c r="AM22">
        <f t="shared" si="26"/>
        <v>1.9834870711522694</v>
      </c>
      <c r="AN22">
        <v>19.203091263285678</v>
      </c>
      <c r="AO22">
        <v>21.531871515151511</v>
      </c>
      <c r="AP22">
        <v>5.6778168783483972E-5</v>
      </c>
      <c r="AQ22">
        <v>78.138502530241027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52036.246987102379</v>
      </c>
      <c r="AW22" t="s">
        <v>572</v>
      </c>
      <c r="AX22">
        <v>13230.3</v>
      </c>
      <c r="AY22">
        <v>678.92352941176466</v>
      </c>
      <c r="AZ22">
        <v>2566.7399999999998</v>
      </c>
      <c r="BA22">
        <f t="shared" si="30"/>
        <v>0.73549189656460534</v>
      </c>
      <c r="BB22">
        <v>-2.0951853600362038</v>
      </c>
      <c r="BC22" t="s">
        <v>593</v>
      </c>
      <c r="BD22">
        <v>13227.5</v>
      </c>
      <c r="BE22">
        <v>845.90670588235287</v>
      </c>
      <c r="BF22">
        <v>1358.88</v>
      </c>
      <c r="BG22">
        <f t="shared" si="31"/>
        <v>0.37749712566057869</v>
      </c>
      <c r="BH22">
        <v>0.5</v>
      </c>
      <c r="BI22">
        <f t="shared" si="32"/>
        <v>672.31866504461118</v>
      </c>
      <c r="BJ22">
        <f t="shared" si="33"/>
        <v>26.539226381932902</v>
      </c>
      <c r="BK22">
        <f t="shared" si="34"/>
        <v>126.89918179114905</v>
      </c>
      <c r="BL22">
        <f t="shared" si="35"/>
        <v>4.2590535159497754E-2</v>
      </c>
      <c r="BM22">
        <f t="shared" si="36"/>
        <v>0.88886435888378634</v>
      </c>
      <c r="BN22">
        <f t="shared" si="37"/>
        <v>549.68587883383918</v>
      </c>
      <c r="BO22" t="s">
        <v>408</v>
      </c>
      <c r="BP22">
        <v>0</v>
      </c>
      <c r="BQ22">
        <f t="shared" si="38"/>
        <v>549.68587883383918</v>
      </c>
      <c r="BR22">
        <f t="shared" si="39"/>
        <v>0.5954860776272819</v>
      </c>
      <c r="BS22">
        <f t="shared" si="40"/>
        <v>0.63393106882484707</v>
      </c>
      <c r="BT22">
        <f t="shared" si="41"/>
        <v>0.59882379323648238</v>
      </c>
      <c r="BU22">
        <f t="shared" si="42"/>
        <v>0.75442078472151342</v>
      </c>
      <c r="BV22">
        <f t="shared" si="43"/>
        <v>0.63981855165382473</v>
      </c>
      <c r="BW22">
        <f t="shared" si="44"/>
        <v>0.41194017527451149</v>
      </c>
      <c r="BX22">
        <f t="shared" si="45"/>
        <v>0.58805982472548846</v>
      </c>
      <c r="DG22">
        <f t="shared" si="46"/>
        <v>800.01043333333337</v>
      </c>
      <c r="DH22">
        <f t="shared" si="47"/>
        <v>672.31866504461118</v>
      </c>
      <c r="DI22">
        <f t="shared" si="48"/>
        <v>0.84038737125379714</v>
      </c>
      <c r="DJ22">
        <f t="shared" si="49"/>
        <v>0.16034762651982851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1786027482.25</v>
      </c>
      <c r="DQ22">
        <v>420.02830000000012</v>
      </c>
      <c r="DR22">
        <v>452.87569999999999</v>
      </c>
      <c r="DS22">
        <v>21.522026666666662</v>
      </c>
      <c r="DT22">
        <v>19.19794666666666</v>
      </c>
      <c r="DU22">
        <v>429.59136666666677</v>
      </c>
      <c r="DV22">
        <v>22.013839999999998</v>
      </c>
      <c r="DW22">
        <v>499.95796666666672</v>
      </c>
      <c r="DX22">
        <v>97.932673333333341</v>
      </c>
      <c r="DY22">
        <v>4.9177083333333337E-2</v>
      </c>
      <c r="DZ22">
        <v>25.32157333333334</v>
      </c>
      <c r="EA22">
        <v>24.99037666666667</v>
      </c>
      <c r="EB22">
        <v>999.9000000000002</v>
      </c>
      <c r="EC22">
        <v>0</v>
      </c>
      <c r="ED22">
        <v>0</v>
      </c>
      <c r="EE22">
        <v>9992.1666666666661</v>
      </c>
      <c r="EF22">
        <v>0</v>
      </c>
      <c r="EG22">
        <v>441.97416666666669</v>
      </c>
      <c r="EH22">
        <v>-32.847349999999999</v>
      </c>
      <c r="EI22">
        <v>429.26696666666669</v>
      </c>
      <c r="EJ22">
        <v>461.74009999999998</v>
      </c>
      <c r="EK22">
        <v>2.3240720000000001</v>
      </c>
      <c r="EL22">
        <v>452.87569999999999</v>
      </c>
      <c r="EM22">
        <v>19.19794666666666</v>
      </c>
      <c r="EN22">
        <v>2.1077076666666672</v>
      </c>
      <c r="EO22">
        <v>1.8801063333333341</v>
      </c>
      <c r="EP22">
        <v>18.277546666666659</v>
      </c>
      <c r="EQ22">
        <v>16.469206666666661</v>
      </c>
      <c r="ER22">
        <v>800.01043333333337</v>
      </c>
      <c r="ES22">
        <v>0.98700250000000012</v>
      </c>
      <c r="ET22">
        <v>1.299701666666667E-2</v>
      </c>
      <c r="EU22">
        <v>0</v>
      </c>
      <c r="EV22">
        <v>845.8907333333334</v>
      </c>
      <c r="EW22">
        <v>5.0010700000000003</v>
      </c>
      <c r="EX22">
        <v>8268.9113333333316</v>
      </c>
      <c r="EY22">
        <v>7246.7243333333336</v>
      </c>
      <c r="EZ22">
        <v>36.353999999999999</v>
      </c>
      <c r="FA22">
        <v>38.820466666666661</v>
      </c>
      <c r="FB22">
        <v>37.841399999999993</v>
      </c>
      <c r="FC22">
        <v>38.603999999999992</v>
      </c>
      <c r="FD22">
        <v>38.270599999999988</v>
      </c>
      <c r="FE22">
        <v>784.67666666666662</v>
      </c>
      <c r="FF22">
        <v>10.33</v>
      </c>
      <c r="FG22">
        <v>0</v>
      </c>
      <c r="FH22">
        <v>180.89999985694891</v>
      </c>
      <c r="FI22">
        <v>0</v>
      </c>
      <c r="FJ22">
        <v>845.90670588235287</v>
      </c>
      <c r="FK22">
        <v>0.36887256962597942</v>
      </c>
      <c r="FL22">
        <v>163.3504905775585</v>
      </c>
      <c r="FM22">
        <v>8274.849411764706</v>
      </c>
      <c r="FN22">
        <v>10</v>
      </c>
      <c r="FO22">
        <v>1786027372</v>
      </c>
      <c r="FP22" t="s">
        <v>594</v>
      </c>
      <c r="FQ22">
        <v>1786027368.5</v>
      </c>
      <c r="FR22">
        <v>1786027372</v>
      </c>
      <c r="FS22">
        <v>8</v>
      </c>
      <c r="FT22">
        <v>6.2E-2</v>
      </c>
      <c r="FU22">
        <v>-3.0000000000000001E-3</v>
      </c>
      <c r="FV22">
        <v>-9.6850000000000005</v>
      </c>
      <c r="FW22">
        <v>-0.55300000000000005</v>
      </c>
      <c r="FX22">
        <v>453</v>
      </c>
      <c r="FY22">
        <v>19</v>
      </c>
      <c r="FZ22">
        <v>0.25</v>
      </c>
      <c r="GA22">
        <v>0.12</v>
      </c>
      <c r="GB22">
        <v>420.02686666666671</v>
      </c>
      <c r="GC22">
        <v>0.31859399332598998</v>
      </c>
      <c r="GD22">
        <v>5.6746649436083728E-2</v>
      </c>
      <c r="GE22">
        <v>-1</v>
      </c>
      <c r="GF22">
        <v>845.79208823529416</v>
      </c>
      <c r="GG22">
        <v>1.2412070309257801</v>
      </c>
      <c r="GH22">
        <v>0.19779242947016001</v>
      </c>
      <c r="GI22">
        <v>1</v>
      </c>
      <c r="GJ22">
        <v>2.3248242499999998</v>
      </c>
      <c r="GK22">
        <v>-1.5800262664164639E-2</v>
      </c>
      <c r="GL22">
        <v>3.6816313554591728E-3</v>
      </c>
      <c r="GM22">
        <v>1</v>
      </c>
      <c r="GN22">
        <v>2</v>
      </c>
      <c r="GO22">
        <v>2</v>
      </c>
      <c r="GP22" t="s">
        <v>411</v>
      </c>
      <c r="GQ22">
        <v>3.1306799999999999</v>
      </c>
      <c r="GR22">
        <v>2.72587</v>
      </c>
      <c r="GS22">
        <v>9.3478000000000006E-2</v>
      </c>
      <c r="GT22">
        <v>9.7948999999999994E-2</v>
      </c>
      <c r="GU22">
        <v>0.10680199999999999</v>
      </c>
      <c r="GV22">
        <v>9.7256999999999996E-2</v>
      </c>
      <c r="GW22">
        <v>22916.7</v>
      </c>
      <c r="GX22">
        <v>30320.5</v>
      </c>
      <c r="GY22">
        <v>27395.200000000001</v>
      </c>
      <c r="GZ22">
        <v>34524.1</v>
      </c>
      <c r="HA22">
        <v>35758.5</v>
      </c>
      <c r="HB22">
        <v>39240.9</v>
      </c>
      <c r="HC22">
        <v>40390.199999999997</v>
      </c>
      <c r="HD22">
        <v>43557.7</v>
      </c>
      <c r="HE22">
        <v>2.0251999999999999</v>
      </c>
      <c r="HF22">
        <v>1.9492</v>
      </c>
      <c r="HG22">
        <v>1.9788699999999999E-2</v>
      </c>
      <c r="HH22">
        <v>0</v>
      </c>
      <c r="HI22">
        <v>24.680399999999999</v>
      </c>
      <c r="HJ22">
        <v>999.9</v>
      </c>
      <c r="HK22">
        <v>76</v>
      </c>
      <c r="HL22">
        <v>26.1</v>
      </c>
      <c r="HM22">
        <v>26.340499999999999</v>
      </c>
      <c r="HN22">
        <v>60.747300000000003</v>
      </c>
      <c r="HO22">
        <v>3.5456699999999999</v>
      </c>
      <c r="HP22">
        <v>1</v>
      </c>
      <c r="HQ22">
        <v>5.5833300000000002E-2</v>
      </c>
      <c r="HR22">
        <v>1.2762100000000001</v>
      </c>
      <c r="HS22">
        <v>20.277699999999999</v>
      </c>
      <c r="HT22">
        <v>5.2125000000000004</v>
      </c>
      <c r="HU22">
        <v>11.902100000000001</v>
      </c>
      <c r="HV22">
        <v>4.9863999999999997</v>
      </c>
      <c r="HW22">
        <v>3.27</v>
      </c>
      <c r="HX22">
        <v>9999</v>
      </c>
      <c r="HY22">
        <v>9999</v>
      </c>
      <c r="HZ22">
        <v>9999</v>
      </c>
      <c r="IA22">
        <v>999.9</v>
      </c>
      <c r="IB22">
        <v>1.86673</v>
      </c>
      <c r="IC22">
        <v>1.8622399999999999</v>
      </c>
      <c r="ID22">
        <v>1.86172</v>
      </c>
      <c r="IE22">
        <v>1.86127</v>
      </c>
      <c r="IF22">
        <v>1.86127</v>
      </c>
      <c r="IG22">
        <v>1.8620000000000001</v>
      </c>
      <c r="IH22">
        <v>1.8629500000000001</v>
      </c>
      <c r="II22">
        <v>1.86087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-9.5630000000000006</v>
      </c>
      <c r="IX22">
        <v>-0.49170000000000003</v>
      </c>
      <c r="IY22">
        <v>-7.5618766336708436</v>
      </c>
      <c r="IZ22">
        <v>-5.6215304933332991E-3</v>
      </c>
      <c r="JA22">
        <v>2.3979931213773931E-6</v>
      </c>
      <c r="JB22">
        <v>-3.6297174575716598E-10</v>
      </c>
      <c r="JC22">
        <v>-0.83020927619909934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2</v>
      </c>
      <c r="JL22">
        <v>2</v>
      </c>
      <c r="JM22">
        <v>1.16455</v>
      </c>
      <c r="JN22">
        <v>2.4670399999999999</v>
      </c>
      <c r="JO22">
        <v>1.50024</v>
      </c>
      <c r="JP22">
        <v>2.2790499999999998</v>
      </c>
      <c r="JQ22">
        <v>1.4477500000000001</v>
      </c>
      <c r="JR22">
        <v>2.3034699999999999</v>
      </c>
      <c r="JS22">
        <v>32.068399999999997</v>
      </c>
      <c r="JT22">
        <v>15.8569</v>
      </c>
      <c r="JU22">
        <v>18</v>
      </c>
      <c r="JV22">
        <v>531.22</v>
      </c>
      <c r="JW22">
        <v>499.84800000000001</v>
      </c>
      <c r="JX22">
        <v>23.598400000000002</v>
      </c>
      <c r="JY22">
        <v>27.922699999999999</v>
      </c>
      <c r="JZ22">
        <v>30.000399999999999</v>
      </c>
      <c r="KA22">
        <v>28.375499999999999</v>
      </c>
      <c r="KB22">
        <v>28.462199999999999</v>
      </c>
      <c r="KC22">
        <v>23.2897</v>
      </c>
      <c r="KD22">
        <v>35.556100000000001</v>
      </c>
      <c r="KE22">
        <v>57.981099999999998</v>
      </c>
      <c r="KF22">
        <v>23.593499999999999</v>
      </c>
      <c r="KG22">
        <v>452.85599999999999</v>
      </c>
      <c r="KH22">
        <v>19.1234</v>
      </c>
      <c r="KI22">
        <v>101.011</v>
      </c>
      <c r="KJ22">
        <v>98.243499999999997</v>
      </c>
    </row>
    <row r="23" spans="1:296" x14ac:dyDescent="0.3">
      <c r="A23">
        <v>7</v>
      </c>
      <c r="B23">
        <v>1786027671.5</v>
      </c>
      <c r="C23">
        <v>1089.400000095367</v>
      </c>
      <c r="D23" t="s">
        <v>595</v>
      </c>
      <c r="E23" t="s">
        <v>596</v>
      </c>
      <c r="F23">
        <v>15</v>
      </c>
      <c r="H23">
        <v>1786027663.75</v>
      </c>
      <c r="I23">
        <f t="shared" si="0"/>
        <v>1.8939295173384318E-3</v>
      </c>
      <c r="J23">
        <f t="shared" si="1"/>
        <v>1.8939295173384318</v>
      </c>
      <c r="K23">
        <f t="shared" si="2"/>
        <v>24.469763963042254</v>
      </c>
      <c r="L23">
        <f t="shared" si="3"/>
        <v>420.0114333333334</v>
      </c>
      <c r="M23">
        <f t="shared" si="4"/>
        <v>184.47184541424875</v>
      </c>
      <c r="N23">
        <f t="shared" si="5"/>
        <v>18.075245699304364</v>
      </c>
      <c r="O23">
        <f t="shared" si="6"/>
        <v>41.154301009830945</v>
      </c>
      <c r="P23">
        <f t="shared" si="7"/>
        <v>0.17499161777298833</v>
      </c>
      <c r="Q23">
        <f t="shared" si="8"/>
        <v>2.8938750078168489</v>
      </c>
      <c r="R23">
        <f t="shared" si="9"/>
        <v>0.16931838045011222</v>
      </c>
      <c r="S23">
        <f t="shared" si="10"/>
        <v>0.10631838387109613</v>
      </c>
      <c r="T23">
        <f t="shared" si="11"/>
        <v>96.346488864986938</v>
      </c>
      <c r="U23">
        <f t="shared" si="12"/>
        <v>25.354761786641767</v>
      </c>
      <c r="V23">
        <f t="shared" si="13"/>
        <v>25.010173333333331</v>
      </c>
      <c r="W23">
        <f t="shared" si="14"/>
        <v>3.1816066547344737</v>
      </c>
      <c r="X23">
        <f t="shared" si="15"/>
        <v>65.430145629694067</v>
      </c>
      <c r="Y23">
        <f t="shared" si="16"/>
        <v>2.1152225379032266</v>
      </c>
      <c r="Z23">
        <f t="shared" si="17"/>
        <v>3.2327950939838321</v>
      </c>
      <c r="AA23">
        <f t="shared" si="18"/>
        <v>1.0663841168312471</v>
      </c>
      <c r="AB23">
        <f t="shared" si="19"/>
        <v>-83.522291714624842</v>
      </c>
      <c r="AC23">
        <f t="shared" si="20"/>
        <v>41.812430013573497</v>
      </c>
      <c r="AD23">
        <f t="shared" si="21"/>
        <v>3.0606658705514938</v>
      </c>
      <c r="AE23">
        <f t="shared" si="22"/>
        <v>57.697293034487082</v>
      </c>
      <c r="AF23">
        <f t="shared" si="23"/>
        <v>24.469763963042254</v>
      </c>
      <c r="AG23">
        <f t="shared" si="24"/>
        <v>1.8939295173384318</v>
      </c>
      <c r="AH23">
        <f t="shared" si="25"/>
        <v>24.549901813130518</v>
      </c>
      <c r="AI23">
        <v>459.12256919326018</v>
      </c>
      <c r="AJ23">
        <v>429.21429696969722</v>
      </c>
      <c r="AK23">
        <v>-2.5038026118273531E-2</v>
      </c>
      <c r="AL23">
        <v>67.048186444975116</v>
      </c>
      <c r="AM23">
        <f t="shared" si="26"/>
        <v>1.8791369770459194</v>
      </c>
      <c r="AN23">
        <v>19.36002055474891</v>
      </c>
      <c r="AO23">
        <v>21.57156242424243</v>
      </c>
      <c r="AP23">
        <v>-8.5714179327257248E-4</v>
      </c>
      <c r="AQ23">
        <v>78.033092626709688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52107.261887471657</v>
      </c>
      <c r="AW23" t="s">
        <v>572</v>
      </c>
      <c r="AX23">
        <v>13230.3</v>
      </c>
      <c r="AY23">
        <v>678.92352941176466</v>
      </c>
      <c r="AZ23">
        <v>2566.7399999999998</v>
      </c>
      <c r="BA23">
        <f t="shared" si="30"/>
        <v>0.73549189656460534</v>
      </c>
      <c r="BB23">
        <v>-2.0951853600362038</v>
      </c>
      <c r="BC23" t="s">
        <v>597</v>
      </c>
      <c r="BD23">
        <v>13228.2</v>
      </c>
      <c r="BE23">
        <v>847.41194117647058</v>
      </c>
      <c r="BF23">
        <v>1545.74</v>
      </c>
      <c r="BG23">
        <f t="shared" si="31"/>
        <v>0.45177588651618605</v>
      </c>
      <c r="BH23">
        <v>0.5</v>
      </c>
      <c r="BI23">
        <f t="shared" si="32"/>
        <v>504.30642983678069</v>
      </c>
      <c r="BJ23">
        <f t="shared" si="33"/>
        <v>24.469763963042254</v>
      </c>
      <c r="BK23">
        <f t="shared" si="34"/>
        <v>113.9167422076622</v>
      </c>
      <c r="BL23">
        <f t="shared" si="35"/>
        <v>5.2676205876804369E-2</v>
      </c>
      <c r="BM23">
        <f t="shared" si="36"/>
        <v>0.66052505596025191</v>
      </c>
      <c r="BN23">
        <f t="shared" si="37"/>
        <v>577.94782098937571</v>
      </c>
      <c r="BO23" t="s">
        <v>408</v>
      </c>
      <c r="BP23">
        <v>0</v>
      </c>
      <c r="BQ23">
        <f t="shared" si="38"/>
        <v>577.94782098937571</v>
      </c>
      <c r="BR23">
        <f t="shared" si="39"/>
        <v>0.62610282389704885</v>
      </c>
      <c r="BS23">
        <f t="shared" si="40"/>
        <v>0.72156819818220841</v>
      </c>
      <c r="BT23">
        <f t="shared" si="41"/>
        <v>0.51337691830019294</v>
      </c>
      <c r="BU23">
        <f t="shared" si="42"/>
        <v>0.80562389215981667</v>
      </c>
      <c r="BV23">
        <f t="shared" si="43"/>
        <v>0.54083647213961472</v>
      </c>
      <c r="BW23">
        <f t="shared" si="44"/>
        <v>0.49212047597024905</v>
      </c>
      <c r="BX23">
        <f t="shared" si="45"/>
        <v>0.5078795240297509</v>
      </c>
      <c r="DG23">
        <f t="shared" si="46"/>
        <v>600.00336666666658</v>
      </c>
      <c r="DH23">
        <f t="shared" si="47"/>
        <v>504.30642983678069</v>
      </c>
      <c r="DI23">
        <f t="shared" si="48"/>
        <v>0.84050600022207778</v>
      </c>
      <c r="DJ23">
        <f t="shared" si="49"/>
        <v>0.16057658042861028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1786027663.75</v>
      </c>
      <c r="DQ23">
        <v>420.0114333333334</v>
      </c>
      <c r="DR23">
        <v>450.32890000000009</v>
      </c>
      <c r="DS23">
        <v>21.587479999999999</v>
      </c>
      <c r="DT23">
        <v>19.363886666666669</v>
      </c>
      <c r="DU23">
        <v>429.55849999999998</v>
      </c>
      <c r="DV23">
        <v>22.081263333333339</v>
      </c>
      <c r="DW23">
        <v>500.01346666666672</v>
      </c>
      <c r="DX23">
        <v>97.934549999999973</v>
      </c>
      <c r="DY23">
        <v>4.921364000000001E-2</v>
      </c>
      <c r="DZ23">
        <v>25.278176666666671</v>
      </c>
      <c r="EA23">
        <v>25.010173333333331</v>
      </c>
      <c r="EB23">
        <v>999.9000000000002</v>
      </c>
      <c r="EC23">
        <v>0</v>
      </c>
      <c r="ED23">
        <v>0</v>
      </c>
      <c r="EE23">
        <v>10004.66666666667</v>
      </c>
      <c r="EF23">
        <v>0</v>
      </c>
      <c r="EG23">
        <v>464.48599999999999</v>
      </c>
      <c r="EH23">
        <v>-30.317373333333329</v>
      </c>
      <c r="EI23">
        <v>429.27863333333329</v>
      </c>
      <c r="EJ23">
        <v>459.22120000000001</v>
      </c>
      <c r="EK23">
        <v>2.2236013333333329</v>
      </c>
      <c r="EL23">
        <v>450.32890000000009</v>
      </c>
      <c r="EM23">
        <v>19.363886666666669</v>
      </c>
      <c r="EN23">
        <v>2.1141610000000002</v>
      </c>
      <c r="EO23">
        <v>1.896394333333334</v>
      </c>
      <c r="EP23">
        <v>18.326280000000001</v>
      </c>
      <c r="EQ23">
        <v>16.604823333333329</v>
      </c>
      <c r="ER23">
        <v>600.00336666666658</v>
      </c>
      <c r="ES23">
        <v>0.98298360000000029</v>
      </c>
      <c r="ET23">
        <v>1.7016133333333339E-2</v>
      </c>
      <c r="EU23">
        <v>0</v>
      </c>
      <c r="EV23">
        <v>847.27893333333316</v>
      </c>
      <c r="EW23">
        <v>5.0010700000000003</v>
      </c>
      <c r="EX23">
        <v>6633.2596666666677</v>
      </c>
      <c r="EY23">
        <v>5415.1070000000009</v>
      </c>
      <c r="EZ23">
        <v>35.278933333333327</v>
      </c>
      <c r="FA23">
        <v>38.233199999999989</v>
      </c>
      <c r="FB23">
        <v>36.949599999999997</v>
      </c>
      <c r="FC23">
        <v>37.953799999999987</v>
      </c>
      <c r="FD23">
        <v>37.349799999999988</v>
      </c>
      <c r="FE23">
        <v>584.87866666666673</v>
      </c>
      <c r="FF23">
        <v>10.119999999999999</v>
      </c>
      <c r="FG23">
        <v>0</v>
      </c>
      <c r="FH23">
        <v>180.69999980926511</v>
      </c>
      <c r="FI23">
        <v>0</v>
      </c>
      <c r="FJ23">
        <v>847.41194117647058</v>
      </c>
      <c r="FK23">
        <v>1.3036764820589539</v>
      </c>
      <c r="FL23">
        <v>-4.5833334926799676</v>
      </c>
      <c r="FM23">
        <v>6631.1758823529408</v>
      </c>
      <c r="FN23">
        <v>10</v>
      </c>
      <c r="FO23">
        <v>1786027563.5</v>
      </c>
      <c r="FP23" t="s">
        <v>598</v>
      </c>
      <c r="FQ23">
        <v>1786027560</v>
      </c>
      <c r="FR23">
        <v>1786027563.5</v>
      </c>
      <c r="FS23">
        <v>9</v>
      </c>
      <c r="FT23">
        <v>1.6E-2</v>
      </c>
      <c r="FU23">
        <v>-4.0000000000000001E-3</v>
      </c>
      <c r="FV23">
        <v>-9.6590000000000007</v>
      </c>
      <c r="FW23">
        <v>-0.55300000000000005</v>
      </c>
      <c r="FX23">
        <v>450</v>
      </c>
      <c r="FY23">
        <v>19</v>
      </c>
      <c r="FZ23">
        <v>0.2</v>
      </c>
      <c r="GA23">
        <v>0.12</v>
      </c>
      <c r="GB23">
        <v>420.01310000000001</v>
      </c>
      <c r="GC23">
        <v>0.23073637374862521</v>
      </c>
      <c r="GD23">
        <v>5.5461908850428732E-2</v>
      </c>
      <c r="GE23">
        <v>-1</v>
      </c>
      <c r="GF23">
        <v>847.19899999999984</v>
      </c>
      <c r="GG23">
        <v>2.0855309373472899</v>
      </c>
      <c r="GH23">
        <v>0.28987918375846011</v>
      </c>
      <c r="GI23">
        <v>1</v>
      </c>
      <c r="GJ23">
        <v>2.2076335</v>
      </c>
      <c r="GK23">
        <v>0.1995021388367671</v>
      </c>
      <c r="GL23">
        <v>2.822232950608437E-2</v>
      </c>
      <c r="GM23">
        <v>1</v>
      </c>
      <c r="GN23">
        <v>2</v>
      </c>
      <c r="GO23">
        <v>2</v>
      </c>
      <c r="GP23" t="s">
        <v>411</v>
      </c>
      <c r="GQ23">
        <v>3.1313300000000002</v>
      </c>
      <c r="GR23">
        <v>2.7255500000000001</v>
      </c>
      <c r="GS23">
        <v>9.3439800000000003E-2</v>
      </c>
      <c r="GT23">
        <v>9.7528199999999995E-2</v>
      </c>
      <c r="GU23">
        <v>0.10692699999999999</v>
      </c>
      <c r="GV23">
        <v>9.7766900000000004E-2</v>
      </c>
      <c r="GW23">
        <v>22913.3</v>
      </c>
      <c r="GX23">
        <v>30331.200000000001</v>
      </c>
      <c r="GY23">
        <v>27390.400000000001</v>
      </c>
      <c r="GZ23">
        <v>34520.9</v>
      </c>
      <c r="HA23">
        <v>35748.6</v>
      </c>
      <c r="HB23">
        <v>39216.5</v>
      </c>
      <c r="HC23">
        <v>40384.199999999997</v>
      </c>
      <c r="HD23">
        <v>43555.3</v>
      </c>
      <c r="HE23">
        <v>2.0247999999999999</v>
      </c>
      <c r="HF23">
        <v>1.9446000000000001</v>
      </c>
      <c r="HG23">
        <v>8.3446500000000003E-3</v>
      </c>
      <c r="HH23">
        <v>0</v>
      </c>
      <c r="HI23">
        <v>24.866</v>
      </c>
      <c r="HJ23">
        <v>999.9</v>
      </c>
      <c r="HK23">
        <v>75.2</v>
      </c>
      <c r="HL23">
        <v>26.5</v>
      </c>
      <c r="HM23">
        <v>26.6859</v>
      </c>
      <c r="HN23">
        <v>60.677300000000002</v>
      </c>
      <c r="HO23">
        <v>3.1530499999999999</v>
      </c>
      <c r="HP23">
        <v>1</v>
      </c>
      <c r="HQ23">
        <v>6.3963400000000004E-2</v>
      </c>
      <c r="HR23">
        <v>1.4700200000000001</v>
      </c>
      <c r="HS23">
        <v>20.2774</v>
      </c>
      <c r="HT23">
        <v>5.2125000000000004</v>
      </c>
      <c r="HU23">
        <v>11.902100000000001</v>
      </c>
      <c r="HV23">
        <v>4.9859999999999998</v>
      </c>
      <c r="HW23">
        <v>3.27</v>
      </c>
      <c r="HX23">
        <v>9999</v>
      </c>
      <c r="HY23">
        <v>9999</v>
      </c>
      <c r="HZ23">
        <v>9999</v>
      </c>
      <c r="IA23">
        <v>999.9</v>
      </c>
      <c r="IB23">
        <v>1.86676</v>
      </c>
      <c r="IC23">
        <v>1.8623099999999999</v>
      </c>
      <c r="ID23">
        <v>1.86172</v>
      </c>
      <c r="IE23">
        <v>1.86127</v>
      </c>
      <c r="IF23">
        <v>1.86127</v>
      </c>
      <c r="IG23">
        <v>1.8620300000000001</v>
      </c>
      <c r="IH23">
        <v>1.8629500000000001</v>
      </c>
      <c r="II23">
        <v>1.8609599999999999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-9.5470000000000006</v>
      </c>
      <c r="IX23">
        <v>-0.49419999999999997</v>
      </c>
      <c r="IY23">
        <v>-7.5458917757205981</v>
      </c>
      <c r="IZ23">
        <v>-5.6215304933332991E-3</v>
      </c>
      <c r="JA23">
        <v>2.3979931213773931E-6</v>
      </c>
      <c r="JB23">
        <v>-3.6297174575716598E-10</v>
      </c>
      <c r="JC23">
        <v>-0.83393707339437273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1.9</v>
      </c>
      <c r="JL23">
        <v>1.8</v>
      </c>
      <c r="JM23">
        <v>1.15967</v>
      </c>
      <c r="JN23">
        <v>2.4609399999999999</v>
      </c>
      <c r="JO23">
        <v>1.50024</v>
      </c>
      <c r="JP23">
        <v>2.2778299999999998</v>
      </c>
      <c r="JQ23">
        <v>1.4477500000000001</v>
      </c>
      <c r="JR23">
        <v>2.4584999999999999</v>
      </c>
      <c r="JS23">
        <v>32.377000000000002</v>
      </c>
      <c r="JT23">
        <v>15.8569</v>
      </c>
      <c r="JU23">
        <v>18</v>
      </c>
      <c r="JV23">
        <v>531.94200000000001</v>
      </c>
      <c r="JW23">
        <v>497.75400000000002</v>
      </c>
      <c r="JX23">
        <v>23.536200000000001</v>
      </c>
      <c r="JY23">
        <v>28.0274</v>
      </c>
      <c r="JZ23">
        <v>30.000800000000002</v>
      </c>
      <c r="KA23">
        <v>28.484500000000001</v>
      </c>
      <c r="KB23">
        <v>28.575399999999998</v>
      </c>
      <c r="KC23">
        <v>23.193300000000001</v>
      </c>
      <c r="KD23">
        <v>35.601700000000001</v>
      </c>
      <c r="KE23">
        <v>53.832799999999999</v>
      </c>
      <c r="KF23">
        <v>23.526199999999999</v>
      </c>
      <c r="KG23">
        <v>450.34899999999999</v>
      </c>
      <c r="KH23">
        <v>19.323799999999999</v>
      </c>
      <c r="KI23">
        <v>100.995</v>
      </c>
      <c r="KJ23">
        <v>98.236500000000007</v>
      </c>
    </row>
    <row r="24" spans="1:296" x14ac:dyDescent="0.3">
      <c r="A24">
        <v>8</v>
      </c>
      <c r="B24">
        <v>1786027853</v>
      </c>
      <c r="C24">
        <v>1270.900000095367</v>
      </c>
      <c r="D24" t="s">
        <v>599</v>
      </c>
      <c r="E24" t="s">
        <v>600</v>
      </c>
      <c r="F24">
        <v>15</v>
      </c>
      <c r="H24">
        <v>1786027845.25</v>
      </c>
      <c r="I24">
        <f t="shared" si="0"/>
        <v>1.6615238649958649E-3</v>
      </c>
      <c r="J24">
        <f t="shared" si="1"/>
        <v>1.6615238649958648</v>
      </c>
      <c r="K24">
        <f t="shared" si="2"/>
        <v>20.525813811021578</v>
      </c>
      <c r="L24">
        <f t="shared" si="3"/>
        <v>420.01996666666668</v>
      </c>
      <c r="M24">
        <f t="shared" si="4"/>
        <v>190.72601526616302</v>
      </c>
      <c r="N24">
        <f t="shared" si="5"/>
        <v>18.687689766219506</v>
      </c>
      <c r="O24">
        <f t="shared" si="6"/>
        <v>41.15433765934219</v>
      </c>
      <c r="P24">
        <f t="shared" si="7"/>
        <v>0.15039288025463746</v>
      </c>
      <c r="Q24">
        <f t="shared" si="8"/>
        <v>2.8913738290151207</v>
      </c>
      <c r="R24">
        <f t="shared" si="9"/>
        <v>0.1461783311267206</v>
      </c>
      <c r="S24">
        <f t="shared" si="10"/>
        <v>9.1730279821028216E-2</v>
      </c>
      <c r="T24">
        <f t="shared" si="11"/>
        <v>64.411328926632294</v>
      </c>
      <c r="U24">
        <f t="shared" si="12"/>
        <v>25.206160893913314</v>
      </c>
      <c r="V24">
        <f t="shared" si="13"/>
        <v>24.993263333333331</v>
      </c>
      <c r="W24">
        <f t="shared" si="14"/>
        <v>3.1784007476170379</v>
      </c>
      <c r="X24">
        <f t="shared" si="15"/>
        <v>64.867753625125374</v>
      </c>
      <c r="Y24">
        <f t="shared" si="16"/>
        <v>2.0946660057554007</v>
      </c>
      <c r="Z24">
        <f t="shared" si="17"/>
        <v>3.2291329492625889</v>
      </c>
      <c r="AA24">
        <f t="shared" si="18"/>
        <v>1.0837347418616372</v>
      </c>
      <c r="AB24">
        <f t="shared" si="19"/>
        <v>-73.27320244631764</v>
      </c>
      <c r="AC24">
        <f t="shared" si="20"/>
        <v>41.442708836113972</v>
      </c>
      <c r="AD24">
        <f t="shared" si="21"/>
        <v>3.0356772409658115</v>
      </c>
      <c r="AE24">
        <f t="shared" si="22"/>
        <v>35.616512557394437</v>
      </c>
      <c r="AF24">
        <f t="shared" si="23"/>
        <v>20.525813811021578</v>
      </c>
      <c r="AG24">
        <f t="shared" si="24"/>
        <v>1.6615238649958648</v>
      </c>
      <c r="AH24">
        <f t="shared" si="25"/>
        <v>20.379817890859584</v>
      </c>
      <c r="AI24">
        <v>454.3502246939488</v>
      </c>
      <c r="AJ24">
        <v>429.27282424242441</v>
      </c>
      <c r="AK24">
        <v>2.6097579905719179E-2</v>
      </c>
      <c r="AL24">
        <v>67.050554646681846</v>
      </c>
      <c r="AM24">
        <f t="shared" si="26"/>
        <v>1.6545312636199319</v>
      </c>
      <c r="AN24">
        <v>19.432792527450879</v>
      </c>
      <c r="AO24">
        <v>21.375296969696969</v>
      </c>
      <c r="AP24">
        <v>6.7033476868014091E-5</v>
      </c>
      <c r="AQ24">
        <v>78.055876657430105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52038.832991090021</v>
      </c>
      <c r="AW24" t="s">
        <v>572</v>
      </c>
      <c r="AX24">
        <v>13230.3</v>
      </c>
      <c r="AY24">
        <v>678.92352941176466</v>
      </c>
      <c r="AZ24">
        <v>2566.7399999999998</v>
      </c>
      <c r="BA24">
        <f t="shared" si="30"/>
        <v>0.73549189656460534</v>
      </c>
      <c r="BB24">
        <v>-2.0951853600362038</v>
      </c>
      <c r="BC24" t="s">
        <v>601</v>
      </c>
      <c r="BD24">
        <v>13228.6</v>
      </c>
      <c r="BE24">
        <v>848.74764705882353</v>
      </c>
      <c r="BF24">
        <v>1842.89</v>
      </c>
      <c r="BG24">
        <f t="shared" si="31"/>
        <v>0.53944747268755955</v>
      </c>
      <c r="BH24">
        <v>0.5</v>
      </c>
      <c r="BI24">
        <f t="shared" si="32"/>
        <v>336.29534377545701</v>
      </c>
      <c r="BJ24">
        <f t="shared" si="33"/>
        <v>20.525813811021578</v>
      </c>
      <c r="BK24">
        <f t="shared" si="34"/>
        <v>90.706836638132145</v>
      </c>
      <c r="BL24">
        <f t="shared" si="35"/>
        <v>6.7265276162020632E-2</v>
      </c>
      <c r="BM24">
        <f t="shared" si="36"/>
        <v>0.39277981865439587</v>
      </c>
      <c r="BN24">
        <f t="shared" si="37"/>
        <v>615.02632572773746</v>
      </c>
      <c r="BO24" t="s">
        <v>408</v>
      </c>
      <c r="BP24">
        <v>0</v>
      </c>
      <c r="BQ24">
        <f t="shared" si="38"/>
        <v>615.02632572773746</v>
      </c>
      <c r="BR24">
        <f t="shared" si="39"/>
        <v>0.66627073470053155</v>
      </c>
      <c r="BS24">
        <f t="shared" si="40"/>
        <v>0.80965205972918008</v>
      </c>
      <c r="BT24">
        <f t="shared" si="41"/>
        <v>0.37087919685242893</v>
      </c>
      <c r="BU24">
        <f t="shared" si="42"/>
        <v>0.85409878897865954</v>
      </c>
      <c r="BV24">
        <f t="shared" si="43"/>
        <v>0.38343239995911854</v>
      </c>
      <c r="BW24">
        <f t="shared" si="44"/>
        <v>0.58669656774744572</v>
      </c>
      <c r="BX24">
        <f t="shared" si="45"/>
        <v>0.41330343225255428</v>
      </c>
      <c r="DG24">
        <f t="shared" si="46"/>
        <v>399.99909999999988</v>
      </c>
      <c r="DH24">
        <f t="shared" si="47"/>
        <v>336.29534377545701</v>
      </c>
      <c r="DI24">
        <f t="shared" si="48"/>
        <v>0.8407402511042078</v>
      </c>
      <c r="DJ24">
        <f t="shared" si="49"/>
        <v>0.16102868463112122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1786027845.25</v>
      </c>
      <c r="DQ24">
        <v>420.01996666666668</v>
      </c>
      <c r="DR24">
        <v>445.48733333333342</v>
      </c>
      <c r="DS24">
        <v>21.3781</v>
      </c>
      <c r="DT24">
        <v>19.426976666666661</v>
      </c>
      <c r="DU24">
        <v>429.50119999999998</v>
      </c>
      <c r="DV24">
        <v>21.881540000000001</v>
      </c>
      <c r="DW24">
        <v>500.02076666666659</v>
      </c>
      <c r="DX24">
        <v>97.93271</v>
      </c>
      <c r="DY24">
        <v>4.915021E-2</v>
      </c>
      <c r="DZ24">
        <v>25.25912666666666</v>
      </c>
      <c r="EA24">
        <v>24.993263333333331</v>
      </c>
      <c r="EB24">
        <v>999.9000000000002</v>
      </c>
      <c r="EC24">
        <v>0</v>
      </c>
      <c r="ED24">
        <v>0</v>
      </c>
      <c r="EE24">
        <v>9990.5</v>
      </c>
      <c r="EF24">
        <v>0</v>
      </c>
      <c r="EG24">
        <v>371.66739999999999</v>
      </c>
      <c r="EH24">
        <v>-25.467390000000009</v>
      </c>
      <c r="EI24">
        <v>429.19529999999997</v>
      </c>
      <c r="EJ24">
        <v>454.31330000000003</v>
      </c>
      <c r="EK24">
        <v>1.951122666666667</v>
      </c>
      <c r="EL24">
        <v>445.48733333333342</v>
      </c>
      <c r="EM24">
        <v>19.426976666666661</v>
      </c>
      <c r="EN24">
        <v>2.0936149999999998</v>
      </c>
      <c r="EO24">
        <v>1.9025369999999999</v>
      </c>
      <c r="EP24">
        <v>18.170686666666661</v>
      </c>
      <c r="EQ24">
        <v>16.655719999999999</v>
      </c>
      <c r="ER24">
        <v>399.99909999999988</v>
      </c>
      <c r="ES24">
        <v>0.97501246666666652</v>
      </c>
      <c r="ET24">
        <v>2.4987459999999989E-2</v>
      </c>
      <c r="EU24">
        <v>0</v>
      </c>
      <c r="EV24">
        <v>848.74063333333322</v>
      </c>
      <c r="EW24">
        <v>5.0010700000000003</v>
      </c>
      <c r="EX24">
        <v>4632.9960000000001</v>
      </c>
      <c r="EY24">
        <v>3583.683</v>
      </c>
      <c r="EZ24">
        <v>35.312366666666669</v>
      </c>
      <c r="FA24">
        <v>39.687233333333317</v>
      </c>
      <c r="FB24">
        <v>37.364299999999993</v>
      </c>
      <c r="FC24">
        <v>39.774733333333323</v>
      </c>
      <c r="FD24">
        <v>38.039400000000001</v>
      </c>
      <c r="FE24">
        <v>385.12833333333339</v>
      </c>
      <c r="FF24">
        <v>9.870000000000001</v>
      </c>
      <c r="FG24">
        <v>0</v>
      </c>
      <c r="FH24">
        <v>180.89999985694891</v>
      </c>
      <c r="FI24">
        <v>0</v>
      </c>
      <c r="FJ24">
        <v>848.74764705882353</v>
      </c>
      <c r="FK24">
        <v>-3.6002451234391648</v>
      </c>
      <c r="FL24">
        <v>-40.7107847281669</v>
      </c>
      <c r="FM24">
        <v>4628.2094117647057</v>
      </c>
      <c r="FN24">
        <v>10</v>
      </c>
      <c r="FO24">
        <v>1786027755</v>
      </c>
      <c r="FP24" t="s">
        <v>602</v>
      </c>
      <c r="FQ24">
        <v>1786027755</v>
      </c>
      <c r="FR24">
        <v>1786027749</v>
      </c>
      <c r="FS24">
        <v>10</v>
      </c>
      <c r="FT24">
        <v>6.6000000000000003E-2</v>
      </c>
      <c r="FU24">
        <v>-4.0000000000000001E-3</v>
      </c>
      <c r="FV24">
        <v>-9.5760000000000005</v>
      </c>
      <c r="FW24">
        <v>-0.55500000000000005</v>
      </c>
      <c r="FX24">
        <v>445</v>
      </c>
      <c r="FY24">
        <v>19</v>
      </c>
      <c r="FZ24">
        <v>0.3</v>
      </c>
      <c r="GA24">
        <v>0.15</v>
      </c>
      <c r="GB24">
        <v>420.0154</v>
      </c>
      <c r="GC24">
        <v>0.19680533926549049</v>
      </c>
      <c r="GD24">
        <v>4.4954495511196908E-2</v>
      </c>
      <c r="GE24">
        <v>-1</v>
      </c>
      <c r="GF24">
        <v>848.86164705882345</v>
      </c>
      <c r="GG24">
        <v>-1.4307104669971411</v>
      </c>
      <c r="GH24">
        <v>0.26508077374453037</v>
      </c>
      <c r="GI24">
        <v>1</v>
      </c>
      <c r="GJ24">
        <v>1.95602075</v>
      </c>
      <c r="GK24">
        <v>-8.5996660412759565E-2</v>
      </c>
      <c r="GL24">
        <v>8.6209353864589427E-3</v>
      </c>
      <c r="GM24">
        <v>1</v>
      </c>
      <c r="GN24">
        <v>2</v>
      </c>
      <c r="GO24">
        <v>2</v>
      </c>
      <c r="GP24" t="s">
        <v>411</v>
      </c>
      <c r="GQ24">
        <v>3.1303399999999999</v>
      </c>
      <c r="GR24">
        <v>2.72594</v>
      </c>
      <c r="GS24">
        <v>9.3401499999999998E-2</v>
      </c>
      <c r="GT24">
        <v>9.6686599999999998E-2</v>
      </c>
      <c r="GU24">
        <v>0.10625</v>
      </c>
      <c r="GV24">
        <v>9.8013100000000006E-2</v>
      </c>
      <c r="GW24">
        <v>22908.400000000001</v>
      </c>
      <c r="GX24">
        <v>30352.5</v>
      </c>
      <c r="GY24">
        <v>27384.2</v>
      </c>
      <c r="GZ24">
        <v>34514.1</v>
      </c>
      <c r="HA24">
        <v>35769.300000000003</v>
      </c>
      <c r="HB24">
        <v>39200.800000000003</v>
      </c>
      <c r="HC24">
        <v>40375.800000000003</v>
      </c>
      <c r="HD24">
        <v>43549.599999999999</v>
      </c>
      <c r="HE24">
        <v>2.0219999999999998</v>
      </c>
      <c r="HF24">
        <v>1.94</v>
      </c>
      <c r="HG24">
        <v>4.8577799999999999E-3</v>
      </c>
      <c r="HH24">
        <v>0</v>
      </c>
      <c r="HI24">
        <v>24.920500000000001</v>
      </c>
      <c r="HJ24">
        <v>999.9</v>
      </c>
      <c r="HK24">
        <v>74.5</v>
      </c>
      <c r="HL24">
        <v>26.8</v>
      </c>
      <c r="HM24">
        <v>26.910499999999999</v>
      </c>
      <c r="HN24">
        <v>60.717300000000002</v>
      </c>
      <c r="HO24">
        <v>3.5697100000000002</v>
      </c>
      <c r="HP24">
        <v>1</v>
      </c>
      <c r="HQ24">
        <v>7.5284599999999993E-2</v>
      </c>
      <c r="HR24">
        <v>1.30566</v>
      </c>
      <c r="HS24">
        <v>20.282</v>
      </c>
      <c r="HT24">
        <v>5.2160900000000003</v>
      </c>
      <c r="HU24">
        <v>11.902100000000001</v>
      </c>
      <c r="HV24">
        <v>4.9855999999999998</v>
      </c>
      <c r="HW24">
        <v>3.2702</v>
      </c>
      <c r="HX24">
        <v>9999</v>
      </c>
      <c r="HY24">
        <v>9999</v>
      </c>
      <c r="HZ24">
        <v>9999</v>
      </c>
      <c r="IA24">
        <v>999.9</v>
      </c>
      <c r="IB24">
        <v>1.86676</v>
      </c>
      <c r="IC24">
        <v>1.8623400000000001</v>
      </c>
      <c r="ID24">
        <v>1.86172</v>
      </c>
      <c r="IE24">
        <v>1.86127</v>
      </c>
      <c r="IF24">
        <v>1.8613</v>
      </c>
      <c r="IG24">
        <v>1.8620300000000001</v>
      </c>
      <c r="IH24">
        <v>1.8629199999999999</v>
      </c>
      <c r="II24">
        <v>1.8609599999999999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-9.4819999999999993</v>
      </c>
      <c r="IX24">
        <v>-0.50349999999999995</v>
      </c>
      <c r="IY24">
        <v>-7.4803787367154806</v>
      </c>
      <c r="IZ24">
        <v>-5.6215304933332991E-3</v>
      </c>
      <c r="JA24">
        <v>2.3979931213773931E-6</v>
      </c>
      <c r="JB24">
        <v>-3.6297174575716598E-10</v>
      </c>
      <c r="JC24">
        <v>-0.83832841701556871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1.6</v>
      </c>
      <c r="JL24">
        <v>1.7</v>
      </c>
      <c r="JM24">
        <v>1.1498999999999999</v>
      </c>
      <c r="JN24">
        <v>2.4706999999999999</v>
      </c>
      <c r="JO24">
        <v>1.50024</v>
      </c>
      <c r="JP24">
        <v>2.2766099999999998</v>
      </c>
      <c r="JQ24">
        <v>1.4477500000000001</v>
      </c>
      <c r="JR24">
        <v>2.36816</v>
      </c>
      <c r="JS24">
        <v>32.686900000000001</v>
      </c>
      <c r="JT24">
        <v>15.8307</v>
      </c>
      <c r="JU24">
        <v>18</v>
      </c>
      <c r="JV24">
        <v>531.524</v>
      </c>
      <c r="JW24">
        <v>495.98200000000003</v>
      </c>
      <c r="JX24">
        <v>23.777899999999999</v>
      </c>
      <c r="JY24">
        <v>28.194500000000001</v>
      </c>
      <c r="JZ24">
        <v>30.0002</v>
      </c>
      <c r="KA24">
        <v>28.636900000000001</v>
      </c>
      <c r="KB24">
        <v>28.7257</v>
      </c>
      <c r="KC24">
        <v>23.002800000000001</v>
      </c>
      <c r="KD24">
        <v>35.893300000000004</v>
      </c>
      <c r="KE24">
        <v>49.691600000000001</v>
      </c>
      <c r="KF24">
        <v>23.773700000000002</v>
      </c>
      <c r="KG24">
        <v>445.44099999999997</v>
      </c>
      <c r="KH24">
        <v>19.477799999999998</v>
      </c>
      <c r="KI24">
        <v>100.973</v>
      </c>
      <c r="KJ24">
        <v>98.220799999999997</v>
      </c>
    </row>
    <row r="25" spans="1:296" x14ac:dyDescent="0.3">
      <c r="A25">
        <v>9</v>
      </c>
      <c r="B25">
        <v>1786028034.5</v>
      </c>
      <c r="C25">
        <v>1452.400000095367</v>
      </c>
      <c r="D25" t="s">
        <v>603</v>
      </c>
      <c r="E25" t="s">
        <v>604</v>
      </c>
      <c r="F25">
        <v>15</v>
      </c>
      <c r="H25">
        <v>1786028026.75</v>
      </c>
      <c r="I25">
        <f t="shared" si="0"/>
        <v>1.4284995618010598E-3</v>
      </c>
      <c r="J25">
        <f t="shared" si="1"/>
        <v>1.4284995618010599</v>
      </c>
      <c r="K25">
        <f t="shared" si="2"/>
        <v>17.142738560322513</v>
      </c>
      <c r="L25">
        <f t="shared" si="3"/>
        <v>419.96876666666668</v>
      </c>
      <c r="M25">
        <f t="shared" si="4"/>
        <v>198.61168181999201</v>
      </c>
      <c r="N25">
        <f t="shared" si="5"/>
        <v>19.460913882941519</v>
      </c>
      <c r="O25">
        <f t="shared" si="6"/>
        <v>41.150530153773055</v>
      </c>
      <c r="P25">
        <f t="shared" si="7"/>
        <v>0.12981191257697935</v>
      </c>
      <c r="Q25">
        <f t="shared" si="8"/>
        <v>2.8932202262727724</v>
      </c>
      <c r="R25">
        <f t="shared" si="9"/>
        <v>0.12666087840019047</v>
      </c>
      <c r="S25">
        <f t="shared" si="10"/>
        <v>7.9439786272499896E-2</v>
      </c>
      <c r="T25">
        <f t="shared" si="11"/>
        <v>48.441852783579797</v>
      </c>
      <c r="U25">
        <f t="shared" si="12"/>
        <v>25.224365774624573</v>
      </c>
      <c r="V25">
        <f t="shared" si="13"/>
        <v>24.997093333333339</v>
      </c>
      <c r="W25">
        <f t="shared" si="14"/>
        <v>3.1791266163870899</v>
      </c>
      <c r="X25">
        <f t="shared" si="15"/>
        <v>64.949674558250052</v>
      </c>
      <c r="Y25">
        <f t="shared" si="16"/>
        <v>2.1038316459058826</v>
      </c>
      <c r="Z25">
        <f t="shared" si="17"/>
        <v>3.2391719592360126</v>
      </c>
      <c r="AA25">
        <f t="shared" si="18"/>
        <v>1.0752949704812074</v>
      </c>
      <c r="AB25">
        <f t="shared" si="19"/>
        <v>-62.996830675426736</v>
      </c>
      <c r="AC25">
        <f t="shared" si="20"/>
        <v>49.010252346043686</v>
      </c>
      <c r="AD25">
        <f t="shared" si="21"/>
        <v>3.588719889503512</v>
      </c>
      <c r="AE25">
        <f t="shared" si="22"/>
        <v>38.043994343700263</v>
      </c>
      <c r="AF25">
        <f t="shared" si="23"/>
        <v>17.142738560322513</v>
      </c>
      <c r="AG25">
        <f t="shared" si="24"/>
        <v>1.4284995618010599</v>
      </c>
      <c r="AH25">
        <f t="shared" si="25"/>
        <v>17.098180869585576</v>
      </c>
      <c r="AI25">
        <v>450.18603542552188</v>
      </c>
      <c r="AJ25">
        <v>429.21613939393927</v>
      </c>
      <c r="AK25">
        <v>6.8032441183799247E-3</v>
      </c>
      <c r="AL25">
        <v>67.066649872395601</v>
      </c>
      <c r="AM25">
        <f t="shared" si="26"/>
        <v>1.4230547216710832</v>
      </c>
      <c r="AN25">
        <v>19.799744925684958</v>
      </c>
      <c r="AO25">
        <v>21.471430909090898</v>
      </c>
      <c r="AP25">
        <v>-8.872735326720182E-5</v>
      </c>
      <c r="AQ25">
        <v>78.154198704907728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52082.716156934126</v>
      </c>
      <c r="AW25" t="s">
        <v>572</v>
      </c>
      <c r="AX25">
        <v>13230.3</v>
      </c>
      <c r="AY25">
        <v>678.92352941176466</v>
      </c>
      <c r="AZ25">
        <v>2566.7399999999998</v>
      </c>
      <c r="BA25">
        <f t="shared" si="30"/>
        <v>0.73549189656460534</v>
      </c>
      <c r="BB25">
        <v>-2.0951853600362038</v>
      </c>
      <c r="BC25" t="s">
        <v>605</v>
      </c>
      <c r="BD25">
        <v>13209.3</v>
      </c>
      <c r="BE25">
        <v>842.71858823529408</v>
      </c>
      <c r="BF25">
        <v>2057.0100000000002</v>
      </c>
      <c r="BG25">
        <f t="shared" si="31"/>
        <v>0.59031867213319622</v>
      </c>
      <c r="BH25">
        <v>0.5</v>
      </c>
      <c r="BI25">
        <f t="shared" si="32"/>
        <v>252.28121997076678</v>
      </c>
      <c r="BJ25">
        <f t="shared" si="33"/>
        <v>17.142738560322513</v>
      </c>
      <c r="BK25">
        <f t="shared" si="34"/>
        <v>74.463157388642912</v>
      </c>
      <c r="BL25">
        <f t="shared" si="35"/>
        <v>7.6255870027059178E-2</v>
      </c>
      <c r="BM25">
        <f t="shared" si="36"/>
        <v>0.24780142050840759</v>
      </c>
      <c r="BN25">
        <f t="shared" si="37"/>
        <v>637.16053397496034</v>
      </c>
      <c r="BO25" t="s">
        <v>408</v>
      </c>
      <c r="BP25">
        <v>0</v>
      </c>
      <c r="BQ25">
        <f t="shared" si="38"/>
        <v>637.16053397496034</v>
      </c>
      <c r="BR25">
        <f t="shared" si="39"/>
        <v>0.69024918013283343</v>
      </c>
      <c r="BS25">
        <f t="shared" si="40"/>
        <v>0.85522545933280736</v>
      </c>
      <c r="BT25">
        <f t="shared" si="41"/>
        <v>0.26416636835903445</v>
      </c>
      <c r="BU25">
        <f t="shared" si="42"/>
        <v>0.88114311959421998</v>
      </c>
      <c r="BV25">
        <f t="shared" si="43"/>
        <v>0.27001035743753737</v>
      </c>
      <c r="BW25">
        <f t="shared" si="44"/>
        <v>0.64661669737054284</v>
      </c>
      <c r="BX25">
        <f t="shared" si="45"/>
        <v>0.35338330262945716</v>
      </c>
      <c r="DG25">
        <f t="shared" si="46"/>
        <v>299.98693333333341</v>
      </c>
      <c r="DH25">
        <f t="shared" si="47"/>
        <v>252.28121997076678</v>
      </c>
      <c r="DI25">
        <f t="shared" si="48"/>
        <v>0.8409740289935963</v>
      </c>
      <c r="DJ25">
        <f t="shared" si="49"/>
        <v>0.16147987595764099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1786028026.75</v>
      </c>
      <c r="DQ25">
        <v>419.96876666666668</v>
      </c>
      <c r="DR25">
        <v>441.26173333333338</v>
      </c>
      <c r="DS25">
        <v>21.471013333333339</v>
      </c>
      <c r="DT25">
        <v>19.793479999999999</v>
      </c>
      <c r="DU25">
        <v>429.44566666666663</v>
      </c>
      <c r="DV25">
        <v>21.971710000000009</v>
      </c>
      <c r="DW25">
        <v>499.95843333333329</v>
      </c>
      <c r="DX25">
        <v>97.935276666666667</v>
      </c>
      <c r="DY25">
        <v>4.946272333333334E-2</v>
      </c>
      <c r="DZ25">
        <v>25.311303333333331</v>
      </c>
      <c r="EA25">
        <v>24.997093333333339</v>
      </c>
      <c r="EB25">
        <v>999.9000000000002</v>
      </c>
      <c r="EC25">
        <v>0</v>
      </c>
      <c r="ED25">
        <v>0</v>
      </c>
      <c r="EE25">
        <v>10000.83333333333</v>
      </c>
      <c r="EF25">
        <v>0</v>
      </c>
      <c r="EG25">
        <v>426.8143</v>
      </c>
      <c r="EH25">
        <v>-21.292999999999999</v>
      </c>
      <c r="EI25">
        <v>429.18376666666671</v>
      </c>
      <c r="EJ25">
        <v>450.17223333333339</v>
      </c>
      <c r="EK25">
        <v>1.6775353333333329</v>
      </c>
      <c r="EL25">
        <v>441.26173333333338</v>
      </c>
      <c r="EM25">
        <v>19.793479999999999</v>
      </c>
      <c r="EN25">
        <v>2.1027693333333328</v>
      </c>
      <c r="EO25">
        <v>1.938479666666667</v>
      </c>
      <c r="EP25">
        <v>18.240183333333331</v>
      </c>
      <c r="EQ25">
        <v>16.950589999999998</v>
      </c>
      <c r="ER25">
        <v>299.98693333333341</v>
      </c>
      <c r="ES25">
        <v>0.96699576666666653</v>
      </c>
      <c r="ET25">
        <v>3.3004226666666657E-2</v>
      </c>
      <c r="EU25">
        <v>0</v>
      </c>
      <c r="EV25">
        <v>842.69273333333342</v>
      </c>
      <c r="EW25">
        <v>5.0010700000000003</v>
      </c>
      <c r="EX25">
        <v>3995.1646666666661</v>
      </c>
      <c r="EY25">
        <v>2667.9043333333329</v>
      </c>
      <c r="EZ25">
        <v>35.553866666666657</v>
      </c>
      <c r="FA25">
        <v>39.112199999999987</v>
      </c>
      <c r="FB25">
        <v>37.578933333333332</v>
      </c>
      <c r="FC25">
        <v>39.22893333333333</v>
      </c>
      <c r="FD25">
        <v>37.824733333333327</v>
      </c>
      <c r="FE25">
        <v>285.25000000000011</v>
      </c>
      <c r="FF25">
        <v>9.740000000000002</v>
      </c>
      <c r="FG25">
        <v>0</v>
      </c>
      <c r="FH25">
        <v>180.5999999046326</v>
      </c>
      <c r="FI25">
        <v>0</v>
      </c>
      <c r="FJ25">
        <v>842.71858823529408</v>
      </c>
      <c r="FK25">
        <v>1.075735294109943</v>
      </c>
      <c r="FL25">
        <v>70.526960380686404</v>
      </c>
      <c r="FM25">
        <v>3998.8788235294119</v>
      </c>
      <c r="FN25">
        <v>10</v>
      </c>
      <c r="FO25">
        <v>1786027969.5</v>
      </c>
      <c r="FP25" t="s">
        <v>606</v>
      </c>
      <c r="FQ25">
        <v>1786027969.5</v>
      </c>
      <c r="FR25">
        <v>1786027968.5</v>
      </c>
      <c r="FS25">
        <v>11</v>
      </c>
      <c r="FT25">
        <v>4.0000000000000001E-3</v>
      </c>
      <c r="FU25">
        <v>0</v>
      </c>
      <c r="FV25">
        <v>-9.5570000000000004</v>
      </c>
      <c r="FW25">
        <v>-0.54700000000000004</v>
      </c>
      <c r="FX25">
        <v>441</v>
      </c>
      <c r="FY25">
        <v>20</v>
      </c>
      <c r="FZ25">
        <v>0.37</v>
      </c>
      <c r="GA25">
        <v>0.12</v>
      </c>
      <c r="GB25">
        <v>419.96876666666668</v>
      </c>
      <c r="GC25">
        <v>9.1648498330576436E-2</v>
      </c>
      <c r="GD25">
        <v>4.9330641818472347E-2</v>
      </c>
      <c r="GE25">
        <v>-1</v>
      </c>
      <c r="GF25">
        <v>842.63664705882354</v>
      </c>
      <c r="GG25">
        <v>0.9358288808565034</v>
      </c>
      <c r="GH25">
        <v>0.18512060970730981</v>
      </c>
      <c r="GI25">
        <v>1</v>
      </c>
      <c r="GJ25">
        <v>1.6785965</v>
      </c>
      <c r="GK25">
        <v>-4.7796923076930661E-2</v>
      </c>
      <c r="GL25">
        <v>6.5217955924730016E-3</v>
      </c>
      <c r="GM25">
        <v>1</v>
      </c>
      <c r="GN25">
        <v>2</v>
      </c>
      <c r="GO25">
        <v>2</v>
      </c>
      <c r="GP25" t="s">
        <v>411</v>
      </c>
      <c r="GQ25">
        <v>3.1318100000000002</v>
      </c>
      <c r="GR25">
        <v>2.7257400000000001</v>
      </c>
      <c r="GS25">
        <v>9.3366000000000005E-2</v>
      </c>
      <c r="GT25">
        <v>9.6001299999999998E-2</v>
      </c>
      <c r="GU25">
        <v>0.106534</v>
      </c>
      <c r="GV25">
        <v>9.9321099999999996E-2</v>
      </c>
      <c r="GW25">
        <v>22904.7</v>
      </c>
      <c r="GX25">
        <v>30370</v>
      </c>
      <c r="GY25">
        <v>27379.200000000001</v>
      </c>
      <c r="GZ25">
        <v>34508.6</v>
      </c>
      <c r="HA25">
        <v>35752.800000000003</v>
      </c>
      <c r="HB25">
        <v>39139.4</v>
      </c>
      <c r="HC25">
        <v>40369.699999999997</v>
      </c>
      <c r="HD25">
        <v>43544.800000000003</v>
      </c>
      <c r="HE25">
        <v>2.0232000000000001</v>
      </c>
      <c r="HF25">
        <v>1.9334</v>
      </c>
      <c r="HG25">
        <v>2.8312200000000002E-3</v>
      </c>
      <c r="HH25">
        <v>0</v>
      </c>
      <c r="HI25">
        <v>24.952000000000002</v>
      </c>
      <c r="HJ25">
        <v>999.9</v>
      </c>
      <c r="HK25">
        <v>73.8</v>
      </c>
      <c r="HL25">
        <v>27.2</v>
      </c>
      <c r="HM25">
        <v>27.290400000000002</v>
      </c>
      <c r="HN25">
        <v>60.677300000000002</v>
      </c>
      <c r="HO25">
        <v>3.5617000000000001</v>
      </c>
      <c r="HP25">
        <v>1</v>
      </c>
      <c r="HQ25">
        <v>8.4695099999999995E-2</v>
      </c>
      <c r="HR25">
        <v>1.4817199999999999</v>
      </c>
      <c r="HS25">
        <v>20.279499999999999</v>
      </c>
      <c r="HT25">
        <v>5.2148899999999996</v>
      </c>
      <c r="HU25">
        <v>11.902100000000001</v>
      </c>
      <c r="HV25">
        <v>4.9859999999999998</v>
      </c>
      <c r="HW25">
        <v>3.2704</v>
      </c>
      <c r="HX25">
        <v>9999</v>
      </c>
      <c r="HY25">
        <v>9999</v>
      </c>
      <c r="HZ25">
        <v>9999</v>
      </c>
      <c r="IA25">
        <v>999.9</v>
      </c>
      <c r="IB25">
        <v>1.86676</v>
      </c>
      <c r="IC25">
        <v>1.8623400000000001</v>
      </c>
      <c r="ID25">
        <v>1.86182</v>
      </c>
      <c r="IE25">
        <v>1.86127</v>
      </c>
      <c r="IF25">
        <v>1.8614200000000001</v>
      </c>
      <c r="IG25">
        <v>1.8620300000000001</v>
      </c>
      <c r="IH25">
        <v>1.8629500000000001</v>
      </c>
      <c r="II25">
        <v>1.8609599999999999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-9.4770000000000003</v>
      </c>
      <c r="IX25">
        <v>-0.50070000000000003</v>
      </c>
      <c r="IY25">
        <v>-7.4761586569187424</v>
      </c>
      <c r="IZ25">
        <v>-5.6215304933332991E-3</v>
      </c>
      <c r="JA25">
        <v>2.3979931213773931E-6</v>
      </c>
      <c r="JB25">
        <v>-3.6297174575716598E-10</v>
      </c>
      <c r="JC25">
        <v>-0.83796440639217851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1.1000000000000001</v>
      </c>
      <c r="JL25">
        <v>1.1000000000000001</v>
      </c>
      <c r="JM25">
        <v>1.1425799999999999</v>
      </c>
      <c r="JN25">
        <v>2.4706999999999999</v>
      </c>
      <c r="JO25">
        <v>1.50024</v>
      </c>
      <c r="JP25">
        <v>2.2753899999999998</v>
      </c>
      <c r="JQ25">
        <v>1.4477500000000001</v>
      </c>
      <c r="JR25">
        <v>2.34863</v>
      </c>
      <c r="JS25">
        <v>32.953699999999998</v>
      </c>
      <c r="JT25">
        <v>15.804399999999999</v>
      </c>
      <c r="JU25">
        <v>18</v>
      </c>
      <c r="JV25">
        <v>533.40099999999995</v>
      </c>
      <c r="JW25">
        <v>492.64299999999997</v>
      </c>
      <c r="JX25">
        <v>23.660399999999999</v>
      </c>
      <c r="JY25">
        <v>28.3155</v>
      </c>
      <c r="JZ25">
        <v>30.000299999999999</v>
      </c>
      <c r="KA25">
        <v>28.761399999999998</v>
      </c>
      <c r="KB25">
        <v>28.848700000000001</v>
      </c>
      <c r="KC25">
        <v>22.843800000000002</v>
      </c>
      <c r="KD25">
        <v>35.551299999999998</v>
      </c>
      <c r="KE25">
        <v>45.535800000000002</v>
      </c>
      <c r="KF25">
        <v>23.656700000000001</v>
      </c>
      <c r="KG25">
        <v>441.26600000000002</v>
      </c>
      <c r="KH25">
        <v>19.812799999999999</v>
      </c>
      <c r="KI25">
        <v>100.956</v>
      </c>
      <c r="KJ25">
        <v>98.207899999999995</v>
      </c>
    </row>
    <row r="26" spans="1:296" x14ac:dyDescent="0.3">
      <c r="A26">
        <v>10</v>
      </c>
      <c r="B26">
        <v>1786028216</v>
      </c>
      <c r="C26">
        <v>1633.900000095367</v>
      </c>
      <c r="D26" t="s">
        <v>607</v>
      </c>
      <c r="E26" t="s">
        <v>608</v>
      </c>
      <c r="F26">
        <v>15</v>
      </c>
      <c r="H26">
        <v>1786028208</v>
      </c>
      <c r="I26">
        <f t="shared" si="0"/>
        <v>1.1431883324565231E-3</v>
      </c>
      <c r="J26">
        <f t="shared" si="1"/>
        <v>1.1431883324565231</v>
      </c>
      <c r="K26">
        <f t="shared" si="2"/>
        <v>11.816932321772411</v>
      </c>
      <c r="L26">
        <f t="shared" si="3"/>
        <v>420.0264516129032</v>
      </c>
      <c r="M26">
        <f t="shared" si="4"/>
        <v>224.6381703653368</v>
      </c>
      <c r="N26">
        <f t="shared" si="5"/>
        <v>22.010579945148489</v>
      </c>
      <c r="O26">
        <f t="shared" si="6"/>
        <v>41.155186481742369</v>
      </c>
      <c r="P26">
        <f t="shared" si="7"/>
        <v>0.10144638650886958</v>
      </c>
      <c r="Q26">
        <f t="shared" si="8"/>
        <v>2.8932351969242203</v>
      </c>
      <c r="R26">
        <f t="shared" si="9"/>
        <v>9.9510926556544699E-2</v>
      </c>
      <c r="S26">
        <f t="shared" si="10"/>
        <v>6.2365146881196043E-2</v>
      </c>
      <c r="T26">
        <f t="shared" si="11"/>
        <v>32.488565543045056</v>
      </c>
      <c r="U26">
        <f t="shared" si="12"/>
        <v>25.155014149690512</v>
      </c>
      <c r="V26">
        <f t="shared" si="13"/>
        <v>25.031832258064512</v>
      </c>
      <c r="W26">
        <f t="shared" si="14"/>
        <v>3.1857170210480805</v>
      </c>
      <c r="X26">
        <f t="shared" si="15"/>
        <v>64.724075275717183</v>
      </c>
      <c r="Y26">
        <f t="shared" si="16"/>
        <v>2.0903950384659815</v>
      </c>
      <c r="Z26">
        <f t="shared" si="17"/>
        <v>3.2297024400289027</v>
      </c>
      <c r="AA26">
        <f t="shared" si="18"/>
        <v>1.095321982582099</v>
      </c>
      <c r="AB26">
        <f t="shared" si="19"/>
        <v>-50.41460546133267</v>
      </c>
      <c r="AC26">
        <f t="shared" si="20"/>
        <v>35.915674993398291</v>
      </c>
      <c r="AD26">
        <f t="shared" si="21"/>
        <v>2.6296789373330918</v>
      </c>
      <c r="AE26">
        <f t="shared" si="22"/>
        <v>20.619314012443766</v>
      </c>
      <c r="AF26">
        <f t="shared" si="23"/>
        <v>11.816932321772411</v>
      </c>
      <c r="AG26">
        <f t="shared" si="24"/>
        <v>1.1431883324565231</v>
      </c>
      <c r="AH26">
        <f t="shared" si="25"/>
        <v>11.864279502828987</v>
      </c>
      <c r="AI26">
        <v>443.65430131878111</v>
      </c>
      <c r="AJ26">
        <v>429.17438181818142</v>
      </c>
      <c r="AK26">
        <v>-8.9397551139037638E-3</v>
      </c>
      <c r="AL26">
        <v>67.057707892742343</v>
      </c>
      <c r="AM26">
        <f t="shared" si="26"/>
        <v>1.116167073938197</v>
      </c>
      <c r="AN26">
        <v>20.081454533971389</v>
      </c>
      <c r="AO26">
        <v>21.353112121212121</v>
      </c>
      <c r="AP26">
        <v>6.3370321734982533E-3</v>
      </c>
      <c r="AQ26">
        <v>78.183524607519743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52091.694390994788</v>
      </c>
      <c r="AW26" t="s">
        <v>572</v>
      </c>
      <c r="AX26">
        <v>13230.3</v>
      </c>
      <c r="AY26">
        <v>678.92352941176466</v>
      </c>
      <c r="AZ26">
        <v>2566.7399999999998</v>
      </c>
      <c r="BA26">
        <f t="shared" si="30"/>
        <v>0.73549189656460534</v>
      </c>
      <c r="BB26">
        <v>-2.0951853600362038</v>
      </c>
      <c r="BC26" t="s">
        <v>609</v>
      </c>
      <c r="BD26">
        <v>13218.2</v>
      </c>
      <c r="BE26">
        <v>808.47817647058832</v>
      </c>
      <c r="BF26">
        <v>2209.8000000000002</v>
      </c>
      <c r="BG26">
        <f t="shared" si="31"/>
        <v>0.63413966129487365</v>
      </c>
      <c r="BH26">
        <v>0.5</v>
      </c>
      <c r="BI26">
        <f t="shared" si="32"/>
        <v>168.31467436126354</v>
      </c>
      <c r="BJ26">
        <f t="shared" si="33"/>
        <v>11.816932321772411</v>
      </c>
      <c r="BK26">
        <f t="shared" si="34"/>
        <v>53.36750529520431</v>
      </c>
      <c r="BL26">
        <f t="shared" si="35"/>
        <v>8.2655405624041015E-2</v>
      </c>
      <c r="BM26">
        <f t="shared" si="36"/>
        <v>0.16152592994841142</v>
      </c>
      <c r="BN26">
        <f t="shared" si="37"/>
        <v>651.10511707494516</v>
      </c>
      <c r="BO26" t="s">
        <v>408</v>
      </c>
      <c r="BP26">
        <v>0</v>
      </c>
      <c r="BQ26">
        <f t="shared" si="38"/>
        <v>651.10511707494516</v>
      </c>
      <c r="BR26">
        <f t="shared" si="39"/>
        <v>0.70535563531770062</v>
      </c>
      <c r="BS26">
        <f t="shared" si="40"/>
        <v>0.89903536534339801</v>
      </c>
      <c r="BT26">
        <f t="shared" si="41"/>
        <v>0.18632987067711701</v>
      </c>
      <c r="BU26">
        <f t="shared" si="42"/>
        <v>0.91537223966278447</v>
      </c>
      <c r="BV26">
        <f t="shared" si="43"/>
        <v>0.18907558311999403</v>
      </c>
      <c r="BW26">
        <f t="shared" si="44"/>
        <v>0.72403503748468145</v>
      </c>
      <c r="BX26">
        <f t="shared" si="45"/>
        <v>0.27596496251531855</v>
      </c>
      <c r="DG26">
        <f t="shared" si="46"/>
        <v>200.0265161290323</v>
      </c>
      <c r="DH26">
        <f t="shared" si="47"/>
        <v>168.31467436126354</v>
      </c>
      <c r="DI26">
        <f t="shared" si="48"/>
        <v>0.84146181025663513</v>
      </c>
      <c r="DJ26">
        <f t="shared" si="49"/>
        <v>0.16242129379530593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1786028208</v>
      </c>
      <c r="DQ26">
        <v>420.0264516129032</v>
      </c>
      <c r="DR26">
        <v>434.78264516129042</v>
      </c>
      <c r="DS26">
        <v>21.334399999999999</v>
      </c>
      <c r="DT26">
        <v>19.991870967741939</v>
      </c>
      <c r="DU26">
        <v>429.49093548387089</v>
      </c>
      <c r="DV26">
        <v>21.84225806451613</v>
      </c>
      <c r="DW26">
        <v>500.01112903225811</v>
      </c>
      <c r="DX26">
        <v>97.933222580645136</v>
      </c>
      <c r="DY26">
        <v>4.9145729032258063E-2</v>
      </c>
      <c r="DZ26">
        <v>25.262090322580651</v>
      </c>
      <c r="EA26">
        <v>25.031832258064512</v>
      </c>
      <c r="EB26">
        <v>999.90000000000032</v>
      </c>
      <c r="EC26">
        <v>0</v>
      </c>
      <c r="ED26">
        <v>0</v>
      </c>
      <c r="EE26">
        <v>10001.129032258061</v>
      </c>
      <c r="EF26">
        <v>0</v>
      </c>
      <c r="EG26">
        <v>578.28809677419349</v>
      </c>
      <c r="EH26">
        <v>-14.756132258064509</v>
      </c>
      <c r="EI26">
        <v>429.18300000000011</v>
      </c>
      <c r="EJ26">
        <v>443.65216129032262</v>
      </c>
      <c r="EK26">
        <v>1.342520322580645</v>
      </c>
      <c r="EL26">
        <v>434.78264516129042</v>
      </c>
      <c r="EM26">
        <v>19.991870967741939</v>
      </c>
      <c r="EN26">
        <v>2.089346451612903</v>
      </c>
      <c r="EO26">
        <v>1.957868709677419</v>
      </c>
      <c r="EP26">
        <v>18.13817741935484</v>
      </c>
      <c r="EQ26">
        <v>17.107580645161288</v>
      </c>
      <c r="ER26">
        <v>200.0265161290323</v>
      </c>
      <c r="ES26">
        <v>0.95002622580645157</v>
      </c>
      <c r="ET26">
        <v>4.9973529032258067E-2</v>
      </c>
      <c r="EU26">
        <v>0</v>
      </c>
      <c r="EV26">
        <v>808.56822580645155</v>
      </c>
      <c r="EW26">
        <v>5.0010700000000003</v>
      </c>
      <c r="EX26">
        <v>3710.419677419356</v>
      </c>
      <c r="EY26">
        <v>1752.084193548387</v>
      </c>
      <c r="EZ26">
        <v>34.455290322580638</v>
      </c>
      <c r="FA26">
        <v>38.06438709677419</v>
      </c>
      <c r="FB26">
        <v>36.505999999999993</v>
      </c>
      <c r="FC26">
        <v>37.908935483870962</v>
      </c>
      <c r="FD26">
        <v>36.852580645161282</v>
      </c>
      <c r="FE26">
        <v>185.28032258064519</v>
      </c>
      <c r="FF26">
        <v>9.7467741935483865</v>
      </c>
      <c r="FG26">
        <v>0</v>
      </c>
      <c r="FH26">
        <v>180.89999985694891</v>
      </c>
      <c r="FI26">
        <v>0</v>
      </c>
      <c r="FJ26">
        <v>808.47817647058832</v>
      </c>
      <c r="FK26">
        <v>-0.93921572574901979</v>
      </c>
      <c r="FL26">
        <v>575.7401981840195</v>
      </c>
      <c r="FM26">
        <v>3731.856470588235</v>
      </c>
      <c r="FN26">
        <v>10</v>
      </c>
      <c r="FO26">
        <v>1786028129.5</v>
      </c>
      <c r="FP26" t="s">
        <v>610</v>
      </c>
      <c r="FQ26">
        <v>1786028129.5</v>
      </c>
      <c r="FR26">
        <v>1786028122</v>
      </c>
      <c r="FS26">
        <v>12</v>
      </c>
      <c r="FT26">
        <v>1.2999999999999999E-2</v>
      </c>
      <c r="FU26">
        <v>-4.0000000000000001E-3</v>
      </c>
      <c r="FV26">
        <v>-9.5210000000000008</v>
      </c>
      <c r="FW26">
        <v>-0.54600000000000004</v>
      </c>
      <c r="FX26">
        <v>435</v>
      </c>
      <c r="FY26">
        <v>20</v>
      </c>
      <c r="FZ26">
        <v>0.52</v>
      </c>
      <c r="GA26">
        <v>0.16</v>
      </c>
      <c r="GB26">
        <v>420.02653333333342</v>
      </c>
      <c r="GC26">
        <v>0.40466295884101949</v>
      </c>
      <c r="GD26">
        <v>6.5505080379737818E-2</v>
      </c>
      <c r="GE26">
        <v>-1</v>
      </c>
      <c r="GF26">
        <v>808.5913823529412</v>
      </c>
      <c r="GG26">
        <v>-1.151336903448982</v>
      </c>
      <c r="GH26">
        <v>0.20418388694651141</v>
      </c>
      <c r="GI26">
        <v>1</v>
      </c>
      <c r="GJ26">
        <v>1.3743775</v>
      </c>
      <c r="GK26">
        <v>-0.73038596622889274</v>
      </c>
      <c r="GL26">
        <v>7.2425724944594094E-2</v>
      </c>
      <c r="GM26">
        <v>0</v>
      </c>
      <c r="GN26">
        <v>1</v>
      </c>
      <c r="GO26">
        <v>2</v>
      </c>
      <c r="GP26" t="s">
        <v>444</v>
      </c>
      <c r="GQ26">
        <v>3.1307499999999999</v>
      </c>
      <c r="GR26">
        <v>2.7261199999999999</v>
      </c>
      <c r="GS26">
        <v>9.3352500000000005E-2</v>
      </c>
      <c r="GT26">
        <v>9.49044E-2</v>
      </c>
      <c r="GU26">
        <v>0.106145</v>
      </c>
      <c r="GV26">
        <v>0.100353</v>
      </c>
      <c r="GW26">
        <v>22901.9</v>
      </c>
      <c r="GX26">
        <v>30403.1</v>
      </c>
      <c r="GY26">
        <v>27376</v>
      </c>
      <c r="GZ26">
        <v>34505.1</v>
      </c>
      <c r="HA26">
        <v>35765.9</v>
      </c>
      <c r="HB26">
        <v>39092.699999999997</v>
      </c>
      <c r="HC26">
        <v>40366.199999999997</v>
      </c>
      <c r="HD26">
        <v>43543</v>
      </c>
      <c r="HE26">
        <v>2.0192000000000001</v>
      </c>
      <c r="HF26">
        <v>1.9312</v>
      </c>
      <c r="HG26">
        <v>2.9802300000000001E-5</v>
      </c>
      <c r="HH26">
        <v>0</v>
      </c>
      <c r="HI26">
        <v>25.043299999999999</v>
      </c>
      <c r="HJ26">
        <v>999.9</v>
      </c>
      <c r="HK26">
        <v>73.3</v>
      </c>
      <c r="HL26">
        <v>27.5</v>
      </c>
      <c r="HM26">
        <v>27.5853</v>
      </c>
      <c r="HN26">
        <v>60.597299999999997</v>
      </c>
      <c r="HO26">
        <v>3.3012800000000002</v>
      </c>
      <c r="HP26">
        <v>1</v>
      </c>
      <c r="HQ26">
        <v>9.3089400000000003E-2</v>
      </c>
      <c r="HR26">
        <v>1.7955099999999999</v>
      </c>
      <c r="HS26">
        <v>20.279399999999999</v>
      </c>
      <c r="HT26">
        <v>5.2160900000000003</v>
      </c>
      <c r="HU26">
        <v>11.902100000000001</v>
      </c>
      <c r="HV26">
        <v>4.9855999999999998</v>
      </c>
      <c r="HW26">
        <v>3.2707999999999999</v>
      </c>
      <c r="HX26">
        <v>9999</v>
      </c>
      <c r="HY26">
        <v>9999</v>
      </c>
      <c r="HZ26">
        <v>9999</v>
      </c>
      <c r="IA26">
        <v>999.9</v>
      </c>
      <c r="IB26">
        <v>1.86676</v>
      </c>
      <c r="IC26">
        <v>1.8623400000000001</v>
      </c>
      <c r="ID26">
        <v>1.86185</v>
      </c>
      <c r="IE26">
        <v>1.86127</v>
      </c>
      <c r="IF26">
        <v>1.8613900000000001</v>
      </c>
      <c r="IG26">
        <v>1.8620300000000001</v>
      </c>
      <c r="IH26">
        <v>1.8629500000000001</v>
      </c>
      <c r="II26">
        <v>1.8609599999999999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-9.4640000000000004</v>
      </c>
      <c r="IX26">
        <v>-0.50719999999999998</v>
      </c>
      <c r="IY26">
        <v>-7.4635881528145438</v>
      </c>
      <c r="IZ26">
        <v>-5.6215304933332991E-3</v>
      </c>
      <c r="JA26">
        <v>2.3979931213773931E-6</v>
      </c>
      <c r="JB26">
        <v>-3.6297174575716598E-10</v>
      </c>
      <c r="JC26">
        <v>-0.84172483121877995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1.4</v>
      </c>
      <c r="JL26">
        <v>1.6</v>
      </c>
      <c r="JM26">
        <v>1.1291500000000001</v>
      </c>
      <c r="JN26">
        <v>2.4645999999999999</v>
      </c>
      <c r="JO26">
        <v>1.50024</v>
      </c>
      <c r="JP26">
        <v>2.2753899999999998</v>
      </c>
      <c r="JQ26">
        <v>1.4477500000000001</v>
      </c>
      <c r="JR26">
        <v>2.4939</v>
      </c>
      <c r="JS26">
        <v>33.199199999999998</v>
      </c>
      <c r="JT26">
        <v>15.7957</v>
      </c>
      <c r="JU26">
        <v>18</v>
      </c>
      <c r="JV26">
        <v>531.81100000000004</v>
      </c>
      <c r="JW26">
        <v>492.149</v>
      </c>
      <c r="JX26">
        <v>23.443999999999999</v>
      </c>
      <c r="JY26">
        <v>28.419499999999999</v>
      </c>
      <c r="JZ26">
        <v>30.000399999999999</v>
      </c>
      <c r="KA26">
        <v>28.869800000000001</v>
      </c>
      <c r="KB26">
        <v>28.961400000000001</v>
      </c>
      <c r="KC26">
        <v>22.581499999999998</v>
      </c>
      <c r="KD26">
        <v>35.342599999999997</v>
      </c>
      <c r="KE26">
        <v>41.006999999999998</v>
      </c>
      <c r="KF26">
        <v>23.449400000000001</v>
      </c>
      <c r="KG26">
        <v>434.69200000000001</v>
      </c>
      <c r="KH26">
        <v>20.070699999999999</v>
      </c>
      <c r="KI26">
        <v>100.946</v>
      </c>
      <c r="KJ26">
        <v>98.201099999999997</v>
      </c>
    </row>
    <row r="27" spans="1:296" x14ac:dyDescent="0.3">
      <c r="A27">
        <v>11</v>
      </c>
      <c r="B27">
        <v>1786028397.5999999</v>
      </c>
      <c r="C27">
        <v>1815.5</v>
      </c>
      <c r="D27" t="s">
        <v>611</v>
      </c>
      <c r="E27" t="s">
        <v>612</v>
      </c>
      <c r="F27">
        <v>15</v>
      </c>
      <c r="H27">
        <v>1786028389.599999</v>
      </c>
      <c r="I27">
        <f t="shared" si="0"/>
        <v>9.6574287704944816E-4</v>
      </c>
      <c r="J27">
        <f t="shared" si="1"/>
        <v>0.96574287704944817</v>
      </c>
      <c r="K27">
        <f t="shared" si="2"/>
        <v>5.280015129148901</v>
      </c>
      <c r="L27">
        <f t="shared" si="3"/>
        <v>420.02280645161289</v>
      </c>
      <c r="M27">
        <f t="shared" si="4"/>
        <v>313.36609340982614</v>
      </c>
      <c r="N27">
        <f t="shared" si="5"/>
        <v>30.700751445278275</v>
      </c>
      <c r="O27">
        <f t="shared" si="6"/>
        <v>41.150003313711558</v>
      </c>
      <c r="P27">
        <f t="shared" si="7"/>
        <v>8.5709278401811445E-2</v>
      </c>
      <c r="Q27">
        <f t="shared" si="8"/>
        <v>2.8945799159322521</v>
      </c>
      <c r="R27">
        <f t="shared" si="9"/>
        <v>8.4323938973399876E-2</v>
      </c>
      <c r="S27">
        <f t="shared" si="10"/>
        <v>5.2825063904000796E-2</v>
      </c>
      <c r="T27">
        <f t="shared" si="11"/>
        <v>16.506941360580974</v>
      </c>
      <c r="U27">
        <f t="shared" si="12"/>
        <v>25.016491439700811</v>
      </c>
      <c r="V27">
        <f t="shared" si="13"/>
        <v>24.94511935483872</v>
      </c>
      <c r="W27">
        <f t="shared" si="14"/>
        <v>3.1692887555998737</v>
      </c>
      <c r="X27">
        <f t="shared" si="15"/>
        <v>64.663392481301472</v>
      </c>
      <c r="Y27">
        <f t="shared" si="16"/>
        <v>2.0772945496045883</v>
      </c>
      <c r="Z27">
        <f t="shared" si="17"/>
        <v>3.2124738122969245</v>
      </c>
      <c r="AA27">
        <f t="shared" si="18"/>
        <v>1.0919942059952854</v>
      </c>
      <c r="AB27">
        <f t="shared" si="19"/>
        <v>-42.589260877880662</v>
      </c>
      <c r="AC27">
        <f t="shared" si="20"/>
        <v>35.441053926717167</v>
      </c>
      <c r="AD27">
        <f t="shared" si="21"/>
        <v>2.5914190713249958</v>
      </c>
      <c r="AE27">
        <f t="shared" si="22"/>
        <v>11.950153480742475</v>
      </c>
      <c r="AF27">
        <f t="shared" si="23"/>
        <v>5.280015129148901</v>
      </c>
      <c r="AG27">
        <f t="shared" si="24"/>
        <v>0.96574287704944817</v>
      </c>
      <c r="AH27">
        <f t="shared" si="25"/>
        <v>5.3135294577271273</v>
      </c>
      <c r="AI27">
        <v>435.60514292515052</v>
      </c>
      <c r="AJ27">
        <v>429.09866060606038</v>
      </c>
      <c r="AK27">
        <v>-1.4413232403248419E-4</v>
      </c>
      <c r="AL27">
        <v>67.050418160679513</v>
      </c>
      <c r="AM27">
        <f t="shared" si="26"/>
        <v>0.94877698665781318</v>
      </c>
      <c r="AN27">
        <v>20.073749019131739</v>
      </c>
      <c r="AO27">
        <v>21.19019030303031</v>
      </c>
      <c r="AP27">
        <v>-3.1822049297969702E-4</v>
      </c>
      <c r="AQ27">
        <v>78.063427712897052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52145.726421844964</v>
      </c>
      <c r="AW27" t="s">
        <v>572</v>
      </c>
      <c r="AX27">
        <v>13230.3</v>
      </c>
      <c r="AY27">
        <v>678.92352941176466</v>
      </c>
      <c r="AZ27">
        <v>2566.7399999999998</v>
      </c>
      <c r="BA27">
        <f t="shared" si="30"/>
        <v>0.73549189656460534</v>
      </c>
      <c r="BB27">
        <v>-2.0951853600362038</v>
      </c>
      <c r="BC27" t="s">
        <v>613</v>
      </c>
      <c r="BD27">
        <v>13246.9</v>
      </c>
      <c r="BE27">
        <v>758.85623529411771</v>
      </c>
      <c r="BF27">
        <v>2291.83</v>
      </c>
      <c r="BG27">
        <f t="shared" si="31"/>
        <v>0.66888633306391942</v>
      </c>
      <c r="BH27">
        <v>0.5</v>
      </c>
      <c r="BI27">
        <f t="shared" si="32"/>
        <v>84.269117757947697</v>
      </c>
      <c r="BJ27">
        <f t="shared" si="33"/>
        <v>5.280015129148901</v>
      </c>
      <c r="BK27">
        <f t="shared" si="34"/>
        <v>28.183230583822624</v>
      </c>
      <c r="BL27">
        <f t="shared" si="35"/>
        <v>8.7519611993202878E-2</v>
      </c>
      <c r="BM27">
        <f t="shared" si="36"/>
        <v>0.11995217795386214</v>
      </c>
      <c r="BN27">
        <f t="shared" si="37"/>
        <v>658.0448691920069</v>
      </c>
      <c r="BO27" t="s">
        <v>408</v>
      </c>
      <c r="BP27">
        <v>0</v>
      </c>
      <c r="BQ27">
        <f t="shared" si="38"/>
        <v>658.0448691920069</v>
      </c>
      <c r="BR27">
        <f t="shared" si="39"/>
        <v>0.71287361226966794</v>
      </c>
      <c r="BS27">
        <f t="shared" si="40"/>
        <v>0.93829582348307083</v>
      </c>
      <c r="BT27">
        <f t="shared" si="41"/>
        <v>0.14403033546987903</v>
      </c>
      <c r="BU27">
        <f t="shared" si="42"/>
        <v>0.95044182205233452</v>
      </c>
      <c r="BV27">
        <f t="shared" si="43"/>
        <v>0.1456232659705205</v>
      </c>
      <c r="BW27">
        <f t="shared" si="44"/>
        <v>0.81364654292919647</v>
      </c>
      <c r="BX27">
        <f t="shared" si="45"/>
        <v>0.18635345707080353</v>
      </c>
      <c r="DG27">
        <f t="shared" si="46"/>
        <v>99.981154838709685</v>
      </c>
      <c r="DH27">
        <f t="shared" si="47"/>
        <v>84.269117757947697</v>
      </c>
      <c r="DI27">
        <f t="shared" si="48"/>
        <v>0.84285001402405524</v>
      </c>
      <c r="DJ27">
        <f t="shared" si="49"/>
        <v>0.16510052706642656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1786028389.599999</v>
      </c>
      <c r="DQ27">
        <v>420.02280645161289</v>
      </c>
      <c r="DR27">
        <v>426.84603225806461</v>
      </c>
      <c r="DS27">
        <v>21.203183870967749</v>
      </c>
      <c r="DT27">
        <v>20.06879032258065</v>
      </c>
      <c r="DU27">
        <v>429.43674193548389</v>
      </c>
      <c r="DV27">
        <v>21.719406451612901</v>
      </c>
      <c r="DW27">
        <v>499.9672580645161</v>
      </c>
      <c r="DX27">
        <v>97.92197419354838</v>
      </c>
      <c r="DY27">
        <v>4.8904248387096769E-2</v>
      </c>
      <c r="DZ27">
        <v>25.17222903225807</v>
      </c>
      <c r="EA27">
        <v>24.94511935483872</v>
      </c>
      <c r="EB27">
        <v>999.90000000000032</v>
      </c>
      <c r="EC27">
        <v>0</v>
      </c>
      <c r="ED27">
        <v>0</v>
      </c>
      <c r="EE27">
        <v>10010</v>
      </c>
      <c r="EF27">
        <v>0</v>
      </c>
      <c r="EG27">
        <v>623.07325806451615</v>
      </c>
      <c r="EH27">
        <v>-6.8233232258064529</v>
      </c>
      <c r="EI27">
        <v>429.12154838709682</v>
      </c>
      <c r="EJ27">
        <v>435.58780645161289</v>
      </c>
      <c r="EK27">
        <v>1.1343838709677421</v>
      </c>
      <c r="EL27">
        <v>426.84603225806461</v>
      </c>
      <c r="EM27">
        <v>20.06879032258065</v>
      </c>
      <c r="EN27">
        <v>2.0762567741935491</v>
      </c>
      <c r="EO27">
        <v>1.9651764516129031</v>
      </c>
      <c r="EP27">
        <v>18.03819032258064</v>
      </c>
      <c r="EQ27">
        <v>17.166506451612911</v>
      </c>
      <c r="ER27">
        <v>99.981154838709685</v>
      </c>
      <c r="ES27">
        <v>0.89997387096774184</v>
      </c>
      <c r="ET27">
        <v>0.1000262161290322</v>
      </c>
      <c r="EU27">
        <v>0</v>
      </c>
      <c r="EV27">
        <v>758.85722580645188</v>
      </c>
      <c r="EW27">
        <v>5.0010700000000003</v>
      </c>
      <c r="EX27">
        <v>3071.0661290322578</v>
      </c>
      <c r="EY27">
        <v>836.39693548387083</v>
      </c>
      <c r="EZ27">
        <v>35.745935483870973</v>
      </c>
      <c r="FA27">
        <v>41.751709677419328</v>
      </c>
      <c r="FB27">
        <v>38.529967741935472</v>
      </c>
      <c r="FC27">
        <v>41.62883870967741</v>
      </c>
      <c r="FD27">
        <v>38.828258064516127</v>
      </c>
      <c r="FE27">
        <v>85.48</v>
      </c>
      <c r="FF27">
        <v>9.4980645161290322</v>
      </c>
      <c r="FG27">
        <v>0</v>
      </c>
      <c r="FH27">
        <v>180.69999980926511</v>
      </c>
      <c r="FI27">
        <v>0</v>
      </c>
      <c r="FJ27">
        <v>758.85623529411771</v>
      </c>
      <c r="FK27">
        <v>0.48627448191601402</v>
      </c>
      <c r="FL27">
        <v>-189.16911665293381</v>
      </c>
      <c r="FM27">
        <v>3077.06</v>
      </c>
      <c r="FN27">
        <v>10</v>
      </c>
      <c r="FO27">
        <v>1786028321.0999999</v>
      </c>
      <c r="FP27" t="s">
        <v>614</v>
      </c>
      <c r="FQ27">
        <v>1786028321.0999999</v>
      </c>
      <c r="FR27">
        <v>1786028314.0999999</v>
      </c>
      <c r="FS27">
        <v>13</v>
      </c>
      <c r="FT27">
        <v>0.05</v>
      </c>
      <c r="FU27">
        <v>-5.0000000000000001E-3</v>
      </c>
      <c r="FV27">
        <v>-9.4390000000000001</v>
      </c>
      <c r="FW27">
        <v>-0.54200000000000004</v>
      </c>
      <c r="FX27">
        <v>426</v>
      </c>
      <c r="FY27">
        <v>20</v>
      </c>
      <c r="FZ27">
        <v>1.31</v>
      </c>
      <c r="GA27">
        <v>0.27</v>
      </c>
      <c r="GB27">
        <v>420.02390322580641</v>
      </c>
      <c r="GC27">
        <v>-0.2142580645166578</v>
      </c>
      <c r="GD27">
        <v>5.2412972316149387E-2</v>
      </c>
      <c r="GE27">
        <v>-1</v>
      </c>
      <c r="GF27">
        <v>758.87323529411765</v>
      </c>
      <c r="GG27">
        <v>-0.43126050778427649</v>
      </c>
      <c r="GH27">
        <v>0.20373310955952681</v>
      </c>
      <c r="GI27">
        <v>1</v>
      </c>
      <c r="GJ27">
        <v>1.1449346341463409</v>
      </c>
      <c r="GK27">
        <v>-0.19989679442508859</v>
      </c>
      <c r="GL27">
        <v>1.9959930849086059E-2</v>
      </c>
      <c r="GM27">
        <v>1</v>
      </c>
      <c r="GN27">
        <v>2</v>
      </c>
      <c r="GO27">
        <v>2</v>
      </c>
      <c r="GP27" t="s">
        <v>411</v>
      </c>
      <c r="GQ27">
        <v>3.1318800000000002</v>
      </c>
      <c r="GR27">
        <v>2.7244999999999999</v>
      </c>
      <c r="GS27">
        <v>9.3277299999999994E-2</v>
      </c>
      <c r="GT27">
        <v>9.3521999999999994E-2</v>
      </c>
      <c r="GU27">
        <v>0.105531</v>
      </c>
      <c r="GV27">
        <v>0.100214</v>
      </c>
      <c r="GW27">
        <v>22895.7</v>
      </c>
      <c r="GX27">
        <v>30438</v>
      </c>
      <c r="GY27">
        <v>27367.4</v>
      </c>
      <c r="GZ27">
        <v>34493.5</v>
      </c>
      <c r="HA27">
        <v>35781</v>
      </c>
      <c r="HB27">
        <v>39089</v>
      </c>
      <c r="HC27">
        <v>40354.199999999997</v>
      </c>
      <c r="HD27">
        <v>43531.8</v>
      </c>
      <c r="HE27">
        <v>2.0184000000000002</v>
      </c>
      <c r="HF27">
        <v>1.9224000000000001</v>
      </c>
      <c r="HG27">
        <v>-8.7916899999999996E-3</v>
      </c>
      <c r="HH27">
        <v>0</v>
      </c>
      <c r="HI27">
        <v>25.082599999999999</v>
      </c>
      <c r="HJ27">
        <v>999.9</v>
      </c>
      <c r="HK27">
        <v>72.8</v>
      </c>
      <c r="HL27">
        <v>27.9</v>
      </c>
      <c r="HM27">
        <v>28.0471</v>
      </c>
      <c r="HN27">
        <v>60.483699999999999</v>
      </c>
      <c r="HO27">
        <v>3.6458400000000002</v>
      </c>
      <c r="HP27">
        <v>1</v>
      </c>
      <c r="HQ27">
        <v>0.10689</v>
      </c>
      <c r="HR27">
        <v>1.28817</v>
      </c>
      <c r="HS27">
        <v>20.285</v>
      </c>
      <c r="HT27">
        <v>5.2160900000000003</v>
      </c>
      <c r="HU27">
        <v>11.902100000000001</v>
      </c>
      <c r="HV27">
        <v>4.9859999999999998</v>
      </c>
      <c r="HW27">
        <v>3.2707999999999999</v>
      </c>
      <c r="HX27">
        <v>9999</v>
      </c>
      <c r="HY27">
        <v>9999</v>
      </c>
      <c r="HZ27">
        <v>9999</v>
      </c>
      <c r="IA27">
        <v>999.9</v>
      </c>
      <c r="IB27">
        <v>1.8667899999999999</v>
      </c>
      <c r="IC27">
        <v>1.8623400000000001</v>
      </c>
      <c r="ID27">
        <v>1.86188</v>
      </c>
      <c r="IE27">
        <v>1.8613599999999999</v>
      </c>
      <c r="IF27">
        <v>1.8614200000000001</v>
      </c>
      <c r="IG27">
        <v>1.86206</v>
      </c>
      <c r="IH27">
        <v>1.8629500000000001</v>
      </c>
      <c r="II27">
        <v>1.8609599999999999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-9.4139999999999997</v>
      </c>
      <c r="IX27">
        <v>-0.51649999999999996</v>
      </c>
      <c r="IY27">
        <v>-7.4133766077716707</v>
      </c>
      <c r="IZ27">
        <v>-5.6215304933332991E-3</v>
      </c>
      <c r="JA27">
        <v>2.3979931213773931E-6</v>
      </c>
      <c r="JB27">
        <v>-3.6297174575716598E-10</v>
      </c>
      <c r="JC27">
        <v>-0.84684850367310016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1.3</v>
      </c>
      <c r="JL27">
        <v>1.4</v>
      </c>
      <c r="JM27">
        <v>1.11206</v>
      </c>
      <c r="JN27">
        <v>2.4694799999999999</v>
      </c>
      <c r="JO27">
        <v>1.50024</v>
      </c>
      <c r="JP27">
        <v>2.2741699999999998</v>
      </c>
      <c r="JQ27">
        <v>1.4477500000000001</v>
      </c>
      <c r="JR27">
        <v>2.4621599999999999</v>
      </c>
      <c r="JS27">
        <v>33.602899999999998</v>
      </c>
      <c r="JT27">
        <v>15.769399999999999</v>
      </c>
      <c r="JU27">
        <v>18</v>
      </c>
      <c r="JV27">
        <v>532.97900000000004</v>
      </c>
      <c r="JW27">
        <v>487.84699999999998</v>
      </c>
      <c r="JX27">
        <v>23.849499999999999</v>
      </c>
      <c r="JY27">
        <v>28.6389</v>
      </c>
      <c r="JZ27">
        <v>30</v>
      </c>
      <c r="KA27">
        <v>29.058700000000002</v>
      </c>
      <c r="KB27">
        <v>29.142199999999999</v>
      </c>
      <c r="KC27">
        <v>22.255600000000001</v>
      </c>
      <c r="KD27">
        <v>36.0837</v>
      </c>
      <c r="KE27">
        <v>36.465400000000002</v>
      </c>
      <c r="KF27">
        <v>23.8416</v>
      </c>
      <c r="KG27">
        <v>426.83199999999999</v>
      </c>
      <c r="KH27">
        <v>20.092300000000002</v>
      </c>
      <c r="KI27">
        <v>100.91500000000001</v>
      </c>
      <c r="KJ27">
        <v>98.172399999999996</v>
      </c>
    </row>
    <row r="28" spans="1:296" x14ac:dyDescent="0.3">
      <c r="A28">
        <v>12</v>
      </c>
      <c r="B28">
        <v>1786028579.0999999</v>
      </c>
      <c r="C28">
        <v>1997</v>
      </c>
      <c r="D28" t="s">
        <v>615</v>
      </c>
      <c r="E28" t="s">
        <v>616</v>
      </c>
      <c r="F28">
        <v>15</v>
      </c>
      <c r="H28">
        <v>1786028571.099999</v>
      </c>
      <c r="I28">
        <f t="shared" si="0"/>
        <v>5.6479190337669098E-4</v>
      </c>
      <c r="J28">
        <f t="shared" si="1"/>
        <v>0.56479190337669094</v>
      </c>
      <c r="K28">
        <f t="shared" si="2"/>
        <v>1.8922645361771235</v>
      </c>
      <c r="L28">
        <f t="shared" si="3"/>
        <v>419.98770967741939</v>
      </c>
      <c r="M28">
        <f t="shared" si="4"/>
        <v>352.26073875450783</v>
      </c>
      <c r="N28">
        <f t="shared" si="5"/>
        <v>34.514063023282802</v>
      </c>
      <c r="O28">
        <f t="shared" si="6"/>
        <v>41.149866238464412</v>
      </c>
      <c r="P28">
        <f t="shared" si="7"/>
        <v>5.0267165054919433E-2</v>
      </c>
      <c r="Q28">
        <f t="shared" si="8"/>
        <v>2.892832993380285</v>
      </c>
      <c r="R28">
        <f t="shared" si="9"/>
        <v>4.9786911317904227E-2</v>
      </c>
      <c r="S28">
        <f t="shared" si="10"/>
        <v>3.1159585951569396E-2</v>
      </c>
      <c r="T28">
        <f t="shared" si="11"/>
        <v>8.2376567804415917</v>
      </c>
      <c r="U28">
        <f t="shared" si="12"/>
        <v>25.160557327379987</v>
      </c>
      <c r="V28">
        <f t="shared" si="13"/>
        <v>24.996264516129042</v>
      </c>
      <c r="W28">
        <f t="shared" si="14"/>
        <v>3.1789695251178167</v>
      </c>
      <c r="X28">
        <f t="shared" si="15"/>
        <v>64.948767158418846</v>
      </c>
      <c r="Y28">
        <f t="shared" si="16"/>
        <v>2.0974087440275611</v>
      </c>
      <c r="Z28">
        <f t="shared" si="17"/>
        <v>3.2293280316032735</v>
      </c>
      <c r="AA28">
        <f t="shared" si="18"/>
        <v>1.0815607810902557</v>
      </c>
      <c r="AB28">
        <f t="shared" si="19"/>
        <v>-24.90732293891207</v>
      </c>
      <c r="AC28">
        <f t="shared" si="20"/>
        <v>41.153903374722482</v>
      </c>
      <c r="AD28">
        <f t="shared" si="21"/>
        <v>3.0130625835823972</v>
      </c>
      <c r="AE28">
        <f t="shared" si="22"/>
        <v>27.497299799834401</v>
      </c>
      <c r="AF28">
        <f t="shared" si="23"/>
        <v>1.8922645361771235</v>
      </c>
      <c r="AG28">
        <f t="shared" si="24"/>
        <v>0.56479190337669094</v>
      </c>
      <c r="AH28">
        <f t="shared" si="25"/>
        <v>1.9132510705245751</v>
      </c>
      <c r="AI28">
        <v>431.51271982063548</v>
      </c>
      <c r="AJ28">
        <v>429.19713333333289</v>
      </c>
      <c r="AK28">
        <v>-5.4835175423269726E-3</v>
      </c>
      <c r="AL28">
        <v>67.055684644877914</v>
      </c>
      <c r="AM28">
        <f t="shared" si="26"/>
        <v>0.56900342195166109</v>
      </c>
      <c r="AN28">
        <v>20.75157095597903</v>
      </c>
      <c r="AO28">
        <v>21.419850303030302</v>
      </c>
      <c r="AP28">
        <v>-1.263122376444908E-5</v>
      </c>
      <c r="AQ28">
        <v>78.173477854463769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52080.421837571026</v>
      </c>
      <c r="AW28" t="s">
        <v>572</v>
      </c>
      <c r="AX28">
        <v>13230.3</v>
      </c>
      <c r="AY28">
        <v>678.92352941176466</v>
      </c>
      <c r="AZ28">
        <v>2566.7399999999998</v>
      </c>
      <c r="BA28">
        <f t="shared" si="30"/>
        <v>0.73549189656460534</v>
      </c>
      <c r="BB28">
        <v>-2.0951853600362038</v>
      </c>
      <c r="BC28" t="s">
        <v>617</v>
      </c>
      <c r="BD28">
        <v>13255.1</v>
      </c>
      <c r="BE28">
        <v>734.74876470588242</v>
      </c>
      <c r="BF28">
        <v>2387.06</v>
      </c>
      <c r="BG28">
        <f t="shared" si="31"/>
        <v>0.69219509995312967</v>
      </c>
      <c r="BH28">
        <v>0.5</v>
      </c>
      <c r="BI28">
        <f t="shared" si="32"/>
        <v>42.120096611627773</v>
      </c>
      <c r="BJ28">
        <f t="shared" si="33"/>
        <v>1.8922645361771235</v>
      </c>
      <c r="BK28">
        <f t="shared" si="34"/>
        <v>14.577662242060581</v>
      </c>
      <c r="BL28">
        <f t="shared" si="35"/>
        <v>9.466858381119056E-2</v>
      </c>
      <c r="BM28">
        <f t="shared" si="36"/>
        <v>7.5272510954898425E-2</v>
      </c>
      <c r="BN28">
        <f t="shared" si="37"/>
        <v>665.66991550685555</v>
      </c>
      <c r="BO28" t="s">
        <v>408</v>
      </c>
      <c r="BP28">
        <v>0</v>
      </c>
      <c r="BQ28">
        <f t="shared" si="38"/>
        <v>665.66991550685555</v>
      </c>
      <c r="BR28">
        <f t="shared" si="39"/>
        <v>0.72113398259496808</v>
      </c>
      <c r="BS28">
        <f t="shared" si="40"/>
        <v>0.95987031073240614</v>
      </c>
      <c r="BT28">
        <f t="shared" si="41"/>
        <v>9.4515189874183614E-2</v>
      </c>
      <c r="BU28">
        <f t="shared" si="42"/>
        <v>0.96731804732505189</v>
      </c>
      <c r="BV28">
        <f t="shared" si="43"/>
        <v>9.517874369642107E-2</v>
      </c>
      <c r="BW28">
        <f t="shared" si="44"/>
        <v>0.86962621692675091</v>
      </c>
      <c r="BX28">
        <f t="shared" si="45"/>
        <v>0.13037378307324909</v>
      </c>
      <c r="DG28">
        <f t="shared" si="46"/>
        <v>49.982300000000002</v>
      </c>
      <c r="DH28">
        <f t="shared" si="47"/>
        <v>42.120096611627773</v>
      </c>
      <c r="DI28">
        <f t="shared" si="48"/>
        <v>0.84270024812039002</v>
      </c>
      <c r="DJ28">
        <f t="shared" si="49"/>
        <v>0.16481147887235265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1786028571.099999</v>
      </c>
      <c r="DQ28">
        <v>419.98770967741939</v>
      </c>
      <c r="DR28">
        <v>422.54316129032259</v>
      </c>
      <c r="DS28">
        <v>21.40677419354839</v>
      </c>
      <c r="DT28">
        <v>20.74350967741935</v>
      </c>
      <c r="DU28">
        <v>429.43803225806448</v>
      </c>
      <c r="DV28">
        <v>21.920706451612901</v>
      </c>
      <c r="DW28">
        <v>499.98290322580652</v>
      </c>
      <c r="DX28">
        <v>97.929567741935486</v>
      </c>
      <c r="DY28">
        <v>4.9171374193548389E-2</v>
      </c>
      <c r="DZ28">
        <v>25.260141935483869</v>
      </c>
      <c r="EA28">
        <v>24.996264516129042</v>
      </c>
      <c r="EB28">
        <v>999.90000000000032</v>
      </c>
      <c r="EC28">
        <v>0</v>
      </c>
      <c r="ED28">
        <v>0</v>
      </c>
      <c r="EE28">
        <v>9999.1935483870966</v>
      </c>
      <c r="EF28">
        <v>0</v>
      </c>
      <c r="EG28">
        <v>356.46893548387089</v>
      </c>
      <c r="EH28">
        <v>-2.5555209677419359</v>
      </c>
      <c r="EI28">
        <v>429.17474193548389</v>
      </c>
      <c r="EJ28">
        <v>431.49377419354829</v>
      </c>
      <c r="EK28">
        <v>0.66325677419354834</v>
      </c>
      <c r="EL28">
        <v>422.54316129032259</v>
      </c>
      <c r="EM28">
        <v>20.74350967741935</v>
      </c>
      <c r="EN28">
        <v>2.096355161290322</v>
      </c>
      <c r="EO28">
        <v>2.031402258064515</v>
      </c>
      <c r="EP28">
        <v>18.191509677419361</v>
      </c>
      <c r="EQ28">
        <v>17.691254838709678</v>
      </c>
      <c r="ER28">
        <v>49.982300000000002</v>
      </c>
      <c r="ES28">
        <v>0.89996009677419364</v>
      </c>
      <c r="ET28">
        <v>0.1000401387096774</v>
      </c>
      <c r="EU28">
        <v>0</v>
      </c>
      <c r="EV28">
        <v>734.49758064516152</v>
      </c>
      <c r="EW28">
        <v>5.0010700000000003</v>
      </c>
      <c r="EX28">
        <v>1668.502903225806</v>
      </c>
      <c r="EY28">
        <v>396.10325806451613</v>
      </c>
      <c r="EZ28">
        <v>34.497741935483873</v>
      </c>
      <c r="FA28">
        <v>38.152967741935477</v>
      </c>
      <c r="FB28">
        <v>36.673161290322582</v>
      </c>
      <c r="FC28">
        <v>38.140838709677404</v>
      </c>
      <c r="FD28">
        <v>36.924999999999997</v>
      </c>
      <c r="FE28">
        <v>40.481290322580662</v>
      </c>
      <c r="FF28">
        <v>4.4987096774193551</v>
      </c>
      <c r="FG28">
        <v>0</v>
      </c>
      <c r="FH28">
        <v>180.9000000953674</v>
      </c>
      <c r="FI28">
        <v>0</v>
      </c>
      <c r="FJ28">
        <v>734.74876470588242</v>
      </c>
      <c r="FK28">
        <v>3.8247548683556318</v>
      </c>
      <c r="FL28">
        <v>-1171.9460778735161</v>
      </c>
      <c r="FM28">
        <v>1626.311176470588</v>
      </c>
      <c r="FN28">
        <v>10</v>
      </c>
      <c r="FO28">
        <v>1786028498.5999999</v>
      </c>
      <c r="FP28" t="s">
        <v>618</v>
      </c>
      <c r="FQ28">
        <v>1786028498.5999999</v>
      </c>
      <c r="FR28">
        <v>1786028497.5999999</v>
      </c>
      <c r="FS28">
        <v>14</v>
      </c>
      <c r="FT28">
        <v>-3.5999999999999997E-2</v>
      </c>
      <c r="FU28">
        <v>-3.0000000000000001E-3</v>
      </c>
      <c r="FV28">
        <v>-9.4589999999999996</v>
      </c>
      <c r="FW28">
        <v>-0.53500000000000003</v>
      </c>
      <c r="FX28">
        <v>422</v>
      </c>
      <c r="FY28">
        <v>21</v>
      </c>
      <c r="FZ28">
        <v>1.84</v>
      </c>
      <c r="GA28">
        <v>0.31</v>
      </c>
      <c r="GB28">
        <v>419.99316129032258</v>
      </c>
      <c r="GC28">
        <v>0.1395967741930042</v>
      </c>
      <c r="GD28">
        <v>5.6010423439024577E-2</v>
      </c>
      <c r="GE28">
        <v>-1</v>
      </c>
      <c r="GF28">
        <v>734.30620588235297</v>
      </c>
      <c r="GG28">
        <v>3.6334148167257361</v>
      </c>
      <c r="GH28">
        <v>0.40625041389385658</v>
      </c>
      <c r="GI28">
        <v>1</v>
      </c>
      <c r="GJ28">
        <v>0.67787646341463415</v>
      </c>
      <c r="GK28">
        <v>-0.20459381184668771</v>
      </c>
      <c r="GL28">
        <v>2.4213903102725379E-2</v>
      </c>
      <c r="GM28">
        <v>1</v>
      </c>
      <c r="GN28">
        <v>2</v>
      </c>
      <c r="GO28">
        <v>2</v>
      </c>
      <c r="GP28" t="s">
        <v>411</v>
      </c>
      <c r="GQ28">
        <v>3.1317699999999999</v>
      </c>
      <c r="GR28">
        <v>2.7261099999999998</v>
      </c>
      <c r="GS28">
        <v>9.3295400000000001E-2</v>
      </c>
      <c r="GT28">
        <v>9.2831399999999994E-2</v>
      </c>
      <c r="GU28">
        <v>0.106324</v>
      </c>
      <c r="GV28">
        <v>0.10259699999999999</v>
      </c>
      <c r="GW28">
        <v>22895.9</v>
      </c>
      <c r="GX28">
        <v>30462.2</v>
      </c>
      <c r="GY28">
        <v>27368</v>
      </c>
      <c r="GZ28">
        <v>34494.400000000001</v>
      </c>
      <c r="HA28">
        <v>35749.800000000003</v>
      </c>
      <c r="HB28">
        <v>38985.9</v>
      </c>
      <c r="HC28">
        <v>40355.300000000003</v>
      </c>
      <c r="HD28">
        <v>43533.2</v>
      </c>
      <c r="HE28">
        <v>2.0186000000000002</v>
      </c>
      <c r="HF28">
        <v>1.9214</v>
      </c>
      <c r="HG28">
        <v>-1.9371499999999999E-3</v>
      </c>
      <c r="HH28">
        <v>0</v>
      </c>
      <c r="HI28">
        <v>25.008800000000001</v>
      </c>
      <c r="HJ28">
        <v>999.9</v>
      </c>
      <c r="HK28">
        <v>72.2</v>
      </c>
      <c r="HL28">
        <v>28.2</v>
      </c>
      <c r="HM28">
        <v>28.3066</v>
      </c>
      <c r="HN28">
        <v>60.7637</v>
      </c>
      <c r="HO28">
        <v>3.6257999999999999</v>
      </c>
      <c r="HP28">
        <v>1</v>
      </c>
      <c r="HQ28">
        <v>0.104715</v>
      </c>
      <c r="HR28">
        <v>1.1207</v>
      </c>
      <c r="HS28">
        <v>20.2849</v>
      </c>
      <c r="HT28">
        <v>5.2160900000000003</v>
      </c>
      <c r="HU28">
        <v>11.902100000000001</v>
      </c>
      <c r="HV28">
        <v>4.9855999999999998</v>
      </c>
      <c r="HW28">
        <v>3.2702</v>
      </c>
      <c r="HX28">
        <v>9999</v>
      </c>
      <c r="HY28">
        <v>9999</v>
      </c>
      <c r="HZ28">
        <v>9999</v>
      </c>
      <c r="IA28">
        <v>999.9</v>
      </c>
      <c r="IB28">
        <v>1.8667899999999999</v>
      </c>
      <c r="IC28">
        <v>1.8624000000000001</v>
      </c>
      <c r="ID28">
        <v>1.86185</v>
      </c>
      <c r="IE28">
        <v>1.8613599999999999</v>
      </c>
      <c r="IF28">
        <v>1.8614200000000001</v>
      </c>
      <c r="IG28">
        <v>1.86212</v>
      </c>
      <c r="IH28">
        <v>1.8629800000000001</v>
      </c>
      <c r="II28">
        <v>1.8609599999999999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-9.4510000000000005</v>
      </c>
      <c r="IX28">
        <v>-0.51359999999999995</v>
      </c>
      <c r="IY28">
        <v>-7.4497889282163712</v>
      </c>
      <c r="IZ28">
        <v>-5.6215304933332991E-3</v>
      </c>
      <c r="JA28">
        <v>2.3979931213773931E-6</v>
      </c>
      <c r="JB28">
        <v>-3.6297174575716598E-10</v>
      </c>
      <c r="JC28">
        <v>-0.84986584860041292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1.4</v>
      </c>
      <c r="JM28">
        <v>1.1047400000000001</v>
      </c>
      <c r="JN28">
        <v>2.47681</v>
      </c>
      <c r="JO28">
        <v>1.50024</v>
      </c>
      <c r="JP28">
        <v>2.2741699999999998</v>
      </c>
      <c r="JQ28">
        <v>1.4477500000000001</v>
      </c>
      <c r="JR28">
        <v>2.4475099999999999</v>
      </c>
      <c r="JS28">
        <v>33.738100000000003</v>
      </c>
      <c r="JT28">
        <v>15.734400000000001</v>
      </c>
      <c r="JU28">
        <v>18</v>
      </c>
      <c r="JV28">
        <v>533.32399999999996</v>
      </c>
      <c r="JW28">
        <v>487.411</v>
      </c>
      <c r="JX28">
        <v>23.7559</v>
      </c>
      <c r="JY28">
        <v>28.6144</v>
      </c>
      <c r="JZ28">
        <v>29.998999999999999</v>
      </c>
      <c r="KA28">
        <v>29.082999999999998</v>
      </c>
      <c r="KB28">
        <v>29.168900000000001</v>
      </c>
      <c r="KC28">
        <v>22.091799999999999</v>
      </c>
      <c r="KD28">
        <v>34.837800000000001</v>
      </c>
      <c r="KE28">
        <v>32.320500000000003</v>
      </c>
      <c r="KF28">
        <v>23.790700000000001</v>
      </c>
      <c r="KG28">
        <v>422.47399999999999</v>
      </c>
      <c r="KH28">
        <v>20.7896</v>
      </c>
      <c r="KI28">
        <v>100.91800000000001</v>
      </c>
      <c r="KJ28">
        <v>98.175399999999996</v>
      </c>
    </row>
    <row r="29" spans="1:296" x14ac:dyDescent="0.3">
      <c r="A29">
        <v>13</v>
      </c>
      <c r="B29">
        <v>1786028760.5999999</v>
      </c>
      <c r="C29">
        <v>2178.5</v>
      </c>
      <c r="D29" t="s">
        <v>619</v>
      </c>
      <c r="E29" t="s">
        <v>620</v>
      </c>
      <c r="F29">
        <v>15</v>
      </c>
      <c r="H29">
        <v>1786028752.599999</v>
      </c>
      <c r="I29">
        <f t="shared" si="0"/>
        <v>4.3016449770865442E-4</v>
      </c>
      <c r="J29">
        <f t="shared" si="1"/>
        <v>0.43016449770865445</v>
      </c>
      <c r="K29">
        <f t="shared" si="2"/>
        <v>-2.1832016218308357</v>
      </c>
      <c r="L29">
        <f t="shared" si="3"/>
        <v>420.10522580645159</v>
      </c>
      <c r="M29">
        <f t="shared" si="4"/>
        <v>503.64096145879057</v>
      </c>
      <c r="N29">
        <f t="shared" si="5"/>
        <v>49.348435489461828</v>
      </c>
      <c r="O29">
        <f t="shared" si="6"/>
        <v>41.163323122977935</v>
      </c>
      <c r="P29">
        <f t="shared" si="7"/>
        <v>3.8249592313264566E-2</v>
      </c>
      <c r="Q29">
        <f t="shared" si="8"/>
        <v>2.8907819665721908</v>
      </c>
      <c r="R29">
        <f t="shared" si="9"/>
        <v>3.7970638124064003E-2</v>
      </c>
      <c r="S29">
        <f t="shared" si="10"/>
        <v>2.3756542023672847E-2</v>
      </c>
      <c r="T29">
        <f t="shared" si="11"/>
        <v>1.5966703903835998E-4</v>
      </c>
      <c r="U29">
        <f t="shared" si="12"/>
        <v>25.138171243695922</v>
      </c>
      <c r="V29">
        <f t="shared" si="13"/>
        <v>25.00464516129033</v>
      </c>
      <c r="W29">
        <f t="shared" si="14"/>
        <v>3.180558277386861</v>
      </c>
      <c r="X29">
        <f t="shared" si="15"/>
        <v>65.075527029873228</v>
      </c>
      <c r="Y29">
        <f t="shared" si="16"/>
        <v>2.1004311220334682</v>
      </c>
      <c r="Z29">
        <f t="shared" si="17"/>
        <v>3.2276820763499239</v>
      </c>
      <c r="AA29">
        <f t="shared" si="18"/>
        <v>1.0801271553533929</v>
      </c>
      <c r="AB29">
        <f t="shared" si="19"/>
        <v>-18.970254348951659</v>
      </c>
      <c r="AC29">
        <f t="shared" si="20"/>
        <v>38.4833556642091</v>
      </c>
      <c r="AD29">
        <f t="shared" si="21"/>
        <v>2.8195360983027364</v>
      </c>
      <c r="AE29">
        <f t="shared" si="22"/>
        <v>22.332797080599214</v>
      </c>
      <c r="AF29">
        <f t="shared" si="23"/>
        <v>-2.1832016218308357</v>
      </c>
      <c r="AG29">
        <f t="shared" si="24"/>
        <v>0.43016449770865445</v>
      </c>
      <c r="AH29">
        <f t="shared" si="25"/>
        <v>-2.0846687981528391</v>
      </c>
      <c r="AI29">
        <v>426.73317030615902</v>
      </c>
      <c r="AJ29">
        <v>429.29344848484851</v>
      </c>
      <c r="AK29">
        <v>-9.0666846076830254E-4</v>
      </c>
      <c r="AL29">
        <v>67.054095928257411</v>
      </c>
      <c r="AM29">
        <f t="shared" si="26"/>
        <v>0.42762991856432125</v>
      </c>
      <c r="AN29">
        <v>20.93767252873938</v>
      </c>
      <c r="AO29">
        <v>21.43994787878788</v>
      </c>
      <c r="AP29">
        <v>-7.1579969731265669E-6</v>
      </c>
      <c r="AQ29">
        <v>78.094339201667722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52023.221062142904</v>
      </c>
      <c r="AW29" t="s">
        <v>520</v>
      </c>
      <c r="AX29">
        <v>13221.9</v>
      </c>
      <c r="AY29">
        <v>635.76176470588234</v>
      </c>
      <c r="AZ29">
        <v>2570.27</v>
      </c>
      <c r="BA29">
        <f t="shared" si="30"/>
        <v>0.75264786784817073</v>
      </c>
      <c r="BB29">
        <v>-2.1832016218308832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-2.1832016218308357</v>
      </c>
      <c r="BK29" t="e">
        <f t="shared" si="34"/>
        <v>#DIV/0!</v>
      </c>
      <c r="BL29">
        <f t="shared" si="35"/>
        <v>5.6544755201997057E-11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1.3286425733975864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1786028752.599999</v>
      </c>
      <c r="DQ29">
        <v>420.10522580645159</v>
      </c>
      <c r="DR29">
        <v>417.70187096774202</v>
      </c>
      <c r="DS29">
        <v>21.436609677419352</v>
      </c>
      <c r="DT29">
        <v>20.9314</v>
      </c>
      <c r="DU29">
        <v>429.54429032258071</v>
      </c>
      <c r="DV29">
        <v>21.949541935483872</v>
      </c>
      <c r="DW29">
        <v>499.92300000000012</v>
      </c>
      <c r="DX29">
        <v>97.934374193548408</v>
      </c>
      <c r="DY29">
        <v>4.8989483870967729E-2</v>
      </c>
      <c r="DZ29">
        <v>25.25157419354839</v>
      </c>
      <c r="EA29">
        <v>25.00464516129033</v>
      </c>
      <c r="EB29">
        <v>999.90000000000032</v>
      </c>
      <c r="EC29">
        <v>0</v>
      </c>
      <c r="ED29">
        <v>0</v>
      </c>
      <c r="EE29">
        <v>9986.9354838709678</v>
      </c>
      <c r="EF29">
        <v>0</v>
      </c>
      <c r="EG29">
        <v>297.06693548387102</v>
      </c>
      <c r="EH29">
        <v>2.403281935483871</v>
      </c>
      <c r="EI29">
        <v>429.30812903225808</v>
      </c>
      <c r="EJ29">
        <v>426.63190322580641</v>
      </c>
      <c r="EK29">
        <v>0.50521903225806453</v>
      </c>
      <c r="EL29">
        <v>417.70187096774202</v>
      </c>
      <c r="EM29">
        <v>20.9314</v>
      </c>
      <c r="EN29">
        <v>2.0993809677419351</v>
      </c>
      <c r="EO29">
        <v>2.049902903225806</v>
      </c>
      <c r="EP29">
        <v>18.21448387096774</v>
      </c>
      <c r="EQ29">
        <v>17.835141935483868</v>
      </c>
      <c r="ER29">
        <v>1.00021E-2</v>
      </c>
      <c r="ES29">
        <v>0</v>
      </c>
      <c r="ET29">
        <v>0</v>
      </c>
      <c r="EU29">
        <v>0</v>
      </c>
      <c r="EV29">
        <v>636.25967741935483</v>
      </c>
      <c r="EW29">
        <v>1.00021E-2</v>
      </c>
      <c r="EX29">
        <v>1097.1967741935489</v>
      </c>
      <c r="EY29">
        <v>1.09516129032258</v>
      </c>
      <c r="EZ29">
        <v>35.201290322580647</v>
      </c>
      <c r="FA29">
        <v>41.019838709677387</v>
      </c>
      <c r="FB29">
        <v>37.977548387096761</v>
      </c>
      <c r="FC29">
        <v>41.769903225806452</v>
      </c>
      <c r="FD29">
        <v>38.158999999999978</v>
      </c>
      <c r="FE29">
        <v>0</v>
      </c>
      <c r="FF29">
        <v>0</v>
      </c>
      <c r="FG29">
        <v>0</v>
      </c>
      <c r="FH29">
        <v>180.79999995231631</v>
      </c>
      <c r="FI29">
        <v>0</v>
      </c>
      <c r="FJ29">
        <v>635.76176470588234</v>
      </c>
      <c r="FK29">
        <v>37.328432231462749</v>
      </c>
      <c r="FL29">
        <v>-299.74264855901748</v>
      </c>
      <c r="FM29">
        <v>1083.9852941176471</v>
      </c>
      <c r="FN29">
        <v>10</v>
      </c>
      <c r="FO29">
        <v>1786028713.0999999</v>
      </c>
      <c r="FP29" t="s">
        <v>621</v>
      </c>
      <c r="FQ29">
        <v>1786028710.5999999</v>
      </c>
      <c r="FR29">
        <v>1786028713.0999999</v>
      </c>
      <c r="FS29">
        <v>15</v>
      </c>
      <c r="FT29">
        <v>1.2E-2</v>
      </c>
      <c r="FU29">
        <v>0</v>
      </c>
      <c r="FV29">
        <v>-9.4320000000000004</v>
      </c>
      <c r="FW29">
        <v>-0.52900000000000003</v>
      </c>
      <c r="FX29">
        <v>418</v>
      </c>
      <c r="FY29">
        <v>21</v>
      </c>
      <c r="FZ29">
        <v>1.37</v>
      </c>
      <c r="GA29">
        <v>0.57999999999999996</v>
      </c>
      <c r="GB29">
        <v>420.10541935483872</v>
      </c>
      <c r="GC29">
        <v>-0.21309677419438841</v>
      </c>
      <c r="GD29">
        <v>5.2709045678685562E-2</v>
      </c>
      <c r="GE29">
        <v>-1</v>
      </c>
      <c r="GF29">
        <v>635.89852941176468</v>
      </c>
      <c r="GG29">
        <v>-0.52024431833485574</v>
      </c>
      <c r="GH29">
        <v>4.6566758734435583</v>
      </c>
      <c r="GI29">
        <v>1</v>
      </c>
      <c r="GJ29">
        <v>0.50835131707317072</v>
      </c>
      <c r="GK29">
        <v>-6.2567414634144461E-2</v>
      </c>
      <c r="GL29">
        <v>6.7740117214176452E-3</v>
      </c>
      <c r="GM29">
        <v>1</v>
      </c>
      <c r="GN29">
        <v>2</v>
      </c>
      <c r="GO29">
        <v>2</v>
      </c>
      <c r="GP29" t="s">
        <v>411</v>
      </c>
      <c r="GQ29">
        <v>3.1308600000000002</v>
      </c>
      <c r="GR29">
        <v>2.72587</v>
      </c>
      <c r="GS29">
        <v>9.3313400000000005E-2</v>
      </c>
      <c r="GT29">
        <v>9.2038300000000003E-2</v>
      </c>
      <c r="GU29">
        <v>0.106396</v>
      </c>
      <c r="GV29">
        <v>0.103256</v>
      </c>
      <c r="GW29">
        <v>22896.5</v>
      </c>
      <c r="GX29">
        <v>30491.5</v>
      </c>
      <c r="GY29">
        <v>27369.1</v>
      </c>
      <c r="GZ29">
        <v>34497.199999999997</v>
      </c>
      <c r="HA29">
        <v>35749.1</v>
      </c>
      <c r="HB29">
        <v>38961.4</v>
      </c>
      <c r="HC29">
        <v>40358</v>
      </c>
      <c r="HD29">
        <v>43538.1</v>
      </c>
      <c r="HE29">
        <v>2.0175999999999998</v>
      </c>
      <c r="HF29">
        <v>1.9214</v>
      </c>
      <c r="HG29">
        <v>2.2351699999999999E-3</v>
      </c>
      <c r="HH29">
        <v>0</v>
      </c>
      <c r="HI29">
        <v>24.966699999999999</v>
      </c>
      <c r="HJ29">
        <v>999.9</v>
      </c>
      <c r="HK29">
        <v>71.599999999999994</v>
      </c>
      <c r="HL29">
        <v>28.5</v>
      </c>
      <c r="HM29">
        <v>28.564</v>
      </c>
      <c r="HN29">
        <v>60.903700000000001</v>
      </c>
      <c r="HO29">
        <v>3.6859000000000002</v>
      </c>
      <c r="HP29">
        <v>1</v>
      </c>
      <c r="HQ29">
        <v>0.103252</v>
      </c>
      <c r="HR29">
        <v>1.4019600000000001</v>
      </c>
      <c r="HS29">
        <v>20.285</v>
      </c>
      <c r="HT29">
        <v>5.2148899999999996</v>
      </c>
      <c r="HU29">
        <v>11.902100000000001</v>
      </c>
      <c r="HV29">
        <v>4.9855999999999998</v>
      </c>
      <c r="HW29">
        <v>3.2706</v>
      </c>
      <c r="HX29">
        <v>9999</v>
      </c>
      <c r="HY29">
        <v>9999</v>
      </c>
      <c r="HZ29">
        <v>9999</v>
      </c>
      <c r="IA29">
        <v>999.9</v>
      </c>
      <c r="IB29">
        <v>1.8668800000000001</v>
      </c>
      <c r="IC29">
        <v>1.86243</v>
      </c>
      <c r="ID29">
        <v>1.86188</v>
      </c>
      <c r="IE29">
        <v>1.8613599999999999</v>
      </c>
      <c r="IF29">
        <v>1.8614200000000001</v>
      </c>
      <c r="IG29">
        <v>1.86209</v>
      </c>
      <c r="IH29">
        <v>1.86304</v>
      </c>
      <c r="II29">
        <v>1.8609599999999999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-9.4390000000000001</v>
      </c>
      <c r="IX29">
        <v>-0.51290000000000002</v>
      </c>
      <c r="IY29">
        <v>-7.4380839605254252</v>
      </c>
      <c r="IZ29">
        <v>-5.6215304933332991E-3</v>
      </c>
      <c r="JA29">
        <v>2.3979931213773931E-6</v>
      </c>
      <c r="JB29">
        <v>-3.6297174575716598E-10</v>
      </c>
      <c r="JC29">
        <v>-0.84961034994069751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0.8</v>
      </c>
      <c r="JL29">
        <v>0.8</v>
      </c>
      <c r="JM29">
        <v>1.09497</v>
      </c>
      <c r="JN29">
        <v>2.48047</v>
      </c>
      <c r="JO29">
        <v>1.50024</v>
      </c>
      <c r="JP29">
        <v>2.2741699999999998</v>
      </c>
      <c r="JQ29">
        <v>1.4477500000000001</v>
      </c>
      <c r="JR29">
        <v>2.4365199999999998</v>
      </c>
      <c r="JS29">
        <v>33.850900000000003</v>
      </c>
      <c r="JT29">
        <v>15.7081</v>
      </c>
      <c r="JU29">
        <v>18</v>
      </c>
      <c r="JV29">
        <v>532.57600000000002</v>
      </c>
      <c r="JW29">
        <v>487.37</v>
      </c>
      <c r="JX29">
        <v>23.820599999999999</v>
      </c>
      <c r="JY29">
        <v>28.5777</v>
      </c>
      <c r="JZ29">
        <v>30.0001</v>
      </c>
      <c r="KA29">
        <v>29.070799999999998</v>
      </c>
      <c r="KB29">
        <v>29.164000000000001</v>
      </c>
      <c r="KC29">
        <v>21.894100000000002</v>
      </c>
      <c r="KD29">
        <v>35.069699999999997</v>
      </c>
      <c r="KE29">
        <v>28.196200000000001</v>
      </c>
      <c r="KF29">
        <v>23.820599999999999</v>
      </c>
      <c r="KG29">
        <v>417.59699999999998</v>
      </c>
      <c r="KH29">
        <v>20.8811</v>
      </c>
      <c r="KI29">
        <v>100.92400000000001</v>
      </c>
      <c r="KJ29">
        <v>98.185000000000002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B110-1424-4EB4-BAAF-8C86128CAAC8}">
  <dimension ref="A2:KJ29"/>
  <sheetViews>
    <sheetView topLeftCell="A12" workbookViewId="0">
      <selection activeCell="F21" sqref="F21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1785954049.5</v>
      </c>
      <c r="C17">
        <v>0</v>
      </c>
      <c r="D17" t="s">
        <v>622</v>
      </c>
      <c r="E17" t="s">
        <v>623</v>
      </c>
      <c r="F17">
        <v>15</v>
      </c>
      <c r="H17">
        <v>1785954041.75</v>
      </c>
      <c r="I17">
        <f t="shared" ref="I17:I29" si="0">(J17)/1000</f>
        <v>1.9734742813539798E-3</v>
      </c>
      <c r="J17">
        <f t="shared" ref="J17:J29" si="1">IF(DO17, AM17, AG17)</f>
        <v>1.9734742813539798</v>
      </c>
      <c r="K17">
        <f t="shared" ref="K17:K29" si="2">IF(DO17, AH17, AF17)</f>
        <v>28.298644315933675</v>
      </c>
      <c r="L17">
        <f t="shared" ref="L17:L29" si="3">DQ17 - IF(AT17&gt;1, K17*DK17*100/(AV17), 0)</f>
        <v>419.55453333333332</v>
      </c>
      <c r="M17">
        <f t="shared" ref="M17:M29" si="4">((S17-I17/2)*L17-K17)/(S17+I17/2)</f>
        <v>152.62978262752003</v>
      </c>
      <c r="N17">
        <f t="shared" ref="N17:N29" si="5">M17*(DX17+DY17)/1000</f>
        <v>14.937730689861246</v>
      </c>
      <c r="O17">
        <f t="shared" ref="O17:O29" si="6">(DQ17 - IF(AT17&gt;1, K17*DK17*100/(AV17), 0))*(DX17+DY17)/1000</f>
        <v>41.061400473446888</v>
      </c>
      <c r="P17">
        <f t="shared" ref="P17:P29" si="7">2/((1/R17-1/Q17)+SIGN(R17)*SQRT((1/R17-1/Q17)*(1/R17-1/Q17) + 4*DL17/((DL17+1)*(DL17+1))*(2*1/R17*1/Q17-1/Q17*1/Q17)))</f>
        <v>0.17807291421807278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2.8891915869812568</v>
      </c>
      <c r="R17">
        <f t="shared" ref="R17:R29" si="9">I17*(1000-(1000*0.61365*EXP(17.502*V17/(240.97+V17))/(DX17+DY17)+DS17)/2)/(1000*0.61365*EXP(17.502*V17/(240.97+V17))/(DX17+DY17)-DS17)</f>
        <v>0.17219255441867129</v>
      </c>
      <c r="S17">
        <f t="shared" ref="S17:S29" si="10">1/((DL17+1)/(P17/1.6)+1/(Q17/1.37)) + DL17/((DL17+1)/(P17/1.6) + DL17/(Q17/1.37))</f>
        <v>0.10813249710071376</v>
      </c>
      <c r="T17">
        <f t="shared" ref="T17:T29" si="11">(DG17*DJ17)</f>
        <v>319.78199749116902</v>
      </c>
      <c r="U17">
        <f t="shared" ref="U17:U29" si="12">(DZ17+(T17+2*0.95*0.0000000567*(((DZ17+$B$7)+273)^4-(DZ17+273)^4)-44100*I17)/(1.84*29.3*Q17+8*0.95*0.0000000567*(DZ17+273)^3))</f>
        <v>26.448374036895729</v>
      </c>
      <c r="V17">
        <f t="shared" ref="V17:V29" si="13">($C$7*EA17+$D$7*EB17+$E$7*U17)</f>
        <v>24.978606666666671</v>
      </c>
      <c r="W17">
        <f t="shared" ref="W17:W29" si="14">0.61365*EXP(17.502*V17/(240.97+V17))</f>
        <v>3.175624326131028</v>
      </c>
      <c r="X17">
        <f t="shared" ref="X17:X29" si="15">(Y17/Z17*100)</f>
        <v>65.325676481808756</v>
      </c>
      <c r="Y17">
        <f t="shared" ref="Y17:Y29" si="16">DS17*(DX17+DY17)/1000</f>
        <v>2.0841016872227578</v>
      </c>
      <c r="Z17">
        <f t="shared" ref="Z17:Z29" si="17">0.61365*EXP(17.502*DZ17/(240.97+DZ17))</f>
        <v>3.19032545771358</v>
      </c>
      <c r="AA17">
        <f t="shared" ref="AA17:AA29" si="18">(W17-DS17*(DX17+DY17)/1000)</f>
        <v>1.0915226389082702</v>
      </c>
      <c r="AB17">
        <f t="shared" ref="AB17:AB29" si="19">(-I17*44100)</f>
        <v>-87.030215807710505</v>
      </c>
      <c r="AC17">
        <f t="shared" ref="AC17:AC29" si="20">2*29.3*Q17*0.92*(DZ17-V17)</f>
        <v>12.068447262954594</v>
      </c>
      <c r="AD17">
        <f t="shared" ref="AD17:AD29" si="21">2*0.95*0.0000000567*(((DZ17+$B$7)+273)^4-(V17+273)^4)</f>
        <v>0.88371230410452462</v>
      </c>
      <c r="AE17">
        <f t="shared" ref="AE17:AE29" si="22">T17+AD17+AB17+AC17</f>
        <v>245.70394125051763</v>
      </c>
      <c r="AF17">
        <f t="shared" ref="AF17:AF29" si="23">DW17*AT17*(DR17-DQ17*(1000-AT17*DT17)/(1000-AT17*DS17))/(100*DK17)</f>
        <v>28.298644315933675</v>
      </c>
      <c r="AG17">
        <f t="shared" ref="AG17:AG29" si="24">1000*DW17*AT17*(DS17-DT17)/(100*DK17*(1000-AT17*DS17))</f>
        <v>1.9734742813539798</v>
      </c>
      <c r="AH17">
        <f t="shared" ref="AH17:AH29" si="25">(AI17 - AJ17 - DX17*1000/(8.314*(DZ17+273.15)) * AL17/DW17 * AK17) * DW17/(100*DK17) * (1000 - DT17)/1000</f>
        <v>28.358730034271751</v>
      </c>
      <c r="AI17">
        <v>463.480982622375</v>
      </c>
      <c r="AJ17">
        <v>428.7743696969697</v>
      </c>
      <c r="AK17">
        <v>3.049694256734437E-3</v>
      </c>
      <c r="AL17">
        <v>67.08829613193673</v>
      </c>
      <c r="AM17">
        <f t="shared" ref="AM17:AM29" si="26">(AO17 - AN17 + DX17*1000/(8.314*(DZ17+273.15)) * AQ17/DW17 * AP17) * DW17/(100*DK17) * 1000/(1000 - AO17)</f>
        <v>1.9687250204574709</v>
      </c>
      <c r="AN17">
        <v>18.97411512086137</v>
      </c>
      <c r="AO17">
        <v>21.286655151515149</v>
      </c>
      <c r="AP17">
        <v>-3.9759852440528277E-5</v>
      </c>
      <c r="AQ17">
        <v>78.238360440941676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52009.270770299052</v>
      </c>
      <c r="AW17" t="s">
        <v>624</v>
      </c>
      <c r="AX17">
        <v>13234.2</v>
      </c>
      <c r="AY17">
        <v>688.18235294117653</v>
      </c>
      <c r="AZ17">
        <v>2345.1</v>
      </c>
      <c r="BA17">
        <f t="shared" ref="BA17:BA29" si="30">1-AY17/AZ17</f>
        <v>0.70654455974535135</v>
      </c>
      <c r="BB17">
        <v>-2.4516348080741319</v>
      </c>
      <c r="BC17" t="s">
        <v>625</v>
      </c>
      <c r="BD17">
        <v>13214.4</v>
      </c>
      <c r="BE17">
        <v>1024.314117647059</v>
      </c>
      <c r="BF17">
        <v>1212.53</v>
      </c>
      <c r="BG17">
        <f t="shared" ref="BG17:BG29" si="31">1-BE17/BF17</f>
        <v>0.1552257530559582</v>
      </c>
      <c r="BH17">
        <v>0.5</v>
      </c>
      <c r="BI17">
        <f t="shared" ref="BI17:BI29" si="32">DH17</f>
        <v>1680.324019839984</v>
      </c>
      <c r="BJ17">
        <f t="shared" ref="BJ17:BJ29" si="33">K17</f>
        <v>28.298644315933675</v>
      </c>
      <c r="BK17">
        <f t="shared" ref="BK17:BK29" si="34">BG17*BH17*BI17</f>
        <v>130.41478067883818</v>
      </c>
      <c r="BL17">
        <f t="shared" ref="BL17:BL29" si="35">(BJ17-BB17)/BI17</f>
        <v>1.8300208031862886E-2</v>
      </c>
      <c r="BM17">
        <f t="shared" ref="BM17:BM29" si="36">(AZ17-BF17)/BF17</f>
        <v>0.93405523987035366</v>
      </c>
      <c r="BN17">
        <f t="shared" ref="BN17:BN29" si="37">AY17/(BA17+AY17/BF17)</f>
        <v>540.1306121869352</v>
      </c>
      <c r="BO17" t="s">
        <v>408</v>
      </c>
      <c r="BP17">
        <v>0</v>
      </c>
      <c r="BQ17">
        <f t="shared" ref="BQ17:BQ29" si="38">IF(BP17&lt;&gt;0, BP17, BN17)</f>
        <v>540.1306121869352</v>
      </c>
      <c r="BR17">
        <f t="shared" ref="BR17:BR29" si="39">1-BQ17/BF17</f>
        <v>0.5545424754959174</v>
      </c>
      <c r="BS17">
        <f t="shared" ref="BS17:BS29" si="40">(BF17-BE17)/(BF17-BQ17)</f>
        <v>0.2799167961248461</v>
      </c>
      <c r="BT17">
        <f t="shared" ref="BT17:BT29" si="41">(AZ17-BF17)/(AZ17-BQ17)</f>
        <v>0.62747324561124185</v>
      </c>
      <c r="BU17">
        <f t="shared" ref="BU17:BU29" si="42">(BF17-BE17)/(BF17-AY17)</f>
        <v>0.35895246866975289</v>
      </c>
      <c r="BV17">
        <f t="shared" ref="BV17:BV29" si="43">(AZ17-BF17)/(AZ17-AY17)</f>
        <v>0.68354030872349791</v>
      </c>
      <c r="BW17">
        <f t="shared" ref="BW17:BW29" si="44">(BS17*BQ17/BE17)</f>
        <v>0.14760279864112325</v>
      </c>
      <c r="BX17">
        <f t="shared" ref="BX17:BX29" si="45">(1-BW17)</f>
        <v>0.85239720135887675</v>
      </c>
      <c r="DG17">
        <f t="shared" ref="DG17:DG29" si="46">$B$11*EF17+$C$11*EG17+$F$11*ER17*(1-EU17)</f>
        <v>2000.029666666667</v>
      </c>
      <c r="DH17">
        <f t="shared" ref="DH17:DH29" si="47">DG17*DI17</f>
        <v>1680.324019839984</v>
      </c>
      <c r="DI17">
        <f t="shared" ref="DI17:DI29" si="48">($B$11*$D$9+$C$11*$D$9+$F$11*((FE17+EW17)/MAX(FE17+EW17+FF17, 0.1)*$I$9+FF17/MAX(FE17+EW17+FF17, 0.1)*$J$9))/($B$11+$C$11+$F$11)</f>
        <v>0.84014954770170092</v>
      </c>
      <c r="DJ17">
        <f t="shared" ref="DJ17:DJ29" si="49">($B$11*$K$9+$C$11*$K$9+$F$11*((FE17+EW17)/MAX(FE17+EW17+FF17, 0.1)*$P$9+FF17/MAX(FE17+EW17+FF17, 0.1)*$Q$9))/($B$11+$C$11+$F$11)</f>
        <v>0.15988862706428303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1785954041.75</v>
      </c>
      <c r="DQ17">
        <v>419.55453333333332</v>
      </c>
      <c r="DR17">
        <v>454.50819999999987</v>
      </c>
      <c r="DS17">
        <v>21.294799999999999</v>
      </c>
      <c r="DT17">
        <v>18.97694666666667</v>
      </c>
      <c r="DU17">
        <v>430.72576666666657</v>
      </c>
      <c r="DV17">
        <v>21.85023666666666</v>
      </c>
      <c r="DW17">
        <v>499.97543333333329</v>
      </c>
      <c r="DX17">
        <v>97.819840000000028</v>
      </c>
      <c r="DY17">
        <v>4.9202546666666673E-2</v>
      </c>
      <c r="DZ17">
        <v>25.056086666666658</v>
      </c>
      <c r="EA17">
        <v>24.978606666666671</v>
      </c>
      <c r="EB17">
        <v>999.9000000000002</v>
      </c>
      <c r="EC17">
        <v>0</v>
      </c>
      <c r="ED17">
        <v>0</v>
      </c>
      <c r="EE17">
        <v>9989.5</v>
      </c>
      <c r="EF17">
        <v>0</v>
      </c>
      <c r="EG17">
        <v>61.041923333333337</v>
      </c>
      <c r="EH17">
        <v>-34.953819999999993</v>
      </c>
      <c r="EI17">
        <v>428.68316666666658</v>
      </c>
      <c r="EJ17">
        <v>463.30040000000002</v>
      </c>
      <c r="EK17">
        <v>2.3178420000000002</v>
      </c>
      <c r="EL17">
        <v>454.50819999999987</v>
      </c>
      <c r="EM17">
        <v>18.97694666666667</v>
      </c>
      <c r="EN17">
        <v>2.0830526666666662</v>
      </c>
      <c r="EO17">
        <v>1.856322</v>
      </c>
      <c r="EP17">
        <v>18.090183333333339</v>
      </c>
      <c r="EQ17">
        <v>16.269306666666662</v>
      </c>
      <c r="ER17">
        <v>2000.029666666667</v>
      </c>
      <c r="ES17">
        <v>0.99500300000000008</v>
      </c>
      <c r="ET17">
        <v>4.9970486666666668E-3</v>
      </c>
      <c r="EU17">
        <v>0</v>
      </c>
      <c r="EV17">
        <v>1023.986333333334</v>
      </c>
      <c r="EW17">
        <v>5.0010700000000003</v>
      </c>
      <c r="EX17">
        <v>21678.26666666667</v>
      </c>
      <c r="EY17">
        <v>18241.92666666667</v>
      </c>
      <c r="EZ17">
        <v>37.561999999999991</v>
      </c>
      <c r="FA17">
        <v>38.508266666666671</v>
      </c>
      <c r="FB17">
        <v>38.066199999999988</v>
      </c>
      <c r="FC17">
        <v>38.057866666666662</v>
      </c>
      <c r="FD17">
        <v>38.82459999999999</v>
      </c>
      <c r="FE17">
        <v>1985.059666666667</v>
      </c>
      <c r="FF17">
        <v>9.9700000000000042</v>
      </c>
      <c r="FG17">
        <v>0</v>
      </c>
      <c r="FH17">
        <v>1232.599999904633</v>
      </c>
      <c r="FI17">
        <v>0</v>
      </c>
      <c r="FJ17">
        <v>1024.314117647059</v>
      </c>
      <c r="FK17">
        <v>7.9534313510300763</v>
      </c>
      <c r="FL17">
        <v>100.4656868657847</v>
      </c>
      <c r="FM17">
        <v>21683.370588235299</v>
      </c>
      <c r="FN17">
        <v>10</v>
      </c>
      <c r="FO17">
        <v>1785953993.5</v>
      </c>
      <c r="FP17" t="s">
        <v>626</v>
      </c>
      <c r="FQ17">
        <v>1785953993.5</v>
      </c>
      <c r="FR17">
        <v>1785953993</v>
      </c>
      <c r="FS17">
        <v>48</v>
      </c>
      <c r="FT17">
        <v>-5.5E-2</v>
      </c>
      <c r="FU17">
        <v>0</v>
      </c>
      <c r="FV17">
        <v>-11.295</v>
      </c>
      <c r="FW17">
        <v>-0.60799999999999998</v>
      </c>
      <c r="FX17">
        <v>453</v>
      </c>
      <c r="FY17">
        <v>19</v>
      </c>
      <c r="FZ17">
        <v>0.23</v>
      </c>
      <c r="GA17">
        <v>0.12</v>
      </c>
      <c r="GB17">
        <v>419.54316129032259</v>
      </c>
      <c r="GC17">
        <v>0.74762903225768373</v>
      </c>
      <c r="GD17">
        <v>8.5804389982515966E-2</v>
      </c>
      <c r="GE17">
        <v>-1</v>
      </c>
      <c r="GF17">
        <v>1023.535</v>
      </c>
      <c r="GG17">
        <v>7.4103896062806491</v>
      </c>
      <c r="GH17">
        <v>0.76162847975666759</v>
      </c>
      <c r="GI17">
        <v>1</v>
      </c>
      <c r="GJ17">
        <v>2.3256107317073171</v>
      </c>
      <c r="GK17">
        <v>-0.11235010452961031</v>
      </c>
      <c r="GL17">
        <v>1.1984132271210641E-2</v>
      </c>
      <c r="GM17">
        <v>1</v>
      </c>
      <c r="GN17">
        <v>2</v>
      </c>
      <c r="GO17">
        <v>2</v>
      </c>
      <c r="GP17" t="s">
        <v>411</v>
      </c>
      <c r="GQ17">
        <v>3.1301899999999998</v>
      </c>
      <c r="GR17">
        <v>2.72533</v>
      </c>
      <c r="GS17">
        <v>9.375E-2</v>
      </c>
      <c r="GT17">
        <v>9.8375000000000004E-2</v>
      </c>
      <c r="GU17">
        <v>0.106266</v>
      </c>
      <c r="GV17">
        <v>9.6472500000000003E-2</v>
      </c>
      <c r="GW17">
        <v>22911.9</v>
      </c>
      <c r="GX17">
        <v>30348.9</v>
      </c>
      <c r="GY17">
        <v>27396</v>
      </c>
      <c r="GZ17">
        <v>34570.5</v>
      </c>
      <c r="HA17">
        <v>35821</v>
      </c>
      <c r="HB17">
        <v>39313.800000000003</v>
      </c>
      <c r="HC17">
        <v>40437.599999999999</v>
      </c>
      <c r="HD17">
        <v>43601</v>
      </c>
      <c r="HE17">
        <v>2.0318000000000001</v>
      </c>
      <c r="HF17">
        <v>1.9101999999999999</v>
      </c>
      <c r="HG17">
        <v>4.1127200000000003E-2</v>
      </c>
      <c r="HH17">
        <v>0</v>
      </c>
      <c r="HI17">
        <v>24.305199999999999</v>
      </c>
      <c r="HJ17">
        <v>999.9</v>
      </c>
      <c r="HK17">
        <v>60.4</v>
      </c>
      <c r="HL17">
        <v>31.5</v>
      </c>
      <c r="HM17">
        <v>28.661799999999999</v>
      </c>
      <c r="HN17">
        <v>60.440600000000003</v>
      </c>
      <c r="HO17">
        <v>4.4471100000000003</v>
      </c>
      <c r="HP17">
        <v>1</v>
      </c>
      <c r="HQ17">
        <v>0.03</v>
      </c>
      <c r="HR17">
        <v>1.5873600000000001</v>
      </c>
      <c r="HS17">
        <v>20.233599999999999</v>
      </c>
      <c r="HT17">
        <v>5.2112999999999996</v>
      </c>
      <c r="HU17">
        <v>11.902100000000001</v>
      </c>
      <c r="HV17">
        <v>4.9855999999999998</v>
      </c>
      <c r="HW17">
        <v>3.2704</v>
      </c>
      <c r="HX17">
        <v>9999</v>
      </c>
      <c r="HY17">
        <v>9999</v>
      </c>
      <c r="HZ17">
        <v>9999</v>
      </c>
      <c r="IA17">
        <v>999.9</v>
      </c>
      <c r="IB17">
        <v>1.86707</v>
      </c>
      <c r="IC17">
        <v>1.8626400000000001</v>
      </c>
      <c r="ID17">
        <v>1.8621799999999999</v>
      </c>
      <c r="IE17">
        <v>1.8615999999999999</v>
      </c>
      <c r="IF17">
        <v>1.86172</v>
      </c>
      <c r="IG17">
        <v>1.8623700000000001</v>
      </c>
      <c r="IH17">
        <v>1.8632500000000001</v>
      </c>
      <c r="II17">
        <v>1.86127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-11.172000000000001</v>
      </c>
      <c r="IX17">
        <v>-0.55559999999999998</v>
      </c>
      <c r="IY17">
        <v>-9.1657357883308865</v>
      </c>
      <c r="IZ17">
        <v>-5.6215304933332991E-3</v>
      </c>
      <c r="JA17">
        <v>2.3979931213773931E-6</v>
      </c>
      <c r="JB17">
        <v>-3.6297174575716598E-10</v>
      </c>
      <c r="JC17">
        <v>-0.88951138371691241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0.9</v>
      </c>
      <c r="JL17">
        <v>0.9</v>
      </c>
      <c r="JM17">
        <v>1.1731</v>
      </c>
      <c r="JN17">
        <v>2.50244</v>
      </c>
      <c r="JO17">
        <v>1.50024</v>
      </c>
      <c r="JP17">
        <v>2.2766099999999998</v>
      </c>
      <c r="JQ17">
        <v>1.4477500000000001</v>
      </c>
      <c r="JR17">
        <v>2.3120099999999999</v>
      </c>
      <c r="JS17">
        <v>35.6845</v>
      </c>
      <c r="JT17">
        <v>24.07</v>
      </c>
      <c r="JU17">
        <v>18</v>
      </c>
      <c r="JV17">
        <v>532.77300000000002</v>
      </c>
      <c r="JW17">
        <v>471.68</v>
      </c>
      <c r="JX17">
        <v>22.456099999999999</v>
      </c>
      <c r="JY17">
        <v>27.587700000000002</v>
      </c>
      <c r="JZ17">
        <v>30</v>
      </c>
      <c r="KA17">
        <v>27.599299999999999</v>
      </c>
      <c r="KB17">
        <v>27.6068</v>
      </c>
      <c r="KC17">
        <v>23.4604</v>
      </c>
      <c r="KD17">
        <v>39.266399999999997</v>
      </c>
      <c r="KE17">
        <v>0</v>
      </c>
      <c r="KF17">
        <v>22.4664</v>
      </c>
      <c r="KG17">
        <v>454.798</v>
      </c>
      <c r="KH17">
        <v>18.9345</v>
      </c>
      <c r="KI17">
        <v>101.08199999999999</v>
      </c>
      <c r="KJ17">
        <v>98.356300000000005</v>
      </c>
    </row>
    <row r="18" spans="1:296" x14ac:dyDescent="0.3">
      <c r="A18">
        <v>2</v>
      </c>
      <c r="B18">
        <v>1785954231</v>
      </c>
      <c r="C18">
        <v>181.5</v>
      </c>
      <c r="D18" t="s">
        <v>627</v>
      </c>
      <c r="E18" t="s">
        <v>628</v>
      </c>
      <c r="F18">
        <v>15</v>
      </c>
      <c r="H18">
        <v>1785954223.25</v>
      </c>
      <c r="I18">
        <f t="shared" si="0"/>
        <v>2.0602972017333492E-3</v>
      </c>
      <c r="J18">
        <f t="shared" si="1"/>
        <v>2.0602972017333494</v>
      </c>
      <c r="K18">
        <f t="shared" si="2"/>
        <v>29.723931742598548</v>
      </c>
      <c r="L18">
        <f t="shared" si="3"/>
        <v>419.8139666666666</v>
      </c>
      <c r="M18">
        <f t="shared" si="4"/>
        <v>150.54170290460942</v>
      </c>
      <c r="N18">
        <f t="shared" si="5"/>
        <v>14.733404973092567</v>
      </c>
      <c r="O18">
        <f t="shared" si="6"/>
        <v>41.086882006241716</v>
      </c>
      <c r="P18">
        <f t="shared" si="7"/>
        <v>0.18559610268886317</v>
      </c>
      <c r="Q18">
        <f t="shared" si="8"/>
        <v>2.8910571959027136</v>
      </c>
      <c r="R18">
        <f t="shared" si="9"/>
        <v>0.17922192197858811</v>
      </c>
      <c r="S18">
        <f t="shared" si="10"/>
        <v>0.11256815839149537</v>
      </c>
      <c r="T18">
        <f t="shared" si="11"/>
        <v>271.91505462865359</v>
      </c>
      <c r="U18">
        <f t="shared" si="12"/>
        <v>26.22140083100965</v>
      </c>
      <c r="V18">
        <f t="shared" si="13"/>
        <v>25.000640000000001</v>
      </c>
      <c r="W18">
        <f t="shared" si="14"/>
        <v>3.179798916473207</v>
      </c>
      <c r="X18">
        <f t="shared" si="15"/>
        <v>65.030815763489812</v>
      </c>
      <c r="Y18">
        <f t="shared" si="16"/>
        <v>2.0849760366983467</v>
      </c>
      <c r="Z18">
        <f t="shared" si="17"/>
        <v>3.206135448586688</v>
      </c>
      <c r="AA18">
        <f t="shared" si="18"/>
        <v>1.0948228797748603</v>
      </c>
      <c r="AB18">
        <f t="shared" si="19"/>
        <v>-90.859106596440697</v>
      </c>
      <c r="AC18">
        <f t="shared" si="20"/>
        <v>21.575031091260151</v>
      </c>
      <c r="AD18">
        <f t="shared" si="21"/>
        <v>1.5796473094394052</v>
      </c>
      <c r="AE18">
        <f t="shared" si="22"/>
        <v>204.21062643291242</v>
      </c>
      <c r="AF18">
        <f t="shared" si="23"/>
        <v>29.723931742598548</v>
      </c>
      <c r="AG18">
        <f t="shared" si="24"/>
        <v>2.0602972017333494</v>
      </c>
      <c r="AH18">
        <f t="shared" si="25"/>
        <v>29.342262214507169</v>
      </c>
      <c r="AI18">
        <v>465.25219704749833</v>
      </c>
      <c r="AJ18">
        <v>429.06844242424239</v>
      </c>
      <c r="AK18">
        <v>5.6968102486371019E-2</v>
      </c>
      <c r="AL18">
        <v>67.073410694273434</v>
      </c>
      <c r="AM18">
        <f t="shared" si="26"/>
        <v>2.0640715199232647</v>
      </c>
      <c r="AN18">
        <v>18.876868437043459</v>
      </c>
      <c r="AO18">
        <v>21.302047878787882</v>
      </c>
      <c r="AP18">
        <v>-2.3780442374903401E-4</v>
      </c>
      <c r="AQ18">
        <v>78.199728346057185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52048.273428547538</v>
      </c>
      <c r="AW18" t="s">
        <v>624</v>
      </c>
      <c r="AX18">
        <v>13234.2</v>
      </c>
      <c r="AY18">
        <v>688.18235294117653</v>
      </c>
      <c r="AZ18">
        <v>2345.1</v>
      </c>
      <c r="BA18">
        <f t="shared" si="30"/>
        <v>0.70654455974535135</v>
      </c>
      <c r="BB18">
        <v>-2.4516348080741319</v>
      </c>
      <c r="BC18" t="s">
        <v>629</v>
      </c>
      <c r="BD18">
        <v>13219.4</v>
      </c>
      <c r="BE18">
        <v>1030.944705882353</v>
      </c>
      <c r="BF18">
        <v>1273.43</v>
      </c>
      <c r="BG18">
        <f t="shared" si="31"/>
        <v>0.19041902116146714</v>
      </c>
      <c r="BH18">
        <v>0.5</v>
      </c>
      <c r="BI18">
        <f t="shared" si="32"/>
        <v>1428.3322998075928</v>
      </c>
      <c r="BJ18">
        <f t="shared" si="33"/>
        <v>29.723931742598548</v>
      </c>
      <c r="BK18">
        <f t="shared" si="34"/>
        <v>135.99081921133453</v>
      </c>
      <c r="BL18">
        <f t="shared" si="35"/>
        <v>2.2526667327348805E-2</v>
      </c>
      <c r="BM18">
        <f t="shared" si="36"/>
        <v>0.84156176625334711</v>
      </c>
      <c r="BN18">
        <f t="shared" si="37"/>
        <v>551.88768528507558</v>
      </c>
      <c r="BO18" t="s">
        <v>408</v>
      </c>
      <c r="BP18">
        <v>0</v>
      </c>
      <c r="BQ18">
        <f t="shared" si="38"/>
        <v>551.88768528507558</v>
      </c>
      <c r="BR18">
        <f t="shared" si="39"/>
        <v>0.56661325295848575</v>
      </c>
      <c r="BS18">
        <f t="shared" si="40"/>
        <v>0.33606524409237321</v>
      </c>
      <c r="BT18">
        <f t="shared" si="41"/>
        <v>0.59762583114446677</v>
      </c>
      <c r="BU18">
        <f t="shared" si="42"/>
        <v>0.41432937891551191</v>
      </c>
      <c r="BV18">
        <f t="shared" si="43"/>
        <v>0.64678531362274383</v>
      </c>
      <c r="BW18">
        <f t="shared" si="44"/>
        <v>0.17990321751365473</v>
      </c>
      <c r="BX18">
        <f t="shared" si="45"/>
        <v>0.82009678248634521</v>
      </c>
      <c r="DG18">
        <f t="shared" si="46"/>
        <v>1700.031666666667</v>
      </c>
      <c r="DH18">
        <f t="shared" si="47"/>
        <v>1428.3322998075928</v>
      </c>
      <c r="DI18">
        <f t="shared" si="48"/>
        <v>0.84017982006664138</v>
      </c>
      <c r="DJ18">
        <f t="shared" si="49"/>
        <v>0.15994705272861792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1785954223.25</v>
      </c>
      <c r="DQ18">
        <v>419.8139666666666</v>
      </c>
      <c r="DR18">
        <v>456.51440000000002</v>
      </c>
      <c r="DS18">
        <v>21.303686666666671</v>
      </c>
      <c r="DT18">
        <v>18.884409999999999</v>
      </c>
      <c r="DU18">
        <v>430.98099999999999</v>
      </c>
      <c r="DV18">
        <v>21.85898666666667</v>
      </c>
      <c r="DW18">
        <v>500.08466666666669</v>
      </c>
      <c r="DX18">
        <v>97.82025666666668</v>
      </c>
      <c r="DY18">
        <v>4.900274000000001E-2</v>
      </c>
      <c r="DZ18">
        <v>25.139063333333329</v>
      </c>
      <c r="EA18">
        <v>25.000640000000001</v>
      </c>
      <c r="EB18">
        <v>999.9000000000002</v>
      </c>
      <c r="EC18">
        <v>0</v>
      </c>
      <c r="ED18">
        <v>0</v>
      </c>
      <c r="EE18">
        <v>10000.16666666667</v>
      </c>
      <c r="EF18">
        <v>0</v>
      </c>
      <c r="EG18">
        <v>78.597973333333329</v>
      </c>
      <c r="EH18">
        <v>-36.700446666666672</v>
      </c>
      <c r="EI18">
        <v>428.95219999999989</v>
      </c>
      <c r="EJ18">
        <v>465.30140000000011</v>
      </c>
      <c r="EK18">
        <v>2.419268999999999</v>
      </c>
      <c r="EL18">
        <v>456.51440000000002</v>
      </c>
      <c r="EM18">
        <v>18.884409999999999</v>
      </c>
      <c r="EN18">
        <v>2.0839306666666659</v>
      </c>
      <c r="EO18">
        <v>1.847278666666667</v>
      </c>
      <c r="EP18">
        <v>18.096900000000002</v>
      </c>
      <c r="EQ18">
        <v>16.192689999999999</v>
      </c>
      <c r="ER18">
        <v>1700.031666666667</v>
      </c>
      <c r="ES18">
        <v>0.99399026666666679</v>
      </c>
      <c r="ET18">
        <v>6.0097643333333313E-3</v>
      </c>
      <c r="EU18">
        <v>0</v>
      </c>
      <c r="EV18">
        <v>1030.741666666667</v>
      </c>
      <c r="EW18">
        <v>5.0010700000000003</v>
      </c>
      <c r="EX18">
        <v>18619.546666666669</v>
      </c>
      <c r="EY18">
        <v>15492.743333333339</v>
      </c>
      <c r="EZ18">
        <v>37.055799999999991</v>
      </c>
      <c r="FA18">
        <v>38.360299999999988</v>
      </c>
      <c r="FB18">
        <v>37.785133333333327</v>
      </c>
      <c r="FC18">
        <v>37.883266666666671</v>
      </c>
      <c r="FD18">
        <v>38.5</v>
      </c>
      <c r="FE18">
        <v>1684.8416666666669</v>
      </c>
      <c r="FF18">
        <v>10.19</v>
      </c>
      <c r="FG18">
        <v>0</v>
      </c>
      <c r="FH18">
        <v>180.70000004768369</v>
      </c>
      <c r="FI18">
        <v>0</v>
      </c>
      <c r="FJ18">
        <v>1030.944705882353</v>
      </c>
      <c r="FK18">
        <v>4.2794117615117093</v>
      </c>
      <c r="FL18">
        <v>84.191176522272741</v>
      </c>
      <c r="FM18">
        <v>18624.164705882351</v>
      </c>
      <c r="FN18">
        <v>10</v>
      </c>
      <c r="FO18">
        <v>1785954102</v>
      </c>
      <c r="FP18" t="s">
        <v>630</v>
      </c>
      <c r="FQ18">
        <v>1785954101</v>
      </c>
      <c r="FR18">
        <v>1785954102</v>
      </c>
      <c r="FS18">
        <v>49</v>
      </c>
      <c r="FT18">
        <v>5.0000000000000001E-3</v>
      </c>
      <c r="FU18">
        <v>0</v>
      </c>
      <c r="FV18">
        <v>-11.297000000000001</v>
      </c>
      <c r="FW18">
        <v>-0.61499999999999999</v>
      </c>
      <c r="FX18">
        <v>455</v>
      </c>
      <c r="FY18">
        <v>19</v>
      </c>
      <c r="FZ18">
        <v>0.23</v>
      </c>
      <c r="GA18">
        <v>0.12</v>
      </c>
      <c r="GB18">
        <v>419.8139666666666</v>
      </c>
      <c r="GC18">
        <v>-4.9468298108464877E-2</v>
      </c>
      <c r="GD18">
        <v>5.7430818285037613E-2</v>
      </c>
      <c r="GE18">
        <v>-1</v>
      </c>
      <c r="GF18">
        <v>1030.508235294117</v>
      </c>
      <c r="GG18">
        <v>4.9054239818413512</v>
      </c>
      <c r="GH18">
        <v>0.537086205087699</v>
      </c>
      <c r="GI18">
        <v>1</v>
      </c>
      <c r="GJ18">
        <v>2.4222035000000002</v>
      </c>
      <c r="GK18">
        <v>-0.11541500938086439</v>
      </c>
      <c r="GL18">
        <v>2.1928711493154389E-2</v>
      </c>
      <c r="GM18">
        <v>1</v>
      </c>
      <c r="GN18">
        <v>2</v>
      </c>
      <c r="GO18">
        <v>2</v>
      </c>
      <c r="GP18" t="s">
        <v>411</v>
      </c>
      <c r="GQ18">
        <v>3.1307</v>
      </c>
      <c r="GR18">
        <v>2.7253699999999998</v>
      </c>
      <c r="GS18">
        <v>9.3757699999999999E-2</v>
      </c>
      <c r="GT18">
        <v>9.8664399999999999E-2</v>
      </c>
      <c r="GU18">
        <v>0.10633099999999999</v>
      </c>
      <c r="GV18">
        <v>9.6484299999999995E-2</v>
      </c>
      <c r="GW18">
        <v>22911.8</v>
      </c>
      <c r="GX18">
        <v>30337.8</v>
      </c>
      <c r="GY18">
        <v>27396.2</v>
      </c>
      <c r="GZ18">
        <v>34568.9</v>
      </c>
      <c r="HA18">
        <v>35818.6</v>
      </c>
      <c r="HB18">
        <v>39312</v>
      </c>
      <c r="HC18">
        <v>40437.9</v>
      </c>
      <c r="HD18">
        <v>43599.5</v>
      </c>
      <c r="HE18">
        <v>2.0310000000000001</v>
      </c>
      <c r="HF18">
        <v>1.9101999999999999</v>
      </c>
      <c r="HG18">
        <v>3.7699900000000001E-2</v>
      </c>
      <c r="HH18">
        <v>0</v>
      </c>
      <c r="HI18">
        <v>24.354299999999999</v>
      </c>
      <c r="HJ18">
        <v>999.9</v>
      </c>
      <c r="HK18">
        <v>60.2</v>
      </c>
      <c r="HL18">
        <v>31.5</v>
      </c>
      <c r="HM18">
        <v>28.562999999999999</v>
      </c>
      <c r="HN18">
        <v>60.390599999999999</v>
      </c>
      <c r="HO18">
        <v>4.2107400000000004</v>
      </c>
      <c r="HP18">
        <v>1</v>
      </c>
      <c r="HQ18">
        <v>2.9390199999999998E-2</v>
      </c>
      <c r="HR18">
        <v>1.4995000000000001</v>
      </c>
      <c r="HS18">
        <v>20.236899999999999</v>
      </c>
      <c r="HT18">
        <v>5.2137000000000002</v>
      </c>
      <c r="HU18">
        <v>11.902100000000001</v>
      </c>
      <c r="HV18">
        <v>4.9859999999999998</v>
      </c>
      <c r="HW18">
        <v>3.27</v>
      </c>
      <c r="HX18">
        <v>9999</v>
      </c>
      <c r="HY18">
        <v>9999</v>
      </c>
      <c r="HZ18">
        <v>9999</v>
      </c>
      <c r="IA18">
        <v>999.9</v>
      </c>
      <c r="IB18">
        <v>1.86707</v>
      </c>
      <c r="IC18">
        <v>1.8626400000000001</v>
      </c>
      <c r="ID18">
        <v>1.8621799999999999</v>
      </c>
      <c r="IE18">
        <v>1.8616299999999999</v>
      </c>
      <c r="IF18">
        <v>1.86172</v>
      </c>
      <c r="IG18">
        <v>1.8623400000000001</v>
      </c>
      <c r="IH18">
        <v>1.8632500000000001</v>
      </c>
      <c r="II18">
        <v>1.86127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-11.167</v>
      </c>
      <c r="IX18">
        <v>-0.55520000000000003</v>
      </c>
      <c r="IY18">
        <v>-9.1607649219439651</v>
      </c>
      <c r="IZ18">
        <v>-5.6215304933332991E-3</v>
      </c>
      <c r="JA18">
        <v>2.3979931213773931E-6</v>
      </c>
      <c r="JB18">
        <v>-3.6297174575716598E-10</v>
      </c>
      <c r="JC18">
        <v>-0.88959755486192971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2.2000000000000002</v>
      </c>
      <c r="JL18">
        <v>2.1</v>
      </c>
      <c r="JM18">
        <v>1.17676</v>
      </c>
      <c r="JN18">
        <v>2.4939</v>
      </c>
      <c r="JO18">
        <v>1.50024</v>
      </c>
      <c r="JP18">
        <v>2.2766099999999998</v>
      </c>
      <c r="JQ18">
        <v>1.4477500000000001</v>
      </c>
      <c r="JR18">
        <v>2.3742700000000001</v>
      </c>
      <c r="JS18">
        <v>35.731099999999998</v>
      </c>
      <c r="JT18">
        <v>24.078700000000001</v>
      </c>
      <c r="JU18">
        <v>18</v>
      </c>
      <c r="JV18">
        <v>532.28399999999999</v>
      </c>
      <c r="JW18">
        <v>471.73899999999998</v>
      </c>
      <c r="JX18">
        <v>22.7986</v>
      </c>
      <c r="JY18">
        <v>27.582999999999998</v>
      </c>
      <c r="JZ18">
        <v>30</v>
      </c>
      <c r="KA18">
        <v>27.601600000000001</v>
      </c>
      <c r="KB18">
        <v>27.613800000000001</v>
      </c>
      <c r="KC18">
        <v>23.539000000000001</v>
      </c>
      <c r="KD18">
        <v>39.1511</v>
      </c>
      <c r="KE18">
        <v>0</v>
      </c>
      <c r="KF18">
        <v>22.798200000000001</v>
      </c>
      <c r="KG18">
        <v>456.76100000000002</v>
      </c>
      <c r="KH18">
        <v>18.946999999999999</v>
      </c>
      <c r="KI18">
        <v>101.083</v>
      </c>
      <c r="KJ18">
        <v>98.352500000000006</v>
      </c>
    </row>
    <row r="19" spans="1:296" x14ac:dyDescent="0.3">
      <c r="A19">
        <v>3</v>
      </c>
      <c r="B19">
        <v>1785954412.5</v>
      </c>
      <c r="C19">
        <v>363</v>
      </c>
      <c r="D19" t="s">
        <v>631</v>
      </c>
      <c r="E19" t="s">
        <v>632</v>
      </c>
      <c r="F19">
        <v>15</v>
      </c>
      <c r="H19">
        <v>1785954404.75</v>
      </c>
      <c r="I19">
        <f t="shared" si="0"/>
        <v>2.1822301293177226E-3</v>
      </c>
      <c r="J19">
        <f t="shared" si="1"/>
        <v>2.1822301293177224</v>
      </c>
      <c r="K19">
        <f t="shared" si="2"/>
        <v>30.614966087042571</v>
      </c>
      <c r="L19">
        <f t="shared" si="3"/>
        <v>419.95263333333332</v>
      </c>
      <c r="M19">
        <f t="shared" si="4"/>
        <v>158.64996925856215</v>
      </c>
      <c r="N19">
        <f t="shared" si="5"/>
        <v>15.52838643937104</v>
      </c>
      <c r="O19">
        <f t="shared" si="6"/>
        <v>41.10424229583991</v>
      </c>
      <c r="P19">
        <f t="shared" si="7"/>
        <v>0.19752933650375507</v>
      </c>
      <c r="Q19">
        <f t="shared" si="8"/>
        <v>2.8908457602544271</v>
      </c>
      <c r="R19">
        <f t="shared" si="9"/>
        <v>0.19032573328602714</v>
      </c>
      <c r="S19">
        <f t="shared" si="10"/>
        <v>0.11957891135101614</v>
      </c>
      <c r="T19">
        <f t="shared" si="11"/>
        <v>255.91855902867417</v>
      </c>
      <c r="U19">
        <f t="shared" si="12"/>
        <v>26.097149843104628</v>
      </c>
      <c r="V19">
        <f t="shared" si="13"/>
        <v>24.989386666666672</v>
      </c>
      <c r="W19">
        <f t="shared" si="14"/>
        <v>3.1776661819846108</v>
      </c>
      <c r="X19">
        <f t="shared" si="15"/>
        <v>65.036588782872983</v>
      </c>
      <c r="Y19">
        <f t="shared" si="16"/>
        <v>2.0855904340634535</v>
      </c>
      <c r="Z19">
        <f t="shared" si="17"/>
        <v>3.2067955486199824</v>
      </c>
      <c r="AA19">
        <f t="shared" si="18"/>
        <v>1.0920757479211574</v>
      </c>
      <c r="AB19">
        <f t="shared" si="19"/>
        <v>-96.23634870291157</v>
      </c>
      <c r="AC19">
        <f t="shared" si="20"/>
        <v>23.866025494122304</v>
      </c>
      <c r="AD19">
        <f t="shared" si="21"/>
        <v>1.7474450600395486</v>
      </c>
      <c r="AE19">
        <f t="shared" si="22"/>
        <v>185.29568087992442</v>
      </c>
      <c r="AF19">
        <f t="shared" si="23"/>
        <v>30.614966087042571</v>
      </c>
      <c r="AG19">
        <f t="shared" si="24"/>
        <v>2.1822301293177224</v>
      </c>
      <c r="AH19">
        <f t="shared" si="25"/>
        <v>30.71520502057016</v>
      </c>
      <c r="AI19">
        <v>466.56656531357248</v>
      </c>
      <c r="AJ19">
        <v>429.05006666666668</v>
      </c>
      <c r="AK19">
        <v>-8.4914027681305855E-3</v>
      </c>
      <c r="AL19">
        <v>67.056457450210601</v>
      </c>
      <c r="AM19">
        <f t="shared" si="26"/>
        <v>2.1899111456348002</v>
      </c>
      <c r="AN19">
        <v>18.7428190983801</v>
      </c>
      <c r="AO19">
        <v>21.313550909090921</v>
      </c>
      <c r="AP19">
        <v>1.7632899303345769E-4</v>
      </c>
      <c r="AQ19">
        <v>78.177238580419825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52041.811694585587</v>
      </c>
      <c r="AW19" t="s">
        <v>624</v>
      </c>
      <c r="AX19">
        <v>13234.2</v>
      </c>
      <c r="AY19">
        <v>688.18235294117653</v>
      </c>
      <c r="AZ19">
        <v>2345.1</v>
      </c>
      <c r="BA19">
        <f t="shared" si="30"/>
        <v>0.70654455974535135</v>
      </c>
      <c r="BB19">
        <v>-2.4516348080741319</v>
      </c>
      <c r="BC19" t="s">
        <v>633</v>
      </c>
      <c r="BD19">
        <v>13209.4</v>
      </c>
      <c r="BE19">
        <v>1034.3182352941169</v>
      </c>
      <c r="BF19">
        <v>1304.93</v>
      </c>
      <c r="BG19">
        <f t="shared" si="31"/>
        <v>0.20737646058093784</v>
      </c>
      <c r="BH19">
        <v>0.5</v>
      </c>
      <c r="BI19">
        <f t="shared" si="32"/>
        <v>1344.3050598076029</v>
      </c>
      <c r="BJ19">
        <f t="shared" si="33"/>
        <v>30.614966087042571</v>
      </c>
      <c r="BK19">
        <f t="shared" si="34"/>
        <v>139.38861262197332</v>
      </c>
      <c r="BL19">
        <f t="shared" si="35"/>
        <v>2.4597542539822916E-2</v>
      </c>
      <c r="BM19">
        <f t="shared" si="36"/>
        <v>0.79710789084471945</v>
      </c>
      <c r="BN19">
        <f t="shared" si="37"/>
        <v>557.7223650522526</v>
      </c>
      <c r="BO19" t="s">
        <v>408</v>
      </c>
      <c r="BP19">
        <v>0</v>
      </c>
      <c r="BQ19">
        <f t="shared" si="38"/>
        <v>557.7223650522526</v>
      </c>
      <c r="BR19">
        <f t="shared" si="39"/>
        <v>0.57260361471323939</v>
      </c>
      <c r="BS19">
        <f t="shared" si="40"/>
        <v>0.36216407869655554</v>
      </c>
      <c r="BT19">
        <f t="shared" si="41"/>
        <v>0.58195312488085849</v>
      </c>
      <c r="BU19">
        <f t="shared" si="42"/>
        <v>0.43877226933315405</v>
      </c>
      <c r="BV19">
        <f t="shared" si="43"/>
        <v>0.62777410926028487</v>
      </c>
      <c r="BW19">
        <f t="shared" si="44"/>
        <v>0.19528516429005663</v>
      </c>
      <c r="BX19">
        <f t="shared" si="45"/>
        <v>0.8047148357099434</v>
      </c>
      <c r="DG19">
        <f t="shared" si="46"/>
        <v>1600.0206666666661</v>
      </c>
      <c r="DH19">
        <f t="shared" si="47"/>
        <v>1344.3050598076029</v>
      </c>
      <c r="DI19">
        <f t="shared" si="48"/>
        <v>0.84017981005720554</v>
      </c>
      <c r="DJ19">
        <f t="shared" si="49"/>
        <v>0.15994703341040653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1785954404.75</v>
      </c>
      <c r="DQ19">
        <v>419.95263333333332</v>
      </c>
      <c r="DR19">
        <v>457.78936666666669</v>
      </c>
      <c r="DS19">
        <v>21.308</v>
      </c>
      <c r="DT19">
        <v>18.745186666666669</v>
      </c>
      <c r="DU19">
        <v>431.16863333333328</v>
      </c>
      <c r="DV19">
        <v>21.86233</v>
      </c>
      <c r="DW19">
        <v>500.01249999999999</v>
      </c>
      <c r="DX19">
        <v>97.829576666666668</v>
      </c>
      <c r="DY19">
        <v>4.8705389999999987E-2</v>
      </c>
      <c r="DZ19">
        <v>25.142520000000001</v>
      </c>
      <c r="EA19">
        <v>24.989386666666672</v>
      </c>
      <c r="EB19">
        <v>999.9000000000002</v>
      </c>
      <c r="EC19">
        <v>0</v>
      </c>
      <c r="ED19">
        <v>0</v>
      </c>
      <c r="EE19">
        <v>9998</v>
      </c>
      <c r="EF19">
        <v>0</v>
      </c>
      <c r="EG19">
        <v>84.41583</v>
      </c>
      <c r="EH19">
        <v>-37.836656666666663</v>
      </c>
      <c r="EI19">
        <v>429.09583333333319</v>
      </c>
      <c r="EJ19">
        <v>466.53460000000001</v>
      </c>
      <c r="EK19">
        <v>2.5628199999999999</v>
      </c>
      <c r="EL19">
        <v>457.78936666666669</v>
      </c>
      <c r="EM19">
        <v>18.745186666666669</v>
      </c>
      <c r="EN19">
        <v>2.084552</v>
      </c>
      <c r="EO19">
        <v>1.833833666666667</v>
      </c>
      <c r="EP19">
        <v>18.10163</v>
      </c>
      <c r="EQ19">
        <v>16.078193333333331</v>
      </c>
      <c r="ER19">
        <v>1600.0206666666661</v>
      </c>
      <c r="ES19">
        <v>0.99399006666666667</v>
      </c>
      <c r="ET19">
        <v>6.0101653333333336E-3</v>
      </c>
      <c r="EU19">
        <v>0</v>
      </c>
      <c r="EV19">
        <v>1034.2746666666669</v>
      </c>
      <c r="EW19">
        <v>5.0010700000000003</v>
      </c>
      <c r="EX19">
        <v>17662.24666666667</v>
      </c>
      <c r="EY19">
        <v>14578.646666666669</v>
      </c>
      <c r="EZ19">
        <v>36.578799999999987</v>
      </c>
      <c r="FA19">
        <v>38.061999999999991</v>
      </c>
      <c r="FB19">
        <v>37.436999999999991</v>
      </c>
      <c r="FC19">
        <v>37.625</v>
      </c>
      <c r="FD19">
        <v>38.125</v>
      </c>
      <c r="FE19">
        <v>1585.4306666666671</v>
      </c>
      <c r="FF19">
        <v>9.5899999999999981</v>
      </c>
      <c r="FG19">
        <v>0</v>
      </c>
      <c r="FH19">
        <v>180.89999985694891</v>
      </c>
      <c r="FI19">
        <v>0</v>
      </c>
      <c r="FJ19">
        <v>1034.3182352941169</v>
      </c>
      <c r="FK19">
        <v>0.25490194035890251</v>
      </c>
      <c r="FL19">
        <v>10.245098235415661</v>
      </c>
      <c r="FM19">
        <v>17663.135294117641</v>
      </c>
      <c r="FN19">
        <v>10</v>
      </c>
      <c r="FO19">
        <v>1785954292.5</v>
      </c>
      <c r="FP19" t="s">
        <v>634</v>
      </c>
      <c r="FQ19">
        <v>1785954292.5</v>
      </c>
      <c r="FR19">
        <v>1785954292</v>
      </c>
      <c r="FS19">
        <v>50</v>
      </c>
      <c r="FT19">
        <v>-4.8000000000000001E-2</v>
      </c>
      <c r="FU19">
        <v>1E-3</v>
      </c>
      <c r="FV19">
        <v>-11.352</v>
      </c>
      <c r="FW19">
        <v>-0.61499999999999999</v>
      </c>
      <c r="FX19">
        <v>457</v>
      </c>
      <c r="FY19">
        <v>19</v>
      </c>
      <c r="FZ19">
        <v>0.22</v>
      </c>
      <c r="GA19">
        <v>7.0000000000000007E-2</v>
      </c>
      <c r="GB19">
        <v>419.95145161290333</v>
      </c>
      <c r="GC19">
        <v>-0.16364516129003351</v>
      </c>
      <c r="GD19">
        <v>5.7878537283212551E-2</v>
      </c>
      <c r="GE19">
        <v>-1</v>
      </c>
      <c r="GF19">
        <v>1034.2735294117649</v>
      </c>
      <c r="GG19">
        <v>-9.0450726659341771E-2</v>
      </c>
      <c r="GH19">
        <v>0.22179590980343911</v>
      </c>
      <c r="GI19">
        <v>1</v>
      </c>
      <c r="GJ19">
        <v>2.558756829268293</v>
      </c>
      <c r="GK19">
        <v>8.4149895470387995E-2</v>
      </c>
      <c r="GL19">
        <v>8.9921007174249504E-3</v>
      </c>
      <c r="GM19">
        <v>1</v>
      </c>
      <c r="GN19">
        <v>2</v>
      </c>
      <c r="GO19">
        <v>2</v>
      </c>
      <c r="GP19" t="s">
        <v>411</v>
      </c>
      <c r="GQ19">
        <v>3.13123</v>
      </c>
      <c r="GR19">
        <v>2.7247599999999998</v>
      </c>
      <c r="GS19">
        <v>9.3804100000000001E-2</v>
      </c>
      <c r="GT19">
        <v>9.8875000000000005E-2</v>
      </c>
      <c r="GU19">
        <v>0.10637199999999999</v>
      </c>
      <c r="GV19">
        <v>9.5644800000000002E-2</v>
      </c>
      <c r="GW19">
        <v>22911.5</v>
      </c>
      <c r="GX19">
        <v>30333.7</v>
      </c>
      <c r="GY19">
        <v>27397.200000000001</v>
      </c>
      <c r="GZ19">
        <v>34572.199999999997</v>
      </c>
      <c r="HA19">
        <v>35818.1</v>
      </c>
      <c r="HB19">
        <v>39352.400000000001</v>
      </c>
      <c r="HC19">
        <v>40439.300000000003</v>
      </c>
      <c r="HD19">
        <v>43603.5</v>
      </c>
      <c r="HE19">
        <v>2.0326</v>
      </c>
      <c r="HF19">
        <v>1.9092</v>
      </c>
      <c r="HG19">
        <v>3.5166700000000002E-2</v>
      </c>
      <c r="HH19">
        <v>0</v>
      </c>
      <c r="HI19">
        <v>24.4221</v>
      </c>
      <c r="HJ19">
        <v>999.9</v>
      </c>
      <c r="HK19">
        <v>60</v>
      </c>
      <c r="HL19">
        <v>31.6</v>
      </c>
      <c r="HM19">
        <v>28.630800000000001</v>
      </c>
      <c r="HN19">
        <v>60.320599999999999</v>
      </c>
      <c r="HO19">
        <v>4.3028899999999997</v>
      </c>
      <c r="HP19">
        <v>1</v>
      </c>
      <c r="HQ19">
        <v>2.7560999999999999E-2</v>
      </c>
      <c r="HR19">
        <v>1.37974</v>
      </c>
      <c r="HS19">
        <v>20.238600000000002</v>
      </c>
      <c r="HT19">
        <v>5.2148899999999996</v>
      </c>
      <c r="HU19">
        <v>11.902100000000001</v>
      </c>
      <c r="HV19">
        <v>4.9867999999999997</v>
      </c>
      <c r="HW19">
        <v>3.2706</v>
      </c>
      <c r="HX19">
        <v>9999</v>
      </c>
      <c r="HY19">
        <v>9999</v>
      </c>
      <c r="HZ19">
        <v>9999</v>
      </c>
      <c r="IA19">
        <v>999.9</v>
      </c>
      <c r="IB19">
        <v>1.86707</v>
      </c>
      <c r="IC19">
        <v>1.86267</v>
      </c>
      <c r="ID19">
        <v>1.8621799999999999</v>
      </c>
      <c r="IE19">
        <v>1.8616600000000001</v>
      </c>
      <c r="IF19">
        <v>1.86172</v>
      </c>
      <c r="IG19">
        <v>1.8623400000000001</v>
      </c>
      <c r="IH19">
        <v>1.8632500000000001</v>
      </c>
      <c r="II19">
        <v>1.86124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-11.215</v>
      </c>
      <c r="IX19">
        <v>-0.55410000000000004</v>
      </c>
      <c r="IY19">
        <v>-9.2088330040287332</v>
      </c>
      <c r="IZ19">
        <v>-5.6215304933332991E-3</v>
      </c>
      <c r="JA19">
        <v>2.3979931213773931E-6</v>
      </c>
      <c r="JB19">
        <v>-3.6297174575716598E-10</v>
      </c>
      <c r="JC19">
        <v>-0.88871631617832425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</v>
      </c>
      <c r="JL19">
        <v>2</v>
      </c>
      <c r="JM19">
        <v>1.1792</v>
      </c>
      <c r="JN19">
        <v>2.4939</v>
      </c>
      <c r="JO19">
        <v>1.50024</v>
      </c>
      <c r="JP19">
        <v>2.2766099999999998</v>
      </c>
      <c r="JQ19">
        <v>1.4477500000000001</v>
      </c>
      <c r="JR19">
        <v>2.4450699999999999</v>
      </c>
      <c r="JS19">
        <v>35.777700000000003</v>
      </c>
      <c r="JT19">
        <v>24.087499999999999</v>
      </c>
      <c r="JU19">
        <v>18</v>
      </c>
      <c r="JV19">
        <v>533.21699999999998</v>
      </c>
      <c r="JW19">
        <v>471.01799999999997</v>
      </c>
      <c r="JX19">
        <v>22.917300000000001</v>
      </c>
      <c r="JY19">
        <v>27.566700000000001</v>
      </c>
      <c r="JZ19">
        <v>30</v>
      </c>
      <c r="KA19">
        <v>27.592300000000002</v>
      </c>
      <c r="KB19">
        <v>27.604500000000002</v>
      </c>
      <c r="KC19">
        <v>23.581499999999998</v>
      </c>
      <c r="KD19">
        <v>39.578499999999998</v>
      </c>
      <c r="KE19">
        <v>0</v>
      </c>
      <c r="KF19">
        <v>22.9163</v>
      </c>
      <c r="KG19">
        <v>457.899</v>
      </c>
      <c r="KH19">
        <v>18.767399999999999</v>
      </c>
      <c r="KI19">
        <v>101.087</v>
      </c>
      <c r="KJ19">
        <v>98.361699999999999</v>
      </c>
    </row>
    <row r="20" spans="1:296" x14ac:dyDescent="0.3">
      <c r="A20">
        <v>4</v>
      </c>
      <c r="B20">
        <v>1785954594</v>
      </c>
      <c r="C20">
        <v>544.5</v>
      </c>
      <c r="D20" t="s">
        <v>635</v>
      </c>
      <c r="E20" t="s">
        <v>636</v>
      </c>
      <c r="F20">
        <v>15</v>
      </c>
      <c r="H20">
        <v>1785954586</v>
      </c>
      <c r="I20">
        <f t="shared" si="0"/>
        <v>2.1987108973667469E-3</v>
      </c>
      <c r="J20">
        <f t="shared" si="1"/>
        <v>2.1987108973667469</v>
      </c>
      <c r="K20">
        <f t="shared" si="2"/>
        <v>30.540656507172759</v>
      </c>
      <c r="L20">
        <f t="shared" si="3"/>
        <v>419.93319354838712</v>
      </c>
      <c r="M20">
        <f t="shared" si="4"/>
        <v>161.7356089839395</v>
      </c>
      <c r="N20">
        <f t="shared" si="5"/>
        <v>15.831351264589355</v>
      </c>
      <c r="O20">
        <f t="shared" si="6"/>
        <v>41.104800213696102</v>
      </c>
      <c r="P20">
        <f t="shared" si="7"/>
        <v>0.19954354399824106</v>
      </c>
      <c r="Q20">
        <f t="shared" si="8"/>
        <v>2.8916029284789033</v>
      </c>
      <c r="R20">
        <f t="shared" si="9"/>
        <v>0.19219706906214964</v>
      </c>
      <c r="S20">
        <f t="shared" si="10"/>
        <v>0.12076068537652439</v>
      </c>
      <c r="T20">
        <f t="shared" si="11"/>
        <v>224.00056031046984</v>
      </c>
      <c r="U20">
        <f t="shared" si="12"/>
        <v>25.998210898894182</v>
      </c>
      <c r="V20">
        <f t="shared" si="13"/>
        <v>25.017625806451608</v>
      </c>
      <c r="W20">
        <f t="shared" si="14"/>
        <v>3.1830204396320707</v>
      </c>
      <c r="X20">
        <f t="shared" si="15"/>
        <v>64.906908136810898</v>
      </c>
      <c r="Y20">
        <f t="shared" si="16"/>
        <v>2.0934187728814533</v>
      </c>
      <c r="Z20">
        <f t="shared" si="17"/>
        <v>3.2252634318506463</v>
      </c>
      <c r="AA20">
        <f t="shared" si="18"/>
        <v>1.0896016667506174</v>
      </c>
      <c r="AB20">
        <f t="shared" si="19"/>
        <v>-96.963150573873534</v>
      </c>
      <c r="AC20">
        <f t="shared" si="20"/>
        <v>34.50696712755925</v>
      </c>
      <c r="AD20">
        <f t="shared" si="21"/>
        <v>2.5274875200913303</v>
      </c>
      <c r="AE20">
        <f t="shared" si="22"/>
        <v>164.07186438424688</v>
      </c>
      <c r="AF20">
        <f t="shared" si="23"/>
        <v>30.540656507172759</v>
      </c>
      <c r="AG20">
        <f t="shared" si="24"/>
        <v>2.1987108973667469</v>
      </c>
      <c r="AH20">
        <f t="shared" si="25"/>
        <v>30.437231265902593</v>
      </c>
      <c r="AI20">
        <v>466.45697921367571</v>
      </c>
      <c r="AJ20">
        <v>429.14979393939399</v>
      </c>
      <c r="AK20">
        <v>1.5741771762181889E-2</v>
      </c>
      <c r="AL20">
        <v>67.084111660645149</v>
      </c>
      <c r="AM20">
        <f t="shared" si="26"/>
        <v>2.2138456820086096</v>
      </c>
      <c r="AN20">
        <v>18.772885490241119</v>
      </c>
      <c r="AO20">
        <v>21.373072121212111</v>
      </c>
      <c r="AP20">
        <v>-6.5884736788770966E-5</v>
      </c>
      <c r="AQ20">
        <v>78.228557750896357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52046.801188976991</v>
      </c>
      <c r="AW20" t="s">
        <v>624</v>
      </c>
      <c r="AX20">
        <v>13234.2</v>
      </c>
      <c r="AY20">
        <v>688.18235294117653</v>
      </c>
      <c r="AZ20">
        <v>2345.1</v>
      </c>
      <c r="BA20">
        <f t="shared" si="30"/>
        <v>0.70654455974535135</v>
      </c>
      <c r="BB20">
        <v>-2.4516348080741319</v>
      </c>
      <c r="BC20" t="s">
        <v>637</v>
      </c>
      <c r="BD20">
        <v>13209.1</v>
      </c>
      <c r="BE20">
        <v>1019.0064705882349</v>
      </c>
      <c r="BF20">
        <v>1335.3</v>
      </c>
      <c r="BG20">
        <f t="shared" si="31"/>
        <v>0.23687076268386509</v>
      </c>
      <c r="BH20">
        <v>0.5</v>
      </c>
      <c r="BI20">
        <f t="shared" si="32"/>
        <v>1176.271635260314</v>
      </c>
      <c r="BJ20">
        <f t="shared" si="33"/>
        <v>30.540656507172759</v>
      </c>
      <c r="BK20">
        <f t="shared" si="34"/>
        <v>139.31217968375387</v>
      </c>
      <c r="BL20">
        <f t="shared" si="35"/>
        <v>2.8048190848320123E-2</v>
      </c>
      <c r="BM20">
        <f t="shared" si="36"/>
        <v>0.7562345540328016</v>
      </c>
      <c r="BN20">
        <f t="shared" si="37"/>
        <v>563.19702488682435</v>
      </c>
      <c r="BO20" t="s">
        <v>408</v>
      </c>
      <c r="BP20">
        <v>0</v>
      </c>
      <c r="BQ20">
        <f t="shared" si="38"/>
        <v>563.19702488682435</v>
      </c>
      <c r="BR20">
        <f t="shared" si="39"/>
        <v>0.57822435041801512</v>
      </c>
      <c r="BS20">
        <f t="shared" si="40"/>
        <v>0.40965200187889755</v>
      </c>
      <c r="BT20">
        <f t="shared" si="41"/>
        <v>0.56669752175247567</v>
      </c>
      <c r="BU20">
        <f t="shared" si="42"/>
        <v>0.4887728388328339</v>
      </c>
      <c r="BV20">
        <f t="shared" si="43"/>
        <v>0.60944489413368552</v>
      </c>
      <c r="BW20">
        <f t="shared" si="44"/>
        <v>0.22641150508489286</v>
      </c>
      <c r="BX20">
        <f t="shared" si="45"/>
        <v>0.77358849491510717</v>
      </c>
      <c r="DG20">
        <f t="shared" si="46"/>
        <v>1399.9751612903231</v>
      </c>
      <c r="DH20">
        <f t="shared" si="47"/>
        <v>1176.271635260314</v>
      </c>
      <c r="DI20">
        <f t="shared" si="48"/>
        <v>0.84020893211860492</v>
      </c>
      <c r="DJ20">
        <f t="shared" si="49"/>
        <v>0.16000323898890748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1785954586</v>
      </c>
      <c r="DQ20">
        <v>419.93319354838712</v>
      </c>
      <c r="DR20">
        <v>457.68916129032249</v>
      </c>
      <c r="DS20">
        <v>21.386700000000001</v>
      </c>
      <c r="DT20">
        <v>18.80472903225807</v>
      </c>
      <c r="DU20">
        <v>431.06596774193542</v>
      </c>
      <c r="DV20">
        <v>21.937306451612901</v>
      </c>
      <c r="DW20">
        <v>500.01051612903223</v>
      </c>
      <c r="DX20">
        <v>97.835187096774163</v>
      </c>
      <c r="DY20">
        <v>4.8954583870967718E-2</v>
      </c>
      <c r="DZ20">
        <v>25.238977419354839</v>
      </c>
      <c r="EA20">
        <v>25.017625806451608</v>
      </c>
      <c r="EB20">
        <v>999.90000000000032</v>
      </c>
      <c r="EC20">
        <v>0</v>
      </c>
      <c r="ED20">
        <v>0</v>
      </c>
      <c r="EE20">
        <v>10001.77419354839</v>
      </c>
      <c r="EF20">
        <v>0</v>
      </c>
      <c r="EG20">
        <v>81.003658064516145</v>
      </c>
      <c r="EH20">
        <v>-37.755916129032258</v>
      </c>
      <c r="EI20">
        <v>429.11045161290332</v>
      </c>
      <c r="EJ20">
        <v>466.46080645161283</v>
      </c>
      <c r="EK20">
        <v>2.5819732258064509</v>
      </c>
      <c r="EL20">
        <v>457.68916129032249</v>
      </c>
      <c r="EM20">
        <v>18.80472903225807</v>
      </c>
      <c r="EN20">
        <v>2.092372580645161</v>
      </c>
      <c r="EO20">
        <v>1.8397645161290319</v>
      </c>
      <c r="EP20">
        <v>18.16121290322581</v>
      </c>
      <c r="EQ20">
        <v>16.128783870967741</v>
      </c>
      <c r="ER20">
        <v>1399.9751612903231</v>
      </c>
      <c r="ES20">
        <v>0.99301090322580621</v>
      </c>
      <c r="ET20">
        <v>6.9895896774193533E-3</v>
      </c>
      <c r="EU20">
        <v>0</v>
      </c>
      <c r="EV20">
        <v>1019.225806451613</v>
      </c>
      <c r="EW20">
        <v>5.0010700000000003</v>
      </c>
      <c r="EX20">
        <v>15440.219354838709</v>
      </c>
      <c r="EY20">
        <v>12745.34193548387</v>
      </c>
      <c r="EZ20">
        <v>38.433225806451603</v>
      </c>
      <c r="FA20">
        <v>40.703354838709657</v>
      </c>
      <c r="FB20">
        <v>39.286032258064509</v>
      </c>
      <c r="FC20">
        <v>41.31025806451612</v>
      </c>
      <c r="FD20">
        <v>40.346580645161282</v>
      </c>
      <c r="FE20">
        <v>1385.2251612903231</v>
      </c>
      <c r="FF20">
        <v>9.75</v>
      </c>
      <c r="FG20">
        <v>0</v>
      </c>
      <c r="FH20">
        <v>180.70000004768369</v>
      </c>
      <c r="FI20">
        <v>0</v>
      </c>
      <c r="FJ20">
        <v>1019.0064705882349</v>
      </c>
      <c r="FK20">
        <v>-3.654411727669741</v>
      </c>
      <c r="FL20">
        <v>14.70588239245788</v>
      </c>
      <c r="FM20">
        <v>15440.52352941177</v>
      </c>
      <c r="FN20">
        <v>10</v>
      </c>
      <c r="FO20">
        <v>1785954476.5</v>
      </c>
      <c r="FP20" t="s">
        <v>638</v>
      </c>
      <c r="FQ20">
        <v>1785954470</v>
      </c>
      <c r="FR20">
        <v>1785954476.5</v>
      </c>
      <c r="FS20">
        <v>51</v>
      </c>
      <c r="FT20">
        <v>8.3000000000000004E-2</v>
      </c>
      <c r="FU20">
        <v>2E-3</v>
      </c>
      <c r="FV20">
        <v>-11.271000000000001</v>
      </c>
      <c r="FW20">
        <v>-0.61699999999999999</v>
      </c>
      <c r="FX20">
        <v>457</v>
      </c>
      <c r="FY20">
        <v>19</v>
      </c>
      <c r="FZ20">
        <v>0.23</v>
      </c>
      <c r="GA20">
        <v>0.11</v>
      </c>
      <c r="GB20">
        <v>419.93076666666661</v>
      </c>
      <c r="GC20">
        <v>0.1124716351496137</v>
      </c>
      <c r="GD20">
        <v>4.9436614860744861E-2</v>
      </c>
      <c r="GE20">
        <v>-1</v>
      </c>
      <c r="GF20">
        <v>1019.398823529412</v>
      </c>
      <c r="GG20">
        <v>-3.890603511079147</v>
      </c>
      <c r="GH20">
        <v>0.42590916392695322</v>
      </c>
      <c r="GI20">
        <v>1</v>
      </c>
      <c r="GJ20">
        <v>2.5780462499999999</v>
      </c>
      <c r="GK20">
        <v>0.16087958724202411</v>
      </c>
      <c r="GL20">
        <v>1.8970204886545119E-2</v>
      </c>
      <c r="GM20">
        <v>1</v>
      </c>
      <c r="GN20">
        <v>2</v>
      </c>
      <c r="GO20">
        <v>2</v>
      </c>
      <c r="GP20" t="s">
        <v>411</v>
      </c>
      <c r="GQ20">
        <v>3.1314899999999999</v>
      </c>
      <c r="GR20">
        <v>2.7249300000000001</v>
      </c>
      <c r="GS20">
        <v>9.3809199999999995E-2</v>
      </c>
      <c r="GT20">
        <v>9.8828200000000005E-2</v>
      </c>
      <c r="GU20">
        <v>0.106554</v>
      </c>
      <c r="GV20">
        <v>9.5755999999999994E-2</v>
      </c>
      <c r="GW20">
        <v>22912.2</v>
      </c>
      <c r="GX20">
        <v>30335.1</v>
      </c>
      <c r="GY20">
        <v>27398</v>
      </c>
      <c r="GZ20">
        <v>34572</v>
      </c>
      <c r="HA20">
        <v>35811.699999999997</v>
      </c>
      <c r="HB20">
        <v>39347.699999999997</v>
      </c>
      <c r="HC20">
        <v>40440.400000000001</v>
      </c>
      <c r="HD20">
        <v>43603.7</v>
      </c>
      <c r="HE20">
        <v>2.0326</v>
      </c>
      <c r="HF20">
        <v>1.909</v>
      </c>
      <c r="HG20">
        <v>2.99513E-2</v>
      </c>
      <c r="HH20">
        <v>0</v>
      </c>
      <c r="HI20">
        <v>24.523</v>
      </c>
      <c r="HJ20">
        <v>999.9</v>
      </c>
      <c r="HK20">
        <v>59.9</v>
      </c>
      <c r="HL20">
        <v>31.6</v>
      </c>
      <c r="HM20">
        <v>28.5807</v>
      </c>
      <c r="HN20">
        <v>60.270600000000002</v>
      </c>
      <c r="HO20">
        <v>4.49519</v>
      </c>
      <c r="HP20">
        <v>1</v>
      </c>
      <c r="HQ20">
        <v>2.7723600000000001E-2</v>
      </c>
      <c r="HR20">
        <v>1.4671000000000001</v>
      </c>
      <c r="HS20">
        <v>20.241299999999999</v>
      </c>
      <c r="HT20">
        <v>5.2112999999999996</v>
      </c>
      <c r="HU20">
        <v>11.902100000000001</v>
      </c>
      <c r="HV20">
        <v>4.9859999999999998</v>
      </c>
      <c r="HW20">
        <v>3.27</v>
      </c>
      <c r="HX20">
        <v>9999</v>
      </c>
      <c r="HY20">
        <v>9999</v>
      </c>
      <c r="HZ20">
        <v>9999</v>
      </c>
      <c r="IA20">
        <v>999.9</v>
      </c>
      <c r="IB20">
        <v>1.86707</v>
      </c>
      <c r="IC20">
        <v>1.8626400000000001</v>
      </c>
      <c r="ID20">
        <v>1.8621799999999999</v>
      </c>
      <c r="IE20">
        <v>1.8616900000000001</v>
      </c>
      <c r="IF20">
        <v>1.86172</v>
      </c>
      <c r="IG20">
        <v>1.8623400000000001</v>
      </c>
      <c r="IH20">
        <v>1.8632500000000001</v>
      </c>
      <c r="II20">
        <v>1.86127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-11.132999999999999</v>
      </c>
      <c r="IX20">
        <v>-0.55110000000000003</v>
      </c>
      <c r="IY20">
        <v>-9.1260437607967635</v>
      </c>
      <c r="IZ20">
        <v>-5.6215304933332991E-3</v>
      </c>
      <c r="JA20">
        <v>2.3979931213773931E-6</v>
      </c>
      <c r="JB20">
        <v>-3.6297174575716598E-10</v>
      </c>
      <c r="JC20">
        <v>-0.88696778022642708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2.1</v>
      </c>
      <c r="JL20">
        <v>2</v>
      </c>
      <c r="JM20">
        <v>1.1792</v>
      </c>
      <c r="JN20">
        <v>2.49634</v>
      </c>
      <c r="JO20">
        <v>1.50024</v>
      </c>
      <c r="JP20">
        <v>2.2753899999999998</v>
      </c>
      <c r="JQ20">
        <v>1.4477500000000001</v>
      </c>
      <c r="JR20">
        <v>2.4902299999999999</v>
      </c>
      <c r="JS20">
        <v>35.847700000000003</v>
      </c>
      <c r="JT20">
        <v>24.096299999999999</v>
      </c>
      <c r="JU20">
        <v>18</v>
      </c>
      <c r="JV20">
        <v>533.17600000000004</v>
      </c>
      <c r="JW20">
        <v>470.851</v>
      </c>
      <c r="JX20">
        <v>23.001799999999999</v>
      </c>
      <c r="JY20">
        <v>27.5596</v>
      </c>
      <c r="JZ20">
        <v>30.0002</v>
      </c>
      <c r="KA20">
        <v>27.587599999999998</v>
      </c>
      <c r="KB20">
        <v>27.599900000000002</v>
      </c>
      <c r="KC20">
        <v>23.574999999999999</v>
      </c>
      <c r="KD20">
        <v>39.665199999999999</v>
      </c>
      <c r="KE20">
        <v>0</v>
      </c>
      <c r="KF20">
        <v>23.002500000000001</v>
      </c>
      <c r="KG20">
        <v>457.73599999999999</v>
      </c>
      <c r="KH20">
        <v>18.720500000000001</v>
      </c>
      <c r="KI20">
        <v>101.09</v>
      </c>
      <c r="KJ20">
        <v>98.361699999999999</v>
      </c>
    </row>
    <row r="21" spans="1:296" x14ac:dyDescent="0.3">
      <c r="A21">
        <v>5</v>
      </c>
      <c r="B21">
        <v>1785954775.5999999</v>
      </c>
      <c r="C21">
        <v>726.09999990463257</v>
      </c>
      <c r="D21" t="s">
        <v>639</v>
      </c>
      <c r="E21" t="s">
        <v>640</v>
      </c>
      <c r="F21">
        <v>15</v>
      </c>
      <c r="H21">
        <v>1785954767.849999</v>
      </c>
      <c r="I21">
        <f t="shared" si="0"/>
        <v>1.9720047658727162E-3</v>
      </c>
      <c r="J21">
        <f t="shared" si="1"/>
        <v>1.9720047658727164</v>
      </c>
      <c r="K21">
        <f t="shared" si="2"/>
        <v>28.70770958872172</v>
      </c>
      <c r="L21">
        <f t="shared" si="3"/>
        <v>419.99470000000002</v>
      </c>
      <c r="M21">
        <f t="shared" si="4"/>
        <v>154.19193475562025</v>
      </c>
      <c r="N21">
        <f t="shared" si="5"/>
        <v>15.09220463296629</v>
      </c>
      <c r="O21">
        <f t="shared" si="6"/>
        <v>41.108803564904001</v>
      </c>
      <c r="P21">
        <f t="shared" si="7"/>
        <v>0.18146460159459107</v>
      </c>
      <c r="Q21">
        <f t="shared" si="8"/>
        <v>2.8902712235789574</v>
      </c>
      <c r="R21">
        <f t="shared" si="9"/>
        <v>0.17536443407902069</v>
      </c>
      <c r="S21">
        <f t="shared" si="10"/>
        <v>0.11013376385278199</v>
      </c>
      <c r="T21">
        <f t="shared" si="11"/>
        <v>160.17837036956502</v>
      </c>
      <c r="U21">
        <f t="shared" si="12"/>
        <v>25.764915298341563</v>
      </c>
      <c r="V21">
        <f t="shared" si="13"/>
        <v>25.009340000000002</v>
      </c>
      <c r="W21">
        <f t="shared" si="14"/>
        <v>3.1814485998429132</v>
      </c>
      <c r="X21">
        <f t="shared" si="15"/>
        <v>65.094965519022239</v>
      </c>
      <c r="Y21">
        <f t="shared" si="16"/>
        <v>2.1105323797893361</v>
      </c>
      <c r="Z21">
        <f t="shared" si="17"/>
        <v>3.2422359593578554</v>
      </c>
      <c r="AA21">
        <f t="shared" si="18"/>
        <v>1.0709162200535771</v>
      </c>
      <c r="AB21">
        <f t="shared" si="19"/>
        <v>-86.965410174986786</v>
      </c>
      <c r="AC21">
        <f t="shared" si="20"/>
        <v>49.529041259069494</v>
      </c>
      <c r="AD21">
        <f t="shared" si="21"/>
        <v>3.6309220896022598</v>
      </c>
      <c r="AE21">
        <f t="shared" si="22"/>
        <v>126.37292354324998</v>
      </c>
      <c r="AF21">
        <f t="shared" si="23"/>
        <v>28.70770958872172</v>
      </c>
      <c r="AG21">
        <f t="shared" si="24"/>
        <v>1.9720047658727164</v>
      </c>
      <c r="AH21">
        <f t="shared" si="25"/>
        <v>28.845939716163823</v>
      </c>
      <c r="AI21">
        <v>464.30574411191861</v>
      </c>
      <c r="AJ21">
        <v>429.19090303030288</v>
      </c>
      <c r="AK21">
        <v>-3.3983009659999737E-2</v>
      </c>
      <c r="AL21">
        <v>67.069909320169472</v>
      </c>
      <c r="AM21">
        <f t="shared" si="26"/>
        <v>1.971395775913656</v>
      </c>
      <c r="AN21">
        <v>19.251070980777211</v>
      </c>
      <c r="AO21">
        <v>21.565723030303019</v>
      </c>
      <c r="AP21">
        <v>1.9764342507332211E-6</v>
      </c>
      <c r="AQ21">
        <v>78.165574818158731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51993.144674045623</v>
      </c>
      <c r="AW21" t="s">
        <v>624</v>
      </c>
      <c r="AX21">
        <v>13234.2</v>
      </c>
      <c r="AY21">
        <v>688.18235294117653</v>
      </c>
      <c r="AZ21">
        <v>2345.1</v>
      </c>
      <c r="BA21">
        <f t="shared" si="30"/>
        <v>0.70654455974535135</v>
      </c>
      <c r="BB21">
        <v>-2.4516348080741319</v>
      </c>
      <c r="BC21" t="s">
        <v>641</v>
      </c>
      <c r="BD21">
        <v>13223</v>
      </c>
      <c r="BE21">
        <v>997.99788235294113</v>
      </c>
      <c r="BF21">
        <v>1452.86</v>
      </c>
      <c r="BG21">
        <f t="shared" si="31"/>
        <v>0.31308048789770437</v>
      </c>
      <c r="BH21">
        <v>0.5</v>
      </c>
      <c r="BI21">
        <f t="shared" si="32"/>
        <v>840.31315380806473</v>
      </c>
      <c r="BJ21">
        <f t="shared" si="33"/>
        <v>28.70770958872172</v>
      </c>
      <c r="BK21">
        <f t="shared" si="34"/>
        <v>131.5428260905438</v>
      </c>
      <c r="BL21">
        <f t="shared" si="35"/>
        <v>3.7080633875110007E-2</v>
      </c>
      <c r="BM21">
        <f t="shared" si="36"/>
        <v>0.61412661922002121</v>
      </c>
      <c r="BN21">
        <f t="shared" si="37"/>
        <v>583.09726505653191</v>
      </c>
      <c r="BO21" t="s">
        <v>408</v>
      </c>
      <c r="BP21">
        <v>0</v>
      </c>
      <c r="BQ21">
        <f t="shared" si="38"/>
        <v>583.09726505653191</v>
      </c>
      <c r="BR21">
        <f t="shared" si="39"/>
        <v>0.59865557241817391</v>
      </c>
      <c r="BS21">
        <f t="shared" si="40"/>
        <v>0.52297264457602155</v>
      </c>
      <c r="BT21">
        <f t="shared" si="41"/>
        <v>0.50637832865147425</v>
      </c>
      <c r="BU21">
        <f t="shared" si="42"/>
        <v>0.5948416556919025</v>
      </c>
      <c r="BV21">
        <f t="shared" si="43"/>
        <v>0.5384938723923941</v>
      </c>
      <c r="BW21">
        <f t="shared" si="44"/>
        <v>0.30555567716507109</v>
      </c>
      <c r="BX21">
        <f t="shared" si="45"/>
        <v>0.69444432283492885</v>
      </c>
      <c r="DG21">
        <f t="shared" si="46"/>
        <v>1000.0178</v>
      </c>
      <c r="DH21">
        <f t="shared" si="47"/>
        <v>840.31315380806473</v>
      </c>
      <c r="DI21">
        <f t="shared" si="48"/>
        <v>0.84029819650016702</v>
      </c>
      <c r="DJ21">
        <f t="shared" si="49"/>
        <v>0.16017551924532245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1785954767.849999</v>
      </c>
      <c r="DQ21">
        <v>419.99470000000002</v>
      </c>
      <c r="DR21">
        <v>455.43793333333338</v>
      </c>
      <c r="DS21">
        <v>21.562593333333329</v>
      </c>
      <c r="DT21">
        <v>19.247206666666671</v>
      </c>
      <c r="DU21">
        <v>431.16370000000001</v>
      </c>
      <c r="DV21">
        <v>22.11209666666667</v>
      </c>
      <c r="DW21">
        <v>499.9985333333334</v>
      </c>
      <c r="DX21">
        <v>97.82992000000003</v>
      </c>
      <c r="DY21">
        <v>4.9418869999999997E-2</v>
      </c>
      <c r="DZ21">
        <v>25.327200000000008</v>
      </c>
      <c r="EA21">
        <v>25.009340000000002</v>
      </c>
      <c r="EB21">
        <v>999.9000000000002</v>
      </c>
      <c r="EC21">
        <v>0</v>
      </c>
      <c r="ED21">
        <v>0</v>
      </c>
      <c r="EE21">
        <v>9994.6666666666661</v>
      </c>
      <c r="EF21">
        <v>0</v>
      </c>
      <c r="EG21">
        <v>95.420119999999997</v>
      </c>
      <c r="EH21">
        <v>-35.443169999999988</v>
      </c>
      <c r="EI21">
        <v>429.25049999999987</v>
      </c>
      <c r="EJ21">
        <v>464.37586666666658</v>
      </c>
      <c r="EK21">
        <v>2.3153876666666671</v>
      </c>
      <c r="EL21">
        <v>455.43793333333338</v>
      </c>
      <c r="EM21">
        <v>19.247206666666671</v>
      </c>
      <c r="EN21">
        <v>2.1094663333333332</v>
      </c>
      <c r="EO21">
        <v>1.8829523333333329</v>
      </c>
      <c r="EP21">
        <v>18.29084666666667</v>
      </c>
      <c r="EQ21">
        <v>16.492976666666671</v>
      </c>
      <c r="ER21">
        <v>1000.0178</v>
      </c>
      <c r="ES21">
        <v>0.99000609999999989</v>
      </c>
      <c r="ET21">
        <v>9.9934343333333356E-3</v>
      </c>
      <c r="EU21">
        <v>0</v>
      </c>
      <c r="EV21">
        <v>997.7833333333333</v>
      </c>
      <c r="EW21">
        <v>5.0010700000000003</v>
      </c>
      <c r="EX21">
        <v>11041.816666666669</v>
      </c>
      <c r="EY21">
        <v>9080.4553333333333</v>
      </c>
      <c r="EZ21">
        <v>37.195666666666661</v>
      </c>
      <c r="FA21">
        <v>39.166333333333327</v>
      </c>
      <c r="FB21">
        <v>38.541466666666658</v>
      </c>
      <c r="FC21">
        <v>38.774733333333323</v>
      </c>
      <c r="FD21">
        <v>38.9206</v>
      </c>
      <c r="FE21">
        <v>985.07066666666663</v>
      </c>
      <c r="FF21">
        <v>9.94</v>
      </c>
      <c r="FG21">
        <v>0</v>
      </c>
      <c r="FH21">
        <v>180.89999985694891</v>
      </c>
      <c r="FI21">
        <v>0</v>
      </c>
      <c r="FJ21">
        <v>997.99788235294113</v>
      </c>
      <c r="FK21">
        <v>2.8392156776173132</v>
      </c>
      <c r="FL21">
        <v>24.53431386061386</v>
      </c>
      <c r="FM21">
        <v>11043.82352941176</v>
      </c>
      <c r="FN21">
        <v>10</v>
      </c>
      <c r="FO21">
        <v>1785954672.5999999</v>
      </c>
      <c r="FP21" t="s">
        <v>642</v>
      </c>
      <c r="FQ21">
        <v>1785954672.5999999</v>
      </c>
      <c r="FR21">
        <v>1785954669.0999999</v>
      </c>
      <c r="FS21">
        <v>52</v>
      </c>
      <c r="FT21">
        <v>-3.5999999999999997E-2</v>
      </c>
      <c r="FU21">
        <v>-4.0000000000000001E-3</v>
      </c>
      <c r="FV21">
        <v>-11.3</v>
      </c>
      <c r="FW21">
        <v>-0.61799999999999999</v>
      </c>
      <c r="FX21">
        <v>455</v>
      </c>
      <c r="FY21">
        <v>19</v>
      </c>
      <c r="FZ21">
        <v>0.3</v>
      </c>
      <c r="GA21">
        <v>0.11</v>
      </c>
      <c r="GB21">
        <v>419.99470000000002</v>
      </c>
      <c r="GC21">
        <v>0.15721468298147481</v>
      </c>
      <c r="GD21">
        <v>6.9109164852911992E-2</v>
      </c>
      <c r="GE21">
        <v>-1</v>
      </c>
      <c r="GF21">
        <v>997.64032352941183</v>
      </c>
      <c r="GG21">
        <v>3.5933231462771089</v>
      </c>
      <c r="GH21">
        <v>0.40469957779802901</v>
      </c>
      <c r="GI21">
        <v>1</v>
      </c>
      <c r="GJ21">
        <v>2.3158562499999999</v>
      </c>
      <c r="GK21">
        <v>-8.7986116322707631E-3</v>
      </c>
      <c r="GL21">
        <v>3.0192430239217088E-3</v>
      </c>
      <c r="GM21">
        <v>1</v>
      </c>
      <c r="GN21">
        <v>2</v>
      </c>
      <c r="GO21">
        <v>2</v>
      </c>
      <c r="GP21" t="s">
        <v>411</v>
      </c>
      <c r="GQ21">
        <v>3.1308699999999998</v>
      </c>
      <c r="GR21">
        <v>2.7255600000000002</v>
      </c>
      <c r="GS21">
        <v>9.3813499999999994E-2</v>
      </c>
      <c r="GT21">
        <v>9.8501599999999995E-2</v>
      </c>
      <c r="GU21">
        <v>0.10721600000000001</v>
      </c>
      <c r="GV21">
        <v>9.7493099999999999E-2</v>
      </c>
      <c r="GW21">
        <v>22910.5</v>
      </c>
      <c r="GX21">
        <v>30345</v>
      </c>
      <c r="GY21">
        <v>27396.3</v>
      </c>
      <c r="GZ21">
        <v>34570.9</v>
      </c>
      <c r="HA21">
        <v>35783.1</v>
      </c>
      <c r="HB21">
        <v>39269.800000000003</v>
      </c>
      <c r="HC21">
        <v>40438.5</v>
      </c>
      <c r="HD21">
        <v>43601.8</v>
      </c>
      <c r="HE21">
        <v>2.0306000000000002</v>
      </c>
      <c r="HF21">
        <v>1.9096</v>
      </c>
      <c r="HG21">
        <v>2.2649800000000001E-2</v>
      </c>
      <c r="HH21">
        <v>0</v>
      </c>
      <c r="HI21">
        <v>24.611899999999999</v>
      </c>
      <c r="HJ21">
        <v>999.9</v>
      </c>
      <c r="HK21">
        <v>59.9</v>
      </c>
      <c r="HL21">
        <v>31.7</v>
      </c>
      <c r="HM21">
        <v>28.743500000000001</v>
      </c>
      <c r="HN21">
        <v>60.448799999999999</v>
      </c>
      <c r="HO21">
        <v>4.375</v>
      </c>
      <c r="HP21">
        <v>1</v>
      </c>
      <c r="HQ21">
        <v>2.8739799999999999E-2</v>
      </c>
      <c r="HR21">
        <v>1.3146800000000001</v>
      </c>
      <c r="HS21">
        <v>20.243600000000001</v>
      </c>
      <c r="HT21">
        <v>5.2112999999999996</v>
      </c>
      <c r="HU21">
        <v>11.902100000000001</v>
      </c>
      <c r="HV21">
        <v>4.9859999999999998</v>
      </c>
      <c r="HW21">
        <v>3.2704</v>
      </c>
      <c r="HX21">
        <v>9999</v>
      </c>
      <c r="HY21">
        <v>9999</v>
      </c>
      <c r="HZ21">
        <v>9999</v>
      </c>
      <c r="IA21">
        <v>999.9</v>
      </c>
      <c r="IB21">
        <v>1.86707</v>
      </c>
      <c r="IC21">
        <v>1.8626400000000001</v>
      </c>
      <c r="ID21">
        <v>1.8621799999999999</v>
      </c>
      <c r="IE21">
        <v>1.8616299999999999</v>
      </c>
      <c r="IF21">
        <v>1.86172</v>
      </c>
      <c r="IG21">
        <v>1.8623400000000001</v>
      </c>
      <c r="IH21">
        <v>1.8632500000000001</v>
      </c>
      <c r="II21">
        <v>1.86127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-11.169</v>
      </c>
      <c r="IX21">
        <v>-0.54949999999999999</v>
      </c>
      <c r="IY21">
        <v>-9.1618486738580316</v>
      </c>
      <c r="IZ21">
        <v>-5.6215304933332991E-3</v>
      </c>
      <c r="JA21">
        <v>2.3979931213773931E-6</v>
      </c>
      <c r="JB21">
        <v>-3.6297174575716598E-10</v>
      </c>
      <c r="JC21">
        <v>-0.89049649648130624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1.7</v>
      </c>
      <c r="JL21">
        <v>1.8</v>
      </c>
      <c r="JM21">
        <v>1.17432</v>
      </c>
      <c r="JN21">
        <v>2.4939</v>
      </c>
      <c r="JO21">
        <v>1.50024</v>
      </c>
      <c r="JP21">
        <v>2.2766099999999998</v>
      </c>
      <c r="JQ21">
        <v>1.4477500000000001</v>
      </c>
      <c r="JR21">
        <v>2.49878</v>
      </c>
      <c r="JS21">
        <v>35.941200000000002</v>
      </c>
      <c r="JT21">
        <v>24.096299999999999</v>
      </c>
      <c r="JU21">
        <v>18</v>
      </c>
      <c r="JV21">
        <v>532.072</v>
      </c>
      <c r="JW21">
        <v>471.41199999999998</v>
      </c>
      <c r="JX21">
        <v>23.2986</v>
      </c>
      <c r="JY21">
        <v>27.582999999999998</v>
      </c>
      <c r="JZ21">
        <v>30</v>
      </c>
      <c r="KA21">
        <v>27.606300000000001</v>
      </c>
      <c r="KB21">
        <v>27.620799999999999</v>
      </c>
      <c r="KC21">
        <v>23.4833</v>
      </c>
      <c r="KD21">
        <v>38.509500000000003</v>
      </c>
      <c r="KE21">
        <v>0</v>
      </c>
      <c r="KF21">
        <v>23.2957</v>
      </c>
      <c r="KG21">
        <v>455.48099999999999</v>
      </c>
      <c r="KH21">
        <v>19.219200000000001</v>
      </c>
      <c r="KI21">
        <v>101.084</v>
      </c>
      <c r="KJ21">
        <v>98.357900000000001</v>
      </c>
    </row>
    <row r="22" spans="1:296" x14ac:dyDescent="0.3">
      <c r="A22">
        <v>6</v>
      </c>
      <c r="B22">
        <v>1785954957.0999999</v>
      </c>
      <c r="C22">
        <v>907.59999990463257</v>
      </c>
      <c r="D22" t="s">
        <v>643</v>
      </c>
      <c r="E22" t="s">
        <v>644</v>
      </c>
      <c r="F22">
        <v>15</v>
      </c>
      <c r="H22">
        <v>1785954949.099999</v>
      </c>
      <c r="I22">
        <f t="shared" si="0"/>
        <v>1.8693912614522773E-3</v>
      </c>
      <c r="J22">
        <f t="shared" si="1"/>
        <v>1.8693912614522774</v>
      </c>
      <c r="K22">
        <f t="shared" si="2"/>
        <v>27.150734875152189</v>
      </c>
      <c r="L22">
        <f t="shared" si="3"/>
        <v>420.01322580645171</v>
      </c>
      <c r="M22">
        <f t="shared" si="4"/>
        <v>154.12816010121523</v>
      </c>
      <c r="N22">
        <f t="shared" si="5"/>
        <v>15.08422915940651</v>
      </c>
      <c r="O22">
        <f t="shared" si="6"/>
        <v>41.105893588073243</v>
      </c>
      <c r="P22">
        <f t="shared" si="7"/>
        <v>0.17129691369111472</v>
      </c>
      <c r="Q22">
        <f t="shared" si="8"/>
        <v>2.8919081405091029</v>
      </c>
      <c r="R22">
        <f t="shared" si="9"/>
        <v>0.16585313085824763</v>
      </c>
      <c r="S22">
        <f t="shared" si="10"/>
        <v>0.10413289759821905</v>
      </c>
      <c r="T22">
        <f t="shared" si="11"/>
        <v>128.27978729206845</v>
      </c>
      <c r="U22">
        <f t="shared" si="12"/>
        <v>25.562283599093423</v>
      </c>
      <c r="V22">
        <f t="shared" si="13"/>
        <v>24.996709677419361</v>
      </c>
      <c r="W22">
        <f t="shared" si="14"/>
        <v>3.1790538986718966</v>
      </c>
      <c r="X22">
        <f t="shared" si="15"/>
        <v>65.09706496403696</v>
      </c>
      <c r="Y22">
        <f t="shared" si="16"/>
        <v>2.1057302120486106</v>
      </c>
      <c r="Z22">
        <f t="shared" si="17"/>
        <v>3.2347544596855893</v>
      </c>
      <c r="AA22">
        <f t="shared" si="18"/>
        <v>1.073323686623286</v>
      </c>
      <c r="AB22">
        <f t="shared" si="19"/>
        <v>-82.440154630045427</v>
      </c>
      <c r="AC22">
        <f t="shared" si="20"/>
        <v>45.470980560287423</v>
      </c>
      <c r="AD22">
        <f t="shared" si="21"/>
        <v>3.3306803826038065</v>
      </c>
      <c r="AE22">
        <f t="shared" si="22"/>
        <v>94.641293604914267</v>
      </c>
      <c r="AF22">
        <f t="shared" si="23"/>
        <v>27.150734875152189</v>
      </c>
      <c r="AG22">
        <f t="shared" si="24"/>
        <v>1.8693912614522774</v>
      </c>
      <c r="AH22">
        <f t="shared" si="25"/>
        <v>27.132782984332714</v>
      </c>
      <c r="AI22">
        <v>462.39703848994941</v>
      </c>
      <c r="AJ22">
        <v>429.22265454545459</v>
      </c>
      <c r="AK22">
        <v>-4.9698846540330846E-3</v>
      </c>
      <c r="AL22">
        <v>67.06703893053475</v>
      </c>
      <c r="AM22">
        <f t="shared" si="26"/>
        <v>1.8696091653755385</v>
      </c>
      <c r="AN22">
        <v>19.31975312063793</v>
      </c>
      <c r="AO22">
        <v>21.51527999999999</v>
      </c>
      <c r="AP22">
        <v>-4.4766086298996979E-5</v>
      </c>
      <c r="AQ22">
        <v>78.151588353266717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52046.582476847288</v>
      </c>
      <c r="AW22" t="s">
        <v>624</v>
      </c>
      <c r="AX22">
        <v>13234.2</v>
      </c>
      <c r="AY22">
        <v>688.18235294117653</v>
      </c>
      <c r="AZ22">
        <v>2345.1</v>
      </c>
      <c r="BA22">
        <f t="shared" si="30"/>
        <v>0.70654455974535135</v>
      </c>
      <c r="BB22">
        <v>-2.4516348080741319</v>
      </c>
      <c r="BC22" t="s">
        <v>645</v>
      </c>
      <c r="BD22">
        <v>13233.2</v>
      </c>
      <c r="BE22">
        <v>991.50976470588239</v>
      </c>
      <c r="BF22">
        <v>1570.2</v>
      </c>
      <c r="BG22">
        <f t="shared" si="31"/>
        <v>0.3685455580780268</v>
      </c>
      <c r="BH22">
        <v>0.5</v>
      </c>
      <c r="BI22">
        <f t="shared" si="32"/>
        <v>672.31599846990002</v>
      </c>
      <c r="BJ22">
        <f t="shared" si="33"/>
        <v>27.150734875152189</v>
      </c>
      <c r="BK22">
        <f t="shared" si="34"/>
        <v>123.88953743043756</v>
      </c>
      <c r="BL22">
        <f t="shared" si="35"/>
        <v>4.4030440671644432E-2</v>
      </c>
      <c r="BM22">
        <f t="shared" si="36"/>
        <v>0.4935040122277416</v>
      </c>
      <c r="BN22">
        <f t="shared" si="37"/>
        <v>601.126368352187</v>
      </c>
      <c r="BO22" t="s">
        <v>408</v>
      </c>
      <c r="BP22">
        <v>0</v>
      </c>
      <c r="BQ22">
        <f t="shared" si="38"/>
        <v>601.126368352187</v>
      </c>
      <c r="BR22">
        <f t="shared" si="39"/>
        <v>0.6171657315296224</v>
      </c>
      <c r="BS22">
        <f t="shared" si="40"/>
        <v>0.59715816878652728</v>
      </c>
      <c r="BT22">
        <f t="shared" si="41"/>
        <v>0.44433011253032934</v>
      </c>
      <c r="BU22">
        <f t="shared" si="42"/>
        <v>0.6560982506685874</v>
      </c>
      <c r="BV22">
        <f t="shared" si="43"/>
        <v>0.46767562731649126</v>
      </c>
      <c r="BW22">
        <f t="shared" si="44"/>
        <v>0.36204133747585449</v>
      </c>
      <c r="BX22">
        <f t="shared" si="45"/>
        <v>0.63795866252414557</v>
      </c>
      <c r="DG22">
        <f t="shared" si="46"/>
        <v>800.00690322580647</v>
      </c>
      <c r="DH22">
        <f t="shared" si="47"/>
        <v>672.31599846990002</v>
      </c>
      <c r="DI22">
        <f t="shared" si="48"/>
        <v>0.8403877463544025</v>
      </c>
      <c r="DJ22">
        <f t="shared" si="49"/>
        <v>0.16034835046399687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1785954949.099999</v>
      </c>
      <c r="DQ22">
        <v>420.01322580645171</v>
      </c>
      <c r="DR22">
        <v>453.53616129032253</v>
      </c>
      <c r="DS22">
        <v>21.51600322580645</v>
      </c>
      <c r="DT22">
        <v>19.321009677419362</v>
      </c>
      <c r="DU22">
        <v>431.24564516129033</v>
      </c>
      <c r="DV22">
        <v>22.065061290322578</v>
      </c>
      <c r="DW22">
        <v>500.00222580645158</v>
      </c>
      <c r="DX22">
        <v>97.819206451612914</v>
      </c>
      <c r="DY22">
        <v>4.8886890322580652E-2</v>
      </c>
      <c r="DZ22">
        <v>25.28836129032257</v>
      </c>
      <c r="EA22">
        <v>24.996709677419361</v>
      </c>
      <c r="EB22">
        <v>999.90000000000032</v>
      </c>
      <c r="EC22">
        <v>0</v>
      </c>
      <c r="ED22">
        <v>0</v>
      </c>
      <c r="EE22">
        <v>10005.16129032258</v>
      </c>
      <c r="EF22">
        <v>0</v>
      </c>
      <c r="EG22">
        <v>81.449193548387086</v>
      </c>
      <c r="EH22">
        <v>-33.52281935483871</v>
      </c>
      <c r="EI22">
        <v>429.24893548387092</v>
      </c>
      <c r="EJ22">
        <v>462.47151612903218</v>
      </c>
      <c r="EK22">
        <v>2.19500064516129</v>
      </c>
      <c r="EL22">
        <v>453.53616129032253</v>
      </c>
      <c r="EM22">
        <v>19.321009677419362</v>
      </c>
      <c r="EN22">
        <v>2.104678387096774</v>
      </c>
      <c r="EO22">
        <v>1.8899645161290319</v>
      </c>
      <c r="EP22">
        <v>18.254632258064522</v>
      </c>
      <c r="EQ22">
        <v>16.551419354838711</v>
      </c>
      <c r="ER22">
        <v>800.00690322580647</v>
      </c>
      <c r="ES22">
        <v>0.98699364516129018</v>
      </c>
      <c r="ET22">
        <v>1.300673548387097E-2</v>
      </c>
      <c r="EU22">
        <v>0</v>
      </c>
      <c r="EV22">
        <v>991.36106451612909</v>
      </c>
      <c r="EW22">
        <v>5.0010700000000003</v>
      </c>
      <c r="EX22">
        <v>8844.0012903225797</v>
      </c>
      <c r="EY22">
        <v>7246.6641935483876</v>
      </c>
      <c r="EZ22">
        <v>35.887</v>
      </c>
      <c r="FA22">
        <v>38.324193548387079</v>
      </c>
      <c r="FB22">
        <v>37.374935483870964</v>
      </c>
      <c r="FC22">
        <v>37.932999999999993</v>
      </c>
      <c r="FD22">
        <v>37.786000000000001</v>
      </c>
      <c r="FE22">
        <v>784.6664516129033</v>
      </c>
      <c r="FF22">
        <v>10.339999999999989</v>
      </c>
      <c r="FG22">
        <v>0</v>
      </c>
      <c r="FH22">
        <v>180.70000004768369</v>
      </c>
      <c r="FI22">
        <v>0</v>
      </c>
      <c r="FJ22">
        <v>991.50976470588239</v>
      </c>
      <c r="FK22">
        <v>5.3075980377092717</v>
      </c>
      <c r="FL22">
        <v>54.718137405281396</v>
      </c>
      <c r="FM22">
        <v>8845.0517647058823</v>
      </c>
      <c r="FN22">
        <v>10</v>
      </c>
      <c r="FO22">
        <v>1785954844.5999999</v>
      </c>
      <c r="FP22" t="s">
        <v>646</v>
      </c>
      <c r="FQ22">
        <v>1785954841.0999999</v>
      </c>
      <c r="FR22">
        <v>1785954844.5999999</v>
      </c>
      <c r="FS22">
        <v>53</v>
      </c>
      <c r="FT22">
        <v>-6.3E-2</v>
      </c>
      <c r="FU22">
        <v>2E-3</v>
      </c>
      <c r="FV22">
        <v>-11.356999999999999</v>
      </c>
      <c r="FW22">
        <v>-0.60699999999999998</v>
      </c>
      <c r="FX22">
        <v>454</v>
      </c>
      <c r="FY22">
        <v>19</v>
      </c>
      <c r="FZ22">
        <v>0.27</v>
      </c>
      <c r="GA22">
        <v>0.11</v>
      </c>
      <c r="GB22">
        <v>420.01209677419348</v>
      </c>
      <c r="GC22">
        <v>0.2059354838704999</v>
      </c>
      <c r="GD22">
        <v>6.0279646615132909E-2</v>
      </c>
      <c r="GE22">
        <v>-1</v>
      </c>
      <c r="GF22">
        <v>991.23873529411776</v>
      </c>
      <c r="GG22">
        <v>2.7932925874203871</v>
      </c>
      <c r="GH22">
        <v>0.34385926574206688</v>
      </c>
      <c r="GI22">
        <v>1</v>
      </c>
      <c r="GJ22">
        <v>2.196864146341464</v>
      </c>
      <c r="GK22">
        <v>-2.7968571428570971E-2</v>
      </c>
      <c r="GL22">
        <v>4.3778160139223534E-3</v>
      </c>
      <c r="GM22">
        <v>1</v>
      </c>
      <c r="GN22">
        <v>2</v>
      </c>
      <c r="GO22">
        <v>2</v>
      </c>
      <c r="GP22" t="s">
        <v>411</v>
      </c>
      <c r="GQ22">
        <v>3.1308199999999999</v>
      </c>
      <c r="GR22">
        <v>2.7251599999999998</v>
      </c>
      <c r="GS22">
        <v>9.3803499999999998E-2</v>
      </c>
      <c r="GT22">
        <v>9.81461E-2</v>
      </c>
      <c r="GU22">
        <v>0.107025</v>
      </c>
      <c r="GV22">
        <v>9.7741499999999995E-2</v>
      </c>
      <c r="GW22">
        <v>22909.599999999999</v>
      </c>
      <c r="GX22">
        <v>30353.3</v>
      </c>
      <c r="GY22">
        <v>27395.1</v>
      </c>
      <c r="GZ22">
        <v>34567</v>
      </c>
      <c r="HA22">
        <v>35789.800000000003</v>
      </c>
      <c r="HB22">
        <v>39256</v>
      </c>
      <c r="HC22">
        <v>40437.1</v>
      </c>
      <c r="HD22">
        <v>43598.6</v>
      </c>
      <c r="HE22">
        <v>2.0318000000000001</v>
      </c>
      <c r="HF22">
        <v>1.9076</v>
      </c>
      <c r="HG22">
        <v>1.9669499999999999E-2</v>
      </c>
      <c r="HH22">
        <v>0</v>
      </c>
      <c r="HI22">
        <v>24.690799999999999</v>
      </c>
      <c r="HJ22">
        <v>999.9</v>
      </c>
      <c r="HK22">
        <v>59.9</v>
      </c>
      <c r="HL22">
        <v>31.7</v>
      </c>
      <c r="HM22">
        <v>28.746400000000001</v>
      </c>
      <c r="HN22">
        <v>60.098799999999997</v>
      </c>
      <c r="HO22">
        <v>4.5112199999999998</v>
      </c>
      <c r="HP22">
        <v>1</v>
      </c>
      <c r="HQ22">
        <v>3.2032499999999998E-2</v>
      </c>
      <c r="HR22">
        <v>1.1849700000000001</v>
      </c>
      <c r="HS22">
        <v>20.246200000000002</v>
      </c>
      <c r="HT22">
        <v>5.2125000000000004</v>
      </c>
      <c r="HU22">
        <v>11.902100000000001</v>
      </c>
      <c r="HV22">
        <v>4.9859999999999998</v>
      </c>
      <c r="HW22">
        <v>3.2704</v>
      </c>
      <c r="HX22">
        <v>9999</v>
      </c>
      <c r="HY22">
        <v>9999</v>
      </c>
      <c r="HZ22">
        <v>9999</v>
      </c>
      <c r="IA22">
        <v>999.9</v>
      </c>
      <c r="IB22">
        <v>1.86707</v>
      </c>
      <c r="IC22">
        <v>1.86267</v>
      </c>
      <c r="ID22">
        <v>1.8621799999999999</v>
      </c>
      <c r="IE22">
        <v>1.86172</v>
      </c>
      <c r="IF22">
        <v>1.86172</v>
      </c>
      <c r="IG22">
        <v>1.8623400000000001</v>
      </c>
      <c r="IH22">
        <v>1.8632500000000001</v>
      </c>
      <c r="II22">
        <v>1.86127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-11.231999999999999</v>
      </c>
      <c r="IX22">
        <v>-0.54900000000000004</v>
      </c>
      <c r="IY22">
        <v>-9.2249868144487372</v>
      </c>
      <c r="IZ22">
        <v>-5.6215304933332991E-3</v>
      </c>
      <c r="JA22">
        <v>2.3979931213773931E-6</v>
      </c>
      <c r="JB22">
        <v>-3.6297174575716598E-10</v>
      </c>
      <c r="JC22">
        <v>-0.88880189718793168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1.9</v>
      </c>
      <c r="JL22">
        <v>1.9</v>
      </c>
      <c r="JM22">
        <v>1.17065</v>
      </c>
      <c r="JN22">
        <v>2.49512</v>
      </c>
      <c r="JO22">
        <v>1.50024</v>
      </c>
      <c r="JP22">
        <v>2.2766099999999998</v>
      </c>
      <c r="JQ22">
        <v>1.4477500000000001</v>
      </c>
      <c r="JR22">
        <v>2.49268</v>
      </c>
      <c r="JS22">
        <v>36.034700000000001</v>
      </c>
      <c r="JT22">
        <v>24.105</v>
      </c>
      <c r="JU22">
        <v>18</v>
      </c>
      <c r="JV22">
        <v>533.173</v>
      </c>
      <c r="JW22">
        <v>470.43900000000002</v>
      </c>
      <c r="JX22">
        <v>23.501899999999999</v>
      </c>
      <c r="JY22">
        <v>27.627600000000001</v>
      </c>
      <c r="JZ22">
        <v>30.000299999999999</v>
      </c>
      <c r="KA22">
        <v>27.643599999999999</v>
      </c>
      <c r="KB22">
        <v>27.658000000000001</v>
      </c>
      <c r="KC22">
        <v>23.409199999999998</v>
      </c>
      <c r="KD22">
        <v>38.518799999999999</v>
      </c>
      <c r="KE22">
        <v>0</v>
      </c>
      <c r="KF22">
        <v>23.502300000000002</v>
      </c>
      <c r="KG22">
        <v>453.56099999999998</v>
      </c>
      <c r="KH22">
        <v>19.290400000000002</v>
      </c>
      <c r="KI22">
        <v>101.08</v>
      </c>
      <c r="KJ22">
        <v>98.3489</v>
      </c>
    </row>
    <row r="23" spans="1:296" x14ac:dyDescent="0.3">
      <c r="A23">
        <v>7</v>
      </c>
      <c r="B23">
        <v>1785955138.5999999</v>
      </c>
      <c r="C23">
        <v>1089.099999904633</v>
      </c>
      <c r="D23" t="s">
        <v>647</v>
      </c>
      <c r="E23" t="s">
        <v>648</v>
      </c>
      <c r="F23">
        <v>15</v>
      </c>
      <c r="H23">
        <v>1785955130.849999</v>
      </c>
      <c r="I23">
        <f t="shared" si="0"/>
        <v>1.7099526325241804E-3</v>
      </c>
      <c r="J23">
        <f t="shared" si="1"/>
        <v>1.7099526325241805</v>
      </c>
      <c r="K23">
        <f t="shared" si="2"/>
        <v>24.689174457654783</v>
      </c>
      <c r="L23">
        <f t="shared" si="3"/>
        <v>420.02463333333338</v>
      </c>
      <c r="M23">
        <f t="shared" si="4"/>
        <v>153.71673900973877</v>
      </c>
      <c r="N23">
        <f t="shared" si="5"/>
        <v>15.043636824604146</v>
      </c>
      <c r="O23">
        <f t="shared" si="6"/>
        <v>41.106115586109752</v>
      </c>
      <c r="P23">
        <f t="shared" si="7"/>
        <v>0.15513568784534701</v>
      </c>
      <c r="Q23">
        <f t="shared" si="8"/>
        <v>2.8910562555062165</v>
      </c>
      <c r="R23">
        <f t="shared" si="9"/>
        <v>0.15065491262872785</v>
      </c>
      <c r="S23">
        <f t="shared" si="10"/>
        <v>9.4551120261089916E-2</v>
      </c>
      <c r="T23">
        <f t="shared" si="11"/>
        <v>96.344515582068468</v>
      </c>
      <c r="U23">
        <f t="shared" si="12"/>
        <v>25.453468405553458</v>
      </c>
      <c r="V23">
        <f t="shared" si="13"/>
        <v>25.010746666666659</v>
      </c>
      <c r="W23">
        <f t="shared" si="14"/>
        <v>3.1817154004842654</v>
      </c>
      <c r="X23">
        <f t="shared" si="15"/>
        <v>64.793610086923209</v>
      </c>
      <c r="Y23">
        <f t="shared" si="16"/>
        <v>2.1009033260771988</v>
      </c>
      <c r="Z23">
        <f t="shared" si="17"/>
        <v>3.2424545001563474</v>
      </c>
      <c r="AA23">
        <f t="shared" si="18"/>
        <v>1.0808120744070666</v>
      </c>
      <c r="AB23">
        <f t="shared" si="19"/>
        <v>-75.408911094316352</v>
      </c>
      <c r="AC23">
        <f t="shared" si="20"/>
        <v>49.499891483030915</v>
      </c>
      <c r="AD23">
        <f t="shared" si="21"/>
        <v>3.6278461511637499</v>
      </c>
      <c r="AE23">
        <f t="shared" si="22"/>
        <v>74.063342121946789</v>
      </c>
      <c r="AF23">
        <f t="shared" si="23"/>
        <v>24.689174457654783</v>
      </c>
      <c r="AG23">
        <f t="shared" si="24"/>
        <v>1.7099526325241805</v>
      </c>
      <c r="AH23">
        <f t="shared" si="25"/>
        <v>24.686356730887614</v>
      </c>
      <c r="AI23">
        <v>459.45769285696639</v>
      </c>
      <c r="AJ23">
        <v>429.26766060606019</v>
      </c>
      <c r="AK23">
        <v>-4.0241365607879831E-3</v>
      </c>
      <c r="AL23">
        <v>67.086101049326501</v>
      </c>
      <c r="AM23">
        <f t="shared" si="26"/>
        <v>1.7044018589364327</v>
      </c>
      <c r="AN23">
        <v>19.46239113449948</v>
      </c>
      <c r="AO23">
        <v>21.463406060606061</v>
      </c>
      <c r="AP23">
        <v>5.7533554558634988E-5</v>
      </c>
      <c r="AQ23">
        <v>78.233306961913485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52015.153204550705</v>
      </c>
      <c r="AW23" t="s">
        <v>624</v>
      </c>
      <c r="AX23">
        <v>13234.2</v>
      </c>
      <c r="AY23">
        <v>688.18235294117653</v>
      </c>
      <c r="AZ23">
        <v>2345.1</v>
      </c>
      <c r="BA23">
        <f t="shared" si="30"/>
        <v>0.70654455974535135</v>
      </c>
      <c r="BB23">
        <v>-2.4516348080741319</v>
      </c>
      <c r="BC23" t="s">
        <v>649</v>
      </c>
      <c r="BD23">
        <v>13234</v>
      </c>
      <c r="BE23">
        <v>979.8066470588235</v>
      </c>
      <c r="BF23">
        <v>1740.85</v>
      </c>
      <c r="BG23">
        <f t="shared" si="31"/>
        <v>0.43716767839915927</v>
      </c>
      <c r="BH23">
        <v>0.5</v>
      </c>
      <c r="BI23">
        <f t="shared" si="32"/>
        <v>504.29606730677125</v>
      </c>
      <c r="BJ23">
        <f t="shared" si="33"/>
        <v>24.689174457654783</v>
      </c>
      <c r="BK23">
        <f t="shared" si="34"/>
        <v>110.23097048516368</v>
      </c>
      <c r="BL23">
        <f t="shared" si="35"/>
        <v>5.3819196748204526E-2</v>
      </c>
      <c r="BM23">
        <f t="shared" si="36"/>
        <v>0.34710055432690928</v>
      </c>
      <c r="BN23">
        <f t="shared" si="37"/>
        <v>624.56506368288547</v>
      </c>
      <c r="BO23" t="s">
        <v>408</v>
      </c>
      <c r="BP23">
        <v>0</v>
      </c>
      <c r="BQ23">
        <f t="shared" si="38"/>
        <v>624.56506368288547</v>
      </c>
      <c r="BR23">
        <f t="shared" si="39"/>
        <v>0.64122982239544735</v>
      </c>
      <c r="BS23">
        <f t="shared" si="40"/>
        <v>0.68176442069713561</v>
      </c>
      <c r="BT23">
        <f t="shared" si="41"/>
        <v>0.35119891334111786</v>
      </c>
      <c r="BU23">
        <f t="shared" si="42"/>
        <v>0.72296641306261133</v>
      </c>
      <c r="BV23">
        <f t="shared" si="43"/>
        <v>0.36468318209574124</v>
      </c>
      <c r="BW23">
        <f t="shared" si="44"/>
        <v>0.43458190461109247</v>
      </c>
      <c r="BX23">
        <f t="shared" si="45"/>
        <v>0.56541809538890753</v>
      </c>
      <c r="DG23">
        <f t="shared" si="46"/>
        <v>599.99103333333335</v>
      </c>
      <c r="DH23">
        <f t="shared" si="47"/>
        <v>504.29606730677125</v>
      </c>
      <c r="DI23">
        <f t="shared" si="48"/>
        <v>0.84050600640660333</v>
      </c>
      <c r="DJ23">
        <f t="shared" si="49"/>
        <v>0.16057659236474445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1785955130.849999</v>
      </c>
      <c r="DQ23">
        <v>420.02463333333338</v>
      </c>
      <c r="DR23">
        <v>450.51330000000002</v>
      </c>
      <c r="DS23">
        <v>21.46715</v>
      </c>
      <c r="DT23">
        <v>19.45927</v>
      </c>
      <c r="DU23">
        <v>431.1764</v>
      </c>
      <c r="DV23">
        <v>22.01821</v>
      </c>
      <c r="DW23">
        <v>500.00343333333342</v>
      </c>
      <c r="DX23">
        <v>97.816943333333327</v>
      </c>
      <c r="DY23">
        <v>4.9020526666666668E-2</v>
      </c>
      <c r="DZ23">
        <v>25.32833333333334</v>
      </c>
      <c r="EA23">
        <v>25.010746666666659</v>
      </c>
      <c r="EB23">
        <v>999.9000000000002</v>
      </c>
      <c r="EC23">
        <v>0</v>
      </c>
      <c r="ED23">
        <v>0</v>
      </c>
      <c r="EE23">
        <v>10000.5</v>
      </c>
      <c r="EF23">
        <v>0</v>
      </c>
      <c r="EG23">
        <v>81.985773333333327</v>
      </c>
      <c r="EH23">
        <v>-30.48853333333334</v>
      </c>
      <c r="EI23">
        <v>429.23933333333332</v>
      </c>
      <c r="EJ23">
        <v>459.45393333333328</v>
      </c>
      <c r="EK23">
        <v>2.0078783333333332</v>
      </c>
      <c r="EL23">
        <v>450.51330000000002</v>
      </c>
      <c r="EM23">
        <v>19.45927</v>
      </c>
      <c r="EN23">
        <v>2.0998516666666669</v>
      </c>
      <c r="EO23">
        <v>1.903446666666667</v>
      </c>
      <c r="EP23">
        <v>18.21806333333333</v>
      </c>
      <c r="EQ23">
        <v>16.663239999999998</v>
      </c>
      <c r="ER23">
        <v>599.99103333333335</v>
      </c>
      <c r="ES23">
        <v>0.98299256666666668</v>
      </c>
      <c r="ET23">
        <v>1.7007533333333338E-2</v>
      </c>
      <c r="EU23">
        <v>0</v>
      </c>
      <c r="EV23">
        <v>979.73860000000025</v>
      </c>
      <c r="EW23">
        <v>5.0010700000000003</v>
      </c>
      <c r="EX23">
        <v>6767.0966666666654</v>
      </c>
      <c r="EY23">
        <v>5415.0146666666678</v>
      </c>
      <c r="EZ23">
        <v>36.285200000000003</v>
      </c>
      <c r="FA23">
        <v>40.155999999999992</v>
      </c>
      <c r="FB23">
        <v>38.130933333333317</v>
      </c>
      <c r="FC23">
        <v>40.47263333333332</v>
      </c>
      <c r="FD23">
        <v>38.835166666666652</v>
      </c>
      <c r="FE23">
        <v>584.87133333333327</v>
      </c>
      <c r="FF23">
        <v>10.119999999999999</v>
      </c>
      <c r="FG23">
        <v>0</v>
      </c>
      <c r="FH23">
        <v>180.79999995231631</v>
      </c>
      <c r="FI23">
        <v>0</v>
      </c>
      <c r="FJ23">
        <v>979.8066470588235</v>
      </c>
      <c r="FK23">
        <v>1.2786764739752661</v>
      </c>
      <c r="FL23">
        <v>40.632352694284407</v>
      </c>
      <c r="FM23">
        <v>6768.8070588235296</v>
      </c>
      <c r="FN23">
        <v>10</v>
      </c>
      <c r="FO23">
        <v>1785955045.5999999</v>
      </c>
      <c r="FP23" t="s">
        <v>650</v>
      </c>
      <c r="FQ23">
        <v>1785955039.0999999</v>
      </c>
      <c r="FR23">
        <v>1785955045.5999999</v>
      </c>
      <c r="FS23">
        <v>54</v>
      </c>
      <c r="FT23">
        <v>0.08</v>
      </c>
      <c r="FU23">
        <v>-1E-3</v>
      </c>
      <c r="FV23">
        <v>-11.266</v>
      </c>
      <c r="FW23">
        <v>-0.60599999999999998</v>
      </c>
      <c r="FX23">
        <v>451</v>
      </c>
      <c r="FY23">
        <v>19</v>
      </c>
      <c r="FZ23">
        <v>0.24</v>
      </c>
      <c r="GA23">
        <v>0.14000000000000001</v>
      </c>
      <c r="GB23">
        <v>420.01773333333341</v>
      </c>
      <c r="GC23">
        <v>0.26504115684099883</v>
      </c>
      <c r="GD23">
        <v>6.0991766293124423E-2</v>
      </c>
      <c r="GE23">
        <v>-1</v>
      </c>
      <c r="GF23">
        <v>979.62267647058832</v>
      </c>
      <c r="GG23">
        <v>1.238640180576146</v>
      </c>
      <c r="GH23">
        <v>0.2343939269174358</v>
      </c>
      <c r="GI23">
        <v>1</v>
      </c>
      <c r="GJ23">
        <v>2.0121799999999999</v>
      </c>
      <c r="GK23">
        <v>-6.7649155722335208E-2</v>
      </c>
      <c r="GL23">
        <v>7.0540885307742267E-3</v>
      </c>
      <c r="GM23">
        <v>1</v>
      </c>
      <c r="GN23">
        <v>2</v>
      </c>
      <c r="GO23">
        <v>2</v>
      </c>
      <c r="GP23" t="s">
        <v>411</v>
      </c>
      <c r="GQ23">
        <v>3.13123</v>
      </c>
      <c r="GR23">
        <v>2.7255099999999999</v>
      </c>
      <c r="GS23">
        <v>9.37968E-2</v>
      </c>
      <c r="GT23">
        <v>9.7662299999999994E-2</v>
      </c>
      <c r="GU23">
        <v>0.10682800000000001</v>
      </c>
      <c r="GV23">
        <v>9.8221000000000003E-2</v>
      </c>
      <c r="GW23">
        <v>22908.5</v>
      </c>
      <c r="GX23">
        <v>30367.8</v>
      </c>
      <c r="GY23">
        <v>27393.8</v>
      </c>
      <c r="GZ23">
        <v>34565.199999999997</v>
      </c>
      <c r="HA23">
        <v>35795.800000000003</v>
      </c>
      <c r="HB23">
        <v>39232.400000000001</v>
      </c>
      <c r="HC23">
        <v>40434.699999999997</v>
      </c>
      <c r="HD23">
        <v>43595.6</v>
      </c>
      <c r="HE23">
        <v>2.0299999999999998</v>
      </c>
      <c r="HF23">
        <v>1.9074</v>
      </c>
      <c r="HG23">
        <v>1.5944199999999999E-2</v>
      </c>
      <c r="HH23">
        <v>0</v>
      </c>
      <c r="HI23">
        <v>24.744900000000001</v>
      </c>
      <c r="HJ23">
        <v>999.9</v>
      </c>
      <c r="HK23">
        <v>59.7</v>
      </c>
      <c r="HL23">
        <v>31.7</v>
      </c>
      <c r="HM23">
        <v>28.6508</v>
      </c>
      <c r="HN23">
        <v>60.2988</v>
      </c>
      <c r="HO23">
        <v>4.5993599999999999</v>
      </c>
      <c r="HP23">
        <v>1</v>
      </c>
      <c r="HQ23">
        <v>3.5122E-2</v>
      </c>
      <c r="HR23">
        <v>1.17821</v>
      </c>
      <c r="HS23">
        <v>20.249199999999998</v>
      </c>
      <c r="HT23">
        <v>5.2112999999999996</v>
      </c>
      <c r="HU23">
        <v>11.902100000000001</v>
      </c>
      <c r="HV23">
        <v>4.9851999999999999</v>
      </c>
      <c r="HW23">
        <v>3.2702</v>
      </c>
      <c r="HX23">
        <v>9999</v>
      </c>
      <c r="HY23">
        <v>9999</v>
      </c>
      <c r="HZ23">
        <v>9999</v>
      </c>
      <c r="IA23">
        <v>999.9</v>
      </c>
      <c r="IB23">
        <v>1.86707</v>
      </c>
      <c r="IC23">
        <v>1.8627</v>
      </c>
      <c r="ID23">
        <v>1.8621799999999999</v>
      </c>
      <c r="IE23">
        <v>1.86172</v>
      </c>
      <c r="IF23">
        <v>1.86172</v>
      </c>
      <c r="IG23">
        <v>1.8623400000000001</v>
      </c>
      <c r="IH23">
        <v>1.8632500000000001</v>
      </c>
      <c r="II23">
        <v>1.86127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-11.151999999999999</v>
      </c>
      <c r="IX23">
        <v>-0.55120000000000002</v>
      </c>
      <c r="IY23">
        <v>-9.1445716255459679</v>
      </c>
      <c r="IZ23">
        <v>-5.6215304933332991E-3</v>
      </c>
      <c r="JA23">
        <v>2.3979931213773931E-6</v>
      </c>
      <c r="JB23">
        <v>-3.6297174575716598E-10</v>
      </c>
      <c r="JC23">
        <v>-0.88956947683442067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1.7</v>
      </c>
      <c r="JL23">
        <v>1.6</v>
      </c>
      <c r="JM23">
        <v>1.16333</v>
      </c>
      <c r="JN23">
        <v>2.50244</v>
      </c>
      <c r="JO23">
        <v>1.50024</v>
      </c>
      <c r="JP23">
        <v>2.2766099999999998</v>
      </c>
      <c r="JQ23">
        <v>1.4477500000000001</v>
      </c>
      <c r="JR23">
        <v>2.34375</v>
      </c>
      <c r="JS23">
        <v>36.104999999999997</v>
      </c>
      <c r="JT23">
        <v>24.105</v>
      </c>
      <c r="JU23">
        <v>18</v>
      </c>
      <c r="JV23">
        <v>532.38800000000003</v>
      </c>
      <c r="JW23">
        <v>470.62900000000002</v>
      </c>
      <c r="JX23">
        <v>23.662099999999999</v>
      </c>
      <c r="JY23">
        <v>27.6675</v>
      </c>
      <c r="JZ23">
        <v>30.0002</v>
      </c>
      <c r="KA23">
        <v>27.683399999999999</v>
      </c>
      <c r="KB23">
        <v>27.6967</v>
      </c>
      <c r="KC23">
        <v>23.280100000000001</v>
      </c>
      <c r="KD23">
        <v>38.194200000000002</v>
      </c>
      <c r="KE23">
        <v>0</v>
      </c>
      <c r="KF23">
        <v>23.6646</v>
      </c>
      <c r="KG23">
        <v>450.5</v>
      </c>
      <c r="KH23">
        <v>19.503499999999999</v>
      </c>
      <c r="KI23">
        <v>101.075</v>
      </c>
      <c r="KJ23">
        <v>98.343000000000004</v>
      </c>
    </row>
    <row r="24" spans="1:296" x14ac:dyDescent="0.3">
      <c r="A24">
        <v>8</v>
      </c>
      <c r="B24">
        <v>1785955320.0999999</v>
      </c>
      <c r="C24">
        <v>1270.599999904633</v>
      </c>
      <c r="D24" t="s">
        <v>651</v>
      </c>
      <c r="E24" t="s">
        <v>652</v>
      </c>
      <c r="F24">
        <v>15</v>
      </c>
      <c r="H24">
        <v>1785955312.099999</v>
      </c>
      <c r="I24">
        <f t="shared" si="0"/>
        <v>1.4852862125095264E-3</v>
      </c>
      <c r="J24">
        <f t="shared" si="1"/>
        <v>1.4852862125095263</v>
      </c>
      <c r="K24">
        <f t="shared" si="2"/>
        <v>20.355546892831562</v>
      </c>
      <c r="L24">
        <f t="shared" si="3"/>
        <v>420.02606451612911</v>
      </c>
      <c r="M24">
        <f t="shared" si="4"/>
        <v>169.28132318429627</v>
      </c>
      <c r="N24">
        <f t="shared" si="5"/>
        <v>16.568507150860555</v>
      </c>
      <c r="O24">
        <f t="shared" si="6"/>
        <v>41.110293342324759</v>
      </c>
      <c r="P24">
        <f t="shared" si="7"/>
        <v>0.135638005635802</v>
      </c>
      <c r="Q24">
        <f t="shared" si="8"/>
        <v>2.8902125704421731</v>
      </c>
      <c r="R24">
        <f t="shared" si="9"/>
        <v>0.13219833509672377</v>
      </c>
      <c r="S24">
        <f t="shared" si="10"/>
        <v>8.2925734957906075E-2</v>
      </c>
      <c r="T24">
        <f t="shared" si="11"/>
        <v>64.417012656724083</v>
      </c>
      <c r="U24">
        <f t="shared" si="12"/>
        <v>25.342134582445652</v>
      </c>
      <c r="V24">
        <f t="shared" si="13"/>
        <v>24.999922580645169</v>
      </c>
      <c r="W24">
        <f t="shared" si="14"/>
        <v>3.1796629136604682</v>
      </c>
      <c r="X24">
        <f t="shared" si="15"/>
        <v>64.986985635102783</v>
      </c>
      <c r="Y24">
        <f t="shared" si="16"/>
        <v>2.1097165829186739</v>
      </c>
      <c r="Z24">
        <f t="shared" si="17"/>
        <v>3.2463678108792111</v>
      </c>
      <c r="AA24">
        <f t="shared" si="18"/>
        <v>1.0699463307417942</v>
      </c>
      <c r="AB24">
        <f t="shared" si="19"/>
        <v>-65.501121971670116</v>
      </c>
      <c r="AC24">
        <f t="shared" si="20"/>
        <v>54.332431480187736</v>
      </c>
      <c r="AD24">
        <f t="shared" si="21"/>
        <v>3.9833750872595486</v>
      </c>
      <c r="AE24">
        <f t="shared" si="22"/>
        <v>57.231697252501249</v>
      </c>
      <c r="AF24">
        <f t="shared" si="23"/>
        <v>20.355546892831562</v>
      </c>
      <c r="AG24">
        <f t="shared" si="24"/>
        <v>1.4852862125095263</v>
      </c>
      <c r="AH24">
        <f t="shared" si="25"/>
        <v>20.298975246392672</v>
      </c>
      <c r="AI24">
        <v>454.12720360514612</v>
      </c>
      <c r="AJ24">
        <v>429.27586666666667</v>
      </c>
      <c r="AK24">
        <v>3.0285751663450272E-4</v>
      </c>
      <c r="AL24">
        <v>67.056093120810033</v>
      </c>
      <c r="AM24">
        <f t="shared" si="26"/>
        <v>1.4909711787943887</v>
      </c>
      <c r="AN24">
        <v>19.81429267230363</v>
      </c>
      <c r="AO24">
        <v>21.56427212121211</v>
      </c>
      <c r="AP24">
        <v>8.2379418357721436E-5</v>
      </c>
      <c r="AQ24">
        <v>78.176129774784428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51987.658948820055</v>
      </c>
      <c r="AW24" t="s">
        <v>624</v>
      </c>
      <c r="AX24">
        <v>13234.2</v>
      </c>
      <c r="AY24">
        <v>688.18235294117653</v>
      </c>
      <c r="AZ24">
        <v>2345.1</v>
      </c>
      <c r="BA24">
        <f t="shared" si="30"/>
        <v>0.70654455974535135</v>
      </c>
      <c r="BB24">
        <v>-2.4516348080741319</v>
      </c>
      <c r="BC24" t="s">
        <v>653</v>
      </c>
      <c r="BD24">
        <v>13237.3</v>
      </c>
      <c r="BE24">
        <v>960.41529411764702</v>
      </c>
      <c r="BF24">
        <v>2001.66</v>
      </c>
      <c r="BG24">
        <f t="shared" si="31"/>
        <v>0.52019059474753604</v>
      </c>
      <c r="BH24">
        <v>0.5</v>
      </c>
      <c r="BI24">
        <f t="shared" si="32"/>
        <v>336.3224956235743</v>
      </c>
      <c r="BJ24">
        <f t="shared" si="33"/>
        <v>20.355546892831562</v>
      </c>
      <c r="BK24">
        <f t="shared" si="34"/>
        <v>87.475899512701346</v>
      </c>
      <c r="BL24">
        <f t="shared" si="35"/>
        <v>6.7813429067892061E-2</v>
      </c>
      <c r="BM24">
        <f t="shared" si="36"/>
        <v>0.17157759059980207</v>
      </c>
      <c r="BN24">
        <f t="shared" si="37"/>
        <v>655.19313150817504</v>
      </c>
      <c r="BO24" t="s">
        <v>408</v>
      </c>
      <c r="BP24">
        <v>0</v>
      </c>
      <c r="BQ24">
        <f t="shared" si="38"/>
        <v>655.19313150817504</v>
      </c>
      <c r="BR24">
        <f t="shared" si="39"/>
        <v>0.67267511390137436</v>
      </c>
      <c r="BS24">
        <f t="shared" si="40"/>
        <v>0.77331624731966064</v>
      </c>
      <c r="BT24">
        <f t="shared" si="41"/>
        <v>0.20323013439581228</v>
      </c>
      <c r="BU24">
        <f t="shared" si="42"/>
        <v>0.79273880923207019</v>
      </c>
      <c r="BV24">
        <f t="shared" si="43"/>
        <v>0.20727644527755285</v>
      </c>
      <c r="BW24">
        <f t="shared" si="44"/>
        <v>0.52755458688629919</v>
      </c>
      <c r="BX24">
        <f t="shared" si="45"/>
        <v>0.47244541311370081</v>
      </c>
      <c r="DG24">
        <f t="shared" si="46"/>
        <v>400.03106451612911</v>
      </c>
      <c r="DH24">
        <f t="shared" si="47"/>
        <v>336.3224956235743</v>
      </c>
      <c r="DI24">
        <f t="shared" si="48"/>
        <v>0.8407409460322397</v>
      </c>
      <c r="DJ24">
        <f t="shared" si="49"/>
        <v>0.16103002584222259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1785955312.099999</v>
      </c>
      <c r="DQ24">
        <v>420.02606451612911</v>
      </c>
      <c r="DR24">
        <v>445.1999677419355</v>
      </c>
      <c r="DS24">
        <v>21.555087096774191</v>
      </c>
      <c r="DT24">
        <v>19.811258064516121</v>
      </c>
      <c r="DU24">
        <v>431.19770967741943</v>
      </c>
      <c r="DV24">
        <v>22.107554838709671</v>
      </c>
      <c r="DW24">
        <v>500.02748387096779</v>
      </c>
      <c r="DX24">
        <v>97.826519354838709</v>
      </c>
      <c r="DY24">
        <v>4.9057461290322582E-2</v>
      </c>
      <c r="DZ24">
        <v>25.348616129032258</v>
      </c>
      <c r="EA24">
        <v>24.999922580645169</v>
      </c>
      <c r="EB24">
        <v>999.90000000000032</v>
      </c>
      <c r="EC24">
        <v>0</v>
      </c>
      <c r="ED24">
        <v>0</v>
      </c>
      <c r="EE24">
        <v>9994.677419354839</v>
      </c>
      <c r="EF24">
        <v>0</v>
      </c>
      <c r="EG24">
        <v>108.3718064516129</v>
      </c>
      <c r="EH24">
        <v>-25.17382580645161</v>
      </c>
      <c r="EI24">
        <v>429.27925806451623</v>
      </c>
      <c r="EJ24">
        <v>454.19816129032262</v>
      </c>
      <c r="EK24">
        <v>1.743828064516129</v>
      </c>
      <c r="EL24">
        <v>445.1999677419355</v>
      </c>
      <c r="EM24">
        <v>19.811258064516121</v>
      </c>
      <c r="EN24">
        <v>2.1086587096774192</v>
      </c>
      <c r="EO24">
        <v>1.9380664516129029</v>
      </c>
      <c r="EP24">
        <v>18.284735483870961</v>
      </c>
      <c r="EQ24">
        <v>16.9472129032258</v>
      </c>
      <c r="ER24">
        <v>400.03106451612911</v>
      </c>
      <c r="ES24">
        <v>0.97498338709677435</v>
      </c>
      <c r="ET24">
        <v>2.5016638709677418E-2</v>
      </c>
      <c r="EU24">
        <v>0</v>
      </c>
      <c r="EV24">
        <v>960.27896774193539</v>
      </c>
      <c r="EW24">
        <v>5.0010700000000003</v>
      </c>
      <c r="EX24">
        <v>4787.5054838709666</v>
      </c>
      <c r="EY24">
        <v>3583.932580645162</v>
      </c>
      <c r="EZ24">
        <v>35.822354838709678</v>
      </c>
      <c r="FA24">
        <v>38.868677419354817</v>
      </c>
      <c r="FB24">
        <v>37.731612903225788</v>
      </c>
      <c r="FC24">
        <v>38.72354838709677</v>
      </c>
      <c r="FD24">
        <v>37.965548387096767</v>
      </c>
      <c r="FE24">
        <v>385.14806451612901</v>
      </c>
      <c r="FF24">
        <v>9.879999999999999</v>
      </c>
      <c r="FG24">
        <v>0</v>
      </c>
      <c r="FH24">
        <v>180.70000004768369</v>
      </c>
      <c r="FI24">
        <v>0</v>
      </c>
      <c r="FJ24">
        <v>960.41529411764702</v>
      </c>
      <c r="FK24">
        <v>1.663725497238919</v>
      </c>
      <c r="FL24">
        <v>45.294117824593961</v>
      </c>
      <c r="FM24">
        <v>4789.990588235295</v>
      </c>
      <c r="FN24">
        <v>10</v>
      </c>
      <c r="FO24">
        <v>1785955239.5999999</v>
      </c>
      <c r="FP24" t="s">
        <v>654</v>
      </c>
      <c r="FQ24">
        <v>1785955239.5999999</v>
      </c>
      <c r="FR24">
        <v>1785955233.5999999</v>
      </c>
      <c r="FS24">
        <v>55</v>
      </c>
      <c r="FT24">
        <v>-0.02</v>
      </c>
      <c r="FU24">
        <v>-4.0000000000000001E-3</v>
      </c>
      <c r="FV24">
        <v>-11.266999999999999</v>
      </c>
      <c r="FW24">
        <v>-0.60099999999999998</v>
      </c>
      <c r="FX24">
        <v>446</v>
      </c>
      <c r="FY24">
        <v>20</v>
      </c>
      <c r="FZ24">
        <v>0.3</v>
      </c>
      <c r="GA24">
        <v>0.18</v>
      </c>
      <c r="GB24">
        <v>420.02606451612911</v>
      </c>
      <c r="GC24">
        <v>-4.9838709677602941E-2</v>
      </c>
      <c r="GD24">
        <v>4.1374712148978809E-2</v>
      </c>
      <c r="GE24">
        <v>-1</v>
      </c>
      <c r="GF24">
        <v>960.11217647058811</v>
      </c>
      <c r="GG24">
        <v>3.7163941886909542</v>
      </c>
      <c r="GH24">
        <v>0.4121212322055342</v>
      </c>
      <c r="GI24">
        <v>1</v>
      </c>
      <c r="GJ24">
        <v>1.745214146341463</v>
      </c>
      <c r="GK24">
        <v>-7.7228571428577218E-3</v>
      </c>
      <c r="GL24">
        <v>4.5903095042096912E-3</v>
      </c>
      <c r="GM24">
        <v>1</v>
      </c>
      <c r="GN24">
        <v>2</v>
      </c>
      <c r="GO24">
        <v>2</v>
      </c>
      <c r="GP24" t="s">
        <v>411</v>
      </c>
      <c r="GQ24">
        <v>3.1315300000000001</v>
      </c>
      <c r="GR24">
        <v>2.7246100000000002</v>
      </c>
      <c r="GS24">
        <v>9.3789899999999995E-2</v>
      </c>
      <c r="GT24">
        <v>9.6796599999999997E-2</v>
      </c>
      <c r="GU24">
        <v>0.107195</v>
      </c>
      <c r="GV24">
        <v>9.9501300000000001E-2</v>
      </c>
      <c r="GW24">
        <v>22906.5</v>
      </c>
      <c r="GX24">
        <v>30394.5</v>
      </c>
      <c r="GY24">
        <v>27391.4</v>
      </c>
      <c r="GZ24">
        <v>34562.800000000003</v>
      </c>
      <c r="HA24">
        <v>35778.800000000003</v>
      </c>
      <c r="HB24">
        <v>39175</v>
      </c>
      <c r="HC24">
        <v>40432</v>
      </c>
      <c r="HD24">
        <v>43594.1</v>
      </c>
      <c r="HE24">
        <v>2.0306000000000002</v>
      </c>
      <c r="HF24">
        <v>1.9059999999999999</v>
      </c>
      <c r="HG24">
        <v>9.0897100000000008E-3</v>
      </c>
      <c r="HH24">
        <v>0</v>
      </c>
      <c r="HI24">
        <v>24.8597</v>
      </c>
      <c r="HJ24">
        <v>999.9</v>
      </c>
      <c r="HK24">
        <v>59.7</v>
      </c>
      <c r="HL24">
        <v>31.8</v>
      </c>
      <c r="HM24">
        <v>28.811599999999999</v>
      </c>
      <c r="HN24">
        <v>60.188800000000001</v>
      </c>
      <c r="HO24">
        <v>4.4911899999999996</v>
      </c>
      <c r="HP24">
        <v>1</v>
      </c>
      <c r="HQ24">
        <v>3.9024400000000001E-2</v>
      </c>
      <c r="HR24">
        <v>1.04758</v>
      </c>
      <c r="HS24">
        <v>20.250499999999999</v>
      </c>
      <c r="HT24">
        <v>5.2125000000000004</v>
      </c>
      <c r="HU24">
        <v>11.902100000000001</v>
      </c>
      <c r="HV24">
        <v>4.9859999999999998</v>
      </c>
      <c r="HW24">
        <v>3.2702</v>
      </c>
      <c r="HX24">
        <v>9999</v>
      </c>
      <c r="HY24">
        <v>9999</v>
      </c>
      <c r="HZ24">
        <v>9999</v>
      </c>
      <c r="IA24">
        <v>999.9</v>
      </c>
      <c r="IB24">
        <v>1.8671</v>
      </c>
      <c r="IC24">
        <v>1.8626400000000001</v>
      </c>
      <c r="ID24">
        <v>1.8621799999999999</v>
      </c>
      <c r="IE24">
        <v>1.86172</v>
      </c>
      <c r="IF24">
        <v>1.86175</v>
      </c>
      <c r="IG24">
        <v>1.8623700000000001</v>
      </c>
      <c r="IH24">
        <v>1.8632500000000001</v>
      </c>
      <c r="II24">
        <v>1.86127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-11.172000000000001</v>
      </c>
      <c r="IX24">
        <v>-0.55210000000000004</v>
      </c>
      <c r="IY24">
        <v>-9.1644035981098071</v>
      </c>
      <c r="IZ24">
        <v>-5.6215304933332991E-3</v>
      </c>
      <c r="JA24">
        <v>2.3979931213773931E-6</v>
      </c>
      <c r="JB24">
        <v>-3.6297174575716598E-10</v>
      </c>
      <c r="JC24">
        <v>-0.89333874217994147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1.3</v>
      </c>
      <c r="JL24">
        <v>1.4</v>
      </c>
      <c r="JM24">
        <v>1.1535599999999999</v>
      </c>
      <c r="JN24">
        <v>2.49268</v>
      </c>
      <c r="JO24">
        <v>1.50024</v>
      </c>
      <c r="JP24">
        <v>2.2766099999999998</v>
      </c>
      <c r="JQ24">
        <v>1.4477500000000001</v>
      </c>
      <c r="JR24">
        <v>2.48047</v>
      </c>
      <c r="JS24">
        <v>36.175400000000003</v>
      </c>
      <c r="JT24">
        <v>24.096299999999999</v>
      </c>
      <c r="JU24">
        <v>18</v>
      </c>
      <c r="JV24">
        <v>533.23599999999999</v>
      </c>
      <c r="JW24">
        <v>470.15100000000001</v>
      </c>
      <c r="JX24">
        <v>23.7272</v>
      </c>
      <c r="JY24">
        <v>27.726299999999998</v>
      </c>
      <c r="JZ24">
        <v>29.9999</v>
      </c>
      <c r="KA24">
        <v>27.734999999999999</v>
      </c>
      <c r="KB24">
        <v>27.746600000000001</v>
      </c>
      <c r="KC24">
        <v>23.065100000000001</v>
      </c>
      <c r="KD24">
        <v>37.496000000000002</v>
      </c>
      <c r="KE24">
        <v>0</v>
      </c>
      <c r="KF24">
        <v>23.719899999999999</v>
      </c>
      <c r="KG24">
        <v>445.185</v>
      </c>
      <c r="KH24">
        <v>19.777200000000001</v>
      </c>
      <c r="KI24">
        <v>101.06699999999999</v>
      </c>
      <c r="KJ24">
        <v>98.338099999999997</v>
      </c>
    </row>
    <row r="25" spans="1:296" x14ac:dyDescent="0.3">
      <c r="A25">
        <v>9</v>
      </c>
      <c r="B25">
        <v>1785955501.5999999</v>
      </c>
      <c r="C25">
        <v>1452.099999904633</v>
      </c>
      <c r="D25" t="s">
        <v>655</v>
      </c>
      <c r="E25" t="s">
        <v>656</v>
      </c>
      <c r="F25">
        <v>15</v>
      </c>
      <c r="H25">
        <v>1785955493.849999</v>
      </c>
      <c r="I25">
        <f t="shared" si="0"/>
        <v>1.2968077526699013E-3</v>
      </c>
      <c r="J25">
        <f t="shared" si="1"/>
        <v>1.2968077526699013</v>
      </c>
      <c r="K25">
        <f t="shared" si="2"/>
        <v>16.41053973733095</v>
      </c>
      <c r="L25">
        <f t="shared" si="3"/>
        <v>420.03173333333342</v>
      </c>
      <c r="M25">
        <f t="shared" si="4"/>
        <v>185.5293579836285</v>
      </c>
      <c r="N25">
        <f t="shared" si="5"/>
        <v>18.157427693358255</v>
      </c>
      <c r="O25">
        <f t="shared" si="6"/>
        <v>41.107757337191529</v>
      </c>
      <c r="P25">
        <f t="shared" si="7"/>
        <v>0.11684703566349951</v>
      </c>
      <c r="Q25">
        <f t="shared" si="8"/>
        <v>2.8927601023460214</v>
      </c>
      <c r="R25">
        <f t="shared" si="9"/>
        <v>0.11428690196702156</v>
      </c>
      <c r="S25">
        <f t="shared" si="10"/>
        <v>7.1654659664920267E-2</v>
      </c>
      <c r="T25">
        <f t="shared" si="11"/>
        <v>48.442257806371622</v>
      </c>
      <c r="U25">
        <f t="shared" si="12"/>
        <v>25.237658800267258</v>
      </c>
      <c r="V25">
        <f t="shared" si="13"/>
        <v>25.011663333333331</v>
      </c>
      <c r="W25">
        <f t="shared" si="14"/>
        <v>3.181889273983419</v>
      </c>
      <c r="X25">
        <f t="shared" si="15"/>
        <v>64.955899729215773</v>
      </c>
      <c r="Y25">
        <f t="shared" si="16"/>
        <v>2.1013578738670859</v>
      </c>
      <c r="Z25">
        <f t="shared" si="17"/>
        <v>3.2350531400952027</v>
      </c>
      <c r="AA25">
        <f t="shared" si="18"/>
        <v>1.0805314001163331</v>
      </c>
      <c r="AB25">
        <f t="shared" si="19"/>
        <v>-57.189221892742651</v>
      </c>
      <c r="AC25">
        <f t="shared" si="20"/>
        <v>43.394334793934085</v>
      </c>
      <c r="AD25">
        <f t="shared" si="21"/>
        <v>3.1778969099720813</v>
      </c>
      <c r="AE25">
        <f t="shared" si="22"/>
        <v>37.82526761753514</v>
      </c>
      <c r="AF25">
        <f t="shared" si="23"/>
        <v>16.41053973733095</v>
      </c>
      <c r="AG25">
        <f t="shared" si="24"/>
        <v>1.2968077526699013</v>
      </c>
      <c r="AH25">
        <f t="shared" si="25"/>
        <v>16.472952002107736</v>
      </c>
      <c r="AI25">
        <v>449.39825502755411</v>
      </c>
      <c r="AJ25">
        <v>429.23755757575748</v>
      </c>
      <c r="AK25">
        <v>-1.40014509518238E-3</v>
      </c>
      <c r="AL25">
        <v>67.056101365731308</v>
      </c>
      <c r="AM25">
        <f t="shared" si="26"/>
        <v>1.2898517093594597</v>
      </c>
      <c r="AN25">
        <v>19.95026231543887</v>
      </c>
      <c r="AO25">
        <v>21.464793939393932</v>
      </c>
      <c r="AP25">
        <v>-1.117055052980388E-5</v>
      </c>
      <c r="AQ25">
        <v>78.175805100443313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52070.73986474194</v>
      </c>
      <c r="AW25" t="s">
        <v>624</v>
      </c>
      <c r="AX25">
        <v>13234.2</v>
      </c>
      <c r="AY25">
        <v>688.18235294117653</v>
      </c>
      <c r="AZ25">
        <v>2345.1</v>
      </c>
      <c r="BA25">
        <f t="shared" si="30"/>
        <v>0.70654455974535135</v>
      </c>
      <c r="BB25">
        <v>-2.4516348080741319</v>
      </c>
      <c r="BC25" t="s">
        <v>657</v>
      </c>
      <c r="BD25">
        <v>13248.1</v>
      </c>
      <c r="BE25">
        <v>933.19988235294113</v>
      </c>
      <c r="BF25">
        <v>2135.83</v>
      </c>
      <c r="BG25">
        <f t="shared" si="31"/>
        <v>0.5630738952290486</v>
      </c>
      <c r="BH25">
        <v>0.5</v>
      </c>
      <c r="BI25">
        <f t="shared" si="32"/>
        <v>252.28602414837906</v>
      </c>
      <c r="BJ25">
        <f t="shared" si="33"/>
        <v>16.41053973733095</v>
      </c>
      <c r="BK25">
        <f t="shared" si="34"/>
        <v>71.027837164538809</v>
      </c>
      <c r="BL25">
        <f t="shared" si="35"/>
        <v>7.4765039439170511E-2</v>
      </c>
      <c r="BM25">
        <f t="shared" si="36"/>
        <v>9.7980644526952043E-2</v>
      </c>
      <c r="BN25">
        <f t="shared" si="37"/>
        <v>668.94811899838203</v>
      </c>
      <c r="BO25" t="s">
        <v>408</v>
      </c>
      <c r="BP25">
        <v>0</v>
      </c>
      <c r="BQ25">
        <f t="shared" si="38"/>
        <v>668.94811899838203</v>
      </c>
      <c r="BR25">
        <f t="shared" si="39"/>
        <v>0.68679711447147851</v>
      </c>
      <c r="BS25">
        <f t="shared" si="40"/>
        <v>0.81985477714529931</v>
      </c>
      <c r="BT25">
        <f t="shared" si="41"/>
        <v>0.1248514543174611</v>
      </c>
      <c r="BU25">
        <f t="shared" si="42"/>
        <v>0.83074781359292427</v>
      </c>
      <c r="BV25">
        <f t="shared" si="43"/>
        <v>0.12630078529942204</v>
      </c>
      <c r="BW25">
        <f t="shared" si="44"/>
        <v>0.58769864998307264</v>
      </c>
      <c r="BX25">
        <f t="shared" si="45"/>
        <v>0.41230135001692736</v>
      </c>
      <c r="DG25">
        <f t="shared" si="46"/>
        <v>299.99299999999999</v>
      </c>
      <c r="DH25">
        <f t="shared" si="47"/>
        <v>252.28602414837906</v>
      </c>
      <c r="DI25">
        <f t="shared" si="48"/>
        <v>0.84097303653211597</v>
      </c>
      <c r="DJ25">
        <f t="shared" si="49"/>
        <v>0.1614779605069839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1785955493.849999</v>
      </c>
      <c r="DQ25">
        <v>420.03173333333342</v>
      </c>
      <c r="DR25">
        <v>440.37619999999993</v>
      </c>
      <c r="DS25">
        <v>21.471299999999999</v>
      </c>
      <c r="DT25">
        <v>19.94868</v>
      </c>
      <c r="DU25">
        <v>431.08389999999991</v>
      </c>
      <c r="DV25">
        <v>22.027503333333339</v>
      </c>
      <c r="DW25">
        <v>500.0447666666667</v>
      </c>
      <c r="DX25">
        <v>97.819753333333338</v>
      </c>
      <c r="DY25">
        <v>4.8464886666666672E-2</v>
      </c>
      <c r="DZ25">
        <v>25.289913333333331</v>
      </c>
      <c r="EA25">
        <v>25.011663333333331</v>
      </c>
      <c r="EB25">
        <v>999.9000000000002</v>
      </c>
      <c r="EC25">
        <v>0</v>
      </c>
      <c r="ED25">
        <v>0</v>
      </c>
      <c r="EE25">
        <v>10010</v>
      </c>
      <c r="EF25">
        <v>0</v>
      </c>
      <c r="EG25">
        <v>141.54933333333329</v>
      </c>
      <c r="EH25">
        <v>-20.34453666666667</v>
      </c>
      <c r="EI25">
        <v>429.2482</v>
      </c>
      <c r="EJ25">
        <v>449.33993333333342</v>
      </c>
      <c r="EK25">
        <v>1.5226303333333331</v>
      </c>
      <c r="EL25">
        <v>440.37619999999993</v>
      </c>
      <c r="EM25">
        <v>19.94868</v>
      </c>
      <c r="EN25">
        <v>2.1003173333333338</v>
      </c>
      <c r="EO25">
        <v>1.9513750000000001</v>
      </c>
      <c r="EP25">
        <v>18.221589999999999</v>
      </c>
      <c r="EQ25">
        <v>17.055203333333331</v>
      </c>
      <c r="ER25">
        <v>299.99299999999999</v>
      </c>
      <c r="ES25">
        <v>0.96700619999999993</v>
      </c>
      <c r="ET25">
        <v>3.2993966666666673E-2</v>
      </c>
      <c r="EU25">
        <v>0</v>
      </c>
      <c r="EV25">
        <v>933.28789999999992</v>
      </c>
      <c r="EW25">
        <v>5.0010700000000003</v>
      </c>
      <c r="EX25">
        <v>3930.1680000000001</v>
      </c>
      <c r="EY25">
        <v>2667.967666666666</v>
      </c>
      <c r="EZ25">
        <v>35.316499999999998</v>
      </c>
      <c r="FA25">
        <v>39.460166666666659</v>
      </c>
      <c r="FB25">
        <v>37.460166666666652</v>
      </c>
      <c r="FC25">
        <v>39.497633333333312</v>
      </c>
      <c r="FD25">
        <v>38.022666666666659</v>
      </c>
      <c r="FE25">
        <v>285.25766666666658</v>
      </c>
      <c r="FF25">
        <v>9.73</v>
      </c>
      <c r="FG25">
        <v>0</v>
      </c>
      <c r="FH25">
        <v>180.9000000953674</v>
      </c>
      <c r="FI25">
        <v>0</v>
      </c>
      <c r="FJ25">
        <v>933.19988235294113</v>
      </c>
      <c r="FK25">
        <v>-2.3941176282992118</v>
      </c>
      <c r="FL25">
        <v>132.1642154915144</v>
      </c>
      <c r="FM25">
        <v>3936.7800000000011</v>
      </c>
      <c r="FN25">
        <v>10</v>
      </c>
      <c r="FO25">
        <v>1785955410.5999999</v>
      </c>
      <c r="FP25" t="s">
        <v>658</v>
      </c>
      <c r="FQ25">
        <v>1785955406.5999999</v>
      </c>
      <c r="FR25">
        <v>1785955410.5999999</v>
      </c>
      <c r="FS25">
        <v>56</v>
      </c>
      <c r="FT25">
        <v>0.11899999999999999</v>
      </c>
      <c r="FU25">
        <v>-2E-3</v>
      </c>
      <c r="FV25">
        <v>-11.131</v>
      </c>
      <c r="FW25">
        <v>-0.59699999999999998</v>
      </c>
      <c r="FX25">
        <v>441</v>
      </c>
      <c r="FY25">
        <v>20</v>
      </c>
      <c r="FZ25">
        <v>0.39</v>
      </c>
      <c r="GA25">
        <v>0.14000000000000001</v>
      </c>
      <c r="GB25">
        <v>420.03073333333339</v>
      </c>
      <c r="GC25">
        <v>0.117997775305813</v>
      </c>
      <c r="GD25">
        <v>4.2070522802656773E-2</v>
      </c>
      <c r="GE25">
        <v>-1</v>
      </c>
      <c r="GF25">
        <v>933.36347058823537</v>
      </c>
      <c r="GG25">
        <v>-1.389365931575973</v>
      </c>
      <c r="GH25">
        <v>0.21717968100361421</v>
      </c>
      <c r="GI25">
        <v>1</v>
      </c>
      <c r="GJ25">
        <v>1.52750225</v>
      </c>
      <c r="GK25">
        <v>-8.2451369606004368E-2</v>
      </c>
      <c r="GL25">
        <v>8.5276950248880205E-3</v>
      </c>
      <c r="GM25">
        <v>1</v>
      </c>
      <c r="GN25">
        <v>2</v>
      </c>
      <c r="GO25">
        <v>2</v>
      </c>
      <c r="GP25" t="s">
        <v>411</v>
      </c>
      <c r="GQ25">
        <v>3.1313599999999999</v>
      </c>
      <c r="GR25">
        <v>2.7248999999999999</v>
      </c>
      <c r="GS25">
        <v>9.3753600000000006E-2</v>
      </c>
      <c r="GT25">
        <v>9.5962699999999998E-2</v>
      </c>
      <c r="GU25">
        <v>0.106821</v>
      </c>
      <c r="GV25">
        <v>9.9979899999999997E-2</v>
      </c>
      <c r="GW25">
        <v>22904.6</v>
      </c>
      <c r="GX25">
        <v>30417.3</v>
      </c>
      <c r="GY25">
        <v>27388.400000000001</v>
      </c>
      <c r="GZ25">
        <v>34557.4</v>
      </c>
      <c r="HA25">
        <v>35790.6</v>
      </c>
      <c r="HB25">
        <v>39149.199999999997</v>
      </c>
      <c r="HC25">
        <v>40427.800000000003</v>
      </c>
      <c r="HD25">
        <v>43588.7</v>
      </c>
      <c r="HE25">
        <v>2.0289999999999999</v>
      </c>
      <c r="HF25">
        <v>1.905</v>
      </c>
      <c r="HG25">
        <v>4.4703499999999997E-3</v>
      </c>
      <c r="HH25">
        <v>0</v>
      </c>
      <c r="HI25">
        <v>24.939399999999999</v>
      </c>
      <c r="HJ25">
        <v>999.9</v>
      </c>
      <c r="HK25">
        <v>59.6</v>
      </c>
      <c r="HL25">
        <v>31.9</v>
      </c>
      <c r="HM25">
        <v>28.9282</v>
      </c>
      <c r="HN25">
        <v>59.908799999999999</v>
      </c>
      <c r="HO25">
        <v>4.2107400000000004</v>
      </c>
      <c r="HP25">
        <v>1</v>
      </c>
      <c r="HQ25">
        <v>4.5609799999999999E-2</v>
      </c>
      <c r="HR25">
        <v>1.19662</v>
      </c>
      <c r="HS25">
        <v>20.251999999999999</v>
      </c>
      <c r="HT25">
        <v>5.2148899999999996</v>
      </c>
      <c r="HU25">
        <v>11.902100000000001</v>
      </c>
      <c r="HV25">
        <v>4.9863999999999997</v>
      </c>
      <c r="HW25">
        <v>3.2704</v>
      </c>
      <c r="HX25">
        <v>9999</v>
      </c>
      <c r="HY25">
        <v>9999</v>
      </c>
      <c r="HZ25">
        <v>9999</v>
      </c>
      <c r="IA25">
        <v>999.9</v>
      </c>
      <c r="IB25">
        <v>1.8671599999999999</v>
      </c>
      <c r="IC25">
        <v>1.86267</v>
      </c>
      <c r="ID25">
        <v>1.8621799999999999</v>
      </c>
      <c r="IE25">
        <v>1.86172</v>
      </c>
      <c r="IF25">
        <v>1.86172</v>
      </c>
      <c r="IG25">
        <v>1.8623400000000001</v>
      </c>
      <c r="IH25">
        <v>1.8632500000000001</v>
      </c>
      <c r="II25">
        <v>1.86127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-11.053000000000001</v>
      </c>
      <c r="IX25">
        <v>-0.55649999999999999</v>
      </c>
      <c r="IY25">
        <v>-9.0454708296238557</v>
      </c>
      <c r="IZ25">
        <v>-5.6215304933332991E-3</v>
      </c>
      <c r="JA25">
        <v>2.3979931213773931E-6</v>
      </c>
      <c r="JB25">
        <v>-3.6297174575716598E-10</v>
      </c>
      <c r="JC25">
        <v>-0.89494194840192942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1.6</v>
      </c>
      <c r="JL25">
        <v>1.5</v>
      </c>
      <c r="JM25">
        <v>1.1437999999999999</v>
      </c>
      <c r="JN25">
        <v>2.4939</v>
      </c>
      <c r="JO25">
        <v>1.50024</v>
      </c>
      <c r="JP25">
        <v>2.2753899999999998</v>
      </c>
      <c r="JQ25">
        <v>1.4477500000000001</v>
      </c>
      <c r="JR25">
        <v>2.4706999999999999</v>
      </c>
      <c r="JS25">
        <v>36.269399999999997</v>
      </c>
      <c r="JT25">
        <v>24.105</v>
      </c>
      <c r="JU25">
        <v>18</v>
      </c>
      <c r="JV25">
        <v>532.83199999999999</v>
      </c>
      <c r="JW25">
        <v>470.07499999999999</v>
      </c>
      <c r="JX25">
        <v>23.736599999999999</v>
      </c>
      <c r="JY25">
        <v>27.8018</v>
      </c>
      <c r="JZ25">
        <v>30.000499999999999</v>
      </c>
      <c r="KA25">
        <v>27.8032</v>
      </c>
      <c r="KB25">
        <v>27.814499999999999</v>
      </c>
      <c r="KC25">
        <v>22.872800000000002</v>
      </c>
      <c r="KD25">
        <v>37.295699999999997</v>
      </c>
      <c r="KE25">
        <v>0</v>
      </c>
      <c r="KF25">
        <v>23.737200000000001</v>
      </c>
      <c r="KG25">
        <v>440.35899999999998</v>
      </c>
      <c r="KH25">
        <v>19.914899999999999</v>
      </c>
      <c r="KI25">
        <v>101.057</v>
      </c>
      <c r="KJ25">
        <v>98.324399999999997</v>
      </c>
    </row>
    <row r="26" spans="1:296" x14ac:dyDescent="0.3">
      <c r="A26">
        <v>10</v>
      </c>
      <c r="B26">
        <v>1785955683.0999999</v>
      </c>
      <c r="C26">
        <v>1633.599999904633</v>
      </c>
      <c r="D26" t="s">
        <v>659</v>
      </c>
      <c r="E26" t="s">
        <v>660</v>
      </c>
      <c r="F26">
        <v>15</v>
      </c>
      <c r="H26">
        <v>1785955675.099999</v>
      </c>
      <c r="I26">
        <f t="shared" si="0"/>
        <v>9.321580315423462E-4</v>
      </c>
      <c r="J26">
        <f t="shared" si="1"/>
        <v>0.93215803154234622</v>
      </c>
      <c r="K26">
        <f t="shared" si="2"/>
        <v>11.234771590086218</v>
      </c>
      <c r="L26">
        <f t="shared" si="3"/>
        <v>420.05267741935472</v>
      </c>
      <c r="M26">
        <f t="shared" si="4"/>
        <v>195.55005514263044</v>
      </c>
      <c r="N26">
        <f t="shared" si="5"/>
        <v>19.137999225366769</v>
      </c>
      <c r="O26">
        <f t="shared" si="6"/>
        <v>41.10951443711626</v>
      </c>
      <c r="P26">
        <f t="shared" si="7"/>
        <v>8.323596662550331E-2</v>
      </c>
      <c r="Q26">
        <f t="shared" si="8"/>
        <v>2.8935209696451358</v>
      </c>
      <c r="R26">
        <f t="shared" si="9"/>
        <v>8.1928299384073922E-2</v>
      </c>
      <c r="S26">
        <f t="shared" si="10"/>
        <v>5.132096449004054E-2</v>
      </c>
      <c r="T26">
        <f t="shared" si="11"/>
        <v>32.489592032418685</v>
      </c>
      <c r="U26">
        <f t="shared" si="12"/>
        <v>25.267832558172689</v>
      </c>
      <c r="V26">
        <f t="shared" si="13"/>
        <v>25.021558064516132</v>
      </c>
      <c r="W26">
        <f t="shared" si="14"/>
        <v>3.1837666369968702</v>
      </c>
      <c r="X26">
        <f t="shared" si="15"/>
        <v>64.810308859279516</v>
      </c>
      <c r="Y26">
        <f t="shared" si="16"/>
        <v>2.1003168838463835</v>
      </c>
      <c r="Z26">
        <f t="shared" si="17"/>
        <v>3.2407142024376587</v>
      </c>
      <c r="AA26">
        <f t="shared" si="18"/>
        <v>1.0834497531504867</v>
      </c>
      <c r="AB26">
        <f t="shared" si="19"/>
        <v>-41.108169191017467</v>
      </c>
      <c r="AC26">
        <f t="shared" si="20"/>
        <v>46.447409268344067</v>
      </c>
      <c r="AD26">
        <f t="shared" si="21"/>
        <v>3.4012605492499546</v>
      </c>
      <c r="AE26">
        <f t="shared" si="22"/>
        <v>41.23009265899524</v>
      </c>
      <c r="AF26">
        <f t="shared" si="23"/>
        <v>11.234771590086218</v>
      </c>
      <c r="AG26">
        <f t="shared" si="24"/>
        <v>0.93215803154234622</v>
      </c>
      <c r="AH26">
        <f t="shared" si="25"/>
        <v>11.234180140458141</v>
      </c>
      <c r="AI26">
        <v>443.07242530674131</v>
      </c>
      <c r="AJ26">
        <v>429.30789696969691</v>
      </c>
      <c r="AK26">
        <v>1.1271220236209699E-3</v>
      </c>
      <c r="AL26">
        <v>67.082902339879794</v>
      </c>
      <c r="AM26">
        <f t="shared" si="26"/>
        <v>0.94881949434719548</v>
      </c>
      <c r="AN26">
        <v>20.382780908779459</v>
      </c>
      <c r="AO26">
        <v>21.490647878787868</v>
      </c>
      <c r="AP26">
        <v>9.7756193709767967E-4</v>
      </c>
      <c r="AQ26">
        <v>78.225251099576639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52087.385754257957</v>
      </c>
      <c r="AW26" t="s">
        <v>624</v>
      </c>
      <c r="AX26">
        <v>13234.2</v>
      </c>
      <c r="AY26">
        <v>688.18235294117653</v>
      </c>
      <c r="AZ26">
        <v>2345.1</v>
      </c>
      <c r="BA26">
        <f t="shared" si="30"/>
        <v>0.70654455974535135</v>
      </c>
      <c r="BB26">
        <v>-2.4516348080741319</v>
      </c>
      <c r="BC26" t="s">
        <v>661</v>
      </c>
      <c r="BD26">
        <v>13231.3</v>
      </c>
      <c r="BE26">
        <v>886.16147058823537</v>
      </c>
      <c r="BF26">
        <v>2211.02</v>
      </c>
      <c r="BG26">
        <f t="shared" si="31"/>
        <v>0.59920694042196121</v>
      </c>
      <c r="BH26">
        <v>0.5</v>
      </c>
      <c r="BI26">
        <f t="shared" si="32"/>
        <v>168.32023863956175</v>
      </c>
      <c r="BJ26">
        <f t="shared" si="33"/>
        <v>11.234771590086218</v>
      </c>
      <c r="BK26">
        <f t="shared" si="34"/>
        <v>50.429327603153084</v>
      </c>
      <c r="BL26">
        <f t="shared" si="35"/>
        <v>8.1311709802575793E-2</v>
      </c>
      <c r="BM26">
        <f t="shared" si="36"/>
        <v>6.0641694783403102E-2</v>
      </c>
      <c r="BN26">
        <f t="shared" si="37"/>
        <v>676.14983707273927</v>
      </c>
      <c r="BO26" t="s">
        <v>408</v>
      </c>
      <c r="BP26">
        <v>0</v>
      </c>
      <c r="BQ26">
        <f t="shared" si="38"/>
        <v>676.14983707273927</v>
      </c>
      <c r="BR26">
        <f t="shared" si="39"/>
        <v>0.69419099009835317</v>
      </c>
      <c r="BS26">
        <f t="shared" si="40"/>
        <v>0.86317303014414737</v>
      </c>
      <c r="BT26">
        <f t="shared" si="41"/>
        <v>8.0337929183475362E-2</v>
      </c>
      <c r="BU26">
        <f t="shared" si="42"/>
        <v>0.86999328652701002</v>
      </c>
      <c r="BV26">
        <f t="shared" si="43"/>
        <v>8.0921342251380979E-2</v>
      </c>
      <c r="BW26">
        <f t="shared" si="44"/>
        <v>0.65860943300788122</v>
      </c>
      <c r="BX26">
        <f t="shared" si="45"/>
        <v>0.34139056699211878</v>
      </c>
      <c r="DG26">
        <f t="shared" si="46"/>
        <v>200.0331612903226</v>
      </c>
      <c r="DH26">
        <f t="shared" si="47"/>
        <v>168.32023863956175</v>
      </c>
      <c r="DI26">
        <f t="shared" si="48"/>
        <v>0.84146167342357003</v>
      </c>
      <c r="DJ26">
        <f t="shared" si="49"/>
        <v>0.16242102970749031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1785955675.099999</v>
      </c>
      <c r="DQ26">
        <v>420.05267741935472</v>
      </c>
      <c r="DR26">
        <v>434.00151612903221</v>
      </c>
      <c r="DS26">
        <v>21.46081612903226</v>
      </c>
      <c r="DT26">
        <v>20.366448387096771</v>
      </c>
      <c r="DU26">
        <v>431.16151612903218</v>
      </c>
      <c r="DV26">
        <v>22.020083870967738</v>
      </c>
      <c r="DW26">
        <v>500.09870967741932</v>
      </c>
      <c r="DX26">
        <v>97.818351612903243</v>
      </c>
      <c r="DY26">
        <v>4.9169883870967733E-2</v>
      </c>
      <c r="DZ26">
        <v>25.31930645161291</v>
      </c>
      <c r="EA26">
        <v>25.021558064516132</v>
      </c>
      <c r="EB26">
        <v>999.90000000000032</v>
      </c>
      <c r="EC26">
        <v>0</v>
      </c>
      <c r="ED26">
        <v>0</v>
      </c>
      <c r="EE26">
        <v>10014.516129032259</v>
      </c>
      <c r="EF26">
        <v>0</v>
      </c>
      <c r="EG26">
        <v>364.11535483870961</v>
      </c>
      <c r="EH26">
        <v>-13.94884516129032</v>
      </c>
      <c r="EI26">
        <v>429.26516129032262</v>
      </c>
      <c r="EJ26">
        <v>443.02432258064499</v>
      </c>
      <c r="EK26">
        <v>1.094356451612903</v>
      </c>
      <c r="EL26">
        <v>434.00151612903221</v>
      </c>
      <c r="EM26">
        <v>20.366448387096771</v>
      </c>
      <c r="EN26">
        <v>2.09925935483871</v>
      </c>
      <c r="EO26">
        <v>1.9922122580645161</v>
      </c>
      <c r="EP26">
        <v>18.213561290322581</v>
      </c>
      <c r="EQ26">
        <v>17.382567741935489</v>
      </c>
      <c r="ER26">
        <v>200.0331612903226</v>
      </c>
      <c r="ES26">
        <v>0.9500300645161287</v>
      </c>
      <c r="ET26">
        <v>4.9969703225806461E-2</v>
      </c>
      <c r="EU26">
        <v>0</v>
      </c>
      <c r="EV26">
        <v>886.22145161290325</v>
      </c>
      <c r="EW26">
        <v>5.0010700000000003</v>
      </c>
      <c r="EX26">
        <v>4674.1690322580644</v>
      </c>
      <c r="EY26">
        <v>1752.1464516129031</v>
      </c>
      <c r="EZ26">
        <v>35.556225806451607</v>
      </c>
      <c r="FA26">
        <v>39.120709677419363</v>
      </c>
      <c r="FB26">
        <v>37.735612903225793</v>
      </c>
      <c r="FC26">
        <v>39.181193548387093</v>
      </c>
      <c r="FD26">
        <v>37.856548387096773</v>
      </c>
      <c r="FE26">
        <v>185.28645161290319</v>
      </c>
      <c r="FF26">
        <v>9.7461290322580645</v>
      </c>
      <c r="FG26">
        <v>0</v>
      </c>
      <c r="FH26">
        <v>180.70000004768369</v>
      </c>
      <c r="FI26">
        <v>0</v>
      </c>
      <c r="FJ26">
        <v>886.16147058823537</v>
      </c>
      <c r="FK26">
        <v>-0.4232843069548563</v>
      </c>
      <c r="FL26">
        <v>9394.6274117680023</v>
      </c>
      <c r="FM26">
        <v>5368.4047058823526</v>
      </c>
      <c r="FN26">
        <v>10</v>
      </c>
      <c r="FO26">
        <v>1785955596.5999999</v>
      </c>
      <c r="FP26" t="s">
        <v>662</v>
      </c>
      <c r="FQ26">
        <v>1785955596.5999999</v>
      </c>
      <c r="FR26">
        <v>1785955595.5999999</v>
      </c>
      <c r="FS26">
        <v>57</v>
      </c>
      <c r="FT26">
        <v>-5.6000000000000001E-2</v>
      </c>
      <c r="FU26">
        <v>-3.0000000000000001E-3</v>
      </c>
      <c r="FV26">
        <v>-11.163</v>
      </c>
      <c r="FW26">
        <v>-0.59599999999999997</v>
      </c>
      <c r="FX26">
        <v>435</v>
      </c>
      <c r="FY26">
        <v>20</v>
      </c>
      <c r="FZ26">
        <v>0.48</v>
      </c>
      <c r="GA26">
        <v>0.19</v>
      </c>
      <c r="GB26">
        <v>420.05335483870971</v>
      </c>
      <c r="GC26">
        <v>0.14525806451557599</v>
      </c>
      <c r="GD26">
        <v>3.8620192267526762E-2</v>
      </c>
      <c r="GE26">
        <v>-1</v>
      </c>
      <c r="GF26">
        <v>886.23997058823534</v>
      </c>
      <c r="GG26">
        <v>-0.21966386224486059</v>
      </c>
      <c r="GH26">
        <v>0.18956009217848069</v>
      </c>
      <c r="GI26">
        <v>1</v>
      </c>
      <c r="GJ26">
        <v>1.122361951219512</v>
      </c>
      <c r="GK26">
        <v>-0.36124202090592028</v>
      </c>
      <c r="GL26">
        <v>4.791289160088958E-2</v>
      </c>
      <c r="GM26">
        <v>1</v>
      </c>
      <c r="GN26">
        <v>2</v>
      </c>
      <c r="GO26">
        <v>2</v>
      </c>
      <c r="GP26" t="s">
        <v>411</v>
      </c>
      <c r="GQ26">
        <v>3.1311800000000001</v>
      </c>
      <c r="GR26">
        <v>2.72505</v>
      </c>
      <c r="GS26">
        <v>9.3738799999999997E-2</v>
      </c>
      <c r="GT26">
        <v>9.4921599999999995E-2</v>
      </c>
      <c r="GU26">
        <v>0.10691199999999999</v>
      </c>
      <c r="GV26">
        <v>0.101478</v>
      </c>
      <c r="GW26">
        <v>22902</v>
      </c>
      <c r="GX26">
        <v>30446.400000000001</v>
      </c>
      <c r="GY26">
        <v>27385.200000000001</v>
      </c>
      <c r="GZ26">
        <v>34551.1</v>
      </c>
      <c r="HA26">
        <v>35783.300000000003</v>
      </c>
      <c r="HB26">
        <v>39076.9</v>
      </c>
      <c r="HC26">
        <v>40423.5</v>
      </c>
      <c r="HD26">
        <v>43581.3</v>
      </c>
      <c r="HE26">
        <v>2.0264000000000002</v>
      </c>
      <c r="HF26">
        <v>1.9039999999999999</v>
      </c>
      <c r="HG26">
        <v>2.0861600000000001E-3</v>
      </c>
      <c r="HH26">
        <v>0</v>
      </c>
      <c r="HI26">
        <v>24.996200000000002</v>
      </c>
      <c r="HJ26">
        <v>999.9</v>
      </c>
      <c r="HK26">
        <v>59.7</v>
      </c>
      <c r="HL26">
        <v>31.9</v>
      </c>
      <c r="HM26">
        <v>28.982099999999999</v>
      </c>
      <c r="HN26">
        <v>60.038800000000002</v>
      </c>
      <c r="HO26">
        <v>4.1466399999999997</v>
      </c>
      <c r="HP26">
        <v>1</v>
      </c>
      <c r="HQ26">
        <v>5.2723600000000002E-2</v>
      </c>
      <c r="HR26">
        <v>1.39802</v>
      </c>
      <c r="HS26">
        <v>20.248999999999999</v>
      </c>
      <c r="HT26">
        <v>5.2148899999999996</v>
      </c>
      <c r="HU26">
        <v>11.902100000000001</v>
      </c>
      <c r="HV26">
        <v>4.9859999999999998</v>
      </c>
      <c r="HW26">
        <v>3.2702</v>
      </c>
      <c r="HX26">
        <v>9999</v>
      </c>
      <c r="HY26">
        <v>9999</v>
      </c>
      <c r="HZ26">
        <v>9999</v>
      </c>
      <c r="IA26">
        <v>999.9</v>
      </c>
      <c r="IB26">
        <v>1.86713</v>
      </c>
      <c r="IC26">
        <v>1.86273</v>
      </c>
      <c r="ID26">
        <v>1.8621799999999999</v>
      </c>
      <c r="IE26">
        <v>1.86172</v>
      </c>
      <c r="IF26">
        <v>1.86172</v>
      </c>
      <c r="IG26">
        <v>1.8623700000000001</v>
      </c>
      <c r="IH26">
        <v>1.8632500000000001</v>
      </c>
      <c r="II26">
        <v>1.86127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-11.109</v>
      </c>
      <c r="IX26">
        <v>-0.5585</v>
      </c>
      <c r="IY26">
        <v>-9.1016729323186318</v>
      </c>
      <c r="IZ26">
        <v>-5.6215304933332991E-3</v>
      </c>
      <c r="JA26">
        <v>2.3979931213773931E-6</v>
      </c>
      <c r="JB26">
        <v>-3.6297174575716598E-10</v>
      </c>
      <c r="JC26">
        <v>-0.89783498719574717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1.4</v>
      </c>
      <c r="JL26">
        <v>1.5</v>
      </c>
      <c r="JM26">
        <v>1.1303700000000001</v>
      </c>
      <c r="JN26">
        <v>2.49146</v>
      </c>
      <c r="JO26">
        <v>1.50024</v>
      </c>
      <c r="JP26">
        <v>2.2753899999999998</v>
      </c>
      <c r="JQ26">
        <v>1.4477500000000001</v>
      </c>
      <c r="JR26">
        <v>2.4939</v>
      </c>
      <c r="JS26">
        <v>36.340000000000003</v>
      </c>
      <c r="JT26">
        <v>24.105</v>
      </c>
      <c r="JU26">
        <v>18</v>
      </c>
      <c r="JV26">
        <v>531.87699999999995</v>
      </c>
      <c r="JW26">
        <v>470.07600000000002</v>
      </c>
      <c r="JX26">
        <v>23.570499999999999</v>
      </c>
      <c r="JY26">
        <v>27.879899999999999</v>
      </c>
      <c r="JZ26">
        <v>30.0002</v>
      </c>
      <c r="KA26">
        <v>27.881</v>
      </c>
      <c r="KB26">
        <v>27.891999999999999</v>
      </c>
      <c r="KC26">
        <v>22.609300000000001</v>
      </c>
      <c r="KD26">
        <v>36.754100000000001</v>
      </c>
      <c r="KE26">
        <v>0</v>
      </c>
      <c r="KF26">
        <v>23.5747</v>
      </c>
      <c r="KG26">
        <v>433.90899999999999</v>
      </c>
      <c r="KH26">
        <v>20.286100000000001</v>
      </c>
      <c r="KI26">
        <v>101.045</v>
      </c>
      <c r="KJ26">
        <v>98.307199999999995</v>
      </c>
    </row>
    <row r="27" spans="1:296" x14ac:dyDescent="0.3">
      <c r="A27">
        <v>11</v>
      </c>
      <c r="B27">
        <v>1785955864.5999999</v>
      </c>
      <c r="C27">
        <v>1815.099999904633</v>
      </c>
      <c r="D27" t="s">
        <v>663</v>
      </c>
      <c r="E27" t="s">
        <v>664</v>
      </c>
      <c r="F27">
        <v>15</v>
      </c>
      <c r="H27">
        <v>1785955856.849999</v>
      </c>
      <c r="I27">
        <f t="shared" si="0"/>
        <v>6.7001067478656719E-4</v>
      </c>
      <c r="J27">
        <f t="shared" si="1"/>
        <v>0.67001067478656717</v>
      </c>
      <c r="K27">
        <f t="shared" si="2"/>
        <v>5.376705190930906</v>
      </c>
      <c r="L27">
        <f t="shared" si="3"/>
        <v>420.01019999999988</v>
      </c>
      <c r="M27">
        <f t="shared" si="4"/>
        <v>267.02979192774472</v>
      </c>
      <c r="N27">
        <f t="shared" si="5"/>
        <v>26.131620252051611</v>
      </c>
      <c r="O27">
        <f t="shared" si="6"/>
        <v>41.102331575639717</v>
      </c>
      <c r="P27">
        <f t="shared" si="7"/>
        <v>5.9212168564119087E-2</v>
      </c>
      <c r="Q27">
        <f t="shared" si="8"/>
        <v>2.8917382675765255</v>
      </c>
      <c r="R27">
        <f t="shared" si="9"/>
        <v>5.8546756798070573E-2</v>
      </c>
      <c r="S27">
        <f t="shared" si="10"/>
        <v>3.6650884422932947E-2</v>
      </c>
      <c r="T27">
        <f t="shared" si="11"/>
        <v>16.507166730092166</v>
      </c>
      <c r="U27">
        <f t="shared" si="12"/>
        <v>25.104092213357347</v>
      </c>
      <c r="V27">
        <f t="shared" si="13"/>
        <v>24.989550000000001</v>
      </c>
      <c r="W27">
        <f t="shared" si="14"/>
        <v>3.1776971280156654</v>
      </c>
      <c r="X27">
        <f t="shared" si="15"/>
        <v>64.955961442644451</v>
      </c>
      <c r="Y27">
        <f t="shared" si="16"/>
        <v>2.0879108760206839</v>
      </c>
      <c r="Z27">
        <f t="shared" si="17"/>
        <v>3.2143483517895293</v>
      </c>
      <c r="AA27">
        <f t="shared" si="18"/>
        <v>1.0897862519949815</v>
      </c>
      <c r="AB27">
        <f t="shared" si="19"/>
        <v>-29.547470758087613</v>
      </c>
      <c r="AC27">
        <f t="shared" si="20"/>
        <v>30.006995592690838</v>
      </c>
      <c r="AD27">
        <f t="shared" si="21"/>
        <v>2.1968408624587621</v>
      </c>
      <c r="AE27">
        <f t="shared" si="22"/>
        <v>19.163532427154156</v>
      </c>
      <c r="AF27">
        <f t="shared" si="23"/>
        <v>5.376705190930906</v>
      </c>
      <c r="AG27">
        <f t="shared" si="24"/>
        <v>0.67001067478656717</v>
      </c>
      <c r="AH27">
        <f t="shared" si="25"/>
        <v>5.4061816590872018</v>
      </c>
      <c r="AI27">
        <v>435.7803043119597</v>
      </c>
      <c r="AJ27">
        <v>429.16288484848468</v>
      </c>
      <c r="AK27">
        <v>-1.0603822407271441E-3</v>
      </c>
      <c r="AL27">
        <v>67.08555795758511</v>
      </c>
      <c r="AM27">
        <f t="shared" si="26"/>
        <v>0.67817527837872837</v>
      </c>
      <c r="AN27">
        <v>20.562621772053831</v>
      </c>
      <c r="AO27">
        <v>21.356169090909091</v>
      </c>
      <c r="AP27">
        <v>4.5768168852934648E-4</v>
      </c>
      <c r="AQ27">
        <v>78.231902578311107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52060.099502381832</v>
      </c>
      <c r="AW27" t="s">
        <v>624</v>
      </c>
      <c r="AX27">
        <v>13234.2</v>
      </c>
      <c r="AY27">
        <v>688.18235294117653</v>
      </c>
      <c r="AZ27">
        <v>2345.1</v>
      </c>
      <c r="BA27">
        <f t="shared" si="30"/>
        <v>0.70654455974535135</v>
      </c>
      <c r="BB27">
        <v>-2.4516348080741319</v>
      </c>
      <c r="BC27" t="s">
        <v>665</v>
      </c>
      <c r="BD27">
        <v>13229.5</v>
      </c>
      <c r="BE27">
        <v>827.63076470588248</v>
      </c>
      <c r="BF27">
        <v>2327.36</v>
      </c>
      <c r="BG27">
        <f t="shared" si="31"/>
        <v>0.64439074113764849</v>
      </c>
      <c r="BH27">
        <v>0.5</v>
      </c>
      <c r="BI27">
        <f t="shared" si="32"/>
        <v>84.269887196938939</v>
      </c>
      <c r="BJ27">
        <f t="shared" si="33"/>
        <v>5.376705190930906</v>
      </c>
      <c r="BK27">
        <f t="shared" si="34"/>
        <v>27.15136753321076</v>
      </c>
      <c r="BL27">
        <f t="shared" si="35"/>
        <v>9.2896054087626675E-2</v>
      </c>
      <c r="BM27">
        <f t="shared" si="36"/>
        <v>7.6223704111094892E-3</v>
      </c>
      <c r="BN27">
        <f t="shared" si="37"/>
        <v>686.64644427733117</v>
      </c>
      <c r="BO27" t="s">
        <v>408</v>
      </c>
      <c r="BP27">
        <v>0</v>
      </c>
      <c r="BQ27">
        <f t="shared" si="38"/>
        <v>686.64644427733117</v>
      </c>
      <c r="BR27">
        <f t="shared" si="39"/>
        <v>0.704967669686971</v>
      </c>
      <c r="BS27">
        <f t="shared" si="40"/>
        <v>0.9140713380853045</v>
      </c>
      <c r="BT27">
        <f t="shared" si="41"/>
        <v>1.06967119692837E-2</v>
      </c>
      <c r="BU27">
        <f t="shared" si="42"/>
        <v>0.91492782248774673</v>
      </c>
      <c r="BV27">
        <f t="shared" si="43"/>
        <v>1.0706627472699E-2</v>
      </c>
      <c r="BW27">
        <f t="shared" si="44"/>
        <v>0.75836213548096432</v>
      </c>
      <c r="BX27">
        <f t="shared" si="45"/>
        <v>0.24163786451903568</v>
      </c>
      <c r="DG27">
        <f t="shared" si="46"/>
        <v>99.982016666666652</v>
      </c>
      <c r="DH27">
        <f t="shared" si="47"/>
        <v>84.269887196938939</v>
      </c>
      <c r="DI27">
        <f t="shared" si="48"/>
        <v>0.84285044457433878</v>
      </c>
      <c r="DJ27">
        <f t="shared" si="49"/>
        <v>0.16510135802847381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1785955856.849999</v>
      </c>
      <c r="DQ27">
        <v>420.01019999999988</v>
      </c>
      <c r="DR27">
        <v>426.79943333333341</v>
      </c>
      <c r="DS27">
        <v>21.335623333333341</v>
      </c>
      <c r="DT27">
        <v>20.548823333333331</v>
      </c>
      <c r="DU27">
        <v>430.99306666666672</v>
      </c>
      <c r="DV27">
        <v>21.90397333333333</v>
      </c>
      <c r="DW27">
        <v>500.03730000000002</v>
      </c>
      <c r="DX27">
        <v>97.811243333333337</v>
      </c>
      <c r="DY27">
        <v>4.9074286666666668E-2</v>
      </c>
      <c r="DZ27">
        <v>25.182026666666669</v>
      </c>
      <c r="EA27">
        <v>24.989550000000001</v>
      </c>
      <c r="EB27">
        <v>999.9000000000002</v>
      </c>
      <c r="EC27">
        <v>0</v>
      </c>
      <c r="ED27">
        <v>0</v>
      </c>
      <c r="EE27">
        <v>10005</v>
      </c>
      <c r="EF27">
        <v>0</v>
      </c>
      <c r="EG27">
        <v>149.34059999999999</v>
      </c>
      <c r="EH27">
        <v>-6.7893459999999992</v>
      </c>
      <c r="EI27">
        <v>429.16673333333341</v>
      </c>
      <c r="EJ27">
        <v>435.75376666666659</v>
      </c>
      <c r="EK27">
        <v>0.78680969999999972</v>
      </c>
      <c r="EL27">
        <v>426.79943333333341</v>
      </c>
      <c r="EM27">
        <v>20.548823333333331</v>
      </c>
      <c r="EN27">
        <v>2.086864666666667</v>
      </c>
      <c r="EO27">
        <v>2.009906</v>
      </c>
      <c r="EP27">
        <v>18.119263333333329</v>
      </c>
      <c r="EQ27">
        <v>17.52257333333333</v>
      </c>
      <c r="ER27">
        <v>99.982016666666652</v>
      </c>
      <c r="ES27">
        <v>0.90001089999999995</v>
      </c>
      <c r="ET27">
        <v>9.9989226666666667E-2</v>
      </c>
      <c r="EU27">
        <v>0</v>
      </c>
      <c r="EV27">
        <v>827.37363333333337</v>
      </c>
      <c r="EW27">
        <v>5.0010700000000003</v>
      </c>
      <c r="EX27">
        <v>2077.6643333333341</v>
      </c>
      <c r="EY27">
        <v>836.41613333333351</v>
      </c>
      <c r="EZ27">
        <v>34.774800000000013</v>
      </c>
      <c r="FA27">
        <v>39.137266666666662</v>
      </c>
      <c r="FB27">
        <v>37.120533333333327</v>
      </c>
      <c r="FC27">
        <v>39.083066666666653</v>
      </c>
      <c r="FD27">
        <v>37.591533333333331</v>
      </c>
      <c r="FE27">
        <v>85.483333333333334</v>
      </c>
      <c r="FF27">
        <v>9.5</v>
      </c>
      <c r="FG27">
        <v>0</v>
      </c>
      <c r="FH27">
        <v>180.9000000953674</v>
      </c>
      <c r="FI27">
        <v>0</v>
      </c>
      <c r="FJ27">
        <v>827.63076470588248</v>
      </c>
      <c r="FK27">
        <v>6.7088235135436998</v>
      </c>
      <c r="FL27">
        <v>18.00980365450868</v>
      </c>
      <c r="FM27">
        <v>2078.4011764705879</v>
      </c>
      <c r="FN27">
        <v>10</v>
      </c>
      <c r="FO27">
        <v>1785955789.5999999</v>
      </c>
      <c r="FP27" t="s">
        <v>666</v>
      </c>
      <c r="FQ27">
        <v>1785955785.0999999</v>
      </c>
      <c r="FR27">
        <v>1785955789.5999999</v>
      </c>
      <c r="FS27">
        <v>58</v>
      </c>
      <c r="FT27">
        <v>0.125</v>
      </c>
      <c r="FU27">
        <v>-6.0000000000000001E-3</v>
      </c>
      <c r="FV27">
        <v>-11.009</v>
      </c>
      <c r="FW27">
        <v>-0.59499999999999997</v>
      </c>
      <c r="FX27">
        <v>427</v>
      </c>
      <c r="FY27">
        <v>20</v>
      </c>
      <c r="FZ27">
        <v>1.2</v>
      </c>
      <c r="GA27">
        <v>0.32</v>
      </c>
      <c r="GB27">
        <v>420.01333333333332</v>
      </c>
      <c r="GC27">
        <v>-8.7190211345991128E-2</v>
      </c>
      <c r="GD27">
        <v>4.4259336742533691E-2</v>
      </c>
      <c r="GE27">
        <v>-1</v>
      </c>
      <c r="GF27">
        <v>827.09897058823549</v>
      </c>
      <c r="GG27">
        <v>4.4168220015460307</v>
      </c>
      <c r="GH27">
        <v>0.48844576345877838</v>
      </c>
      <c r="GI27">
        <v>1</v>
      </c>
      <c r="GJ27">
        <v>0.81877214999999981</v>
      </c>
      <c r="GK27">
        <v>-0.42257774859287173</v>
      </c>
      <c r="GL27">
        <v>5.0887245471016612E-2</v>
      </c>
      <c r="GM27">
        <v>1</v>
      </c>
      <c r="GN27">
        <v>2</v>
      </c>
      <c r="GO27">
        <v>2</v>
      </c>
      <c r="GP27" t="s">
        <v>411</v>
      </c>
      <c r="GQ27">
        <v>3.1308500000000001</v>
      </c>
      <c r="GR27">
        <v>2.7254900000000002</v>
      </c>
      <c r="GS27">
        <v>9.3673900000000004E-2</v>
      </c>
      <c r="GT27">
        <v>9.3709000000000001E-2</v>
      </c>
      <c r="GU27">
        <v>0.106444</v>
      </c>
      <c r="GV27">
        <v>0.102086</v>
      </c>
      <c r="GW27">
        <v>22897.200000000001</v>
      </c>
      <c r="GX27">
        <v>30479.3</v>
      </c>
      <c r="GY27">
        <v>27378.3</v>
      </c>
      <c r="GZ27">
        <v>34543.300000000003</v>
      </c>
      <c r="HA27">
        <v>35794.9</v>
      </c>
      <c r="HB27">
        <v>39043.199999999997</v>
      </c>
      <c r="HC27">
        <v>40414.300000000003</v>
      </c>
      <c r="HD27">
        <v>43573.2</v>
      </c>
      <c r="HE27">
        <v>2.0242</v>
      </c>
      <c r="HF27">
        <v>1.9014</v>
      </c>
      <c r="HG27">
        <v>-7.5995899999999998E-3</v>
      </c>
      <c r="HH27">
        <v>0</v>
      </c>
      <c r="HI27">
        <v>25.110099999999999</v>
      </c>
      <c r="HJ27">
        <v>999.9</v>
      </c>
      <c r="HK27">
        <v>59.8</v>
      </c>
      <c r="HL27">
        <v>32</v>
      </c>
      <c r="HM27">
        <v>29.195399999999999</v>
      </c>
      <c r="HN27">
        <v>60.358899999999998</v>
      </c>
      <c r="HO27">
        <v>4.3950300000000002</v>
      </c>
      <c r="HP27">
        <v>1</v>
      </c>
      <c r="HQ27">
        <v>6.4146300000000003E-2</v>
      </c>
      <c r="HR27">
        <v>1.24641</v>
      </c>
      <c r="HS27">
        <v>20.2529</v>
      </c>
      <c r="HT27">
        <v>5.2148899999999996</v>
      </c>
      <c r="HU27">
        <v>11.902100000000001</v>
      </c>
      <c r="HV27">
        <v>4.9851999999999999</v>
      </c>
      <c r="HW27">
        <v>3.27</v>
      </c>
      <c r="HX27">
        <v>9999</v>
      </c>
      <c r="HY27">
        <v>9999</v>
      </c>
      <c r="HZ27">
        <v>9999</v>
      </c>
      <c r="IA27">
        <v>999.9</v>
      </c>
      <c r="IB27">
        <v>1.8671</v>
      </c>
      <c r="IC27">
        <v>1.8627</v>
      </c>
      <c r="ID27">
        <v>1.8622399999999999</v>
      </c>
      <c r="IE27">
        <v>1.86172</v>
      </c>
      <c r="IF27">
        <v>1.86172</v>
      </c>
      <c r="IG27">
        <v>1.8623700000000001</v>
      </c>
      <c r="IH27">
        <v>1.86331</v>
      </c>
      <c r="II27">
        <v>1.8613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-10.983000000000001</v>
      </c>
      <c r="IX27">
        <v>-0.56769999999999998</v>
      </c>
      <c r="IY27">
        <v>-8.9764800145746086</v>
      </c>
      <c r="IZ27">
        <v>-5.6215304933332991E-3</v>
      </c>
      <c r="JA27">
        <v>2.3979931213773931E-6</v>
      </c>
      <c r="JB27">
        <v>-3.6297174575716598E-10</v>
      </c>
      <c r="JC27">
        <v>-0.90382424749931767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1.3</v>
      </c>
      <c r="JL27">
        <v>1.2</v>
      </c>
      <c r="JM27">
        <v>1.11572</v>
      </c>
      <c r="JN27">
        <v>2.49268</v>
      </c>
      <c r="JO27">
        <v>1.50024</v>
      </c>
      <c r="JP27">
        <v>2.2753899999999998</v>
      </c>
      <c r="JQ27">
        <v>1.4477500000000001</v>
      </c>
      <c r="JR27">
        <v>2.4719199999999999</v>
      </c>
      <c r="JS27">
        <v>36.505099999999999</v>
      </c>
      <c r="JT27">
        <v>24.105</v>
      </c>
      <c r="JU27">
        <v>18</v>
      </c>
      <c r="JV27">
        <v>531.72500000000002</v>
      </c>
      <c r="JW27">
        <v>469.541</v>
      </c>
      <c r="JX27">
        <v>23.664300000000001</v>
      </c>
      <c r="JY27">
        <v>28.041699999999999</v>
      </c>
      <c r="JZ27">
        <v>30.000499999999999</v>
      </c>
      <c r="KA27">
        <v>28.020800000000001</v>
      </c>
      <c r="KB27">
        <v>28.0288</v>
      </c>
      <c r="KC27">
        <v>22.308900000000001</v>
      </c>
      <c r="KD27">
        <v>36.518700000000003</v>
      </c>
      <c r="KE27">
        <v>0</v>
      </c>
      <c r="KF27">
        <v>23.664899999999999</v>
      </c>
      <c r="KG27">
        <v>426.80399999999997</v>
      </c>
      <c r="KH27">
        <v>20.5032</v>
      </c>
      <c r="KI27">
        <v>101.021</v>
      </c>
      <c r="KJ27">
        <v>98.287199999999999</v>
      </c>
    </row>
    <row r="28" spans="1:296" x14ac:dyDescent="0.3">
      <c r="A28">
        <v>12</v>
      </c>
      <c r="B28">
        <v>1785956046.0999999</v>
      </c>
      <c r="C28">
        <v>1996.599999904633</v>
      </c>
      <c r="D28" t="s">
        <v>667</v>
      </c>
      <c r="E28" t="s">
        <v>668</v>
      </c>
      <c r="F28">
        <v>15</v>
      </c>
      <c r="H28">
        <v>1785956038.349999</v>
      </c>
      <c r="I28">
        <f t="shared" si="0"/>
        <v>3.6785067019874554E-4</v>
      </c>
      <c r="J28">
        <f t="shared" si="1"/>
        <v>0.36785067019874551</v>
      </c>
      <c r="K28">
        <f t="shared" si="2"/>
        <v>2.1588200117493588</v>
      </c>
      <c r="L28">
        <f t="shared" si="3"/>
        <v>419.99660000000011</v>
      </c>
      <c r="M28">
        <f t="shared" si="4"/>
        <v>305.39809240256051</v>
      </c>
      <c r="N28">
        <f t="shared" si="5"/>
        <v>29.885013675312717</v>
      </c>
      <c r="O28">
        <f t="shared" si="6"/>
        <v>41.099156958845541</v>
      </c>
      <c r="P28">
        <f t="shared" si="7"/>
        <v>3.2173260422547957E-2</v>
      </c>
      <c r="Q28">
        <f t="shared" si="8"/>
        <v>2.8882487446317491</v>
      </c>
      <c r="R28">
        <f t="shared" si="9"/>
        <v>3.1975476495475087E-2</v>
      </c>
      <c r="S28">
        <f t="shared" si="10"/>
        <v>2.0002341406407817E-2</v>
      </c>
      <c r="T28">
        <f t="shared" si="11"/>
        <v>8.2384724549253718</v>
      </c>
      <c r="U28">
        <f t="shared" si="12"/>
        <v>25.19002385611223</v>
      </c>
      <c r="V28">
        <f t="shared" si="13"/>
        <v>25.019809999999989</v>
      </c>
      <c r="W28">
        <f t="shared" si="14"/>
        <v>3.1834349000355879</v>
      </c>
      <c r="X28">
        <f t="shared" si="15"/>
        <v>64.743701826155018</v>
      </c>
      <c r="Y28">
        <f t="shared" si="16"/>
        <v>2.0880073828053938</v>
      </c>
      <c r="Z28">
        <f t="shared" si="17"/>
        <v>3.22503552301034</v>
      </c>
      <c r="AA28">
        <f t="shared" si="18"/>
        <v>1.0954275172301942</v>
      </c>
      <c r="AB28">
        <f t="shared" si="19"/>
        <v>-16.22221455576468</v>
      </c>
      <c r="AC28">
        <f t="shared" si="20"/>
        <v>33.941941832563302</v>
      </c>
      <c r="AD28">
        <f t="shared" si="21"/>
        <v>2.4890014722437241</v>
      </c>
      <c r="AE28">
        <f t="shared" si="22"/>
        <v>28.447201203967719</v>
      </c>
      <c r="AF28">
        <f t="shared" si="23"/>
        <v>2.1588200117493588</v>
      </c>
      <c r="AG28">
        <f t="shared" si="24"/>
        <v>0.36785067019874551</v>
      </c>
      <c r="AH28">
        <f t="shared" si="25"/>
        <v>2.2151215028768472</v>
      </c>
      <c r="AI28">
        <v>431.83821186691807</v>
      </c>
      <c r="AJ28">
        <v>429.15499393939399</v>
      </c>
      <c r="AK28">
        <v>-5.9901310131052687E-3</v>
      </c>
      <c r="AL28">
        <v>67.056131777275283</v>
      </c>
      <c r="AM28">
        <f t="shared" si="26"/>
        <v>0.38869728066046538</v>
      </c>
      <c r="AN28">
        <v>20.912086039457009</v>
      </c>
      <c r="AO28">
        <v>21.36116909090908</v>
      </c>
      <c r="AP28">
        <v>1.1985340341645789E-3</v>
      </c>
      <c r="AQ28">
        <v>78.175893392926085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51950.281644629402</v>
      </c>
      <c r="AW28" t="s">
        <v>624</v>
      </c>
      <c r="AX28">
        <v>13234.2</v>
      </c>
      <c r="AY28">
        <v>688.18235294117653</v>
      </c>
      <c r="AZ28">
        <v>2345.1</v>
      </c>
      <c r="BA28">
        <f t="shared" si="30"/>
        <v>0.70654455974535135</v>
      </c>
      <c r="BB28">
        <v>-2.4516348080741319</v>
      </c>
      <c r="BC28" t="s">
        <v>669</v>
      </c>
      <c r="BD28">
        <v>13219.6</v>
      </c>
      <c r="BE28">
        <v>771.65558823529409</v>
      </c>
      <c r="BF28">
        <v>2374.9699999999998</v>
      </c>
      <c r="BG28">
        <f t="shared" si="31"/>
        <v>0.67508827975288355</v>
      </c>
      <c r="BH28">
        <v>0.5</v>
      </c>
      <c r="BI28">
        <f t="shared" si="32"/>
        <v>42.124462279235956</v>
      </c>
      <c r="BJ28">
        <f t="shared" si="33"/>
        <v>2.1588200117493588</v>
      </c>
      <c r="BK28">
        <f t="shared" si="34"/>
        <v>14.218865387802317</v>
      </c>
      <c r="BL28">
        <f t="shared" si="35"/>
        <v>0.10944839578631445</v>
      </c>
      <c r="BM28">
        <f t="shared" si="36"/>
        <v>-1.2577000972643819E-2</v>
      </c>
      <c r="BN28">
        <f t="shared" si="37"/>
        <v>690.73169814157245</v>
      </c>
      <c r="BO28" t="s">
        <v>408</v>
      </c>
      <c r="BP28">
        <v>0</v>
      </c>
      <c r="BQ28">
        <f t="shared" si="38"/>
        <v>690.73169814157245</v>
      </c>
      <c r="BR28">
        <f t="shared" si="39"/>
        <v>0.7091619270384163</v>
      </c>
      <c r="BS28">
        <f t="shared" si="40"/>
        <v>0.95195223264758411</v>
      </c>
      <c r="BT28">
        <f t="shared" si="41"/>
        <v>-1.8055229882273226E-2</v>
      </c>
      <c r="BU28">
        <f t="shared" si="42"/>
        <v>0.95051348909291211</v>
      </c>
      <c r="BV28">
        <f t="shared" si="43"/>
        <v>-1.802744997798883E-2</v>
      </c>
      <c r="BW28">
        <f t="shared" si="44"/>
        <v>0.85212054734168285</v>
      </c>
      <c r="BX28">
        <f t="shared" si="45"/>
        <v>0.14787945265831715</v>
      </c>
      <c r="DG28">
        <f t="shared" si="46"/>
        <v>49.987506666666683</v>
      </c>
      <c r="DH28">
        <f t="shared" si="47"/>
        <v>42.124462279235956</v>
      </c>
      <c r="DI28">
        <f t="shared" si="48"/>
        <v>0.84269980817678858</v>
      </c>
      <c r="DJ28">
        <f t="shared" si="49"/>
        <v>0.16481062978120203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1785956038.349999</v>
      </c>
      <c r="DQ28">
        <v>419.99660000000011</v>
      </c>
      <c r="DR28">
        <v>422.77256666666659</v>
      </c>
      <c r="DS28">
        <v>21.337566666666671</v>
      </c>
      <c r="DT28">
        <v>20.905566666666669</v>
      </c>
      <c r="DU28">
        <v>431.04493333333329</v>
      </c>
      <c r="DV28">
        <v>21.907033333333331</v>
      </c>
      <c r="DW28">
        <v>500.00226666666663</v>
      </c>
      <c r="DX28">
        <v>97.806033333333318</v>
      </c>
      <c r="DY28">
        <v>4.989445E-2</v>
      </c>
      <c r="DZ28">
        <v>25.23779</v>
      </c>
      <c r="EA28">
        <v>25.019809999999989</v>
      </c>
      <c r="EB28">
        <v>999.9000000000002</v>
      </c>
      <c r="EC28">
        <v>0</v>
      </c>
      <c r="ED28">
        <v>0</v>
      </c>
      <c r="EE28">
        <v>9985.5</v>
      </c>
      <c r="EF28">
        <v>0</v>
      </c>
      <c r="EG28">
        <v>196.38300000000001</v>
      </c>
      <c r="EH28">
        <v>-2.7759593333333328</v>
      </c>
      <c r="EI28">
        <v>429.15366666666682</v>
      </c>
      <c r="EJ28">
        <v>431.79959999999988</v>
      </c>
      <c r="EK28">
        <v>0.43201170000000011</v>
      </c>
      <c r="EL28">
        <v>422.77256666666659</v>
      </c>
      <c r="EM28">
        <v>20.905566666666669</v>
      </c>
      <c r="EN28">
        <v>2.0869426666666659</v>
      </c>
      <c r="EO28">
        <v>2.0446893333333329</v>
      </c>
      <c r="EP28">
        <v>18.119869999999999</v>
      </c>
      <c r="EQ28">
        <v>17.79472333333333</v>
      </c>
      <c r="ER28">
        <v>49.987506666666683</v>
      </c>
      <c r="ES28">
        <v>0.90002559999999987</v>
      </c>
      <c r="ET28">
        <v>9.9974686666666646E-2</v>
      </c>
      <c r="EU28">
        <v>0</v>
      </c>
      <c r="EV28">
        <v>771.54180000000019</v>
      </c>
      <c r="EW28">
        <v>5.0010700000000003</v>
      </c>
      <c r="EX28">
        <v>1881.843666666666</v>
      </c>
      <c r="EY28">
        <v>396.15956666666682</v>
      </c>
      <c r="EZ28">
        <v>35.266433333333332</v>
      </c>
      <c r="FA28">
        <v>39.376800000000003</v>
      </c>
      <c r="FB28">
        <v>37.6873</v>
      </c>
      <c r="FC28">
        <v>39.576833333333333</v>
      </c>
      <c r="FD28">
        <v>37.714300000000001</v>
      </c>
      <c r="FE28">
        <v>40.488999999999997</v>
      </c>
      <c r="FF28">
        <v>4.4986666666666659</v>
      </c>
      <c r="FG28">
        <v>0</v>
      </c>
      <c r="FH28">
        <v>180.70000004768369</v>
      </c>
      <c r="FI28">
        <v>0</v>
      </c>
      <c r="FJ28">
        <v>771.65558823529409</v>
      </c>
      <c r="FK28">
        <v>1.518627447613246</v>
      </c>
      <c r="FL28">
        <v>285.47303934079548</v>
      </c>
      <c r="FM28">
        <v>1891.908235294118</v>
      </c>
      <c r="FN28">
        <v>10</v>
      </c>
      <c r="FO28">
        <v>1785955964.0999999</v>
      </c>
      <c r="FP28" t="s">
        <v>670</v>
      </c>
      <c r="FQ28">
        <v>1785955964.0999999</v>
      </c>
      <c r="FR28">
        <v>1785955961.0999999</v>
      </c>
      <c r="FS28">
        <v>59</v>
      </c>
      <c r="FT28">
        <v>-6.5000000000000002E-2</v>
      </c>
      <c r="FU28">
        <v>-1E-3</v>
      </c>
      <c r="FV28">
        <v>-11.055999999999999</v>
      </c>
      <c r="FW28">
        <v>-0.58699999999999997</v>
      </c>
      <c r="FX28">
        <v>422</v>
      </c>
      <c r="FY28">
        <v>21</v>
      </c>
      <c r="FZ28">
        <v>1.36</v>
      </c>
      <c r="GA28">
        <v>0.41</v>
      </c>
      <c r="GB28">
        <v>419.99503225806438</v>
      </c>
      <c r="GC28">
        <v>0.32520967741859758</v>
      </c>
      <c r="GD28">
        <v>5.3258640898775279E-2</v>
      </c>
      <c r="GE28">
        <v>-1</v>
      </c>
      <c r="GF28">
        <v>771.48047058823522</v>
      </c>
      <c r="GG28">
        <v>1.6730634171513981</v>
      </c>
      <c r="GH28">
        <v>0.25922715853703632</v>
      </c>
      <c r="GI28">
        <v>1</v>
      </c>
      <c r="GJ28">
        <v>0.45125341463414642</v>
      </c>
      <c r="GK28">
        <v>-0.25259308013937298</v>
      </c>
      <c r="GL28">
        <v>4.0463986813917142E-2</v>
      </c>
      <c r="GM28">
        <v>1</v>
      </c>
      <c r="GN28">
        <v>2</v>
      </c>
      <c r="GO28">
        <v>2</v>
      </c>
      <c r="GP28" t="s">
        <v>411</v>
      </c>
      <c r="GQ28">
        <v>3.1304699999999999</v>
      </c>
      <c r="GR28">
        <v>2.7265999999999999</v>
      </c>
      <c r="GS28">
        <v>9.3659500000000007E-2</v>
      </c>
      <c r="GT28">
        <v>9.2996400000000007E-2</v>
      </c>
      <c r="GU28">
        <v>0.106429</v>
      </c>
      <c r="GV28">
        <v>0.103302</v>
      </c>
      <c r="GW28">
        <v>22894.3</v>
      </c>
      <c r="GX28">
        <v>30497.7</v>
      </c>
      <c r="GY28">
        <v>27374.9</v>
      </c>
      <c r="GZ28">
        <v>34537.599999999999</v>
      </c>
      <c r="HA28">
        <v>35791.4</v>
      </c>
      <c r="HB28">
        <v>38985.4</v>
      </c>
      <c r="HC28">
        <v>40409.1</v>
      </c>
      <c r="HD28">
        <v>43568</v>
      </c>
      <c r="HE28">
        <v>2.0230000000000001</v>
      </c>
      <c r="HF28">
        <v>1.8996</v>
      </c>
      <c r="HG28">
        <v>-6.4075E-3</v>
      </c>
      <c r="HH28">
        <v>0</v>
      </c>
      <c r="HI28">
        <v>25.122800000000002</v>
      </c>
      <c r="HJ28">
        <v>999.9</v>
      </c>
      <c r="HK28">
        <v>59.8</v>
      </c>
      <c r="HL28">
        <v>32.1</v>
      </c>
      <c r="HM28">
        <v>29.3629</v>
      </c>
      <c r="HN28">
        <v>60.368899999999996</v>
      </c>
      <c r="HO28">
        <v>4.6153899999999997</v>
      </c>
      <c r="HP28">
        <v>1</v>
      </c>
      <c r="HQ28">
        <v>7.2154499999999996E-2</v>
      </c>
      <c r="HR28">
        <v>1.5345800000000001</v>
      </c>
      <c r="HS28">
        <v>20.248699999999999</v>
      </c>
      <c r="HT28">
        <v>5.2148899999999996</v>
      </c>
      <c r="HU28">
        <v>11.902100000000001</v>
      </c>
      <c r="HV28">
        <v>4.9867999999999997</v>
      </c>
      <c r="HW28">
        <v>3.2704</v>
      </c>
      <c r="HX28">
        <v>9999</v>
      </c>
      <c r="HY28">
        <v>9999</v>
      </c>
      <c r="HZ28">
        <v>9999</v>
      </c>
      <c r="IA28">
        <v>999.9</v>
      </c>
      <c r="IB28">
        <v>1.86713</v>
      </c>
      <c r="IC28">
        <v>1.8627</v>
      </c>
      <c r="ID28">
        <v>1.8621799999999999</v>
      </c>
      <c r="IE28">
        <v>1.86172</v>
      </c>
      <c r="IF28">
        <v>1.86172</v>
      </c>
      <c r="IG28">
        <v>1.8623700000000001</v>
      </c>
      <c r="IH28">
        <v>1.86328</v>
      </c>
      <c r="II28">
        <v>1.86127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-11.048</v>
      </c>
      <c r="IX28">
        <v>-0.56869999999999998</v>
      </c>
      <c r="IY28">
        <v>-9.0415674922043312</v>
      </c>
      <c r="IZ28">
        <v>-5.6215304933332991E-3</v>
      </c>
      <c r="JA28">
        <v>2.3979931213773931E-6</v>
      </c>
      <c r="JB28">
        <v>-3.6297174575716598E-10</v>
      </c>
      <c r="JC28">
        <v>-0.90502168146161255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1.4</v>
      </c>
      <c r="JL28">
        <v>1.4</v>
      </c>
      <c r="JM28">
        <v>1.1071800000000001</v>
      </c>
      <c r="JN28">
        <v>2.49756</v>
      </c>
      <c r="JO28">
        <v>1.50024</v>
      </c>
      <c r="JP28">
        <v>2.2753899999999998</v>
      </c>
      <c r="JQ28">
        <v>1.4477500000000001</v>
      </c>
      <c r="JR28">
        <v>2.36694</v>
      </c>
      <c r="JS28">
        <v>36.6233</v>
      </c>
      <c r="JT28">
        <v>24.096299999999999</v>
      </c>
      <c r="JU28">
        <v>18</v>
      </c>
      <c r="JV28">
        <v>531.92499999999995</v>
      </c>
      <c r="JW28">
        <v>469.267</v>
      </c>
      <c r="JX28">
        <v>23.448799999999999</v>
      </c>
      <c r="JY28">
        <v>28.144600000000001</v>
      </c>
      <c r="JZ28">
        <v>30.0001</v>
      </c>
      <c r="KA28">
        <v>28.1279</v>
      </c>
      <c r="KB28">
        <v>28.1355</v>
      </c>
      <c r="KC28">
        <v>22.139500000000002</v>
      </c>
      <c r="KD28">
        <v>35.928800000000003</v>
      </c>
      <c r="KE28">
        <v>0</v>
      </c>
      <c r="KF28">
        <v>23.4558</v>
      </c>
      <c r="KG28">
        <v>422.71699999999998</v>
      </c>
      <c r="KH28">
        <v>20.869599999999998</v>
      </c>
      <c r="KI28">
        <v>101.009</v>
      </c>
      <c r="KJ28">
        <v>98.273399999999995</v>
      </c>
    </row>
    <row r="29" spans="1:296" x14ac:dyDescent="0.3">
      <c r="A29">
        <v>13</v>
      </c>
      <c r="B29">
        <v>1785956227.5999999</v>
      </c>
      <c r="C29">
        <v>2178.099999904633</v>
      </c>
      <c r="D29" t="s">
        <v>671</v>
      </c>
      <c r="E29" t="s">
        <v>672</v>
      </c>
      <c r="F29">
        <v>15</v>
      </c>
      <c r="H29">
        <v>1785956219.849999</v>
      </c>
      <c r="I29">
        <f t="shared" si="0"/>
        <v>3.3100838761280691E-4</v>
      </c>
      <c r="J29">
        <f t="shared" si="1"/>
        <v>0.33100838761280693</v>
      </c>
      <c r="K29">
        <f t="shared" si="2"/>
        <v>-2.0951853600362518</v>
      </c>
      <c r="L29">
        <f t="shared" si="3"/>
        <v>420.01853333333332</v>
      </c>
      <c r="M29">
        <f t="shared" si="4"/>
        <v>527.40757733774626</v>
      </c>
      <c r="N29">
        <f t="shared" si="5"/>
        <v>51.610786718044466</v>
      </c>
      <c r="O29">
        <f t="shared" si="6"/>
        <v>41.101963401656782</v>
      </c>
      <c r="P29">
        <f t="shared" si="7"/>
        <v>2.9018067739319073E-2</v>
      </c>
      <c r="Q29">
        <f t="shared" si="8"/>
        <v>2.8894356120737887</v>
      </c>
      <c r="R29">
        <f t="shared" si="9"/>
        <v>2.8857135462939474E-2</v>
      </c>
      <c r="S29">
        <f t="shared" si="10"/>
        <v>1.8050094247219914E-2</v>
      </c>
      <c r="T29">
        <f t="shared" si="11"/>
        <v>1.5966703903835998E-4</v>
      </c>
      <c r="U29">
        <f t="shared" si="12"/>
        <v>25.047012573669367</v>
      </c>
      <c r="V29">
        <f t="shared" si="13"/>
        <v>24.987500000000001</v>
      </c>
      <c r="W29">
        <f t="shared" si="14"/>
        <v>3.1773087428383699</v>
      </c>
      <c r="X29">
        <f t="shared" si="15"/>
        <v>65.050135727868181</v>
      </c>
      <c r="Y29">
        <f t="shared" si="16"/>
        <v>2.0850063576448354</v>
      </c>
      <c r="Z29">
        <f t="shared" si="17"/>
        <v>3.205229834365428</v>
      </c>
      <c r="AA29">
        <f t="shared" si="18"/>
        <v>1.0923023851935345</v>
      </c>
      <c r="AB29">
        <f t="shared" si="19"/>
        <v>-14.597469893724785</v>
      </c>
      <c r="AC29">
        <f t="shared" si="20"/>
        <v>22.870922604074405</v>
      </c>
      <c r="AD29">
        <f t="shared" si="21"/>
        <v>1.6753168879467801</v>
      </c>
      <c r="AE29">
        <f t="shared" si="22"/>
        <v>9.9489292653354386</v>
      </c>
      <c r="AF29">
        <f t="shared" si="23"/>
        <v>-2.0951853600362518</v>
      </c>
      <c r="AG29">
        <f t="shared" si="24"/>
        <v>0.33100838761280693</v>
      </c>
      <c r="AH29">
        <f t="shared" si="25"/>
        <v>-2.167490102857851</v>
      </c>
      <c r="AI29">
        <v>426.58695123691899</v>
      </c>
      <c r="AJ29">
        <v>429.18510909090918</v>
      </c>
      <c r="AK29">
        <v>1.107865595924672E-2</v>
      </c>
      <c r="AL29">
        <v>67.056131777275283</v>
      </c>
      <c r="AM29">
        <f t="shared" si="26"/>
        <v>0.32703482433817416</v>
      </c>
      <c r="AN29">
        <v>20.92405914334168</v>
      </c>
      <c r="AO29">
        <v>21.308969090909081</v>
      </c>
      <c r="AP29">
        <v>-1.2992984334946051E-4</v>
      </c>
      <c r="AQ29">
        <v>78.175893392926085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52002.347713452917</v>
      </c>
      <c r="AW29" t="s">
        <v>572</v>
      </c>
      <c r="AX29">
        <v>13230.3</v>
      </c>
      <c r="AY29">
        <v>678.92352941176466</v>
      </c>
      <c r="AZ29">
        <v>2566.7399999999998</v>
      </c>
      <c r="BA29">
        <f t="shared" si="30"/>
        <v>0.73549189656460534</v>
      </c>
      <c r="BB29">
        <v>-2.0951853600362038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-2.0951853600362518</v>
      </c>
      <c r="BK29" t="e">
        <f t="shared" si="34"/>
        <v>#DIV/0!</v>
      </c>
      <c r="BL29">
        <f t="shared" si="35"/>
        <v>-5.7073210858090486E-11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1.3596342864834818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1785956219.849999</v>
      </c>
      <c r="DQ29">
        <v>420.01853333333332</v>
      </c>
      <c r="DR29">
        <v>417.67096666666657</v>
      </c>
      <c r="DS29">
        <v>21.306556666666658</v>
      </c>
      <c r="DT29">
        <v>20.91778</v>
      </c>
      <c r="DU29">
        <v>431.03953333333328</v>
      </c>
      <c r="DV29">
        <v>21.890556666666662</v>
      </c>
      <c r="DW29">
        <v>499.96170000000001</v>
      </c>
      <c r="DX29">
        <v>97.807443333333339</v>
      </c>
      <c r="DY29">
        <v>5.0056133333333343E-2</v>
      </c>
      <c r="DZ29">
        <v>25.134319999999999</v>
      </c>
      <c r="EA29">
        <v>24.987500000000001</v>
      </c>
      <c r="EB29">
        <v>999.9000000000002</v>
      </c>
      <c r="EC29">
        <v>0</v>
      </c>
      <c r="ED29">
        <v>0</v>
      </c>
      <c r="EE29">
        <v>9992.1666666666661</v>
      </c>
      <c r="EF29">
        <v>0</v>
      </c>
      <c r="EG29">
        <v>236.5746</v>
      </c>
      <c r="EH29">
        <v>2.320309</v>
      </c>
      <c r="EI29">
        <v>429.14080000000001</v>
      </c>
      <c r="EJ29">
        <v>426.59436666666659</v>
      </c>
      <c r="EK29">
        <v>0.4028914666666667</v>
      </c>
      <c r="EL29">
        <v>417.67096666666657</v>
      </c>
      <c r="EM29">
        <v>20.91778</v>
      </c>
      <c r="EN29">
        <v>2.0853203333333341</v>
      </c>
      <c r="EO29">
        <v>2.045914666666667</v>
      </c>
      <c r="EP29">
        <v>18.107500000000002</v>
      </c>
      <c r="EQ29">
        <v>17.804233333333329</v>
      </c>
      <c r="ER29">
        <v>1.00021E-2</v>
      </c>
      <c r="ES29">
        <v>0</v>
      </c>
      <c r="ET29">
        <v>0</v>
      </c>
      <c r="EU29">
        <v>0</v>
      </c>
      <c r="EV29">
        <v>679.9799999999999</v>
      </c>
      <c r="EW29">
        <v>1.00021E-2</v>
      </c>
      <c r="EX29">
        <v>1776.676666666667</v>
      </c>
      <c r="EY29">
        <v>1.4533333333333329</v>
      </c>
      <c r="EZ29">
        <v>34.433</v>
      </c>
      <c r="FA29">
        <v>39.078933333333332</v>
      </c>
      <c r="FB29">
        <v>36.924733333333329</v>
      </c>
      <c r="FC29">
        <v>38.7956</v>
      </c>
      <c r="FD29">
        <v>37.078933333333318</v>
      </c>
      <c r="FE29">
        <v>0</v>
      </c>
      <c r="FF29">
        <v>0</v>
      </c>
      <c r="FG29">
        <v>0</v>
      </c>
      <c r="FH29">
        <v>181</v>
      </c>
      <c r="FI29">
        <v>0</v>
      </c>
      <c r="FJ29">
        <v>678.92352941176466</v>
      </c>
      <c r="FK29">
        <v>-3.0392140436876289</v>
      </c>
      <c r="FL29">
        <v>-648.94608098331685</v>
      </c>
      <c r="FM29">
        <v>1728.5147058823529</v>
      </c>
      <c r="FN29">
        <v>10</v>
      </c>
      <c r="FO29">
        <v>1785956243.5999999</v>
      </c>
      <c r="FP29" t="s">
        <v>673</v>
      </c>
      <c r="FQ29">
        <v>1785956243.5999999</v>
      </c>
      <c r="FR29">
        <v>1785956243.0999999</v>
      </c>
      <c r="FS29">
        <v>60</v>
      </c>
      <c r="FT29">
        <v>1.7999999999999999E-2</v>
      </c>
      <c r="FU29">
        <v>-5.0000000000000001E-3</v>
      </c>
      <c r="FV29">
        <v>-11.021000000000001</v>
      </c>
      <c r="FW29">
        <v>-0.58399999999999996</v>
      </c>
      <c r="FX29">
        <v>418</v>
      </c>
      <c r="FY29">
        <v>21</v>
      </c>
      <c r="FZ29">
        <v>1.72</v>
      </c>
      <c r="GA29">
        <v>0.61</v>
      </c>
      <c r="GB29">
        <v>419.99130000000002</v>
      </c>
      <c r="GC29">
        <v>0.27355728587287909</v>
      </c>
      <c r="GD29">
        <v>4.8463147510941149E-2</v>
      </c>
      <c r="GE29">
        <v>-1</v>
      </c>
      <c r="GF29">
        <v>680.31911764705876</v>
      </c>
      <c r="GG29">
        <v>-10.1779981578212</v>
      </c>
      <c r="GH29">
        <v>5.4513761714478832</v>
      </c>
      <c r="GI29">
        <v>0</v>
      </c>
      <c r="GJ29">
        <v>0.411976075</v>
      </c>
      <c r="GK29">
        <v>-0.20502545966228969</v>
      </c>
      <c r="GL29">
        <v>1.9985363070741918E-2</v>
      </c>
      <c r="GM29">
        <v>1</v>
      </c>
      <c r="GN29">
        <v>1</v>
      </c>
      <c r="GO29">
        <v>2</v>
      </c>
      <c r="GP29" t="s">
        <v>444</v>
      </c>
      <c r="GQ29">
        <v>3.13103</v>
      </c>
      <c r="GR29">
        <v>2.7265999999999999</v>
      </c>
      <c r="GS29">
        <v>9.3620999999999996E-2</v>
      </c>
      <c r="GT29">
        <v>9.21154E-2</v>
      </c>
      <c r="GU29">
        <v>0.10620499999999999</v>
      </c>
      <c r="GV29">
        <v>0.103309</v>
      </c>
      <c r="GW29">
        <v>22891.5</v>
      </c>
      <c r="GX29">
        <v>30521.1</v>
      </c>
      <c r="GY29">
        <v>27371</v>
      </c>
      <c r="GZ29">
        <v>34531.599999999999</v>
      </c>
      <c r="HA29">
        <v>35796.400000000001</v>
      </c>
      <c r="HB29">
        <v>38979.4</v>
      </c>
      <c r="HC29">
        <v>40403.9</v>
      </c>
      <c r="HD29">
        <v>43561.4</v>
      </c>
      <c r="HE29">
        <v>2.0224000000000002</v>
      </c>
      <c r="HF29">
        <v>1.8964000000000001</v>
      </c>
      <c r="HG29">
        <v>-1.17719E-2</v>
      </c>
      <c r="HH29">
        <v>0</v>
      </c>
      <c r="HI29">
        <v>25.18</v>
      </c>
      <c r="HJ29">
        <v>999.9</v>
      </c>
      <c r="HK29">
        <v>59.9</v>
      </c>
      <c r="HL29">
        <v>32.299999999999997</v>
      </c>
      <c r="HM29">
        <v>29.745200000000001</v>
      </c>
      <c r="HN29">
        <v>60.478900000000003</v>
      </c>
      <c r="HO29">
        <v>4.6153899999999997</v>
      </c>
      <c r="HP29">
        <v>1</v>
      </c>
      <c r="HQ29">
        <v>8.1382099999999999E-2</v>
      </c>
      <c r="HR29">
        <v>1.4078200000000001</v>
      </c>
      <c r="HS29">
        <v>20.252199999999998</v>
      </c>
      <c r="HT29">
        <v>5.2137000000000002</v>
      </c>
      <c r="HU29">
        <v>11.902100000000001</v>
      </c>
      <c r="HV29">
        <v>4.9867999999999997</v>
      </c>
      <c r="HW29">
        <v>3.2706</v>
      </c>
      <c r="HX29">
        <v>9999</v>
      </c>
      <c r="HY29">
        <v>9999</v>
      </c>
      <c r="HZ29">
        <v>9999</v>
      </c>
      <c r="IA29">
        <v>999.9</v>
      </c>
      <c r="IB29">
        <v>1.8671599999999999</v>
      </c>
      <c r="IC29">
        <v>1.86276</v>
      </c>
      <c r="ID29">
        <v>1.8621799999999999</v>
      </c>
      <c r="IE29">
        <v>1.86172</v>
      </c>
      <c r="IF29">
        <v>1.86172</v>
      </c>
      <c r="IG29">
        <v>1.86243</v>
      </c>
      <c r="IH29">
        <v>1.86331</v>
      </c>
      <c r="II29">
        <v>1.8613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-11.021000000000001</v>
      </c>
      <c r="IX29">
        <v>-0.58399999999999996</v>
      </c>
      <c r="IY29">
        <v>-9.0415674922043312</v>
      </c>
      <c r="IZ29">
        <v>-5.6215304933332991E-3</v>
      </c>
      <c r="JA29">
        <v>2.3979931213773931E-6</v>
      </c>
      <c r="JB29">
        <v>-3.6297174575716598E-10</v>
      </c>
      <c r="JC29">
        <v>-0.90502168146161255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4.4000000000000004</v>
      </c>
      <c r="JL29">
        <v>4.4000000000000004</v>
      </c>
      <c r="JM29">
        <v>1.09619</v>
      </c>
      <c r="JN29">
        <v>2.5</v>
      </c>
      <c r="JO29">
        <v>1.50024</v>
      </c>
      <c r="JP29">
        <v>2.2753899999999998</v>
      </c>
      <c r="JQ29">
        <v>1.4477500000000001</v>
      </c>
      <c r="JR29">
        <v>2.36572</v>
      </c>
      <c r="JS29">
        <v>36.812899999999999</v>
      </c>
      <c r="JT29">
        <v>24.105</v>
      </c>
      <c r="JU29">
        <v>18</v>
      </c>
      <c r="JV29">
        <v>532.73900000000003</v>
      </c>
      <c r="JW29">
        <v>468.339</v>
      </c>
      <c r="JX29">
        <v>23.5745</v>
      </c>
      <c r="JY29">
        <v>28.288900000000002</v>
      </c>
      <c r="JZ29">
        <v>30.0002</v>
      </c>
      <c r="KA29">
        <v>28.262</v>
      </c>
      <c r="KB29">
        <v>28.2727</v>
      </c>
      <c r="KC29">
        <v>21.9222</v>
      </c>
      <c r="KD29">
        <v>36.482700000000001</v>
      </c>
      <c r="KE29">
        <v>0</v>
      </c>
      <c r="KF29">
        <v>23.571300000000001</v>
      </c>
      <c r="KG29">
        <v>417.57600000000002</v>
      </c>
      <c r="KH29">
        <v>20.909099999999999</v>
      </c>
      <c r="KI29">
        <v>100.995</v>
      </c>
      <c r="KJ29">
        <v>98.257599999999996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D787-C34D-4CF1-B9BD-C7D86ADC5A02}">
  <dimension ref="A2:KJ32"/>
  <sheetViews>
    <sheetView workbookViewId="0">
      <selection activeCell="D8" sqref="D8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1785949203.5999999</v>
      </c>
      <c r="C17">
        <v>0</v>
      </c>
      <c r="D17" t="s">
        <v>674</v>
      </c>
      <c r="E17" t="s">
        <v>675</v>
      </c>
      <c r="F17">
        <v>15</v>
      </c>
      <c r="H17">
        <v>1785949195.599999</v>
      </c>
      <c r="I17">
        <f t="shared" ref="I17:I32" si="0">(J17)/1000</f>
        <v>3.9488447529456637E-4</v>
      </c>
      <c r="J17">
        <f t="shared" ref="J17:J32" si="1">IF(DO17, AM17, AG17)</f>
        <v>0.39488447529456638</v>
      </c>
      <c r="K17">
        <f t="shared" ref="K17:K32" si="2">IF(DO17, AH17, AF17)</f>
        <v>3.1732202721561849</v>
      </c>
      <c r="L17">
        <f t="shared" ref="L17:L32" si="3">DQ17 - IF(AT17&gt;1, K17*DK17*100/(AV17), 0)</f>
        <v>419.90119354838708</v>
      </c>
      <c r="M17">
        <f t="shared" ref="M17:M32" si="4">((S17-I17/2)*L17-K17)/(S17+I17/2)</f>
        <v>268.52422173151894</v>
      </c>
      <c r="N17">
        <f t="shared" ref="N17:N32" si="5">M17*(DX17+DY17)/1000</f>
        <v>26.324836020862524</v>
      </c>
      <c r="O17">
        <f t="shared" ref="O17:O32" si="6">(DQ17 - IF(AT17&gt;1, K17*DK17*100/(AV17), 0))*(DX17+DY17)/1000</f>
        <v>41.165113500181</v>
      </c>
      <c r="P17">
        <f t="shared" ref="P17:P32" si="7">2/((1/R17-1/Q17)+SIGN(R17)*SQRT((1/R17-1/Q17)*(1/R17-1/Q17) + 4*DL17/((DL17+1)*(DL17+1))*(2*1/R17*1/Q17-1/Q17*1/Q17)))</f>
        <v>3.5178684106561352E-2</v>
      </c>
      <c r="Q17">
        <f t="shared" ref="Q17:Q32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2.893074940680731</v>
      </c>
      <c r="R17">
        <f t="shared" ref="R17:R32" si="9">I17*(1000-(1000*0.61365*EXP(17.502*V17/(240.97+V17))/(DX17+DY17)+DS17)/2)/(1000*0.61365*EXP(17.502*V17/(240.97+V17))/(DX17+DY17)-DS17)</f>
        <v>3.4942760657213141E-2</v>
      </c>
      <c r="S17">
        <f t="shared" ref="S17:S32" si="10">1/((DL17+1)/(P17/1.6)+1/(Q17/1.37)) + DL17/((DL17+1)/(P17/1.6) + DL17/(Q17/1.37))</f>
        <v>2.1860290154341471E-2</v>
      </c>
      <c r="T17">
        <f t="shared" ref="T17:T32" si="11">(DG17*DJ17)</f>
        <v>319.7823988662164</v>
      </c>
      <c r="U17">
        <f t="shared" ref="U17:U32" si="12">(DZ17+(T17+2*0.95*0.0000000567*(((DZ17+$B$7)+273)^4-(DZ17+273)^4)-44100*I17)/(1.84*29.3*Q17+8*0.95*0.0000000567*(DZ17+273)^3))</f>
        <v>27.161903438699763</v>
      </c>
      <c r="V17">
        <f t="shared" ref="V17:V32" si="13">($C$7*EA17+$D$7*EB17+$E$7*U17)</f>
        <v>25.023438709677421</v>
      </c>
      <c r="W17">
        <f t="shared" ref="W17:W32" si="14">0.61365*EXP(17.502*V17/(240.97+V17))</f>
        <v>3.1841235680318687</v>
      </c>
      <c r="X17">
        <f t="shared" ref="X17:X32" si="15">(Y17/Z17*100)</f>
        <v>64.848734091809376</v>
      </c>
      <c r="Y17">
        <f t="shared" ref="Y17:Y32" si="16">DS17*(DX17+DY17)/1000</f>
        <v>2.1061299185785489</v>
      </c>
      <c r="Z17">
        <f t="shared" ref="Z17:Z32" si="17">0.61365*EXP(17.502*DZ17/(240.97+DZ17))</f>
        <v>3.2477579525250295</v>
      </c>
      <c r="AA17">
        <f t="shared" ref="AA17:AA32" si="18">(W17-DS17*(DX17+DY17)/1000)</f>
        <v>1.0779936494533198</v>
      </c>
      <c r="AB17">
        <f t="shared" ref="AB17:AB32" si="19">(-I17*44100)</f>
        <v>-17.414405360490377</v>
      </c>
      <c r="AC17">
        <f t="shared" ref="AC17:AC32" si="20">2*29.3*Q17*0.92*(DZ17-V17)</f>
        <v>51.841390105430143</v>
      </c>
      <c r="AD17">
        <f t="shared" ref="AD17:AD32" si="21">2*0.95*0.0000000567*(((DZ17+$B$7)+273)^4-(V17+273)^4)</f>
        <v>3.7975709341981281</v>
      </c>
      <c r="AE17">
        <f t="shared" ref="AE17:AE32" si="22">T17+AD17+AB17+AC17</f>
        <v>358.00695454535429</v>
      </c>
      <c r="AF17">
        <f t="shared" ref="AF17:AF32" si="23">DW17*AT17*(DR17-DQ17*(1000-AT17*DT17)/(1000-AT17*DS17))/(100*DK17)</f>
        <v>3.1732202721561849</v>
      </c>
      <c r="AG17">
        <f t="shared" ref="AG17:AG32" si="24">1000*DW17*AT17*(DS17-DT17)/(100*DK17*(1000-AT17*DS17))</f>
        <v>0.39488447529456638</v>
      </c>
      <c r="AH17">
        <f t="shared" ref="AH17:AH32" si="25">(AI17 - AJ17 - DX17*1000/(8.314*(DZ17+273.15)) * AL17/DW17 * AK17) * DW17/(100*DK17) * (1000 - DT17)/1000</f>
        <v>3.1777875623822998</v>
      </c>
      <c r="AI17">
        <v>433.03451717757792</v>
      </c>
      <c r="AJ17">
        <v>429.11401818181798</v>
      </c>
      <c r="AK17">
        <v>4.7800840077878611E-3</v>
      </c>
      <c r="AL17">
        <v>67.050941307328998</v>
      </c>
      <c r="AM17">
        <f t="shared" ref="AM17:AM32" si="26">(AO17 - AN17 + DX17*1000/(8.314*(DZ17+273.15)) * AQ17/DW17 * AP17) * DW17/(100*DK17) * 1000/(1000 - AO17)</f>
        <v>0.39204472026432913</v>
      </c>
      <c r="AN17">
        <v>21.020635563952801</v>
      </c>
      <c r="AO17">
        <v>21.480899393939382</v>
      </c>
      <c r="AP17">
        <v>1.302438817071973E-5</v>
      </c>
      <c r="AQ17">
        <v>78.070737668942385</v>
      </c>
      <c r="AR17">
        <v>0</v>
      </c>
      <c r="AS17">
        <v>0</v>
      </c>
      <c r="AT17">
        <f t="shared" ref="AT17:AT32" si="27">IF(AR17*$H$13&gt;=AV17,1,(AV17/(AV17-AR17*$H$13)))</f>
        <v>1</v>
      </c>
      <c r="AU17">
        <f t="shared" ref="AU17:AU32" si="28">(AT17-1)*100</f>
        <v>0</v>
      </c>
      <c r="AV17">
        <f t="shared" ref="AV17:AV32" si="29">MAX(0,($B$13+$C$13*EE17)/(1+$D$13*EE17)*DX17/(DZ17+273)*$E$13)</f>
        <v>52071.946230997572</v>
      </c>
      <c r="AW17" t="s">
        <v>676</v>
      </c>
      <c r="AX17">
        <v>13220</v>
      </c>
      <c r="AY17">
        <v>673.38823529411764</v>
      </c>
      <c r="AZ17">
        <v>2594.1</v>
      </c>
      <c r="BA17">
        <f t="shared" ref="BA17:BA32" si="30">1-AY17/AZ17</f>
        <v>0.74041546767891853</v>
      </c>
      <c r="BB17">
        <v>-2.7089864722863091</v>
      </c>
      <c r="BC17" t="s">
        <v>677</v>
      </c>
      <c r="BD17">
        <v>13193.7</v>
      </c>
      <c r="BE17">
        <v>955.72158823529412</v>
      </c>
      <c r="BF17">
        <v>987.7</v>
      </c>
      <c r="BG17">
        <f t="shared" ref="BG17:BG32" si="31">1-BE17/BF17</f>
        <v>3.2376644491956985E-2</v>
      </c>
      <c r="BH17">
        <v>0.5</v>
      </c>
      <c r="BI17">
        <f t="shared" ref="BI17:BI32" si="32">DH17</f>
        <v>1680.328877500463</v>
      </c>
      <c r="BJ17">
        <f t="shared" ref="BJ17:BJ32" si="33">K17</f>
        <v>3.1732202721561849</v>
      </c>
      <c r="BK17">
        <f t="shared" ref="BK17:BK32" si="34">BG17*BH17*BI17</f>
        <v>27.201705348200814</v>
      </c>
      <c r="BL17">
        <f t="shared" ref="BL17:BL32" si="35">(BJ17-BB17)/BI17</f>
        <v>3.5006282539120815E-3</v>
      </c>
      <c r="BM17">
        <f t="shared" ref="BM17:BM32" si="36">(AZ17-BF17)/BF17</f>
        <v>1.6264047787789813</v>
      </c>
      <c r="BN17">
        <f t="shared" ref="BN17:BN32" si="37">AY17/(BA17+AY17/BF17)</f>
        <v>473.48698889618447</v>
      </c>
      <c r="BO17" t="s">
        <v>408</v>
      </c>
      <c r="BP17">
        <v>0</v>
      </c>
      <c r="BQ17">
        <f t="shared" ref="BQ17:BQ32" si="38">IF(BP17&lt;&gt;0, BP17, BN17)</f>
        <v>473.48698889618447</v>
      </c>
      <c r="BR17">
        <f t="shared" ref="BR17:BR32" si="39">1-BQ17/BF17</f>
        <v>0.52061659522508408</v>
      </c>
      <c r="BS17">
        <f t="shared" ref="BS17:BS32" si="40">(BF17-BE17)/(BF17-BQ17)</f>
        <v>6.2189036594116315E-2</v>
      </c>
      <c r="BT17">
        <f t="shared" ref="BT17:BT32" si="41">(AZ17-BF17)/(AZ17-BQ17)</f>
        <v>0.75751680838921243</v>
      </c>
      <c r="BU17">
        <f t="shared" ref="BU17:BU32" si="42">(BF17-BE17)/(BF17-AY17)</f>
        <v>0.10174105889618787</v>
      </c>
      <c r="BV17">
        <f t="shared" ref="BV17:BV32" si="43">(AZ17-BF17)/(AZ17-AY17)</f>
        <v>0.83635662024800861</v>
      </c>
      <c r="BW17">
        <f t="shared" ref="BW17:BW32" si="44">(BS17*BQ17/BE17)</f>
        <v>3.0809913725683646E-2</v>
      </c>
      <c r="BX17">
        <f t="shared" ref="BX17:BX32" si="45">(1-BW17)</f>
        <v>0.96919008627431635</v>
      </c>
      <c r="DG17">
        <f t="shared" ref="DG17:DG32" si="46">$B$11*EF17+$C$11*EG17+$F$11*ER17*(1-EU17)</f>
        <v>2000.0358064516131</v>
      </c>
      <c r="DH17">
        <f t="shared" ref="DH17:DH32" si="47">DG17*DI17</f>
        <v>1680.328877500463</v>
      </c>
      <c r="DI17">
        <f t="shared" ref="DI17:DI32" si="48">($B$11*$D$9+$C$11*$D$9+$F$11*((FE17+EW17)/MAX(FE17+EW17+FF17, 0.1)*$I$9+FF17/MAX(FE17+EW17+FF17, 0.1)*$J$9))/($B$11+$C$11+$F$11)</f>
        <v>0.84014939736585925</v>
      </c>
      <c r="DJ17">
        <f t="shared" ref="DJ17:DJ32" si="49">($B$11*$K$9+$C$11*$K$9+$F$11*((FE17+EW17)/MAX(FE17+EW17+FF17, 0.1)*$P$9+FF17/MAX(FE17+EW17+FF17, 0.1)*$Q$9))/($B$11+$C$11+$F$11)</f>
        <v>0.15988833691610857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1785949195.599999</v>
      </c>
      <c r="DQ17">
        <v>419.90119354838708</v>
      </c>
      <c r="DR17">
        <v>423.9079999999999</v>
      </c>
      <c r="DS17">
        <v>21.483396774193551</v>
      </c>
      <c r="DT17">
        <v>21.01971935483871</v>
      </c>
      <c r="DU17">
        <v>430.79051612903231</v>
      </c>
      <c r="DV17">
        <v>22.011816129032258</v>
      </c>
      <c r="DW17">
        <v>500.00409677419361</v>
      </c>
      <c r="DX17">
        <v>97.989006451612923</v>
      </c>
      <c r="DY17">
        <v>4.6231677419354827E-2</v>
      </c>
      <c r="DZ17">
        <v>25.355816129032259</v>
      </c>
      <c r="EA17">
        <v>25.023438709677421</v>
      </c>
      <c r="EB17">
        <v>999.90000000000032</v>
      </c>
      <c r="EC17">
        <v>0</v>
      </c>
      <c r="ED17">
        <v>0</v>
      </c>
      <c r="EE17">
        <v>9994.5161290322576</v>
      </c>
      <c r="EF17">
        <v>0</v>
      </c>
      <c r="EG17">
        <v>2.165737096774194</v>
      </c>
      <c r="EH17">
        <v>-4.0067970967741937</v>
      </c>
      <c r="EI17">
        <v>429.1200322580645</v>
      </c>
      <c r="EJ17">
        <v>433.00961290322579</v>
      </c>
      <c r="EK17">
        <v>0.46368116129032261</v>
      </c>
      <c r="EL17">
        <v>423.9079999999999</v>
      </c>
      <c r="EM17">
        <v>21.01971935483871</v>
      </c>
      <c r="EN17">
        <v>2.105137096774194</v>
      </c>
      <c r="EO17">
        <v>2.059702258064517</v>
      </c>
      <c r="EP17">
        <v>18.258109677419359</v>
      </c>
      <c r="EQ17">
        <v>17.910909677419362</v>
      </c>
      <c r="ER17">
        <v>2000.0358064516131</v>
      </c>
      <c r="ES17">
        <v>0.99500583870967729</v>
      </c>
      <c r="ET17">
        <v>4.9945358064516134E-3</v>
      </c>
      <c r="EU17">
        <v>0</v>
      </c>
      <c r="EV17">
        <v>955.87106451612908</v>
      </c>
      <c r="EW17">
        <v>5.0010700000000003</v>
      </c>
      <c r="EX17">
        <v>19968.483870967739</v>
      </c>
      <c r="EY17">
        <v>18242.009677419359</v>
      </c>
      <c r="EZ17">
        <v>39.578419354838708</v>
      </c>
      <c r="FA17">
        <v>39.790096774193543</v>
      </c>
      <c r="FB17">
        <v>40.015838709677404</v>
      </c>
      <c r="FC17">
        <v>39.652935483870962</v>
      </c>
      <c r="FD17">
        <v>40.71148387096774</v>
      </c>
      <c r="FE17">
        <v>1985.074193548387</v>
      </c>
      <c r="FF17">
        <v>9.9599999999999973</v>
      </c>
      <c r="FG17">
        <v>0</v>
      </c>
      <c r="FH17">
        <v>1221.8000001907351</v>
      </c>
      <c r="FI17">
        <v>0</v>
      </c>
      <c r="FJ17">
        <v>955.72158823529412</v>
      </c>
      <c r="FK17">
        <v>-3.73455881718569</v>
      </c>
      <c r="FL17">
        <v>-228.23529331877529</v>
      </c>
      <c r="FM17">
        <v>19955.770588235289</v>
      </c>
      <c r="FN17">
        <v>10</v>
      </c>
      <c r="FO17">
        <v>1785949071.0999999</v>
      </c>
      <c r="FP17" t="s">
        <v>678</v>
      </c>
      <c r="FQ17">
        <v>1785949067.5999999</v>
      </c>
      <c r="FR17">
        <v>1785949071.0999999</v>
      </c>
      <c r="FS17">
        <v>31</v>
      </c>
      <c r="FT17">
        <v>-1.7999999999999999E-2</v>
      </c>
      <c r="FU17">
        <v>6.0000000000000001E-3</v>
      </c>
      <c r="FV17">
        <v>-10.901</v>
      </c>
      <c r="FW17">
        <v>-0.54</v>
      </c>
      <c r="FX17">
        <v>423</v>
      </c>
      <c r="FY17">
        <v>21</v>
      </c>
      <c r="FZ17">
        <v>2.04</v>
      </c>
      <c r="GA17">
        <v>0.44</v>
      </c>
      <c r="GB17">
        <v>419.90106666666668</v>
      </c>
      <c r="GC17">
        <v>-0.20129032258078211</v>
      </c>
      <c r="GD17">
        <v>5.0024616162664418E-2</v>
      </c>
      <c r="GE17">
        <v>-1</v>
      </c>
      <c r="GF17">
        <v>956.01441176470598</v>
      </c>
      <c r="GG17">
        <v>-3.2871504991550391</v>
      </c>
      <c r="GH17">
        <v>0.4110976066757423</v>
      </c>
      <c r="GI17">
        <v>1</v>
      </c>
      <c r="GJ17">
        <v>0.46465522500000012</v>
      </c>
      <c r="GK17">
        <v>-3.4417474671669487E-2</v>
      </c>
      <c r="GL17">
        <v>4.2815131932968514E-3</v>
      </c>
      <c r="GM17">
        <v>1</v>
      </c>
      <c r="GN17">
        <v>2</v>
      </c>
      <c r="GO17">
        <v>2</v>
      </c>
      <c r="GP17" t="s">
        <v>411</v>
      </c>
      <c r="GQ17">
        <v>3.1312600000000002</v>
      </c>
      <c r="GR17">
        <v>2.72254</v>
      </c>
      <c r="GS17">
        <v>9.4356800000000005E-2</v>
      </c>
      <c r="GT17">
        <v>9.3976900000000002E-2</v>
      </c>
      <c r="GU17">
        <v>0.10749599999999999</v>
      </c>
      <c r="GV17">
        <v>0.10444199999999999</v>
      </c>
      <c r="GW17">
        <v>22964.400000000001</v>
      </c>
      <c r="GX17">
        <v>30594.1</v>
      </c>
      <c r="GY17">
        <v>27468.2</v>
      </c>
      <c r="GZ17">
        <v>34667.1</v>
      </c>
      <c r="HA17">
        <v>35848.800000000003</v>
      </c>
      <c r="HB17">
        <v>39046.699999999997</v>
      </c>
      <c r="HC17">
        <v>40534.5</v>
      </c>
      <c r="HD17">
        <v>43697.4</v>
      </c>
      <c r="HE17">
        <v>2.0493999999999999</v>
      </c>
      <c r="HF17">
        <v>1.9665999999999999</v>
      </c>
      <c r="HG17">
        <v>7.9721200000000006E-2</v>
      </c>
      <c r="HH17">
        <v>0</v>
      </c>
      <c r="HI17">
        <v>23.717300000000002</v>
      </c>
      <c r="HJ17">
        <v>999.9</v>
      </c>
      <c r="HK17">
        <v>65</v>
      </c>
      <c r="HL17">
        <v>28.8</v>
      </c>
      <c r="HM17">
        <v>26.369900000000001</v>
      </c>
      <c r="HN17">
        <v>60.374000000000002</v>
      </c>
      <c r="HO17">
        <v>3.9503200000000001</v>
      </c>
      <c r="HP17">
        <v>1</v>
      </c>
      <c r="HQ17">
        <v>-0.13042699999999999</v>
      </c>
      <c r="HR17">
        <v>1.0369699999999999</v>
      </c>
      <c r="HS17">
        <v>20.239599999999999</v>
      </c>
      <c r="HT17">
        <v>5.2112999999999996</v>
      </c>
      <c r="HU17">
        <v>11.902100000000001</v>
      </c>
      <c r="HV17">
        <v>4.9867999999999997</v>
      </c>
      <c r="HW17">
        <v>3.2704</v>
      </c>
      <c r="HX17">
        <v>9999</v>
      </c>
      <c r="HY17">
        <v>9999</v>
      </c>
      <c r="HZ17">
        <v>9999</v>
      </c>
      <c r="IA17">
        <v>999.9</v>
      </c>
      <c r="IB17">
        <v>1.8672200000000001</v>
      </c>
      <c r="IC17">
        <v>1.8627899999999999</v>
      </c>
      <c r="ID17">
        <v>1.8622799999999999</v>
      </c>
      <c r="IE17">
        <v>1.86172</v>
      </c>
      <c r="IF17">
        <v>1.86188</v>
      </c>
      <c r="IG17">
        <v>1.86252</v>
      </c>
      <c r="IH17">
        <v>1.8633999999999999</v>
      </c>
      <c r="II17">
        <v>1.8614200000000001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-10.89</v>
      </c>
      <c r="IX17">
        <v>-0.52859999999999996</v>
      </c>
      <c r="IY17">
        <v>-8.8837412010663179</v>
      </c>
      <c r="IZ17">
        <v>-5.6215304933332991E-3</v>
      </c>
      <c r="JA17">
        <v>2.3979931213773931E-6</v>
      </c>
      <c r="JB17">
        <v>-3.6297174575716598E-10</v>
      </c>
      <c r="JC17">
        <v>-0.86674217353441807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2.2999999999999998</v>
      </c>
      <c r="JL17">
        <v>2.2000000000000002</v>
      </c>
      <c r="JM17">
        <v>1.11206</v>
      </c>
      <c r="JN17">
        <v>2.4841299999999999</v>
      </c>
      <c r="JO17">
        <v>1.50024</v>
      </c>
      <c r="JP17">
        <v>2.2705099999999998</v>
      </c>
      <c r="JQ17">
        <v>1.4477500000000001</v>
      </c>
      <c r="JR17">
        <v>2.3303199999999999</v>
      </c>
      <c r="JS17">
        <v>33.378399999999999</v>
      </c>
      <c r="JT17">
        <v>23.9299</v>
      </c>
      <c r="JU17">
        <v>18</v>
      </c>
      <c r="JV17">
        <v>526.45600000000002</v>
      </c>
      <c r="JW17">
        <v>491.86200000000002</v>
      </c>
      <c r="JX17">
        <v>22.7713</v>
      </c>
      <c r="JY17">
        <v>25.647400000000001</v>
      </c>
      <c r="JZ17">
        <v>30</v>
      </c>
      <c r="KA17">
        <v>25.697800000000001</v>
      </c>
      <c r="KB17">
        <v>25.717600000000001</v>
      </c>
      <c r="KC17">
        <v>22.250800000000002</v>
      </c>
      <c r="KD17">
        <v>28.931000000000001</v>
      </c>
      <c r="KE17">
        <v>25.5566</v>
      </c>
      <c r="KF17">
        <v>22.779199999999999</v>
      </c>
      <c r="KG17">
        <v>424.00400000000002</v>
      </c>
      <c r="KH17">
        <v>21.0565</v>
      </c>
      <c r="KI17">
        <v>101.33499999999999</v>
      </c>
      <c r="KJ17">
        <v>98.599199999999996</v>
      </c>
    </row>
    <row r="18" spans="1:296" x14ac:dyDescent="0.3">
      <c r="A18">
        <v>2</v>
      </c>
      <c r="B18">
        <v>1785949385.0999999</v>
      </c>
      <c r="C18">
        <v>181.5</v>
      </c>
      <c r="D18" t="s">
        <v>679</v>
      </c>
      <c r="E18" t="s">
        <v>680</v>
      </c>
      <c r="F18">
        <v>15</v>
      </c>
      <c r="H18">
        <v>1785949377.099999</v>
      </c>
      <c r="I18">
        <f t="shared" si="0"/>
        <v>4.7641498043028024E-4</v>
      </c>
      <c r="J18">
        <f t="shared" si="1"/>
        <v>0.47641498043028024</v>
      </c>
      <c r="K18">
        <f t="shared" si="2"/>
        <v>4.6051340602066455</v>
      </c>
      <c r="L18">
        <f t="shared" si="3"/>
        <v>419.83296774193548</v>
      </c>
      <c r="M18">
        <f t="shared" si="4"/>
        <v>242.19363051431344</v>
      </c>
      <c r="N18">
        <f t="shared" si="5"/>
        <v>23.746499250058466</v>
      </c>
      <c r="O18">
        <f t="shared" si="6"/>
        <v>41.163606294941346</v>
      </c>
      <c r="P18">
        <f t="shared" si="7"/>
        <v>4.3203201794807397E-2</v>
      </c>
      <c r="Q18">
        <f t="shared" si="8"/>
        <v>2.8957116451725931</v>
      </c>
      <c r="R18">
        <f t="shared" si="9"/>
        <v>4.2848277841701615E-2</v>
      </c>
      <c r="S18">
        <f t="shared" si="10"/>
        <v>2.6811818986523087E-2</v>
      </c>
      <c r="T18">
        <f t="shared" si="11"/>
        <v>271.90904953286076</v>
      </c>
      <c r="U18">
        <f t="shared" si="12"/>
        <v>26.787945842950887</v>
      </c>
      <c r="V18">
        <f t="shared" si="13"/>
        <v>24.972196774193549</v>
      </c>
      <c r="W18">
        <f t="shared" si="14"/>
        <v>3.1744107624954903</v>
      </c>
      <c r="X18">
        <f t="shared" si="15"/>
        <v>65.333677993224555</v>
      </c>
      <c r="Y18">
        <f t="shared" si="16"/>
        <v>2.1136521561387576</v>
      </c>
      <c r="Z18">
        <f t="shared" si="17"/>
        <v>3.2351648048315216</v>
      </c>
      <c r="AA18">
        <f t="shared" si="18"/>
        <v>1.0607586063567327</v>
      </c>
      <c r="AB18">
        <f t="shared" si="19"/>
        <v>-21.00990063697536</v>
      </c>
      <c r="AC18">
        <f t="shared" si="20"/>
        <v>49.690457265812093</v>
      </c>
      <c r="AD18">
        <f t="shared" si="21"/>
        <v>3.6345607395385713</v>
      </c>
      <c r="AE18">
        <f t="shared" si="22"/>
        <v>304.22416690123606</v>
      </c>
      <c r="AF18">
        <f t="shared" si="23"/>
        <v>4.6051340602066455</v>
      </c>
      <c r="AG18">
        <f t="shared" si="24"/>
        <v>0.47641498043028024</v>
      </c>
      <c r="AH18">
        <f t="shared" si="25"/>
        <v>4.6525365571896709</v>
      </c>
      <c r="AI18">
        <v>434.84845284893191</v>
      </c>
      <c r="AJ18">
        <v>429.10739393939411</v>
      </c>
      <c r="AK18">
        <v>7.3679484685270202E-3</v>
      </c>
      <c r="AL18">
        <v>67.047301040090119</v>
      </c>
      <c r="AM18">
        <f t="shared" si="26"/>
        <v>0.48449502751911822</v>
      </c>
      <c r="AN18">
        <v>20.996034202850449</v>
      </c>
      <c r="AO18">
        <v>21.564826666666661</v>
      </c>
      <c r="AP18">
        <v>-1.783292639420089E-6</v>
      </c>
      <c r="AQ18">
        <v>78.011661118341422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52159.255563343271</v>
      </c>
      <c r="AW18" t="s">
        <v>676</v>
      </c>
      <c r="AX18">
        <v>13220</v>
      </c>
      <c r="AY18">
        <v>673.38823529411764</v>
      </c>
      <c r="AZ18">
        <v>2594.1</v>
      </c>
      <c r="BA18">
        <f t="shared" si="30"/>
        <v>0.74041546767891853</v>
      </c>
      <c r="BB18">
        <v>-2.7089864722863091</v>
      </c>
      <c r="BC18" t="s">
        <v>681</v>
      </c>
      <c r="BD18">
        <v>13227.8</v>
      </c>
      <c r="BE18">
        <v>942.63</v>
      </c>
      <c r="BF18">
        <v>987.75</v>
      </c>
      <c r="BG18">
        <f t="shared" si="31"/>
        <v>4.5679574791192112E-2</v>
      </c>
      <c r="BH18">
        <v>0.5</v>
      </c>
      <c r="BI18">
        <f t="shared" si="32"/>
        <v>1428.3081385177784</v>
      </c>
      <c r="BJ18">
        <f t="shared" si="33"/>
        <v>4.6051340602066455</v>
      </c>
      <c r="BK18">
        <f t="shared" si="34"/>
        <v>32.622254219145624</v>
      </c>
      <c r="BL18">
        <f t="shared" si="35"/>
        <v>5.1208281569291884E-3</v>
      </c>
      <c r="BM18">
        <f t="shared" si="36"/>
        <v>1.6262718299164767</v>
      </c>
      <c r="BN18">
        <f t="shared" si="37"/>
        <v>473.49847901580108</v>
      </c>
      <c r="BO18" t="s">
        <v>408</v>
      </c>
      <c r="BP18">
        <v>0</v>
      </c>
      <c r="BQ18">
        <f t="shared" si="38"/>
        <v>473.49847901580108</v>
      </c>
      <c r="BR18">
        <f t="shared" si="39"/>
        <v>0.52062922903993814</v>
      </c>
      <c r="BS18">
        <f t="shared" si="40"/>
        <v>8.7739166845140701E-2</v>
      </c>
      <c r="BT18">
        <f t="shared" si="41"/>
        <v>0.75749733464987412</v>
      </c>
      <c r="BU18">
        <f t="shared" si="42"/>
        <v>0.14352890543865723</v>
      </c>
      <c r="BV18">
        <f t="shared" si="43"/>
        <v>0.83633058823169115</v>
      </c>
      <c r="BW18">
        <f t="shared" si="44"/>
        <v>4.4072819718540393E-2</v>
      </c>
      <c r="BX18">
        <f t="shared" si="45"/>
        <v>0.95592718028145962</v>
      </c>
      <c r="DG18">
        <f t="shared" si="46"/>
        <v>1700.0038709677419</v>
      </c>
      <c r="DH18">
        <f t="shared" si="47"/>
        <v>1428.3081385177784</v>
      </c>
      <c r="DI18">
        <f t="shared" si="48"/>
        <v>0.84017934482978651</v>
      </c>
      <c r="DJ18">
        <f t="shared" si="49"/>
        <v>0.15994613552148806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1785949377.099999</v>
      </c>
      <c r="DQ18">
        <v>419.83296774193548</v>
      </c>
      <c r="DR18">
        <v>425.59838709677422</v>
      </c>
      <c r="DS18">
        <v>21.557412903225799</v>
      </c>
      <c r="DT18">
        <v>20.99811290322581</v>
      </c>
      <c r="DU18">
        <v>430.70509677419352</v>
      </c>
      <c r="DV18">
        <v>22.084716129032259</v>
      </c>
      <c r="DW18">
        <v>500.06583870967751</v>
      </c>
      <c r="DX18">
        <v>98.00137096774192</v>
      </c>
      <c r="DY18">
        <v>4.6208564516129029E-2</v>
      </c>
      <c r="DZ18">
        <v>25.290493548387101</v>
      </c>
      <c r="EA18">
        <v>24.972196774193549</v>
      </c>
      <c r="EB18">
        <v>999.90000000000032</v>
      </c>
      <c r="EC18">
        <v>0</v>
      </c>
      <c r="ED18">
        <v>0</v>
      </c>
      <c r="EE18">
        <v>10008.38709677419</v>
      </c>
      <c r="EF18">
        <v>0</v>
      </c>
      <c r="EG18">
        <v>1.8394190322580639</v>
      </c>
      <c r="EH18">
        <v>-5.7655116129032269</v>
      </c>
      <c r="EI18">
        <v>429.0828064516129</v>
      </c>
      <c r="EJ18">
        <v>434.72677419354841</v>
      </c>
      <c r="EK18">
        <v>0.55929364516129043</v>
      </c>
      <c r="EL18">
        <v>425.59838709677422</v>
      </c>
      <c r="EM18">
        <v>20.99811290322581</v>
      </c>
      <c r="EN18">
        <v>2.112655161290323</v>
      </c>
      <c r="EO18">
        <v>2.0578441935483869</v>
      </c>
      <c r="EP18">
        <v>18.314916129032259</v>
      </c>
      <c r="EQ18">
        <v>17.896574193548389</v>
      </c>
      <c r="ER18">
        <v>1700.0038709677419</v>
      </c>
      <c r="ES18">
        <v>0.99400393548387089</v>
      </c>
      <c r="ET18">
        <v>5.9962261290322566E-3</v>
      </c>
      <c r="EU18">
        <v>0</v>
      </c>
      <c r="EV18">
        <v>942.69499999999994</v>
      </c>
      <c r="EW18">
        <v>5.0010700000000003</v>
      </c>
      <c r="EX18">
        <v>16641.877419354842</v>
      </c>
      <c r="EY18">
        <v>15492.55806451613</v>
      </c>
      <c r="EZ18">
        <v>37.477580645161282</v>
      </c>
      <c r="FA18">
        <v>38.548064516129031</v>
      </c>
      <c r="FB18">
        <v>38.277999999999999</v>
      </c>
      <c r="FC18">
        <v>37.898999999999987</v>
      </c>
      <c r="FD18">
        <v>38.904967741935479</v>
      </c>
      <c r="FE18">
        <v>1684.8409677419349</v>
      </c>
      <c r="FF18">
        <v>10.162903225806449</v>
      </c>
      <c r="FG18">
        <v>0</v>
      </c>
      <c r="FH18">
        <v>180.89999985694891</v>
      </c>
      <c r="FI18">
        <v>0</v>
      </c>
      <c r="FJ18">
        <v>942.63</v>
      </c>
      <c r="FK18">
        <v>-4.8485294636342022</v>
      </c>
      <c r="FL18">
        <v>178.4068626752362</v>
      </c>
      <c r="FM18">
        <v>16648.423529411761</v>
      </c>
      <c r="FN18">
        <v>10</v>
      </c>
      <c r="FO18">
        <v>1785949251.5999999</v>
      </c>
      <c r="FP18" t="s">
        <v>682</v>
      </c>
      <c r="FQ18">
        <v>1785949250.5999999</v>
      </c>
      <c r="FR18">
        <v>1785949251.5999999</v>
      </c>
      <c r="FS18">
        <v>32</v>
      </c>
      <c r="FT18">
        <v>1.7000000000000001E-2</v>
      </c>
      <c r="FU18">
        <v>-1E-3</v>
      </c>
      <c r="FV18">
        <v>-10.888999999999999</v>
      </c>
      <c r="FW18">
        <v>-0.54200000000000004</v>
      </c>
      <c r="FX18">
        <v>424</v>
      </c>
      <c r="FY18">
        <v>21</v>
      </c>
      <c r="FZ18">
        <v>1.28</v>
      </c>
      <c r="GA18">
        <v>0.49</v>
      </c>
      <c r="GB18">
        <v>419.8320333333333</v>
      </c>
      <c r="GC18">
        <v>-2.186429366053488E-2</v>
      </c>
      <c r="GD18">
        <v>4.486682763715287E-2</v>
      </c>
      <c r="GE18">
        <v>-1</v>
      </c>
      <c r="GF18">
        <v>942.81988235294114</v>
      </c>
      <c r="GG18">
        <v>-1.9396180323553081</v>
      </c>
      <c r="GH18">
        <v>0.30572274682115441</v>
      </c>
      <c r="GI18">
        <v>1</v>
      </c>
      <c r="GJ18">
        <v>0.55548909999999996</v>
      </c>
      <c r="GK18">
        <v>8.3982889305814643E-2</v>
      </c>
      <c r="GL18">
        <v>8.6985943715062464E-3</v>
      </c>
      <c r="GM18">
        <v>1</v>
      </c>
      <c r="GN18">
        <v>2</v>
      </c>
      <c r="GO18">
        <v>2</v>
      </c>
      <c r="GP18" t="s">
        <v>411</v>
      </c>
      <c r="GQ18">
        <v>3.1318299999999999</v>
      </c>
      <c r="GR18">
        <v>2.7216999999999998</v>
      </c>
      <c r="GS18">
        <v>9.4338199999999997E-2</v>
      </c>
      <c r="GT18">
        <v>9.4259800000000005E-2</v>
      </c>
      <c r="GU18">
        <v>0.10779900000000001</v>
      </c>
      <c r="GV18">
        <v>0.104365</v>
      </c>
      <c r="GW18">
        <v>22961.4</v>
      </c>
      <c r="GX18">
        <v>30579.4</v>
      </c>
      <c r="GY18">
        <v>27464.3</v>
      </c>
      <c r="GZ18">
        <v>34661.800000000003</v>
      </c>
      <c r="HA18">
        <v>35832.1</v>
      </c>
      <c r="HB18">
        <v>39046.1</v>
      </c>
      <c r="HC18">
        <v>40529.5</v>
      </c>
      <c r="HD18">
        <v>43692.7</v>
      </c>
      <c r="HE18">
        <v>2.0489999999999999</v>
      </c>
      <c r="HF18">
        <v>1.9648000000000001</v>
      </c>
      <c r="HG18">
        <v>7.1525599999999995E-2</v>
      </c>
      <c r="HH18">
        <v>0</v>
      </c>
      <c r="HI18">
        <v>23.8094</v>
      </c>
      <c r="HJ18">
        <v>999.9</v>
      </c>
      <c r="HK18">
        <v>64.900000000000006</v>
      </c>
      <c r="HL18">
        <v>28.7</v>
      </c>
      <c r="HM18">
        <v>26.174800000000001</v>
      </c>
      <c r="HN18">
        <v>59.994</v>
      </c>
      <c r="HO18">
        <v>3.9543300000000001</v>
      </c>
      <c r="HP18">
        <v>1</v>
      </c>
      <c r="HQ18">
        <v>-0.12418700000000001</v>
      </c>
      <c r="HR18">
        <v>0.50390000000000001</v>
      </c>
      <c r="HS18">
        <v>20.245200000000001</v>
      </c>
      <c r="HT18">
        <v>5.2112999999999996</v>
      </c>
      <c r="HU18">
        <v>11.902100000000001</v>
      </c>
      <c r="HV18">
        <v>4.9871999999999996</v>
      </c>
      <c r="HW18">
        <v>3.2704</v>
      </c>
      <c r="HX18">
        <v>9999</v>
      </c>
      <c r="HY18">
        <v>9999</v>
      </c>
      <c r="HZ18">
        <v>9999</v>
      </c>
      <c r="IA18">
        <v>999.9</v>
      </c>
      <c r="IB18">
        <v>1.8672200000000001</v>
      </c>
      <c r="IC18">
        <v>1.8627899999999999</v>
      </c>
      <c r="ID18">
        <v>1.8623099999999999</v>
      </c>
      <c r="IE18">
        <v>1.86172</v>
      </c>
      <c r="IF18">
        <v>1.86185</v>
      </c>
      <c r="IG18">
        <v>1.86249</v>
      </c>
      <c r="IH18">
        <v>1.86337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-10.872</v>
      </c>
      <c r="IX18">
        <v>-0.52710000000000001</v>
      </c>
      <c r="IY18">
        <v>-8.8668669568682503</v>
      </c>
      <c r="IZ18">
        <v>-5.6215304933332991E-3</v>
      </c>
      <c r="JA18">
        <v>2.3979931213773931E-6</v>
      </c>
      <c r="JB18">
        <v>-3.6297174575716598E-10</v>
      </c>
      <c r="JC18">
        <v>-0.86756245323126735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2.2000000000000002</v>
      </c>
      <c r="JL18">
        <v>2.2000000000000002</v>
      </c>
      <c r="JM18">
        <v>1.11572</v>
      </c>
      <c r="JN18">
        <v>2.47925</v>
      </c>
      <c r="JO18">
        <v>1.50024</v>
      </c>
      <c r="JP18">
        <v>2.2705099999999998</v>
      </c>
      <c r="JQ18">
        <v>1.4477500000000001</v>
      </c>
      <c r="JR18">
        <v>2.3840300000000001</v>
      </c>
      <c r="JS18">
        <v>33.6479</v>
      </c>
      <c r="JT18">
        <v>23.956199999999999</v>
      </c>
      <c r="JU18">
        <v>18</v>
      </c>
      <c r="JV18">
        <v>526.56500000000005</v>
      </c>
      <c r="JW18">
        <v>490.971</v>
      </c>
      <c r="JX18">
        <v>23.376200000000001</v>
      </c>
      <c r="JY18">
        <v>25.712199999999999</v>
      </c>
      <c r="JZ18">
        <v>30.0001</v>
      </c>
      <c r="KA18">
        <v>25.736599999999999</v>
      </c>
      <c r="KB18">
        <v>25.7499</v>
      </c>
      <c r="KC18">
        <v>22.312100000000001</v>
      </c>
      <c r="KD18">
        <v>28.697800000000001</v>
      </c>
      <c r="KE18">
        <v>24.4404</v>
      </c>
      <c r="KF18">
        <v>23.3735</v>
      </c>
      <c r="KG18">
        <v>425.79899999999998</v>
      </c>
      <c r="KH18">
        <v>21.038699999999999</v>
      </c>
      <c r="KI18">
        <v>101.321</v>
      </c>
      <c r="KJ18">
        <v>98.586600000000004</v>
      </c>
    </row>
    <row r="19" spans="1:296" x14ac:dyDescent="0.3">
      <c r="A19">
        <v>3</v>
      </c>
      <c r="B19">
        <v>1785949566.5999999</v>
      </c>
      <c r="C19">
        <v>363</v>
      </c>
      <c r="D19" t="s">
        <v>683</v>
      </c>
      <c r="E19" t="s">
        <v>684</v>
      </c>
      <c r="F19">
        <v>15</v>
      </c>
      <c r="H19">
        <v>1785949558.849999</v>
      </c>
      <c r="I19">
        <f t="shared" si="0"/>
        <v>7.9019414131021204E-4</v>
      </c>
      <c r="J19">
        <f t="shared" si="1"/>
        <v>0.79019414131021204</v>
      </c>
      <c r="K19">
        <f t="shared" si="2"/>
        <v>6.809662188509944</v>
      </c>
      <c r="L19">
        <f t="shared" si="3"/>
        <v>419.72300000000013</v>
      </c>
      <c r="M19">
        <f t="shared" si="4"/>
        <v>257.36184808650694</v>
      </c>
      <c r="N19">
        <f t="shared" si="5"/>
        <v>25.228992711738044</v>
      </c>
      <c r="O19">
        <f t="shared" si="6"/>
        <v>41.145137038297499</v>
      </c>
      <c r="P19">
        <f t="shared" si="7"/>
        <v>7.0551254975861899E-2</v>
      </c>
      <c r="Q19">
        <f t="shared" si="8"/>
        <v>2.891651416988855</v>
      </c>
      <c r="R19">
        <f t="shared" si="9"/>
        <v>6.9608749249646967E-2</v>
      </c>
      <c r="S19">
        <f t="shared" si="10"/>
        <v>4.3589099640932785E-2</v>
      </c>
      <c r="T19">
        <f t="shared" si="11"/>
        <v>255.91395543021972</v>
      </c>
      <c r="U19">
        <f t="shared" si="12"/>
        <v>26.52955738249317</v>
      </c>
      <c r="V19">
        <f t="shared" si="13"/>
        <v>25.031903333333329</v>
      </c>
      <c r="W19">
        <f t="shared" si="14"/>
        <v>3.1857305171364012</v>
      </c>
      <c r="X19">
        <f t="shared" si="15"/>
        <v>65.320643727351879</v>
      </c>
      <c r="Y19">
        <f t="shared" si="16"/>
        <v>2.1029267257206987</v>
      </c>
      <c r="Z19">
        <f t="shared" si="17"/>
        <v>3.2193906944614739</v>
      </c>
      <c r="AA19">
        <f t="shared" si="18"/>
        <v>1.0828037914157025</v>
      </c>
      <c r="AB19">
        <f t="shared" si="19"/>
        <v>-34.847561631780351</v>
      </c>
      <c r="AC19">
        <f t="shared" si="20"/>
        <v>27.508141438989441</v>
      </c>
      <c r="AD19">
        <f t="shared" si="21"/>
        <v>2.0146539606297003</v>
      </c>
      <c r="AE19">
        <f t="shared" si="22"/>
        <v>250.58918919805851</v>
      </c>
      <c r="AF19">
        <f t="shared" si="23"/>
        <v>6.809662188509944</v>
      </c>
      <c r="AG19">
        <f t="shared" si="24"/>
        <v>0.79019414131021204</v>
      </c>
      <c r="AH19">
        <f t="shared" si="25"/>
        <v>6.9051515026519157</v>
      </c>
      <c r="AI19">
        <v>437.37822530644212</v>
      </c>
      <c r="AJ19">
        <v>428.92723636363638</v>
      </c>
      <c r="AK19">
        <v>-1.834754256438203E-3</v>
      </c>
      <c r="AL19">
        <v>67.058096191700187</v>
      </c>
      <c r="AM19">
        <f t="shared" si="26"/>
        <v>0.722979744050952</v>
      </c>
      <c r="AN19">
        <v>20.480518305032032</v>
      </c>
      <c r="AO19">
        <v>21.390496363636359</v>
      </c>
      <c r="AP19">
        <v>-9.8538200070304102E-3</v>
      </c>
      <c r="AQ19">
        <v>78.184755410848581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52056.729410765576</v>
      </c>
      <c r="AW19" t="s">
        <v>676</v>
      </c>
      <c r="AX19">
        <v>13220</v>
      </c>
      <c r="AY19">
        <v>673.38823529411764</v>
      </c>
      <c r="AZ19">
        <v>2594.1</v>
      </c>
      <c r="BA19">
        <f t="shared" si="30"/>
        <v>0.74041546767891853</v>
      </c>
      <c r="BB19">
        <v>-2.7089864722863091</v>
      </c>
      <c r="BC19" t="s">
        <v>685</v>
      </c>
      <c r="BD19">
        <v>13214.4</v>
      </c>
      <c r="BE19">
        <v>930.51705882352951</v>
      </c>
      <c r="BF19">
        <v>990.12</v>
      </c>
      <c r="BG19">
        <f t="shared" si="31"/>
        <v>6.0197694397113977E-2</v>
      </c>
      <c r="BH19">
        <v>0.5</v>
      </c>
      <c r="BI19">
        <f t="shared" si="32"/>
        <v>1344.2918198084037</v>
      </c>
      <c r="BJ19">
        <f t="shared" si="33"/>
        <v>6.809662188509944</v>
      </c>
      <c r="BK19">
        <f t="shared" si="34"/>
        <v>40.461634074683246</v>
      </c>
      <c r="BL19">
        <f t="shared" si="35"/>
        <v>7.0807904359284912E-3</v>
      </c>
      <c r="BM19">
        <f t="shared" si="36"/>
        <v>1.6199854563083262</v>
      </c>
      <c r="BN19">
        <f t="shared" si="37"/>
        <v>474.04241684842009</v>
      </c>
      <c r="BO19" t="s">
        <v>408</v>
      </c>
      <c r="BP19">
        <v>0</v>
      </c>
      <c r="BQ19">
        <f t="shared" si="38"/>
        <v>474.04241684842009</v>
      </c>
      <c r="BR19">
        <f t="shared" si="39"/>
        <v>0.52122730896414571</v>
      </c>
      <c r="BS19">
        <f t="shared" si="40"/>
        <v>0.11549221109835378</v>
      </c>
      <c r="BT19">
        <f t="shared" si="41"/>
        <v>0.75657378966829636</v>
      </c>
      <c r="BU19">
        <f t="shared" si="42"/>
        <v>0.1881811293282121</v>
      </c>
      <c r="BV19">
        <f t="shared" si="43"/>
        <v>0.83509667065824256</v>
      </c>
      <c r="BW19">
        <f t="shared" si="44"/>
        <v>5.8836327993224274E-2</v>
      </c>
      <c r="BX19">
        <f t="shared" si="45"/>
        <v>0.94116367200677575</v>
      </c>
      <c r="DG19">
        <f t="shared" si="46"/>
        <v>1600.006333333333</v>
      </c>
      <c r="DH19">
        <f t="shared" si="47"/>
        <v>1344.2918198084037</v>
      </c>
      <c r="DI19">
        <f t="shared" si="48"/>
        <v>0.84017906167146672</v>
      </c>
      <c r="DJ19">
        <f t="shared" si="49"/>
        <v>0.15994558902593078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1785949558.849999</v>
      </c>
      <c r="DQ19">
        <v>419.72300000000013</v>
      </c>
      <c r="DR19">
        <v>428.29349999999988</v>
      </c>
      <c r="DS19">
        <v>21.452030000000001</v>
      </c>
      <c r="DT19">
        <v>20.524039999999999</v>
      </c>
      <c r="DU19">
        <v>430.59013333333331</v>
      </c>
      <c r="DV19">
        <v>21.982163333333339</v>
      </c>
      <c r="DW19">
        <v>499.94690000000008</v>
      </c>
      <c r="DX19">
        <v>97.982646666666653</v>
      </c>
      <c r="DY19">
        <v>4.6617963333333332E-2</v>
      </c>
      <c r="DZ19">
        <v>25.20835666666666</v>
      </c>
      <c r="EA19">
        <v>25.031903333333329</v>
      </c>
      <c r="EB19">
        <v>999.9000000000002</v>
      </c>
      <c r="EC19">
        <v>0</v>
      </c>
      <c r="ED19">
        <v>0</v>
      </c>
      <c r="EE19">
        <v>9987</v>
      </c>
      <c r="EF19">
        <v>0</v>
      </c>
      <c r="EG19">
        <v>122.7729666666667</v>
      </c>
      <c r="EH19">
        <v>-8.5705539999999996</v>
      </c>
      <c r="EI19">
        <v>428.92433333333332</v>
      </c>
      <c r="EJ19">
        <v>437.2681</v>
      </c>
      <c r="EK19">
        <v>0.92797820000000009</v>
      </c>
      <c r="EL19">
        <v>428.29349999999988</v>
      </c>
      <c r="EM19">
        <v>20.524039999999999</v>
      </c>
      <c r="EN19">
        <v>2.1019266666666669</v>
      </c>
      <c r="EO19">
        <v>2.0110003333333339</v>
      </c>
      <c r="EP19">
        <v>18.23377666666666</v>
      </c>
      <c r="EQ19">
        <v>17.531189999999999</v>
      </c>
      <c r="ER19">
        <v>1600.006333333333</v>
      </c>
      <c r="ES19">
        <v>0.9940108333333334</v>
      </c>
      <c r="ET19">
        <v>5.9894389999999992E-3</v>
      </c>
      <c r="EU19">
        <v>0</v>
      </c>
      <c r="EV19">
        <v>930.7406666666667</v>
      </c>
      <c r="EW19">
        <v>5.0010700000000003</v>
      </c>
      <c r="EX19">
        <v>16574.796666666669</v>
      </c>
      <c r="EY19">
        <v>14578.623333333329</v>
      </c>
      <c r="EZ19">
        <v>36.491599999999998</v>
      </c>
      <c r="FA19">
        <v>37.987399999999987</v>
      </c>
      <c r="FB19">
        <v>37.375</v>
      </c>
      <c r="FC19">
        <v>37.379133333333343</v>
      </c>
      <c r="FD19">
        <v>38.016533333333342</v>
      </c>
      <c r="FE19">
        <v>1585.4563333333331</v>
      </c>
      <c r="FF19">
        <v>9.5500000000000025</v>
      </c>
      <c r="FG19">
        <v>0</v>
      </c>
      <c r="FH19">
        <v>180.70000004768369</v>
      </c>
      <c r="FI19">
        <v>0</v>
      </c>
      <c r="FJ19">
        <v>930.51705882352951</v>
      </c>
      <c r="FK19">
        <v>-4.1671569083136637</v>
      </c>
      <c r="FL19">
        <v>-347.99019724237291</v>
      </c>
      <c r="FM19">
        <v>16553.21764705882</v>
      </c>
      <c r="FN19">
        <v>10</v>
      </c>
      <c r="FO19">
        <v>1785949435.5999999</v>
      </c>
      <c r="FP19" t="s">
        <v>686</v>
      </c>
      <c r="FQ19">
        <v>1785949435.5999999</v>
      </c>
      <c r="FR19">
        <v>1785949433.5999999</v>
      </c>
      <c r="FS19">
        <v>33</v>
      </c>
      <c r="FT19">
        <v>5.0000000000000001E-3</v>
      </c>
      <c r="FU19">
        <v>0</v>
      </c>
      <c r="FV19">
        <v>-10.891</v>
      </c>
      <c r="FW19">
        <v>-0.54200000000000004</v>
      </c>
      <c r="FX19">
        <v>426</v>
      </c>
      <c r="FY19">
        <v>21</v>
      </c>
      <c r="FZ19">
        <v>1.25</v>
      </c>
      <c r="GA19">
        <v>0.38</v>
      </c>
      <c r="GB19">
        <v>419.71676666666667</v>
      </c>
      <c r="GC19">
        <v>0.34424916573973652</v>
      </c>
      <c r="GD19">
        <v>6.0165706363532398E-2</v>
      </c>
      <c r="GE19">
        <v>-1</v>
      </c>
      <c r="GF19">
        <v>930.99188235294116</v>
      </c>
      <c r="GG19">
        <v>-4.1910466033423193</v>
      </c>
      <c r="GH19">
        <v>0.44832700543936338</v>
      </c>
      <c r="GI19">
        <v>1</v>
      </c>
      <c r="GJ19">
        <v>0.93173295</v>
      </c>
      <c r="GK19">
        <v>-3.4565178236409711E-3</v>
      </c>
      <c r="GL19">
        <v>1.331456966061992E-2</v>
      </c>
      <c r="GM19">
        <v>1</v>
      </c>
      <c r="GN19">
        <v>2</v>
      </c>
      <c r="GO19">
        <v>2</v>
      </c>
      <c r="GP19" t="s">
        <v>411</v>
      </c>
      <c r="GQ19">
        <v>3.1314700000000002</v>
      </c>
      <c r="GR19">
        <v>2.7235499999999999</v>
      </c>
      <c r="GS19">
        <v>9.4288300000000005E-2</v>
      </c>
      <c r="GT19">
        <v>9.4640799999999997E-2</v>
      </c>
      <c r="GU19">
        <v>0.10713300000000001</v>
      </c>
      <c r="GV19">
        <v>0.10248</v>
      </c>
      <c r="GW19">
        <v>22957.7</v>
      </c>
      <c r="GX19">
        <v>30561.5</v>
      </c>
      <c r="GY19">
        <v>27459.1</v>
      </c>
      <c r="GZ19">
        <v>34657</v>
      </c>
      <c r="HA19">
        <v>35853.4</v>
      </c>
      <c r="HB19">
        <v>39125.599999999999</v>
      </c>
      <c r="HC19">
        <v>40521.9</v>
      </c>
      <c r="HD19">
        <v>43688.6</v>
      </c>
      <c r="HE19">
        <v>2.0482</v>
      </c>
      <c r="HF19">
        <v>1.9616</v>
      </c>
      <c r="HG19">
        <v>5.2005099999999999E-2</v>
      </c>
      <c r="HH19">
        <v>0</v>
      </c>
      <c r="HI19">
        <v>24.188600000000001</v>
      </c>
      <c r="HJ19">
        <v>999.9</v>
      </c>
      <c r="HK19">
        <v>64.7</v>
      </c>
      <c r="HL19">
        <v>28.8</v>
      </c>
      <c r="HM19">
        <v>26.2516</v>
      </c>
      <c r="HN19">
        <v>60.404000000000003</v>
      </c>
      <c r="HO19">
        <v>3.9503200000000001</v>
      </c>
      <c r="HP19">
        <v>1</v>
      </c>
      <c r="HQ19">
        <v>-0.11097600000000001</v>
      </c>
      <c r="HR19">
        <v>1.1418999999999999</v>
      </c>
      <c r="HS19">
        <v>20.241599999999998</v>
      </c>
      <c r="HT19">
        <v>5.2112999999999996</v>
      </c>
      <c r="HU19">
        <v>11.902100000000001</v>
      </c>
      <c r="HV19">
        <v>4.9871999999999996</v>
      </c>
      <c r="HW19">
        <v>3.2702</v>
      </c>
      <c r="HX19">
        <v>9999</v>
      </c>
      <c r="HY19">
        <v>9999</v>
      </c>
      <c r="HZ19">
        <v>9999</v>
      </c>
      <c r="IA19">
        <v>999.9</v>
      </c>
      <c r="IB19">
        <v>1.8671899999999999</v>
      </c>
      <c r="IC19">
        <v>1.8627899999999999</v>
      </c>
      <c r="ID19">
        <v>1.8622399999999999</v>
      </c>
      <c r="IE19">
        <v>1.86172</v>
      </c>
      <c r="IF19">
        <v>1.86178</v>
      </c>
      <c r="IG19">
        <v>1.86249</v>
      </c>
      <c r="IH19">
        <v>1.86337</v>
      </c>
      <c r="II19">
        <v>1.8613900000000001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-10.867000000000001</v>
      </c>
      <c r="IX19">
        <v>-0.53190000000000004</v>
      </c>
      <c r="IY19">
        <v>-8.8622076810236354</v>
      </c>
      <c r="IZ19">
        <v>-5.6215304933332991E-3</v>
      </c>
      <c r="JA19">
        <v>2.3979931213773931E-6</v>
      </c>
      <c r="JB19">
        <v>-3.6297174575716598E-10</v>
      </c>
      <c r="JC19">
        <v>-0.86768555811173242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2.2000000000000002</v>
      </c>
      <c r="JL19">
        <v>2.2000000000000002</v>
      </c>
      <c r="JM19">
        <v>1.1206100000000001</v>
      </c>
      <c r="JN19">
        <v>2.47681</v>
      </c>
      <c r="JO19">
        <v>1.50024</v>
      </c>
      <c r="JP19">
        <v>2.2717299999999998</v>
      </c>
      <c r="JQ19">
        <v>1.4477500000000001</v>
      </c>
      <c r="JR19">
        <v>2.36206</v>
      </c>
      <c r="JS19">
        <v>33.850900000000003</v>
      </c>
      <c r="JT19">
        <v>23.982399999999998</v>
      </c>
      <c r="JU19">
        <v>18</v>
      </c>
      <c r="JV19">
        <v>527.02800000000002</v>
      </c>
      <c r="JW19">
        <v>489.82600000000002</v>
      </c>
      <c r="JX19">
        <v>22.9544</v>
      </c>
      <c r="JY19">
        <v>25.8491</v>
      </c>
      <c r="JZ19">
        <v>30.000900000000001</v>
      </c>
      <c r="KA19">
        <v>25.840499999999999</v>
      </c>
      <c r="KB19">
        <v>25.855399999999999</v>
      </c>
      <c r="KC19">
        <v>22.415299999999998</v>
      </c>
      <c r="KD19">
        <v>30.8535</v>
      </c>
      <c r="KE19">
        <v>22.9465</v>
      </c>
      <c r="KF19">
        <v>22.957100000000001</v>
      </c>
      <c r="KG19">
        <v>428.46</v>
      </c>
      <c r="KH19">
        <v>20.536999999999999</v>
      </c>
      <c r="KI19">
        <v>101.30200000000001</v>
      </c>
      <c r="KJ19">
        <v>98.575400000000002</v>
      </c>
    </row>
    <row r="20" spans="1:296" x14ac:dyDescent="0.3">
      <c r="A20">
        <v>4</v>
      </c>
      <c r="B20">
        <v>1785950638</v>
      </c>
      <c r="C20">
        <v>1434.400000095367</v>
      </c>
      <c r="D20" t="s">
        <v>687</v>
      </c>
      <c r="E20" t="s">
        <v>688</v>
      </c>
      <c r="F20">
        <v>15</v>
      </c>
      <c r="H20">
        <v>1785950630.25</v>
      </c>
      <c r="I20">
        <f t="shared" si="0"/>
        <v>2.7536695624413797E-3</v>
      </c>
      <c r="J20">
        <f t="shared" si="1"/>
        <v>2.7536695624413796</v>
      </c>
      <c r="K20">
        <f t="shared" si="2"/>
        <v>31.145928259503883</v>
      </c>
      <c r="L20">
        <f t="shared" si="3"/>
        <v>419.9489333333334</v>
      </c>
      <c r="M20">
        <f t="shared" si="4"/>
        <v>206.51158333259426</v>
      </c>
      <c r="N20">
        <f t="shared" si="5"/>
        <v>20.228597412597097</v>
      </c>
      <c r="O20">
        <f t="shared" si="6"/>
        <v>41.135600091584763</v>
      </c>
      <c r="P20">
        <f t="shared" si="7"/>
        <v>0.24976911843643124</v>
      </c>
      <c r="Q20">
        <f t="shared" si="8"/>
        <v>2.8931347581020361</v>
      </c>
      <c r="R20">
        <f t="shared" si="9"/>
        <v>0.23837826011937921</v>
      </c>
      <c r="S20">
        <f t="shared" si="10"/>
        <v>0.14996654000717385</v>
      </c>
      <c r="T20">
        <f t="shared" si="11"/>
        <v>319.78230919675235</v>
      </c>
      <c r="U20">
        <f t="shared" si="12"/>
        <v>26.246242793746188</v>
      </c>
      <c r="V20">
        <f t="shared" si="13"/>
        <v>25.00860333333334</v>
      </c>
      <c r="W20">
        <f t="shared" si="14"/>
        <v>3.1813088850325255</v>
      </c>
      <c r="X20">
        <f t="shared" si="15"/>
        <v>65.182172699602432</v>
      </c>
      <c r="Y20">
        <f t="shared" si="16"/>
        <v>2.0801671309168213</v>
      </c>
      <c r="Z20">
        <f t="shared" si="17"/>
        <v>3.1913129691203266</v>
      </c>
      <c r="AA20">
        <f t="shared" si="18"/>
        <v>1.1011417541157043</v>
      </c>
      <c r="AB20">
        <f t="shared" si="19"/>
        <v>-121.43682770366485</v>
      </c>
      <c r="AC20">
        <f t="shared" si="20"/>
        <v>8.2162262836263267</v>
      </c>
      <c r="AD20">
        <f t="shared" si="21"/>
        <v>0.60091976869891439</v>
      </c>
      <c r="AE20">
        <f t="shared" si="22"/>
        <v>207.16262754541276</v>
      </c>
      <c r="AF20">
        <f t="shared" si="23"/>
        <v>31.145928259503883</v>
      </c>
      <c r="AG20">
        <f t="shared" si="24"/>
        <v>2.7536695624413796</v>
      </c>
      <c r="AH20">
        <f t="shared" si="25"/>
        <v>31.330316122847272</v>
      </c>
      <c r="AI20">
        <v>467.08455966920172</v>
      </c>
      <c r="AJ20">
        <v>429.00182424242411</v>
      </c>
      <c r="AK20">
        <v>-3.8611897303741052E-2</v>
      </c>
      <c r="AL20">
        <v>67.060781723332695</v>
      </c>
      <c r="AM20">
        <f t="shared" si="26"/>
        <v>2.7484553159227589</v>
      </c>
      <c r="AN20">
        <v>18.002788612472809</v>
      </c>
      <c r="AO20">
        <v>21.23119999999998</v>
      </c>
      <c r="AP20">
        <v>-2.4205849300890571E-5</v>
      </c>
      <c r="AQ20">
        <v>78.130551897877837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52123.278958243609</v>
      </c>
      <c r="AW20" t="s">
        <v>676</v>
      </c>
      <c r="AX20">
        <v>13220</v>
      </c>
      <c r="AY20">
        <v>673.38823529411764</v>
      </c>
      <c r="AZ20">
        <v>2594.1</v>
      </c>
      <c r="BA20">
        <f t="shared" si="30"/>
        <v>0.74041546767891853</v>
      </c>
      <c r="BB20">
        <v>-2.7089864722863091</v>
      </c>
      <c r="BC20" t="s">
        <v>689</v>
      </c>
      <c r="BD20">
        <v>13202.6</v>
      </c>
      <c r="BE20">
        <v>903.98870588235297</v>
      </c>
      <c r="BF20">
        <v>1066.6400000000001</v>
      </c>
      <c r="BG20">
        <f t="shared" si="31"/>
        <v>0.1524894004703059</v>
      </c>
      <c r="BH20">
        <v>0.5</v>
      </c>
      <c r="BI20">
        <f t="shared" si="32"/>
        <v>1680.3251910864001</v>
      </c>
      <c r="BJ20">
        <f t="shared" si="33"/>
        <v>31.145928259503883</v>
      </c>
      <c r="BK20">
        <f t="shared" si="34"/>
        <v>128.11589049195868</v>
      </c>
      <c r="BL20">
        <f t="shared" si="35"/>
        <v>2.0147835021089924E-2</v>
      </c>
      <c r="BM20">
        <f t="shared" si="36"/>
        <v>1.4320295507387681</v>
      </c>
      <c r="BN20">
        <f t="shared" si="37"/>
        <v>490.90338437489044</v>
      </c>
      <c r="BO20" t="s">
        <v>408</v>
      </c>
      <c r="BP20">
        <v>0</v>
      </c>
      <c r="BQ20">
        <f t="shared" si="38"/>
        <v>490.90338437489044</v>
      </c>
      <c r="BR20">
        <f t="shared" si="39"/>
        <v>0.53976657131282302</v>
      </c>
      <c r="BS20">
        <f t="shared" si="40"/>
        <v>0.28250990071397053</v>
      </c>
      <c r="BT20">
        <f t="shared" si="41"/>
        <v>0.72625639878467085</v>
      </c>
      <c r="BU20">
        <f t="shared" si="42"/>
        <v>0.41360601201445568</v>
      </c>
      <c r="BV20">
        <f t="shared" si="43"/>
        <v>0.79525727288597059</v>
      </c>
      <c r="BW20">
        <f t="shared" si="44"/>
        <v>0.15341460073280072</v>
      </c>
      <c r="BX20">
        <f t="shared" si="45"/>
        <v>0.84658539926719922</v>
      </c>
      <c r="DG20">
        <f t="shared" si="46"/>
        <v>2000.0309999999999</v>
      </c>
      <c r="DH20">
        <f t="shared" si="47"/>
        <v>1680.3251910864001</v>
      </c>
      <c r="DI20">
        <f t="shared" si="48"/>
        <v>0.84014957322481509</v>
      </c>
      <c r="DJ20">
        <f t="shared" si="49"/>
        <v>0.15988867632389317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1785950630.25</v>
      </c>
      <c r="DQ20">
        <v>419.9489333333334</v>
      </c>
      <c r="DR20">
        <v>458.71339999999992</v>
      </c>
      <c r="DS20">
        <v>21.236203333333339</v>
      </c>
      <c r="DT20">
        <v>18.00183333333333</v>
      </c>
      <c r="DU20">
        <v>430.97463333333332</v>
      </c>
      <c r="DV20">
        <v>21.780206666666661</v>
      </c>
      <c r="DW20">
        <v>499.97843333333333</v>
      </c>
      <c r="DX20">
        <v>97.904366666666675</v>
      </c>
      <c r="DY20">
        <v>4.9448253333333338E-2</v>
      </c>
      <c r="DZ20">
        <v>25.06128</v>
      </c>
      <c r="EA20">
        <v>25.00860333333334</v>
      </c>
      <c r="EB20">
        <v>999.9000000000002</v>
      </c>
      <c r="EC20">
        <v>0</v>
      </c>
      <c r="ED20">
        <v>0</v>
      </c>
      <c r="EE20">
        <v>10003.5</v>
      </c>
      <c r="EF20">
        <v>0</v>
      </c>
      <c r="EG20">
        <v>354.82076666666671</v>
      </c>
      <c r="EH20">
        <v>-38.764516666666673</v>
      </c>
      <c r="EI20">
        <v>429.0605666666666</v>
      </c>
      <c r="EJ20">
        <v>467.12253333333331</v>
      </c>
      <c r="EK20">
        <v>3.234372</v>
      </c>
      <c r="EL20">
        <v>458.71339999999992</v>
      </c>
      <c r="EM20">
        <v>18.00183333333333</v>
      </c>
      <c r="EN20">
        <v>2.0791163333333329</v>
      </c>
      <c r="EO20">
        <v>1.7624569999999999</v>
      </c>
      <c r="EP20">
        <v>18.060083333333331</v>
      </c>
      <c r="EQ20">
        <v>15.45774333333333</v>
      </c>
      <c r="ER20">
        <v>2000.0309999999999</v>
      </c>
      <c r="ES20">
        <v>0.99500000000000022</v>
      </c>
      <c r="ET20">
        <v>4.9997060000000013E-3</v>
      </c>
      <c r="EU20">
        <v>0</v>
      </c>
      <c r="EV20">
        <v>903.92463333333342</v>
      </c>
      <c r="EW20">
        <v>5.0010700000000003</v>
      </c>
      <c r="EX20">
        <v>21419.200000000001</v>
      </c>
      <c r="EY20">
        <v>18241.926666666659</v>
      </c>
      <c r="EZ20">
        <v>37.678733333333327</v>
      </c>
      <c r="FA20">
        <v>38.875</v>
      </c>
      <c r="FB20">
        <v>38.25</v>
      </c>
      <c r="FC20">
        <v>38.375</v>
      </c>
      <c r="FD20">
        <v>38.962199999999989</v>
      </c>
      <c r="FE20">
        <v>1985.0509999999999</v>
      </c>
      <c r="FF20">
        <v>9.9716666666666693</v>
      </c>
      <c r="FG20">
        <v>0</v>
      </c>
      <c r="FH20">
        <v>1070.7000000476839</v>
      </c>
      <c r="FI20">
        <v>0</v>
      </c>
      <c r="FJ20">
        <v>903.98870588235297</v>
      </c>
      <c r="FK20">
        <v>-1.7213235005588781</v>
      </c>
      <c r="FL20">
        <v>10320.75978820375</v>
      </c>
      <c r="FM20">
        <v>21716.894117647051</v>
      </c>
      <c r="FN20">
        <v>10</v>
      </c>
      <c r="FO20">
        <v>1785950516</v>
      </c>
      <c r="FP20" t="s">
        <v>690</v>
      </c>
      <c r="FQ20">
        <v>1785950505</v>
      </c>
      <c r="FR20">
        <v>1785950516</v>
      </c>
      <c r="FS20">
        <v>34</v>
      </c>
      <c r="FT20">
        <v>-0.157</v>
      </c>
      <c r="FU20">
        <v>-8.9999999999999993E-3</v>
      </c>
      <c r="FV20">
        <v>-11.164999999999999</v>
      </c>
      <c r="FW20">
        <v>-0.624</v>
      </c>
      <c r="FX20">
        <v>458</v>
      </c>
      <c r="FY20">
        <v>18</v>
      </c>
      <c r="FZ20">
        <v>0.28000000000000003</v>
      </c>
      <c r="GA20">
        <v>0.09</v>
      </c>
      <c r="GB20">
        <v>419.94770967741943</v>
      </c>
      <c r="GC20">
        <v>0.1869193548380412</v>
      </c>
      <c r="GD20">
        <v>6.2586813796410651E-2</v>
      </c>
      <c r="GE20">
        <v>-1</v>
      </c>
      <c r="GF20">
        <v>903.9082647058824</v>
      </c>
      <c r="GG20">
        <v>0.4768678457810559</v>
      </c>
      <c r="GH20">
        <v>0.1809490192785054</v>
      </c>
      <c r="GI20">
        <v>1</v>
      </c>
      <c r="GJ20">
        <v>3.2401697560975622</v>
      </c>
      <c r="GK20">
        <v>-0.1172441811846759</v>
      </c>
      <c r="GL20">
        <v>1.2082478240341079E-2</v>
      </c>
      <c r="GM20">
        <v>1</v>
      </c>
      <c r="GN20">
        <v>2</v>
      </c>
      <c r="GO20">
        <v>2</v>
      </c>
      <c r="GP20" t="s">
        <v>411</v>
      </c>
      <c r="GQ20">
        <v>3.1308799999999999</v>
      </c>
      <c r="GR20">
        <v>2.7255400000000001</v>
      </c>
      <c r="GS20">
        <v>9.3904799999999997E-2</v>
      </c>
      <c r="GT20">
        <v>9.9127800000000002E-2</v>
      </c>
      <c r="GU20">
        <v>0.10618</v>
      </c>
      <c r="GV20">
        <v>9.3033000000000005E-2</v>
      </c>
      <c r="GW20">
        <v>22918.3</v>
      </c>
      <c r="GX20">
        <v>30336.400000000001</v>
      </c>
      <c r="GY20">
        <v>27407.7</v>
      </c>
      <c r="GZ20">
        <v>34584.199999999997</v>
      </c>
      <c r="HA20">
        <v>35835.599999999999</v>
      </c>
      <c r="HB20">
        <v>39476.9</v>
      </c>
      <c r="HC20">
        <v>40450.800000000003</v>
      </c>
      <c r="HD20">
        <v>43614.8</v>
      </c>
      <c r="HE20">
        <v>2.0337999999999998</v>
      </c>
      <c r="HF20">
        <v>1.9241999999999999</v>
      </c>
      <c r="HG20">
        <v>1.8537000000000001E-2</v>
      </c>
      <c r="HH20">
        <v>0</v>
      </c>
      <c r="HI20">
        <v>24.705300000000001</v>
      </c>
      <c r="HJ20">
        <v>999.9</v>
      </c>
      <c r="HK20">
        <v>62.2</v>
      </c>
      <c r="HL20">
        <v>29.8</v>
      </c>
      <c r="HM20">
        <v>26.756499999999999</v>
      </c>
      <c r="HN20">
        <v>60.423999999999999</v>
      </c>
      <c r="HO20">
        <v>4.3068900000000001</v>
      </c>
      <c r="HP20">
        <v>1</v>
      </c>
      <c r="HQ20">
        <v>1.7378000000000001E-2</v>
      </c>
      <c r="HR20">
        <v>2.0312600000000001</v>
      </c>
      <c r="HS20">
        <v>20.227900000000002</v>
      </c>
      <c r="HT20">
        <v>5.2137000000000002</v>
      </c>
      <c r="HU20">
        <v>11.902100000000001</v>
      </c>
      <c r="HV20">
        <v>4.9855999999999998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1.8672200000000001</v>
      </c>
      <c r="IC20">
        <v>1.86276</v>
      </c>
      <c r="ID20">
        <v>1.8621799999999999</v>
      </c>
      <c r="IE20">
        <v>1.86172</v>
      </c>
      <c r="IF20">
        <v>1.86178</v>
      </c>
      <c r="IG20">
        <v>1.86249</v>
      </c>
      <c r="IH20">
        <v>1.86331</v>
      </c>
      <c r="II20">
        <v>1.8613599999999999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-11.026</v>
      </c>
      <c r="IX20">
        <v>-0.54410000000000003</v>
      </c>
      <c r="IY20">
        <v>-9.019276080758436</v>
      </c>
      <c r="IZ20">
        <v>-5.6215304933332991E-3</v>
      </c>
      <c r="JA20">
        <v>2.3979931213773931E-6</v>
      </c>
      <c r="JB20">
        <v>-3.6297174575716598E-10</v>
      </c>
      <c r="JC20">
        <v>-0.87623108023672147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2.2000000000000002</v>
      </c>
      <c r="JL20">
        <v>2</v>
      </c>
      <c r="JM20">
        <v>1.1792</v>
      </c>
      <c r="JN20">
        <v>2.48291</v>
      </c>
      <c r="JO20">
        <v>1.50024</v>
      </c>
      <c r="JP20">
        <v>2.2790499999999998</v>
      </c>
      <c r="JQ20">
        <v>1.4477500000000001</v>
      </c>
      <c r="JR20">
        <v>2.4523899999999998</v>
      </c>
      <c r="JS20">
        <v>35.847700000000003</v>
      </c>
      <c r="JT20">
        <v>24.043700000000001</v>
      </c>
      <c r="JU20">
        <v>18</v>
      </c>
      <c r="JV20">
        <v>531.98199999999997</v>
      </c>
      <c r="JW20">
        <v>478.74799999999999</v>
      </c>
      <c r="JX20">
        <v>22.162600000000001</v>
      </c>
      <c r="JY20">
        <v>27.438800000000001</v>
      </c>
      <c r="JZ20">
        <v>30.000599999999999</v>
      </c>
      <c r="KA20">
        <v>27.371600000000001</v>
      </c>
      <c r="KB20">
        <v>27.373200000000001</v>
      </c>
      <c r="KC20">
        <v>23.584099999999999</v>
      </c>
      <c r="KD20">
        <v>38.391399999999997</v>
      </c>
      <c r="KE20">
        <v>0</v>
      </c>
      <c r="KF20">
        <v>22.163699999999999</v>
      </c>
      <c r="KG20">
        <v>458.87</v>
      </c>
      <c r="KH20">
        <v>18.040199999999999</v>
      </c>
      <c r="KI20">
        <v>101.119</v>
      </c>
      <c r="KJ20">
        <v>98.390900000000002</v>
      </c>
    </row>
    <row r="21" spans="1:296" x14ac:dyDescent="0.3">
      <c r="A21">
        <v>5</v>
      </c>
      <c r="B21">
        <v>1785950819.5</v>
      </c>
      <c r="C21">
        <v>1615.900000095367</v>
      </c>
      <c r="D21" t="s">
        <v>691</v>
      </c>
      <c r="E21" t="s">
        <v>692</v>
      </c>
      <c r="F21">
        <v>15</v>
      </c>
      <c r="H21">
        <v>1785950811.5</v>
      </c>
      <c r="I21">
        <f t="shared" si="0"/>
        <v>2.5455963205220202E-3</v>
      </c>
      <c r="J21">
        <f t="shared" si="1"/>
        <v>2.5455963205220202</v>
      </c>
      <c r="K21">
        <f t="shared" si="2"/>
        <v>31.519976248862211</v>
      </c>
      <c r="L21">
        <f t="shared" si="3"/>
        <v>419.91845161290331</v>
      </c>
      <c r="M21">
        <f t="shared" si="4"/>
        <v>185.6172973527448</v>
      </c>
      <c r="N21">
        <f t="shared" si="5"/>
        <v>18.180788248676759</v>
      </c>
      <c r="O21">
        <f t="shared" si="6"/>
        <v>41.130048542717446</v>
      </c>
      <c r="P21">
        <f t="shared" si="7"/>
        <v>0.22878499716987871</v>
      </c>
      <c r="Q21">
        <f t="shared" si="8"/>
        <v>2.8906728396762249</v>
      </c>
      <c r="R21">
        <f t="shared" si="9"/>
        <v>0.21918039193776653</v>
      </c>
      <c r="S21">
        <f t="shared" si="10"/>
        <v>0.13781708049232944</v>
      </c>
      <c r="T21">
        <f t="shared" si="11"/>
        <v>271.91243382329395</v>
      </c>
      <c r="U21">
        <f t="shared" si="12"/>
        <v>26.019889569365926</v>
      </c>
      <c r="V21">
        <f t="shared" si="13"/>
        <v>25.040958064516129</v>
      </c>
      <c r="W21">
        <f t="shared" si="14"/>
        <v>3.1874502784680887</v>
      </c>
      <c r="X21">
        <f t="shared" si="15"/>
        <v>65.175617852040162</v>
      </c>
      <c r="Y21">
        <f t="shared" si="16"/>
        <v>2.0804610676529962</v>
      </c>
      <c r="Z21">
        <f t="shared" si="17"/>
        <v>3.1920849179765356</v>
      </c>
      <c r="AA21">
        <f t="shared" si="18"/>
        <v>1.1069892108150925</v>
      </c>
      <c r="AB21">
        <f t="shared" si="19"/>
        <v>-112.26079773502109</v>
      </c>
      <c r="AC21">
        <f t="shared" si="20"/>
        <v>3.7995273849496245</v>
      </c>
      <c r="AD21">
        <f t="shared" si="21"/>
        <v>0.27817813221898202</v>
      </c>
      <c r="AE21">
        <f t="shared" si="22"/>
        <v>163.72934160544145</v>
      </c>
      <c r="AF21">
        <f t="shared" si="23"/>
        <v>31.519976248862211</v>
      </c>
      <c r="AG21">
        <f t="shared" si="24"/>
        <v>2.5455963205220202</v>
      </c>
      <c r="AH21">
        <f t="shared" si="25"/>
        <v>31.463578150267857</v>
      </c>
      <c r="AI21">
        <v>467.47186925785633</v>
      </c>
      <c r="AJ21">
        <v>429.0288666666666</v>
      </c>
      <c r="AK21">
        <v>-3.577890210059912E-3</v>
      </c>
      <c r="AL21">
        <v>67.061717566701802</v>
      </c>
      <c r="AM21">
        <f t="shared" si="26"/>
        <v>2.5766678762879032</v>
      </c>
      <c r="AN21">
        <v>18.22247572880385</v>
      </c>
      <c r="AO21">
        <v>21.24892484848484</v>
      </c>
      <c r="AP21">
        <v>2.4017261471922229E-5</v>
      </c>
      <c r="AQ21">
        <v>78.134258851564724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52051.815517959629</v>
      </c>
      <c r="AW21" t="s">
        <v>676</v>
      </c>
      <c r="AX21">
        <v>13220</v>
      </c>
      <c r="AY21">
        <v>673.38823529411764</v>
      </c>
      <c r="AZ21">
        <v>2594.1</v>
      </c>
      <c r="BA21">
        <f t="shared" si="30"/>
        <v>0.74041546767891853</v>
      </c>
      <c r="BB21">
        <v>-2.7089864722863091</v>
      </c>
      <c r="BC21" t="s">
        <v>693</v>
      </c>
      <c r="BD21">
        <v>13210.9</v>
      </c>
      <c r="BE21">
        <v>901.64411764705892</v>
      </c>
      <c r="BF21">
        <v>1111.25</v>
      </c>
      <c r="BG21">
        <f t="shared" si="31"/>
        <v>0.18862171640309655</v>
      </c>
      <c r="BH21">
        <v>0.5</v>
      </c>
      <c r="BI21">
        <f t="shared" si="32"/>
        <v>1428.3267481952548</v>
      </c>
      <c r="BJ21">
        <f t="shared" si="33"/>
        <v>31.519976248862211</v>
      </c>
      <c r="BK21">
        <f t="shared" si="34"/>
        <v>134.70672141452124</v>
      </c>
      <c r="BL21">
        <f t="shared" si="35"/>
        <v>2.3964378433994963E-2</v>
      </c>
      <c r="BM21">
        <f t="shared" si="36"/>
        <v>1.3343982002249717</v>
      </c>
      <c r="BN21">
        <f t="shared" si="37"/>
        <v>500.14384320376831</v>
      </c>
      <c r="BO21" t="s">
        <v>408</v>
      </c>
      <c r="BP21">
        <v>0</v>
      </c>
      <c r="BQ21">
        <f t="shared" si="38"/>
        <v>500.14384320376831</v>
      </c>
      <c r="BR21">
        <f t="shared" si="39"/>
        <v>0.54992680026657514</v>
      </c>
      <c r="BS21">
        <f t="shared" si="40"/>
        <v>0.34299422452526923</v>
      </c>
      <c r="BT21">
        <f t="shared" si="41"/>
        <v>0.70815713843253125</v>
      </c>
      <c r="BU21">
        <f t="shared" si="42"/>
        <v>0.47870332430998208</v>
      </c>
      <c r="BV21">
        <f t="shared" si="43"/>
        <v>0.77203150792751463</v>
      </c>
      <c r="BW21">
        <f t="shared" si="44"/>
        <v>0.19025960053777535</v>
      </c>
      <c r="BX21">
        <f t="shared" si="45"/>
        <v>0.80974039946222465</v>
      </c>
      <c r="DG21">
        <f t="shared" si="46"/>
        <v>1700.026129032258</v>
      </c>
      <c r="DH21">
        <f t="shared" si="47"/>
        <v>1428.3267481952548</v>
      </c>
      <c r="DI21">
        <f t="shared" si="48"/>
        <v>0.84017929124908897</v>
      </c>
      <c r="DJ21">
        <f t="shared" si="49"/>
        <v>0.15994603211074199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1785950811.5</v>
      </c>
      <c r="DQ21">
        <v>419.91845161290331</v>
      </c>
      <c r="DR21">
        <v>459.029</v>
      </c>
      <c r="DS21">
        <v>21.24052903225807</v>
      </c>
      <c r="DT21">
        <v>18.250403225806451</v>
      </c>
      <c r="DU21">
        <v>431.05774193548382</v>
      </c>
      <c r="DV21">
        <v>21.787487096774189</v>
      </c>
      <c r="DW21">
        <v>499.95083870967738</v>
      </c>
      <c r="DX21">
        <v>97.898196774193522</v>
      </c>
      <c r="DY21">
        <v>4.9508035483870963E-2</v>
      </c>
      <c r="DZ21">
        <v>25.06533870967742</v>
      </c>
      <c r="EA21">
        <v>25.040958064516129</v>
      </c>
      <c r="EB21">
        <v>999.90000000000032</v>
      </c>
      <c r="EC21">
        <v>0</v>
      </c>
      <c r="ED21">
        <v>0</v>
      </c>
      <c r="EE21">
        <v>9990</v>
      </c>
      <c r="EF21">
        <v>0</v>
      </c>
      <c r="EG21">
        <v>450.0827096774193</v>
      </c>
      <c r="EH21">
        <v>-39.110596774193553</v>
      </c>
      <c r="EI21">
        <v>429.03132258064522</v>
      </c>
      <c r="EJ21">
        <v>467.56222580645158</v>
      </c>
      <c r="EK21">
        <v>2.990123870967742</v>
      </c>
      <c r="EL21">
        <v>459.029</v>
      </c>
      <c r="EM21">
        <v>18.250403225806451</v>
      </c>
      <c r="EN21">
        <v>2.07940935483871</v>
      </c>
      <c r="EO21">
        <v>1.786681935483871</v>
      </c>
      <c r="EP21">
        <v>18.062325806451611</v>
      </c>
      <c r="EQ21">
        <v>15.67075483870968</v>
      </c>
      <c r="ER21">
        <v>1700.026129032258</v>
      </c>
      <c r="ES21">
        <v>0.99400838709677408</v>
      </c>
      <c r="ET21">
        <v>5.9920138709677424E-3</v>
      </c>
      <c r="EU21">
        <v>0</v>
      </c>
      <c r="EV21">
        <v>901.48483870967743</v>
      </c>
      <c r="EW21">
        <v>5.0010700000000003</v>
      </c>
      <c r="EX21">
        <v>19230.77096774193</v>
      </c>
      <c r="EY21">
        <v>15492.806451612911</v>
      </c>
      <c r="EZ21">
        <v>37.311999999999983</v>
      </c>
      <c r="FA21">
        <v>38.908999999999978</v>
      </c>
      <c r="FB21">
        <v>38.125</v>
      </c>
      <c r="FC21">
        <v>38.375</v>
      </c>
      <c r="FD21">
        <v>38.75</v>
      </c>
      <c r="FE21">
        <v>1684.866129032258</v>
      </c>
      <c r="FF21">
        <v>10.160000000000011</v>
      </c>
      <c r="FG21">
        <v>0</v>
      </c>
      <c r="FH21">
        <v>180.9000000953674</v>
      </c>
      <c r="FI21">
        <v>0</v>
      </c>
      <c r="FJ21">
        <v>901.64411764705892</v>
      </c>
      <c r="FK21">
        <v>3.0946078228125842</v>
      </c>
      <c r="FL21">
        <v>1243.750000905656</v>
      </c>
      <c r="FM21">
        <v>19158.641176470581</v>
      </c>
      <c r="FN21">
        <v>10</v>
      </c>
      <c r="FO21">
        <v>1785950699</v>
      </c>
      <c r="FP21" t="s">
        <v>694</v>
      </c>
      <c r="FQ21">
        <v>1785950694.5</v>
      </c>
      <c r="FR21">
        <v>1785950699</v>
      </c>
      <c r="FS21">
        <v>35</v>
      </c>
      <c r="FT21">
        <v>-0.114</v>
      </c>
      <c r="FU21">
        <v>-3.0000000000000001E-3</v>
      </c>
      <c r="FV21">
        <v>-11.281000000000001</v>
      </c>
      <c r="FW21">
        <v>-0.626</v>
      </c>
      <c r="FX21">
        <v>458</v>
      </c>
      <c r="FY21">
        <v>18</v>
      </c>
      <c r="FZ21">
        <v>0.24</v>
      </c>
      <c r="GA21">
        <v>0.08</v>
      </c>
      <c r="GB21">
        <v>419.92053333333331</v>
      </c>
      <c r="GC21">
        <v>0.16167296996665009</v>
      </c>
      <c r="GD21">
        <v>5.426523339630638E-2</v>
      </c>
      <c r="GE21">
        <v>-1</v>
      </c>
      <c r="GF21">
        <v>901.33211764705868</v>
      </c>
      <c r="GG21">
        <v>2.8980901459755901</v>
      </c>
      <c r="GH21">
        <v>0.36710519126441532</v>
      </c>
      <c r="GI21">
        <v>1</v>
      </c>
      <c r="GJ21">
        <v>2.97894675</v>
      </c>
      <c r="GK21">
        <v>0.25254405253283257</v>
      </c>
      <c r="GL21">
        <v>2.6813687492351721E-2</v>
      </c>
      <c r="GM21">
        <v>1</v>
      </c>
      <c r="GN21">
        <v>2</v>
      </c>
      <c r="GO21">
        <v>2</v>
      </c>
      <c r="GP21" t="s">
        <v>411</v>
      </c>
      <c r="GQ21">
        <v>3.13103</v>
      </c>
      <c r="GR21">
        <v>2.7251300000000001</v>
      </c>
      <c r="GS21">
        <v>9.3873499999999999E-2</v>
      </c>
      <c r="GT21">
        <v>9.9140500000000006E-2</v>
      </c>
      <c r="GU21">
        <v>0.10619000000000001</v>
      </c>
      <c r="GV21">
        <v>9.3802899999999995E-2</v>
      </c>
      <c r="GW21">
        <v>22913.3</v>
      </c>
      <c r="GX21">
        <v>30327.8</v>
      </c>
      <c r="GY21">
        <v>27401.5</v>
      </c>
      <c r="GZ21">
        <v>34575.9</v>
      </c>
      <c r="HA21">
        <v>35828.6</v>
      </c>
      <c r="HB21">
        <v>39434.9</v>
      </c>
      <c r="HC21">
        <v>40442.6</v>
      </c>
      <c r="HD21">
        <v>43605.4</v>
      </c>
      <c r="HE21">
        <v>2.0322</v>
      </c>
      <c r="HF21">
        <v>1.9196</v>
      </c>
      <c r="HG21">
        <v>3.72529E-3</v>
      </c>
      <c r="HH21">
        <v>0</v>
      </c>
      <c r="HI21">
        <v>24.962</v>
      </c>
      <c r="HJ21">
        <v>999.9</v>
      </c>
      <c r="HK21">
        <v>61.8</v>
      </c>
      <c r="HL21">
        <v>30.1</v>
      </c>
      <c r="HM21">
        <v>27.049600000000002</v>
      </c>
      <c r="HN21">
        <v>60.024000000000001</v>
      </c>
      <c r="HO21">
        <v>3.98638</v>
      </c>
      <c r="HP21">
        <v>1</v>
      </c>
      <c r="HQ21">
        <v>3.0935000000000001E-2</v>
      </c>
      <c r="HR21">
        <v>2.69015</v>
      </c>
      <c r="HS21">
        <v>20.220400000000001</v>
      </c>
      <c r="HT21">
        <v>5.2112999999999996</v>
      </c>
      <c r="HU21">
        <v>11.902100000000001</v>
      </c>
      <c r="HV21">
        <v>4.9871999999999996</v>
      </c>
      <c r="HW21">
        <v>3.2702</v>
      </c>
      <c r="HX21">
        <v>9999</v>
      </c>
      <c r="HY21">
        <v>9999</v>
      </c>
      <c r="HZ21">
        <v>9999</v>
      </c>
      <c r="IA21">
        <v>999.9</v>
      </c>
      <c r="IB21">
        <v>1.8672200000000001</v>
      </c>
      <c r="IC21">
        <v>1.8627899999999999</v>
      </c>
      <c r="ID21">
        <v>1.8622799999999999</v>
      </c>
      <c r="IE21">
        <v>1.86172</v>
      </c>
      <c r="IF21">
        <v>1.86185</v>
      </c>
      <c r="IG21">
        <v>1.86249</v>
      </c>
      <c r="IH21">
        <v>1.8633999999999999</v>
      </c>
      <c r="II21">
        <v>1.8613900000000001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-11.138999999999999</v>
      </c>
      <c r="IX21">
        <v>-0.54679999999999995</v>
      </c>
      <c r="IY21">
        <v>-9.1328112014020704</v>
      </c>
      <c r="IZ21">
        <v>-5.6215304933332991E-3</v>
      </c>
      <c r="JA21">
        <v>2.3979931213773931E-6</v>
      </c>
      <c r="JB21">
        <v>-3.6297174575716598E-10</v>
      </c>
      <c r="JC21">
        <v>-0.87937131349582098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2.1</v>
      </c>
      <c r="JL21">
        <v>2</v>
      </c>
      <c r="JM21">
        <v>1.18042</v>
      </c>
      <c r="JN21">
        <v>2.4890099999999999</v>
      </c>
      <c r="JO21">
        <v>1.50024</v>
      </c>
      <c r="JP21">
        <v>2.2778299999999998</v>
      </c>
      <c r="JQ21">
        <v>1.4477500000000001</v>
      </c>
      <c r="JR21">
        <v>2.4487299999999999</v>
      </c>
      <c r="JS21">
        <v>36.152000000000001</v>
      </c>
      <c r="JT21">
        <v>24.035</v>
      </c>
      <c r="JU21">
        <v>18</v>
      </c>
      <c r="JV21">
        <v>532.43700000000001</v>
      </c>
      <c r="JW21">
        <v>477.19200000000001</v>
      </c>
      <c r="JX21">
        <v>21.662800000000001</v>
      </c>
      <c r="JY21">
        <v>27.592400000000001</v>
      </c>
      <c r="JZ21">
        <v>30.000399999999999</v>
      </c>
      <c r="KA21">
        <v>27.533999999999999</v>
      </c>
      <c r="KB21">
        <v>27.541399999999999</v>
      </c>
      <c r="KC21">
        <v>23.597899999999999</v>
      </c>
      <c r="KD21">
        <v>38.248199999999997</v>
      </c>
      <c r="KE21">
        <v>0</v>
      </c>
      <c r="KF21">
        <v>21.676100000000002</v>
      </c>
      <c r="KG21">
        <v>459.16399999999999</v>
      </c>
      <c r="KH21">
        <v>18.186900000000001</v>
      </c>
      <c r="KI21">
        <v>101.098</v>
      </c>
      <c r="KJ21">
        <v>98.368799999999993</v>
      </c>
    </row>
    <row r="22" spans="1:296" x14ac:dyDescent="0.3">
      <c r="A22">
        <v>6</v>
      </c>
      <c r="B22">
        <v>1785951001</v>
      </c>
      <c r="C22">
        <v>1797.400000095367</v>
      </c>
      <c r="D22" t="s">
        <v>695</v>
      </c>
      <c r="E22" t="s">
        <v>696</v>
      </c>
      <c r="F22">
        <v>15</v>
      </c>
      <c r="H22">
        <v>1785950993.25</v>
      </c>
      <c r="I22">
        <f t="shared" si="0"/>
        <v>2.5086426638499162E-3</v>
      </c>
      <c r="J22">
        <f t="shared" si="1"/>
        <v>2.508642663849916</v>
      </c>
      <c r="K22">
        <f t="shared" si="2"/>
        <v>31.206419815473954</v>
      </c>
      <c r="L22">
        <f t="shared" si="3"/>
        <v>420.08433333333329</v>
      </c>
      <c r="M22">
        <f t="shared" si="4"/>
        <v>187.45677461872049</v>
      </c>
      <c r="N22">
        <f t="shared" si="5"/>
        <v>18.359099063664928</v>
      </c>
      <c r="O22">
        <f t="shared" si="6"/>
        <v>41.142124132067003</v>
      </c>
      <c r="P22">
        <f t="shared" si="7"/>
        <v>0.22810222969294094</v>
      </c>
      <c r="Q22">
        <f t="shared" si="8"/>
        <v>2.8923228440797804</v>
      </c>
      <c r="R22">
        <f t="shared" si="9"/>
        <v>0.21855878135924983</v>
      </c>
      <c r="S22">
        <f t="shared" si="10"/>
        <v>0.13742340659826302</v>
      </c>
      <c r="T22">
        <f t="shared" si="11"/>
        <v>255.91566105571496</v>
      </c>
      <c r="U22">
        <f t="shared" si="12"/>
        <v>25.887985830482794</v>
      </c>
      <c r="V22">
        <f t="shared" si="13"/>
        <v>24.92204666666667</v>
      </c>
      <c r="W22">
        <f t="shared" si="14"/>
        <v>3.1649299904611699</v>
      </c>
      <c r="X22">
        <f t="shared" si="15"/>
        <v>65.050563671354539</v>
      </c>
      <c r="Y22">
        <f t="shared" si="16"/>
        <v>2.0708374088549526</v>
      </c>
      <c r="Z22">
        <f t="shared" si="17"/>
        <v>3.1834273094344607</v>
      </c>
      <c r="AA22">
        <f t="shared" si="18"/>
        <v>1.0940925816062173</v>
      </c>
      <c r="AB22">
        <f t="shared" si="19"/>
        <v>-110.63114147578131</v>
      </c>
      <c r="AC22">
        <f t="shared" si="20"/>
        <v>15.238088213792105</v>
      </c>
      <c r="AD22">
        <f t="shared" si="21"/>
        <v>1.1140803896393032</v>
      </c>
      <c r="AE22">
        <f t="shared" si="22"/>
        <v>161.63668818336507</v>
      </c>
      <c r="AF22">
        <f t="shared" si="23"/>
        <v>31.206419815473954</v>
      </c>
      <c r="AG22">
        <f t="shared" si="24"/>
        <v>2.508642663849916</v>
      </c>
      <c r="AH22">
        <f t="shared" si="25"/>
        <v>31.244010390937259</v>
      </c>
      <c r="AI22">
        <v>467.31551666759771</v>
      </c>
      <c r="AJ22">
        <v>429.12970303030312</v>
      </c>
      <c r="AK22">
        <v>-3.4285203991064878E-4</v>
      </c>
      <c r="AL22">
        <v>67.079242497253233</v>
      </c>
      <c r="AM22">
        <f t="shared" si="26"/>
        <v>2.5318061246320496</v>
      </c>
      <c r="AN22">
        <v>18.20203067566872</v>
      </c>
      <c r="AO22">
        <v>21.168223030303022</v>
      </c>
      <c r="AP22">
        <v>1.2390488799787799E-3</v>
      </c>
      <c r="AQ22">
        <v>78.216098920293504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52106.88781982971</v>
      </c>
      <c r="AW22" t="s">
        <v>676</v>
      </c>
      <c r="AX22">
        <v>13220</v>
      </c>
      <c r="AY22">
        <v>673.38823529411764</v>
      </c>
      <c r="AZ22">
        <v>2594.1</v>
      </c>
      <c r="BA22">
        <f t="shared" si="30"/>
        <v>0.74041546767891853</v>
      </c>
      <c r="BB22">
        <v>-2.7089864722863091</v>
      </c>
      <c r="BC22" t="s">
        <v>697</v>
      </c>
      <c r="BD22">
        <v>13224.2</v>
      </c>
      <c r="BE22">
        <v>904.30088235294113</v>
      </c>
      <c r="BF22">
        <v>1134.7</v>
      </c>
      <c r="BG22">
        <f t="shared" si="31"/>
        <v>0.2030484865136678</v>
      </c>
      <c r="BH22">
        <v>0.5</v>
      </c>
      <c r="BI22">
        <f t="shared" si="32"/>
        <v>1344.3007814796451</v>
      </c>
      <c r="BJ22">
        <f t="shared" si="33"/>
        <v>31.206419815473954</v>
      </c>
      <c r="BK22">
        <f t="shared" si="34"/>
        <v>136.4791195492914</v>
      </c>
      <c r="BL22">
        <f t="shared" si="35"/>
        <v>2.5229031147650044E-2</v>
      </c>
      <c r="BM22">
        <f t="shared" si="36"/>
        <v>1.2861549308187183</v>
      </c>
      <c r="BN22">
        <f t="shared" si="37"/>
        <v>504.83952102138858</v>
      </c>
      <c r="BO22" t="s">
        <v>408</v>
      </c>
      <c r="BP22">
        <v>0</v>
      </c>
      <c r="BQ22">
        <f t="shared" si="38"/>
        <v>504.83952102138858</v>
      </c>
      <c r="BR22">
        <f t="shared" si="39"/>
        <v>0.5550898730753604</v>
      </c>
      <c r="BS22">
        <f t="shared" si="40"/>
        <v>0.36579389457912426</v>
      </c>
      <c r="BT22">
        <f t="shared" si="41"/>
        <v>0.69852467640294669</v>
      </c>
      <c r="BU22">
        <f t="shared" si="42"/>
        <v>0.49944340308327928</v>
      </c>
      <c r="BV22">
        <f t="shared" si="43"/>
        <v>0.75982249227461629</v>
      </c>
      <c r="BW22">
        <f t="shared" si="44"/>
        <v>0.20420992408121891</v>
      </c>
      <c r="BX22">
        <f t="shared" si="45"/>
        <v>0.79579007591878104</v>
      </c>
      <c r="DG22">
        <f t="shared" si="46"/>
        <v>1600.0170000000001</v>
      </c>
      <c r="DH22">
        <f t="shared" si="47"/>
        <v>1344.3007814796451</v>
      </c>
      <c r="DI22">
        <f t="shared" si="48"/>
        <v>0.84017906152224953</v>
      </c>
      <c r="DJ22">
        <f t="shared" si="49"/>
        <v>0.15994558873794151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1785950993.25</v>
      </c>
      <c r="DQ22">
        <v>420.08433333333329</v>
      </c>
      <c r="DR22">
        <v>458.79653333333329</v>
      </c>
      <c r="DS22">
        <v>21.14442</v>
      </c>
      <c r="DT22">
        <v>18.197710000000001</v>
      </c>
      <c r="DU22">
        <v>431.17389999999989</v>
      </c>
      <c r="DV22">
        <v>21.69982666666667</v>
      </c>
      <c r="DW22">
        <v>500.0014666666666</v>
      </c>
      <c r="DX22">
        <v>97.888103333333305</v>
      </c>
      <c r="DY22">
        <v>4.9669793333333337E-2</v>
      </c>
      <c r="DZ22">
        <v>25.019770000000001</v>
      </c>
      <c r="EA22">
        <v>24.92204666666667</v>
      </c>
      <c r="EB22">
        <v>999.9000000000002</v>
      </c>
      <c r="EC22">
        <v>0</v>
      </c>
      <c r="ED22">
        <v>0</v>
      </c>
      <c r="EE22">
        <v>10000.5</v>
      </c>
      <c r="EF22">
        <v>0</v>
      </c>
      <c r="EG22">
        <v>142.52510000000001</v>
      </c>
      <c r="EH22">
        <v>-38.712113333333328</v>
      </c>
      <c r="EI22">
        <v>429.15870000000012</v>
      </c>
      <c r="EJ22">
        <v>467.30023333333332</v>
      </c>
      <c r="EK22">
        <v>2.9467163333333342</v>
      </c>
      <c r="EL22">
        <v>458.79653333333329</v>
      </c>
      <c r="EM22">
        <v>18.197710000000001</v>
      </c>
      <c r="EN22">
        <v>2.0697873333333341</v>
      </c>
      <c r="EO22">
        <v>1.7813380000000001</v>
      </c>
      <c r="EP22">
        <v>17.988543333333329</v>
      </c>
      <c r="EQ22">
        <v>15.62399666666667</v>
      </c>
      <c r="ER22">
        <v>1600.0170000000001</v>
      </c>
      <c r="ES22">
        <v>0.99401006666666658</v>
      </c>
      <c r="ET22">
        <v>5.9903046666666647E-3</v>
      </c>
      <c r="EU22">
        <v>0</v>
      </c>
      <c r="EV22">
        <v>904.28369999999995</v>
      </c>
      <c r="EW22">
        <v>5.0010700000000003</v>
      </c>
      <c r="EX22">
        <v>16295.61666666667</v>
      </c>
      <c r="EY22">
        <v>14578.71333333333</v>
      </c>
      <c r="EZ22">
        <v>36.957999999999991</v>
      </c>
      <c r="FA22">
        <v>38.69959999999999</v>
      </c>
      <c r="FB22">
        <v>37.858199999999997</v>
      </c>
      <c r="FC22">
        <v>38.274799999999999</v>
      </c>
      <c r="FD22">
        <v>38.5</v>
      </c>
      <c r="FE22">
        <v>1585.457666666666</v>
      </c>
      <c r="FF22">
        <v>9.5500000000000025</v>
      </c>
      <c r="FG22">
        <v>0</v>
      </c>
      <c r="FH22">
        <v>180.70000004768369</v>
      </c>
      <c r="FI22">
        <v>0</v>
      </c>
      <c r="FJ22">
        <v>904.30088235294113</v>
      </c>
      <c r="FK22">
        <v>0.62083330962030259</v>
      </c>
      <c r="FL22">
        <v>-45.857843389876678</v>
      </c>
      <c r="FM22">
        <v>16296.276470588229</v>
      </c>
      <c r="FN22">
        <v>10</v>
      </c>
      <c r="FO22">
        <v>1785950876</v>
      </c>
      <c r="FP22" t="s">
        <v>698</v>
      </c>
      <c r="FQ22">
        <v>1785950871.5</v>
      </c>
      <c r="FR22">
        <v>1785950876</v>
      </c>
      <c r="FS22">
        <v>36</v>
      </c>
      <c r="FT22">
        <v>5.0999999999999997E-2</v>
      </c>
      <c r="FU22">
        <v>-6.0000000000000001E-3</v>
      </c>
      <c r="FV22">
        <v>-11.233000000000001</v>
      </c>
      <c r="FW22">
        <v>-0.63300000000000001</v>
      </c>
      <c r="FX22">
        <v>459</v>
      </c>
      <c r="FY22">
        <v>18</v>
      </c>
      <c r="FZ22">
        <v>0.18</v>
      </c>
      <c r="GA22">
        <v>0.09</v>
      </c>
      <c r="GB22">
        <v>420.089</v>
      </c>
      <c r="GC22">
        <v>-0.18096774193483189</v>
      </c>
      <c r="GD22">
        <v>5.3350937954692507E-2</v>
      </c>
      <c r="GE22">
        <v>-1</v>
      </c>
      <c r="GF22">
        <v>904.23444117647057</v>
      </c>
      <c r="GG22">
        <v>0.60768525044179866</v>
      </c>
      <c r="GH22">
        <v>0.20165567496521131</v>
      </c>
      <c r="GI22">
        <v>1</v>
      </c>
      <c r="GJ22">
        <v>2.9287892682926828</v>
      </c>
      <c r="GK22">
        <v>0.28008146341463808</v>
      </c>
      <c r="GL22">
        <v>2.8371595069394281E-2</v>
      </c>
      <c r="GM22">
        <v>1</v>
      </c>
      <c r="GN22">
        <v>2</v>
      </c>
      <c r="GO22">
        <v>2</v>
      </c>
      <c r="GP22" t="s">
        <v>411</v>
      </c>
      <c r="GQ22">
        <v>3.1304500000000002</v>
      </c>
      <c r="GR22">
        <v>2.7265799999999998</v>
      </c>
      <c r="GS22">
        <v>9.3850900000000001E-2</v>
      </c>
      <c r="GT22">
        <v>9.9016199999999999E-2</v>
      </c>
      <c r="GU22">
        <v>0.105905</v>
      </c>
      <c r="GV22">
        <v>9.3707499999999999E-2</v>
      </c>
      <c r="GW22">
        <v>22910</v>
      </c>
      <c r="GX22">
        <v>30323.9</v>
      </c>
      <c r="GY22">
        <v>27397.599999999999</v>
      </c>
      <c r="GZ22">
        <v>34567.699999999997</v>
      </c>
      <c r="HA22">
        <v>35835.800000000003</v>
      </c>
      <c r="HB22">
        <v>39432.400000000001</v>
      </c>
      <c r="HC22">
        <v>40437</v>
      </c>
      <c r="HD22">
        <v>43597.9</v>
      </c>
      <c r="HE22">
        <v>2.0295999999999998</v>
      </c>
      <c r="HF22">
        <v>1.9166000000000001</v>
      </c>
      <c r="HG22">
        <v>1.0937499999999999E-2</v>
      </c>
      <c r="HH22">
        <v>0</v>
      </c>
      <c r="HI22">
        <v>24.744900000000001</v>
      </c>
      <c r="HJ22">
        <v>999.9</v>
      </c>
      <c r="HK22">
        <v>61.5</v>
      </c>
      <c r="HL22">
        <v>30.4</v>
      </c>
      <c r="HM22">
        <v>27.3872</v>
      </c>
      <c r="HN22">
        <v>60.393999999999998</v>
      </c>
      <c r="HO22">
        <v>4.1025600000000004</v>
      </c>
      <c r="HP22">
        <v>1</v>
      </c>
      <c r="HQ22">
        <v>3.82114E-2</v>
      </c>
      <c r="HR22">
        <v>1.5853999999999999</v>
      </c>
      <c r="HS22">
        <v>20.235499999999998</v>
      </c>
      <c r="HT22">
        <v>5.2125000000000004</v>
      </c>
      <c r="HU22">
        <v>11.902100000000001</v>
      </c>
      <c r="HV22">
        <v>4.9859999999999998</v>
      </c>
      <c r="HW22">
        <v>3.2704</v>
      </c>
      <c r="HX22">
        <v>9999</v>
      </c>
      <c r="HY22">
        <v>9999</v>
      </c>
      <c r="HZ22">
        <v>9999</v>
      </c>
      <c r="IA22">
        <v>999.9</v>
      </c>
      <c r="IB22">
        <v>1.86707</v>
      </c>
      <c r="IC22">
        <v>1.86276</v>
      </c>
      <c r="ID22">
        <v>1.8621799999999999</v>
      </c>
      <c r="IE22">
        <v>1.86172</v>
      </c>
      <c r="IF22">
        <v>1.86172</v>
      </c>
      <c r="IG22">
        <v>1.8623700000000001</v>
      </c>
      <c r="IH22">
        <v>1.86328</v>
      </c>
      <c r="II22">
        <v>1.86127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-11.09</v>
      </c>
      <c r="IX22">
        <v>-0.55479999999999996</v>
      </c>
      <c r="IY22">
        <v>-9.0823051765807747</v>
      </c>
      <c r="IZ22">
        <v>-5.6215304933332991E-3</v>
      </c>
      <c r="JA22">
        <v>2.3979931213773931E-6</v>
      </c>
      <c r="JB22">
        <v>-3.6297174575716598E-10</v>
      </c>
      <c r="JC22">
        <v>-0.88552174670174977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2.2000000000000002</v>
      </c>
      <c r="JL22">
        <v>2.1</v>
      </c>
      <c r="JM22">
        <v>1.1792</v>
      </c>
      <c r="JN22">
        <v>2.4865699999999999</v>
      </c>
      <c r="JO22">
        <v>1.50024</v>
      </c>
      <c r="JP22">
        <v>2.2778299999999998</v>
      </c>
      <c r="JQ22">
        <v>1.4477500000000001</v>
      </c>
      <c r="JR22">
        <v>2.4853499999999999</v>
      </c>
      <c r="JS22">
        <v>36.363500000000002</v>
      </c>
      <c r="JT22">
        <v>24.087499999999999</v>
      </c>
      <c r="JU22">
        <v>18</v>
      </c>
      <c r="JV22">
        <v>532.21900000000005</v>
      </c>
      <c r="JW22">
        <v>476.55599999999998</v>
      </c>
      <c r="JX22">
        <v>22.628399999999999</v>
      </c>
      <c r="JY22">
        <v>27.7499</v>
      </c>
      <c r="JZ22">
        <v>30.000499999999999</v>
      </c>
      <c r="KA22">
        <v>27.692799999999998</v>
      </c>
      <c r="KB22">
        <v>27.6953</v>
      </c>
      <c r="KC22">
        <v>23.589099999999998</v>
      </c>
      <c r="KD22">
        <v>38.537700000000001</v>
      </c>
      <c r="KE22">
        <v>0</v>
      </c>
      <c r="KF22">
        <v>22.619700000000002</v>
      </c>
      <c r="KG22">
        <v>458.69299999999998</v>
      </c>
      <c r="KH22">
        <v>18.2057</v>
      </c>
      <c r="KI22">
        <v>101.084</v>
      </c>
      <c r="KJ22">
        <v>98.349000000000004</v>
      </c>
    </row>
    <row r="23" spans="1:296" x14ac:dyDescent="0.3">
      <c r="A23">
        <v>7</v>
      </c>
      <c r="B23">
        <v>1785951182.5</v>
      </c>
      <c r="C23">
        <v>1978.900000095367</v>
      </c>
      <c r="D23" t="s">
        <v>699</v>
      </c>
      <c r="E23" t="s">
        <v>700</v>
      </c>
      <c r="F23">
        <v>15</v>
      </c>
      <c r="H23">
        <v>1785951174.75</v>
      </c>
      <c r="I23">
        <f t="shared" si="0"/>
        <v>2.2695383094306497E-3</v>
      </c>
      <c r="J23">
        <f t="shared" si="1"/>
        <v>2.2695383094306498</v>
      </c>
      <c r="K23">
        <f t="shared" si="2"/>
        <v>30.459761192029195</v>
      </c>
      <c r="L23">
        <f t="shared" si="3"/>
        <v>420.00049999999999</v>
      </c>
      <c r="M23">
        <f t="shared" si="4"/>
        <v>168.47585030964765</v>
      </c>
      <c r="N23">
        <f t="shared" si="5"/>
        <v>16.496786512488097</v>
      </c>
      <c r="O23">
        <f t="shared" si="6"/>
        <v>41.125529688105637</v>
      </c>
      <c r="P23">
        <f t="shared" si="7"/>
        <v>0.20465061389004174</v>
      </c>
      <c r="Q23">
        <f t="shared" si="8"/>
        <v>2.8946367195656091</v>
      </c>
      <c r="R23">
        <f t="shared" si="9"/>
        <v>0.19693886608210937</v>
      </c>
      <c r="S23">
        <f t="shared" si="10"/>
        <v>0.1237554491814644</v>
      </c>
      <c r="T23">
        <f t="shared" si="11"/>
        <v>224.00259696765082</v>
      </c>
      <c r="U23">
        <f t="shared" si="12"/>
        <v>25.90755460262174</v>
      </c>
      <c r="V23">
        <f t="shared" si="13"/>
        <v>24.98465666666667</v>
      </c>
      <c r="W23">
        <f t="shared" si="14"/>
        <v>3.1767701244239501</v>
      </c>
      <c r="X23">
        <f t="shared" si="15"/>
        <v>64.72286025215233</v>
      </c>
      <c r="Y23">
        <f t="shared" si="16"/>
        <v>2.0786397701226011</v>
      </c>
      <c r="Z23">
        <f t="shared" si="17"/>
        <v>3.2116006029777973</v>
      </c>
      <c r="AA23">
        <f t="shared" si="18"/>
        <v>1.098130354301349</v>
      </c>
      <c r="AB23">
        <f t="shared" si="19"/>
        <v>-100.08663944589165</v>
      </c>
      <c r="AC23">
        <f t="shared" si="20"/>
        <v>28.559225204046644</v>
      </c>
      <c r="AD23">
        <f t="shared" si="21"/>
        <v>2.0885521847422854</v>
      </c>
      <c r="AE23">
        <f t="shared" si="22"/>
        <v>154.56373491054811</v>
      </c>
      <c r="AF23">
        <f t="shared" si="23"/>
        <v>30.459761192029195</v>
      </c>
      <c r="AG23">
        <f t="shared" si="24"/>
        <v>2.2695383094306498</v>
      </c>
      <c r="AH23">
        <f t="shared" si="25"/>
        <v>30.383257165153001</v>
      </c>
      <c r="AI23">
        <v>466.52494159491778</v>
      </c>
      <c r="AJ23">
        <v>429.17107272727247</v>
      </c>
      <c r="AK23">
        <v>3.8749949070438619E-2</v>
      </c>
      <c r="AL23">
        <v>67.061728401085404</v>
      </c>
      <c r="AM23">
        <f t="shared" si="26"/>
        <v>2.2621363497692482</v>
      </c>
      <c r="AN23">
        <v>18.56711781644324</v>
      </c>
      <c r="AO23">
        <v>21.224207272727259</v>
      </c>
      <c r="AP23">
        <v>-3.1084665383109392E-5</v>
      </c>
      <c r="AQ23">
        <v>78.130539666378411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52146.97350381974</v>
      </c>
      <c r="AW23" t="s">
        <v>676</v>
      </c>
      <c r="AX23">
        <v>13220</v>
      </c>
      <c r="AY23">
        <v>673.38823529411764</v>
      </c>
      <c r="AZ23">
        <v>2594.1</v>
      </c>
      <c r="BA23">
        <f t="shared" si="30"/>
        <v>0.74041546767891853</v>
      </c>
      <c r="BB23">
        <v>-2.7089864722863091</v>
      </c>
      <c r="BC23" t="s">
        <v>701</v>
      </c>
      <c r="BD23">
        <v>13222.1</v>
      </c>
      <c r="BE23">
        <v>905.22858823529407</v>
      </c>
      <c r="BF23">
        <v>1180.02</v>
      </c>
      <c r="BG23">
        <f t="shared" si="31"/>
        <v>0.23287013081533015</v>
      </c>
      <c r="BH23">
        <v>0.5</v>
      </c>
      <c r="BI23">
        <f t="shared" si="32"/>
        <v>1176.2768597759843</v>
      </c>
      <c r="BJ23">
        <f t="shared" si="33"/>
        <v>30.459761192029195</v>
      </c>
      <c r="BK23">
        <f t="shared" si="34"/>
        <v>136.95987310553963</v>
      </c>
      <c r="BL23">
        <f t="shared" si="35"/>
        <v>2.8198078869486828E-2</v>
      </c>
      <c r="BM23">
        <f t="shared" si="36"/>
        <v>1.1983525702954188</v>
      </c>
      <c r="BN23">
        <f t="shared" si="37"/>
        <v>513.61581602171009</v>
      </c>
      <c r="BO23" t="s">
        <v>408</v>
      </c>
      <c r="BP23">
        <v>0</v>
      </c>
      <c r="BQ23">
        <f t="shared" si="38"/>
        <v>513.61581602171009</v>
      </c>
      <c r="BR23">
        <f t="shared" si="39"/>
        <v>0.56473973659623555</v>
      </c>
      <c r="BS23">
        <f t="shared" si="40"/>
        <v>0.41234946954303348</v>
      </c>
      <c r="BT23">
        <f t="shared" si="41"/>
        <v>0.67968793557276863</v>
      </c>
      <c r="BU23">
        <f t="shared" si="42"/>
        <v>0.54238883328650356</v>
      </c>
      <c r="BV23">
        <f t="shared" si="43"/>
        <v>0.7362270726844522</v>
      </c>
      <c r="BW23">
        <f t="shared" si="44"/>
        <v>0.23396213071257371</v>
      </c>
      <c r="BX23">
        <f t="shared" si="45"/>
        <v>0.76603786928742634</v>
      </c>
      <c r="DG23">
        <f t="shared" si="46"/>
        <v>1399.9806666666659</v>
      </c>
      <c r="DH23">
        <f t="shared" si="47"/>
        <v>1176.2768597759843</v>
      </c>
      <c r="DI23">
        <f t="shared" si="48"/>
        <v>0.84020935987400658</v>
      </c>
      <c r="DJ23">
        <f t="shared" si="49"/>
        <v>0.16000406455683264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1785951174.75</v>
      </c>
      <c r="DQ23">
        <v>420.00049999999999</v>
      </c>
      <c r="DR23">
        <v>457.69533333333328</v>
      </c>
      <c r="DS23">
        <v>21.228413333333329</v>
      </c>
      <c r="DT23">
        <v>18.56283333333333</v>
      </c>
      <c r="DU23">
        <v>431.18933333333342</v>
      </c>
      <c r="DV23">
        <v>21.782540000000001</v>
      </c>
      <c r="DW23">
        <v>500.0096666666667</v>
      </c>
      <c r="DX23">
        <v>97.868133333333361</v>
      </c>
      <c r="DY23">
        <v>4.9677926666666657E-2</v>
      </c>
      <c r="DZ23">
        <v>25.16766333333333</v>
      </c>
      <c r="EA23">
        <v>24.98465666666667</v>
      </c>
      <c r="EB23">
        <v>999.9000000000002</v>
      </c>
      <c r="EC23">
        <v>0</v>
      </c>
      <c r="ED23">
        <v>0</v>
      </c>
      <c r="EE23">
        <v>10015.83333333333</v>
      </c>
      <c r="EF23">
        <v>0</v>
      </c>
      <c r="EG23">
        <v>124.355</v>
      </c>
      <c r="EH23">
        <v>-37.694776666666669</v>
      </c>
      <c r="EI23">
        <v>429.10989999999998</v>
      </c>
      <c r="EJ23">
        <v>466.35216666666668</v>
      </c>
      <c r="EK23">
        <v>2.6655743333333328</v>
      </c>
      <c r="EL23">
        <v>457.69533333333328</v>
      </c>
      <c r="EM23">
        <v>18.56283333333333</v>
      </c>
      <c r="EN23">
        <v>2.0775843333333328</v>
      </c>
      <c r="EO23">
        <v>1.816710333333333</v>
      </c>
      <c r="EP23">
        <v>18.048359999999999</v>
      </c>
      <c r="EQ23">
        <v>15.93130666666667</v>
      </c>
      <c r="ER23">
        <v>1399.9806666666659</v>
      </c>
      <c r="ES23">
        <v>0.99299470000000012</v>
      </c>
      <c r="ET23">
        <v>7.005075999999999E-3</v>
      </c>
      <c r="EU23">
        <v>0</v>
      </c>
      <c r="EV23">
        <v>905.10923333333335</v>
      </c>
      <c r="EW23">
        <v>5.0010700000000003</v>
      </c>
      <c r="EX23">
        <v>14236.52</v>
      </c>
      <c r="EY23">
        <v>12745.31333333333</v>
      </c>
      <c r="EZ23">
        <v>36.289266666666663</v>
      </c>
      <c r="FA23">
        <v>38.164266666666663</v>
      </c>
      <c r="FB23">
        <v>37.339299999999987</v>
      </c>
      <c r="FC23">
        <v>37.803733333333319</v>
      </c>
      <c r="FD23">
        <v>37.947499999999991</v>
      </c>
      <c r="FE23">
        <v>1385.2106666666671</v>
      </c>
      <c r="FF23">
        <v>9.77</v>
      </c>
      <c r="FG23">
        <v>0</v>
      </c>
      <c r="FH23">
        <v>180.9000000953674</v>
      </c>
      <c r="FI23">
        <v>0</v>
      </c>
      <c r="FJ23">
        <v>905.22858823529407</v>
      </c>
      <c r="FK23">
        <v>0.9272059369217508</v>
      </c>
      <c r="FL23">
        <v>11.053921333021149</v>
      </c>
      <c r="FM23">
        <v>14238.85882352941</v>
      </c>
      <c r="FN23">
        <v>10</v>
      </c>
      <c r="FO23">
        <v>1785951067.5</v>
      </c>
      <c r="FP23" t="s">
        <v>702</v>
      </c>
      <c r="FQ23">
        <v>1785951067.5</v>
      </c>
      <c r="FR23">
        <v>1785951061.5</v>
      </c>
      <c r="FS23">
        <v>37</v>
      </c>
      <c r="FT23">
        <v>-9.9000000000000005E-2</v>
      </c>
      <c r="FU23">
        <v>-1E-3</v>
      </c>
      <c r="FV23">
        <v>-11.329000000000001</v>
      </c>
      <c r="FW23">
        <v>-0.628</v>
      </c>
      <c r="FX23">
        <v>458</v>
      </c>
      <c r="FY23">
        <v>18</v>
      </c>
      <c r="FZ23">
        <v>0.24</v>
      </c>
      <c r="GA23">
        <v>0.08</v>
      </c>
      <c r="GB23">
        <v>420.00049999999999</v>
      </c>
      <c r="GC23">
        <v>-0.32390656284656849</v>
      </c>
      <c r="GD23">
        <v>5.3766005368943541E-2</v>
      </c>
      <c r="GE23">
        <v>-1</v>
      </c>
      <c r="GF23">
        <v>905.04888235294118</v>
      </c>
      <c r="GG23">
        <v>1.639786095136138</v>
      </c>
      <c r="GH23">
        <v>0.27424621448467251</v>
      </c>
      <c r="GI23">
        <v>1</v>
      </c>
      <c r="GJ23">
        <v>2.6672425</v>
      </c>
      <c r="GK23">
        <v>-3.5842176360226553E-2</v>
      </c>
      <c r="GL23">
        <v>4.2573951836774619E-3</v>
      </c>
      <c r="GM23">
        <v>1</v>
      </c>
      <c r="GN23">
        <v>2</v>
      </c>
      <c r="GO23">
        <v>2</v>
      </c>
      <c r="GP23" t="s">
        <v>411</v>
      </c>
      <c r="GQ23">
        <v>3.1307399999999999</v>
      </c>
      <c r="GR23">
        <v>2.7250800000000002</v>
      </c>
      <c r="GS23">
        <v>9.3844399999999994E-2</v>
      </c>
      <c r="GT23">
        <v>9.8868399999999995E-2</v>
      </c>
      <c r="GU23">
        <v>0.106059</v>
      </c>
      <c r="GV23">
        <v>9.5003199999999996E-2</v>
      </c>
      <c r="GW23">
        <v>22909.9</v>
      </c>
      <c r="GX23">
        <v>30329.599999999999</v>
      </c>
      <c r="GY23">
        <v>27397.200000000001</v>
      </c>
      <c r="GZ23">
        <v>34568.400000000001</v>
      </c>
      <c r="HA23">
        <v>35828.699999999997</v>
      </c>
      <c r="HB23">
        <v>39376.199999999997</v>
      </c>
      <c r="HC23">
        <v>40436.1</v>
      </c>
      <c r="HD23">
        <v>43598.6</v>
      </c>
      <c r="HE23">
        <v>2.0308000000000002</v>
      </c>
      <c r="HF23">
        <v>1.9136</v>
      </c>
      <c r="HG23">
        <v>2.2202699999999999E-2</v>
      </c>
      <c r="HH23">
        <v>0</v>
      </c>
      <c r="HI23">
        <v>24.6206</v>
      </c>
      <c r="HJ23">
        <v>999.9</v>
      </c>
      <c r="HK23">
        <v>61</v>
      </c>
      <c r="HL23">
        <v>30.6</v>
      </c>
      <c r="HM23">
        <v>27.484000000000002</v>
      </c>
      <c r="HN23">
        <v>60.054000000000002</v>
      </c>
      <c r="HO23">
        <v>4.2147399999999999</v>
      </c>
      <c r="HP23">
        <v>1</v>
      </c>
      <c r="HQ23">
        <v>3.64634E-2</v>
      </c>
      <c r="HR23">
        <v>1.3704799999999999</v>
      </c>
      <c r="HS23">
        <v>20.238399999999999</v>
      </c>
      <c r="HT23">
        <v>5.2112999999999996</v>
      </c>
      <c r="HU23">
        <v>11.902100000000001</v>
      </c>
      <c r="HV23">
        <v>4.9855999999999998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1.86713</v>
      </c>
      <c r="IC23">
        <v>1.86273</v>
      </c>
      <c r="ID23">
        <v>1.8621799999999999</v>
      </c>
      <c r="IE23">
        <v>1.86172</v>
      </c>
      <c r="IF23">
        <v>1.86172</v>
      </c>
      <c r="IG23">
        <v>1.8623400000000001</v>
      </c>
      <c r="IH23">
        <v>1.8632500000000001</v>
      </c>
      <c r="II23">
        <v>1.86127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-11.189</v>
      </c>
      <c r="IX23">
        <v>-0.55430000000000001</v>
      </c>
      <c r="IY23">
        <v>-9.1816085597127159</v>
      </c>
      <c r="IZ23">
        <v>-5.6215304933332991E-3</v>
      </c>
      <c r="JA23">
        <v>2.3979931213773931E-6</v>
      </c>
      <c r="JB23">
        <v>-3.6297174575716598E-10</v>
      </c>
      <c r="JC23">
        <v>-0.88641705433404261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1.9</v>
      </c>
      <c r="JL23">
        <v>2</v>
      </c>
      <c r="JM23">
        <v>1.17798</v>
      </c>
      <c r="JN23">
        <v>2.49146</v>
      </c>
      <c r="JO23">
        <v>1.50024</v>
      </c>
      <c r="JP23">
        <v>2.2778299999999998</v>
      </c>
      <c r="JQ23">
        <v>1.4477500000000001</v>
      </c>
      <c r="JR23">
        <v>2.4865699999999999</v>
      </c>
      <c r="JS23">
        <v>36.316499999999998</v>
      </c>
      <c r="JT23">
        <v>24.096299999999999</v>
      </c>
      <c r="JU23">
        <v>18</v>
      </c>
      <c r="JV23">
        <v>533.17100000000005</v>
      </c>
      <c r="JW23">
        <v>474.83100000000002</v>
      </c>
      <c r="JX23">
        <v>23.075800000000001</v>
      </c>
      <c r="JY23">
        <v>27.721599999999999</v>
      </c>
      <c r="JZ23">
        <v>29.9998</v>
      </c>
      <c r="KA23">
        <v>27.713899999999999</v>
      </c>
      <c r="KB23">
        <v>27.721</v>
      </c>
      <c r="KC23">
        <v>23.551200000000001</v>
      </c>
      <c r="KD23">
        <v>37.870699999999999</v>
      </c>
      <c r="KE23">
        <v>0</v>
      </c>
      <c r="KF23">
        <v>23.074100000000001</v>
      </c>
      <c r="KG23">
        <v>457.58800000000002</v>
      </c>
      <c r="KH23">
        <v>18.532499999999999</v>
      </c>
      <c r="KI23">
        <v>101.08199999999999</v>
      </c>
      <c r="KJ23">
        <v>98.350700000000003</v>
      </c>
    </row>
    <row r="24" spans="1:296" x14ac:dyDescent="0.3">
      <c r="A24">
        <v>8</v>
      </c>
      <c r="B24">
        <v>1785951364</v>
      </c>
      <c r="C24">
        <v>2160.400000095367</v>
      </c>
      <c r="D24" t="s">
        <v>703</v>
      </c>
      <c r="E24" t="s">
        <v>704</v>
      </c>
      <c r="F24">
        <v>15</v>
      </c>
      <c r="H24">
        <v>1785951356</v>
      </c>
      <c r="I24">
        <f t="shared" si="0"/>
        <v>1.9174411657150237E-3</v>
      </c>
      <c r="J24">
        <f t="shared" si="1"/>
        <v>1.9174411657150237</v>
      </c>
      <c r="K24">
        <f t="shared" si="2"/>
        <v>27.923745340311804</v>
      </c>
      <c r="L24">
        <f t="shared" si="3"/>
        <v>420.02216129032252</v>
      </c>
      <c r="M24">
        <f t="shared" si="4"/>
        <v>150.46212987114444</v>
      </c>
      <c r="N24">
        <f t="shared" si="5"/>
        <v>14.731010158581519</v>
      </c>
      <c r="O24">
        <f t="shared" si="6"/>
        <v>41.122312505452001</v>
      </c>
      <c r="P24">
        <f t="shared" si="7"/>
        <v>0.17381350075740026</v>
      </c>
      <c r="Q24">
        <f t="shared" si="8"/>
        <v>2.8905820297026743</v>
      </c>
      <c r="R24">
        <f t="shared" si="9"/>
        <v>0.16820892393859591</v>
      </c>
      <c r="S24">
        <f t="shared" si="10"/>
        <v>0.10561907202099995</v>
      </c>
      <c r="T24">
        <f t="shared" si="11"/>
        <v>160.17571083751588</v>
      </c>
      <c r="U24">
        <f t="shared" si="12"/>
        <v>25.80680913314702</v>
      </c>
      <c r="V24">
        <f t="shared" si="13"/>
        <v>25.016603225806449</v>
      </c>
      <c r="W24">
        <f t="shared" si="14"/>
        <v>3.1828264166300366</v>
      </c>
      <c r="X24">
        <f t="shared" si="15"/>
        <v>64.567980317966118</v>
      </c>
      <c r="Y24">
        <f t="shared" si="16"/>
        <v>2.0968822043276072</v>
      </c>
      <c r="Z24">
        <f t="shared" si="17"/>
        <v>3.2475573713185311</v>
      </c>
      <c r="AA24">
        <f t="shared" si="18"/>
        <v>1.0859442123024294</v>
      </c>
      <c r="AB24">
        <f t="shared" si="19"/>
        <v>-84.559155408032552</v>
      </c>
      <c r="AC24">
        <f t="shared" si="20"/>
        <v>52.700071544414222</v>
      </c>
      <c r="AD24">
        <f t="shared" si="21"/>
        <v>3.8636488500424901</v>
      </c>
      <c r="AE24">
        <f t="shared" si="22"/>
        <v>132.18027582394004</v>
      </c>
      <c r="AF24">
        <f t="shared" si="23"/>
        <v>27.923745340311804</v>
      </c>
      <c r="AG24">
        <f t="shared" si="24"/>
        <v>1.9174411657150237</v>
      </c>
      <c r="AH24">
        <f t="shared" si="25"/>
        <v>27.923556659556862</v>
      </c>
      <c r="AI24">
        <v>463.32336192073637</v>
      </c>
      <c r="AJ24">
        <v>429.21521212121201</v>
      </c>
      <c r="AK24">
        <v>-1.064207049271557E-2</v>
      </c>
      <c r="AL24">
        <v>67.064642375632928</v>
      </c>
      <c r="AM24">
        <f t="shared" si="26"/>
        <v>1.9125458206765684</v>
      </c>
      <c r="AN24">
        <v>19.168958276160211</v>
      </c>
      <c r="AO24">
        <v>21.414855757575761</v>
      </c>
      <c r="AP24">
        <v>1.6498689649650481E-5</v>
      </c>
      <c r="AQ24">
        <v>78.147740632073138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51997.787985446485</v>
      </c>
      <c r="AW24" t="s">
        <v>676</v>
      </c>
      <c r="AX24">
        <v>13220</v>
      </c>
      <c r="AY24">
        <v>673.38823529411764</v>
      </c>
      <c r="AZ24">
        <v>2594.1</v>
      </c>
      <c r="BA24">
        <f t="shared" si="30"/>
        <v>0.74041546767891853</v>
      </c>
      <c r="BB24">
        <v>-2.7089864722863091</v>
      </c>
      <c r="BC24" t="s">
        <v>705</v>
      </c>
      <c r="BD24">
        <v>13224.3</v>
      </c>
      <c r="BE24">
        <v>916.14694117647059</v>
      </c>
      <c r="BF24">
        <v>1314.82</v>
      </c>
      <c r="BG24">
        <f t="shared" si="31"/>
        <v>0.30321493346886219</v>
      </c>
      <c r="BH24">
        <v>0.5</v>
      </c>
      <c r="BI24">
        <f t="shared" si="32"/>
        <v>840.2991752225139</v>
      </c>
      <c r="BJ24">
        <f t="shared" si="33"/>
        <v>27.923745340311804</v>
      </c>
      <c r="BK24">
        <f t="shared" si="34"/>
        <v>127.39562925451716</v>
      </c>
      <c r="BL24">
        <f t="shared" si="35"/>
        <v>3.6454554182427309E-2</v>
      </c>
      <c r="BM24">
        <f t="shared" si="36"/>
        <v>0.97296968406321782</v>
      </c>
      <c r="BN24">
        <f t="shared" si="37"/>
        <v>537.60618153404937</v>
      </c>
      <c r="BO24" t="s">
        <v>408</v>
      </c>
      <c r="BP24">
        <v>0</v>
      </c>
      <c r="BQ24">
        <f t="shared" si="38"/>
        <v>537.60618153404937</v>
      </c>
      <c r="BR24">
        <f t="shared" si="39"/>
        <v>0.59111803780437677</v>
      </c>
      <c r="BS24">
        <f t="shared" si="40"/>
        <v>0.5129515834013636</v>
      </c>
      <c r="BT24">
        <f t="shared" si="41"/>
        <v>0.62206848788599023</v>
      </c>
      <c r="BU24">
        <f t="shared" si="42"/>
        <v>0.62153619567988516</v>
      </c>
      <c r="BV24">
        <f t="shared" si="43"/>
        <v>0.66604475669252516</v>
      </c>
      <c r="BW24">
        <f t="shared" si="44"/>
        <v>0.30100623564831919</v>
      </c>
      <c r="BX24">
        <f t="shared" si="45"/>
        <v>0.69899376435168081</v>
      </c>
      <c r="DG24">
        <f t="shared" si="46"/>
        <v>1000.001161290323</v>
      </c>
      <c r="DH24">
        <f t="shared" si="47"/>
        <v>840.2991752225139</v>
      </c>
      <c r="DI24">
        <f t="shared" si="48"/>
        <v>0.84029819939234651</v>
      </c>
      <c r="DJ24">
        <f t="shared" si="49"/>
        <v>0.16017552482722891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1785951356</v>
      </c>
      <c r="DQ24">
        <v>420.02216129032252</v>
      </c>
      <c r="DR24">
        <v>454.49851612903223</v>
      </c>
      <c r="DS24">
        <v>21.417496774193548</v>
      </c>
      <c r="DT24">
        <v>19.16575483870967</v>
      </c>
      <c r="DU24">
        <v>431.12793548387111</v>
      </c>
      <c r="DV24">
        <v>21.965951612903229</v>
      </c>
      <c r="DW24">
        <v>499.97941935483868</v>
      </c>
      <c r="DX24">
        <v>97.855174193548407</v>
      </c>
      <c r="DY24">
        <v>4.9927716129032247E-2</v>
      </c>
      <c r="DZ24">
        <v>25.35477741935485</v>
      </c>
      <c r="EA24">
        <v>25.016603225806449</v>
      </c>
      <c r="EB24">
        <v>999.90000000000032</v>
      </c>
      <c r="EC24">
        <v>0</v>
      </c>
      <c r="ED24">
        <v>0</v>
      </c>
      <c r="EE24">
        <v>9993.8709677419356</v>
      </c>
      <c r="EF24">
        <v>0</v>
      </c>
      <c r="EG24">
        <v>82.663680645161293</v>
      </c>
      <c r="EH24">
        <v>-34.476387096774197</v>
      </c>
      <c r="EI24">
        <v>429.21477419354841</v>
      </c>
      <c r="EJ24">
        <v>463.37958064516141</v>
      </c>
      <c r="EK24">
        <v>2.25173064516129</v>
      </c>
      <c r="EL24">
        <v>454.49851612903223</v>
      </c>
      <c r="EM24">
        <v>19.16575483870967</v>
      </c>
      <c r="EN24">
        <v>2.0958116129032258</v>
      </c>
      <c r="EO24">
        <v>1.875468387096775</v>
      </c>
      <c r="EP24">
        <v>18.187393548387099</v>
      </c>
      <c r="EQ24">
        <v>16.4304064516129</v>
      </c>
      <c r="ER24">
        <v>1000.001161290323</v>
      </c>
      <c r="ES24">
        <v>0.99000990322580673</v>
      </c>
      <c r="ET24">
        <v>9.9895893548387089E-3</v>
      </c>
      <c r="EU24">
        <v>0</v>
      </c>
      <c r="EV24">
        <v>916.08883870967736</v>
      </c>
      <c r="EW24">
        <v>5.0010700000000003</v>
      </c>
      <c r="EX24">
        <v>10361.33870967742</v>
      </c>
      <c r="EY24">
        <v>9080.3274193548405</v>
      </c>
      <c r="EZ24">
        <v>37.529967741935486</v>
      </c>
      <c r="FA24">
        <v>40.68322580645161</v>
      </c>
      <c r="FB24">
        <v>38.894903225806452</v>
      </c>
      <c r="FC24">
        <v>41.247741935483873</v>
      </c>
      <c r="FD24">
        <v>39.771903225806447</v>
      </c>
      <c r="FE24">
        <v>985.06096774193554</v>
      </c>
      <c r="FF24">
        <v>9.94</v>
      </c>
      <c r="FG24">
        <v>0</v>
      </c>
      <c r="FH24">
        <v>180.70000004768369</v>
      </c>
      <c r="FI24">
        <v>0</v>
      </c>
      <c r="FJ24">
        <v>916.14694117647059</v>
      </c>
      <c r="FK24">
        <v>-0.51764704453740573</v>
      </c>
      <c r="FL24">
        <v>-24.730392246657821</v>
      </c>
      <c r="FM24">
        <v>10360.170588235291</v>
      </c>
      <c r="FN24">
        <v>10</v>
      </c>
      <c r="FO24">
        <v>1785951263.5</v>
      </c>
      <c r="FP24" t="s">
        <v>706</v>
      </c>
      <c r="FQ24">
        <v>1785951256</v>
      </c>
      <c r="FR24">
        <v>1785951263.5</v>
      </c>
      <c r="FS24">
        <v>38</v>
      </c>
      <c r="FT24">
        <v>8.3000000000000004E-2</v>
      </c>
      <c r="FU24">
        <v>1E-3</v>
      </c>
      <c r="FV24">
        <v>-11.234</v>
      </c>
      <c r="FW24">
        <v>-0.61599999999999999</v>
      </c>
      <c r="FX24">
        <v>455</v>
      </c>
      <c r="FY24">
        <v>19</v>
      </c>
      <c r="FZ24">
        <v>0.22</v>
      </c>
      <c r="GA24">
        <v>0.12</v>
      </c>
      <c r="GB24">
        <v>420.0210967741935</v>
      </c>
      <c r="GC24">
        <v>0.28853225806369631</v>
      </c>
      <c r="GD24">
        <v>5.5605960946827918E-2</v>
      </c>
      <c r="GE24">
        <v>-1</v>
      </c>
      <c r="GF24">
        <v>916.02061764705877</v>
      </c>
      <c r="GG24">
        <v>1.474087090750281</v>
      </c>
      <c r="GH24">
        <v>0.23200114283515691</v>
      </c>
      <c r="GI24">
        <v>1</v>
      </c>
      <c r="GJ24">
        <v>2.2556534146341458</v>
      </c>
      <c r="GK24">
        <v>-5.8561463414631483E-2</v>
      </c>
      <c r="GL24">
        <v>6.4217377063799453E-3</v>
      </c>
      <c r="GM24">
        <v>1</v>
      </c>
      <c r="GN24">
        <v>2</v>
      </c>
      <c r="GO24">
        <v>2</v>
      </c>
      <c r="GP24" t="s">
        <v>411</v>
      </c>
      <c r="GQ24">
        <v>3.1312000000000002</v>
      </c>
      <c r="GR24">
        <v>2.7263999999999999</v>
      </c>
      <c r="GS24">
        <v>9.3843800000000005E-2</v>
      </c>
      <c r="GT24">
        <v>9.8336199999999999E-2</v>
      </c>
      <c r="GU24">
        <v>0.106709</v>
      </c>
      <c r="GV24">
        <v>9.7240499999999994E-2</v>
      </c>
      <c r="GW24">
        <v>22913.200000000001</v>
      </c>
      <c r="GX24">
        <v>30353.3</v>
      </c>
      <c r="GY24">
        <v>27400.400000000001</v>
      </c>
      <c r="GZ24">
        <v>34574.1</v>
      </c>
      <c r="HA24">
        <v>35806.400000000001</v>
      </c>
      <c r="HB24">
        <v>39283.300000000003</v>
      </c>
      <c r="HC24">
        <v>40441.5</v>
      </c>
      <c r="HD24">
        <v>43604.4</v>
      </c>
      <c r="HE24">
        <v>2.0322</v>
      </c>
      <c r="HF24">
        <v>1.9152</v>
      </c>
      <c r="HG24">
        <v>2.7239300000000001E-2</v>
      </c>
      <c r="HH24">
        <v>0</v>
      </c>
      <c r="HI24">
        <v>24.5581</v>
      </c>
      <c r="HJ24">
        <v>999.9</v>
      </c>
      <c r="HK24">
        <v>60.7</v>
      </c>
      <c r="HL24">
        <v>30.7</v>
      </c>
      <c r="HM24">
        <v>27.509799999999998</v>
      </c>
      <c r="HN24">
        <v>60.033999999999999</v>
      </c>
      <c r="HO24">
        <v>4.2468000000000004</v>
      </c>
      <c r="HP24">
        <v>1</v>
      </c>
      <c r="HQ24">
        <v>2.78049E-2</v>
      </c>
      <c r="HR24">
        <v>1.26397</v>
      </c>
      <c r="HS24">
        <v>20.244800000000001</v>
      </c>
      <c r="HT24">
        <v>5.2112999999999996</v>
      </c>
      <c r="HU24">
        <v>11.902100000000001</v>
      </c>
      <c r="HV24">
        <v>4.9863999999999997</v>
      </c>
      <c r="HW24">
        <v>3.2706</v>
      </c>
      <c r="HX24">
        <v>9999</v>
      </c>
      <c r="HY24">
        <v>9999</v>
      </c>
      <c r="HZ24">
        <v>9999</v>
      </c>
      <c r="IA24">
        <v>999.9</v>
      </c>
      <c r="IB24">
        <v>1.86707</v>
      </c>
      <c r="IC24">
        <v>1.8626400000000001</v>
      </c>
      <c r="ID24">
        <v>1.8621799999999999</v>
      </c>
      <c r="IE24">
        <v>1.8616900000000001</v>
      </c>
      <c r="IF24">
        <v>1.86172</v>
      </c>
      <c r="IG24">
        <v>1.8623400000000001</v>
      </c>
      <c r="IH24">
        <v>1.8632500000000001</v>
      </c>
      <c r="II24">
        <v>1.86127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-11.106</v>
      </c>
      <c r="IX24">
        <v>-0.54849999999999999</v>
      </c>
      <c r="IY24">
        <v>-9.098740328102366</v>
      </c>
      <c r="IZ24">
        <v>-5.6215304933332991E-3</v>
      </c>
      <c r="JA24">
        <v>2.3979931213773931E-6</v>
      </c>
      <c r="JB24">
        <v>-3.6297174575716598E-10</v>
      </c>
      <c r="JC24">
        <v>-0.88557786536281302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1.8</v>
      </c>
      <c r="JL24">
        <v>1.7</v>
      </c>
      <c r="JM24">
        <v>1.17188</v>
      </c>
      <c r="JN24">
        <v>2.4939</v>
      </c>
      <c r="JO24">
        <v>1.50024</v>
      </c>
      <c r="JP24">
        <v>2.2766099999999998</v>
      </c>
      <c r="JQ24">
        <v>1.4477500000000001</v>
      </c>
      <c r="JR24">
        <v>2.3535200000000001</v>
      </c>
      <c r="JS24">
        <v>36.2224</v>
      </c>
      <c r="JT24">
        <v>24.087499999999999</v>
      </c>
      <c r="JU24">
        <v>18</v>
      </c>
      <c r="JV24">
        <v>533.36500000000001</v>
      </c>
      <c r="JW24">
        <v>475.27600000000001</v>
      </c>
      <c r="JX24">
        <v>23.462</v>
      </c>
      <c r="JY24">
        <v>27.594799999999999</v>
      </c>
      <c r="JZ24">
        <v>30.0002</v>
      </c>
      <c r="KA24">
        <v>27.636700000000001</v>
      </c>
      <c r="KB24">
        <v>27.651</v>
      </c>
      <c r="KC24">
        <v>23.429099999999998</v>
      </c>
      <c r="KD24">
        <v>36.504899999999999</v>
      </c>
      <c r="KE24">
        <v>0</v>
      </c>
      <c r="KF24">
        <v>23.464700000000001</v>
      </c>
      <c r="KG24">
        <v>454.38600000000002</v>
      </c>
      <c r="KH24">
        <v>19.2333</v>
      </c>
      <c r="KI24">
        <v>101.095</v>
      </c>
      <c r="KJ24">
        <v>98.365200000000002</v>
      </c>
    </row>
    <row r="25" spans="1:296" x14ac:dyDescent="0.3">
      <c r="A25">
        <v>9</v>
      </c>
      <c r="B25">
        <v>1785951545.5999999</v>
      </c>
      <c r="C25">
        <v>2342</v>
      </c>
      <c r="D25" t="s">
        <v>707</v>
      </c>
      <c r="E25" t="s">
        <v>708</v>
      </c>
      <c r="F25">
        <v>15</v>
      </c>
      <c r="H25">
        <v>1785951537.849999</v>
      </c>
      <c r="I25">
        <f t="shared" si="0"/>
        <v>1.7404276318530639E-3</v>
      </c>
      <c r="J25">
        <f t="shared" si="1"/>
        <v>1.7404276318530638</v>
      </c>
      <c r="K25">
        <f t="shared" si="2"/>
        <v>25.716803665652535</v>
      </c>
      <c r="L25">
        <f t="shared" si="3"/>
        <v>419.98773333333332</v>
      </c>
      <c r="M25">
        <f t="shared" si="4"/>
        <v>150.94691759981333</v>
      </c>
      <c r="N25">
        <f t="shared" si="5"/>
        <v>14.779574275412578</v>
      </c>
      <c r="O25">
        <f t="shared" si="6"/>
        <v>41.122004995283504</v>
      </c>
      <c r="P25">
        <f t="shared" si="7"/>
        <v>0.15998835113599996</v>
      </c>
      <c r="Q25">
        <f t="shared" si="8"/>
        <v>2.8917016254261219</v>
      </c>
      <c r="R25">
        <f t="shared" si="9"/>
        <v>0.15522853264073683</v>
      </c>
      <c r="S25">
        <f t="shared" si="10"/>
        <v>9.7433687953317388E-2</v>
      </c>
      <c r="T25">
        <f t="shared" si="11"/>
        <v>128.27679419518219</v>
      </c>
      <c r="U25">
        <f t="shared" si="12"/>
        <v>25.714028683406024</v>
      </c>
      <c r="V25">
        <f t="shared" si="13"/>
        <v>25.008890000000001</v>
      </c>
      <c r="W25">
        <f t="shared" si="14"/>
        <v>3.1813632530544873</v>
      </c>
      <c r="X25">
        <f t="shared" si="15"/>
        <v>64.87351225226017</v>
      </c>
      <c r="Y25">
        <f t="shared" si="16"/>
        <v>2.1132477984438842</v>
      </c>
      <c r="Z25">
        <f t="shared" si="17"/>
        <v>3.2574894206845717</v>
      </c>
      <c r="AA25">
        <f t="shared" si="18"/>
        <v>1.0681154546106031</v>
      </c>
      <c r="AB25">
        <f t="shared" si="19"/>
        <v>-76.752858564720114</v>
      </c>
      <c r="AC25">
        <f t="shared" si="20"/>
        <v>61.930768970466104</v>
      </c>
      <c r="AD25">
        <f t="shared" si="21"/>
        <v>4.5396268115510292</v>
      </c>
      <c r="AE25">
        <f t="shared" si="22"/>
        <v>117.9943314124792</v>
      </c>
      <c r="AF25">
        <f t="shared" si="23"/>
        <v>25.716803665652535</v>
      </c>
      <c r="AG25">
        <f t="shared" si="24"/>
        <v>1.7404276318530638</v>
      </c>
      <c r="AH25">
        <f t="shared" si="25"/>
        <v>25.953742422003721</v>
      </c>
      <c r="AI25">
        <v>460.85929918766948</v>
      </c>
      <c r="AJ25">
        <v>429.21174545454528</v>
      </c>
      <c r="AK25">
        <v>-2.170640373770354E-2</v>
      </c>
      <c r="AL25">
        <v>67.061714029811554</v>
      </c>
      <c r="AM25">
        <f t="shared" si="26"/>
        <v>1.7345887592183826</v>
      </c>
      <c r="AN25">
        <v>19.543157636647091</v>
      </c>
      <c r="AO25">
        <v>21.57901151515151</v>
      </c>
      <c r="AP25">
        <v>8.9776952205797151E-5</v>
      </c>
      <c r="AQ25">
        <v>78.130923280900745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52021.076280319605</v>
      </c>
      <c r="AW25" t="s">
        <v>676</v>
      </c>
      <c r="AX25">
        <v>13220</v>
      </c>
      <c r="AY25">
        <v>673.38823529411764</v>
      </c>
      <c r="AZ25">
        <v>2594.1</v>
      </c>
      <c r="BA25">
        <f t="shared" si="30"/>
        <v>0.74041546767891853</v>
      </c>
      <c r="BB25">
        <v>-2.7089864722863091</v>
      </c>
      <c r="BC25" t="s">
        <v>709</v>
      </c>
      <c r="BD25">
        <v>13235.5</v>
      </c>
      <c r="BE25">
        <v>945.80011764705887</v>
      </c>
      <c r="BF25">
        <v>1446.53</v>
      </c>
      <c r="BG25">
        <f t="shared" si="31"/>
        <v>0.34615934847734997</v>
      </c>
      <c r="BH25">
        <v>0.5</v>
      </c>
      <c r="BI25">
        <f t="shared" si="32"/>
        <v>672.30848772807371</v>
      </c>
      <c r="BJ25">
        <f t="shared" si="33"/>
        <v>25.716803665652535</v>
      </c>
      <c r="BK25">
        <f t="shared" si="34"/>
        <v>116.36293404387122</v>
      </c>
      <c r="BL25">
        <f t="shared" si="35"/>
        <v>4.2280873522804796E-2</v>
      </c>
      <c r="BM25">
        <f t="shared" si="36"/>
        <v>0.79332609762673434</v>
      </c>
      <c r="BN25">
        <f t="shared" si="37"/>
        <v>558.39504826742143</v>
      </c>
      <c r="BO25" t="s">
        <v>408</v>
      </c>
      <c r="BP25">
        <v>0</v>
      </c>
      <c r="BQ25">
        <f t="shared" si="38"/>
        <v>558.39504826742143</v>
      </c>
      <c r="BR25">
        <f t="shared" si="39"/>
        <v>0.61397617175763974</v>
      </c>
      <c r="BS25">
        <f t="shared" si="40"/>
        <v>0.56379932056059101</v>
      </c>
      <c r="BT25">
        <f t="shared" si="41"/>
        <v>0.56372118121700721</v>
      </c>
      <c r="BU25">
        <f t="shared" si="42"/>
        <v>0.64765597360197991</v>
      </c>
      <c r="BV25">
        <f t="shared" si="43"/>
        <v>0.59747121930901848</v>
      </c>
      <c r="BW25">
        <f t="shared" si="44"/>
        <v>0.33286393493033167</v>
      </c>
      <c r="BX25">
        <f t="shared" si="45"/>
        <v>0.66713606506966827</v>
      </c>
      <c r="DG25">
        <f t="shared" si="46"/>
        <v>799.99903333333339</v>
      </c>
      <c r="DH25">
        <f t="shared" si="47"/>
        <v>672.30848772807371</v>
      </c>
      <c r="DI25">
        <f t="shared" si="48"/>
        <v>0.84038662512726414</v>
      </c>
      <c r="DJ25">
        <f t="shared" si="49"/>
        <v>0.16034618649561974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1785951537.849999</v>
      </c>
      <c r="DQ25">
        <v>419.98773333333332</v>
      </c>
      <c r="DR25">
        <v>451.72219999999999</v>
      </c>
      <c r="DS25">
        <v>21.583046666666672</v>
      </c>
      <c r="DT25">
        <v>19.539793333333328</v>
      </c>
      <c r="DU25">
        <v>431.13260000000002</v>
      </c>
      <c r="DV25">
        <v>22.130306666666669</v>
      </c>
      <c r="DW25">
        <v>500.04486666666668</v>
      </c>
      <c r="DX25">
        <v>97.862983333333332</v>
      </c>
      <c r="DY25">
        <v>4.9412033333333341E-2</v>
      </c>
      <c r="DZ25">
        <v>25.406143333333329</v>
      </c>
      <c r="EA25">
        <v>25.008890000000001</v>
      </c>
      <c r="EB25">
        <v>999.9000000000002</v>
      </c>
      <c r="EC25">
        <v>0</v>
      </c>
      <c r="ED25">
        <v>0</v>
      </c>
      <c r="EE25">
        <v>9999.5</v>
      </c>
      <c r="EF25">
        <v>0</v>
      </c>
      <c r="EG25">
        <v>72.355906666666684</v>
      </c>
      <c r="EH25">
        <v>-31.73454666666667</v>
      </c>
      <c r="EI25">
        <v>429.25236666666677</v>
      </c>
      <c r="EJ25">
        <v>460.72476666666682</v>
      </c>
      <c r="EK25">
        <v>2.043264666666667</v>
      </c>
      <c r="EL25">
        <v>451.72219999999999</v>
      </c>
      <c r="EM25">
        <v>19.539793333333328</v>
      </c>
      <c r="EN25">
        <v>2.112181333333333</v>
      </c>
      <c r="EO25">
        <v>1.9122220000000001</v>
      </c>
      <c r="EP25">
        <v>18.311353333333329</v>
      </c>
      <c r="EQ25">
        <v>16.73565</v>
      </c>
      <c r="ER25">
        <v>799.99903333333339</v>
      </c>
      <c r="ES25">
        <v>0.98703216666666649</v>
      </c>
      <c r="ET25">
        <v>1.296803E-2</v>
      </c>
      <c r="EU25">
        <v>0</v>
      </c>
      <c r="EV25">
        <v>945.55540000000008</v>
      </c>
      <c r="EW25">
        <v>5.0010700000000003</v>
      </c>
      <c r="EX25">
        <v>8641.5676666666677</v>
      </c>
      <c r="EY25">
        <v>7246.7016666666668</v>
      </c>
      <c r="EZ25">
        <v>36.458099999999988</v>
      </c>
      <c r="FA25">
        <v>38.837299999999999</v>
      </c>
      <c r="FB25">
        <v>37.999699999999983</v>
      </c>
      <c r="FC25">
        <v>38.549833333333332</v>
      </c>
      <c r="FD25">
        <v>38.345566666666649</v>
      </c>
      <c r="FE25">
        <v>784.68866666666668</v>
      </c>
      <c r="FF25">
        <v>10.31</v>
      </c>
      <c r="FG25">
        <v>0</v>
      </c>
      <c r="FH25">
        <v>180.9000000953674</v>
      </c>
      <c r="FI25">
        <v>0</v>
      </c>
      <c r="FJ25">
        <v>945.80011764705887</v>
      </c>
      <c r="FK25">
        <v>3.1757353463455451</v>
      </c>
      <c r="FL25">
        <v>70.144607864043692</v>
      </c>
      <c r="FM25">
        <v>8644.6</v>
      </c>
      <c r="FN25">
        <v>10</v>
      </c>
      <c r="FO25">
        <v>1785951451.5</v>
      </c>
      <c r="FP25" t="s">
        <v>710</v>
      </c>
      <c r="FQ25">
        <v>1785951451.5</v>
      </c>
      <c r="FR25">
        <v>1785951448.5</v>
      </c>
      <c r="FS25">
        <v>39</v>
      </c>
      <c r="FT25">
        <v>-3.9E-2</v>
      </c>
      <c r="FU25">
        <v>-3.0000000000000001E-3</v>
      </c>
      <c r="FV25">
        <v>-11.263999999999999</v>
      </c>
      <c r="FW25">
        <v>-0.60099999999999998</v>
      </c>
      <c r="FX25">
        <v>452</v>
      </c>
      <c r="FY25">
        <v>19</v>
      </c>
      <c r="FZ25">
        <v>0.25</v>
      </c>
      <c r="GA25">
        <v>0.12</v>
      </c>
      <c r="GB25">
        <v>419.98773333333332</v>
      </c>
      <c r="GC25">
        <v>-0.1211479421589471</v>
      </c>
      <c r="GD25">
        <v>6.1862176561196712E-2</v>
      </c>
      <c r="GE25">
        <v>-1</v>
      </c>
      <c r="GF25">
        <v>945.2645</v>
      </c>
      <c r="GG25">
        <v>5.5858365149612794</v>
      </c>
      <c r="GH25">
        <v>0.59368783885136256</v>
      </c>
      <c r="GI25">
        <v>1</v>
      </c>
      <c r="GJ25">
        <v>2.0472062499999999</v>
      </c>
      <c r="GK25">
        <v>-8.3720712945589817E-2</v>
      </c>
      <c r="GL25">
        <v>8.8826149549274119E-3</v>
      </c>
      <c r="GM25">
        <v>1</v>
      </c>
      <c r="GN25">
        <v>2</v>
      </c>
      <c r="GO25">
        <v>2</v>
      </c>
      <c r="GP25" t="s">
        <v>411</v>
      </c>
      <c r="GQ25">
        <v>3.13096</v>
      </c>
      <c r="GR25">
        <v>2.72594</v>
      </c>
      <c r="GS25">
        <v>9.3848299999999996E-2</v>
      </c>
      <c r="GT25">
        <v>9.7942399999999999E-2</v>
      </c>
      <c r="GU25">
        <v>0.10730199999999999</v>
      </c>
      <c r="GV25">
        <v>9.8601499999999995E-2</v>
      </c>
      <c r="GW25">
        <v>22913.7</v>
      </c>
      <c r="GX25">
        <v>30368.1</v>
      </c>
      <c r="GY25">
        <v>27400.9</v>
      </c>
      <c r="GZ25">
        <v>34575.4</v>
      </c>
      <c r="HA25">
        <v>35782.400000000001</v>
      </c>
      <c r="HB25">
        <v>39224.400000000001</v>
      </c>
      <c r="HC25">
        <v>40441.800000000003</v>
      </c>
      <c r="HD25">
        <v>43605.4</v>
      </c>
      <c r="HE25">
        <v>2.0322</v>
      </c>
      <c r="HF25">
        <v>1.9161999999999999</v>
      </c>
      <c r="HG25">
        <v>2.77162E-2</v>
      </c>
      <c r="HH25">
        <v>0</v>
      </c>
      <c r="HI25">
        <v>24.531300000000002</v>
      </c>
      <c r="HJ25">
        <v>999.9</v>
      </c>
      <c r="HK25">
        <v>60.6</v>
      </c>
      <c r="HL25">
        <v>30.9</v>
      </c>
      <c r="HM25">
        <v>27.779</v>
      </c>
      <c r="HN25">
        <v>60.190399999999997</v>
      </c>
      <c r="HO25">
        <v>3.9382999999999999</v>
      </c>
      <c r="HP25">
        <v>1</v>
      </c>
      <c r="HQ25">
        <v>2.3841500000000002E-2</v>
      </c>
      <c r="HR25">
        <v>1.1218300000000001</v>
      </c>
      <c r="HS25">
        <v>20.246099999999998</v>
      </c>
      <c r="HT25">
        <v>5.2125000000000004</v>
      </c>
      <c r="HU25">
        <v>11.902100000000001</v>
      </c>
      <c r="HV25">
        <v>4.9867999999999997</v>
      </c>
      <c r="HW25">
        <v>3.2702</v>
      </c>
      <c r="HX25">
        <v>9999</v>
      </c>
      <c r="HY25">
        <v>9999</v>
      </c>
      <c r="HZ25">
        <v>9999</v>
      </c>
      <c r="IA25">
        <v>999.9</v>
      </c>
      <c r="IB25">
        <v>1.86707</v>
      </c>
      <c r="IC25">
        <v>1.86267</v>
      </c>
      <c r="ID25">
        <v>1.8621799999999999</v>
      </c>
      <c r="IE25">
        <v>1.86172</v>
      </c>
      <c r="IF25">
        <v>1.86172</v>
      </c>
      <c r="IG25">
        <v>1.8623700000000001</v>
      </c>
      <c r="IH25">
        <v>1.8632500000000001</v>
      </c>
      <c r="II25">
        <v>1.86127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-11.145</v>
      </c>
      <c r="IX25">
        <v>-0.54730000000000001</v>
      </c>
      <c r="IY25">
        <v>-9.1378560179313695</v>
      </c>
      <c r="IZ25">
        <v>-5.6215304933332991E-3</v>
      </c>
      <c r="JA25">
        <v>2.3979931213773931E-6</v>
      </c>
      <c r="JB25">
        <v>-3.6297174575716598E-10</v>
      </c>
      <c r="JC25">
        <v>-0.88873069139084571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1.6</v>
      </c>
      <c r="JL25">
        <v>1.6</v>
      </c>
      <c r="JM25">
        <v>1.16699</v>
      </c>
      <c r="JN25">
        <v>2.4902299999999999</v>
      </c>
      <c r="JO25">
        <v>1.50024</v>
      </c>
      <c r="JP25">
        <v>2.2766099999999998</v>
      </c>
      <c r="JQ25">
        <v>1.4477500000000001</v>
      </c>
      <c r="JR25">
        <v>2.4694799999999999</v>
      </c>
      <c r="JS25">
        <v>36.104999999999997</v>
      </c>
      <c r="JT25">
        <v>24.096299999999999</v>
      </c>
      <c r="JU25">
        <v>18</v>
      </c>
      <c r="JV25">
        <v>532.87900000000002</v>
      </c>
      <c r="JW25">
        <v>475.49</v>
      </c>
      <c r="JX25">
        <v>23.624600000000001</v>
      </c>
      <c r="JY25">
        <v>27.536300000000001</v>
      </c>
      <c r="JZ25">
        <v>30</v>
      </c>
      <c r="KA25">
        <v>27.582899999999999</v>
      </c>
      <c r="KB25">
        <v>27.599900000000002</v>
      </c>
      <c r="KC25">
        <v>23.334900000000001</v>
      </c>
      <c r="KD25">
        <v>35.881300000000003</v>
      </c>
      <c r="KE25">
        <v>0</v>
      </c>
      <c r="KF25">
        <v>23.628900000000002</v>
      </c>
      <c r="KG25">
        <v>451.79599999999999</v>
      </c>
      <c r="KH25">
        <v>19.578399999999998</v>
      </c>
      <c r="KI25">
        <v>101.096</v>
      </c>
      <c r="KJ25">
        <v>98.368099999999998</v>
      </c>
    </row>
    <row r="26" spans="1:296" x14ac:dyDescent="0.3">
      <c r="A26">
        <v>10</v>
      </c>
      <c r="B26">
        <v>1785951727.0999999</v>
      </c>
      <c r="C26">
        <v>2523.5</v>
      </c>
      <c r="D26" t="s">
        <v>711</v>
      </c>
      <c r="E26" t="s">
        <v>712</v>
      </c>
      <c r="F26">
        <v>15</v>
      </c>
      <c r="H26">
        <v>1785951719.099999</v>
      </c>
      <c r="I26">
        <f t="shared" si="0"/>
        <v>1.582127569278709E-3</v>
      </c>
      <c r="J26">
        <f t="shared" si="1"/>
        <v>1.5821275692787091</v>
      </c>
      <c r="K26">
        <f t="shared" si="2"/>
        <v>22.147238727968652</v>
      </c>
      <c r="L26">
        <f t="shared" si="3"/>
        <v>420.00106451612908</v>
      </c>
      <c r="M26">
        <f t="shared" si="4"/>
        <v>165.86596884553046</v>
      </c>
      <c r="N26">
        <f t="shared" si="5"/>
        <v>16.238902953596515</v>
      </c>
      <c r="O26">
        <f t="shared" si="6"/>
        <v>41.119685819557048</v>
      </c>
      <c r="P26">
        <f t="shared" si="7"/>
        <v>0.14576015919624905</v>
      </c>
      <c r="Q26">
        <f t="shared" si="8"/>
        <v>2.8922579071442884</v>
      </c>
      <c r="R26">
        <f t="shared" si="9"/>
        <v>0.14179875425332014</v>
      </c>
      <c r="S26">
        <f t="shared" si="10"/>
        <v>8.897117047533798E-2</v>
      </c>
      <c r="T26">
        <f t="shared" si="11"/>
        <v>96.347256142071785</v>
      </c>
      <c r="U26">
        <f t="shared" si="12"/>
        <v>25.512522787533214</v>
      </c>
      <c r="V26">
        <f t="shared" si="13"/>
        <v>24.991612903225811</v>
      </c>
      <c r="W26">
        <f t="shared" si="14"/>
        <v>3.1780879996681541</v>
      </c>
      <c r="X26">
        <f t="shared" si="15"/>
        <v>65.137628008501196</v>
      </c>
      <c r="Y26">
        <f t="shared" si="16"/>
        <v>2.1152515988265543</v>
      </c>
      <c r="Z26">
        <f t="shared" si="17"/>
        <v>3.2473574238080793</v>
      </c>
      <c r="AA26">
        <f t="shared" si="18"/>
        <v>1.0628364008415998</v>
      </c>
      <c r="AB26">
        <f t="shared" si="19"/>
        <v>-69.771825805191071</v>
      </c>
      <c r="AC26">
        <f t="shared" si="20"/>
        <v>56.465841466551758</v>
      </c>
      <c r="AD26">
        <f t="shared" si="21"/>
        <v>4.1367920536501233</v>
      </c>
      <c r="AE26">
        <f t="shared" si="22"/>
        <v>87.178063857082606</v>
      </c>
      <c r="AF26">
        <f t="shared" si="23"/>
        <v>22.147238727968652</v>
      </c>
      <c r="AG26">
        <f t="shared" si="24"/>
        <v>1.5821275692787091</v>
      </c>
      <c r="AH26">
        <f t="shared" si="25"/>
        <v>22.036243769237121</v>
      </c>
      <c r="AI26">
        <v>456.34994514976569</v>
      </c>
      <c r="AJ26">
        <v>429.32543030303032</v>
      </c>
      <c r="AK26">
        <v>9.2441909749083201E-3</v>
      </c>
      <c r="AL26">
        <v>67.061985370467241</v>
      </c>
      <c r="AM26">
        <f t="shared" si="26"/>
        <v>1.5791537626428636</v>
      </c>
      <c r="AN26">
        <v>19.75090332010711</v>
      </c>
      <c r="AO26">
        <v>21.604849696969701</v>
      </c>
      <c r="AP26">
        <v>9.2275949775253606E-6</v>
      </c>
      <c r="AQ26">
        <v>78.131507568868699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52045.970866016476</v>
      </c>
      <c r="AW26" t="s">
        <v>676</v>
      </c>
      <c r="AX26">
        <v>13220</v>
      </c>
      <c r="AY26">
        <v>673.38823529411764</v>
      </c>
      <c r="AZ26">
        <v>2594.1</v>
      </c>
      <c r="BA26">
        <f t="shared" si="30"/>
        <v>0.74041546767891853</v>
      </c>
      <c r="BB26">
        <v>-2.7089864722863091</v>
      </c>
      <c r="BC26" t="s">
        <v>713</v>
      </c>
      <c r="BD26">
        <v>13252.7</v>
      </c>
      <c r="BE26">
        <v>987.41070588235289</v>
      </c>
      <c r="BF26">
        <v>1618.71</v>
      </c>
      <c r="BG26">
        <f t="shared" si="31"/>
        <v>0.39000147902814408</v>
      </c>
      <c r="BH26">
        <v>0.5</v>
      </c>
      <c r="BI26">
        <f t="shared" si="32"/>
        <v>504.3077467425075</v>
      </c>
      <c r="BJ26">
        <f t="shared" si="33"/>
        <v>22.147238727968652</v>
      </c>
      <c r="BK26">
        <f t="shared" si="34"/>
        <v>98.340383557464321</v>
      </c>
      <c r="BL26">
        <f t="shared" si="35"/>
        <v>4.9287811580943655E-2</v>
      </c>
      <c r="BM26">
        <f t="shared" si="36"/>
        <v>0.60257241877791567</v>
      </c>
      <c r="BN26">
        <f t="shared" si="37"/>
        <v>582.30497628744263</v>
      </c>
      <c r="BO26" t="s">
        <v>408</v>
      </c>
      <c r="BP26">
        <v>0</v>
      </c>
      <c r="BQ26">
        <f t="shared" si="38"/>
        <v>582.30497628744263</v>
      </c>
      <c r="BR26">
        <f t="shared" si="39"/>
        <v>0.64026602894438001</v>
      </c>
      <c r="BS26">
        <f t="shared" si="40"/>
        <v>0.60912411622267015</v>
      </c>
      <c r="BT26">
        <f t="shared" si="41"/>
        <v>0.48483567585330817</v>
      </c>
      <c r="BU26">
        <f t="shared" si="42"/>
        <v>0.66781419585114821</v>
      </c>
      <c r="BV26">
        <f t="shared" si="43"/>
        <v>0.50782736791814309</v>
      </c>
      <c r="BW26">
        <f t="shared" si="44"/>
        <v>0.35921830899756557</v>
      </c>
      <c r="BX26">
        <f t="shared" si="45"/>
        <v>0.64078169100243443</v>
      </c>
      <c r="DG26">
        <f t="shared" si="46"/>
        <v>600.00458064516124</v>
      </c>
      <c r="DH26">
        <f t="shared" si="47"/>
        <v>504.3077467425075</v>
      </c>
      <c r="DI26">
        <f t="shared" si="48"/>
        <v>0.84050649446750103</v>
      </c>
      <c r="DJ26">
        <f t="shared" si="49"/>
        <v>0.16057753432227698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1785951719.099999</v>
      </c>
      <c r="DQ26">
        <v>420.00106451612908</v>
      </c>
      <c r="DR26">
        <v>447.37454838709681</v>
      </c>
      <c r="DS26">
        <v>21.60541612903226</v>
      </c>
      <c r="DT26">
        <v>19.74792258064517</v>
      </c>
      <c r="DU26">
        <v>431.10300000000001</v>
      </c>
      <c r="DV26">
        <v>22.15200967741935</v>
      </c>
      <c r="DW26">
        <v>500.01090322580637</v>
      </c>
      <c r="DX26">
        <v>97.854625806451594</v>
      </c>
      <c r="DY26">
        <v>4.9139906451612897E-2</v>
      </c>
      <c r="DZ26">
        <v>25.353741935483871</v>
      </c>
      <c r="EA26">
        <v>24.991612903225811</v>
      </c>
      <c r="EB26">
        <v>999.90000000000032</v>
      </c>
      <c r="EC26">
        <v>0</v>
      </c>
      <c r="ED26">
        <v>0</v>
      </c>
      <c r="EE26">
        <v>10003.548387096769</v>
      </c>
      <c r="EF26">
        <v>0</v>
      </c>
      <c r="EG26">
        <v>69.002399999999994</v>
      </c>
      <c r="EH26">
        <v>-27.37343548387096</v>
      </c>
      <c r="EI26">
        <v>429.27583870967737</v>
      </c>
      <c r="EJ26">
        <v>456.38716129032258</v>
      </c>
      <c r="EK26">
        <v>1.8574983870967741</v>
      </c>
      <c r="EL26">
        <v>447.37454838709681</v>
      </c>
      <c r="EM26">
        <v>19.74792258064517</v>
      </c>
      <c r="EN26">
        <v>2.1141893548387101</v>
      </c>
      <c r="EO26">
        <v>1.9324251612903229</v>
      </c>
      <c r="EP26">
        <v>18.326487096774191</v>
      </c>
      <c r="EQ26">
        <v>16.901248387096771</v>
      </c>
      <c r="ER26">
        <v>600.00458064516124</v>
      </c>
      <c r="ES26">
        <v>0.98297783870967748</v>
      </c>
      <c r="ET26">
        <v>1.702225161290323E-2</v>
      </c>
      <c r="EU26">
        <v>0</v>
      </c>
      <c r="EV26">
        <v>987.22867741935477</v>
      </c>
      <c r="EW26">
        <v>5.0010700000000003</v>
      </c>
      <c r="EX26">
        <v>6866.8338709677437</v>
      </c>
      <c r="EY26">
        <v>5415.1061290322577</v>
      </c>
      <c r="EZ26">
        <v>35.570354838709669</v>
      </c>
      <c r="FA26">
        <v>38.973580645161277</v>
      </c>
      <c r="FB26">
        <v>37.320354838709662</v>
      </c>
      <c r="FC26">
        <v>38.832387096774177</v>
      </c>
      <c r="FD26">
        <v>38.027967741935477</v>
      </c>
      <c r="FE26">
        <v>584.87548387096774</v>
      </c>
      <c r="FF26">
        <v>10.130000000000001</v>
      </c>
      <c r="FG26">
        <v>0</v>
      </c>
      <c r="FH26">
        <v>180.70000004768369</v>
      </c>
      <c r="FI26">
        <v>0</v>
      </c>
      <c r="FJ26">
        <v>987.41070588235289</v>
      </c>
      <c r="FK26">
        <v>2.2414215901866048</v>
      </c>
      <c r="FL26">
        <v>6.4436276232823468</v>
      </c>
      <c r="FM26">
        <v>6867.6847058823523</v>
      </c>
      <c r="FN26">
        <v>10</v>
      </c>
      <c r="FO26">
        <v>1785951634.5999999</v>
      </c>
      <c r="FP26" t="s">
        <v>714</v>
      </c>
      <c r="FQ26">
        <v>1785951634.5999999</v>
      </c>
      <c r="FR26">
        <v>1785951630.0999999</v>
      </c>
      <c r="FS26">
        <v>40</v>
      </c>
      <c r="FT26">
        <v>4.2999999999999997E-2</v>
      </c>
      <c r="FU26">
        <v>0</v>
      </c>
      <c r="FV26">
        <v>-11.205</v>
      </c>
      <c r="FW26">
        <v>-0.59699999999999998</v>
      </c>
      <c r="FX26">
        <v>448</v>
      </c>
      <c r="FY26">
        <v>20</v>
      </c>
      <c r="FZ26">
        <v>0.35</v>
      </c>
      <c r="GA26">
        <v>0.1</v>
      </c>
      <c r="GB26">
        <v>419.9969333333334</v>
      </c>
      <c r="GC26">
        <v>0.17945272525006861</v>
      </c>
      <c r="GD26">
        <v>4.8815252625467431E-2</v>
      </c>
      <c r="GE26">
        <v>-1</v>
      </c>
      <c r="GF26">
        <v>987.03388235294119</v>
      </c>
      <c r="GG26">
        <v>4.0231932769199199</v>
      </c>
      <c r="GH26">
        <v>0.44805335585015699</v>
      </c>
      <c r="GI26">
        <v>1</v>
      </c>
      <c r="GJ26">
        <v>1.8590625000000001</v>
      </c>
      <c r="GK26">
        <v>-3.2111819887435229E-2</v>
      </c>
      <c r="GL26">
        <v>4.5508898855059279E-3</v>
      </c>
      <c r="GM26">
        <v>1</v>
      </c>
      <c r="GN26">
        <v>2</v>
      </c>
      <c r="GO26">
        <v>2</v>
      </c>
      <c r="GP26" t="s">
        <v>411</v>
      </c>
      <c r="GQ26">
        <v>3.1311</v>
      </c>
      <c r="GR26">
        <v>2.7254499999999999</v>
      </c>
      <c r="GS26">
        <v>9.3847100000000003E-2</v>
      </c>
      <c r="GT26">
        <v>9.7219E-2</v>
      </c>
      <c r="GU26">
        <v>0.107388</v>
      </c>
      <c r="GV26">
        <v>9.9343799999999996E-2</v>
      </c>
      <c r="GW26">
        <v>22917</v>
      </c>
      <c r="GX26">
        <v>30395</v>
      </c>
      <c r="GY26">
        <v>27404.6</v>
      </c>
      <c r="GZ26">
        <v>34577.800000000003</v>
      </c>
      <c r="HA26">
        <v>35784.400000000001</v>
      </c>
      <c r="HB26">
        <v>39193.9</v>
      </c>
      <c r="HC26">
        <v>40448.400000000001</v>
      </c>
      <c r="HD26">
        <v>43607.9</v>
      </c>
      <c r="HE26">
        <v>2.0322</v>
      </c>
      <c r="HF26">
        <v>1.9161999999999999</v>
      </c>
      <c r="HG26">
        <v>2.32756E-2</v>
      </c>
      <c r="HH26">
        <v>0</v>
      </c>
      <c r="HI26">
        <v>24.614000000000001</v>
      </c>
      <c r="HJ26">
        <v>999.9</v>
      </c>
      <c r="HK26">
        <v>60.5</v>
      </c>
      <c r="HL26">
        <v>31</v>
      </c>
      <c r="HM26">
        <v>27.892600000000002</v>
      </c>
      <c r="HN26">
        <v>59.930399999999999</v>
      </c>
      <c r="HO26">
        <v>4.02644</v>
      </c>
      <c r="HP26">
        <v>1</v>
      </c>
      <c r="HQ26">
        <v>1.8353700000000001E-2</v>
      </c>
      <c r="HR26">
        <v>0.89934599999999998</v>
      </c>
      <c r="HS26">
        <v>20.2517</v>
      </c>
      <c r="HT26">
        <v>5.2137000000000002</v>
      </c>
      <c r="HU26">
        <v>11.902100000000001</v>
      </c>
      <c r="HV26">
        <v>4.9859999999999998</v>
      </c>
      <c r="HW26">
        <v>3.2707999999999999</v>
      </c>
      <c r="HX26">
        <v>9999</v>
      </c>
      <c r="HY26">
        <v>9999</v>
      </c>
      <c r="HZ26">
        <v>9999</v>
      </c>
      <c r="IA26">
        <v>999.9</v>
      </c>
      <c r="IB26">
        <v>1.8671</v>
      </c>
      <c r="IC26">
        <v>1.8626400000000001</v>
      </c>
      <c r="ID26">
        <v>1.8621799999999999</v>
      </c>
      <c r="IE26">
        <v>1.8616900000000001</v>
      </c>
      <c r="IF26">
        <v>1.86172</v>
      </c>
      <c r="IG26">
        <v>1.8623700000000001</v>
      </c>
      <c r="IH26">
        <v>1.86328</v>
      </c>
      <c r="II26">
        <v>1.86127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-11.101000000000001</v>
      </c>
      <c r="IX26">
        <v>-0.54659999999999997</v>
      </c>
      <c r="IY26">
        <v>-9.095105832672111</v>
      </c>
      <c r="IZ26">
        <v>-5.6215304933332991E-3</v>
      </c>
      <c r="JA26">
        <v>2.3979931213773931E-6</v>
      </c>
      <c r="JB26">
        <v>-3.6297174575716598E-10</v>
      </c>
      <c r="JC26">
        <v>-0.88864361693774518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1.5</v>
      </c>
      <c r="JL26">
        <v>1.6</v>
      </c>
      <c r="JM26">
        <v>1.15845</v>
      </c>
      <c r="JN26">
        <v>2.49146</v>
      </c>
      <c r="JO26">
        <v>1.50024</v>
      </c>
      <c r="JP26">
        <v>2.2766099999999998</v>
      </c>
      <c r="JQ26">
        <v>1.4477500000000001</v>
      </c>
      <c r="JR26">
        <v>2.49268</v>
      </c>
      <c r="JS26">
        <v>36.081600000000002</v>
      </c>
      <c r="JT26">
        <v>24.096299999999999</v>
      </c>
      <c r="JU26">
        <v>18</v>
      </c>
      <c r="JV26">
        <v>532.39499999999998</v>
      </c>
      <c r="JW26">
        <v>475.03899999999999</v>
      </c>
      <c r="JX26">
        <v>23.884399999999999</v>
      </c>
      <c r="JY26">
        <v>27.482500000000002</v>
      </c>
      <c r="JZ26">
        <v>30</v>
      </c>
      <c r="KA26">
        <v>27.529399999999999</v>
      </c>
      <c r="KB26">
        <v>27.546500000000002</v>
      </c>
      <c r="KC26">
        <v>23.165800000000001</v>
      </c>
      <c r="KD26">
        <v>35.844299999999997</v>
      </c>
      <c r="KE26">
        <v>0</v>
      </c>
      <c r="KF26">
        <v>23.882999999999999</v>
      </c>
      <c r="KG26">
        <v>447.298</v>
      </c>
      <c r="KH26">
        <v>19.7028</v>
      </c>
      <c r="KI26">
        <v>101.111</v>
      </c>
      <c r="KJ26">
        <v>98.374300000000005</v>
      </c>
    </row>
    <row r="27" spans="1:296" x14ac:dyDescent="0.3">
      <c r="A27">
        <v>11</v>
      </c>
      <c r="B27">
        <v>1785951908.5999999</v>
      </c>
      <c r="C27">
        <v>2705</v>
      </c>
      <c r="D27" t="s">
        <v>715</v>
      </c>
      <c r="E27" t="s">
        <v>716</v>
      </c>
      <c r="F27">
        <v>15</v>
      </c>
      <c r="H27">
        <v>1785951900.849999</v>
      </c>
      <c r="I27">
        <f t="shared" si="0"/>
        <v>1.3090990087746771E-3</v>
      </c>
      <c r="J27">
        <f t="shared" si="1"/>
        <v>1.3090990087746772</v>
      </c>
      <c r="K27">
        <f t="shared" si="2"/>
        <v>16.221946101364068</v>
      </c>
      <c r="L27">
        <f t="shared" si="3"/>
        <v>420.04753333333338</v>
      </c>
      <c r="M27">
        <f t="shared" si="4"/>
        <v>193.85754759966738</v>
      </c>
      <c r="N27">
        <f t="shared" si="5"/>
        <v>18.975555075784722</v>
      </c>
      <c r="O27">
        <f t="shared" si="6"/>
        <v>41.115939007307773</v>
      </c>
      <c r="P27">
        <f t="shared" si="7"/>
        <v>0.11990785418768972</v>
      </c>
      <c r="Q27">
        <f t="shared" si="8"/>
        <v>2.8912905113194376</v>
      </c>
      <c r="R27">
        <f t="shared" si="9"/>
        <v>0.11721216773992084</v>
      </c>
      <c r="S27">
        <f t="shared" si="10"/>
        <v>7.3494754040100557E-2</v>
      </c>
      <c r="T27">
        <f t="shared" si="11"/>
        <v>64.414838580040723</v>
      </c>
      <c r="U27">
        <f t="shared" si="12"/>
        <v>25.469442862882094</v>
      </c>
      <c r="V27">
        <f t="shared" si="13"/>
        <v>25.00898333333333</v>
      </c>
      <c r="W27">
        <f t="shared" si="14"/>
        <v>3.1813809544461509</v>
      </c>
      <c r="X27">
        <f t="shared" si="15"/>
        <v>64.921321152514537</v>
      </c>
      <c r="Y27">
        <f t="shared" si="16"/>
        <v>2.1177428491885242</v>
      </c>
      <c r="Z27">
        <f t="shared" si="17"/>
        <v>3.2620144069672863</v>
      </c>
      <c r="AA27">
        <f t="shared" si="18"/>
        <v>1.0636381052576267</v>
      </c>
      <c r="AB27">
        <f t="shared" si="19"/>
        <v>-57.731266286963262</v>
      </c>
      <c r="AC27">
        <f t="shared" si="20"/>
        <v>65.548142247351109</v>
      </c>
      <c r="AD27">
        <f t="shared" si="21"/>
        <v>4.8060365004480259</v>
      </c>
      <c r="AE27">
        <f t="shared" si="22"/>
        <v>77.0377510408766</v>
      </c>
      <c r="AF27">
        <f t="shared" si="23"/>
        <v>16.221946101364068</v>
      </c>
      <c r="AG27">
        <f t="shared" si="24"/>
        <v>1.3090990087746772</v>
      </c>
      <c r="AH27">
        <f t="shared" si="25"/>
        <v>16.176939093268288</v>
      </c>
      <c r="AI27">
        <v>449.19867869303499</v>
      </c>
      <c r="AJ27">
        <v>429.35442424242399</v>
      </c>
      <c r="AK27">
        <v>6.4224126294307043E-3</v>
      </c>
      <c r="AL27">
        <v>67.090221438517105</v>
      </c>
      <c r="AM27">
        <f t="shared" si="26"/>
        <v>1.3300030531060458</v>
      </c>
      <c r="AN27">
        <v>20.06837062016244</v>
      </c>
      <c r="AO27">
        <v>21.629736969696971</v>
      </c>
      <c r="AP27">
        <v>1.6373019653574701E-5</v>
      </c>
      <c r="AQ27">
        <v>78.24225948988375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52004.62131308642</v>
      </c>
      <c r="AW27" t="s">
        <v>676</v>
      </c>
      <c r="AX27">
        <v>13220</v>
      </c>
      <c r="AY27">
        <v>673.38823529411764</v>
      </c>
      <c r="AZ27">
        <v>2594.1</v>
      </c>
      <c r="BA27">
        <f t="shared" si="30"/>
        <v>0.74041546767891853</v>
      </c>
      <c r="BB27">
        <v>-2.7089864722863091</v>
      </c>
      <c r="BC27" t="s">
        <v>717</v>
      </c>
      <c r="BD27">
        <v>13255.3</v>
      </c>
      <c r="BE27">
        <v>1019.473529411765</v>
      </c>
      <c r="BF27">
        <v>1797.43</v>
      </c>
      <c r="BG27">
        <f t="shared" si="31"/>
        <v>0.43281600428847578</v>
      </c>
      <c r="BH27">
        <v>0.5</v>
      </c>
      <c r="BI27">
        <f t="shared" si="32"/>
        <v>336.30834512955477</v>
      </c>
      <c r="BJ27">
        <f t="shared" si="33"/>
        <v>16.221946101364068</v>
      </c>
      <c r="BK27">
        <f t="shared" si="34"/>
        <v>72.779817073921777</v>
      </c>
      <c r="BL27">
        <f t="shared" si="35"/>
        <v>5.6290403874330527E-2</v>
      </c>
      <c r="BM27">
        <f t="shared" si="36"/>
        <v>0.44322727449747684</v>
      </c>
      <c r="BN27">
        <f t="shared" si="37"/>
        <v>603.9058778736869</v>
      </c>
      <c r="BO27" t="s">
        <v>408</v>
      </c>
      <c r="BP27">
        <v>0</v>
      </c>
      <c r="BQ27">
        <f t="shared" si="38"/>
        <v>603.9058778736869</v>
      </c>
      <c r="BR27">
        <f t="shared" si="39"/>
        <v>0.66401702548990116</v>
      </c>
      <c r="BS27">
        <f t="shared" si="40"/>
        <v>0.65181461871275215</v>
      </c>
      <c r="BT27">
        <f t="shared" si="41"/>
        <v>0.40029763486028275</v>
      </c>
      <c r="BU27">
        <f t="shared" si="42"/>
        <v>0.69210637452763657</v>
      </c>
      <c r="BV27">
        <f t="shared" si="43"/>
        <v>0.4147785287929413</v>
      </c>
      <c r="BW27">
        <f t="shared" si="44"/>
        <v>0.38611564515240904</v>
      </c>
      <c r="BX27">
        <f t="shared" si="45"/>
        <v>0.61388435484759096</v>
      </c>
      <c r="DG27">
        <f t="shared" si="46"/>
        <v>400.01386666666667</v>
      </c>
      <c r="DH27">
        <f t="shared" si="47"/>
        <v>336.30834512955477</v>
      </c>
      <c r="DI27">
        <f t="shared" si="48"/>
        <v>0.84074171711102708</v>
      </c>
      <c r="DJ27">
        <f t="shared" si="49"/>
        <v>0.16103151402428231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1785951900.849999</v>
      </c>
      <c r="DQ27">
        <v>420.04753333333338</v>
      </c>
      <c r="DR27">
        <v>440.17353333333352</v>
      </c>
      <c r="DS27">
        <v>21.635226666666661</v>
      </c>
      <c r="DT27">
        <v>20.098310000000009</v>
      </c>
      <c r="DU27">
        <v>431.10103333333331</v>
      </c>
      <c r="DV27">
        <v>22.181249999999999</v>
      </c>
      <c r="DW27">
        <v>500.0048666666666</v>
      </c>
      <c r="DX27">
        <v>97.834993333333315</v>
      </c>
      <c r="DY27">
        <v>4.902155666666666E-2</v>
      </c>
      <c r="DZ27">
        <v>25.429500000000001</v>
      </c>
      <c r="EA27">
        <v>25.00898333333333</v>
      </c>
      <c r="EB27">
        <v>999.9000000000002</v>
      </c>
      <c r="EC27">
        <v>0</v>
      </c>
      <c r="ED27">
        <v>0</v>
      </c>
      <c r="EE27">
        <v>10000</v>
      </c>
      <c r="EF27">
        <v>0</v>
      </c>
      <c r="EG27">
        <v>65.275913333333321</v>
      </c>
      <c r="EH27">
        <v>-20.126053333333331</v>
      </c>
      <c r="EI27">
        <v>429.33623333333338</v>
      </c>
      <c r="EJ27">
        <v>449.20173333333332</v>
      </c>
      <c r="EK27">
        <v>1.5369196666666669</v>
      </c>
      <c r="EL27">
        <v>440.17353333333352</v>
      </c>
      <c r="EM27">
        <v>20.098310000000009</v>
      </c>
      <c r="EN27">
        <v>2.116683333333333</v>
      </c>
      <c r="EO27">
        <v>1.966318</v>
      </c>
      <c r="EP27">
        <v>18.345279999999999</v>
      </c>
      <c r="EQ27">
        <v>17.175676666666661</v>
      </c>
      <c r="ER27">
        <v>400.01386666666667</v>
      </c>
      <c r="ES27">
        <v>0.97496999999999978</v>
      </c>
      <c r="ET27">
        <v>2.5030099999999989E-2</v>
      </c>
      <c r="EU27">
        <v>0</v>
      </c>
      <c r="EV27">
        <v>1019.1</v>
      </c>
      <c r="EW27">
        <v>5.0010700000000003</v>
      </c>
      <c r="EX27">
        <v>4911.0306666666665</v>
      </c>
      <c r="EY27">
        <v>3583.7586666666671</v>
      </c>
      <c r="EZ27">
        <v>36.145533333333333</v>
      </c>
      <c r="FA27">
        <v>39.528866666666659</v>
      </c>
      <c r="FB27">
        <v>38.174799999999991</v>
      </c>
      <c r="FC27">
        <v>39.720599999999983</v>
      </c>
      <c r="FD27">
        <v>38.370466666666651</v>
      </c>
      <c r="FE27">
        <v>385.12666666666649</v>
      </c>
      <c r="FF27">
        <v>9.889999999999997</v>
      </c>
      <c r="FG27">
        <v>0</v>
      </c>
      <c r="FH27">
        <v>180.89999985694891</v>
      </c>
      <c r="FI27">
        <v>0</v>
      </c>
      <c r="FJ27">
        <v>1019.473529411765</v>
      </c>
      <c r="FK27">
        <v>7.9852941643312194</v>
      </c>
      <c r="FL27">
        <v>-83.85784315798918</v>
      </c>
      <c r="FM27">
        <v>4906.8611764705884</v>
      </c>
      <c r="FN27">
        <v>10</v>
      </c>
      <c r="FO27">
        <v>1785951828.5999999</v>
      </c>
      <c r="FP27" t="s">
        <v>718</v>
      </c>
      <c r="FQ27">
        <v>1785951828.5999999</v>
      </c>
      <c r="FR27">
        <v>1785951828.5999999</v>
      </c>
      <c r="FS27">
        <v>41</v>
      </c>
      <c r="FT27">
        <v>4.9000000000000002E-2</v>
      </c>
      <c r="FU27">
        <v>0</v>
      </c>
      <c r="FV27">
        <v>-11.13</v>
      </c>
      <c r="FW27">
        <v>-0.59299999999999997</v>
      </c>
      <c r="FX27">
        <v>441</v>
      </c>
      <c r="FY27">
        <v>20</v>
      </c>
      <c r="FZ27">
        <v>0.36</v>
      </c>
      <c r="GA27">
        <v>0.16</v>
      </c>
      <c r="GB27">
        <v>420.04753333333338</v>
      </c>
      <c r="GC27">
        <v>7.6725250277567283E-2</v>
      </c>
      <c r="GD27">
        <v>5.2975298226839232E-2</v>
      </c>
      <c r="GE27">
        <v>-1</v>
      </c>
      <c r="GF27">
        <v>1018.752941176471</v>
      </c>
      <c r="GG27">
        <v>7.7002291860167897</v>
      </c>
      <c r="GH27">
        <v>0.77679783656542845</v>
      </c>
      <c r="GI27">
        <v>1</v>
      </c>
      <c r="GJ27">
        <v>1.52980475</v>
      </c>
      <c r="GK27">
        <v>0.22461422138836701</v>
      </c>
      <c r="GL27">
        <v>2.4217466938916229E-2</v>
      </c>
      <c r="GM27">
        <v>1</v>
      </c>
      <c r="GN27">
        <v>2</v>
      </c>
      <c r="GO27">
        <v>2</v>
      </c>
      <c r="GP27" t="s">
        <v>411</v>
      </c>
      <c r="GQ27">
        <v>3.13022</v>
      </c>
      <c r="GR27">
        <v>2.7253799999999999</v>
      </c>
      <c r="GS27">
        <v>9.3859399999999996E-2</v>
      </c>
      <c r="GT27">
        <v>9.6033999999999994E-2</v>
      </c>
      <c r="GU27">
        <v>0.107469</v>
      </c>
      <c r="GV27">
        <v>0.10045999999999999</v>
      </c>
      <c r="GW27">
        <v>22918.2</v>
      </c>
      <c r="GX27">
        <v>30437.3</v>
      </c>
      <c r="GY27">
        <v>27406.1</v>
      </c>
      <c r="GZ27">
        <v>34580.199999999997</v>
      </c>
      <c r="HA27">
        <v>35782.199999999997</v>
      </c>
      <c r="HB27">
        <v>39146.699999999997</v>
      </c>
      <c r="HC27">
        <v>40449.800000000003</v>
      </c>
      <c r="HD27">
        <v>43610</v>
      </c>
      <c r="HE27">
        <v>2.0326</v>
      </c>
      <c r="HF27">
        <v>1.9168000000000001</v>
      </c>
      <c r="HG27">
        <v>2.2351699999999999E-2</v>
      </c>
      <c r="HH27">
        <v>0</v>
      </c>
      <c r="HI27">
        <v>24.653400000000001</v>
      </c>
      <c r="HJ27">
        <v>999.9</v>
      </c>
      <c r="HK27">
        <v>60.4</v>
      </c>
      <c r="HL27">
        <v>31.1</v>
      </c>
      <c r="HM27">
        <v>28.0121</v>
      </c>
      <c r="HN27">
        <v>60.610399999999998</v>
      </c>
      <c r="HO27">
        <v>4.2628199999999996</v>
      </c>
      <c r="HP27">
        <v>1</v>
      </c>
      <c r="HQ27">
        <v>1.4064999999999999E-2</v>
      </c>
      <c r="HR27">
        <v>0.98827900000000002</v>
      </c>
      <c r="HS27">
        <v>20.250699999999998</v>
      </c>
      <c r="HT27">
        <v>5.2137000000000002</v>
      </c>
      <c r="HU27">
        <v>11.902100000000001</v>
      </c>
      <c r="HV27">
        <v>4.9855999999999998</v>
      </c>
      <c r="HW27">
        <v>3.2702</v>
      </c>
      <c r="HX27">
        <v>9999</v>
      </c>
      <c r="HY27">
        <v>9999</v>
      </c>
      <c r="HZ27">
        <v>9999</v>
      </c>
      <c r="IA27">
        <v>999.9</v>
      </c>
      <c r="IB27">
        <v>1.86707</v>
      </c>
      <c r="IC27">
        <v>1.86267</v>
      </c>
      <c r="ID27">
        <v>1.8621799999999999</v>
      </c>
      <c r="IE27">
        <v>1.8616299999999999</v>
      </c>
      <c r="IF27">
        <v>1.86172</v>
      </c>
      <c r="IG27">
        <v>1.8623400000000001</v>
      </c>
      <c r="IH27">
        <v>1.8632500000000001</v>
      </c>
      <c r="II27">
        <v>1.86127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-11.054</v>
      </c>
      <c r="IX27">
        <v>-0.54610000000000003</v>
      </c>
      <c r="IY27">
        <v>-9.0465917395160726</v>
      </c>
      <c r="IZ27">
        <v>-5.6215304933332991E-3</v>
      </c>
      <c r="JA27">
        <v>2.3979931213773931E-6</v>
      </c>
      <c r="JB27">
        <v>-3.6297174575716598E-10</v>
      </c>
      <c r="JC27">
        <v>-0.88884534958664929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1.3</v>
      </c>
      <c r="JL27">
        <v>1.3</v>
      </c>
      <c r="JM27">
        <v>1.1437999999999999</v>
      </c>
      <c r="JN27">
        <v>2.4939</v>
      </c>
      <c r="JO27">
        <v>1.50024</v>
      </c>
      <c r="JP27">
        <v>2.2766099999999998</v>
      </c>
      <c r="JQ27">
        <v>1.4477500000000001</v>
      </c>
      <c r="JR27">
        <v>2.3791500000000001</v>
      </c>
      <c r="JS27">
        <v>36.081600000000002</v>
      </c>
      <c r="JT27">
        <v>24.096299999999999</v>
      </c>
      <c r="JU27">
        <v>18</v>
      </c>
      <c r="JV27">
        <v>532.14200000000005</v>
      </c>
      <c r="JW27">
        <v>474.95699999999999</v>
      </c>
      <c r="JX27">
        <v>23.895399999999999</v>
      </c>
      <c r="JY27">
        <v>27.428999999999998</v>
      </c>
      <c r="JZ27">
        <v>30</v>
      </c>
      <c r="KA27">
        <v>27.473600000000001</v>
      </c>
      <c r="KB27">
        <v>27.4909</v>
      </c>
      <c r="KC27">
        <v>22.8736</v>
      </c>
      <c r="KD27">
        <v>35.207299999999996</v>
      </c>
      <c r="KE27">
        <v>0</v>
      </c>
      <c r="KF27">
        <v>23.896100000000001</v>
      </c>
      <c r="KG27">
        <v>440.02199999999999</v>
      </c>
      <c r="KH27">
        <v>20.038699999999999</v>
      </c>
      <c r="KI27">
        <v>101.116</v>
      </c>
      <c r="KJ27">
        <v>98.38</v>
      </c>
    </row>
    <row r="28" spans="1:296" x14ac:dyDescent="0.3">
      <c r="A28">
        <v>12</v>
      </c>
      <c r="B28">
        <v>1785952090.0999999</v>
      </c>
      <c r="C28">
        <v>2886.5</v>
      </c>
      <c r="D28" t="s">
        <v>719</v>
      </c>
      <c r="E28" t="s">
        <v>720</v>
      </c>
      <c r="F28">
        <v>15</v>
      </c>
      <c r="H28">
        <v>1785952082.349999</v>
      </c>
      <c r="I28">
        <f t="shared" si="0"/>
        <v>1.1254709927605354E-3</v>
      </c>
      <c r="J28">
        <f t="shared" si="1"/>
        <v>1.1254709927605353</v>
      </c>
      <c r="K28">
        <f t="shared" si="2"/>
        <v>12.277198925099762</v>
      </c>
      <c r="L28">
        <f t="shared" si="3"/>
        <v>420.02330000000012</v>
      </c>
      <c r="M28">
        <f t="shared" si="4"/>
        <v>219.39870505828779</v>
      </c>
      <c r="N28">
        <f t="shared" si="5"/>
        <v>21.475643174678122</v>
      </c>
      <c r="O28">
        <f t="shared" si="6"/>
        <v>41.113599615158911</v>
      </c>
      <c r="P28">
        <f t="shared" si="7"/>
        <v>0.1024787275944178</v>
      </c>
      <c r="Q28">
        <f t="shared" si="8"/>
        <v>2.8907657384524139</v>
      </c>
      <c r="R28">
        <f t="shared" si="9"/>
        <v>0.10050243727651785</v>
      </c>
      <c r="S28">
        <f t="shared" si="10"/>
        <v>6.298841070898685E-2</v>
      </c>
      <c r="T28">
        <f t="shared" si="11"/>
        <v>48.440702291200175</v>
      </c>
      <c r="U28">
        <f t="shared" si="12"/>
        <v>25.369308084460062</v>
      </c>
      <c r="V28">
        <f t="shared" si="13"/>
        <v>24.979916666666661</v>
      </c>
      <c r="W28">
        <f t="shared" si="14"/>
        <v>3.1758723939664741</v>
      </c>
      <c r="X28">
        <f t="shared" si="15"/>
        <v>64.867250782782406</v>
      </c>
      <c r="Y28">
        <f t="shared" si="16"/>
        <v>2.1093157324693204</v>
      </c>
      <c r="Z28">
        <f t="shared" si="17"/>
        <v>3.2517421457133686</v>
      </c>
      <c r="AA28">
        <f t="shared" si="18"/>
        <v>1.0665566614971538</v>
      </c>
      <c r="AB28">
        <f t="shared" si="19"/>
        <v>-49.633270780739608</v>
      </c>
      <c r="AC28">
        <f t="shared" si="20"/>
        <v>61.796437567109876</v>
      </c>
      <c r="AD28">
        <f t="shared" si="21"/>
        <v>4.529909283969638</v>
      </c>
      <c r="AE28">
        <f t="shared" si="22"/>
        <v>65.133778361540081</v>
      </c>
      <c r="AF28">
        <f t="shared" si="23"/>
        <v>12.277198925099762</v>
      </c>
      <c r="AG28">
        <f t="shared" si="24"/>
        <v>1.1254709927605353</v>
      </c>
      <c r="AH28">
        <f t="shared" si="25"/>
        <v>12.371451206056786</v>
      </c>
      <c r="AI28">
        <v>444.32985141455879</v>
      </c>
      <c r="AJ28">
        <v>429.20604242424253</v>
      </c>
      <c r="AK28">
        <v>-5.6162954907150887E-3</v>
      </c>
      <c r="AL28">
        <v>67.082695622948989</v>
      </c>
      <c r="AM28">
        <f t="shared" si="26"/>
        <v>1.1256399365376546</v>
      </c>
      <c r="AN28">
        <v>20.228368573346049</v>
      </c>
      <c r="AO28">
        <v>21.550171515151511</v>
      </c>
      <c r="AP28">
        <v>-5.294298256864037E-6</v>
      </c>
      <c r="AQ28">
        <v>78.224965459212285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51998.835472115883</v>
      </c>
      <c r="AW28" t="s">
        <v>676</v>
      </c>
      <c r="AX28">
        <v>13220</v>
      </c>
      <c r="AY28">
        <v>673.38823529411764</v>
      </c>
      <c r="AZ28">
        <v>2594.1</v>
      </c>
      <c r="BA28">
        <f t="shared" si="30"/>
        <v>0.74041546767891853</v>
      </c>
      <c r="BB28">
        <v>-2.7089864722863091</v>
      </c>
      <c r="BC28" t="s">
        <v>721</v>
      </c>
      <c r="BD28">
        <v>13264.1</v>
      </c>
      <c r="BE28">
        <v>1041.4041176470589</v>
      </c>
      <c r="BF28">
        <v>1905.2</v>
      </c>
      <c r="BG28">
        <f t="shared" si="31"/>
        <v>0.45338855886675478</v>
      </c>
      <c r="BH28">
        <v>0.5</v>
      </c>
      <c r="BI28">
        <f t="shared" si="32"/>
        <v>252.27514601616588</v>
      </c>
      <c r="BJ28">
        <f t="shared" si="33"/>
        <v>12.277198925099762</v>
      </c>
      <c r="BK28">
        <f t="shared" si="34"/>
        <v>57.189332445084787</v>
      </c>
      <c r="BL28">
        <f t="shared" si="35"/>
        <v>5.9404129316907625E-2</v>
      </c>
      <c r="BM28">
        <f t="shared" si="36"/>
        <v>0.36158933445307573</v>
      </c>
      <c r="BN28">
        <f t="shared" si="37"/>
        <v>615.60564381027746</v>
      </c>
      <c r="BO28" t="s">
        <v>408</v>
      </c>
      <c r="BP28">
        <v>0</v>
      </c>
      <c r="BQ28">
        <f t="shared" si="38"/>
        <v>615.60564381027746</v>
      </c>
      <c r="BR28">
        <f t="shared" si="39"/>
        <v>0.67688135428811802</v>
      </c>
      <c r="BS28">
        <f t="shared" si="40"/>
        <v>0.66981983769310272</v>
      </c>
      <c r="BT28">
        <f t="shared" si="41"/>
        <v>0.34819406881034315</v>
      </c>
      <c r="BU28">
        <f t="shared" si="42"/>
        <v>0.70124016274449863</v>
      </c>
      <c r="BV28">
        <f t="shared" si="43"/>
        <v>0.35866912082224417</v>
      </c>
      <c r="BW28">
        <f t="shared" si="44"/>
        <v>0.39595087577683785</v>
      </c>
      <c r="BX28">
        <f t="shared" si="45"/>
        <v>0.60404912422316215</v>
      </c>
      <c r="DG28">
        <f t="shared" si="46"/>
        <v>299.97969999999998</v>
      </c>
      <c r="DH28">
        <f t="shared" si="47"/>
        <v>252.27514601616588</v>
      </c>
      <c r="DI28">
        <f t="shared" si="48"/>
        <v>0.8409740592985655</v>
      </c>
      <c r="DJ28">
        <f t="shared" si="49"/>
        <v>0.16147993444623146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1785952082.349999</v>
      </c>
      <c r="DQ28">
        <v>420.02330000000012</v>
      </c>
      <c r="DR28">
        <v>435.32450000000011</v>
      </c>
      <c r="DS28">
        <v>21.54911666666667</v>
      </c>
      <c r="DT28">
        <v>20.22754333333334</v>
      </c>
      <c r="DU28">
        <v>431.0236000000001</v>
      </c>
      <c r="DV28">
        <v>22.09428333333334</v>
      </c>
      <c r="DW28">
        <v>499.9577666666666</v>
      </c>
      <c r="DX28">
        <v>97.83486666666667</v>
      </c>
      <c r="DY28">
        <v>4.9225989999999997E-2</v>
      </c>
      <c r="DZ28">
        <v>25.37643666666667</v>
      </c>
      <c r="EA28">
        <v>24.979916666666661</v>
      </c>
      <c r="EB28">
        <v>999.9000000000002</v>
      </c>
      <c r="EC28">
        <v>0</v>
      </c>
      <c r="ED28">
        <v>0</v>
      </c>
      <c r="EE28">
        <v>9997</v>
      </c>
      <c r="EF28">
        <v>0</v>
      </c>
      <c r="EG28">
        <v>42.489739999999998</v>
      </c>
      <c r="EH28">
        <v>-15.30126666666666</v>
      </c>
      <c r="EI28">
        <v>429.27373333333338</v>
      </c>
      <c r="EJ28">
        <v>444.31186666666662</v>
      </c>
      <c r="EK28">
        <v>1.3215686666666671</v>
      </c>
      <c r="EL28">
        <v>435.32450000000011</v>
      </c>
      <c r="EM28">
        <v>20.22754333333334</v>
      </c>
      <c r="EN28">
        <v>2.1082559999999999</v>
      </c>
      <c r="EO28">
        <v>1.9789603333333341</v>
      </c>
      <c r="EP28">
        <v>18.281700000000001</v>
      </c>
      <c r="EQ28">
        <v>17.276986666666669</v>
      </c>
      <c r="ER28">
        <v>299.97969999999998</v>
      </c>
      <c r="ES28">
        <v>0.9669867666666665</v>
      </c>
      <c r="ET28">
        <v>3.3013173333333333E-2</v>
      </c>
      <c r="EU28">
        <v>0</v>
      </c>
      <c r="EV28">
        <v>1041.2139999999999</v>
      </c>
      <c r="EW28">
        <v>5.0010700000000003</v>
      </c>
      <c r="EX28">
        <v>3823.4056666666661</v>
      </c>
      <c r="EY28">
        <v>2667.8283333333329</v>
      </c>
      <c r="EZ28">
        <v>35.149700000000003</v>
      </c>
      <c r="FA28">
        <v>39.14976666666665</v>
      </c>
      <c r="FB28">
        <v>37.260133333333343</v>
      </c>
      <c r="FC28">
        <v>39.133066666666657</v>
      </c>
      <c r="FD28">
        <v>37.847633333333327</v>
      </c>
      <c r="FE28">
        <v>285.24066666666658</v>
      </c>
      <c r="FF28">
        <v>9.740000000000002</v>
      </c>
      <c r="FG28">
        <v>0</v>
      </c>
      <c r="FH28">
        <v>180.70000004768369</v>
      </c>
      <c r="FI28">
        <v>0</v>
      </c>
      <c r="FJ28">
        <v>1041.4041176470589</v>
      </c>
      <c r="FK28">
        <v>3.3382353099933741</v>
      </c>
      <c r="FL28">
        <v>10.02451017531401</v>
      </c>
      <c r="FM28">
        <v>3824.1894117647062</v>
      </c>
      <c r="FN28">
        <v>10</v>
      </c>
      <c r="FO28">
        <v>1785952015.0999999</v>
      </c>
      <c r="FP28" t="s">
        <v>722</v>
      </c>
      <c r="FQ28">
        <v>1785952007.0999999</v>
      </c>
      <c r="FR28">
        <v>1785952015.0999999</v>
      </c>
      <c r="FS28">
        <v>42</v>
      </c>
      <c r="FT28">
        <v>5.2999999999999999E-2</v>
      </c>
      <c r="FU28">
        <v>3.0000000000000001E-3</v>
      </c>
      <c r="FV28">
        <v>-11.058999999999999</v>
      </c>
      <c r="FW28">
        <v>-0.57999999999999996</v>
      </c>
      <c r="FX28">
        <v>436</v>
      </c>
      <c r="FY28">
        <v>20</v>
      </c>
      <c r="FZ28">
        <v>0.52</v>
      </c>
      <c r="GA28">
        <v>0.22</v>
      </c>
      <c r="GB28">
        <v>420.02632258064523</v>
      </c>
      <c r="GC28">
        <v>-0.34625806451692182</v>
      </c>
      <c r="GD28">
        <v>6.5111510848338244E-2</v>
      </c>
      <c r="GE28">
        <v>-1</v>
      </c>
      <c r="GF28">
        <v>1041.0126470588241</v>
      </c>
      <c r="GG28">
        <v>4.0380443127484904</v>
      </c>
      <c r="GH28">
        <v>0.4568131863215274</v>
      </c>
      <c r="GI28">
        <v>1</v>
      </c>
      <c r="GJ28">
        <v>1.3231204878048779</v>
      </c>
      <c r="GK28">
        <v>-2.9087874564460259E-2</v>
      </c>
      <c r="GL28">
        <v>4.2484694238011378E-3</v>
      </c>
      <c r="GM28">
        <v>1</v>
      </c>
      <c r="GN28">
        <v>2</v>
      </c>
      <c r="GO28">
        <v>2</v>
      </c>
      <c r="GP28" t="s">
        <v>411</v>
      </c>
      <c r="GQ28">
        <v>3.1313300000000002</v>
      </c>
      <c r="GR28">
        <v>2.7256900000000002</v>
      </c>
      <c r="GS28">
        <v>9.3835100000000005E-2</v>
      </c>
      <c r="GT28">
        <v>9.5274300000000006E-2</v>
      </c>
      <c r="GU28">
        <v>0.1072</v>
      </c>
      <c r="GV28">
        <v>0.101076</v>
      </c>
      <c r="GW28">
        <v>22920.3</v>
      </c>
      <c r="GX28">
        <v>30466.799999999999</v>
      </c>
      <c r="GY28">
        <v>27407.7</v>
      </c>
      <c r="GZ28">
        <v>34584.199999999997</v>
      </c>
      <c r="HA28">
        <v>35795.5</v>
      </c>
      <c r="HB28">
        <v>39124.5</v>
      </c>
      <c r="HC28">
        <v>40452.800000000003</v>
      </c>
      <c r="HD28">
        <v>43615.7</v>
      </c>
      <c r="HE28">
        <v>2.0339999999999998</v>
      </c>
      <c r="HF28">
        <v>1.9166000000000001</v>
      </c>
      <c r="HG28">
        <v>2.6225999999999999E-2</v>
      </c>
      <c r="HH28">
        <v>0</v>
      </c>
      <c r="HI28">
        <v>24.541599999999999</v>
      </c>
      <c r="HJ28">
        <v>999.9</v>
      </c>
      <c r="HK28">
        <v>60.3</v>
      </c>
      <c r="HL28">
        <v>31.2</v>
      </c>
      <c r="HM28">
        <v>28.125</v>
      </c>
      <c r="HN28">
        <v>60.200400000000002</v>
      </c>
      <c r="HO28">
        <v>4.4992000000000001</v>
      </c>
      <c r="HP28">
        <v>1</v>
      </c>
      <c r="HQ28">
        <v>9.7561000000000002E-3</v>
      </c>
      <c r="HR28">
        <v>0.63616600000000001</v>
      </c>
      <c r="HS28">
        <v>20.255700000000001</v>
      </c>
      <c r="HT28">
        <v>5.2160900000000003</v>
      </c>
      <c r="HU28">
        <v>11.902100000000001</v>
      </c>
      <c r="HV28">
        <v>4.9867999999999997</v>
      </c>
      <c r="HW28">
        <v>3.2706</v>
      </c>
      <c r="HX28">
        <v>9999</v>
      </c>
      <c r="HY28">
        <v>9999</v>
      </c>
      <c r="HZ28">
        <v>9999</v>
      </c>
      <c r="IA28">
        <v>999.9</v>
      </c>
      <c r="IB28">
        <v>1.8671</v>
      </c>
      <c r="IC28">
        <v>1.8626400000000001</v>
      </c>
      <c r="ID28">
        <v>1.8621799999999999</v>
      </c>
      <c r="IE28">
        <v>1.8616900000000001</v>
      </c>
      <c r="IF28">
        <v>1.86172</v>
      </c>
      <c r="IG28">
        <v>1.8623400000000001</v>
      </c>
      <c r="IH28">
        <v>1.8632500000000001</v>
      </c>
      <c r="II28">
        <v>1.86127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-11</v>
      </c>
      <c r="IX28">
        <v>-0.54510000000000003</v>
      </c>
      <c r="IY28">
        <v>-8.9937726425523508</v>
      </c>
      <c r="IZ28">
        <v>-5.6215304933332991E-3</v>
      </c>
      <c r="JA28">
        <v>2.3979931213773931E-6</v>
      </c>
      <c r="JB28">
        <v>-3.6297174575716598E-10</v>
      </c>
      <c r="JC28">
        <v>-0.88568536504003736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1.4</v>
      </c>
      <c r="JL28">
        <v>1.2</v>
      </c>
      <c r="JM28">
        <v>1.1340300000000001</v>
      </c>
      <c r="JN28">
        <v>2.49634</v>
      </c>
      <c r="JO28">
        <v>1.50024</v>
      </c>
      <c r="JP28">
        <v>2.2766099999999998</v>
      </c>
      <c r="JQ28">
        <v>1.4477500000000001</v>
      </c>
      <c r="JR28">
        <v>2.4243199999999998</v>
      </c>
      <c r="JS28">
        <v>35.987900000000003</v>
      </c>
      <c r="JT28">
        <v>24.105</v>
      </c>
      <c r="JU28">
        <v>18</v>
      </c>
      <c r="JV28">
        <v>532.548</v>
      </c>
      <c r="JW28">
        <v>474.35899999999998</v>
      </c>
      <c r="JX28">
        <v>24.1951</v>
      </c>
      <c r="JY28">
        <v>27.368600000000001</v>
      </c>
      <c r="JZ28">
        <v>29.9999</v>
      </c>
      <c r="KA28">
        <v>27.419799999999999</v>
      </c>
      <c r="KB28">
        <v>27.435500000000001</v>
      </c>
      <c r="KC28">
        <v>22.685400000000001</v>
      </c>
      <c r="KD28">
        <v>35.0837</v>
      </c>
      <c r="KE28">
        <v>0</v>
      </c>
      <c r="KF28">
        <v>24.195399999999999</v>
      </c>
      <c r="KG28">
        <v>435.38900000000001</v>
      </c>
      <c r="KH28">
        <v>20.221900000000002</v>
      </c>
      <c r="KI28">
        <v>101.122</v>
      </c>
      <c r="KJ28">
        <v>98.392099999999999</v>
      </c>
    </row>
    <row r="29" spans="1:296" x14ac:dyDescent="0.3">
      <c r="A29">
        <v>13</v>
      </c>
      <c r="B29">
        <v>1785952271.5999999</v>
      </c>
      <c r="C29">
        <v>3068</v>
      </c>
      <c r="D29" t="s">
        <v>723</v>
      </c>
      <c r="E29" t="s">
        <v>724</v>
      </c>
      <c r="F29">
        <v>15</v>
      </c>
      <c r="H29">
        <v>1785952263.849999</v>
      </c>
      <c r="I29">
        <f t="shared" si="0"/>
        <v>9.0752917988964313E-4</v>
      </c>
      <c r="J29">
        <f t="shared" si="1"/>
        <v>0.9075291798896431</v>
      </c>
      <c r="K29">
        <f t="shared" si="2"/>
        <v>8.0179860197275588</v>
      </c>
      <c r="L29">
        <f t="shared" si="3"/>
        <v>420.02273333333329</v>
      </c>
      <c r="M29">
        <f t="shared" si="4"/>
        <v>255.3514042248745</v>
      </c>
      <c r="N29">
        <f t="shared" si="5"/>
        <v>24.99379249537083</v>
      </c>
      <c r="O29">
        <f t="shared" si="6"/>
        <v>41.111820286004018</v>
      </c>
      <c r="P29">
        <f t="shared" si="7"/>
        <v>8.1972664570422835E-2</v>
      </c>
      <c r="Q29">
        <f t="shared" si="8"/>
        <v>2.8913944034471397</v>
      </c>
      <c r="R29">
        <f t="shared" si="9"/>
        <v>8.0703146377531843E-2</v>
      </c>
      <c r="S29">
        <f t="shared" si="10"/>
        <v>5.0551889836470562E-2</v>
      </c>
      <c r="T29">
        <f t="shared" si="11"/>
        <v>32.487142501754661</v>
      </c>
      <c r="U29">
        <f t="shared" si="12"/>
        <v>25.432989080182043</v>
      </c>
      <c r="V29">
        <f t="shared" si="13"/>
        <v>25.023073333333329</v>
      </c>
      <c r="W29">
        <f t="shared" si="14"/>
        <v>3.1840542198601853</v>
      </c>
      <c r="X29">
        <f t="shared" si="15"/>
        <v>64.594080636480285</v>
      </c>
      <c r="Y29">
        <f t="shared" si="16"/>
        <v>2.1131509728394038</v>
      </c>
      <c r="Z29">
        <f t="shared" si="17"/>
        <v>3.2714313014712624</v>
      </c>
      <c r="AA29">
        <f t="shared" si="18"/>
        <v>1.0709032470207815</v>
      </c>
      <c r="AB29">
        <f t="shared" si="19"/>
        <v>-40.022036833133264</v>
      </c>
      <c r="AC29">
        <f t="shared" si="20"/>
        <v>70.916955812328737</v>
      </c>
      <c r="AD29">
        <f t="shared" si="21"/>
        <v>5.2011328507083503</v>
      </c>
      <c r="AE29">
        <f t="shared" si="22"/>
        <v>68.58319433165849</v>
      </c>
      <c r="AF29">
        <f t="shared" si="23"/>
        <v>8.0179860197275588</v>
      </c>
      <c r="AG29">
        <f t="shared" si="24"/>
        <v>0.9075291798896431</v>
      </c>
      <c r="AH29">
        <f t="shared" si="25"/>
        <v>8.0258089591900514</v>
      </c>
      <c r="AI29">
        <v>439.11699301685741</v>
      </c>
      <c r="AJ29">
        <v>429.27968484848481</v>
      </c>
      <c r="AK29">
        <v>8.5813530198700387E-4</v>
      </c>
      <c r="AL29">
        <v>67.063221541543115</v>
      </c>
      <c r="AM29">
        <f t="shared" si="26"/>
        <v>0.89524285567003647</v>
      </c>
      <c r="AN29">
        <v>20.597891511278561</v>
      </c>
      <c r="AO29">
        <v>21.607786666666659</v>
      </c>
      <c r="AP29">
        <v>6.688008064891812E-3</v>
      </c>
      <c r="AQ29">
        <v>78.13659036880253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51999.057418126577</v>
      </c>
      <c r="AW29" t="s">
        <v>676</v>
      </c>
      <c r="AX29">
        <v>13220</v>
      </c>
      <c r="AY29">
        <v>673.38823529411764</v>
      </c>
      <c r="AZ29">
        <v>2594.1</v>
      </c>
      <c r="BA29">
        <f t="shared" si="30"/>
        <v>0.74041546767891853</v>
      </c>
      <c r="BB29">
        <v>-2.7089864722863091</v>
      </c>
      <c r="BC29" t="s">
        <v>725</v>
      </c>
      <c r="BD29">
        <v>13264.2</v>
      </c>
      <c r="BE29">
        <v>1058.7341176470591</v>
      </c>
      <c r="BF29">
        <v>2013.2</v>
      </c>
      <c r="BG29">
        <f t="shared" si="31"/>
        <v>0.47410385572866132</v>
      </c>
      <c r="BH29">
        <v>0.5</v>
      </c>
      <c r="BI29">
        <f t="shared" si="32"/>
        <v>168.30900233251538</v>
      </c>
      <c r="BJ29">
        <f t="shared" si="33"/>
        <v>8.0179860197275588</v>
      </c>
      <c r="BK29">
        <f t="shared" si="34"/>
        <v>39.897973479844893</v>
      </c>
      <c r="BL29">
        <f t="shared" si="35"/>
        <v>6.3733801183262911E-2</v>
      </c>
      <c r="BM29">
        <f t="shared" si="36"/>
        <v>0.2885455990462944</v>
      </c>
      <c r="BN29">
        <f t="shared" si="37"/>
        <v>626.46478594611995</v>
      </c>
      <c r="BO29" t="s">
        <v>408</v>
      </c>
      <c r="BP29">
        <v>0</v>
      </c>
      <c r="BQ29">
        <f t="shared" si="38"/>
        <v>626.46478594611995</v>
      </c>
      <c r="BR29">
        <f t="shared" si="39"/>
        <v>0.68882138588013109</v>
      </c>
      <c r="BS29">
        <f t="shared" si="40"/>
        <v>0.68828271805597652</v>
      </c>
      <c r="BT29">
        <f t="shared" si="41"/>
        <v>0.29522748721455488</v>
      </c>
      <c r="BU29">
        <f t="shared" si="42"/>
        <v>0.71238804397457034</v>
      </c>
      <c r="BV29">
        <f t="shared" si="43"/>
        <v>0.30243996557648661</v>
      </c>
      <c r="BW29">
        <f t="shared" si="44"/>
        <v>0.40726456099820452</v>
      </c>
      <c r="BX29">
        <f t="shared" si="45"/>
        <v>0.59273543900179548</v>
      </c>
      <c r="DG29">
        <f t="shared" si="46"/>
        <v>200.02</v>
      </c>
      <c r="DH29">
        <f t="shared" si="47"/>
        <v>168.30900233251538</v>
      </c>
      <c r="DI29">
        <f t="shared" si="48"/>
        <v>0.84146086557601918</v>
      </c>
      <c r="DJ29">
        <f t="shared" si="49"/>
        <v>0.16241947056171713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1785952263.849999</v>
      </c>
      <c r="DQ29">
        <v>420.02273333333329</v>
      </c>
      <c r="DR29">
        <v>430.10173333333341</v>
      </c>
      <c r="DS29">
        <v>21.58920333333333</v>
      </c>
      <c r="DT29">
        <v>20.523679999999999</v>
      </c>
      <c r="DU29">
        <v>430.9971000000001</v>
      </c>
      <c r="DV29">
        <v>22.132993333333339</v>
      </c>
      <c r="DW29">
        <v>500.00013333333328</v>
      </c>
      <c r="DX29">
        <v>97.831046666666666</v>
      </c>
      <c r="DY29">
        <v>4.8941779999999983E-2</v>
      </c>
      <c r="DZ29">
        <v>25.478016666666669</v>
      </c>
      <c r="EA29">
        <v>25.023073333333329</v>
      </c>
      <c r="EB29">
        <v>999.9000000000002</v>
      </c>
      <c r="EC29">
        <v>0</v>
      </c>
      <c r="ED29">
        <v>0</v>
      </c>
      <c r="EE29">
        <v>10001</v>
      </c>
      <c r="EF29">
        <v>0</v>
      </c>
      <c r="EG29">
        <v>49.723803333333343</v>
      </c>
      <c r="EH29">
        <v>-10.079015</v>
      </c>
      <c r="EI29">
        <v>429.2908666666666</v>
      </c>
      <c r="EJ29">
        <v>439.11393333333331</v>
      </c>
      <c r="EK29">
        <v>1.0655148000000001</v>
      </c>
      <c r="EL29">
        <v>430.10173333333341</v>
      </c>
      <c r="EM29">
        <v>20.523679999999999</v>
      </c>
      <c r="EN29">
        <v>2.1120950000000001</v>
      </c>
      <c r="EO29">
        <v>2.0078533333333342</v>
      </c>
      <c r="EP29">
        <v>18.310686666666669</v>
      </c>
      <c r="EQ29">
        <v>17.506356666666669</v>
      </c>
      <c r="ER29">
        <v>200.02</v>
      </c>
      <c r="ES29">
        <v>0.95004499999999981</v>
      </c>
      <c r="ET29">
        <v>4.9954699999999998E-2</v>
      </c>
      <c r="EU29">
        <v>0</v>
      </c>
      <c r="EV29">
        <v>1058.49</v>
      </c>
      <c r="EW29">
        <v>5.0010700000000003</v>
      </c>
      <c r="EX29">
        <v>2894.741</v>
      </c>
      <c r="EY29">
        <v>1752.0393333333341</v>
      </c>
      <c r="EZ29">
        <v>35.437266666666673</v>
      </c>
      <c r="FA29">
        <v>39.078866666666649</v>
      </c>
      <c r="FB29">
        <v>37.649799999999999</v>
      </c>
      <c r="FC29">
        <v>39.362199999999987</v>
      </c>
      <c r="FD29">
        <v>37.80813333333333</v>
      </c>
      <c r="FE29">
        <v>185.2773333333333</v>
      </c>
      <c r="FF29">
        <v>9.740000000000002</v>
      </c>
      <c r="FG29">
        <v>0</v>
      </c>
      <c r="FH29">
        <v>180.89999985694891</v>
      </c>
      <c r="FI29">
        <v>0</v>
      </c>
      <c r="FJ29">
        <v>1058.7341176470591</v>
      </c>
      <c r="FK29">
        <v>5.3333333435594241</v>
      </c>
      <c r="FL29">
        <v>9.0490197570867501</v>
      </c>
      <c r="FM29">
        <v>2896.115294117647</v>
      </c>
      <c r="FN29">
        <v>10</v>
      </c>
      <c r="FO29">
        <v>1785952197.5999999</v>
      </c>
      <c r="FP29" t="s">
        <v>726</v>
      </c>
      <c r="FQ29">
        <v>1785952197.5999999</v>
      </c>
      <c r="FR29">
        <v>1785952195.0999999</v>
      </c>
      <c r="FS29">
        <v>43</v>
      </c>
      <c r="FT29">
        <v>2.5999999999999999E-2</v>
      </c>
      <c r="FU29">
        <v>0</v>
      </c>
      <c r="FV29">
        <v>-11.013</v>
      </c>
      <c r="FW29">
        <v>-0.57699999999999996</v>
      </c>
      <c r="FX29">
        <v>430</v>
      </c>
      <c r="FY29">
        <v>20</v>
      </c>
      <c r="FZ29">
        <v>0.94</v>
      </c>
      <c r="GA29">
        <v>0.26</v>
      </c>
      <c r="GB29">
        <v>420.02789999999999</v>
      </c>
      <c r="GC29">
        <v>-0.26800444938626861</v>
      </c>
      <c r="GD29">
        <v>5.0168615687497489E-2</v>
      </c>
      <c r="GE29">
        <v>-1</v>
      </c>
      <c r="GF29">
        <v>1058.1441176470589</v>
      </c>
      <c r="GG29">
        <v>4.8959511100176476</v>
      </c>
      <c r="GH29">
        <v>0.50606973273894795</v>
      </c>
      <c r="GI29">
        <v>1</v>
      </c>
      <c r="GJ29">
        <v>1.082306175</v>
      </c>
      <c r="GK29">
        <v>-0.34155461538461812</v>
      </c>
      <c r="GL29">
        <v>4.0619871871959111E-2</v>
      </c>
      <c r="GM29">
        <v>1</v>
      </c>
      <c r="GN29">
        <v>2</v>
      </c>
      <c r="GO29">
        <v>2</v>
      </c>
      <c r="GP29" t="s">
        <v>411</v>
      </c>
      <c r="GQ29">
        <v>3.1314199999999999</v>
      </c>
      <c r="GR29">
        <v>2.7258399999999998</v>
      </c>
      <c r="GS29">
        <v>9.3868099999999996E-2</v>
      </c>
      <c r="GT29">
        <v>9.4439300000000004E-2</v>
      </c>
      <c r="GU29">
        <v>0.10742699999999999</v>
      </c>
      <c r="GV29">
        <v>0.102467</v>
      </c>
      <c r="GW29">
        <v>22921.4</v>
      </c>
      <c r="GX29">
        <v>30497.4</v>
      </c>
      <c r="GY29">
        <v>27409.599999999999</v>
      </c>
      <c r="GZ29">
        <v>34586.5</v>
      </c>
      <c r="HA29">
        <v>35787.800000000003</v>
      </c>
      <c r="HB29">
        <v>39065.4</v>
      </c>
      <c r="HC29">
        <v>40454.9</v>
      </c>
      <c r="HD29">
        <v>43618</v>
      </c>
      <c r="HE29">
        <v>2.0333999999999999</v>
      </c>
      <c r="HF29">
        <v>1.9176</v>
      </c>
      <c r="HG29">
        <v>3.3080600000000002E-2</v>
      </c>
      <c r="HH29">
        <v>0</v>
      </c>
      <c r="HI29">
        <v>24.479299999999999</v>
      </c>
      <c r="HJ29">
        <v>999.9</v>
      </c>
      <c r="HK29">
        <v>60.3</v>
      </c>
      <c r="HL29">
        <v>31.3</v>
      </c>
      <c r="HM29">
        <v>28.286200000000001</v>
      </c>
      <c r="HN29">
        <v>60.400399999999998</v>
      </c>
      <c r="HO29">
        <v>4.3028899999999997</v>
      </c>
      <c r="HP29">
        <v>1</v>
      </c>
      <c r="HQ29">
        <v>4.2682900000000001E-3</v>
      </c>
      <c r="HR29">
        <v>0.63008699999999995</v>
      </c>
      <c r="HS29">
        <v>20.2545</v>
      </c>
      <c r="HT29">
        <v>5.2160900000000003</v>
      </c>
      <c r="HU29">
        <v>11.902100000000001</v>
      </c>
      <c r="HV29">
        <v>4.9859999999999998</v>
      </c>
      <c r="HW29">
        <v>3.2704</v>
      </c>
      <c r="HX29">
        <v>9999</v>
      </c>
      <c r="HY29">
        <v>9999</v>
      </c>
      <c r="HZ29">
        <v>9999</v>
      </c>
      <c r="IA29">
        <v>999.9</v>
      </c>
      <c r="IB29">
        <v>1.86707</v>
      </c>
      <c r="IC29">
        <v>1.8626400000000001</v>
      </c>
      <c r="ID29">
        <v>1.8621799999999999</v>
      </c>
      <c r="IE29">
        <v>1.8616600000000001</v>
      </c>
      <c r="IF29">
        <v>1.86172</v>
      </c>
      <c r="IG29">
        <v>1.8623400000000001</v>
      </c>
      <c r="IH29">
        <v>1.8632500000000001</v>
      </c>
      <c r="II29">
        <v>1.86127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-10.975</v>
      </c>
      <c r="IX29">
        <v>-0.54320000000000002</v>
      </c>
      <c r="IY29">
        <v>-8.967826039060995</v>
      </c>
      <c r="IZ29">
        <v>-5.6215304933332991E-3</v>
      </c>
      <c r="JA29">
        <v>2.3979931213773931E-6</v>
      </c>
      <c r="JB29">
        <v>-3.6297174575716598E-10</v>
      </c>
      <c r="JC29">
        <v>-0.88533444740884581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1.2</v>
      </c>
      <c r="JL29">
        <v>1.3</v>
      </c>
      <c r="JM29">
        <v>1.1242700000000001</v>
      </c>
      <c r="JN29">
        <v>2.49756</v>
      </c>
      <c r="JO29">
        <v>1.50024</v>
      </c>
      <c r="JP29">
        <v>2.2766099999999998</v>
      </c>
      <c r="JQ29">
        <v>1.4477500000000001</v>
      </c>
      <c r="JR29">
        <v>2.3706100000000001</v>
      </c>
      <c r="JS29">
        <v>35.871099999999998</v>
      </c>
      <c r="JT29">
        <v>24.105</v>
      </c>
      <c r="JU29">
        <v>18</v>
      </c>
      <c r="JV29">
        <v>531.51900000000001</v>
      </c>
      <c r="JW29">
        <v>474.41899999999998</v>
      </c>
      <c r="JX29">
        <v>24.3629</v>
      </c>
      <c r="JY29">
        <v>27.2898</v>
      </c>
      <c r="JZ29">
        <v>29.9999</v>
      </c>
      <c r="KA29">
        <v>27.348600000000001</v>
      </c>
      <c r="KB29">
        <v>27.366299999999999</v>
      </c>
      <c r="KC29">
        <v>22.476299999999998</v>
      </c>
      <c r="KD29">
        <v>34.230200000000004</v>
      </c>
      <c r="KE29">
        <v>0</v>
      </c>
      <c r="KF29">
        <v>24.367899999999999</v>
      </c>
      <c r="KG29">
        <v>430.1</v>
      </c>
      <c r="KH29">
        <v>20.572099999999999</v>
      </c>
      <c r="KI29">
        <v>101.128</v>
      </c>
      <c r="KJ29">
        <v>98.397900000000007</v>
      </c>
    </row>
    <row r="30" spans="1:296" x14ac:dyDescent="0.3">
      <c r="A30">
        <v>14</v>
      </c>
      <c r="B30">
        <v>1785952453.0999999</v>
      </c>
      <c r="C30">
        <v>3249.5</v>
      </c>
      <c r="D30" t="s">
        <v>727</v>
      </c>
      <c r="E30" t="s">
        <v>728</v>
      </c>
      <c r="F30">
        <v>15</v>
      </c>
      <c r="H30">
        <v>1785952445.099999</v>
      </c>
      <c r="I30">
        <f t="shared" si="0"/>
        <v>8.3617291333438917E-4</v>
      </c>
      <c r="J30">
        <f t="shared" si="1"/>
        <v>0.83617291333438915</v>
      </c>
      <c r="K30">
        <f t="shared" si="2"/>
        <v>3.2367058051848838</v>
      </c>
      <c r="L30">
        <f t="shared" si="3"/>
        <v>419.94587096774188</v>
      </c>
      <c r="M30">
        <f t="shared" si="4"/>
        <v>344.07450239359423</v>
      </c>
      <c r="N30">
        <f t="shared" si="5"/>
        <v>33.674461846100613</v>
      </c>
      <c r="O30">
        <f t="shared" si="6"/>
        <v>41.099968497967929</v>
      </c>
      <c r="P30">
        <f t="shared" si="7"/>
        <v>7.5928704857976245E-2</v>
      </c>
      <c r="Q30">
        <f t="shared" si="8"/>
        <v>2.891516449783599</v>
      </c>
      <c r="R30">
        <f t="shared" si="9"/>
        <v>7.4838194423720403E-2</v>
      </c>
      <c r="S30">
        <f t="shared" si="10"/>
        <v>4.6870544748770851E-2</v>
      </c>
      <c r="T30">
        <f t="shared" si="11"/>
        <v>16.510518130664785</v>
      </c>
      <c r="U30">
        <f t="shared" si="12"/>
        <v>25.288453770045795</v>
      </c>
      <c r="V30">
        <f t="shared" si="13"/>
        <v>25.002967741935489</v>
      </c>
      <c r="W30">
        <f t="shared" si="14"/>
        <v>3.1802402267922187</v>
      </c>
      <c r="X30">
        <f t="shared" si="15"/>
        <v>64.952477076295992</v>
      </c>
      <c r="Y30">
        <f t="shared" si="16"/>
        <v>2.1163241985333801</v>
      </c>
      <c r="Z30">
        <f t="shared" si="17"/>
        <v>3.2582655716847477</v>
      </c>
      <c r="AA30">
        <f t="shared" si="18"/>
        <v>1.0639160282588387</v>
      </c>
      <c r="AB30">
        <f t="shared" si="19"/>
        <v>-36.875225478046559</v>
      </c>
      <c r="AC30">
        <f t="shared" si="20"/>
        <v>63.474849153679848</v>
      </c>
      <c r="AD30">
        <f t="shared" si="21"/>
        <v>4.6530636962084087</v>
      </c>
      <c r="AE30">
        <f t="shared" si="22"/>
        <v>47.76320550250648</v>
      </c>
      <c r="AF30">
        <f t="shared" si="23"/>
        <v>3.2367058051848838</v>
      </c>
      <c r="AG30">
        <f t="shared" si="24"/>
        <v>0.83617291333438915</v>
      </c>
      <c r="AH30">
        <f t="shared" si="25"/>
        <v>3.0207795915259759</v>
      </c>
      <c r="AI30">
        <v>433.16761573336839</v>
      </c>
      <c r="AJ30">
        <v>429.28747878787863</v>
      </c>
      <c r="AK30">
        <v>3.3781661838364771E-2</v>
      </c>
      <c r="AL30">
        <v>67.066599307372996</v>
      </c>
      <c r="AM30">
        <f t="shared" si="26"/>
        <v>0.82625102270253192</v>
      </c>
      <c r="AN30">
        <v>20.642627111615571</v>
      </c>
      <c r="AO30">
        <v>21.613236363636361</v>
      </c>
      <c r="AP30">
        <v>-7.7988721577666446E-5</v>
      </c>
      <c r="AQ30">
        <v>78.154575307560862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52014.157357217722</v>
      </c>
      <c r="AW30" t="s">
        <v>676</v>
      </c>
      <c r="AX30">
        <v>13220</v>
      </c>
      <c r="AY30">
        <v>673.38823529411764</v>
      </c>
      <c r="AZ30">
        <v>2594.1</v>
      </c>
      <c r="BA30">
        <f t="shared" si="30"/>
        <v>0.74041546767891853</v>
      </c>
      <c r="BB30">
        <v>-2.7089864722863091</v>
      </c>
      <c r="BC30" t="s">
        <v>729</v>
      </c>
      <c r="BD30">
        <v>13264.5</v>
      </c>
      <c r="BE30">
        <v>1074.2011764705881</v>
      </c>
      <c r="BF30">
        <v>2125.42</v>
      </c>
      <c r="BG30">
        <f t="shared" si="31"/>
        <v>0.4945934561307469</v>
      </c>
      <c r="BH30">
        <v>0.5</v>
      </c>
      <c r="BI30">
        <f t="shared" si="32"/>
        <v>84.287563330279227</v>
      </c>
      <c r="BJ30">
        <f t="shared" si="33"/>
        <v>3.2367058051848838</v>
      </c>
      <c r="BK30">
        <f t="shared" si="34"/>
        <v>20.844038628181004</v>
      </c>
      <c r="BL30">
        <f t="shared" si="35"/>
        <v>7.0540564260626562E-2</v>
      </c>
      <c r="BM30">
        <f t="shared" si="36"/>
        <v>0.22051171062660549</v>
      </c>
      <c r="BN30">
        <f t="shared" si="37"/>
        <v>636.92948143010142</v>
      </c>
      <c r="BO30" t="s">
        <v>408</v>
      </c>
      <c r="BP30">
        <v>0</v>
      </c>
      <c r="BQ30">
        <f t="shared" si="38"/>
        <v>636.92948143010142</v>
      </c>
      <c r="BR30">
        <f t="shared" si="39"/>
        <v>0.70032770867400262</v>
      </c>
      <c r="BS30">
        <f t="shared" si="40"/>
        <v>0.70623145422477707</v>
      </c>
      <c r="BT30">
        <f t="shared" si="41"/>
        <v>0.239468148305475</v>
      </c>
      <c r="BU30">
        <f t="shared" si="42"/>
        <v>0.72396406819815173</v>
      </c>
      <c r="BV30">
        <f t="shared" si="43"/>
        <v>0.24401370815353371</v>
      </c>
      <c r="BW30">
        <f t="shared" si="44"/>
        <v>0.41874803692446882</v>
      </c>
      <c r="BX30">
        <f t="shared" si="45"/>
        <v>0.58125196307553118</v>
      </c>
      <c r="DG30">
        <f t="shared" si="46"/>
        <v>100.003064516129</v>
      </c>
      <c r="DH30">
        <f t="shared" si="47"/>
        <v>84.287563330279227</v>
      </c>
      <c r="DI30">
        <f t="shared" si="48"/>
        <v>0.84284980403460441</v>
      </c>
      <c r="DJ30">
        <f t="shared" si="49"/>
        <v>0.16510012178678668</v>
      </c>
      <c r="DK30">
        <v>6</v>
      </c>
      <c r="DL30">
        <v>0.5</v>
      </c>
      <c r="DM30" t="s">
        <v>409</v>
      </c>
      <c r="DN30">
        <v>2</v>
      </c>
      <c r="DO30" t="b">
        <v>0</v>
      </c>
      <c r="DP30">
        <v>1785952445.099999</v>
      </c>
      <c r="DQ30">
        <v>419.94587096774188</v>
      </c>
      <c r="DR30">
        <v>424.25154838709682</v>
      </c>
      <c r="DS30">
        <v>21.623899999999999</v>
      </c>
      <c r="DT30">
        <v>20.642132258064521</v>
      </c>
      <c r="DU30">
        <v>430.89351612903232</v>
      </c>
      <c r="DV30">
        <v>22.16581935483871</v>
      </c>
      <c r="DW30">
        <v>499.9705483870967</v>
      </c>
      <c r="DX30">
        <v>97.820864516129021</v>
      </c>
      <c r="DY30">
        <v>4.8816648387096782E-2</v>
      </c>
      <c r="DZ30">
        <v>25.410151612903221</v>
      </c>
      <c r="EA30">
        <v>25.002967741935489</v>
      </c>
      <c r="EB30">
        <v>999.90000000000032</v>
      </c>
      <c r="EC30">
        <v>0</v>
      </c>
      <c r="ED30">
        <v>0</v>
      </c>
      <c r="EE30">
        <v>10002.741935483869</v>
      </c>
      <c r="EF30">
        <v>0</v>
      </c>
      <c r="EG30">
        <v>52.884812903225807</v>
      </c>
      <c r="EH30">
        <v>-4.3056464516129029</v>
      </c>
      <c r="EI30">
        <v>429.22745161290328</v>
      </c>
      <c r="EJ30">
        <v>433.19354838709671</v>
      </c>
      <c r="EK30">
        <v>0.98176693548387095</v>
      </c>
      <c r="EL30">
        <v>424.25154838709682</v>
      </c>
      <c r="EM30">
        <v>20.642132258064521</v>
      </c>
      <c r="EN30">
        <v>2.115269677419354</v>
      </c>
      <c r="EO30">
        <v>2.0192319354838708</v>
      </c>
      <c r="EP30">
        <v>18.334638709677421</v>
      </c>
      <c r="EQ30">
        <v>17.595958064516129</v>
      </c>
      <c r="ER30">
        <v>100.003064516129</v>
      </c>
      <c r="ES30">
        <v>0.90004467741935501</v>
      </c>
      <c r="ET30">
        <v>9.9955490322580651E-2</v>
      </c>
      <c r="EU30">
        <v>0</v>
      </c>
      <c r="EV30">
        <v>1073.9106451612899</v>
      </c>
      <c r="EW30">
        <v>5.0010700000000003</v>
      </c>
      <c r="EX30">
        <v>1878.9561290322581</v>
      </c>
      <c r="EY30">
        <v>836.6135161290324</v>
      </c>
      <c r="EZ30">
        <v>35.281999999999996</v>
      </c>
      <c r="FA30">
        <v>40.084451612903209</v>
      </c>
      <c r="FB30">
        <v>37.755838709677413</v>
      </c>
      <c r="FC30">
        <v>40.860677419354843</v>
      </c>
      <c r="FD30">
        <v>38.288032258064497</v>
      </c>
      <c r="FE30">
        <v>85.505806451612926</v>
      </c>
      <c r="FF30">
        <v>9.5</v>
      </c>
      <c r="FG30">
        <v>0</v>
      </c>
      <c r="FH30">
        <v>180.70000004768369</v>
      </c>
      <c r="FI30">
        <v>0</v>
      </c>
      <c r="FJ30">
        <v>1074.2011764705881</v>
      </c>
      <c r="FK30">
        <v>2.821078432951639</v>
      </c>
      <c r="FL30">
        <v>97.727941124662706</v>
      </c>
      <c r="FM30">
        <v>1884.1788235294121</v>
      </c>
      <c r="FN30">
        <v>10</v>
      </c>
      <c r="FO30">
        <v>1785952405.5999999</v>
      </c>
      <c r="FP30" t="s">
        <v>730</v>
      </c>
      <c r="FQ30">
        <v>1785952405.5999999</v>
      </c>
      <c r="FR30">
        <v>1785952397.0999999</v>
      </c>
      <c r="FS30">
        <v>44</v>
      </c>
      <c r="FT30">
        <v>2.5999999999999999E-2</v>
      </c>
      <c r="FU30">
        <v>1E-3</v>
      </c>
      <c r="FV30">
        <v>-10.964</v>
      </c>
      <c r="FW30">
        <v>-0.56699999999999995</v>
      </c>
      <c r="FX30">
        <v>424</v>
      </c>
      <c r="FY30">
        <v>21</v>
      </c>
      <c r="FZ30">
        <v>1.53</v>
      </c>
      <c r="GA30">
        <v>0.25</v>
      </c>
      <c r="GB30">
        <v>419.94458064516118</v>
      </c>
      <c r="GC30">
        <v>-8.0709677420876438E-2</v>
      </c>
      <c r="GD30">
        <v>4.3167172558327097E-2</v>
      </c>
      <c r="GE30">
        <v>-1</v>
      </c>
      <c r="GF30">
        <v>1073.5338235294121</v>
      </c>
      <c r="GG30">
        <v>6.600916734449445</v>
      </c>
      <c r="GH30">
        <v>0.70638272706333038</v>
      </c>
      <c r="GI30">
        <v>1</v>
      </c>
      <c r="GJ30">
        <v>0.98890741463414611</v>
      </c>
      <c r="GK30">
        <v>-0.11965082926829181</v>
      </c>
      <c r="GL30">
        <v>1.217376722656612E-2</v>
      </c>
      <c r="GM30">
        <v>1</v>
      </c>
      <c r="GN30">
        <v>2</v>
      </c>
      <c r="GO30">
        <v>2</v>
      </c>
      <c r="GP30" t="s">
        <v>411</v>
      </c>
      <c r="GQ30">
        <v>3.1314700000000002</v>
      </c>
      <c r="GR30">
        <v>2.7250999999999999</v>
      </c>
      <c r="GS30">
        <v>9.3860499999999999E-2</v>
      </c>
      <c r="GT30">
        <v>9.34783E-2</v>
      </c>
      <c r="GU30">
        <v>0.107436</v>
      </c>
      <c r="GV30">
        <v>0.10256</v>
      </c>
      <c r="GW30">
        <v>22924.3</v>
      </c>
      <c r="GX30">
        <v>30532.7</v>
      </c>
      <c r="GY30">
        <v>27412.400000000001</v>
      </c>
      <c r="GZ30">
        <v>34589.199999999997</v>
      </c>
      <c r="HA30">
        <v>35791.1</v>
      </c>
      <c r="HB30">
        <v>39062.800000000003</v>
      </c>
      <c r="HC30">
        <v>40459.5</v>
      </c>
      <c r="HD30">
        <v>43619.9</v>
      </c>
      <c r="HE30">
        <v>2.0341999999999998</v>
      </c>
      <c r="HF30">
        <v>1.9184000000000001</v>
      </c>
      <c r="HG30">
        <v>2.8103599999999999E-2</v>
      </c>
      <c r="HH30">
        <v>0</v>
      </c>
      <c r="HI30">
        <v>24.5457</v>
      </c>
      <c r="HJ30">
        <v>999.9</v>
      </c>
      <c r="HK30">
        <v>60.4</v>
      </c>
      <c r="HL30">
        <v>31.3</v>
      </c>
      <c r="HM30">
        <v>28.3353</v>
      </c>
      <c r="HN30">
        <v>60.440399999999997</v>
      </c>
      <c r="HO30">
        <v>4.5192300000000003</v>
      </c>
      <c r="HP30">
        <v>1</v>
      </c>
      <c r="HQ30">
        <v>-1.82927E-3</v>
      </c>
      <c r="HR30">
        <v>0.52374699999999996</v>
      </c>
      <c r="HS30">
        <v>20.257300000000001</v>
      </c>
      <c r="HT30">
        <v>5.2137000000000002</v>
      </c>
      <c r="HU30">
        <v>11.902100000000001</v>
      </c>
      <c r="HV30">
        <v>4.9855999999999998</v>
      </c>
      <c r="HW30">
        <v>3.2706</v>
      </c>
      <c r="HX30">
        <v>9999</v>
      </c>
      <c r="HY30">
        <v>9999</v>
      </c>
      <c r="HZ30">
        <v>9999</v>
      </c>
      <c r="IA30">
        <v>999.9</v>
      </c>
      <c r="IB30">
        <v>1.86707</v>
      </c>
      <c r="IC30">
        <v>1.8626400000000001</v>
      </c>
      <c r="ID30">
        <v>1.8621799999999999</v>
      </c>
      <c r="IE30">
        <v>1.8616299999999999</v>
      </c>
      <c r="IF30">
        <v>1.86172</v>
      </c>
      <c r="IG30">
        <v>1.8623400000000001</v>
      </c>
      <c r="IH30">
        <v>1.8632500000000001</v>
      </c>
      <c r="II30">
        <v>1.86127</v>
      </c>
      <c r="IJ30">
        <v>0</v>
      </c>
      <c r="IK30">
        <v>0</v>
      </c>
      <c r="IL30">
        <v>0</v>
      </c>
      <c r="IM30">
        <v>4.5</v>
      </c>
      <c r="IN30" t="s">
        <v>412</v>
      </c>
      <c r="IO30" t="s">
        <v>413</v>
      </c>
      <c r="IP30" t="s">
        <v>414</v>
      </c>
      <c r="IQ30" t="s">
        <v>415</v>
      </c>
      <c r="IR30" t="s">
        <v>415</v>
      </c>
      <c r="IS30" t="s">
        <v>414</v>
      </c>
      <c r="IT30">
        <v>0</v>
      </c>
      <c r="IU30">
        <v>100</v>
      </c>
      <c r="IV30">
        <v>100</v>
      </c>
      <c r="IW30">
        <v>-10.948</v>
      </c>
      <c r="IX30">
        <v>-0.54220000000000002</v>
      </c>
      <c r="IY30">
        <v>-8.941641989686838</v>
      </c>
      <c r="IZ30">
        <v>-5.6215304933332991E-3</v>
      </c>
      <c r="JA30">
        <v>2.3979931213773931E-6</v>
      </c>
      <c r="JB30">
        <v>-3.6297174575716598E-10</v>
      </c>
      <c r="JC30">
        <v>-0.88432821221404412</v>
      </c>
      <c r="JD30">
        <v>2.7492919904454862E-4</v>
      </c>
      <c r="JE30">
        <v>8.6739513355948885E-4</v>
      </c>
      <c r="JF30">
        <v>-8.2500691715147318E-6</v>
      </c>
      <c r="JG30">
        <v>17</v>
      </c>
      <c r="JH30">
        <v>1914</v>
      </c>
      <c r="JI30">
        <v>2</v>
      </c>
      <c r="JJ30">
        <v>37</v>
      </c>
      <c r="JK30">
        <v>0.8</v>
      </c>
      <c r="JL30">
        <v>0.9</v>
      </c>
      <c r="JM30">
        <v>1.11206</v>
      </c>
      <c r="JN30">
        <v>2.49878</v>
      </c>
      <c r="JO30">
        <v>1.50024</v>
      </c>
      <c r="JP30">
        <v>2.2753899999999998</v>
      </c>
      <c r="JQ30">
        <v>1.4477500000000001</v>
      </c>
      <c r="JR30">
        <v>2.36572</v>
      </c>
      <c r="JS30">
        <v>35.754399999999997</v>
      </c>
      <c r="JT30">
        <v>24.096299999999999</v>
      </c>
      <c r="JU30">
        <v>18</v>
      </c>
      <c r="JV30">
        <v>531.25099999999998</v>
      </c>
      <c r="JW30">
        <v>474.214</v>
      </c>
      <c r="JX30">
        <v>24.4346</v>
      </c>
      <c r="JY30">
        <v>27.197399999999998</v>
      </c>
      <c r="JZ30">
        <v>29.9999</v>
      </c>
      <c r="KA30">
        <v>27.263200000000001</v>
      </c>
      <c r="KB30">
        <v>27.281400000000001</v>
      </c>
      <c r="KC30">
        <v>22.235299999999999</v>
      </c>
      <c r="KD30">
        <v>34.408900000000003</v>
      </c>
      <c r="KE30">
        <v>0</v>
      </c>
      <c r="KF30">
        <v>24.430800000000001</v>
      </c>
      <c r="KG30">
        <v>424.24099999999999</v>
      </c>
      <c r="KH30">
        <v>20.692599999999999</v>
      </c>
      <c r="KI30">
        <v>101.139</v>
      </c>
      <c r="KJ30">
        <v>98.403800000000004</v>
      </c>
    </row>
    <row r="31" spans="1:296" x14ac:dyDescent="0.3">
      <c r="A31">
        <v>15</v>
      </c>
      <c r="B31">
        <v>1785952634.5999999</v>
      </c>
      <c r="C31">
        <v>3431</v>
      </c>
      <c r="D31" t="s">
        <v>731</v>
      </c>
      <c r="E31" t="s">
        <v>732</v>
      </c>
      <c r="F31">
        <v>15</v>
      </c>
      <c r="H31">
        <v>1785952626.599999</v>
      </c>
      <c r="I31">
        <f t="shared" si="0"/>
        <v>6.7507260377760786E-4</v>
      </c>
      <c r="J31">
        <f t="shared" si="1"/>
        <v>0.6750726037776078</v>
      </c>
      <c r="K31">
        <f t="shared" si="2"/>
        <v>0.62323143985440232</v>
      </c>
      <c r="L31">
        <f t="shared" si="3"/>
        <v>419.97145161290331</v>
      </c>
      <c r="M31">
        <f t="shared" si="4"/>
        <v>396.38101409931397</v>
      </c>
      <c r="N31">
        <f t="shared" si="5"/>
        <v>38.784985503242929</v>
      </c>
      <c r="O31">
        <f t="shared" si="6"/>
        <v>41.093256445681341</v>
      </c>
      <c r="P31">
        <f t="shared" si="7"/>
        <v>6.1575981482648909E-2</v>
      </c>
      <c r="Q31">
        <f t="shared" si="8"/>
        <v>2.8914306691480256</v>
      </c>
      <c r="R31">
        <f t="shared" si="9"/>
        <v>6.0856653869896998E-2</v>
      </c>
      <c r="S31">
        <f t="shared" si="10"/>
        <v>3.8099337142474203E-2</v>
      </c>
      <c r="T31">
        <f t="shared" si="11"/>
        <v>8.2384654585684576</v>
      </c>
      <c r="U31">
        <f t="shared" si="12"/>
        <v>25.232239765217827</v>
      </c>
      <c r="V31">
        <f t="shared" si="13"/>
        <v>24.990038709677421</v>
      </c>
      <c r="W31">
        <f t="shared" si="14"/>
        <v>3.1777897232101222</v>
      </c>
      <c r="X31">
        <f t="shared" si="15"/>
        <v>65.310616068247796</v>
      </c>
      <c r="Y31">
        <f t="shared" si="16"/>
        <v>2.1217748495753104</v>
      </c>
      <c r="Z31">
        <f t="shared" si="17"/>
        <v>3.2487441970507738</v>
      </c>
      <c r="AA31">
        <f t="shared" si="18"/>
        <v>1.0560148736348118</v>
      </c>
      <c r="AB31">
        <f t="shared" si="19"/>
        <v>-29.770701826592507</v>
      </c>
      <c r="AC31">
        <f t="shared" si="20"/>
        <v>57.814420077326318</v>
      </c>
      <c r="AD31">
        <f t="shared" si="21"/>
        <v>4.2369227934464053</v>
      </c>
      <c r="AE31">
        <f t="shared" si="22"/>
        <v>40.51910650274867</v>
      </c>
      <c r="AF31">
        <f t="shared" si="23"/>
        <v>0.62323143985440232</v>
      </c>
      <c r="AG31">
        <f t="shared" si="24"/>
        <v>0.6750726037776078</v>
      </c>
      <c r="AH31">
        <f t="shared" si="25"/>
        <v>0.64648620329253148</v>
      </c>
      <c r="AI31">
        <v>430.12611076281331</v>
      </c>
      <c r="AJ31">
        <v>429.30551515151518</v>
      </c>
      <c r="AK31">
        <v>5.3396375731564177E-3</v>
      </c>
      <c r="AL31">
        <v>67.082525637393417</v>
      </c>
      <c r="AM31">
        <f t="shared" si="26"/>
        <v>0.67423403692291839</v>
      </c>
      <c r="AN31">
        <v>20.894995460693671</v>
      </c>
      <c r="AO31">
        <v>21.686419999999998</v>
      </c>
      <c r="AP31">
        <v>2.234527334900263E-5</v>
      </c>
      <c r="AQ31">
        <v>78.224346678230006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52019.799471662838</v>
      </c>
      <c r="AW31" t="s">
        <v>676</v>
      </c>
      <c r="AX31">
        <v>13220</v>
      </c>
      <c r="AY31">
        <v>673.38823529411764</v>
      </c>
      <c r="AZ31">
        <v>2594.1</v>
      </c>
      <c r="BA31">
        <f t="shared" si="30"/>
        <v>0.74041546767891853</v>
      </c>
      <c r="BB31">
        <v>-2.7089864722863091</v>
      </c>
      <c r="BC31" t="s">
        <v>733</v>
      </c>
      <c r="BD31">
        <v>13265.2</v>
      </c>
      <c r="BE31">
        <v>1057.7858823529409</v>
      </c>
      <c r="BF31">
        <v>2209.6799999999998</v>
      </c>
      <c r="BG31">
        <f t="shared" si="31"/>
        <v>0.52129453932110481</v>
      </c>
      <c r="BH31">
        <v>0.5</v>
      </c>
      <c r="BI31">
        <f t="shared" si="32"/>
        <v>42.12316129994354</v>
      </c>
      <c r="BJ31">
        <f t="shared" si="33"/>
        <v>0.62323143985440232</v>
      </c>
      <c r="BK31">
        <f t="shared" si="34"/>
        <v>10.979286982301328</v>
      </c>
      <c r="BL31">
        <f t="shared" si="35"/>
        <v>7.9106548732494536E-2</v>
      </c>
      <c r="BM31">
        <f t="shared" si="36"/>
        <v>0.17397089171282723</v>
      </c>
      <c r="BN31">
        <f t="shared" si="37"/>
        <v>644.29191415588775</v>
      </c>
      <c r="BO31" t="s">
        <v>408</v>
      </c>
      <c r="BP31">
        <v>0</v>
      </c>
      <c r="BQ31">
        <f t="shared" si="38"/>
        <v>644.29191415588775</v>
      </c>
      <c r="BR31">
        <f t="shared" si="39"/>
        <v>0.70842297791721531</v>
      </c>
      <c r="BS31">
        <f t="shared" si="40"/>
        <v>0.73585210470406592</v>
      </c>
      <c r="BT31">
        <f t="shared" si="41"/>
        <v>0.19715786532579524</v>
      </c>
      <c r="BU31">
        <f t="shared" si="42"/>
        <v>0.74978864308862914</v>
      </c>
      <c r="BV31">
        <f t="shared" si="43"/>
        <v>0.20014455425531594</v>
      </c>
      <c r="BW31">
        <f t="shared" si="44"/>
        <v>0.44820371398871817</v>
      </c>
      <c r="BX31">
        <f t="shared" si="45"/>
        <v>0.55179628601128183</v>
      </c>
      <c r="DG31">
        <f t="shared" si="46"/>
        <v>49.9857935483871</v>
      </c>
      <c r="DH31">
        <f t="shared" si="47"/>
        <v>42.12316129994354</v>
      </c>
      <c r="DI31">
        <f t="shared" si="48"/>
        <v>0.84270266229078872</v>
      </c>
      <c r="DJ31">
        <f t="shared" si="49"/>
        <v>0.16481613822122243</v>
      </c>
      <c r="DK31">
        <v>6</v>
      </c>
      <c r="DL31">
        <v>0.5</v>
      </c>
      <c r="DM31" t="s">
        <v>409</v>
      </c>
      <c r="DN31">
        <v>2</v>
      </c>
      <c r="DO31" t="b">
        <v>0</v>
      </c>
      <c r="DP31">
        <v>1785952626.599999</v>
      </c>
      <c r="DQ31">
        <v>419.97145161290331</v>
      </c>
      <c r="DR31">
        <v>421.0595806451613</v>
      </c>
      <c r="DS31">
        <v>21.68445483870968</v>
      </c>
      <c r="DT31">
        <v>20.8919064516129</v>
      </c>
      <c r="DU31">
        <v>430.92116129032252</v>
      </c>
      <c r="DV31">
        <v>22.223912903225809</v>
      </c>
      <c r="DW31">
        <v>499.98261290322591</v>
      </c>
      <c r="DX31">
        <v>97.798700000000011</v>
      </c>
      <c r="DY31">
        <v>4.9037716129032259E-2</v>
      </c>
      <c r="DZ31">
        <v>25.360922580645159</v>
      </c>
      <c r="EA31">
        <v>24.990038709677421</v>
      </c>
      <c r="EB31">
        <v>999.90000000000032</v>
      </c>
      <c r="EC31">
        <v>0</v>
      </c>
      <c r="ED31">
        <v>0</v>
      </c>
      <c r="EE31">
        <v>10004.516129032259</v>
      </c>
      <c r="EF31">
        <v>0</v>
      </c>
      <c r="EG31">
        <v>82.470087096774193</v>
      </c>
      <c r="EH31">
        <v>-1.0881088064516129</v>
      </c>
      <c r="EI31">
        <v>429.28025806451609</v>
      </c>
      <c r="EJ31">
        <v>430.04406451612903</v>
      </c>
      <c r="EK31">
        <v>0.79253370967741943</v>
      </c>
      <c r="EL31">
        <v>421.0595806451613</v>
      </c>
      <c r="EM31">
        <v>20.8919064516129</v>
      </c>
      <c r="EN31">
        <v>2.1207103225806461</v>
      </c>
      <c r="EO31">
        <v>2.0432009677419352</v>
      </c>
      <c r="EP31">
        <v>18.375593548387101</v>
      </c>
      <c r="EQ31">
        <v>17.78316451612903</v>
      </c>
      <c r="ER31">
        <v>49.9857935483871</v>
      </c>
      <c r="ES31">
        <v>0.89991593548387094</v>
      </c>
      <c r="ET31">
        <v>0.10008423870967741</v>
      </c>
      <c r="EU31">
        <v>0</v>
      </c>
      <c r="EV31">
        <v>1057.3861290322579</v>
      </c>
      <c r="EW31">
        <v>5.0010700000000003</v>
      </c>
      <c r="EX31">
        <v>1636.175806451613</v>
      </c>
      <c r="EY31">
        <v>396.12700000000001</v>
      </c>
      <c r="EZ31">
        <v>34.523935483870957</v>
      </c>
      <c r="FA31">
        <v>37.967483870967733</v>
      </c>
      <c r="FB31">
        <v>36.735645161290307</v>
      </c>
      <c r="FC31">
        <v>38.021935483870962</v>
      </c>
      <c r="FD31">
        <v>36.943290322580637</v>
      </c>
      <c r="FE31">
        <v>40.482258064516117</v>
      </c>
      <c r="FF31">
        <v>4.5032258064516126</v>
      </c>
      <c r="FG31">
        <v>0</v>
      </c>
      <c r="FH31">
        <v>180.89999985694891</v>
      </c>
      <c r="FI31">
        <v>0</v>
      </c>
      <c r="FJ31">
        <v>1057.7858823529409</v>
      </c>
      <c r="FK31">
        <v>2.8455882518246431</v>
      </c>
      <c r="FL31">
        <v>183.83578356494559</v>
      </c>
      <c r="FM31">
        <v>1637.6911764705881</v>
      </c>
      <c r="FN31">
        <v>10</v>
      </c>
      <c r="FO31">
        <v>1785952571.0999999</v>
      </c>
      <c r="FP31" t="s">
        <v>734</v>
      </c>
      <c r="FQ31">
        <v>1785952570.5999999</v>
      </c>
      <c r="FR31">
        <v>1785952571.0999999</v>
      </c>
      <c r="FS31">
        <v>45</v>
      </c>
      <c r="FT31">
        <v>-2E-3</v>
      </c>
      <c r="FU31">
        <v>1E-3</v>
      </c>
      <c r="FV31">
        <v>-10.954000000000001</v>
      </c>
      <c r="FW31">
        <v>-0.56399999999999995</v>
      </c>
      <c r="FX31">
        <v>421</v>
      </c>
      <c r="FY31">
        <v>21</v>
      </c>
      <c r="FZ31">
        <v>1.52</v>
      </c>
      <c r="GA31">
        <v>0.24</v>
      </c>
      <c r="GB31">
        <v>419.9681290322581</v>
      </c>
      <c r="GC31">
        <v>0.20501612903326419</v>
      </c>
      <c r="GD31">
        <v>5.0568217696484279E-2</v>
      </c>
      <c r="GE31">
        <v>-1</v>
      </c>
      <c r="GF31">
        <v>1057.0450000000001</v>
      </c>
      <c r="GG31">
        <v>7.0128342167079341</v>
      </c>
      <c r="GH31">
        <v>0.74809267277444513</v>
      </c>
      <c r="GI31">
        <v>1</v>
      </c>
      <c r="GJ31">
        <v>0.79348285365853644</v>
      </c>
      <c r="GK31">
        <v>1.645923344940803E-4</v>
      </c>
      <c r="GL31">
        <v>4.0360385646890564E-3</v>
      </c>
      <c r="GM31">
        <v>1</v>
      </c>
      <c r="GN31">
        <v>2</v>
      </c>
      <c r="GO31">
        <v>2</v>
      </c>
      <c r="GP31" t="s">
        <v>411</v>
      </c>
      <c r="GQ31">
        <v>3.1316799999999998</v>
      </c>
      <c r="GR31">
        <v>2.72546</v>
      </c>
      <c r="GS31">
        <v>9.3846200000000005E-2</v>
      </c>
      <c r="GT31">
        <v>9.2944899999999997E-2</v>
      </c>
      <c r="GU31">
        <v>0.10767599999999999</v>
      </c>
      <c r="GV31">
        <v>0.103438</v>
      </c>
      <c r="GW31">
        <v>22924.5</v>
      </c>
      <c r="GX31">
        <v>30553.5</v>
      </c>
      <c r="GY31">
        <v>27412.1</v>
      </c>
      <c r="GZ31">
        <v>34592.199999999997</v>
      </c>
      <c r="HA31">
        <v>35781.4</v>
      </c>
      <c r="HB31">
        <v>39027.599999999999</v>
      </c>
      <c r="HC31">
        <v>40459.599999999999</v>
      </c>
      <c r="HD31">
        <v>43623.7</v>
      </c>
      <c r="HE31">
        <v>2.0352000000000001</v>
      </c>
      <c r="HF31">
        <v>1.919</v>
      </c>
      <c r="HG31">
        <v>2.1010600000000001E-2</v>
      </c>
      <c r="HH31">
        <v>0</v>
      </c>
      <c r="HI31">
        <v>24.630600000000001</v>
      </c>
      <c r="HJ31">
        <v>999.9</v>
      </c>
      <c r="HK31">
        <v>60.5</v>
      </c>
      <c r="HL31">
        <v>31.4</v>
      </c>
      <c r="HM31">
        <v>28.5548</v>
      </c>
      <c r="HN31">
        <v>60.160400000000003</v>
      </c>
      <c r="HO31">
        <v>4.5152200000000002</v>
      </c>
      <c r="HP31">
        <v>1</v>
      </c>
      <c r="HQ31">
        <v>-3.0894300000000002E-3</v>
      </c>
      <c r="HR31">
        <v>0.59525099999999997</v>
      </c>
      <c r="HS31">
        <v>20.2578</v>
      </c>
      <c r="HT31">
        <v>5.2125000000000004</v>
      </c>
      <c r="HU31">
        <v>11.902100000000001</v>
      </c>
      <c r="HV31">
        <v>4.9867999999999997</v>
      </c>
      <c r="HW31">
        <v>3.2702</v>
      </c>
      <c r="HX31">
        <v>9999</v>
      </c>
      <c r="HY31">
        <v>9999</v>
      </c>
      <c r="HZ31">
        <v>9999</v>
      </c>
      <c r="IA31">
        <v>999.9</v>
      </c>
      <c r="IB31">
        <v>1.86707</v>
      </c>
      <c r="IC31">
        <v>1.8627</v>
      </c>
      <c r="ID31">
        <v>1.8621799999999999</v>
      </c>
      <c r="IE31">
        <v>1.8615999999999999</v>
      </c>
      <c r="IF31">
        <v>1.86172</v>
      </c>
      <c r="IG31">
        <v>1.8623400000000001</v>
      </c>
      <c r="IH31">
        <v>1.8632500000000001</v>
      </c>
      <c r="II31">
        <v>1.86127</v>
      </c>
      <c r="IJ31">
        <v>0</v>
      </c>
      <c r="IK31">
        <v>0</v>
      </c>
      <c r="IL31">
        <v>0</v>
      </c>
      <c r="IM31">
        <v>4.5</v>
      </c>
      <c r="IN31" t="s">
        <v>412</v>
      </c>
      <c r="IO31" t="s">
        <v>413</v>
      </c>
      <c r="IP31" t="s">
        <v>414</v>
      </c>
      <c r="IQ31" t="s">
        <v>415</v>
      </c>
      <c r="IR31" t="s">
        <v>415</v>
      </c>
      <c r="IS31" t="s">
        <v>414</v>
      </c>
      <c r="IT31">
        <v>0</v>
      </c>
      <c r="IU31">
        <v>100</v>
      </c>
      <c r="IV31">
        <v>100</v>
      </c>
      <c r="IW31">
        <v>-10.95</v>
      </c>
      <c r="IX31">
        <v>-0.5393</v>
      </c>
      <c r="IY31">
        <v>-8.9434930285118099</v>
      </c>
      <c r="IZ31">
        <v>-5.6215304933332991E-3</v>
      </c>
      <c r="JA31">
        <v>2.3979931213773931E-6</v>
      </c>
      <c r="JB31">
        <v>-3.6297174575716598E-10</v>
      </c>
      <c r="JC31">
        <v>-0.88342455770504968</v>
      </c>
      <c r="JD31">
        <v>2.7492919904454862E-4</v>
      </c>
      <c r="JE31">
        <v>8.6739513355948885E-4</v>
      </c>
      <c r="JF31">
        <v>-8.2500691715147318E-6</v>
      </c>
      <c r="JG31">
        <v>17</v>
      </c>
      <c r="JH31">
        <v>1914</v>
      </c>
      <c r="JI31">
        <v>2</v>
      </c>
      <c r="JJ31">
        <v>37</v>
      </c>
      <c r="JK31">
        <v>1.1000000000000001</v>
      </c>
      <c r="JL31">
        <v>1.1000000000000001</v>
      </c>
      <c r="JM31">
        <v>1.1059600000000001</v>
      </c>
      <c r="JN31">
        <v>2.50122</v>
      </c>
      <c r="JO31">
        <v>1.50024</v>
      </c>
      <c r="JP31">
        <v>2.2753899999999998</v>
      </c>
      <c r="JQ31">
        <v>1.4477500000000001</v>
      </c>
      <c r="JR31">
        <v>2.36938</v>
      </c>
      <c r="JS31">
        <v>35.6845</v>
      </c>
      <c r="JT31">
        <v>24.096299999999999</v>
      </c>
      <c r="JU31">
        <v>18</v>
      </c>
      <c r="JV31">
        <v>531.55100000000004</v>
      </c>
      <c r="JW31">
        <v>474.29</v>
      </c>
      <c r="JX31">
        <v>24.287400000000002</v>
      </c>
      <c r="JY31">
        <v>27.1767</v>
      </c>
      <c r="JZ31">
        <v>30</v>
      </c>
      <c r="KA31">
        <v>27.226400000000002</v>
      </c>
      <c r="KB31">
        <v>27.244800000000001</v>
      </c>
      <c r="KC31">
        <v>22.1067</v>
      </c>
      <c r="KD31">
        <v>34.039200000000001</v>
      </c>
      <c r="KE31">
        <v>0</v>
      </c>
      <c r="KF31">
        <v>24.279900000000001</v>
      </c>
      <c r="KG31">
        <v>421.07900000000001</v>
      </c>
      <c r="KH31">
        <v>20.840599999999998</v>
      </c>
      <c r="KI31">
        <v>101.139</v>
      </c>
      <c r="KJ31">
        <v>98.412300000000002</v>
      </c>
    </row>
    <row r="32" spans="1:296" x14ac:dyDescent="0.3">
      <c r="A32">
        <v>16</v>
      </c>
      <c r="B32">
        <v>1785952816.0999999</v>
      </c>
      <c r="C32">
        <v>3612.5</v>
      </c>
      <c r="D32" t="s">
        <v>735</v>
      </c>
      <c r="E32" t="s">
        <v>736</v>
      </c>
      <c r="F32">
        <v>15</v>
      </c>
      <c r="H32">
        <v>1785952808.349999</v>
      </c>
      <c r="I32">
        <f t="shared" si="0"/>
        <v>5.9130764863935946E-4</v>
      </c>
      <c r="J32">
        <f t="shared" si="1"/>
        <v>0.59130764863935947</v>
      </c>
      <c r="K32">
        <f t="shared" si="2"/>
        <v>-2.451634808074227</v>
      </c>
      <c r="L32">
        <f t="shared" si="3"/>
        <v>420.09166666666681</v>
      </c>
      <c r="M32">
        <f t="shared" si="4"/>
        <v>486.12029926036183</v>
      </c>
      <c r="N32">
        <f t="shared" si="5"/>
        <v>47.556424358085984</v>
      </c>
      <c r="O32">
        <f t="shared" si="6"/>
        <v>41.0969416411791</v>
      </c>
      <c r="P32">
        <f t="shared" si="7"/>
        <v>5.3379830386123484E-2</v>
      </c>
      <c r="Q32">
        <f t="shared" si="8"/>
        <v>2.8914967482050802</v>
      </c>
      <c r="R32">
        <f t="shared" si="9"/>
        <v>5.283835627402414E-2</v>
      </c>
      <c r="S32">
        <f t="shared" si="10"/>
        <v>3.3072164134323817E-2</v>
      </c>
      <c r="T32">
        <f t="shared" si="11"/>
        <v>1.5966703903835998E-4</v>
      </c>
      <c r="U32">
        <f t="shared" si="12"/>
        <v>25.220910997636103</v>
      </c>
      <c r="V32">
        <f t="shared" si="13"/>
        <v>24.993516666666661</v>
      </c>
      <c r="W32">
        <f t="shared" si="14"/>
        <v>3.1784487553512117</v>
      </c>
      <c r="X32">
        <f t="shared" si="15"/>
        <v>64.987695979489288</v>
      </c>
      <c r="Y32">
        <f t="shared" si="16"/>
        <v>2.1132712462711978</v>
      </c>
      <c r="Z32">
        <f t="shared" si="17"/>
        <v>3.2518020748699348</v>
      </c>
      <c r="AA32">
        <f t="shared" si="18"/>
        <v>1.065177509080014</v>
      </c>
      <c r="AB32">
        <f t="shared" si="19"/>
        <v>-26.076667304995752</v>
      </c>
      <c r="AC32">
        <f t="shared" si="20"/>
        <v>59.740334605694095</v>
      </c>
      <c r="AD32">
        <f t="shared" si="21"/>
        <v>4.3783883874776439</v>
      </c>
      <c r="AE32">
        <f t="shared" si="22"/>
        <v>38.042215355215021</v>
      </c>
      <c r="AF32">
        <f t="shared" si="23"/>
        <v>-2.451634808074227</v>
      </c>
      <c r="AG32">
        <f t="shared" si="24"/>
        <v>0.59130764863935947</v>
      </c>
      <c r="AH32">
        <f t="shared" si="25"/>
        <v>-2.5311647520280847</v>
      </c>
      <c r="AI32">
        <v>426.31561793639008</v>
      </c>
      <c r="AJ32">
        <v>429.4057454545453</v>
      </c>
      <c r="AK32">
        <v>2.3227461230486109E-3</v>
      </c>
      <c r="AL32">
        <v>67.063674894533435</v>
      </c>
      <c r="AM32">
        <f t="shared" si="26"/>
        <v>0.62662650086733584</v>
      </c>
      <c r="AN32">
        <v>20.911092373218981</v>
      </c>
      <c r="AO32">
        <v>21.622641818181801</v>
      </c>
      <c r="AP32">
        <v>3.9267746772766784E-3</v>
      </c>
      <c r="AQ32">
        <v>78.138383113232294</v>
      </c>
      <c r="AR32">
        <v>0</v>
      </c>
      <c r="AS32">
        <v>0</v>
      </c>
      <c r="AT32">
        <f t="shared" si="27"/>
        <v>1</v>
      </c>
      <c r="AU32">
        <f t="shared" si="28"/>
        <v>0</v>
      </c>
      <c r="AV32">
        <f t="shared" si="29"/>
        <v>52018.520248596848</v>
      </c>
      <c r="AW32" t="s">
        <v>624</v>
      </c>
      <c r="AX32">
        <v>13234.2</v>
      </c>
      <c r="AY32">
        <v>688.18235294117653</v>
      </c>
      <c r="AZ32">
        <v>2345.1</v>
      </c>
      <c r="BA32">
        <f t="shared" si="30"/>
        <v>0.70654455974535135</v>
      </c>
      <c r="BB32">
        <v>-2.4516348080741319</v>
      </c>
      <c r="BC32" t="s">
        <v>408</v>
      </c>
      <c r="BD32" t="s">
        <v>408</v>
      </c>
      <c r="BE32">
        <v>0</v>
      </c>
      <c r="BF32">
        <v>0</v>
      </c>
      <c r="BG32" t="e">
        <f t="shared" si="31"/>
        <v>#DIV/0!</v>
      </c>
      <c r="BH32">
        <v>0.5</v>
      </c>
      <c r="BI32">
        <f t="shared" si="32"/>
        <v>8.4035283704399992E-4</v>
      </c>
      <c r="BJ32">
        <f t="shared" si="33"/>
        <v>-2.451634808074227</v>
      </c>
      <c r="BK32" t="e">
        <f t="shared" si="34"/>
        <v>#DIV/0!</v>
      </c>
      <c r="BL32">
        <f t="shared" si="35"/>
        <v>-1.1308951040399411E-10</v>
      </c>
      <c r="BM32" t="e">
        <f t="shared" si="36"/>
        <v>#DIV/0!</v>
      </c>
      <c r="BN32" t="e">
        <f t="shared" si="37"/>
        <v>#DIV/0!</v>
      </c>
      <c r="BO32" t="s">
        <v>408</v>
      </c>
      <c r="BP32">
        <v>0</v>
      </c>
      <c r="BQ32" t="e">
        <f t="shared" si="38"/>
        <v>#DIV/0!</v>
      </c>
      <c r="BR32" t="e">
        <f t="shared" si="39"/>
        <v>#DIV/0!</v>
      </c>
      <c r="BS32" t="e">
        <f t="shared" si="40"/>
        <v>#DIV/0!</v>
      </c>
      <c r="BT32" t="e">
        <f t="shared" si="41"/>
        <v>#DIV/0!</v>
      </c>
      <c r="BU32">
        <f t="shared" si="42"/>
        <v>0</v>
      </c>
      <c r="BV32">
        <f t="shared" si="43"/>
        <v>1.4153389000127807</v>
      </c>
      <c r="BW32" t="e">
        <f t="shared" si="44"/>
        <v>#DIV/0!</v>
      </c>
      <c r="BX32" t="e">
        <f t="shared" si="45"/>
        <v>#DIV/0!</v>
      </c>
      <c r="DG32">
        <f t="shared" si="46"/>
        <v>1.00021E-2</v>
      </c>
      <c r="DH32">
        <f t="shared" si="47"/>
        <v>8.4035283704399992E-4</v>
      </c>
      <c r="DI32">
        <f t="shared" si="48"/>
        <v>8.4017639999999991E-2</v>
      </c>
      <c r="DJ32">
        <f t="shared" si="49"/>
        <v>1.5963351599999998E-2</v>
      </c>
      <c r="DK32">
        <v>6</v>
      </c>
      <c r="DL32">
        <v>0.5</v>
      </c>
      <c r="DM32" t="s">
        <v>409</v>
      </c>
      <c r="DN32">
        <v>2</v>
      </c>
      <c r="DO32" t="b">
        <v>0</v>
      </c>
      <c r="DP32">
        <v>1785952808.349999</v>
      </c>
      <c r="DQ32">
        <v>420.09166666666681</v>
      </c>
      <c r="DR32">
        <v>417.44766666666669</v>
      </c>
      <c r="DS32">
        <v>21.60179333333333</v>
      </c>
      <c r="DT32">
        <v>20.907520000000002</v>
      </c>
      <c r="DU32">
        <v>431.04523333333327</v>
      </c>
      <c r="DV32">
        <v>22.145426666666669</v>
      </c>
      <c r="DW32">
        <v>499.97686666666681</v>
      </c>
      <c r="DX32">
        <v>97.779763333333349</v>
      </c>
      <c r="DY32">
        <v>4.8746256666666661E-2</v>
      </c>
      <c r="DZ32">
        <v>25.376746666666659</v>
      </c>
      <c r="EA32">
        <v>24.993516666666661</v>
      </c>
      <c r="EB32">
        <v>999.9000000000002</v>
      </c>
      <c r="EC32">
        <v>0</v>
      </c>
      <c r="ED32">
        <v>0</v>
      </c>
      <c r="EE32">
        <v>10006.83333333333</v>
      </c>
      <c r="EF32">
        <v>0</v>
      </c>
      <c r="EG32">
        <v>96.168356666666668</v>
      </c>
      <c r="EH32">
        <v>2.644108000000001</v>
      </c>
      <c r="EI32">
        <v>429.36676666666671</v>
      </c>
      <c r="EJ32">
        <v>426.36176666666671</v>
      </c>
      <c r="EK32">
        <v>0.69427516666666667</v>
      </c>
      <c r="EL32">
        <v>417.44766666666669</v>
      </c>
      <c r="EM32">
        <v>20.907520000000002</v>
      </c>
      <c r="EN32">
        <v>2.1122203333333331</v>
      </c>
      <c r="EO32">
        <v>2.0443323333333341</v>
      </c>
      <c r="EP32">
        <v>18.31162333333334</v>
      </c>
      <c r="EQ32">
        <v>17.791936666666668</v>
      </c>
      <c r="ER32">
        <v>1.00021E-2</v>
      </c>
      <c r="ES32">
        <v>0</v>
      </c>
      <c r="ET32">
        <v>0</v>
      </c>
      <c r="EU32">
        <v>0</v>
      </c>
      <c r="EV32">
        <v>687.57166666666672</v>
      </c>
      <c r="EW32">
        <v>1.00021E-2</v>
      </c>
      <c r="EX32">
        <v>1204.8216666666669</v>
      </c>
      <c r="EY32">
        <v>0.50333333333333341</v>
      </c>
      <c r="EZ32">
        <v>35.418399999999998</v>
      </c>
      <c r="FA32">
        <v>40.71226666666665</v>
      </c>
      <c r="FB32">
        <v>38.162199999999977</v>
      </c>
      <c r="FC32">
        <v>41.91429999999999</v>
      </c>
      <c r="FD32">
        <v>38.316466666666663</v>
      </c>
      <c r="FE32">
        <v>0</v>
      </c>
      <c r="FF32">
        <v>0</v>
      </c>
      <c r="FG32">
        <v>0</v>
      </c>
      <c r="FH32">
        <v>180.70000004768369</v>
      </c>
      <c r="FI32">
        <v>0</v>
      </c>
      <c r="FJ32">
        <v>688.18235294117653</v>
      </c>
      <c r="FK32">
        <v>-0.53921544523752074</v>
      </c>
      <c r="FL32">
        <v>69.632352625531311</v>
      </c>
      <c r="FM32">
        <v>1204.373529411765</v>
      </c>
      <c r="FN32">
        <v>10</v>
      </c>
      <c r="FO32">
        <v>1785952758.0999999</v>
      </c>
      <c r="FP32" t="s">
        <v>737</v>
      </c>
      <c r="FQ32">
        <v>1785952758.0999999</v>
      </c>
      <c r="FR32">
        <v>1785952751.0999999</v>
      </c>
      <c r="FS32">
        <v>46</v>
      </c>
      <c r="FT32">
        <v>-3.0000000000000001E-3</v>
      </c>
      <c r="FU32">
        <v>-2E-3</v>
      </c>
      <c r="FV32">
        <v>-10.946</v>
      </c>
      <c r="FW32">
        <v>-0.56499999999999995</v>
      </c>
      <c r="FX32">
        <v>418</v>
      </c>
      <c r="FY32">
        <v>21</v>
      </c>
      <c r="FZ32">
        <v>1.8</v>
      </c>
      <c r="GA32">
        <v>0.36</v>
      </c>
      <c r="GB32">
        <v>420.09</v>
      </c>
      <c r="GC32">
        <v>5.488765294773873E-2</v>
      </c>
      <c r="GD32">
        <v>3.9285281382893632E-2</v>
      </c>
      <c r="GE32">
        <v>-1</v>
      </c>
      <c r="GF32">
        <v>686.80882352941171</v>
      </c>
      <c r="GG32">
        <v>9.2085561489245595</v>
      </c>
      <c r="GH32">
        <v>3.3939927594517632</v>
      </c>
      <c r="GI32">
        <v>1</v>
      </c>
      <c r="GJ32">
        <v>0.69212619999999991</v>
      </c>
      <c r="GK32">
        <v>5.6767789868666853E-2</v>
      </c>
      <c r="GL32">
        <v>7.3863028546086642E-3</v>
      </c>
      <c r="GM32">
        <v>1</v>
      </c>
      <c r="GN32">
        <v>2</v>
      </c>
      <c r="GO32">
        <v>2</v>
      </c>
      <c r="GP32" t="s">
        <v>411</v>
      </c>
      <c r="GQ32">
        <v>3.1312799999999998</v>
      </c>
      <c r="GR32">
        <v>2.72539</v>
      </c>
      <c r="GS32">
        <v>9.38388E-2</v>
      </c>
      <c r="GT32">
        <v>9.2287099999999997E-2</v>
      </c>
      <c r="GU32">
        <v>0.107448</v>
      </c>
      <c r="GV32">
        <v>0.10345799999999999</v>
      </c>
      <c r="GW32">
        <v>22923.9</v>
      </c>
      <c r="GX32">
        <v>30571.200000000001</v>
      </c>
      <c r="GY32">
        <v>27411.3</v>
      </c>
      <c r="GZ32">
        <v>34587.199999999997</v>
      </c>
      <c r="HA32">
        <v>35789.800000000003</v>
      </c>
      <c r="HB32">
        <v>39021.599999999999</v>
      </c>
      <c r="HC32">
        <v>40458.5</v>
      </c>
      <c r="HD32">
        <v>43618</v>
      </c>
      <c r="HE32">
        <v>2.036</v>
      </c>
      <c r="HF32">
        <v>1.9174</v>
      </c>
      <c r="HG32">
        <v>2.0116599999999998E-2</v>
      </c>
      <c r="HH32">
        <v>0</v>
      </c>
      <c r="HI32">
        <v>24.667899999999999</v>
      </c>
      <c r="HJ32">
        <v>999.9</v>
      </c>
      <c r="HK32">
        <v>60.6</v>
      </c>
      <c r="HL32">
        <v>31.4</v>
      </c>
      <c r="HM32">
        <v>28.6038</v>
      </c>
      <c r="HN32">
        <v>60.320399999999999</v>
      </c>
      <c r="HO32">
        <v>4.4631400000000001</v>
      </c>
      <c r="HP32">
        <v>1</v>
      </c>
      <c r="HQ32">
        <v>-1.13821E-3</v>
      </c>
      <c r="HR32">
        <v>0.48485800000000001</v>
      </c>
      <c r="HS32">
        <v>20.2576</v>
      </c>
      <c r="HT32">
        <v>5.2148899999999996</v>
      </c>
      <c r="HU32">
        <v>11.902100000000001</v>
      </c>
      <c r="HV32">
        <v>4.9875999999999996</v>
      </c>
      <c r="HW32">
        <v>3.2704</v>
      </c>
      <c r="HX32">
        <v>9999</v>
      </c>
      <c r="HY32">
        <v>9999</v>
      </c>
      <c r="HZ32">
        <v>9999</v>
      </c>
      <c r="IA32">
        <v>999.9</v>
      </c>
      <c r="IB32">
        <v>1.86707</v>
      </c>
      <c r="IC32">
        <v>1.86267</v>
      </c>
      <c r="ID32">
        <v>1.86215</v>
      </c>
      <c r="IE32">
        <v>1.8615999999999999</v>
      </c>
      <c r="IF32">
        <v>1.86172</v>
      </c>
      <c r="IG32">
        <v>1.8623400000000001</v>
      </c>
      <c r="IH32">
        <v>1.8632500000000001</v>
      </c>
      <c r="II32">
        <v>1.86127</v>
      </c>
      <c r="IJ32">
        <v>0</v>
      </c>
      <c r="IK32">
        <v>0</v>
      </c>
      <c r="IL32">
        <v>0</v>
      </c>
      <c r="IM32">
        <v>4.5</v>
      </c>
      <c r="IN32" t="s">
        <v>412</v>
      </c>
      <c r="IO32" t="s">
        <v>413</v>
      </c>
      <c r="IP32" t="s">
        <v>414</v>
      </c>
      <c r="IQ32" t="s">
        <v>415</v>
      </c>
      <c r="IR32" t="s">
        <v>415</v>
      </c>
      <c r="IS32" t="s">
        <v>414</v>
      </c>
      <c r="IT32">
        <v>0</v>
      </c>
      <c r="IU32">
        <v>100</v>
      </c>
      <c r="IV32">
        <v>100</v>
      </c>
      <c r="IW32">
        <v>-10.952999999999999</v>
      </c>
      <c r="IX32">
        <v>-0.54300000000000004</v>
      </c>
      <c r="IY32">
        <v>-8.9468075731601218</v>
      </c>
      <c r="IZ32">
        <v>-5.6215304933332991E-3</v>
      </c>
      <c r="JA32">
        <v>2.3979931213773931E-6</v>
      </c>
      <c r="JB32">
        <v>-3.6297174575716598E-10</v>
      </c>
      <c r="JC32">
        <v>-0.88549496560873342</v>
      </c>
      <c r="JD32">
        <v>2.7492919904454862E-4</v>
      </c>
      <c r="JE32">
        <v>8.6739513355948885E-4</v>
      </c>
      <c r="JF32">
        <v>-8.2500691715147318E-6</v>
      </c>
      <c r="JG32">
        <v>17</v>
      </c>
      <c r="JH32">
        <v>1914</v>
      </c>
      <c r="JI32">
        <v>2</v>
      </c>
      <c r="JJ32">
        <v>37</v>
      </c>
      <c r="JK32">
        <v>1</v>
      </c>
      <c r="JL32">
        <v>1.1000000000000001</v>
      </c>
      <c r="JM32">
        <v>1.09741</v>
      </c>
      <c r="JN32">
        <v>2.5</v>
      </c>
      <c r="JO32">
        <v>1.50024</v>
      </c>
      <c r="JP32">
        <v>2.2753899999999998</v>
      </c>
      <c r="JQ32">
        <v>1.4477500000000001</v>
      </c>
      <c r="JR32">
        <v>2.3168899999999999</v>
      </c>
      <c r="JS32">
        <v>35.614800000000002</v>
      </c>
      <c r="JT32">
        <v>24.105</v>
      </c>
      <c r="JU32">
        <v>18</v>
      </c>
      <c r="JV32">
        <v>532.07899999999995</v>
      </c>
      <c r="JW32">
        <v>473.26</v>
      </c>
      <c r="JX32">
        <v>24.317599999999999</v>
      </c>
      <c r="JY32">
        <v>27.1905</v>
      </c>
      <c r="JZ32">
        <v>30.000699999999998</v>
      </c>
      <c r="KA32">
        <v>27.2287</v>
      </c>
      <c r="KB32">
        <v>27.244800000000001</v>
      </c>
      <c r="KC32">
        <v>21.953600000000002</v>
      </c>
      <c r="KD32">
        <v>34.197699999999998</v>
      </c>
      <c r="KE32">
        <v>0</v>
      </c>
      <c r="KF32">
        <v>24.301300000000001</v>
      </c>
      <c r="KG32">
        <v>417.31</v>
      </c>
      <c r="KH32">
        <v>20.928000000000001</v>
      </c>
      <c r="KI32">
        <v>101.136</v>
      </c>
      <c r="KJ32">
        <v>98.398899999999998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7B53-5F1D-498B-8015-F2B51ADB65FF}">
  <dimension ref="A2:KJ29"/>
  <sheetViews>
    <sheetView workbookViewId="0">
      <selection activeCell="D7" sqref="D7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1785945802.5999999</v>
      </c>
      <c r="C17">
        <v>0</v>
      </c>
      <c r="D17" t="s">
        <v>738</v>
      </c>
      <c r="E17" t="s">
        <v>739</v>
      </c>
      <c r="F17">
        <v>15</v>
      </c>
      <c r="H17">
        <v>1785945794.849999</v>
      </c>
      <c r="I17">
        <f t="shared" ref="I17:I29" si="0">(J17)/1000</f>
        <v>1.6184586735864522E-3</v>
      </c>
      <c r="J17">
        <f t="shared" ref="J17:J29" si="1">IF(DO17, AM17, AG17)</f>
        <v>1.6184586735864521</v>
      </c>
      <c r="K17">
        <f t="shared" ref="K17:K29" si="2">IF(DO17, AH17, AF17)</f>
        <v>23.533285172544062</v>
      </c>
      <c r="L17">
        <f t="shared" ref="L17:L29" si="3">DQ17 - IF(AT17&gt;1, K17*DK17*100/(AV17), 0)</f>
        <v>419.46443333333332</v>
      </c>
      <c r="M17">
        <f t="shared" ref="M17:M29" si="4">((S17-I17/2)*L17-K17)/(S17+I17/2)</f>
        <v>154.07257608818185</v>
      </c>
      <c r="N17">
        <f t="shared" ref="N17:N29" si="5">M17*(DX17+DY17)/1000</f>
        <v>15.099147873818458</v>
      </c>
      <c r="O17">
        <f t="shared" ref="O17:O29" si="6">(DQ17 - IF(AT17&gt;1, K17*DK17*100/(AV17), 0))*(DX17+DY17)/1000</f>
        <v>41.107610890354159</v>
      </c>
      <c r="P17">
        <f t="shared" ref="P17:P29" si="7">2/((1/R17-1/Q17)+SIGN(R17)*SQRT((1/R17-1/Q17)*(1/R17-1/Q17) + 4*DL17/((DL17+1)*(DL17+1))*(2*1/R17*1/Q17-1/Q17*1/Q17)))</f>
        <v>0.14819627424944792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2.8917692449444159</v>
      </c>
      <c r="R17">
        <f t="shared" ref="R17:R29" si="9">I17*(1000-(1000*0.61365*EXP(17.502*V17/(240.97+V17))/(DX17+DY17)+DS17)/2)/(1000*0.61365*EXP(17.502*V17/(240.97+V17))/(DX17+DY17)-DS17)</f>
        <v>0.14410267835542573</v>
      </c>
      <c r="S17">
        <f t="shared" ref="S17:S29" si="10">1/((DL17+1)/(P17/1.6)+1/(Q17/1.37)) + DL17/((DL17+1)/(P17/1.6) + DL17/(Q17/1.37))</f>
        <v>9.0422548737572564E-2</v>
      </c>
      <c r="T17">
        <f t="shared" ref="T17:T29" si="11">(DG17*DJ17)</f>
        <v>319.77764282929701</v>
      </c>
      <c r="U17">
        <f t="shared" ref="U17:U29" si="12">(DZ17+(T17+2*0.95*0.0000000567*(((DZ17+$B$7)+273)^4-(DZ17+273)^4)-44100*I17)/(1.84*29.3*Q17+8*0.95*0.0000000567*(DZ17+273)^3))</f>
        <v>26.733380254702269</v>
      </c>
      <c r="V17">
        <f t="shared" ref="V17:V29" si="13">($C$7*EA17+$D$7*EB17+$E$7*U17)</f>
        <v>24.980546666666669</v>
      </c>
      <c r="W17">
        <f t="shared" ref="W17:W29" si="14">0.61365*EXP(17.502*V17/(240.97+V17))</f>
        <v>3.1759916997953139</v>
      </c>
      <c r="X17">
        <f t="shared" ref="X17:X29" si="15">(Y17/Z17*100)</f>
        <v>65.226819674054667</v>
      </c>
      <c r="Y17">
        <f t="shared" ref="Y17:Y29" si="16">DS17*(DX17+DY17)/1000</f>
        <v>2.1049789508577503</v>
      </c>
      <c r="Z17">
        <f t="shared" ref="Z17:Z29" si="17">0.61365*EXP(17.502*DZ17/(240.97+DZ17))</f>
        <v>3.2271678450314658</v>
      </c>
      <c r="AA17">
        <f t="shared" ref="AA17:AA29" si="18">(W17-DS17*(DX17+DY17)/1000)</f>
        <v>1.0710127489375636</v>
      </c>
      <c r="AB17">
        <f t="shared" ref="AB17:AB29" si="19">(-I17*44100)</f>
        <v>-71.374027505162545</v>
      </c>
      <c r="AC17">
        <f t="shared" ref="AC17:AC29" si="20">2*29.3*Q17*0.92*(DZ17-V17)</f>
        <v>41.836050399199785</v>
      </c>
      <c r="AD17">
        <f t="shared" ref="AD17:AD29" si="21">2*0.95*0.0000000567*(((DZ17+$B$7)+273)^4-(V17+273)^4)</f>
        <v>3.0637167303255346</v>
      </c>
      <c r="AE17">
        <f t="shared" ref="AE17:AE29" si="22">T17+AD17+AB17+AC17</f>
        <v>293.30338245365982</v>
      </c>
      <c r="AF17">
        <f t="shared" ref="AF17:AF29" si="23">DW17*AT17*(DR17-DQ17*(1000-AT17*DT17)/(1000-AT17*DS17))/(100*DK17)</f>
        <v>23.533285172544062</v>
      </c>
      <c r="AG17">
        <f t="shared" ref="AG17:AG29" si="24">1000*DW17*AT17*(DS17-DT17)/(100*DK17*(1000-AT17*DS17))</f>
        <v>1.6184586735864521</v>
      </c>
      <c r="AH17">
        <f t="shared" ref="AH17:AH29" si="25">(AI17 - AJ17 - DX17*1000/(8.314*(DZ17+273.15)) * AL17/DW17 * AK17) * DW17/(100*DK17) * (1000 - DT17)/1000</f>
        <v>23.713955273647699</v>
      </c>
      <c r="AI17">
        <v>457.54123903478848</v>
      </c>
      <c r="AJ17">
        <v>428.66364848484858</v>
      </c>
      <c r="AK17">
        <v>-2.7770958068181729E-2</v>
      </c>
      <c r="AL17">
        <v>67.060750530573813</v>
      </c>
      <c r="AM17">
        <f t="shared" ref="AM17:AM29" si="26">(AO17 - AN17 + DX17*1000/(8.314*(DZ17+273.15)) * AQ17/DW17 * AP17) * DW17/(100*DK17) * 1000/(1000 - AO17)</f>
        <v>1.6106115147975992</v>
      </c>
      <c r="AN17">
        <v>19.57732759156346</v>
      </c>
      <c r="AO17">
        <v>21.470859393939399</v>
      </c>
      <c r="AP17">
        <v>-3.7596833027107521E-4</v>
      </c>
      <c r="AQ17">
        <v>78.131701322077831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52052.434311559111</v>
      </c>
      <c r="AW17" t="s">
        <v>740</v>
      </c>
      <c r="AX17">
        <v>13204</v>
      </c>
      <c r="AY17">
        <v>634.19117647058829</v>
      </c>
      <c r="AZ17">
        <v>2420.69</v>
      </c>
      <c r="BA17">
        <f t="shared" ref="BA17:BA29" si="30">1-AY17/AZ17</f>
        <v>0.73801222937650501</v>
      </c>
      <c r="BB17">
        <v>-2.939506487161454</v>
      </c>
      <c r="BC17" t="s">
        <v>741</v>
      </c>
      <c r="BD17">
        <v>13211</v>
      </c>
      <c r="BE17">
        <v>927.6641176470589</v>
      </c>
      <c r="BF17">
        <v>1060.51</v>
      </c>
      <c r="BG17">
        <f t="shared" ref="BG17:BG29" si="31">1-BE17/BF17</f>
        <v>0.12526603459933527</v>
      </c>
      <c r="BH17">
        <v>0.5</v>
      </c>
      <c r="BI17">
        <f t="shared" ref="BI17:BI29" si="32">DH17</f>
        <v>1680.3038406369417</v>
      </c>
      <c r="BJ17">
        <f t="shared" ref="BJ17:BJ29" si="33">K17</f>
        <v>23.533285172544062</v>
      </c>
      <c r="BK17">
        <f t="shared" ref="BK17:BK29" si="34">BG17*BH17*BI17</f>
        <v>105.24249951931154</v>
      </c>
      <c r="BL17">
        <f t="shared" ref="BL17:BL29" si="35">(BJ17-BB17)/BI17</f>
        <v>1.5754764715452087E-2</v>
      </c>
      <c r="BM17">
        <f t="shared" ref="BM17:BM29" si="36">(AZ17-BF17)/BF17</f>
        <v>1.2825715929128438</v>
      </c>
      <c r="BN17">
        <f t="shared" ref="BN17:BN29" si="37">AY17/(BA17+AY17/BF17)</f>
        <v>474.68757318715052</v>
      </c>
      <c r="BO17" t="s">
        <v>408</v>
      </c>
      <c r="BP17">
        <v>0</v>
      </c>
      <c r="BQ17">
        <f t="shared" ref="BQ17:BQ29" si="38">IF(BP17&lt;&gt;0, BP17, BN17)</f>
        <v>474.68757318715052</v>
      </c>
      <c r="BR17">
        <f t="shared" ref="BR17:BR29" si="39">1-BQ17/BF17</f>
        <v>0.55239689094195199</v>
      </c>
      <c r="BS17">
        <f t="shared" ref="BS17:BS29" si="40">(BF17-BE17)/(BF17-BQ17)</f>
        <v>0.22676817457413742</v>
      </c>
      <c r="BT17">
        <f t="shared" ref="BT17:BT29" si="41">(AZ17-BF17)/(AZ17-BQ17)</f>
        <v>0.69896110161984448</v>
      </c>
      <c r="BU17">
        <f t="shared" ref="BU17:BU29" si="42">(BF17-BE17)/(BF17-AY17)</f>
        <v>0.31161158039688591</v>
      </c>
      <c r="BV17">
        <f t="shared" ref="BV17:BV29" si="43">(AZ17-BF17)/(AZ17-AY17)</f>
        <v>0.76136630043384235</v>
      </c>
      <c r="BW17">
        <f t="shared" ref="BW17:BW29" si="44">(BS17*BQ17/BE17)</f>
        <v>0.11603772574248891</v>
      </c>
      <c r="BX17">
        <f t="shared" ref="BX17:BX29" si="45">(1-BW17)</f>
        <v>0.88396227425751106</v>
      </c>
      <c r="DG17">
        <f t="shared" ref="DG17:DG29" si="46">$B$11*EF17+$C$11*EG17+$F$11*ER17*(1-EU17)</f>
        <v>2000.0060000000001</v>
      </c>
      <c r="DH17">
        <f t="shared" ref="DH17:DH29" si="47">DG17*DI17</f>
        <v>1680.3038406369417</v>
      </c>
      <c r="DI17">
        <f t="shared" ref="DI17:DI29" si="48">($B$11*$D$9+$C$11*$D$9+$F$11*((FE17+EW17)/MAX(FE17+EW17+FF17, 0.1)*$I$9+FF17/MAX(FE17+EW17+FF17, 0.1)*$J$9))/($B$11+$C$11+$F$11)</f>
        <v>0.84014939987027115</v>
      </c>
      <c r="DJ17">
        <f t="shared" ref="DJ17:DJ29" si="49">($B$11*$K$9+$C$11*$K$9+$F$11*((FE17+EW17)/MAX(FE17+EW17+FF17, 0.1)*$P$9+FF17/MAX(FE17+EW17+FF17, 0.1)*$Q$9))/($B$11+$C$11+$F$11)</f>
        <v>0.15988834174962324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1785945794.849999</v>
      </c>
      <c r="DQ17">
        <v>419.46443333333332</v>
      </c>
      <c r="DR17">
        <v>448.51866666666672</v>
      </c>
      <c r="DS17">
        <v>21.479326666666658</v>
      </c>
      <c r="DT17">
        <v>19.578916666666672</v>
      </c>
      <c r="DU17">
        <v>430.49973333333332</v>
      </c>
      <c r="DV17">
        <v>22.010486666666669</v>
      </c>
      <c r="DW17">
        <v>500.00639999999999</v>
      </c>
      <c r="DX17">
        <v>97.954946666666643</v>
      </c>
      <c r="DY17">
        <v>4.5283206666666673E-2</v>
      </c>
      <c r="DZ17">
        <v>25.248896666666671</v>
      </c>
      <c r="EA17">
        <v>24.980546666666669</v>
      </c>
      <c r="EB17">
        <v>999.9000000000002</v>
      </c>
      <c r="EC17">
        <v>0</v>
      </c>
      <c r="ED17">
        <v>0</v>
      </c>
      <c r="EE17">
        <v>9990.5</v>
      </c>
      <c r="EF17">
        <v>0</v>
      </c>
      <c r="EG17">
        <v>34.922983333333327</v>
      </c>
      <c r="EH17">
        <v>-29.05416</v>
      </c>
      <c r="EI17">
        <v>428.67216666666661</v>
      </c>
      <c r="EJ17">
        <v>457.47550000000001</v>
      </c>
      <c r="EK17">
        <v>1.900408666666666</v>
      </c>
      <c r="EL17">
        <v>448.51866666666672</v>
      </c>
      <c r="EM17">
        <v>19.578916666666672</v>
      </c>
      <c r="EN17">
        <v>2.1040066666666668</v>
      </c>
      <c r="EO17">
        <v>1.917851333333334</v>
      </c>
      <c r="EP17">
        <v>18.249553333333331</v>
      </c>
      <c r="EQ17">
        <v>16.781949999999998</v>
      </c>
      <c r="ER17">
        <v>2000.0060000000001</v>
      </c>
      <c r="ES17">
        <v>0.99500549999999988</v>
      </c>
      <c r="ET17">
        <v>4.9947873333333354E-3</v>
      </c>
      <c r="EU17">
        <v>0</v>
      </c>
      <c r="EV17">
        <v>927.52286666666657</v>
      </c>
      <c r="EW17">
        <v>5.0010700000000003</v>
      </c>
      <c r="EX17">
        <v>19362.05333333333</v>
      </c>
      <c r="EY17">
        <v>18241.726666666669</v>
      </c>
      <c r="EZ17">
        <v>37.059933333333333</v>
      </c>
      <c r="FA17">
        <v>37.981099999999998</v>
      </c>
      <c r="FB17">
        <v>37.547533333333327</v>
      </c>
      <c r="FC17">
        <v>37.664266666666663</v>
      </c>
      <c r="FD17">
        <v>38.447499999999991</v>
      </c>
      <c r="FE17">
        <v>1985.040666666667</v>
      </c>
      <c r="FF17">
        <v>9.9599999999999991</v>
      </c>
      <c r="FG17">
        <v>0</v>
      </c>
      <c r="FH17">
        <v>1551.7000000476839</v>
      </c>
      <c r="FI17">
        <v>0</v>
      </c>
      <c r="FJ17">
        <v>927.6641176470589</v>
      </c>
      <c r="FK17">
        <v>0.40098035525009251</v>
      </c>
      <c r="FL17">
        <v>3.01470601546536</v>
      </c>
      <c r="FM17">
        <v>19362.670588235291</v>
      </c>
      <c r="FN17">
        <v>10</v>
      </c>
      <c r="FO17">
        <v>1785945745.5999999</v>
      </c>
      <c r="FP17" t="s">
        <v>742</v>
      </c>
      <c r="FQ17">
        <v>1785945745.5999999</v>
      </c>
      <c r="FR17">
        <v>1785945743.5999999</v>
      </c>
      <c r="FS17">
        <v>17</v>
      </c>
      <c r="FT17">
        <v>-9.8000000000000004E-2</v>
      </c>
      <c r="FU17">
        <v>2E-3</v>
      </c>
      <c r="FV17">
        <v>-11.135</v>
      </c>
      <c r="FW17">
        <v>-0.57299999999999995</v>
      </c>
      <c r="FX17">
        <v>446</v>
      </c>
      <c r="FY17">
        <v>20</v>
      </c>
      <c r="FZ17">
        <v>0.19</v>
      </c>
      <c r="GA17">
        <v>0.17</v>
      </c>
      <c r="GB17">
        <v>419.46443333333332</v>
      </c>
      <c r="GC17">
        <v>0.63160845383731812</v>
      </c>
      <c r="GD17">
        <v>7.7084232427184277E-2</v>
      </c>
      <c r="GE17">
        <v>-1</v>
      </c>
      <c r="GF17">
        <v>927.44788235294118</v>
      </c>
      <c r="GG17">
        <v>2.1595721890541162</v>
      </c>
      <c r="GH17">
        <v>0.31636917793521602</v>
      </c>
      <c r="GI17">
        <v>1</v>
      </c>
      <c r="GJ17">
        <v>1.9051327499999999</v>
      </c>
      <c r="GK17">
        <v>-9.7184803001882702E-2</v>
      </c>
      <c r="GL17">
        <v>1.008224553051054E-2</v>
      </c>
      <c r="GM17">
        <v>1</v>
      </c>
      <c r="GN17">
        <v>2</v>
      </c>
      <c r="GO17">
        <v>2</v>
      </c>
      <c r="GP17" t="s">
        <v>411</v>
      </c>
      <c r="GQ17">
        <v>3.1311100000000001</v>
      </c>
      <c r="GR17">
        <v>2.7217899999999999</v>
      </c>
      <c r="GS17">
        <v>9.4190099999999999E-2</v>
      </c>
      <c r="GT17">
        <v>9.7851599999999997E-2</v>
      </c>
      <c r="GU17">
        <v>0.107332</v>
      </c>
      <c r="GV17">
        <v>9.9146100000000001E-2</v>
      </c>
      <c r="GW17">
        <v>22955.9</v>
      </c>
      <c r="GX17">
        <v>30435</v>
      </c>
      <c r="GY17">
        <v>27455.3</v>
      </c>
      <c r="GZ17">
        <v>34638.6</v>
      </c>
      <c r="HA17">
        <v>35837.300000000003</v>
      </c>
      <c r="HB17">
        <v>39247.599999999999</v>
      </c>
      <c r="HC17">
        <v>40511.599999999999</v>
      </c>
      <c r="HD17">
        <v>43660.2</v>
      </c>
      <c r="HE17">
        <v>2.0457999999999998</v>
      </c>
      <c r="HF17">
        <v>1.9705999999999999</v>
      </c>
      <c r="HG17">
        <v>6.3777E-2</v>
      </c>
      <c r="HH17">
        <v>0</v>
      </c>
      <c r="HI17">
        <v>23.9359</v>
      </c>
      <c r="HJ17">
        <v>999.9</v>
      </c>
      <c r="HK17">
        <v>72.599999999999994</v>
      </c>
      <c r="HL17">
        <v>27</v>
      </c>
      <c r="HM17">
        <v>26.5275</v>
      </c>
      <c r="HN17">
        <v>60.579300000000003</v>
      </c>
      <c r="HO17">
        <v>3.94231</v>
      </c>
      <c r="HP17">
        <v>1</v>
      </c>
      <c r="HQ17">
        <v>-8.8170700000000005E-2</v>
      </c>
      <c r="HR17">
        <v>0.87653599999999998</v>
      </c>
      <c r="HS17">
        <v>20.271599999999999</v>
      </c>
      <c r="HT17">
        <v>5.2148899999999996</v>
      </c>
      <c r="HU17">
        <v>11.902100000000001</v>
      </c>
      <c r="HV17">
        <v>4.9875999999999996</v>
      </c>
      <c r="HW17">
        <v>3.27</v>
      </c>
      <c r="HX17">
        <v>9999</v>
      </c>
      <c r="HY17">
        <v>9999</v>
      </c>
      <c r="HZ17">
        <v>9999</v>
      </c>
      <c r="IA17">
        <v>999.9</v>
      </c>
      <c r="IB17">
        <v>1.86673</v>
      </c>
      <c r="IC17">
        <v>1.8622399999999999</v>
      </c>
      <c r="ID17">
        <v>1.86172</v>
      </c>
      <c r="IE17">
        <v>1.86121</v>
      </c>
      <c r="IF17">
        <v>1.86127</v>
      </c>
      <c r="IG17">
        <v>1.8620300000000001</v>
      </c>
      <c r="IH17">
        <v>1.8628899999999999</v>
      </c>
      <c r="II17">
        <v>1.86084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-11.036</v>
      </c>
      <c r="IX17">
        <v>-0.53139999999999998</v>
      </c>
      <c r="IY17">
        <v>-9.0306933406295613</v>
      </c>
      <c r="IZ17">
        <v>-5.6215304933332991E-3</v>
      </c>
      <c r="JA17">
        <v>2.3979931213773931E-6</v>
      </c>
      <c r="JB17">
        <v>-3.6297174575716598E-10</v>
      </c>
      <c r="JC17">
        <v>-0.86946405920531911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0.9</v>
      </c>
      <c r="JL17">
        <v>1</v>
      </c>
      <c r="JM17">
        <v>1.16211</v>
      </c>
      <c r="JN17">
        <v>2.4719199999999999</v>
      </c>
      <c r="JO17">
        <v>1.50024</v>
      </c>
      <c r="JP17">
        <v>2.2753899999999998</v>
      </c>
      <c r="JQ17">
        <v>1.4477500000000001</v>
      </c>
      <c r="JR17">
        <v>2.3059099999999999</v>
      </c>
      <c r="JS17">
        <v>32.0244</v>
      </c>
      <c r="JT17">
        <v>15.9095</v>
      </c>
      <c r="JU17">
        <v>18</v>
      </c>
      <c r="JV17">
        <v>528.42600000000004</v>
      </c>
      <c r="JW17">
        <v>498.54399999999998</v>
      </c>
      <c r="JX17">
        <v>23.078199999999999</v>
      </c>
      <c r="JY17">
        <v>26.162500000000001</v>
      </c>
      <c r="JZ17">
        <v>30.0001</v>
      </c>
      <c r="KA17">
        <v>26.154800000000002</v>
      </c>
      <c r="KB17">
        <v>26.159700000000001</v>
      </c>
      <c r="KC17">
        <v>23.243200000000002</v>
      </c>
      <c r="KD17">
        <v>34.746200000000002</v>
      </c>
      <c r="KE17">
        <v>86.0381</v>
      </c>
      <c r="KF17">
        <v>23.077200000000001</v>
      </c>
      <c r="KG17">
        <v>448.87400000000002</v>
      </c>
      <c r="KH17">
        <v>19.552399999999999</v>
      </c>
      <c r="KI17">
        <v>101.28100000000001</v>
      </c>
      <c r="KJ17">
        <v>98.516599999999997</v>
      </c>
    </row>
    <row r="18" spans="1:296" x14ac:dyDescent="0.3">
      <c r="A18">
        <v>2</v>
      </c>
      <c r="B18">
        <v>1785945984.0999999</v>
      </c>
      <c r="C18">
        <v>181.5</v>
      </c>
      <c r="D18" t="s">
        <v>743</v>
      </c>
      <c r="E18" t="s">
        <v>744</v>
      </c>
      <c r="F18">
        <v>15</v>
      </c>
      <c r="H18">
        <v>1785945976.099999</v>
      </c>
      <c r="I18">
        <f t="shared" si="0"/>
        <v>1.7916405217537734E-3</v>
      </c>
      <c r="J18">
        <f t="shared" si="1"/>
        <v>1.7916405217537734</v>
      </c>
      <c r="K18">
        <f t="shared" si="2"/>
        <v>26.3470812791196</v>
      </c>
      <c r="L18">
        <f t="shared" si="3"/>
        <v>419.73635483870959</v>
      </c>
      <c r="M18">
        <f t="shared" si="4"/>
        <v>150.72636108492327</v>
      </c>
      <c r="N18">
        <f t="shared" si="5"/>
        <v>14.769740460015758</v>
      </c>
      <c r="O18">
        <f t="shared" si="6"/>
        <v>41.130144574431228</v>
      </c>
      <c r="P18">
        <f t="shared" si="7"/>
        <v>0.16404213008012136</v>
      </c>
      <c r="Q18">
        <f t="shared" si="8"/>
        <v>2.8947209424409315</v>
      </c>
      <c r="R18">
        <f t="shared" si="9"/>
        <v>0.15904714943328563</v>
      </c>
      <c r="S18">
        <f t="shared" si="10"/>
        <v>9.9840578274950478E-2</v>
      </c>
      <c r="T18">
        <f t="shared" si="11"/>
        <v>271.90734959711534</v>
      </c>
      <c r="U18">
        <f t="shared" si="12"/>
        <v>26.460270735512879</v>
      </c>
      <c r="V18">
        <f t="shared" si="13"/>
        <v>24.994438709677421</v>
      </c>
      <c r="W18">
        <f t="shared" si="14"/>
        <v>3.1786234917374183</v>
      </c>
      <c r="X18">
        <f t="shared" si="15"/>
        <v>64.981620928758872</v>
      </c>
      <c r="Y18">
        <f t="shared" si="16"/>
        <v>2.104534075459787</v>
      </c>
      <c r="Z18">
        <f t="shared" si="17"/>
        <v>3.2386604787329722</v>
      </c>
      <c r="AA18">
        <f t="shared" si="18"/>
        <v>1.0740894162776313</v>
      </c>
      <c r="AB18">
        <f t="shared" si="19"/>
        <v>-79.011347009341407</v>
      </c>
      <c r="AC18">
        <f t="shared" si="20"/>
        <v>49.035623669991729</v>
      </c>
      <c r="AD18">
        <f t="shared" si="21"/>
        <v>3.5886203435397923</v>
      </c>
      <c r="AE18">
        <f t="shared" si="22"/>
        <v>245.52024660130544</v>
      </c>
      <c r="AF18">
        <f t="shared" si="23"/>
        <v>26.3470812791196</v>
      </c>
      <c r="AG18">
        <f t="shared" si="24"/>
        <v>1.7916405217537734</v>
      </c>
      <c r="AH18">
        <f t="shared" si="25"/>
        <v>26.450318074523661</v>
      </c>
      <c r="AI18">
        <v>461.3033306868536</v>
      </c>
      <c r="AJ18">
        <v>428.93672727272718</v>
      </c>
      <c r="AK18">
        <v>1.0474869465020299E-4</v>
      </c>
      <c r="AL18">
        <v>67.0692056998341</v>
      </c>
      <c r="AM18">
        <f t="shared" si="26"/>
        <v>1.7816455127893742</v>
      </c>
      <c r="AN18">
        <v>19.371603138801529</v>
      </c>
      <c r="AO18">
        <v>21.464280606060608</v>
      </c>
      <c r="AP18">
        <v>-1.10708403358849E-4</v>
      </c>
      <c r="AQ18">
        <v>78.162696515533767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52126.442942001719</v>
      </c>
      <c r="AW18" t="s">
        <v>740</v>
      </c>
      <c r="AX18">
        <v>13204</v>
      </c>
      <c r="AY18">
        <v>634.19117647058829</v>
      </c>
      <c r="AZ18">
        <v>2420.69</v>
      </c>
      <c r="BA18">
        <f t="shared" si="30"/>
        <v>0.73801222937650501</v>
      </c>
      <c r="BB18">
        <v>-2.939506487161454</v>
      </c>
      <c r="BC18" t="s">
        <v>745</v>
      </c>
      <c r="BD18">
        <v>13172.4</v>
      </c>
      <c r="BE18">
        <v>930.34570588235295</v>
      </c>
      <c r="BF18">
        <v>1121.6500000000001</v>
      </c>
      <c r="BG18">
        <f t="shared" si="31"/>
        <v>0.17055613972063222</v>
      </c>
      <c r="BH18">
        <v>0.5</v>
      </c>
      <c r="BI18">
        <f t="shared" si="32"/>
        <v>1428.2972417434491</v>
      </c>
      <c r="BJ18">
        <f t="shared" si="33"/>
        <v>26.3470812791196</v>
      </c>
      <c r="BK18">
        <f t="shared" si="34"/>
        <v>121.80243196269465</v>
      </c>
      <c r="BL18">
        <f t="shared" si="35"/>
        <v>2.0504546890066398E-2</v>
      </c>
      <c r="BM18">
        <f t="shared" si="36"/>
        <v>1.1581509383497526</v>
      </c>
      <c r="BN18">
        <f t="shared" si="37"/>
        <v>486.55882513661737</v>
      </c>
      <c r="BO18" t="s">
        <v>408</v>
      </c>
      <c r="BP18">
        <v>0</v>
      </c>
      <c r="BQ18">
        <f t="shared" si="38"/>
        <v>486.55882513661737</v>
      </c>
      <c r="BR18">
        <f t="shared" si="39"/>
        <v>0.56621154091149883</v>
      </c>
      <c r="BS18">
        <f t="shared" si="40"/>
        <v>0.30122335451882076</v>
      </c>
      <c r="BT18">
        <f t="shared" si="41"/>
        <v>0.67164007120238756</v>
      </c>
      <c r="BU18">
        <f t="shared" si="42"/>
        <v>0.39245221315827594</v>
      </c>
      <c r="BV18">
        <f t="shared" si="43"/>
        <v>0.72714293616696213</v>
      </c>
      <c r="BW18">
        <f t="shared" si="44"/>
        <v>0.15753593589104162</v>
      </c>
      <c r="BX18">
        <f t="shared" si="45"/>
        <v>0.84246406410895835</v>
      </c>
      <c r="DG18">
        <f t="shared" si="46"/>
        <v>1699.9906451612901</v>
      </c>
      <c r="DH18">
        <f t="shared" si="47"/>
        <v>1428.2972417434491</v>
      </c>
      <c r="DI18">
        <f t="shared" si="48"/>
        <v>0.84017947146287764</v>
      </c>
      <c r="DJ18">
        <f t="shared" si="49"/>
        <v>0.15994637992335398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1785945976.099999</v>
      </c>
      <c r="DQ18">
        <v>419.73635483870959</v>
      </c>
      <c r="DR18">
        <v>452.25387096774188</v>
      </c>
      <c r="DS18">
        <v>21.47693548387096</v>
      </c>
      <c r="DT18">
        <v>19.373232258064519</v>
      </c>
      <c r="DU18">
        <v>430.79283870967743</v>
      </c>
      <c r="DV18">
        <v>22.006603225806451</v>
      </c>
      <c r="DW18">
        <v>500.0215483870968</v>
      </c>
      <c r="DX18">
        <v>97.945680645161303</v>
      </c>
      <c r="DY18">
        <v>4.4746203225806462E-2</v>
      </c>
      <c r="DZ18">
        <v>25.30864838709677</v>
      </c>
      <c r="EA18">
        <v>24.994438709677421</v>
      </c>
      <c r="EB18">
        <v>999.90000000000032</v>
      </c>
      <c r="EC18">
        <v>0</v>
      </c>
      <c r="ED18">
        <v>0</v>
      </c>
      <c r="EE18">
        <v>10008.38709677419</v>
      </c>
      <c r="EF18">
        <v>0</v>
      </c>
      <c r="EG18">
        <v>33.924038709677419</v>
      </c>
      <c r="EH18">
        <v>-32.517596774193549</v>
      </c>
      <c r="EI18">
        <v>428.94880645161288</v>
      </c>
      <c r="EJ18">
        <v>461.18861290322582</v>
      </c>
      <c r="EK18">
        <v>2.1037003225806452</v>
      </c>
      <c r="EL18">
        <v>452.25387096774188</v>
      </c>
      <c r="EM18">
        <v>19.373232258064519</v>
      </c>
      <c r="EN18">
        <v>2.1035729032258068</v>
      </c>
      <c r="EO18">
        <v>1.897523870967742</v>
      </c>
      <c r="EP18">
        <v>18.246254838709671</v>
      </c>
      <c r="EQ18">
        <v>16.61420967741935</v>
      </c>
      <c r="ER18">
        <v>1699.9906451612901</v>
      </c>
      <c r="ES18">
        <v>0.99399919354838706</v>
      </c>
      <c r="ET18">
        <v>6.0008754838709703E-3</v>
      </c>
      <c r="EU18">
        <v>0</v>
      </c>
      <c r="EV18">
        <v>930.24667741935491</v>
      </c>
      <c r="EW18">
        <v>5.0010700000000003</v>
      </c>
      <c r="EX18">
        <v>16547.312903225811</v>
      </c>
      <c r="EY18">
        <v>15492.42258064516</v>
      </c>
      <c r="EZ18">
        <v>37.356612903225802</v>
      </c>
      <c r="FA18">
        <v>39.005741935483847</v>
      </c>
      <c r="FB18">
        <v>37.886903225806449</v>
      </c>
      <c r="FC18">
        <v>39.015870967741932</v>
      </c>
      <c r="FD18">
        <v>39.114741935483863</v>
      </c>
      <c r="FE18">
        <v>1684.82064516129</v>
      </c>
      <c r="FF18">
        <v>10.17</v>
      </c>
      <c r="FG18">
        <v>0</v>
      </c>
      <c r="FH18">
        <v>180.9000000953674</v>
      </c>
      <c r="FI18">
        <v>0</v>
      </c>
      <c r="FJ18">
        <v>930.34570588235295</v>
      </c>
      <c r="FK18">
        <v>0.76127447306192197</v>
      </c>
      <c r="FL18">
        <v>95.563725683116061</v>
      </c>
      <c r="FM18">
        <v>16552.952941176471</v>
      </c>
      <c r="FN18">
        <v>10</v>
      </c>
      <c r="FO18">
        <v>1785945865.5999999</v>
      </c>
      <c r="FP18" t="s">
        <v>746</v>
      </c>
      <c r="FQ18">
        <v>1785945865.5999999</v>
      </c>
      <c r="FR18">
        <v>1785945863.0999999</v>
      </c>
      <c r="FS18">
        <v>18</v>
      </c>
      <c r="FT18">
        <v>-0.02</v>
      </c>
      <c r="FU18">
        <v>2E-3</v>
      </c>
      <c r="FV18">
        <v>-11.167999999999999</v>
      </c>
      <c r="FW18">
        <v>-0.58199999999999996</v>
      </c>
      <c r="FX18">
        <v>450</v>
      </c>
      <c r="FY18">
        <v>19</v>
      </c>
      <c r="FZ18">
        <v>0.25</v>
      </c>
      <c r="GA18">
        <v>0.12</v>
      </c>
      <c r="GB18">
        <v>419.73635483870959</v>
      </c>
      <c r="GC18">
        <v>-3.0096774195093861E-2</v>
      </c>
      <c r="GD18">
        <v>4.7150102375352353E-2</v>
      </c>
      <c r="GE18">
        <v>-1</v>
      </c>
      <c r="GF18">
        <v>930.19576470588231</v>
      </c>
      <c r="GG18">
        <v>1.339312449352406</v>
      </c>
      <c r="GH18">
        <v>0.23820592411553609</v>
      </c>
      <c r="GI18">
        <v>1</v>
      </c>
      <c r="GJ18">
        <v>2.1069685365853661</v>
      </c>
      <c r="GK18">
        <v>-8.3830452961668578E-2</v>
      </c>
      <c r="GL18">
        <v>1.152952594819604E-2</v>
      </c>
      <c r="GM18">
        <v>1</v>
      </c>
      <c r="GN18">
        <v>2</v>
      </c>
      <c r="GO18">
        <v>2</v>
      </c>
      <c r="GP18" t="s">
        <v>411</v>
      </c>
      <c r="GQ18">
        <v>3.1316299999999999</v>
      </c>
      <c r="GR18">
        <v>2.72072</v>
      </c>
      <c r="GS18">
        <v>9.4204499999999997E-2</v>
      </c>
      <c r="GT18">
        <v>9.8488199999999998E-2</v>
      </c>
      <c r="GU18">
        <v>0.107282</v>
      </c>
      <c r="GV18">
        <v>9.8382499999999998E-2</v>
      </c>
      <c r="GW18">
        <v>22955</v>
      </c>
      <c r="GX18">
        <v>30415</v>
      </c>
      <c r="GY18">
        <v>27454.7</v>
      </c>
      <c r="GZ18">
        <v>34640.199999999997</v>
      </c>
      <c r="HA18">
        <v>35839.300000000003</v>
      </c>
      <c r="HB18">
        <v>39281.800000000003</v>
      </c>
      <c r="HC18">
        <v>40511.599999999999</v>
      </c>
      <c r="HD18">
        <v>43660.9</v>
      </c>
      <c r="HE18">
        <v>2.0457999999999998</v>
      </c>
      <c r="HF18">
        <v>1.9685999999999999</v>
      </c>
      <c r="HG18">
        <v>5.8561599999999998E-2</v>
      </c>
      <c r="HH18">
        <v>0</v>
      </c>
      <c r="HI18">
        <v>24.023900000000001</v>
      </c>
      <c r="HJ18">
        <v>999.9</v>
      </c>
      <c r="HK18">
        <v>72.5</v>
      </c>
      <c r="HL18">
        <v>27.2</v>
      </c>
      <c r="HM18">
        <v>26.808800000000002</v>
      </c>
      <c r="HN18">
        <v>59.929299999999998</v>
      </c>
      <c r="HO18">
        <v>3.6818900000000001</v>
      </c>
      <c r="HP18">
        <v>1</v>
      </c>
      <c r="HQ18">
        <v>-8.8475600000000001E-2</v>
      </c>
      <c r="HR18">
        <v>0.75239699999999998</v>
      </c>
      <c r="HS18">
        <v>20.276299999999999</v>
      </c>
      <c r="HT18">
        <v>5.2160900000000003</v>
      </c>
      <c r="HU18">
        <v>11.902100000000001</v>
      </c>
      <c r="HV18">
        <v>4.9867999999999997</v>
      </c>
      <c r="HW18">
        <v>3.2704</v>
      </c>
      <c r="HX18">
        <v>9999</v>
      </c>
      <c r="HY18">
        <v>9999</v>
      </c>
      <c r="HZ18">
        <v>9999</v>
      </c>
      <c r="IA18">
        <v>999.9</v>
      </c>
      <c r="IB18">
        <v>1.86673</v>
      </c>
      <c r="IC18">
        <v>1.8622099999999999</v>
      </c>
      <c r="ID18">
        <v>1.86172</v>
      </c>
      <c r="IE18">
        <v>1.86121</v>
      </c>
      <c r="IF18">
        <v>1.86127</v>
      </c>
      <c r="IG18">
        <v>1.8620300000000001</v>
      </c>
      <c r="IH18">
        <v>1.8628499999999999</v>
      </c>
      <c r="II18">
        <v>1.86084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-11.057</v>
      </c>
      <c r="IX18">
        <v>-0.53010000000000002</v>
      </c>
      <c r="IY18">
        <v>-9.0507727497020056</v>
      </c>
      <c r="IZ18">
        <v>-5.6215304933332991E-3</v>
      </c>
      <c r="JA18">
        <v>2.3979931213773931E-6</v>
      </c>
      <c r="JB18">
        <v>-3.6297174575716598E-10</v>
      </c>
      <c r="JC18">
        <v>-0.86786640220822298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</v>
      </c>
      <c r="JL18">
        <v>2</v>
      </c>
      <c r="JM18">
        <v>1.16943</v>
      </c>
      <c r="JN18">
        <v>2.4706999999999999</v>
      </c>
      <c r="JO18">
        <v>1.50024</v>
      </c>
      <c r="JP18">
        <v>2.2741699999999998</v>
      </c>
      <c r="JQ18">
        <v>1.4477500000000001</v>
      </c>
      <c r="JR18">
        <v>2.4157700000000002</v>
      </c>
      <c r="JS18">
        <v>32.090400000000002</v>
      </c>
      <c r="JT18">
        <v>15.900700000000001</v>
      </c>
      <c r="JU18">
        <v>18</v>
      </c>
      <c r="JV18">
        <v>528.529</v>
      </c>
      <c r="JW18">
        <v>497.351</v>
      </c>
      <c r="JX18">
        <v>23.366399999999999</v>
      </c>
      <c r="JY18">
        <v>26.153700000000001</v>
      </c>
      <c r="JZ18">
        <v>30.000299999999999</v>
      </c>
      <c r="KA18">
        <v>26.165800000000001</v>
      </c>
      <c r="KB18">
        <v>26.175000000000001</v>
      </c>
      <c r="KC18">
        <v>23.381699999999999</v>
      </c>
      <c r="KD18">
        <v>35.534700000000001</v>
      </c>
      <c r="KE18">
        <v>82.254599999999996</v>
      </c>
      <c r="KF18">
        <v>23.367899999999999</v>
      </c>
      <c r="KG18">
        <v>452.52699999999999</v>
      </c>
      <c r="KH18">
        <v>19.419899999999998</v>
      </c>
      <c r="KI18">
        <v>101.28</v>
      </c>
      <c r="KJ18">
        <v>98.519400000000005</v>
      </c>
    </row>
    <row r="19" spans="1:296" x14ac:dyDescent="0.3">
      <c r="A19">
        <v>3</v>
      </c>
      <c r="B19">
        <v>1785946165.5999999</v>
      </c>
      <c r="C19">
        <v>363</v>
      </c>
      <c r="D19" t="s">
        <v>747</v>
      </c>
      <c r="E19" t="s">
        <v>748</v>
      </c>
      <c r="F19">
        <v>15</v>
      </c>
      <c r="H19">
        <v>1785946157.599999</v>
      </c>
      <c r="I19">
        <f t="shared" si="0"/>
        <v>1.9159608652349592E-3</v>
      </c>
      <c r="J19">
        <f t="shared" si="1"/>
        <v>1.9159608652349591</v>
      </c>
      <c r="K19">
        <f t="shared" si="2"/>
        <v>28.49712504761872</v>
      </c>
      <c r="L19">
        <f t="shared" si="3"/>
        <v>419.83496774193549</v>
      </c>
      <c r="M19">
        <f t="shared" si="4"/>
        <v>150.75827631109016</v>
      </c>
      <c r="N19">
        <f t="shared" si="5"/>
        <v>14.769300485655382</v>
      </c>
      <c r="O19">
        <f t="shared" si="6"/>
        <v>41.129873229453615</v>
      </c>
      <c r="P19">
        <f t="shared" si="7"/>
        <v>0.17773473753672683</v>
      </c>
      <c r="Q19">
        <f t="shared" si="8"/>
        <v>2.8944712113962998</v>
      </c>
      <c r="R19">
        <f t="shared" si="9"/>
        <v>0.1718866034292402</v>
      </c>
      <c r="S19">
        <f t="shared" si="10"/>
        <v>0.10793852881110554</v>
      </c>
      <c r="T19">
        <f t="shared" si="11"/>
        <v>255.91554417783314</v>
      </c>
      <c r="U19">
        <f t="shared" si="12"/>
        <v>26.479530912631212</v>
      </c>
      <c r="V19">
        <f t="shared" si="13"/>
        <v>25.010632258064518</v>
      </c>
      <c r="W19">
        <f t="shared" si="14"/>
        <v>3.1816937000227314</v>
      </c>
      <c r="X19">
        <f t="shared" si="15"/>
        <v>64.864342747251627</v>
      </c>
      <c r="Y19">
        <f t="shared" si="16"/>
        <v>2.1192356854611849</v>
      </c>
      <c r="Z19">
        <f t="shared" si="17"/>
        <v>3.2671813136516814</v>
      </c>
      <c r="AA19">
        <f t="shared" si="18"/>
        <v>1.0624580145615465</v>
      </c>
      <c r="AB19">
        <f t="shared" si="19"/>
        <v>-84.493874156861693</v>
      </c>
      <c r="AC19">
        <f t="shared" si="20"/>
        <v>69.519322459743847</v>
      </c>
      <c r="AD19">
        <f t="shared" si="21"/>
        <v>5.0923297128151104</v>
      </c>
      <c r="AE19">
        <f t="shared" si="22"/>
        <v>246.03332219353038</v>
      </c>
      <c r="AF19">
        <f t="shared" si="23"/>
        <v>28.49712504761872</v>
      </c>
      <c r="AG19">
        <f t="shared" si="24"/>
        <v>1.9159608652349591</v>
      </c>
      <c r="AH19">
        <f t="shared" si="25"/>
        <v>28.704583216135795</v>
      </c>
      <c r="AI19">
        <v>464.11054434131358</v>
      </c>
      <c r="AJ19">
        <v>429.11955151515122</v>
      </c>
      <c r="AK19">
        <v>-2.4734836723015401E-2</v>
      </c>
      <c r="AL19">
        <v>67.0486346951364</v>
      </c>
      <c r="AM19">
        <f t="shared" si="26"/>
        <v>1.9236979742221316</v>
      </c>
      <c r="AN19">
        <v>19.383925127607071</v>
      </c>
      <c r="AO19">
        <v>21.642028484848471</v>
      </c>
      <c r="AP19">
        <v>1.3362661053871119E-5</v>
      </c>
      <c r="AQ19">
        <v>78.036543489659692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52093.011235975675</v>
      </c>
      <c r="AW19" t="s">
        <v>740</v>
      </c>
      <c r="AX19">
        <v>13204</v>
      </c>
      <c r="AY19">
        <v>634.19117647058829</v>
      </c>
      <c r="AZ19">
        <v>2420.69</v>
      </c>
      <c r="BA19">
        <f t="shared" si="30"/>
        <v>0.73801222937650501</v>
      </c>
      <c r="BB19">
        <v>-2.939506487161454</v>
      </c>
      <c r="BC19" t="s">
        <v>749</v>
      </c>
      <c r="BD19">
        <v>13193</v>
      </c>
      <c r="BE19">
        <v>936.56382352941171</v>
      </c>
      <c r="BF19">
        <v>1169.27</v>
      </c>
      <c r="BG19">
        <f t="shared" si="31"/>
        <v>0.19901834176074673</v>
      </c>
      <c r="BH19">
        <v>0.5</v>
      </c>
      <c r="BI19">
        <f t="shared" si="32"/>
        <v>1344.2946869047778</v>
      </c>
      <c r="BJ19">
        <f t="shared" si="33"/>
        <v>28.49712504761872</v>
      </c>
      <c r="BK19">
        <f t="shared" si="34"/>
        <v>133.76964971278554</v>
      </c>
      <c r="BL19">
        <f t="shared" si="35"/>
        <v>2.3385223374766614E-2</v>
      </c>
      <c r="BM19">
        <f t="shared" si="36"/>
        <v>1.0702575110966672</v>
      </c>
      <c r="BN19">
        <f t="shared" si="37"/>
        <v>495.30924745607678</v>
      </c>
      <c r="BO19" t="s">
        <v>408</v>
      </c>
      <c r="BP19">
        <v>0</v>
      </c>
      <c r="BQ19">
        <f t="shared" si="38"/>
        <v>495.30924745607678</v>
      </c>
      <c r="BR19">
        <f t="shared" si="39"/>
        <v>0.57639446196680255</v>
      </c>
      <c r="BS19">
        <f t="shared" si="40"/>
        <v>0.34528149538711067</v>
      </c>
      <c r="BT19">
        <f t="shared" si="41"/>
        <v>0.64995975385468685</v>
      </c>
      <c r="BU19">
        <f t="shared" si="42"/>
        <v>0.43490074029774628</v>
      </c>
      <c r="BV19">
        <f t="shared" si="43"/>
        <v>0.70048744702092303</v>
      </c>
      <c r="BW19">
        <f t="shared" si="44"/>
        <v>0.18260487256085856</v>
      </c>
      <c r="BX19">
        <f t="shared" si="45"/>
        <v>0.81739512743914144</v>
      </c>
      <c r="DG19">
        <f t="shared" si="46"/>
        <v>1600.009032258065</v>
      </c>
      <c r="DH19">
        <f t="shared" si="47"/>
        <v>1344.2946869047778</v>
      </c>
      <c r="DI19">
        <f t="shared" si="48"/>
        <v>0.84017943636705472</v>
      </c>
      <c r="DJ19">
        <f t="shared" si="49"/>
        <v>0.15994631218841557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1785946157.599999</v>
      </c>
      <c r="DQ19">
        <v>419.83496774193549</v>
      </c>
      <c r="DR19">
        <v>454.99222580645159</v>
      </c>
      <c r="DS19">
        <v>21.632190322580641</v>
      </c>
      <c r="DT19">
        <v>19.383064516129039</v>
      </c>
      <c r="DU19">
        <v>430.89712903225802</v>
      </c>
      <c r="DV19">
        <v>22.156532258064519</v>
      </c>
      <c r="DW19">
        <v>500.06480645161298</v>
      </c>
      <c r="DX19">
        <v>97.922177419354824</v>
      </c>
      <c r="DY19">
        <v>4.458664193548386E-2</v>
      </c>
      <c r="DZ19">
        <v>25.45613548387097</v>
      </c>
      <c r="EA19">
        <v>25.010632258064518</v>
      </c>
      <c r="EB19">
        <v>999.90000000000032</v>
      </c>
      <c r="EC19">
        <v>0</v>
      </c>
      <c r="ED19">
        <v>0</v>
      </c>
      <c r="EE19">
        <v>10009.35483870968</v>
      </c>
      <c r="EF19">
        <v>0</v>
      </c>
      <c r="EG19">
        <v>54.027109677419361</v>
      </c>
      <c r="EH19">
        <v>-35.157290322580643</v>
      </c>
      <c r="EI19">
        <v>429.11764516129028</v>
      </c>
      <c r="EJ19">
        <v>463.98570967741938</v>
      </c>
      <c r="EK19">
        <v>2.249121935483871</v>
      </c>
      <c r="EL19">
        <v>454.99222580645159</v>
      </c>
      <c r="EM19">
        <v>19.383064516129039</v>
      </c>
      <c r="EN19">
        <v>2.1182712903225811</v>
      </c>
      <c r="EO19">
        <v>1.898033225806451</v>
      </c>
      <c r="EP19">
        <v>18.35724193548387</v>
      </c>
      <c r="EQ19">
        <v>16.618409677419351</v>
      </c>
      <c r="ER19">
        <v>1600.009032258065</v>
      </c>
      <c r="ES19">
        <v>0.99399841935483879</v>
      </c>
      <c r="ET19">
        <v>6.0018474193548393E-3</v>
      </c>
      <c r="EU19">
        <v>0</v>
      </c>
      <c r="EV19">
        <v>936.25387096774193</v>
      </c>
      <c r="EW19">
        <v>5.0010700000000003</v>
      </c>
      <c r="EX19">
        <v>15859.461290322581</v>
      </c>
      <c r="EY19">
        <v>14578.57096774194</v>
      </c>
      <c r="EZ19">
        <v>38.495645161290312</v>
      </c>
      <c r="FA19">
        <v>39.459451612903223</v>
      </c>
      <c r="FB19">
        <v>39.22558064516128</v>
      </c>
      <c r="FC19">
        <v>39.610677419354843</v>
      </c>
      <c r="FD19">
        <v>39.953387096774193</v>
      </c>
      <c r="FE19">
        <v>1585.439032258065</v>
      </c>
      <c r="FF19">
        <v>9.5699999999999985</v>
      </c>
      <c r="FG19">
        <v>0</v>
      </c>
      <c r="FH19">
        <v>180.70000004768369</v>
      </c>
      <c r="FI19">
        <v>0</v>
      </c>
      <c r="FJ19">
        <v>936.56382352941171</v>
      </c>
      <c r="FK19">
        <v>6.0906863190713754</v>
      </c>
      <c r="FL19">
        <v>81.617646921119885</v>
      </c>
      <c r="FM19">
        <v>15864.017647058819</v>
      </c>
      <c r="FN19">
        <v>10</v>
      </c>
      <c r="FO19">
        <v>1785946052.0999999</v>
      </c>
      <c r="FP19" t="s">
        <v>750</v>
      </c>
      <c r="FQ19">
        <v>1785946047.5999999</v>
      </c>
      <c r="FR19">
        <v>1785946052.0999999</v>
      </c>
      <c r="FS19">
        <v>19</v>
      </c>
      <c r="FT19">
        <v>-5.0000000000000001E-3</v>
      </c>
      <c r="FU19">
        <v>1E-3</v>
      </c>
      <c r="FV19">
        <v>-11.185</v>
      </c>
      <c r="FW19">
        <v>-0.57599999999999996</v>
      </c>
      <c r="FX19">
        <v>453</v>
      </c>
      <c r="FY19">
        <v>20</v>
      </c>
      <c r="FZ19">
        <v>0.19</v>
      </c>
      <c r="GA19">
        <v>0.17</v>
      </c>
      <c r="GB19">
        <v>419.83373333333338</v>
      </c>
      <c r="GC19">
        <v>0.19189321468397219</v>
      </c>
      <c r="GD19">
        <v>7.1271281422145311E-2</v>
      </c>
      <c r="GE19">
        <v>-1</v>
      </c>
      <c r="GF19">
        <v>935.97702941176476</v>
      </c>
      <c r="GG19">
        <v>5.3969900733817724</v>
      </c>
      <c r="GH19">
        <v>0.59214304140797225</v>
      </c>
      <c r="GI19">
        <v>1</v>
      </c>
      <c r="GJ19">
        <v>2.245487999999999</v>
      </c>
      <c r="GK19">
        <v>6.5436697936202146E-2</v>
      </c>
      <c r="GL19">
        <v>7.2678247089483514E-3</v>
      </c>
      <c r="GM19">
        <v>1</v>
      </c>
      <c r="GN19">
        <v>2</v>
      </c>
      <c r="GO19">
        <v>2</v>
      </c>
      <c r="GP19" t="s">
        <v>411</v>
      </c>
      <c r="GQ19">
        <v>3.1310199999999999</v>
      </c>
      <c r="GR19">
        <v>2.7216</v>
      </c>
      <c r="GS19">
        <v>9.4204899999999994E-2</v>
      </c>
      <c r="GT19">
        <v>9.8825399999999994E-2</v>
      </c>
      <c r="GU19">
        <v>0.10786800000000001</v>
      </c>
      <c r="GV19">
        <v>9.8431099999999994E-2</v>
      </c>
      <c r="GW19">
        <v>22955.599999999999</v>
      </c>
      <c r="GX19">
        <v>30404</v>
      </c>
      <c r="GY19">
        <v>27455.3</v>
      </c>
      <c r="GZ19">
        <v>34640.5</v>
      </c>
      <c r="HA19">
        <v>35815.800000000003</v>
      </c>
      <c r="HB19">
        <v>39282.1</v>
      </c>
      <c r="HC19">
        <v>40512.300000000003</v>
      </c>
      <c r="HD19">
        <v>43663.5</v>
      </c>
      <c r="HE19">
        <v>2.0464000000000002</v>
      </c>
      <c r="HF19">
        <v>1.9676</v>
      </c>
      <c r="HG19">
        <v>5.9157599999999998E-2</v>
      </c>
      <c r="HH19">
        <v>0</v>
      </c>
      <c r="HI19">
        <v>24.0307</v>
      </c>
      <c r="HJ19">
        <v>999.9</v>
      </c>
      <c r="HK19">
        <v>72.3</v>
      </c>
      <c r="HL19">
        <v>27.3</v>
      </c>
      <c r="HM19">
        <v>26.897200000000002</v>
      </c>
      <c r="HN19">
        <v>59.9193</v>
      </c>
      <c r="HO19">
        <v>3.71394</v>
      </c>
      <c r="HP19">
        <v>1</v>
      </c>
      <c r="HQ19">
        <v>-8.9674799999999999E-2</v>
      </c>
      <c r="HR19">
        <v>0.80348600000000003</v>
      </c>
      <c r="HS19">
        <v>20.245100000000001</v>
      </c>
      <c r="HT19">
        <v>5.2160900000000003</v>
      </c>
      <c r="HU19">
        <v>11.902100000000001</v>
      </c>
      <c r="HV19">
        <v>4.9859999999999998</v>
      </c>
      <c r="HW19">
        <v>3.2704</v>
      </c>
      <c r="HX19">
        <v>9999</v>
      </c>
      <c r="HY19">
        <v>9999</v>
      </c>
      <c r="HZ19">
        <v>9999</v>
      </c>
      <c r="IA19">
        <v>999.9</v>
      </c>
      <c r="IB19">
        <v>1.8671</v>
      </c>
      <c r="IC19">
        <v>1.8626400000000001</v>
      </c>
      <c r="ID19">
        <v>1.86215</v>
      </c>
      <c r="IE19">
        <v>1.8615699999999999</v>
      </c>
      <c r="IF19">
        <v>1.8616900000000001</v>
      </c>
      <c r="IG19">
        <v>1.86243</v>
      </c>
      <c r="IH19">
        <v>1.8632500000000001</v>
      </c>
      <c r="II19">
        <v>1.86127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-11.063000000000001</v>
      </c>
      <c r="IX19">
        <v>-0.52410000000000001</v>
      </c>
      <c r="IY19">
        <v>-9.0561052989727795</v>
      </c>
      <c r="IZ19">
        <v>-5.6215304933332991E-3</v>
      </c>
      <c r="JA19">
        <v>2.3979931213773931E-6</v>
      </c>
      <c r="JB19">
        <v>-3.6297174575716598E-10</v>
      </c>
      <c r="JC19">
        <v>-0.86651822160371705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</v>
      </c>
      <c r="JL19">
        <v>1.9</v>
      </c>
      <c r="JM19">
        <v>1.17432</v>
      </c>
      <c r="JN19">
        <v>2.4731399999999999</v>
      </c>
      <c r="JO19">
        <v>1.50024</v>
      </c>
      <c r="JP19">
        <v>2.2741699999999998</v>
      </c>
      <c r="JQ19">
        <v>1.4477500000000001</v>
      </c>
      <c r="JR19">
        <v>2.4426299999999999</v>
      </c>
      <c r="JS19">
        <v>32.310699999999997</v>
      </c>
      <c r="JT19">
        <v>23.956199999999999</v>
      </c>
      <c r="JU19">
        <v>18</v>
      </c>
      <c r="JV19">
        <v>528.82299999999998</v>
      </c>
      <c r="JW19">
        <v>496.62700000000001</v>
      </c>
      <c r="JX19">
        <v>23.439900000000002</v>
      </c>
      <c r="JY19">
        <v>26.133900000000001</v>
      </c>
      <c r="JZ19">
        <v>30.000599999999999</v>
      </c>
      <c r="KA19">
        <v>26.157</v>
      </c>
      <c r="KB19">
        <v>26.168399999999998</v>
      </c>
      <c r="KC19">
        <v>23.486999999999998</v>
      </c>
      <c r="KD19">
        <v>35.663899999999998</v>
      </c>
      <c r="KE19">
        <v>78.057400000000001</v>
      </c>
      <c r="KF19">
        <v>23.433599999999998</v>
      </c>
      <c r="KG19">
        <v>455.11500000000001</v>
      </c>
      <c r="KH19">
        <v>19.383600000000001</v>
      </c>
      <c r="KI19">
        <v>101.282</v>
      </c>
      <c r="KJ19">
        <v>98.523200000000003</v>
      </c>
    </row>
    <row r="20" spans="1:296" x14ac:dyDescent="0.3">
      <c r="A20">
        <v>4</v>
      </c>
      <c r="B20">
        <v>1785946347.0999999</v>
      </c>
      <c r="C20">
        <v>544.5</v>
      </c>
      <c r="D20" t="s">
        <v>751</v>
      </c>
      <c r="E20" t="s">
        <v>752</v>
      </c>
      <c r="F20">
        <v>15</v>
      </c>
      <c r="H20">
        <v>1785946339.349999</v>
      </c>
      <c r="I20">
        <f t="shared" si="0"/>
        <v>2.0578067862392665E-3</v>
      </c>
      <c r="J20">
        <f t="shared" si="1"/>
        <v>2.0578067862392664</v>
      </c>
      <c r="K20">
        <f t="shared" si="2"/>
        <v>29.562608561227918</v>
      </c>
      <c r="L20">
        <f t="shared" si="3"/>
        <v>419.91930000000002</v>
      </c>
      <c r="M20">
        <f t="shared" si="4"/>
        <v>161.86470138282402</v>
      </c>
      <c r="N20">
        <f t="shared" si="5"/>
        <v>15.853407704241965</v>
      </c>
      <c r="O20">
        <f t="shared" si="6"/>
        <v>41.127879079918436</v>
      </c>
      <c r="P20">
        <f t="shared" si="7"/>
        <v>0.19292721907462235</v>
      </c>
      <c r="Q20">
        <f t="shared" si="8"/>
        <v>2.8916151729093338</v>
      </c>
      <c r="R20">
        <f t="shared" si="9"/>
        <v>0.18605084314487055</v>
      </c>
      <c r="S20">
        <f t="shared" si="10"/>
        <v>0.11687917307398027</v>
      </c>
      <c r="T20">
        <f t="shared" si="11"/>
        <v>224.01063636811011</v>
      </c>
      <c r="U20">
        <f t="shared" si="12"/>
        <v>26.212493796076252</v>
      </c>
      <c r="V20">
        <f t="shared" si="13"/>
        <v>25.002926666666671</v>
      </c>
      <c r="W20">
        <f t="shared" si="14"/>
        <v>3.1802324389788525</v>
      </c>
      <c r="X20">
        <f t="shared" si="15"/>
        <v>65.235087018607757</v>
      </c>
      <c r="Y20">
        <f t="shared" si="16"/>
        <v>2.1262919744574011</v>
      </c>
      <c r="Z20">
        <f t="shared" si="17"/>
        <v>3.2594299657343822</v>
      </c>
      <c r="AA20">
        <f t="shared" si="18"/>
        <v>1.0539404645214514</v>
      </c>
      <c r="AB20">
        <f t="shared" si="19"/>
        <v>-90.749279273151657</v>
      </c>
      <c r="AC20">
        <f t="shared" si="20"/>
        <v>64.420603343586336</v>
      </c>
      <c r="AD20">
        <f t="shared" si="21"/>
        <v>4.7223734622422757</v>
      </c>
      <c r="AE20">
        <f t="shared" si="22"/>
        <v>202.40433390078704</v>
      </c>
      <c r="AF20">
        <f t="shared" si="23"/>
        <v>29.562608561227918</v>
      </c>
      <c r="AG20">
        <f t="shared" si="24"/>
        <v>2.0578067862392664</v>
      </c>
      <c r="AH20">
        <f t="shared" si="25"/>
        <v>29.538452138328893</v>
      </c>
      <c r="AI20">
        <v>465.41573253622732</v>
      </c>
      <c r="AJ20">
        <v>429.24228484848481</v>
      </c>
      <c r="AK20">
        <v>5.9822784482688558E-3</v>
      </c>
      <c r="AL20">
        <v>67.045641150954154</v>
      </c>
      <c r="AM20">
        <f t="shared" si="26"/>
        <v>2.0574950345587228</v>
      </c>
      <c r="AN20">
        <v>19.295922439562428</v>
      </c>
      <c r="AO20">
        <v>21.7110406060606</v>
      </c>
      <c r="AP20">
        <v>2.585631822472183E-5</v>
      </c>
      <c r="AQ20">
        <v>77.991733485167813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52017.59690950653</v>
      </c>
      <c r="AW20" t="s">
        <v>740</v>
      </c>
      <c r="AX20">
        <v>13204</v>
      </c>
      <c r="AY20">
        <v>634.19117647058829</v>
      </c>
      <c r="AZ20">
        <v>2420.69</v>
      </c>
      <c r="BA20">
        <f t="shared" si="30"/>
        <v>0.73801222937650501</v>
      </c>
      <c r="BB20">
        <v>-2.939506487161454</v>
      </c>
      <c r="BC20" t="s">
        <v>753</v>
      </c>
      <c r="BD20">
        <v>13210.6</v>
      </c>
      <c r="BE20">
        <v>948.14241176470591</v>
      </c>
      <c r="BF20">
        <v>1245.8399999999999</v>
      </c>
      <c r="BG20">
        <f t="shared" si="31"/>
        <v>0.23895330719457875</v>
      </c>
      <c r="BH20">
        <v>0.5</v>
      </c>
      <c r="BI20">
        <f t="shared" si="32"/>
        <v>1176.321919776223</v>
      </c>
      <c r="BJ20">
        <f t="shared" si="33"/>
        <v>29.562608561227918</v>
      </c>
      <c r="BK20">
        <f t="shared" si="34"/>
        <v>140.54300652800222</v>
      </c>
      <c r="BL20">
        <f t="shared" si="35"/>
        <v>2.7630289380795005E-2</v>
      </c>
      <c r="BM20">
        <f t="shared" si="36"/>
        <v>0.94301836511911663</v>
      </c>
      <c r="BN20">
        <f t="shared" si="37"/>
        <v>508.54934250655822</v>
      </c>
      <c r="BO20" t="s">
        <v>408</v>
      </c>
      <c r="BP20">
        <v>0</v>
      </c>
      <c r="BQ20">
        <f t="shared" si="38"/>
        <v>508.54934250655822</v>
      </c>
      <c r="BR20">
        <f t="shared" si="39"/>
        <v>0.59180204319450469</v>
      </c>
      <c r="BS20">
        <f t="shared" si="40"/>
        <v>0.40377235925838662</v>
      </c>
      <c r="BT20">
        <f t="shared" si="41"/>
        <v>0.61441609716100587</v>
      </c>
      <c r="BU20">
        <f t="shared" si="42"/>
        <v>0.48671325241415914</v>
      </c>
      <c r="BV20">
        <f t="shared" si="43"/>
        <v>0.65762707734615988</v>
      </c>
      <c r="BW20">
        <f t="shared" si="44"/>
        <v>0.21656890913780968</v>
      </c>
      <c r="BX20">
        <f t="shared" si="45"/>
        <v>0.78343109086219032</v>
      </c>
      <c r="DG20">
        <f t="shared" si="46"/>
        <v>1400.0346666666669</v>
      </c>
      <c r="DH20">
        <f t="shared" si="47"/>
        <v>1176.321919776223</v>
      </c>
      <c r="DI20">
        <f t="shared" si="48"/>
        <v>0.84020913751865867</v>
      </c>
      <c r="DJ20">
        <f t="shared" si="49"/>
        <v>0.16000363541101131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1785946339.349999</v>
      </c>
      <c r="DQ20">
        <v>419.91930000000002</v>
      </c>
      <c r="DR20">
        <v>456.42966666666672</v>
      </c>
      <c r="DS20">
        <v>21.709630000000001</v>
      </c>
      <c r="DT20">
        <v>19.29398333333333</v>
      </c>
      <c r="DU20">
        <v>431.0281333333333</v>
      </c>
      <c r="DV20">
        <v>22.232913333333329</v>
      </c>
      <c r="DW20">
        <v>500.02326666666681</v>
      </c>
      <c r="DX20">
        <v>97.897286666666702</v>
      </c>
      <c r="DY20">
        <v>4.5053873333333341E-2</v>
      </c>
      <c r="DZ20">
        <v>25.416163333333351</v>
      </c>
      <c r="EA20">
        <v>25.002926666666671</v>
      </c>
      <c r="EB20">
        <v>999.9000000000002</v>
      </c>
      <c r="EC20">
        <v>0</v>
      </c>
      <c r="ED20">
        <v>0</v>
      </c>
      <c r="EE20">
        <v>9995.5</v>
      </c>
      <c r="EF20">
        <v>0</v>
      </c>
      <c r="EG20">
        <v>68.852076666666662</v>
      </c>
      <c r="EH20">
        <v>-36.5105</v>
      </c>
      <c r="EI20">
        <v>429.23786666666649</v>
      </c>
      <c r="EJ20">
        <v>465.40939999999989</v>
      </c>
      <c r="EK20">
        <v>2.415659666666667</v>
      </c>
      <c r="EL20">
        <v>456.42966666666672</v>
      </c>
      <c r="EM20">
        <v>19.29398333333333</v>
      </c>
      <c r="EN20">
        <v>2.1253146666666671</v>
      </c>
      <c r="EO20">
        <v>1.888828666666666</v>
      </c>
      <c r="EP20">
        <v>18.41018</v>
      </c>
      <c r="EQ20">
        <v>16.54196</v>
      </c>
      <c r="ER20">
        <v>1400.0346666666669</v>
      </c>
      <c r="ES20">
        <v>0.99300543333333346</v>
      </c>
      <c r="ET20">
        <v>6.9949213333333343E-3</v>
      </c>
      <c r="EU20">
        <v>0</v>
      </c>
      <c r="EV20">
        <v>947.83620000000019</v>
      </c>
      <c r="EW20">
        <v>5.0010700000000003</v>
      </c>
      <c r="EX20">
        <v>14090.74</v>
      </c>
      <c r="EY20">
        <v>12745.853333333331</v>
      </c>
      <c r="EZ20">
        <v>36.716433333333327</v>
      </c>
      <c r="FA20">
        <v>38.197499999999991</v>
      </c>
      <c r="FB20">
        <v>37.674700000000001</v>
      </c>
      <c r="FC20">
        <v>37.918400000000013</v>
      </c>
      <c r="FD20">
        <v>38.383166666666646</v>
      </c>
      <c r="FE20">
        <v>1385.2746666666669</v>
      </c>
      <c r="FF20">
        <v>9.759999999999998</v>
      </c>
      <c r="FG20">
        <v>0</v>
      </c>
      <c r="FH20">
        <v>180.9000000953674</v>
      </c>
      <c r="FI20">
        <v>0</v>
      </c>
      <c r="FJ20">
        <v>948.14241176470591</v>
      </c>
      <c r="FK20">
        <v>6.0166666436890326</v>
      </c>
      <c r="FL20">
        <v>-45.955882768979031</v>
      </c>
      <c r="FM20">
        <v>14088.670588235291</v>
      </c>
      <c r="FN20">
        <v>10</v>
      </c>
      <c r="FO20">
        <v>1785946222.0999999</v>
      </c>
      <c r="FP20" t="s">
        <v>754</v>
      </c>
      <c r="FQ20">
        <v>1785946222.0999999</v>
      </c>
      <c r="FR20">
        <v>1785946221.0999999</v>
      </c>
      <c r="FS20">
        <v>20</v>
      </c>
      <c r="FT20">
        <v>-4.5999999999999999E-2</v>
      </c>
      <c r="FU20">
        <v>-1E-3</v>
      </c>
      <c r="FV20">
        <v>-11.239000000000001</v>
      </c>
      <c r="FW20">
        <v>-0.58099999999999996</v>
      </c>
      <c r="FX20">
        <v>455</v>
      </c>
      <c r="FY20">
        <v>19</v>
      </c>
      <c r="FZ20">
        <v>0.2</v>
      </c>
      <c r="GA20">
        <v>0.15</v>
      </c>
      <c r="GB20">
        <v>419.92148387096768</v>
      </c>
      <c r="GC20">
        <v>-0.27687096774259201</v>
      </c>
      <c r="GD20">
        <v>5.2056960718132768E-2</v>
      </c>
      <c r="GE20">
        <v>-1</v>
      </c>
      <c r="GF20">
        <v>947.60699999999997</v>
      </c>
      <c r="GG20">
        <v>5.566569893175136</v>
      </c>
      <c r="GH20">
        <v>0.59718447243515005</v>
      </c>
      <c r="GI20">
        <v>1</v>
      </c>
      <c r="GJ20">
        <v>2.4151714634146351</v>
      </c>
      <c r="GK20">
        <v>6.6338675958223913E-3</v>
      </c>
      <c r="GL20">
        <v>2.5646029131855602E-3</v>
      </c>
      <c r="GM20">
        <v>1</v>
      </c>
      <c r="GN20">
        <v>2</v>
      </c>
      <c r="GO20">
        <v>2</v>
      </c>
      <c r="GP20" t="s">
        <v>411</v>
      </c>
      <c r="GQ20">
        <v>3.1315300000000001</v>
      </c>
      <c r="GR20">
        <v>2.7214399999999999</v>
      </c>
      <c r="GS20">
        <v>9.4187300000000002E-2</v>
      </c>
      <c r="GT20">
        <v>9.9079100000000003E-2</v>
      </c>
      <c r="GU20">
        <v>0.10809000000000001</v>
      </c>
      <c r="GV20">
        <v>9.8061300000000004E-2</v>
      </c>
      <c r="GW20">
        <v>22955</v>
      </c>
      <c r="GX20">
        <v>30395.200000000001</v>
      </c>
      <c r="GY20">
        <v>27454.1</v>
      </c>
      <c r="GZ20">
        <v>34640.300000000003</v>
      </c>
      <c r="HA20">
        <v>35805.599999999999</v>
      </c>
      <c r="HB20">
        <v>39297</v>
      </c>
      <c r="HC20">
        <v>40510.9</v>
      </c>
      <c r="HD20">
        <v>43662</v>
      </c>
      <c r="HE20">
        <v>2.0466000000000002</v>
      </c>
      <c r="HF20">
        <v>1.9643999999999999</v>
      </c>
      <c r="HG20">
        <v>5.2362699999999998E-2</v>
      </c>
      <c r="HH20">
        <v>0</v>
      </c>
      <c r="HI20">
        <v>24.144200000000001</v>
      </c>
      <c r="HJ20">
        <v>999.9</v>
      </c>
      <c r="HK20">
        <v>72</v>
      </c>
      <c r="HL20">
        <v>27.5</v>
      </c>
      <c r="HM20">
        <v>27.105499999999999</v>
      </c>
      <c r="HN20">
        <v>60.349299999999999</v>
      </c>
      <c r="HO20">
        <v>3.7980800000000001</v>
      </c>
      <c r="HP20">
        <v>1</v>
      </c>
      <c r="HQ20">
        <v>-8.9024400000000004E-2</v>
      </c>
      <c r="HR20">
        <v>0.72923700000000002</v>
      </c>
      <c r="HS20">
        <v>20.245999999999999</v>
      </c>
      <c r="HT20">
        <v>5.2137000000000002</v>
      </c>
      <c r="HU20">
        <v>11.902100000000001</v>
      </c>
      <c r="HV20">
        <v>4.9855999999999998</v>
      </c>
      <c r="HW20">
        <v>3.2704</v>
      </c>
      <c r="HX20">
        <v>9999</v>
      </c>
      <c r="HY20">
        <v>9999</v>
      </c>
      <c r="HZ20">
        <v>9999</v>
      </c>
      <c r="IA20">
        <v>999.9</v>
      </c>
      <c r="IB20">
        <v>1.8672200000000001</v>
      </c>
      <c r="IC20">
        <v>1.8627899999999999</v>
      </c>
      <c r="ID20">
        <v>1.8623099999999999</v>
      </c>
      <c r="IE20">
        <v>1.86175</v>
      </c>
      <c r="IF20">
        <v>1.86175</v>
      </c>
      <c r="IG20">
        <v>1.86252</v>
      </c>
      <c r="IH20">
        <v>1.8633999999999999</v>
      </c>
      <c r="II20">
        <v>1.8614200000000001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-11.109</v>
      </c>
      <c r="IX20">
        <v>-0.52310000000000001</v>
      </c>
      <c r="IY20">
        <v>-9.1022768483544887</v>
      </c>
      <c r="IZ20">
        <v>-5.6215304933332991E-3</v>
      </c>
      <c r="JA20">
        <v>2.3979931213773931E-6</v>
      </c>
      <c r="JB20">
        <v>-3.6297174575716598E-10</v>
      </c>
      <c r="JC20">
        <v>-0.86748738855942609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2.1</v>
      </c>
      <c r="JL20">
        <v>2.1</v>
      </c>
      <c r="JM20">
        <v>1.17676</v>
      </c>
      <c r="JN20">
        <v>2.4731399999999999</v>
      </c>
      <c r="JO20">
        <v>1.50024</v>
      </c>
      <c r="JP20">
        <v>2.2729499999999998</v>
      </c>
      <c r="JQ20">
        <v>1.4477500000000001</v>
      </c>
      <c r="JR20">
        <v>2.4352999999999998</v>
      </c>
      <c r="JS20">
        <v>33.109900000000003</v>
      </c>
      <c r="JT20">
        <v>23.947399999999998</v>
      </c>
      <c r="JU20">
        <v>18</v>
      </c>
      <c r="JV20">
        <v>529.04700000000003</v>
      </c>
      <c r="JW20">
        <v>494.60199999999998</v>
      </c>
      <c r="JX20">
        <v>23.5199</v>
      </c>
      <c r="JY20">
        <v>26.148900000000001</v>
      </c>
      <c r="JZ20">
        <v>29.9999</v>
      </c>
      <c r="KA20">
        <v>26.167899999999999</v>
      </c>
      <c r="KB20">
        <v>26.179400000000001</v>
      </c>
      <c r="KC20">
        <v>23.529499999999999</v>
      </c>
      <c r="KD20">
        <v>36.281399999999998</v>
      </c>
      <c r="KE20">
        <v>73.167699999999996</v>
      </c>
      <c r="KF20">
        <v>23.5228</v>
      </c>
      <c r="KG20">
        <v>456.54399999999998</v>
      </c>
      <c r="KH20">
        <v>19.235399999999998</v>
      </c>
      <c r="KI20">
        <v>101.27800000000001</v>
      </c>
      <c r="KJ20">
        <v>98.521000000000001</v>
      </c>
    </row>
    <row r="21" spans="1:296" x14ac:dyDescent="0.3">
      <c r="A21">
        <v>5</v>
      </c>
      <c r="B21">
        <v>1785946528.5999999</v>
      </c>
      <c r="C21">
        <v>726</v>
      </c>
      <c r="D21" t="s">
        <v>755</v>
      </c>
      <c r="E21" t="s">
        <v>756</v>
      </c>
      <c r="F21">
        <v>15</v>
      </c>
      <c r="H21">
        <v>1785946520.849999</v>
      </c>
      <c r="I21">
        <f t="shared" si="0"/>
        <v>2.1052768715345664E-3</v>
      </c>
      <c r="J21">
        <f t="shared" si="1"/>
        <v>2.1052768715345662</v>
      </c>
      <c r="K21">
        <f t="shared" si="2"/>
        <v>28.790185880500175</v>
      </c>
      <c r="L21">
        <f t="shared" si="3"/>
        <v>419.9348</v>
      </c>
      <c r="M21">
        <f t="shared" si="4"/>
        <v>172.17821662110131</v>
      </c>
      <c r="N21">
        <f t="shared" si="5"/>
        <v>16.858732094405983</v>
      </c>
      <c r="O21">
        <f t="shared" si="6"/>
        <v>41.117676958505101</v>
      </c>
      <c r="P21">
        <f t="shared" si="7"/>
        <v>0.19606223179669294</v>
      </c>
      <c r="Q21">
        <f t="shared" si="8"/>
        <v>2.8914926131057372</v>
      </c>
      <c r="R21">
        <f t="shared" si="9"/>
        <v>0.18896469510831373</v>
      </c>
      <c r="S21">
        <f t="shared" si="10"/>
        <v>0.11871921383066178</v>
      </c>
      <c r="T21">
        <f t="shared" si="11"/>
        <v>160.17146064235675</v>
      </c>
      <c r="U21">
        <f t="shared" si="12"/>
        <v>25.90753793561187</v>
      </c>
      <c r="V21">
        <f t="shared" si="13"/>
        <v>25.012</v>
      </c>
      <c r="W21">
        <f t="shared" si="14"/>
        <v>3.1819531350624222</v>
      </c>
      <c r="X21">
        <f t="shared" si="15"/>
        <v>64.717640210095922</v>
      </c>
      <c r="Y21">
        <f t="shared" si="16"/>
        <v>2.1206157309583209</v>
      </c>
      <c r="Z21">
        <f t="shared" si="17"/>
        <v>3.2767198001565978</v>
      </c>
      <c r="AA21">
        <f t="shared" si="18"/>
        <v>1.0613374041041013</v>
      </c>
      <c r="AB21">
        <f t="shared" si="19"/>
        <v>-92.842710034674383</v>
      </c>
      <c r="AC21">
        <f t="shared" si="20"/>
        <v>76.88460792202163</v>
      </c>
      <c r="AD21">
        <f t="shared" si="21"/>
        <v>5.6390736701861872</v>
      </c>
      <c r="AE21">
        <f t="shared" si="22"/>
        <v>149.85243219989019</v>
      </c>
      <c r="AF21">
        <f t="shared" si="23"/>
        <v>28.790185880500175</v>
      </c>
      <c r="AG21">
        <f t="shared" si="24"/>
        <v>2.1052768715345662</v>
      </c>
      <c r="AH21">
        <f t="shared" si="25"/>
        <v>28.805429012373828</v>
      </c>
      <c r="AI21">
        <v>464.58342198930029</v>
      </c>
      <c r="AJ21">
        <v>429.28151515151518</v>
      </c>
      <c r="AK21">
        <v>1.033283606448307E-2</v>
      </c>
      <c r="AL21">
        <v>67.057298908851152</v>
      </c>
      <c r="AM21">
        <f t="shared" si="26"/>
        <v>2.1056192528189523</v>
      </c>
      <c r="AN21">
        <v>19.186996408461098</v>
      </c>
      <c r="AO21">
        <v>21.65915636363636</v>
      </c>
      <c r="AP21">
        <v>2.899905408523703E-5</v>
      </c>
      <c r="AQ21">
        <v>78.181146163104842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51997.960638986195</v>
      </c>
      <c r="AW21" t="s">
        <v>740</v>
      </c>
      <c r="AX21">
        <v>13204</v>
      </c>
      <c r="AY21">
        <v>634.19117647058829</v>
      </c>
      <c r="AZ21">
        <v>2420.69</v>
      </c>
      <c r="BA21">
        <f t="shared" si="30"/>
        <v>0.73801222937650501</v>
      </c>
      <c r="BB21">
        <v>-2.939506487161454</v>
      </c>
      <c r="BC21" t="s">
        <v>757</v>
      </c>
      <c r="BD21">
        <v>13214.2</v>
      </c>
      <c r="BE21">
        <v>944.90164705882353</v>
      </c>
      <c r="BF21">
        <v>1401.77</v>
      </c>
      <c r="BG21">
        <f t="shared" si="31"/>
        <v>0.32592247868136459</v>
      </c>
      <c r="BH21">
        <v>0.5</v>
      </c>
      <c r="BI21">
        <f t="shared" si="32"/>
        <v>840.27130445717967</v>
      </c>
      <c r="BJ21">
        <f t="shared" si="33"/>
        <v>28.790185880500175</v>
      </c>
      <c r="BK21">
        <f t="shared" si="34"/>
        <v>136.93165315675378</v>
      </c>
      <c r="BL21">
        <f t="shared" si="35"/>
        <v>3.7761247110728362E-2</v>
      </c>
      <c r="BM21">
        <f t="shared" si="36"/>
        <v>0.72688101471710775</v>
      </c>
      <c r="BN21">
        <f t="shared" si="37"/>
        <v>532.73949691509961</v>
      </c>
      <c r="BO21" t="s">
        <v>408</v>
      </c>
      <c r="BP21">
        <v>0</v>
      </c>
      <c r="BQ21">
        <f t="shared" si="38"/>
        <v>532.73949691509961</v>
      </c>
      <c r="BR21">
        <f t="shared" si="39"/>
        <v>0.61995227682494303</v>
      </c>
      <c r="BS21">
        <f t="shared" si="40"/>
        <v>0.52572188354652316</v>
      </c>
      <c r="BT21">
        <f t="shared" si="41"/>
        <v>0.53969635238587588</v>
      </c>
      <c r="BU21">
        <f t="shared" si="42"/>
        <v>0.59520708354152552</v>
      </c>
      <c r="BV21">
        <f t="shared" si="43"/>
        <v>0.57034462412184472</v>
      </c>
      <c r="BW21">
        <f t="shared" si="44"/>
        <v>0.29640419469011442</v>
      </c>
      <c r="BX21">
        <f t="shared" si="45"/>
        <v>0.70359580530988564</v>
      </c>
      <c r="DG21">
        <f t="shared" si="46"/>
        <v>999.96726666666666</v>
      </c>
      <c r="DH21">
        <f t="shared" si="47"/>
        <v>840.27130445717967</v>
      </c>
      <c r="DI21">
        <f t="shared" si="48"/>
        <v>0.84029881023823483</v>
      </c>
      <c r="DJ21">
        <f t="shared" si="49"/>
        <v>0.16017670375979315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1785946520.849999</v>
      </c>
      <c r="DQ21">
        <v>419.9348</v>
      </c>
      <c r="DR21">
        <v>455.54856666666672</v>
      </c>
      <c r="DS21">
        <v>21.657846666666661</v>
      </c>
      <c r="DT21">
        <v>19.185906666666671</v>
      </c>
      <c r="DU21">
        <v>431.01743333333332</v>
      </c>
      <c r="DV21">
        <v>22.182009999999998</v>
      </c>
      <c r="DW21">
        <v>499.93473333333333</v>
      </c>
      <c r="DX21">
        <v>97.869183333333325</v>
      </c>
      <c r="DY21">
        <v>4.5247570000000001E-2</v>
      </c>
      <c r="DZ21">
        <v>25.505209999999991</v>
      </c>
      <c r="EA21">
        <v>25.012</v>
      </c>
      <c r="EB21">
        <v>999.9000000000002</v>
      </c>
      <c r="EC21">
        <v>0</v>
      </c>
      <c r="ED21">
        <v>0</v>
      </c>
      <c r="EE21">
        <v>9997.6666666666661</v>
      </c>
      <c r="EF21">
        <v>0</v>
      </c>
      <c r="EG21">
        <v>44.145186666666667</v>
      </c>
      <c r="EH21">
        <v>-35.613759999999992</v>
      </c>
      <c r="EI21">
        <v>429.23103333333341</v>
      </c>
      <c r="EJ21">
        <v>464.4595666666666</v>
      </c>
      <c r="EK21">
        <v>2.4719406666666668</v>
      </c>
      <c r="EL21">
        <v>455.54856666666672</v>
      </c>
      <c r="EM21">
        <v>19.185906666666671</v>
      </c>
      <c r="EN21">
        <v>2.1196363333333341</v>
      </c>
      <c r="EO21">
        <v>1.877708333333334</v>
      </c>
      <c r="EP21">
        <v>18.367519999999999</v>
      </c>
      <c r="EQ21">
        <v>16.449163333333331</v>
      </c>
      <c r="ER21">
        <v>999.96726666666666</v>
      </c>
      <c r="ES21">
        <v>0.98998699999999973</v>
      </c>
      <c r="ET21">
        <v>1.0012699999999999E-2</v>
      </c>
      <c r="EU21">
        <v>0</v>
      </c>
      <c r="EV21">
        <v>944.77333333333343</v>
      </c>
      <c r="EW21">
        <v>5.0010700000000003</v>
      </c>
      <c r="EX21">
        <v>10069.523333333331</v>
      </c>
      <c r="EY21">
        <v>9079.9373333333351</v>
      </c>
      <c r="EZ21">
        <v>37.728933333333323</v>
      </c>
      <c r="FA21">
        <v>40.641399999999997</v>
      </c>
      <c r="FB21">
        <v>38.966399999999993</v>
      </c>
      <c r="FC21">
        <v>41.349799999999988</v>
      </c>
      <c r="FD21">
        <v>39.941399999999987</v>
      </c>
      <c r="FE21">
        <v>985.00466666666659</v>
      </c>
      <c r="FF21">
        <v>9.9599999999999991</v>
      </c>
      <c r="FG21">
        <v>0</v>
      </c>
      <c r="FH21">
        <v>180.60000014305109</v>
      </c>
      <c r="FI21">
        <v>0</v>
      </c>
      <c r="FJ21">
        <v>944.90164705882353</v>
      </c>
      <c r="FK21">
        <v>2.793872583144573</v>
      </c>
      <c r="FL21">
        <v>36.029411738132758</v>
      </c>
      <c r="FM21">
        <v>10070.817647058821</v>
      </c>
      <c r="FN21">
        <v>10</v>
      </c>
      <c r="FO21">
        <v>1785946411.5999999</v>
      </c>
      <c r="FP21" t="s">
        <v>758</v>
      </c>
      <c r="FQ21">
        <v>1785946411.5999999</v>
      </c>
      <c r="FR21">
        <v>1785946409.5999999</v>
      </c>
      <c r="FS21">
        <v>21</v>
      </c>
      <c r="FT21">
        <v>2.5999999999999999E-2</v>
      </c>
      <c r="FU21">
        <v>0</v>
      </c>
      <c r="FV21">
        <v>-11.212</v>
      </c>
      <c r="FW21">
        <v>-0.58799999999999997</v>
      </c>
      <c r="FX21">
        <v>455</v>
      </c>
      <c r="FY21">
        <v>19</v>
      </c>
      <c r="FZ21">
        <v>0.24</v>
      </c>
      <c r="GA21">
        <v>0.12</v>
      </c>
      <c r="GB21">
        <v>419.93653333333327</v>
      </c>
      <c r="GC21">
        <v>-3.5933259175780899E-2</v>
      </c>
      <c r="GD21">
        <v>5.2042119693782717E-2</v>
      </c>
      <c r="GE21">
        <v>-1</v>
      </c>
      <c r="GF21">
        <v>944.65326470588229</v>
      </c>
      <c r="GG21">
        <v>2.6952635642583469</v>
      </c>
      <c r="GH21">
        <v>0.3280363420346894</v>
      </c>
      <c r="GI21">
        <v>1</v>
      </c>
      <c r="GJ21">
        <v>2.4729424999999998</v>
      </c>
      <c r="GK21">
        <v>-2.6069043151972629E-2</v>
      </c>
      <c r="GL21">
        <v>3.9215390792391447E-3</v>
      </c>
      <c r="GM21">
        <v>1</v>
      </c>
      <c r="GN21">
        <v>2</v>
      </c>
      <c r="GO21">
        <v>2</v>
      </c>
      <c r="GP21" t="s">
        <v>411</v>
      </c>
      <c r="GQ21">
        <v>3.1317699999999999</v>
      </c>
      <c r="GR21">
        <v>2.7210999999999999</v>
      </c>
      <c r="GS21">
        <v>9.4164600000000001E-2</v>
      </c>
      <c r="GT21">
        <v>9.8867399999999994E-2</v>
      </c>
      <c r="GU21">
        <v>0.10784100000000001</v>
      </c>
      <c r="GV21">
        <v>9.7641800000000001E-2</v>
      </c>
      <c r="GW21">
        <v>22952</v>
      </c>
      <c r="GX21">
        <v>30397.8</v>
      </c>
      <c r="GY21">
        <v>27450.2</v>
      </c>
      <c r="GZ21">
        <v>34635.599999999999</v>
      </c>
      <c r="HA21">
        <v>35811.599999999999</v>
      </c>
      <c r="HB21">
        <v>39310.800000000003</v>
      </c>
      <c r="HC21">
        <v>40505.9</v>
      </c>
      <c r="HD21">
        <v>43656.800000000003</v>
      </c>
      <c r="HE21">
        <v>2.0461999999999998</v>
      </c>
      <c r="HF21">
        <v>1.9596</v>
      </c>
      <c r="HG21">
        <v>4.5746599999999998E-2</v>
      </c>
      <c r="HH21">
        <v>0</v>
      </c>
      <c r="HI21">
        <v>24.252099999999999</v>
      </c>
      <c r="HJ21">
        <v>999.9</v>
      </c>
      <c r="HK21">
        <v>71.599999999999994</v>
      </c>
      <c r="HL21">
        <v>27.7</v>
      </c>
      <c r="HM21">
        <v>27.281600000000001</v>
      </c>
      <c r="HN21">
        <v>59.469299999999997</v>
      </c>
      <c r="HO21">
        <v>4.2948700000000004</v>
      </c>
      <c r="HP21">
        <v>1</v>
      </c>
      <c r="HQ21">
        <v>-8.2682900000000004E-2</v>
      </c>
      <c r="HR21">
        <v>0.56065399999999999</v>
      </c>
      <c r="HS21">
        <v>20.2515</v>
      </c>
      <c r="HT21">
        <v>5.2148899999999996</v>
      </c>
      <c r="HU21">
        <v>11.902100000000001</v>
      </c>
      <c r="HV21">
        <v>4.9867999999999997</v>
      </c>
      <c r="HW21">
        <v>3.2706</v>
      </c>
      <c r="HX21">
        <v>9999</v>
      </c>
      <c r="HY21">
        <v>9999</v>
      </c>
      <c r="HZ21">
        <v>9999</v>
      </c>
      <c r="IA21">
        <v>999.9</v>
      </c>
      <c r="IB21">
        <v>1.8672200000000001</v>
      </c>
      <c r="IC21">
        <v>1.8628199999999999</v>
      </c>
      <c r="ID21">
        <v>1.8623400000000001</v>
      </c>
      <c r="IE21">
        <v>1.86172</v>
      </c>
      <c r="IF21">
        <v>1.86188</v>
      </c>
      <c r="IG21">
        <v>1.8625799999999999</v>
      </c>
      <c r="IH21">
        <v>1.8633999999999999</v>
      </c>
      <c r="II21">
        <v>1.8614200000000001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-11.082000000000001</v>
      </c>
      <c r="IX21">
        <v>-0.5242</v>
      </c>
      <c r="IY21">
        <v>-9.0760945549024932</v>
      </c>
      <c r="IZ21">
        <v>-5.6215304933332991E-3</v>
      </c>
      <c r="JA21">
        <v>2.3979931213773931E-6</v>
      </c>
      <c r="JB21">
        <v>-3.6297174575716598E-10</v>
      </c>
      <c r="JC21">
        <v>-0.8670142397739018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1.9</v>
      </c>
      <c r="JL21">
        <v>2</v>
      </c>
      <c r="JM21">
        <v>1.17432</v>
      </c>
      <c r="JN21">
        <v>2.47559</v>
      </c>
      <c r="JO21">
        <v>1.50024</v>
      </c>
      <c r="JP21">
        <v>2.2729499999999998</v>
      </c>
      <c r="JQ21">
        <v>1.4477500000000001</v>
      </c>
      <c r="JR21">
        <v>2.3022499999999999</v>
      </c>
      <c r="JS21">
        <v>33.670499999999997</v>
      </c>
      <c r="JT21">
        <v>23.947399999999998</v>
      </c>
      <c r="JU21">
        <v>18</v>
      </c>
      <c r="JV21">
        <v>529.28499999999997</v>
      </c>
      <c r="JW21">
        <v>491.90499999999997</v>
      </c>
      <c r="JX21">
        <v>23.9512</v>
      </c>
      <c r="JY21">
        <v>26.206700000000001</v>
      </c>
      <c r="JZ21">
        <v>30.000599999999999</v>
      </c>
      <c r="KA21">
        <v>26.220800000000001</v>
      </c>
      <c r="KB21">
        <v>26.231999999999999</v>
      </c>
      <c r="KC21">
        <v>23.478999999999999</v>
      </c>
      <c r="KD21">
        <v>36.959099999999999</v>
      </c>
      <c r="KE21">
        <v>68.249600000000001</v>
      </c>
      <c r="KF21">
        <v>23.9558</v>
      </c>
      <c r="KG21">
        <v>455.608</v>
      </c>
      <c r="KH21">
        <v>19.253699999999998</v>
      </c>
      <c r="KI21">
        <v>101.265</v>
      </c>
      <c r="KJ21">
        <v>98.508499999999998</v>
      </c>
    </row>
    <row r="22" spans="1:296" x14ac:dyDescent="0.3">
      <c r="A22">
        <v>6</v>
      </c>
      <c r="B22">
        <v>1785946710.5</v>
      </c>
      <c r="C22">
        <v>907.90000009536743</v>
      </c>
      <c r="D22" t="s">
        <v>759</v>
      </c>
      <c r="E22" t="s">
        <v>760</v>
      </c>
      <c r="F22">
        <v>15</v>
      </c>
      <c r="H22">
        <v>1785946702.75</v>
      </c>
      <c r="I22">
        <f t="shared" si="0"/>
        <v>2.0753493115706284E-3</v>
      </c>
      <c r="J22">
        <f t="shared" si="1"/>
        <v>2.0753493115706285</v>
      </c>
      <c r="K22">
        <f t="shared" si="2"/>
        <v>27.658651806312694</v>
      </c>
      <c r="L22">
        <f t="shared" si="3"/>
        <v>419.96626666666663</v>
      </c>
      <c r="M22">
        <f t="shared" si="4"/>
        <v>183.95003796710898</v>
      </c>
      <c r="N22">
        <f t="shared" si="5"/>
        <v>17.994282365964548</v>
      </c>
      <c r="O22">
        <f t="shared" si="6"/>
        <v>41.081761494016021</v>
      </c>
      <c r="P22">
        <f t="shared" si="7"/>
        <v>0.19798644627050432</v>
      </c>
      <c r="Q22">
        <f t="shared" si="8"/>
        <v>2.8892072314093342</v>
      </c>
      <c r="R22">
        <f t="shared" si="9"/>
        <v>0.19074617880531802</v>
      </c>
      <c r="S22">
        <f t="shared" si="10"/>
        <v>0.11984481154409576</v>
      </c>
      <c r="T22">
        <f t="shared" si="11"/>
        <v>128.28139565537629</v>
      </c>
      <c r="U22">
        <f t="shared" si="12"/>
        <v>25.734420167375571</v>
      </c>
      <c r="V22">
        <f t="shared" si="13"/>
        <v>24.938906666666661</v>
      </c>
      <c r="W22">
        <f t="shared" si="14"/>
        <v>3.1681145729880531</v>
      </c>
      <c r="X22">
        <f t="shared" si="15"/>
        <v>65.048182310252415</v>
      </c>
      <c r="Y22">
        <f t="shared" si="16"/>
        <v>2.1326365166199301</v>
      </c>
      <c r="Z22">
        <f t="shared" si="17"/>
        <v>3.2785489784297939</v>
      </c>
      <c r="AA22">
        <f t="shared" si="18"/>
        <v>1.035478056368123</v>
      </c>
      <c r="AB22">
        <f t="shared" si="19"/>
        <v>-91.522904640264713</v>
      </c>
      <c r="AC22">
        <f t="shared" si="20"/>
        <v>89.672724707533618</v>
      </c>
      <c r="AD22">
        <f t="shared" si="21"/>
        <v>6.5801092074288912</v>
      </c>
      <c r="AE22">
        <f t="shared" si="22"/>
        <v>133.0113249300741</v>
      </c>
      <c r="AF22">
        <f t="shared" si="23"/>
        <v>27.658651806312694</v>
      </c>
      <c r="AG22">
        <f t="shared" si="24"/>
        <v>2.0753493115706285</v>
      </c>
      <c r="AH22">
        <f t="shared" si="25"/>
        <v>27.693195842734845</v>
      </c>
      <c r="AI22">
        <v>463.20187662025347</v>
      </c>
      <c r="AJ22">
        <v>429.3190242424244</v>
      </c>
      <c r="AK22">
        <v>-1.6429906038153089E-3</v>
      </c>
      <c r="AL22">
        <v>67.0709584848953</v>
      </c>
      <c r="AM22">
        <f t="shared" si="26"/>
        <v>2.0706905285440436</v>
      </c>
      <c r="AN22">
        <v>19.36347903770001</v>
      </c>
      <c r="AO22">
        <v>21.794417575757581</v>
      </c>
      <c r="AP22">
        <v>-2.8160939606805068E-6</v>
      </c>
      <c r="AQ22">
        <v>78.190473745389042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51928.899672258005</v>
      </c>
      <c r="AW22" t="s">
        <v>740</v>
      </c>
      <c r="AX22">
        <v>13204</v>
      </c>
      <c r="AY22">
        <v>634.19117647058829</v>
      </c>
      <c r="AZ22">
        <v>2420.69</v>
      </c>
      <c r="BA22">
        <f t="shared" si="30"/>
        <v>0.73801222937650501</v>
      </c>
      <c r="BB22">
        <v>-2.939506487161454</v>
      </c>
      <c r="BC22" t="s">
        <v>761</v>
      </c>
      <c r="BD22">
        <v>13233</v>
      </c>
      <c r="BE22">
        <v>952.50635294117649</v>
      </c>
      <c r="BF22">
        <v>1553.02</v>
      </c>
      <c r="BG22">
        <f t="shared" si="31"/>
        <v>0.3866747672656009</v>
      </c>
      <c r="BH22">
        <v>0.5</v>
      </c>
      <c r="BI22">
        <f t="shared" si="32"/>
        <v>672.32447816340732</v>
      </c>
      <c r="BJ22">
        <f t="shared" si="33"/>
        <v>27.658651806312694</v>
      </c>
      <c r="BK22">
        <f t="shared" si="34"/>
        <v>129.98545556040105</v>
      </c>
      <c r="BL22">
        <f t="shared" si="35"/>
        <v>4.5510998464698645E-2</v>
      </c>
      <c r="BM22">
        <f t="shared" si="36"/>
        <v>0.5586985357561397</v>
      </c>
      <c r="BN22">
        <f t="shared" si="37"/>
        <v>553.21577530772936</v>
      </c>
      <c r="BO22" t="s">
        <v>408</v>
      </c>
      <c r="BP22">
        <v>0</v>
      </c>
      <c r="BQ22">
        <f t="shared" si="38"/>
        <v>553.21577530772936</v>
      </c>
      <c r="BR22">
        <f t="shared" si="39"/>
        <v>0.6437806497612848</v>
      </c>
      <c r="BS22">
        <f t="shared" si="40"/>
        <v>0.60063123582384881</v>
      </c>
      <c r="BT22">
        <f t="shared" si="41"/>
        <v>0.46462220925323777</v>
      </c>
      <c r="BU22">
        <f t="shared" si="42"/>
        <v>0.65356422402175662</v>
      </c>
      <c r="BV22">
        <f t="shared" si="43"/>
        <v>0.48568181997782062</v>
      </c>
      <c r="BW22">
        <f t="shared" si="44"/>
        <v>0.34884667569335415</v>
      </c>
      <c r="BX22">
        <f t="shared" si="45"/>
        <v>0.65115332430664585</v>
      </c>
      <c r="DG22">
        <f t="shared" si="46"/>
        <v>800.01700000000005</v>
      </c>
      <c r="DH22">
        <f t="shared" si="47"/>
        <v>672.32447816340732</v>
      </c>
      <c r="DI22">
        <f t="shared" si="48"/>
        <v>0.8403877394647955</v>
      </c>
      <c r="DJ22">
        <f t="shared" si="49"/>
        <v>0.16034833716705554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1785946702.75</v>
      </c>
      <c r="DQ22">
        <v>419.96626666666663</v>
      </c>
      <c r="DR22">
        <v>454.20603333333332</v>
      </c>
      <c r="DS22">
        <v>21.801290000000002</v>
      </c>
      <c r="DT22">
        <v>19.364916666666669</v>
      </c>
      <c r="DU22">
        <v>431.05910000000011</v>
      </c>
      <c r="DV22">
        <v>22.326573333333339</v>
      </c>
      <c r="DW22">
        <v>499.94900000000001</v>
      </c>
      <c r="DX22">
        <v>97.776673333333306</v>
      </c>
      <c r="DY22">
        <v>4.4901290000000003E-2</v>
      </c>
      <c r="DZ22">
        <v>25.514606666666669</v>
      </c>
      <c r="EA22">
        <v>24.938906666666661</v>
      </c>
      <c r="EB22">
        <v>999.9000000000002</v>
      </c>
      <c r="EC22">
        <v>0</v>
      </c>
      <c r="ED22">
        <v>0</v>
      </c>
      <c r="EE22">
        <v>9994</v>
      </c>
      <c r="EF22">
        <v>0</v>
      </c>
      <c r="EG22">
        <v>50.528183333333352</v>
      </c>
      <c r="EH22">
        <v>-34.239686666666671</v>
      </c>
      <c r="EI22">
        <v>429.32603333333333</v>
      </c>
      <c r="EJ22">
        <v>463.17536666666672</v>
      </c>
      <c r="EK22">
        <v>2.4363676666666669</v>
      </c>
      <c r="EL22">
        <v>454.20603333333332</v>
      </c>
      <c r="EM22">
        <v>19.364916666666669</v>
      </c>
      <c r="EN22">
        <v>2.1316576666666669</v>
      </c>
      <c r="EO22">
        <v>1.893438</v>
      </c>
      <c r="EP22">
        <v>18.457726666666659</v>
      </c>
      <c r="EQ22">
        <v>16.580300000000001</v>
      </c>
      <c r="ER22">
        <v>800.01700000000005</v>
      </c>
      <c r="ES22">
        <v>0.98699960000000009</v>
      </c>
      <c r="ET22">
        <v>1.300046333333334E-2</v>
      </c>
      <c r="EU22">
        <v>0</v>
      </c>
      <c r="EV22">
        <v>952.12653333333344</v>
      </c>
      <c r="EW22">
        <v>5.0010700000000003</v>
      </c>
      <c r="EX22">
        <v>8160.9530000000004</v>
      </c>
      <c r="EY22">
        <v>7246.7749999999996</v>
      </c>
      <c r="EZ22">
        <v>36.070599999999999</v>
      </c>
      <c r="FA22">
        <v>38.424799999999998</v>
      </c>
      <c r="FB22">
        <v>37.64139999999999</v>
      </c>
      <c r="FC22">
        <v>38.099733333333333</v>
      </c>
      <c r="FD22">
        <v>38.066466666666663</v>
      </c>
      <c r="FE22">
        <v>784.68066666666675</v>
      </c>
      <c r="FF22">
        <v>10.34</v>
      </c>
      <c r="FG22">
        <v>0</v>
      </c>
      <c r="FH22">
        <v>181.5</v>
      </c>
      <c r="FI22">
        <v>0</v>
      </c>
      <c r="FJ22">
        <v>952.50635294117649</v>
      </c>
      <c r="FK22">
        <v>4.6100490294199004</v>
      </c>
      <c r="FL22">
        <v>59.301470376268249</v>
      </c>
      <c r="FM22">
        <v>8165.0311764705884</v>
      </c>
      <c r="FN22">
        <v>10</v>
      </c>
      <c r="FO22">
        <v>1785946593.5999999</v>
      </c>
      <c r="FP22" t="s">
        <v>762</v>
      </c>
      <c r="FQ22">
        <v>1785946593.5999999</v>
      </c>
      <c r="FR22">
        <v>1785946589.0999999</v>
      </c>
      <c r="FS22">
        <v>22</v>
      </c>
      <c r="FT22">
        <v>-0.01</v>
      </c>
      <c r="FU22">
        <v>-5.0000000000000001E-3</v>
      </c>
      <c r="FV22">
        <v>-11.218999999999999</v>
      </c>
      <c r="FW22">
        <v>-0.58599999999999997</v>
      </c>
      <c r="FX22">
        <v>454</v>
      </c>
      <c r="FY22">
        <v>19</v>
      </c>
      <c r="FZ22">
        <v>0.16</v>
      </c>
      <c r="GA22">
        <v>0.13</v>
      </c>
      <c r="GB22">
        <v>419.9656451612903</v>
      </c>
      <c r="GC22">
        <v>-2.467741936400967E-3</v>
      </c>
      <c r="GD22">
        <v>4.3424794751013011E-2</v>
      </c>
      <c r="GE22">
        <v>-1</v>
      </c>
      <c r="GF22">
        <v>951.74997058823533</v>
      </c>
      <c r="GG22">
        <v>7.0191138188509594</v>
      </c>
      <c r="GH22">
        <v>0.73060734144289086</v>
      </c>
      <c r="GI22">
        <v>1</v>
      </c>
      <c r="GJ22">
        <v>2.439792682926829</v>
      </c>
      <c r="GK22">
        <v>-5.2609756097564832E-2</v>
      </c>
      <c r="GL22">
        <v>6.4368387273493156E-3</v>
      </c>
      <c r="GM22">
        <v>1</v>
      </c>
      <c r="GN22">
        <v>2</v>
      </c>
      <c r="GO22">
        <v>2</v>
      </c>
      <c r="GP22" t="s">
        <v>411</v>
      </c>
      <c r="GQ22">
        <v>3.1315400000000002</v>
      </c>
      <c r="GR22">
        <v>2.72085</v>
      </c>
      <c r="GS22">
        <v>9.4076300000000002E-2</v>
      </c>
      <c r="GT22">
        <v>9.8560200000000001E-2</v>
      </c>
      <c r="GU22">
        <v>0.108224</v>
      </c>
      <c r="GV22">
        <v>9.8168699999999998E-2</v>
      </c>
      <c r="GW22">
        <v>22952.9</v>
      </c>
      <c r="GX22">
        <v>30405.4</v>
      </c>
      <c r="GY22">
        <v>27448.6</v>
      </c>
      <c r="GZ22">
        <v>34632.699999999997</v>
      </c>
      <c r="HA22">
        <v>35794.199999999997</v>
      </c>
      <c r="HB22">
        <v>39285</v>
      </c>
      <c r="HC22">
        <v>40503.9</v>
      </c>
      <c r="HD22">
        <v>43653.9</v>
      </c>
      <c r="HE22">
        <v>2.0459999999999998</v>
      </c>
      <c r="HF22">
        <v>1.9572000000000001</v>
      </c>
      <c r="HG22">
        <v>4.9173799999999997E-2</v>
      </c>
      <c r="HH22">
        <v>0</v>
      </c>
      <c r="HI22">
        <v>24.128</v>
      </c>
      <c r="HJ22">
        <v>999.9</v>
      </c>
      <c r="HK22">
        <v>71</v>
      </c>
      <c r="HL22">
        <v>27.9</v>
      </c>
      <c r="HM22">
        <v>27.396999999999998</v>
      </c>
      <c r="HN22">
        <v>60.109299999999998</v>
      </c>
      <c r="HO22">
        <v>4.3870199999999997</v>
      </c>
      <c r="HP22">
        <v>1</v>
      </c>
      <c r="HQ22">
        <v>-8.1768300000000002E-2</v>
      </c>
      <c r="HR22">
        <v>3.2483699999999997E-2</v>
      </c>
      <c r="HS22">
        <v>20.252199999999998</v>
      </c>
      <c r="HT22">
        <v>5.2137000000000002</v>
      </c>
      <c r="HU22">
        <v>11.902100000000001</v>
      </c>
      <c r="HV22">
        <v>4.9863999999999997</v>
      </c>
      <c r="HW22">
        <v>3.2702</v>
      </c>
      <c r="HX22">
        <v>9999</v>
      </c>
      <c r="HY22">
        <v>9999</v>
      </c>
      <c r="HZ22">
        <v>9999</v>
      </c>
      <c r="IA22">
        <v>999.9</v>
      </c>
      <c r="IB22">
        <v>1.8672200000000001</v>
      </c>
      <c r="IC22">
        <v>1.8628199999999999</v>
      </c>
      <c r="ID22">
        <v>1.8623400000000001</v>
      </c>
      <c r="IE22">
        <v>1.86172</v>
      </c>
      <c r="IF22">
        <v>1.86188</v>
      </c>
      <c r="IG22">
        <v>1.8625799999999999</v>
      </c>
      <c r="IH22">
        <v>1.8633999999999999</v>
      </c>
      <c r="II22">
        <v>1.8614200000000001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-11.093</v>
      </c>
      <c r="IX22">
        <v>-0.52539999999999998</v>
      </c>
      <c r="IY22">
        <v>-9.0862337696201827</v>
      </c>
      <c r="IZ22">
        <v>-5.6215304933332991E-3</v>
      </c>
      <c r="JA22">
        <v>2.3979931213773931E-6</v>
      </c>
      <c r="JB22">
        <v>-3.6297174575716598E-10</v>
      </c>
      <c r="JC22">
        <v>-0.87198164266074141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1.9</v>
      </c>
      <c r="JL22">
        <v>2</v>
      </c>
      <c r="JM22">
        <v>1.17065</v>
      </c>
      <c r="JN22">
        <v>2.47559</v>
      </c>
      <c r="JO22">
        <v>1.50024</v>
      </c>
      <c r="JP22">
        <v>2.2729499999999998</v>
      </c>
      <c r="JQ22">
        <v>1.4477500000000001</v>
      </c>
      <c r="JR22">
        <v>2.323</v>
      </c>
      <c r="JS22">
        <v>34.031799999999997</v>
      </c>
      <c r="JT22">
        <v>23.947399999999998</v>
      </c>
      <c r="JU22">
        <v>18</v>
      </c>
      <c r="JV22">
        <v>529.44299999999998</v>
      </c>
      <c r="JW22">
        <v>490.59899999999999</v>
      </c>
      <c r="JX22">
        <v>24.444700000000001</v>
      </c>
      <c r="JY22">
        <v>26.2332</v>
      </c>
      <c r="JZ22">
        <v>29.9999</v>
      </c>
      <c r="KA22">
        <v>26.2517</v>
      </c>
      <c r="KB22">
        <v>26.262699999999999</v>
      </c>
      <c r="KC22">
        <v>23.413399999999999</v>
      </c>
      <c r="KD22">
        <v>36.567599999999999</v>
      </c>
      <c r="KE22">
        <v>63.333599999999997</v>
      </c>
      <c r="KF22">
        <v>24.438500000000001</v>
      </c>
      <c r="KG22">
        <v>454.16800000000001</v>
      </c>
      <c r="KH22">
        <v>19.345500000000001</v>
      </c>
      <c r="KI22">
        <v>101.26</v>
      </c>
      <c r="KJ22">
        <v>98.501199999999997</v>
      </c>
    </row>
    <row r="23" spans="1:296" x14ac:dyDescent="0.3">
      <c r="A23">
        <v>7</v>
      </c>
      <c r="B23">
        <v>1785946892</v>
      </c>
      <c r="C23">
        <v>1089.400000095367</v>
      </c>
      <c r="D23" t="s">
        <v>763</v>
      </c>
      <c r="E23" t="s">
        <v>764</v>
      </c>
      <c r="F23">
        <v>15</v>
      </c>
      <c r="H23">
        <v>1785946884.25</v>
      </c>
      <c r="I23">
        <f t="shared" si="0"/>
        <v>1.9193920891435352E-3</v>
      </c>
      <c r="J23">
        <f t="shared" si="1"/>
        <v>1.9193920891435352</v>
      </c>
      <c r="K23">
        <f t="shared" si="2"/>
        <v>25.395319432924804</v>
      </c>
      <c r="L23">
        <f t="shared" si="3"/>
        <v>420.00919999999991</v>
      </c>
      <c r="M23">
        <f t="shared" si="4"/>
        <v>186.68206088762196</v>
      </c>
      <c r="N23">
        <f t="shared" si="5"/>
        <v>18.253606805132016</v>
      </c>
      <c r="O23">
        <f t="shared" si="6"/>
        <v>41.06812810446317</v>
      </c>
      <c r="P23">
        <f t="shared" si="7"/>
        <v>0.18350791064355848</v>
      </c>
      <c r="Q23">
        <f t="shared" si="8"/>
        <v>2.8881907304965835</v>
      </c>
      <c r="R23">
        <f t="shared" si="9"/>
        <v>0.17726780521406174</v>
      </c>
      <c r="S23">
        <f t="shared" si="10"/>
        <v>0.11133534973727716</v>
      </c>
      <c r="T23">
        <f t="shared" si="11"/>
        <v>96.346153150570814</v>
      </c>
      <c r="U23">
        <f t="shared" si="12"/>
        <v>25.790867344681175</v>
      </c>
      <c r="V23">
        <f t="shared" si="13"/>
        <v>25.008483333333331</v>
      </c>
      <c r="W23">
        <f t="shared" si="14"/>
        <v>3.1812861265667336</v>
      </c>
      <c r="X23">
        <f t="shared" si="15"/>
        <v>64.823310047021792</v>
      </c>
      <c r="Y23">
        <f t="shared" si="16"/>
        <v>2.1514394205565717</v>
      </c>
      <c r="Z23">
        <f t="shared" si="17"/>
        <v>3.3189286677831658</v>
      </c>
      <c r="AA23">
        <f t="shared" si="18"/>
        <v>1.0298467060101619</v>
      </c>
      <c r="AB23">
        <f t="shared" si="19"/>
        <v>-84.645191131229907</v>
      </c>
      <c r="AC23">
        <f t="shared" si="20"/>
        <v>110.9264779831875</v>
      </c>
      <c r="AD23">
        <f t="shared" si="21"/>
        <v>8.153863324004746</v>
      </c>
      <c r="AE23">
        <f t="shared" si="22"/>
        <v>130.78130332653313</v>
      </c>
      <c r="AF23">
        <f t="shared" si="23"/>
        <v>25.395319432924804</v>
      </c>
      <c r="AG23">
        <f t="shared" si="24"/>
        <v>1.9193920891435352</v>
      </c>
      <c r="AH23">
        <f t="shared" si="25"/>
        <v>25.521953798929996</v>
      </c>
      <c r="AI23">
        <v>460.53418352730148</v>
      </c>
      <c r="AJ23">
        <v>429.41147878787859</v>
      </c>
      <c r="AK23">
        <v>-2.31076096203864E-2</v>
      </c>
      <c r="AL23">
        <v>67.052351827934899</v>
      </c>
      <c r="AM23">
        <f t="shared" si="26"/>
        <v>1.9395106608728023</v>
      </c>
      <c r="AN23">
        <v>19.751186583619312</v>
      </c>
      <c r="AO23">
        <v>22.019161212121219</v>
      </c>
      <c r="AP23">
        <v>1.34740443013375E-3</v>
      </c>
      <c r="AQ23">
        <v>78.081954199142359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51863.062671326676</v>
      </c>
      <c r="AW23" t="s">
        <v>740</v>
      </c>
      <c r="AX23">
        <v>13204</v>
      </c>
      <c r="AY23">
        <v>634.19117647058829</v>
      </c>
      <c r="AZ23">
        <v>2420.69</v>
      </c>
      <c r="BA23">
        <f t="shared" si="30"/>
        <v>0.73801222937650501</v>
      </c>
      <c r="BB23">
        <v>-2.939506487161454</v>
      </c>
      <c r="BC23" t="s">
        <v>765</v>
      </c>
      <c r="BD23">
        <v>13230</v>
      </c>
      <c r="BE23">
        <v>951.49405882352949</v>
      </c>
      <c r="BF23">
        <v>1747.84</v>
      </c>
      <c r="BG23">
        <f t="shared" si="31"/>
        <v>0.4556171853124259</v>
      </c>
      <c r="BH23">
        <v>0.5</v>
      </c>
      <c r="BI23">
        <f t="shared" si="32"/>
        <v>504.30741709355999</v>
      </c>
      <c r="BJ23">
        <f t="shared" si="33"/>
        <v>25.395319432924804</v>
      </c>
      <c r="BK23">
        <f t="shared" si="34"/>
        <v>114.88556295417369</v>
      </c>
      <c r="BL23">
        <f t="shared" si="35"/>
        <v>5.6185622022746365E-2</v>
      </c>
      <c r="BM23">
        <f t="shared" si="36"/>
        <v>0.38496086598315643</v>
      </c>
      <c r="BN23">
        <f t="shared" si="37"/>
        <v>576.08963393971624</v>
      </c>
      <c r="BO23" t="s">
        <v>408</v>
      </c>
      <c r="BP23">
        <v>0</v>
      </c>
      <c r="BQ23">
        <f t="shared" si="38"/>
        <v>576.08963393971624</v>
      </c>
      <c r="BR23">
        <f t="shared" si="39"/>
        <v>0.67039910178293427</v>
      </c>
      <c r="BS23">
        <f t="shared" si="40"/>
        <v>0.67962081706360677</v>
      </c>
      <c r="BT23">
        <f t="shared" si="41"/>
        <v>0.36476735686498862</v>
      </c>
      <c r="BU23">
        <f t="shared" si="42"/>
        <v>0.71507815062621383</v>
      </c>
      <c r="BV23">
        <f t="shared" si="43"/>
        <v>0.37663053069954777</v>
      </c>
      <c r="BW23">
        <f t="shared" si="44"/>
        <v>0.41148182071055739</v>
      </c>
      <c r="BX23">
        <f t="shared" si="45"/>
        <v>0.58851817928944261</v>
      </c>
      <c r="DG23">
        <f t="shared" si="46"/>
        <v>600.00490000000002</v>
      </c>
      <c r="DH23">
        <f t="shared" si="47"/>
        <v>504.30741709355999</v>
      </c>
      <c r="DI23">
        <f t="shared" si="48"/>
        <v>0.84050549769436878</v>
      </c>
      <c r="DJ23">
        <f t="shared" si="49"/>
        <v>0.16057561055013186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1785946884.25</v>
      </c>
      <c r="DQ23">
        <v>420.00919999999991</v>
      </c>
      <c r="DR23">
        <v>451.4521666666667</v>
      </c>
      <c r="DS23">
        <v>22.003056666666669</v>
      </c>
      <c r="DT23">
        <v>19.75038</v>
      </c>
      <c r="DU23">
        <v>431.13000000000011</v>
      </c>
      <c r="DV23">
        <v>22.520500000000009</v>
      </c>
      <c r="DW23">
        <v>499.98110000000003</v>
      </c>
      <c r="DX23">
        <v>97.734259999999992</v>
      </c>
      <c r="DY23">
        <v>4.4855563333333327E-2</v>
      </c>
      <c r="DZ23">
        <v>25.72088333333333</v>
      </c>
      <c r="EA23">
        <v>25.008483333333331</v>
      </c>
      <c r="EB23">
        <v>999.9000000000002</v>
      </c>
      <c r="EC23">
        <v>0</v>
      </c>
      <c r="ED23">
        <v>0</v>
      </c>
      <c r="EE23">
        <v>9992.5</v>
      </c>
      <c r="EF23">
        <v>0</v>
      </c>
      <c r="EG23">
        <v>56.074026666666683</v>
      </c>
      <c r="EH23">
        <v>-31.44295</v>
      </c>
      <c r="EI23">
        <v>429.45856666666663</v>
      </c>
      <c r="EJ23">
        <v>460.54813333333328</v>
      </c>
      <c r="EK23">
        <v>2.2526803333333332</v>
      </c>
      <c r="EL23">
        <v>451.4521666666667</v>
      </c>
      <c r="EM23">
        <v>19.75038</v>
      </c>
      <c r="EN23">
        <v>2.1504513333333342</v>
      </c>
      <c r="EO23">
        <v>1.930287333333333</v>
      </c>
      <c r="EP23">
        <v>18.597896666666671</v>
      </c>
      <c r="EQ23">
        <v>16.883806666666668</v>
      </c>
      <c r="ER23">
        <v>600.00490000000002</v>
      </c>
      <c r="ES23">
        <v>0.9830055333333334</v>
      </c>
      <c r="ET23">
        <v>1.699461666666667E-2</v>
      </c>
      <c r="EU23">
        <v>0</v>
      </c>
      <c r="EV23">
        <v>951.41413333333355</v>
      </c>
      <c r="EW23">
        <v>5.0010700000000003</v>
      </c>
      <c r="EX23">
        <v>6248.1750000000002</v>
      </c>
      <c r="EY23">
        <v>5415.168333333334</v>
      </c>
      <c r="EZ23">
        <v>36.7956</v>
      </c>
      <c r="FA23">
        <v>40.441466666666663</v>
      </c>
      <c r="FB23">
        <v>38.622599999999991</v>
      </c>
      <c r="FC23">
        <v>41.05806666666664</v>
      </c>
      <c r="FD23">
        <v>39.303933333333333</v>
      </c>
      <c r="FE23">
        <v>584.89166666666665</v>
      </c>
      <c r="FF23">
        <v>10.11</v>
      </c>
      <c r="FG23">
        <v>0</v>
      </c>
      <c r="FH23">
        <v>180.70000004768369</v>
      </c>
      <c r="FI23">
        <v>0</v>
      </c>
      <c r="FJ23">
        <v>951.49405882352949</v>
      </c>
      <c r="FK23">
        <v>0.919852957357431</v>
      </c>
      <c r="FL23">
        <v>18.022058609970809</v>
      </c>
      <c r="FM23">
        <v>6249.6082352941166</v>
      </c>
      <c r="FN23">
        <v>10</v>
      </c>
      <c r="FO23">
        <v>1785946779</v>
      </c>
      <c r="FP23" t="s">
        <v>766</v>
      </c>
      <c r="FQ23">
        <v>1785946777</v>
      </c>
      <c r="FR23">
        <v>1785946779</v>
      </c>
      <c r="FS23">
        <v>23</v>
      </c>
      <c r="FT23">
        <v>-2.8000000000000001E-2</v>
      </c>
      <c r="FU23">
        <v>3.0000000000000001E-3</v>
      </c>
      <c r="FV23">
        <v>-11.237</v>
      </c>
      <c r="FW23">
        <v>-0.58499999999999996</v>
      </c>
      <c r="FX23">
        <v>451</v>
      </c>
      <c r="FY23">
        <v>19</v>
      </c>
      <c r="FZ23">
        <v>0.23</v>
      </c>
      <c r="GA23">
        <v>0.11</v>
      </c>
      <c r="GB23">
        <v>420.0098666666666</v>
      </c>
      <c r="GC23">
        <v>-2.2478309232560931E-2</v>
      </c>
      <c r="GD23">
        <v>4.8291982311310933E-2</v>
      </c>
      <c r="GE23">
        <v>-1</v>
      </c>
      <c r="GF23">
        <v>951.29270588235295</v>
      </c>
      <c r="GG23">
        <v>1.9209167277213011</v>
      </c>
      <c r="GH23">
        <v>0.28506908650894569</v>
      </c>
      <c r="GI23">
        <v>1</v>
      </c>
      <c r="GJ23">
        <v>2.2554295</v>
      </c>
      <c r="GK23">
        <v>1.647129455906909E-3</v>
      </c>
      <c r="GL23">
        <v>2.312762233239728E-2</v>
      </c>
      <c r="GM23">
        <v>1</v>
      </c>
      <c r="GN23">
        <v>2</v>
      </c>
      <c r="GO23">
        <v>2</v>
      </c>
      <c r="GP23" t="s">
        <v>411</v>
      </c>
      <c r="GQ23">
        <v>3.1316099999999998</v>
      </c>
      <c r="GR23">
        <v>2.7205400000000002</v>
      </c>
      <c r="GS23">
        <v>9.4078999999999996E-2</v>
      </c>
      <c r="GT23">
        <v>9.8086499999999993E-2</v>
      </c>
      <c r="GU23">
        <v>0.108957</v>
      </c>
      <c r="GV23">
        <v>9.9566699999999994E-2</v>
      </c>
      <c r="GW23">
        <v>22956.9</v>
      </c>
      <c r="GX23">
        <v>30430</v>
      </c>
      <c r="GY23">
        <v>27452.9</v>
      </c>
      <c r="GZ23">
        <v>34641.4</v>
      </c>
      <c r="HA23">
        <v>35769</v>
      </c>
      <c r="HB23">
        <v>39234</v>
      </c>
      <c r="HC23">
        <v>40510</v>
      </c>
      <c r="HD23">
        <v>43665.7</v>
      </c>
      <c r="HE23">
        <v>2.0478000000000001</v>
      </c>
      <c r="HF23">
        <v>1.9588000000000001</v>
      </c>
      <c r="HG23">
        <v>6.2674300000000002E-2</v>
      </c>
      <c r="HH23">
        <v>0</v>
      </c>
      <c r="HI23">
        <v>23.985099999999999</v>
      </c>
      <c r="HJ23">
        <v>999.9</v>
      </c>
      <c r="HK23">
        <v>70.2</v>
      </c>
      <c r="HL23">
        <v>28</v>
      </c>
      <c r="HM23">
        <v>27.2575</v>
      </c>
      <c r="HN23">
        <v>59.999200000000002</v>
      </c>
      <c r="HO23">
        <v>4.1746800000000004</v>
      </c>
      <c r="HP23">
        <v>1</v>
      </c>
      <c r="HQ23">
        <v>-9.1707300000000005E-2</v>
      </c>
      <c r="HR23">
        <v>-0.22045799999999999</v>
      </c>
      <c r="HS23">
        <v>20.255800000000001</v>
      </c>
      <c r="HT23">
        <v>5.2112999999999996</v>
      </c>
      <c r="HU23">
        <v>11.902100000000001</v>
      </c>
      <c r="HV23">
        <v>4.9851999999999999</v>
      </c>
      <c r="HW23">
        <v>3.27</v>
      </c>
      <c r="HX23">
        <v>9999</v>
      </c>
      <c r="HY23">
        <v>9999</v>
      </c>
      <c r="HZ23">
        <v>9999</v>
      </c>
      <c r="IA23">
        <v>999.9</v>
      </c>
      <c r="IB23">
        <v>1.8672200000000001</v>
      </c>
      <c r="IC23">
        <v>1.8627899999999999</v>
      </c>
      <c r="ID23">
        <v>1.8623099999999999</v>
      </c>
      <c r="IE23">
        <v>1.86172</v>
      </c>
      <c r="IF23">
        <v>1.86185</v>
      </c>
      <c r="IG23">
        <v>1.86249</v>
      </c>
      <c r="IH23">
        <v>1.8633999999999999</v>
      </c>
      <c r="II23">
        <v>1.8614200000000001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-11.121</v>
      </c>
      <c r="IX23">
        <v>-0.51690000000000003</v>
      </c>
      <c r="IY23">
        <v>-9.1138813813946165</v>
      </c>
      <c r="IZ23">
        <v>-5.6215304933332991E-3</v>
      </c>
      <c r="JA23">
        <v>2.3979931213773931E-6</v>
      </c>
      <c r="JB23">
        <v>-3.6297174575716598E-10</v>
      </c>
      <c r="JC23">
        <v>-0.86933088380114532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1.9</v>
      </c>
      <c r="JL23">
        <v>1.9</v>
      </c>
      <c r="JM23">
        <v>1.16577</v>
      </c>
      <c r="JN23">
        <v>2.48291</v>
      </c>
      <c r="JO23">
        <v>1.50024</v>
      </c>
      <c r="JP23">
        <v>2.2729499999999998</v>
      </c>
      <c r="JQ23">
        <v>1.4477500000000001</v>
      </c>
      <c r="JR23">
        <v>2.36938</v>
      </c>
      <c r="JS23">
        <v>33.941299999999998</v>
      </c>
      <c r="JT23">
        <v>23.956199999999999</v>
      </c>
      <c r="JU23">
        <v>18</v>
      </c>
      <c r="JV23">
        <v>529.80100000000004</v>
      </c>
      <c r="JW23">
        <v>490.92500000000001</v>
      </c>
      <c r="JX23">
        <v>24.985499999999998</v>
      </c>
      <c r="JY23">
        <v>26.096399999999999</v>
      </c>
      <c r="JZ23">
        <v>29.999700000000001</v>
      </c>
      <c r="KA23">
        <v>26.167899999999999</v>
      </c>
      <c r="KB23">
        <v>26.1816</v>
      </c>
      <c r="KC23">
        <v>23.311399999999999</v>
      </c>
      <c r="KD23">
        <v>34.974800000000002</v>
      </c>
      <c r="KE23">
        <v>58.799199999999999</v>
      </c>
      <c r="KF23">
        <v>24.988099999999999</v>
      </c>
      <c r="KG23">
        <v>451.36700000000002</v>
      </c>
      <c r="KH23">
        <v>19.675799999999999</v>
      </c>
      <c r="KI23">
        <v>101.27500000000001</v>
      </c>
      <c r="KJ23">
        <v>98.527100000000004</v>
      </c>
    </row>
    <row r="24" spans="1:296" x14ac:dyDescent="0.3">
      <c r="A24">
        <v>8</v>
      </c>
      <c r="B24">
        <v>1785947073.5</v>
      </c>
      <c r="C24">
        <v>1270.900000095367</v>
      </c>
      <c r="D24" t="s">
        <v>767</v>
      </c>
      <c r="E24" t="s">
        <v>768</v>
      </c>
      <c r="F24">
        <v>15</v>
      </c>
      <c r="H24">
        <v>1785947065.5</v>
      </c>
      <c r="I24">
        <f t="shared" si="0"/>
        <v>1.8334388222465215E-3</v>
      </c>
      <c r="J24">
        <f t="shared" si="1"/>
        <v>1.8334388222465214</v>
      </c>
      <c r="K24">
        <f t="shared" si="2"/>
        <v>20.277445670776618</v>
      </c>
      <c r="L24">
        <f t="shared" si="3"/>
        <v>420.01435483870972</v>
      </c>
      <c r="M24">
        <f t="shared" si="4"/>
        <v>225.11389075734996</v>
      </c>
      <c r="N24">
        <f t="shared" si="5"/>
        <v>22.027485183486991</v>
      </c>
      <c r="O24">
        <f t="shared" si="6"/>
        <v>41.098574356897842</v>
      </c>
      <c r="P24">
        <f t="shared" si="7"/>
        <v>0.17627677809713191</v>
      </c>
      <c r="Q24">
        <f t="shared" si="8"/>
        <v>2.8910595125705791</v>
      </c>
      <c r="R24">
        <f t="shared" si="9"/>
        <v>0.17051597185717082</v>
      </c>
      <c r="S24">
        <f t="shared" si="10"/>
        <v>0.107074384632901</v>
      </c>
      <c r="T24">
        <f t="shared" si="11"/>
        <v>64.414472057013654</v>
      </c>
      <c r="U24">
        <f t="shared" si="12"/>
        <v>25.624145347266467</v>
      </c>
      <c r="V24">
        <f t="shared" si="13"/>
        <v>25.025587096774199</v>
      </c>
      <c r="W24">
        <f t="shared" si="14"/>
        <v>3.184531357080663</v>
      </c>
      <c r="X24">
        <f t="shared" si="15"/>
        <v>65.110209576371474</v>
      </c>
      <c r="Y24">
        <f t="shared" si="16"/>
        <v>2.1611536961477715</v>
      </c>
      <c r="Z24">
        <f t="shared" si="17"/>
        <v>3.3192239899225497</v>
      </c>
      <c r="AA24">
        <f t="shared" si="18"/>
        <v>1.0233776609328915</v>
      </c>
      <c r="AB24">
        <f t="shared" si="19"/>
        <v>-80.85465206107159</v>
      </c>
      <c r="AC24">
        <f t="shared" si="20"/>
        <v>108.60469656455162</v>
      </c>
      <c r="AD24">
        <f t="shared" si="21"/>
        <v>7.9760201192835734</v>
      </c>
      <c r="AE24">
        <f t="shared" si="22"/>
        <v>100.14053667977726</v>
      </c>
      <c r="AF24">
        <f t="shared" si="23"/>
        <v>20.277445670776618</v>
      </c>
      <c r="AG24">
        <f t="shared" si="24"/>
        <v>1.8334388222465214</v>
      </c>
      <c r="AH24">
        <f t="shared" si="25"/>
        <v>20.241919313290925</v>
      </c>
      <c r="AI24">
        <v>454.25884790574372</v>
      </c>
      <c r="AJ24">
        <v>429.46071515151488</v>
      </c>
      <c r="AK24">
        <v>2.6094376231699341E-3</v>
      </c>
      <c r="AL24">
        <v>67.071368271252922</v>
      </c>
      <c r="AM24">
        <f t="shared" si="26"/>
        <v>1.8285837511443555</v>
      </c>
      <c r="AN24">
        <v>19.936302897624291</v>
      </c>
      <c r="AO24">
        <v>22.082136969696961</v>
      </c>
      <c r="AP24">
        <v>1.612191892216541E-6</v>
      </c>
      <c r="AQ24">
        <v>78.191560930576898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51946.399740854067</v>
      </c>
      <c r="AW24" t="s">
        <v>740</v>
      </c>
      <c r="AX24">
        <v>13204</v>
      </c>
      <c r="AY24">
        <v>634.19117647058829</v>
      </c>
      <c r="AZ24">
        <v>2420.69</v>
      </c>
      <c r="BA24">
        <f t="shared" si="30"/>
        <v>0.73801222937650501</v>
      </c>
      <c r="BB24">
        <v>-2.939506487161454</v>
      </c>
      <c r="BC24" t="s">
        <v>769</v>
      </c>
      <c r="BD24">
        <v>13247.6</v>
      </c>
      <c r="BE24">
        <v>948.94476470588233</v>
      </c>
      <c r="BF24">
        <v>2028.01</v>
      </c>
      <c r="BG24">
        <f t="shared" si="31"/>
        <v>0.53208082568336335</v>
      </c>
      <c r="BH24">
        <v>0.5</v>
      </c>
      <c r="BI24">
        <f t="shared" si="32"/>
        <v>336.30913564712392</v>
      </c>
      <c r="BJ24">
        <f t="shared" si="33"/>
        <v>20.277445670776618</v>
      </c>
      <c r="BK24">
        <f t="shared" si="34"/>
        <v>89.471821289989975</v>
      </c>
      <c r="BL24">
        <f t="shared" si="35"/>
        <v>6.9034556891427165E-2</v>
      </c>
      <c r="BM24">
        <f t="shared" si="36"/>
        <v>0.19362823654715711</v>
      </c>
      <c r="BN24">
        <f t="shared" si="37"/>
        <v>603.57298714326726</v>
      </c>
      <c r="BO24" t="s">
        <v>408</v>
      </c>
      <c r="BP24">
        <v>0</v>
      </c>
      <c r="BQ24">
        <f t="shared" si="38"/>
        <v>603.57298714326726</v>
      </c>
      <c r="BR24">
        <f t="shared" si="39"/>
        <v>0.70238165140050235</v>
      </c>
      <c r="BS24">
        <f t="shared" si="40"/>
        <v>0.75753804875515973</v>
      </c>
      <c r="BT24">
        <f t="shared" si="41"/>
        <v>0.21610055776356335</v>
      </c>
      <c r="BU24">
        <f t="shared" si="42"/>
        <v>0.77417898013582664</v>
      </c>
      <c r="BV24">
        <f t="shared" si="43"/>
        <v>0.21980423095058099</v>
      </c>
      <c r="BW24">
        <f t="shared" si="44"/>
        <v>0.48182941723014655</v>
      </c>
      <c r="BX24">
        <f t="shared" si="45"/>
        <v>0.5181705827698535</v>
      </c>
      <c r="DG24">
        <f t="shared" si="46"/>
        <v>400.01516129032262</v>
      </c>
      <c r="DH24">
        <f t="shared" si="47"/>
        <v>336.30913564712392</v>
      </c>
      <c r="DI24">
        <f t="shared" si="48"/>
        <v>0.84074097232289102</v>
      </c>
      <c r="DJ24">
        <f t="shared" si="49"/>
        <v>0.16103007658317975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1785947065.5</v>
      </c>
      <c r="DQ24">
        <v>420.01435483870972</v>
      </c>
      <c r="DR24">
        <v>445.27135483870973</v>
      </c>
      <c r="DS24">
        <v>22.08630322580645</v>
      </c>
      <c r="DT24">
        <v>19.93477096774194</v>
      </c>
      <c r="DU24">
        <v>431.02658064516118</v>
      </c>
      <c r="DV24">
        <v>22.602399999999999</v>
      </c>
      <c r="DW24">
        <v>500.0003870967742</v>
      </c>
      <c r="DX24">
        <v>97.806241935483868</v>
      </c>
      <c r="DY24">
        <v>4.4162183870967743E-2</v>
      </c>
      <c r="DZ24">
        <v>25.722383870967739</v>
      </c>
      <c r="EA24">
        <v>25.025587096774199</v>
      </c>
      <c r="EB24">
        <v>999.90000000000032</v>
      </c>
      <c r="EC24">
        <v>0</v>
      </c>
      <c r="ED24">
        <v>0</v>
      </c>
      <c r="EE24">
        <v>10001.61290322581</v>
      </c>
      <c r="EF24">
        <v>0</v>
      </c>
      <c r="EG24">
        <v>51.725719354838731</v>
      </c>
      <c r="EH24">
        <v>-25.25704838709677</v>
      </c>
      <c r="EI24">
        <v>429.50035483870982</v>
      </c>
      <c r="EJ24">
        <v>454.32819354838699</v>
      </c>
      <c r="EK24">
        <v>2.151535806451613</v>
      </c>
      <c r="EL24">
        <v>445.27135483870973</v>
      </c>
      <c r="EM24">
        <v>19.93477096774194</v>
      </c>
      <c r="EN24">
        <v>2.160179032258065</v>
      </c>
      <c r="EO24">
        <v>1.949745483870968</v>
      </c>
      <c r="EP24">
        <v>18.67001290322581</v>
      </c>
      <c r="EQ24">
        <v>17.042019354838711</v>
      </c>
      <c r="ER24">
        <v>400.01516129032262</v>
      </c>
      <c r="ES24">
        <v>0.97499022580645178</v>
      </c>
      <c r="ET24">
        <v>2.5009787096774191E-2</v>
      </c>
      <c r="EU24">
        <v>0</v>
      </c>
      <c r="EV24">
        <v>948.74970967741933</v>
      </c>
      <c r="EW24">
        <v>5.0010700000000003</v>
      </c>
      <c r="EX24">
        <v>4232.4254838709676</v>
      </c>
      <c r="EY24">
        <v>3583.7977419354838</v>
      </c>
      <c r="EZ24">
        <v>35.35858064516129</v>
      </c>
      <c r="FA24">
        <v>38.046161290322573</v>
      </c>
      <c r="FB24">
        <v>37.249709677419347</v>
      </c>
      <c r="FC24">
        <v>37.779967741935472</v>
      </c>
      <c r="FD24">
        <v>37.529967741935472</v>
      </c>
      <c r="FE24">
        <v>385.13387096774198</v>
      </c>
      <c r="FF24">
        <v>9.879999999999999</v>
      </c>
      <c r="FG24">
        <v>0</v>
      </c>
      <c r="FH24">
        <v>180.9000000953674</v>
      </c>
      <c r="FI24">
        <v>0</v>
      </c>
      <c r="FJ24">
        <v>948.94476470588233</v>
      </c>
      <c r="FK24">
        <v>1.7036764419243751</v>
      </c>
      <c r="FL24">
        <v>-3.294117624425978</v>
      </c>
      <c r="FM24">
        <v>4231.9864705882364</v>
      </c>
      <c r="FN24">
        <v>10</v>
      </c>
      <c r="FO24">
        <v>1785946980</v>
      </c>
      <c r="FP24" t="s">
        <v>770</v>
      </c>
      <c r="FQ24">
        <v>1785946978</v>
      </c>
      <c r="FR24">
        <v>1785946980</v>
      </c>
      <c r="FS24">
        <v>24</v>
      </c>
      <c r="FT24">
        <v>0.108</v>
      </c>
      <c r="FU24">
        <v>-1E-3</v>
      </c>
      <c r="FV24">
        <v>-11.106999999999999</v>
      </c>
      <c r="FW24">
        <v>-0.57299999999999995</v>
      </c>
      <c r="FX24">
        <v>446</v>
      </c>
      <c r="FY24">
        <v>20</v>
      </c>
      <c r="FZ24">
        <v>0.31</v>
      </c>
      <c r="GA24">
        <v>0.14000000000000001</v>
      </c>
      <c r="GB24">
        <v>420.01620000000003</v>
      </c>
      <c r="GC24">
        <v>-0.56158398220124439</v>
      </c>
      <c r="GD24">
        <v>5.6434268549052133E-2</v>
      </c>
      <c r="GE24">
        <v>-1</v>
      </c>
      <c r="GF24">
        <v>948.62397058823524</v>
      </c>
      <c r="GG24">
        <v>3.443682194714432</v>
      </c>
      <c r="GH24">
        <v>0.39121007485028048</v>
      </c>
      <c r="GI24">
        <v>1</v>
      </c>
      <c r="GJ24">
        <v>2.1517982500000001</v>
      </c>
      <c r="GK24">
        <v>-2.1545628517824569E-2</v>
      </c>
      <c r="GL24">
        <v>3.78167680235895E-3</v>
      </c>
      <c r="GM24">
        <v>1</v>
      </c>
      <c r="GN24">
        <v>2</v>
      </c>
      <c r="GO24">
        <v>2</v>
      </c>
      <c r="GP24" t="s">
        <v>411</v>
      </c>
      <c r="GQ24">
        <v>3.1318600000000001</v>
      </c>
      <c r="GR24">
        <v>2.7197499999999999</v>
      </c>
      <c r="GS24">
        <v>9.4140299999999996E-2</v>
      </c>
      <c r="GT24">
        <v>9.7185099999999996E-2</v>
      </c>
      <c r="GU24">
        <v>0.10925799999999999</v>
      </c>
      <c r="GV24">
        <v>0.10030500000000001</v>
      </c>
      <c r="GW24">
        <v>22957.9</v>
      </c>
      <c r="GX24">
        <v>30466.1</v>
      </c>
      <c r="GY24">
        <v>27455.3</v>
      </c>
      <c r="GZ24">
        <v>34647.1</v>
      </c>
      <c r="HA24">
        <v>35760.1</v>
      </c>
      <c r="HB24">
        <v>39204.6</v>
      </c>
      <c r="HC24">
        <v>40514.5</v>
      </c>
      <c r="HD24">
        <v>43669.4</v>
      </c>
      <c r="HE24">
        <v>2.0484</v>
      </c>
      <c r="HF24">
        <v>1.9610000000000001</v>
      </c>
      <c r="HG24">
        <v>5.3942200000000003E-2</v>
      </c>
      <c r="HH24">
        <v>0</v>
      </c>
      <c r="HI24">
        <v>24.13</v>
      </c>
      <c r="HJ24">
        <v>999.9</v>
      </c>
      <c r="HK24">
        <v>69.5</v>
      </c>
      <c r="HL24">
        <v>28.1</v>
      </c>
      <c r="HM24">
        <v>27.121600000000001</v>
      </c>
      <c r="HN24">
        <v>59.899299999999997</v>
      </c>
      <c r="HO24">
        <v>4.3068900000000001</v>
      </c>
      <c r="HP24">
        <v>1</v>
      </c>
      <c r="HQ24">
        <v>-0.10187</v>
      </c>
      <c r="HR24">
        <v>0.24470600000000001</v>
      </c>
      <c r="HS24">
        <v>20.257400000000001</v>
      </c>
      <c r="HT24">
        <v>5.2112999999999996</v>
      </c>
      <c r="HU24">
        <v>11.902100000000001</v>
      </c>
      <c r="HV24">
        <v>4.9871999999999996</v>
      </c>
      <c r="HW24">
        <v>3.2702</v>
      </c>
      <c r="HX24">
        <v>9999</v>
      </c>
      <c r="HY24">
        <v>9999</v>
      </c>
      <c r="HZ24">
        <v>9999</v>
      </c>
      <c r="IA24">
        <v>999.9</v>
      </c>
      <c r="IB24">
        <v>1.8672200000000001</v>
      </c>
      <c r="IC24">
        <v>1.8627899999999999</v>
      </c>
      <c r="ID24">
        <v>1.8623400000000001</v>
      </c>
      <c r="IE24">
        <v>1.86172</v>
      </c>
      <c r="IF24">
        <v>1.86188</v>
      </c>
      <c r="IG24">
        <v>1.8625499999999999</v>
      </c>
      <c r="IH24">
        <v>1.8633999999999999</v>
      </c>
      <c r="II24">
        <v>1.8614200000000001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-11.012</v>
      </c>
      <c r="IX24">
        <v>-0.51629999999999998</v>
      </c>
      <c r="IY24">
        <v>-9.0057574420048496</v>
      </c>
      <c r="IZ24">
        <v>-5.6215304933332991E-3</v>
      </c>
      <c r="JA24">
        <v>2.3979931213773931E-6</v>
      </c>
      <c r="JB24">
        <v>-3.6297174575716598E-10</v>
      </c>
      <c r="JC24">
        <v>-0.87017525241443883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1.6</v>
      </c>
      <c r="JL24">
        <v>1.6</v>
      </c>
      <c r="JM24">
        <v>1.1535599999999999</v>
      </c>
      <c r="JN24">
        <v>2.47803</v>
      </c>
      <c r="JO24">
        <v>1.50024</v>
      </c>
      <c r="JP24">
        <v>2.2729499999999998</v>
      </c>
      <c r="JQ24">
        <v>1.4477500000000001</v>
      </c>
      <c r="JR24">
        <v>2.32666</v>
      </c>
      <c r="JS24">
        <v>33.963900000000002</v>
      </c>
      <c r="JT24">
        <v>23.938700000000001</v>
      </c>
      <c r="JU24">
        <v>18</v>
      </c>
      <c r="JV24">
        <v>529.18499999999995</v>
      </c>
      <c r="JW24">
        <v>491.46800000000002</v>
      </c>
      <c r="JX24">
        <v>24.522600000000001</v>
      </c>
      <c r="JY24">
        <v>25.9757</v>
      </c>
      <c r="JZ24">
        <v>29.9999</v>
      </c>
      <c r="KA24">
        <v>26.060500000000001</v>
      </c>
      <c r="KB24">
        <v>26.081099999999999</v>
      </c>
      <c r="KC24">
        <v>23.0794</v>
      </c>
      <c r="KD24">
        <v>34.267400000000002</v>
      </c>
      <c r="KE24">
        <v>55.030200000000001</v>
      </c>
      <c r="KF24">
        <v>24.529399999999999</v>
      </c>
      <c r="KG24">
        <v>445.35399999999998</v>
      </c>
      <c r="KH24">
        <v>19.969100000000001</v>
      </c>
      <c r="KI24">
        <v>101.285</v>
      </c>
      <c r="KJ24">
        <v>98.538899999999998</v>
      </c>
    </row>
    <row r="25" spans="1:296" x14ac:dyDescent="0.3">
      <c r="A25">
        <v>9</v>
      </c>
      <c r="B25">
        <v>1785947255</v>
      </c>
      <c r="C25">
        <v>1452.400000095367</v>
      </c>
      <c r="D25" t="s">
        <v>771</v>
      </c>
      <c r="E25" t="s">
        <v>772</v>
      </c>
      <c r="F25">
        <v>15</v>
      </c>
      <c r="H25">
        <v>1785947247</v>
      </c>
      <c r="I25">
        <f t="shared" si="0"/>
        <v>1.706867369949603E-3</v>
      </c>
      <c r="J25">
        <f t="shared" si="1"/>
        <v>1.7068673699496031</v>
      </c>
      <c r="K25">
        <f t="shared" si="2"/>
        <v>15.997692794760166</v>
      </c>
      <c r="L25">
        <f t="shared" si="3"/>
        <v>420.03229032258071</v>
      </c>
      <c r="M25">
        <f t="shared" si="4"/>
        <v>251.76890712243537</v>
      </c>
      <c r="N25">
        <f t="shared" si="5"/>
        <v>24.656638000050535</v>
      </c>
      <c r="O25">
        <f t="shared" si="6"/>
        <v>41.135278574250584</v>
      </c>
      <c r="P25">
        <f t="shared" si="7"/>
        <v>0.1617545438320368</v>
      </c>
      <c r="Q25">
        <f t="shared" si="8"/>
        <v>2.8930084970801806</v>
      </c>
      <c r="R25">
        <f t="shared" si="9"/>
        <v>0.15689289892021163</v>
      </c>
      <c r="S25">
        <f t="shared" si="10"/>
        <v>9.848268976355537E-2</v>
      </c>
      <c r="T25">
        <f t="shared" si="11"/>
        <v>48.446564555975634</v>
      </c>
      <c r="U25">
        <f t="shared" si="12"/>
        <v>25.469166895394373</v>
      </c>
      <c r="V25">
        <f t="shared" si="13"/>
        <v>25.008770967741938</v>
      </c>
      <c r="W25">
        <f t="shared" si="14"/>
        <v>3.1813406777870039</v>
      </c>
      <c r="X25">
        <f t="shared" si="15"/>
        <v>64.97725652595156</v>
      </c>
      <c r="Y25">
        <f t="shared" si="16"/>
        <v>2.1448749557291746</v>
      </c>
      <c r="Z25">
        <f t="shared" si="17"/>
        <v>3.300962629704939</v>
      </c>
      <c r="AA25">
        <f t="shared" si="18"/>
        <v>1.0364657220578293</v>
      </c>
      <c r="AB25">
        <f t="shared" si="19"/>
        <v>-75.272851014777487</v>
      </c>
      <c r="AC25">
        <f t="shared" si="20"/>
        <v>96.794668907447956</v>
      </c>
      <c r="AD25">
        <f t="shared" si="21"/>
        <v>7.0999693644934396</v>
      </c>
      <c r="AE25">
        <f t="shared" si="22"/>
        <v>77.068351813139543</v>
      </c>
      <c r="AF25">
        <f t="shared" si="23"/>
        <v>15.997692794760166</v>
      </c>
      <c r="AG25">
        <f t="shared" si="24"/>
        <v>1.7068673699496031</v>
      </c>
      <c r="AH25">
        <f t="shared" si="25"/>
        <v>15.988990137201679</v>
      </c>
      <c r="AI25">
        <v>449.01137332069118</v>
      </c>
      <c r="AJ25">
        <v>429.44084848484817</v>
      </c>
      <c r="AK25">
        <v>-1.099995829588899E-3</v>
      </c>
      <c r="AL25">
        <v>67.051304638923497</v>
      </c>
      <c r="AM25">
        <f t="shared" si="26"/>
        <v>1.7065499304794556</v>
      </c>
      <c r="AN25">
        <v>19.89559275772714</v>
      </c>
      <c r="AO25">
        <v>21.898990909090902</v>
      </c>
      <c r="AP25">
        <v>-6.2097332231855632E-5</v>
      </c>
      <c r="AQ25">
        <v>78.073726328257194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52020.169927523842</v>
      </c>
      <c r="AW25" t="s">
        <v>740</v>
      </c>
      <c r="AX25">
        <v>13204</v>
      </c>
      <c r="AY25">
        <v>634.19117647058829</v>
      </c>
      <c r="AZ25">
        <v>2420.69</v>
      </c>
      <c r="BA25">
        <f t="shared" si="30"/>
        <v>0.73801222937650501</v>
      </c>
      <c r="BB25">
        <v>-2.939506487161454</v>
      </c>
      <c r="BC25" t="s">
        <v>773</v>
      </c>
      <c r="BD25">
        <v>13242.5</v>
      </c>
      <c r="BE25">
        <v>931.86082352941173</v>
      </c>
      <c r="BF25">
        <v>2155.52</v>
      </c>
      <c r="BG25">
        <f t="shared" si="31"/>
        <v>0.56768630143565746</v>
      </c>
      <c r="BH25">
        <v>0.5</v>
      </c>
      <c r="BI25">
        <f t="shared" si="32"/>
        <v>252.30997319798166</v>
      </c>
      <c r="BJ25">
        <f t="shared" si="33"/>
        <v>15.997692794760166</v>
      </c>
      <c r="BK25">
        <f t="shared" si="34"/>
        <v>71.616457750046038</v>
      </c>
      <c r="BL25">
        <f t="shared" si="35"/>
        <v>7.5055294255300997E-2</v>
      </c>
      <c r="BM25">
        <f t="shared" si="36"/>
        <v>0.1230190394893112</v>
      </c>
      <c r="BN25">
        <f t="shared" si="37"/>
        <v>614.38971310375541</v>
      </c>
      <c r="BO25" t="s">
        <v>408</v>
      </c>
      <c r="BP25">
        <v>0</v>
      </c>
      <c r="BQ25">
        <f t="shared" si="38"/>
        <v>614.38971310375541</v>
      </c>
      <c r="BR25">
        <f t="shared" si="39"/>
        <v>0.71496914289649116</v>
      </c>
      <c r="BS25">
        <f t="shared" si="40"/>
        <v>0.7940011216929449</v>
      </c>
      <c r="BT25">
        <f t="shared" si="41"/>
        <v>0.14680283335150224</v>
      </c>
      <c r="BU25">
        <f t="shared" si="42"/>
        <v>0.80433576064887546</v>
      </c>
      <c r="BV25">
        <f t="shared" si="43"/>
        <v>0.14842998859418755</v>
      </c>
      <c r="BW25">
        <f t="shared" si="44"/>
        <v>0.52349675943383134</v>
      </c>
      <c r="BX25">
        <f t="shared" si="45"/>
        <v>0.47650324056616866</v>
      </c>
      <c r="DG25">
        <f t="shared" si="46"/>
        <v>300.02167741935489</v>
      </c>
      <c r="DH25">
        <f t="shared" si="47"/>
        <v>252.30997319798166</v>
      </c>
      <c r="DI25">
        <f t="shared" si="48"/>
        <v>0.84097247694977639</v>
      </c>
      <c r="DJ25">
        <f t="shared" si="49"/>
        <v>0.16147688051306877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1785947247</v>
      </c>
      <c r="DQ25">
        <v>420.03229032258071</v>
      </c>
      <c r="DR25">
        <v>440.08987096774189</v>
      </c>
      <c r="DS25">
        <v>21.901316129032249</v>
      </c>
      <c r="DT25">
        <v>19.897932258064511</v>
      </c>
      <c r="DU25">
        <v>431.02793548387098</v>
      </c>
      <c r="DV25">
        <v>22.419467741935481</v>
      </c>
      <c r="DW25">
        <v>499.9994516129031</v>
      </c>
      <c r="DX25">
        <v>97.888906451612883</v>
      </c>
      <c r="DY25">
        <v>4.4703706451612903E-2</v>
      </c>
      <c r="DZ25">
        <v>25.629377419354832</v>
      </c>
      <c r="EA25">
        <v>25.008770967741938</v>
      </c>
      <c r="EB25">
        <v>999.90000000000032</v>
      </c>
      <c r="EC25">
        <v>0</v>
      </c>
      <c r="ED25">
        <v>0</v>
      </c>
      <c r="EE25">
        <v>10004.35483870968</v>
      </c>
      <c r="EF25">
        <v>0</v>
      </c>
      <c r="EG25">
        <v>39.796683870967733</v>
      </c>
      <c r="EH25">
        <v>-20.057554838709681</v>
      </c>
      <c r="EI25">
        <v>429.43761290322578</v>
      </c>
      <c r="EJ25">
        <v>449.02461290322577</v>
      </c>
      <c r="EK25">
        <v>2.0033719354838708</v>
      </c>
      <c r="EL25">
        <v>440.08987096774189</v>
      </c>
      <c r="EM25">
        <v>19.897932258064511</v>
      </c>
      <c r="EN25">
        <v>2.143895161290323</v>
      </c>
      <c r="EO25">
        <v>1.9477864516129031</v>
      </c>
      <c r="EP25">
        <v>18.54911612903226</v>
      </c>
      <c r="EQ25">
        <v>17.026154838709679</v>
      </c>
      <c r="ER25">
        <v>300.02167741935489</v>
      </c>
      <c r="ES25">
        <v>0.96703535483870973</v>
      </c>
      <c r="ET25">
        <v>3.2964448387096772E-2</v>
      </c>
      <c r="EU25">
        <v>0</v>
      </c>
      <c r="EV25">
        <v>931.81848387096761</v>
      </c>
      <c r="EW25">
        <v>5.0010700000000003</v>
      </c>
      <c r="EX25">
        <v>3130.874838709678</v>
      </c>
      <c r="EY25">
        <v>2668.259032258065</v>
      </c>
      <c r="EZ25">
        <v>36.521806451612903</v>
      </c>
      <c r="FA25">
        <v>40.610612903225793</v>
      </c>
      <c r="FB25">
        <v>38.733741935483863</v>
      </c>
      <c r="FC25">
        <v>41.546129032258051</v>
      </c>
      <c r="FD25">
        <v>39.120677419354827</v>
      </c>
      <c r="FE25">
        <v>285.29548387096781</v>
      </c>
      <c r="FF25">
        <v>9.7254838709677447</v>
      </c>
      <c r="FG25">
        <v>0</v>
      </c>
      <c r="FH25">
        <v>180.70000004768369</v>
      </c>
      <c r="FI25">
        <v>0</v>
      </c>
      <c r="FJ25">
        <v>931.86082352941173</v>
      </c>
      <c r="FK25">
        <v>1.2375000030825749</v>
      </c>
      <c r="FL25">
        <v>-52.796568874140782</v>
      </c>
      <c r="FM25">
        <v>3128.5317647058819</v>
      </c>
      <c r="FN25">
        <v>10</v>
      </c>
      <c r="FO25">
        <v>1785947162.5</v>
      </c>
      <c r="FP25" t="s">
        <v>774</v>
      </c>
      <c r="FQ25">
        <v>1785947160.5</v>
      </c>
      <c r="FR25">
        <v>1785947162.5</v>
      </c>
      <c r="FS25">
        <v>25</v>
      </c>
      <c r="FT25">
        <v>1.7000000000000001E-2</v>
      </c>
      <c r="FU25">
        <v>3.0000000000000001E-3</v>
      </c>
      <c r="FV25">
        <v>-11.071</v>
      </c>
      <c r="FW25">
        <v>-0.57199999999999995</v>
      </c>
      <c r="FX25">
        <v>440</v>
      </c>
      <c r="FY25">
        <v>20</v>
      </c>
      <c r="FZ25">
        <v>0.32</v>
      </c>
      <c r="GA25">
        <v>0.17</v>
      </c>
      <c r="GB25">
        <v>420.03233333333338</v>
      </c>
      <c r="GC25">
        <v>0.12792880978931481</v>
      </c>
      <c r="GD25">
        <v>5.0471333998176542E-2</v>
      </c>
      <c r="GE25">
        <v>-1</v>
      </c>
      <c r="GF25">
        <v>931.78420588235292</v>
      </c>
      <c r="GG25">
        <v>0.80249045349119064</v>
      </c>
      <c r="GH25">
        <v>0.18088731939619629</v>
      </c>
      <c r="GI25">
        <v>1</v>
      </c>
      <c r="GJ25">
        <v>2.0044277500000001</v>
      </c>
      <c r="GK25">
        <v>-1.134900562852449E-2</v>
      </c>
      <c r="GL25">
        <v>4.1650579152636086E-3</v>
      </c>
      <c r="GM25">
        <v>1</v>
      </c>
      <c r="GN25">
        <v>2</v>
      </c>
      <c r="GO25">
        <v>2</v>
      </c>
      <c r="GP25" t="s">
        <v>411</v>
      </c>
      <c r="GQ25">
        <v>3.1307</v>
      </c>
      <c r="GR25">
        <v>2.7214299999999998</v>
      </c>
      <c r="GS25">
        <v>9.4215599999999997E-2</v>
      </c>
      <c r="GT25">
        <v>9.6417000000000003E-2</v>
      </c>
      <c r="GU25">
        <v>0.108735</v>
      </c>
      <c r="GV25">
        <v>0.100258</v>
      </c>
      <c r="GW25">
        <v>22954.9</v>
      </c>
      <c r="GX25">
        <v>30487.8</v>
      </c>
      <c r="GY25">
        <v>27454.2</v>
      </c>
      <c r="GZ25">
        <v>34642.5</v>
      </c>
      <c r="HA25">
        <v>35780.1</v>
      </c>
      <c r="HB25">
        <v>39203.699999999997</v>
      </c>
      <c r="HC25">
        <v>40512.6</v>
      </c>
      <c r="HD25">
        <v>43666.2</v>
      </c>
      <c r="HE25">
        <v>2.0474000000000001</v>
      </c>
      <c r="HF25">
        <v>1.9610000000000001</v>
      </c>
      <c r="HG25">
        <v>4.3362400000000002E-2</v>
      </c>
      <c r="HH25">
        <v>0</v>
      </c>
      <c r="HI25">
        <v>24.301100000000002</v>
      </c>
      <c r="HJ25">
        <v>999.9</v>
      </c>
      <c r="HK25">
        <v>69</v>
      </c>
      <c r="HL25">
        <v>28.2</v>
      </c>
      <c r="HM25">
        <v>27.0609</v>
      </c>
      <c r="HN25">
        <v>60.4193</v>
      </c>
      <c r="HO25">
        <v>4.1506400000000001</v>
      </c>
      <c r="HP25">
        <v>1</v>
      </c>
      <c r="HQ25">
        <v>-9.9065E-2</v>
      </c>
      <c r="HR25">
        <v>0.167102</v>
      </c>
      <c r="HS25">
        <v>20.256599999999999</v>
      </c>
      <c r="HT25">
        <v>5.2125000000000004</v>
      </c>
      <c r="HU25">
        <v>11.902100000000001</v>
      </c>
      <c r="HV25">
        <v>4.9880000000000004</v>
      </c>
      <c r="HW25">
        <v>3.2706</v>
      </c>
      <c r="HX25">
        <v>9999</v>
      </c>
      <c r="HY25">
        <v>9999</v>
      </c>
      <c r="HZ25">
        <v>9999</v>
      </c>
      <c r="IA25">
        <v>999.9</v>
      </c>
      <c r="IB25">
        <v>1.86734</v>
      </c>
      <c r="IC25">
        <v>1.8628899999999999</v>
      </c>
      <c r="ID25">
        <v>1.8623400000000001</v>
      </c>
      <c r="IE25">
        <v>1.86182</v>
      </c>
      <c r="IF25">
        <v>1.86188</v>
      </c>
      <c r="IG25">
        <v>1.8625499999999999</v>
      </c>
      <c r="IH25">
        <v>1.8634299999999999</v>
      </c>
      <c r="II25">
        <v>1.8614200000000001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-10.994999999999999</v>
      </c>
      <c r="IX25">
        <v>-0.51819999999999999</v>
      </c>
      <c r="IY25">
        <v>-8.9890487711142235</v>
      </c>
      <c r="IZ25">
        <v>-5.6215304933332991E-3</v>
      </c>
      <c r="JA25">
        <v>2.3979931213773931E-6</v>
      </c>
      <c r="JB25">
        <v>-3.6297174575716598E-10</v>
      </c>
      <c r="JC25">
        <v>-0.86732865433614448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1.6</v>
      </c>
      <c r="JL25">
        <v>1.5</v>
      </c>
      <c r="JM25">
        <v>1.1425799999999999</v>
      </c>
      <c r="JN25">
        <v>2.4694799999999999</v>
      </c>
      <c r="JO25">
        <v>1.50024</v>
      </c>
      <c r="JP25">
        <v>2.2729499999999998</v>
      </c>
      <c r="JQ25">
        <v>1.4477500000000001</v>
      </c>
      <c r="JR25">
        <v>2.47803</v>
      </c>
      <c r="JS25">
        <v>34.122500000000002</v>
      </c>
      <c r="JT25">
        <v>23.947399999999998</v>
      </c>
      <c r="JU25">
        <v>18</v>
      </c>
      <c r="JV25">
        <v>528.49699999999996</v>
      </c>
      <c r="JW25">
        <v>491.38900000000001</v>
      </c>
      <c r="JX25">
        <v>24.610800000000001</v>
      </c>
      <c r="JY25">
        <v>26.0063</v>
      </c>
      <c r="JZ25">
        <v>30.000299999999999</v>
      </c>
      <c r="KA25">
        <v>26.053899999999999</v>
      </c>
      <c r="KB25">
        <v>26.072399999999998</v>
      </c>
      <c r="KC25">
        <v>22.860800000000001</v>
      </c>
      <c r="KD25">
        <v>34.198300000000003</v>
      </c>
      <c r="KE25">
        <v>51.276000000000003</v>
      </c>
      <c r="KF25">
        <v>24.610900000000001</v>
      </c>
      <c r="KG25">
        <v>440.077</v>
      </c>
      <c r="KH25">
        <v>19.841899999999999</v>
      </c>
      <c r="KI25">
        <v>101.28100000000001</v>
      </c>
      <c r="KJ25">
        <v>98.528999999999996</v>
      </c>
    </row>
    <row r="26" spans="1:296" x14ac:dyDescent="0.3">
      <c r="A26">
        <v>10</v>
      </c>
      <c r="B26">
        <v>1785947436.5</v>
      </c>
      <c r="C26">
        <v>1633.900000095367</v>
      </c>
      <c r="D26" t="s">
        <v>775</v>
      </c>
      <c r="E26" t="s">
        <v>776</v>
      </c>
      <c r="F26">
        <v>15</v>
      </c>
      <c r="H26">
        <v>1785947428.75</v>
      </c>
      <c r="I26">
        <f t="shared" si="0"/>
        <v>1.4889630339503636E-3</v>
      </c>
      <c r="J26">
        <f t="shared" si="1"/>
        <v>1.4889630339503637</v>
      </c>
      <c r="K26">
        <f t="shared" si="2"/>
        <v>10.48802263137833</v>
      </c>
      <c r="L26">
        <f t="shared" si="3"/>
        <v>420.02836666666673</v>
      </c>
      <c r="M26">
        <f t="shared" si="4"/>
        <v>290.86555111291818</v>
      </c>
      <c r="N26">
        <f t="shared" si="5"/>
        <v>28.499365368233008</v>
      </c>
      <c r="O26">
        <f t="shared" si="6"/>
        <v>41.154897308579322</v>
      </c>
      <c r="P26">
        <f t="shared" si="7"/>
        <v>0.13960196371009434</v>
      </c>
      <c r="Q26">
        <f t="shared" si="8"/>
        <v>2.8941216036667261</v>
      </c>
      <c r="R26">
        <f t="shared" si="9"/>
        <v>0.13596599548043933</v>
      </c>
      <c r="S26">
        <f t="shared" si="10"/>
        <v>8.5297536806254279E-2</v>
      </c>
      <c r="T26">
        <f t="shared" si="11"/>
        <v>32.483317907652435</v>
      </c>
      <c r="U26">
        <f t="shared" si="12"/>
        <v>25.340469732571016</v>
      </c>
      <c r="V26">
        <f t="shared" si="13"/>
        <v>24.985896666666669</v>
      </c>
      <c r="W26">
        <f t="shared" si="14"/>
        <v>3.1770050103333061</v>
      </c>
      <c r="X26">
        <f t="shared" si="15"/>
        <v>64.969457315532424</v>
      </c>
      <c r="Y26">
        <f t="shared" si="16"/>
        <v>2.1330883511417396</v>
      </c>
      <c r="Z26">
        <f t="shared" si="17"/>
        <v>3.2832171289073959</v>
      </c>
      <c r="AA26">
        <f t="shared" si="18"/>
        <v>1.0439166591915665</v>
      </c>
      <c r="AB26">
        <f t="shared" si="19"/>
        <v>-65.663269797211029</v>
      </c>
      <c r="AC26">
        <f t="shared" si="20"/>
        <v>86.231930593289391</v>
      </c>
      <c r="AD26">
        <f t="shared" si="21"/>
        <v>6.3191360231686069</v>
      </c>
      <c r="AE26">
        <f t="shared" si="22"/>
        <v>59.371114726899407</v>
      </c>
      <c r="AF26">
        <f t="shared" si="23"/>
        <v>10.48802263137833</v>
      </c>
      <c r="AG26">
        <f t="shared" si="24"/>
        <v>1.4889630339503637</v>
      </c>
      <c r="AH26">
        <f t="shared" si="25"/>
        <v>10.573934335350431</v>
      </c>
      <c r="AI26">
        <v>442.33029768572828</v>
      </c>
      <c r="AJ26">
        <v>429.35367272727262</v>
      </c>
      <c r="AK26">
        <v>5.5288160069984094E-3</v>
      </c>
      <c r="AL26">
        <v>67.073407402558729</v>
      </c>
      <c r="AM26">
        <f t="shared" si="26"/>
        <v>1.4803504043148819</v>
      </c>
      <c r="AN26">
        <v>20.020887703324409</v>
      </c>
      <c r="AO26">
        <v>21.759405454545451</v>
      </c>
      <c r="AP26">
        <v>-1.3477880472813361E-4</v>
      </c>
      <c r="AQ26">
        <v>78.198820205579594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52068.93248797064</v>
      </c>
      <c r="AW26" t="s">
        <v>740</v>
      </c>
      <c r="AX26">
        <v>13204</v>
      </c>
      <c r="AY26">
        <v>634.19117647058829</v>
      </c>
      <c r="AZ26">
        <v>2420.69</v>
      </c>
      <c r="BA26">
        <f t="shared" si="30"/>
        <v>0.73801222937650501</v>
      </c>
      <c r="BB26">
        <v>-2.939506487161454</v>
      </c>
      <c r="BC26" t="s">
        <v>777</v>
      </c>
      <c r="BD26">
        <v>13249.5</v>
      </c>
      <c r="BE26">
        <v>912.58241176470597</v>
      </c>
      <c r="BF26">
        <v>2261.59</v>
      </c>
      <c r="BG26">
        <f t="shared" si="31"/>
        <v>0.59648636058493976</v>
      </c>
      <c r="BH26">
        <v>0.5</v>
      </c>
      <c r="BI26">
        <f t="shared" si="32"/>
        <v>168.28609379671104</v>
      </c>
      <c r="BJ26">
        <f t="shared" si="33"/>
        <v>10.48802263137833</v>
      </c>
      <c r="BK26">
        <f t="shared" si="34"/>
        <v>50.190179812927987</v>
      </c>
      <c r="BL26">
        <f t="shared" si="35"/>
        <v>7.9789891223930764E-2</v>
      </c>
      <c r="BM26">
        <f t="shared" si="36"/>
        <v>7.0348736950552437E-2</v>
      </c>
      <c r="BN26">
        <f t="shared" si="37"/>
        <v>622.71423628387265</v>
      </c>
      <c r="BO26" t="s">
        <v>408</v>
      </c>
      <c r="BP26">
        <v>0</v>
      </c>
      <c r="BQ26">
        <f t="shared" si="38"/>
        <v>622.71423628387265</v>
      </c>
      <c r="BR26">
        <f t="shared" si="39"/>
        <v>0.72465644246575522</v>
      </c>
      <c r="BS26">
        <f t="shared" si="40"/>
        <v>0.82312986627884388</v>
      </c>
      <c r="BT26">
        <f t="shared" si="41"/>
        <v>8.8488400795328714E-2</v>
      </c>
      <c r="BU26">
        <f t="shared" si="42"/>
        <v>0.82893484297207598</v>
      </c>
      <c r="BV26">
        <f t="shared" si="43"/>
        <v>8.9056873648358487E-2</v>
      </c>
      <c r="BW26">
        <f t="shared" si="44"/>
        <v>0.5616749560744716</v>
      </c>
      <c r="BX26">
        <f t="shared" si="45"/>
        <v>0.4383250439255284</v>
      </c>
      <c r="DG26">
        <f t="shared" si="46"/>
        <v>199.99236666666661</v>
      </c>
      <c r="DH26">
        <f t="shared" si="47"/>
        <v>168.28609379671104</v>
      </c>
      <c r="DI26">
        <f t="shared" si="48"/>
        <v>0.84146258480554226</v>
      </c>
      <c r="DJ26">
        <f t="shared" si="49"/>
        <v>0.16242278867469664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1785947428.75</v>
      </c>
      <c r="DQ26">
        <v>420.02836666666673</v>
      </c>
      <c r="DR26">
        <v>433.36386666666669</v>
      </c>
      <c r="DS26">
        <v>21.770376666666671</v>
      </c>
      <c r="DT26">
        <v>20.022600000000001</v>
      </c>
      <c r="DU26">
        <v>431.00259999999997</v>
      </c>
      <c r="DV26">
        <v>22.295686666666668</v>
      </c>
      <c r="DW26">
        <v>500.02306666666658</v>
      </c>
      <c r="DX26">
        <v>97.936989999999994</v>
      </c>
      <c r="DY26">
        <v>4.4243113333333327E-2</v>
      </c>
      <c r="DZ26">
        <v>25.538566666666672</v>
      </c>
      <c r="EA26">
        <v>24.985896666666669</v>
      </c>
      <c r="EB26">
        <v>999.9000000000002</v>
      </c>
      <c r="EC26">
        <v>0</v>
      </c>
      <c r="ED26">
        <v>0</v>
      </c>
      <c r="EE26">
        <v>10005.83333333333</v>
      </c>
      <c r="EF26">
        <v>0</v>
      </c>
      <c r="EG26">
        <v>26.39548666666667</v>
      </c>
      <c r="EH26">
        <v>-13.335366666666671</v>
      </c>
      <c r="EI26">
        <v>429.37619999999993</v>
      </c>
      <c r="EJ26">
        <v>442.21823333333327</v>
      </c>
      <c r="EK26">
        <v>1.7477703333333341</v>
      </c>
      <c r="EL26">
        <v>433.36386666666669</v>
      </c>
      <c r="EM26">
        <v>20.022600000000001</v>
      </c>
      <c r="EN26">
        <v>2.132124666666666</v>
      </c>
      <c r="EO26">
        <v>1.960954333333333</v>
      </c>
      <c r="EP26">
        <v>18.461226666666661</v>
      </c>
      <c r="EQ26">
        <v>17.132529999999999</v>
      </c>
      <c r="ER26">
        <v>199.99236666666661</v>
      </c>
      <c r="ES26">
        <v>0.94997733333333345</v>
      </c>
      <c r="ET26">
        <v>5.0022296666666667E-2</v>
      </c>
      <c r="EU26">
        <v>0</v>
      </c>
      <c r="EV26">
        <v>912.54216666666662</v>
      </c>
      <c r="EW26">
        <v>5.0010700000000003</v>
      </c>
      <c r="EX26">
        <v>2028.707666666666</v>
      </c>
      <c r="EY26">
        <v>1751.7439999999999</v>
      </c>
      <c r="EZ26">
        <v>35.360233333333333</v>
      </c>
      <c r="FA26">
        <v>39.520599999999988</v>
      </c>
      <c r="FB26">
        <v>37.601833333333317</v>
      </c>
      <c r="FC26">
        <v>39.962300000000013</v>
      </c>
      <c r="FD26">
        <v>38.183100000000003</v>
      </c>
      <c r="FE26">
        <v>185.2373333333334</v>
      </c>
      <c r="FF26">
        <v>9.75</v>
      </c>
      <c r="FG26">
        <v>0</v>
      </c>
      <c r="FH26">
        <v>180.9000000953674</v>
      </c>
      <c r="FI26">
        <v>0</v>
      </c>
      <c r="FJ26">
        <v>912.58241176470597</v>
      </c>
      <c r="FK26">
        <v>0.21078431197760961</v>
      </c>
      <c r="FL26">
        <v>-26.11764720673516</v>
      </c>
      <c r="FM26">
        <v>2028.170588235294</v>
      </c>
      <c r="FN26">
        <v>10</v>
      </c>
      <c r="FO26">
        <v>1785947361.5</v>
      </c>
      <c r="FP26" t="s">
        <v>778</v>
      </c>
      <c r="FQ26">
        <v>1785947361.5</v>
      </c>
      <c r="FR26">
        <v>1785947361</v>
      </c>
      <c r="FS26">
        <v>26</v>
      </c>
      <c r="FT26">
        <v>2.1999999999999999E-2</v>
      </c>
      <c r="FU26">
        <v>-4.0000000000000001E-3</v>
      </c>
      <c r="FV26">
        <v>-11.025</v>
      </c>
      <c r="FW26">
        <v>-0.57099999999999995</v>
      </c>
      <c r="FX26">
        <v>434</v>
      </c>
      <c r="FY26">
        <v>20</v>
      </c>
      <c r="FZ26">
        <v>0.75</v>
      </c>
      <c r="GA26">
        <v>0.15</v>
      </c>
      <c r="GB26">
        <v>420.02836666666673</v>
      </c>
      <c r="GC26">
        <v>-0.29576863181283147</v>
      </c>
      <c r="GD26">
        <v>5.0776952339505757E-2</v>
      </c>
      <c r="GE26">
        <v>-1</v>
      </c>
      <c r="GF26">
        <v>912.46082352941175</v>
      </c>
      <c r="GG26">
        <v>1.1388235284348289</v>
      </c>
      <c r="GH26">
        <v>0.19664516724117531</v>
      </c>
      <c r="GI26">
        <v>1</v>
      </c>
      <c r="GJ26">
        <v>1.75199675</v>
      </c>
      <c r="GK26">
        <v>-9.4662776735465567E-2</v>
      </c>
      <c r="GL26">
        <v>9.7079968035378023E-3</v>
      </c>
      <c r="GM26">
        <v>1</v>
      </c>
      <c r="GN26">
        <v>2</v>
      </c>
      <c r="GO26">
        <v>2</v>
      </c>
      <c r="GP26" t="s">
        <v>411</v>
      </c>
      <c r="GQ26">
        <v>3.1314700000000002</v>
      </c>
      <c r="GR26">
        <v>2.7206100000000002</v>
      </c>
      <c r="GS26">
        <v>9.4265799999999997E-2</v>
      </c>
      <c r="GT26">
        <v>9.5357399999999995E-2</v>
      </c>
      <c r="GU26">
        <v>0.108318</v>
      </c>
      <c r="GV26">
        <v>0.100769</v>
      </c>
      <c r="GW26">
        <v>22952.3</v>
      </c>
      <c r="GX26">
        <v>30522.9</v>
      </c>
      <c r="GY26">
        <v>27452.7</v>
      </c>
      <c r="GZ26">
        <v>34642</v>
      </c>
      <c r="HA26">
        <v>35795.4</v>
      </c>
      <c r="HB26">
        <v>39179.4</v>
      </c>
      <c r="HC26">
        <v>40510.400000000001</v>
      </c>
      <c r="HD26">
        <v>43664.2</v>
      </c>
      <c r="HE26">
        <v>2.0464000000000002</v>
      </c>
      <c r="HF26">
        <v>1.9605999999999999</v>
      </c>
      <c r="HG26">
        <v>3.8147E-2</v>
      </c>
      <c r="HH26">
        <v>0</v>
      </c>
      <c r="HI26">
        <v>24.348199999999999</v>
      </c>
      <c r="HJ26">
        <v>999.9</v>
      </c>
      <c r="HK26">
        <v>68.5</v>
      </c>
      <c r="HL26">
        <v>28.4</v>
      </c>
      <c r="HM26">
        <v>27.165500000000002</v>
      </c>
      <c r="HN26">
        <v>60.259300000000003</v>
      </c>
      <c r="HO26">
        <v>4.0945499999999999</v>
      </c>
      <c r="HP26">
        <v>1</v>
      </c>
      <c r="HQ26">
        <v>-9.7398399999999996E-2</v>
      </c>
      <c r="HR26">
        <v>8.1023999999999999E-2</v>
      </c>
      <c r="HS26">
        <v>20.2591</v>
      </c>
      <c r="HT26">
        <v>5.2172900000000002</v>
      </c>
      <c r="HU26">
        <v>11.902100000000001</v>
      </c>
      <c r="HV26">
        <v>4.9863999999999997</v>
      </c>
      <c r="HW26">
        <v>3.2704</v>
      </c>
      <c r="HX26">
        <v>9999</v>
      </c>
      <c r="HY26">
        <v>9999</v>
      </c>
      <c r="HZ26">
        <v>9999</v>
      </c>
      <c r="IA26">
        <v>999.9</v>
      </c>
      <c r="IB26">
        <v>1.86734</v>
      </c>
      <c r="IC26">
        <v>1.8628899999999999</v>
      </c>
      <c r="ID26">
        <v>1.8623400000000001</v>
      </c>
      <c r="IE26">
        <v>1.86185</v>
      </c>
      <c r="IF26">
        <v>1.86188</v>
      </c>
      <c r="IG26">
        <v>1.8625499999999999</v>
      </c>
      <c r="IH26">
        <v>1.8634599999999999</v>
      </c>
      <c r="II26">
        <v>1.86145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-10.974</v>
      </c>
      <c r="IX26">
        <v>-0.52559999999999996</v>
      </c>
      <c r="IY26">
        <v>-8.9675998924743077</v>
      </c>
      <c r="IZ26">
        <v>-5.6215304933332991E-3</v>
      </c>
      <c r="JA26">
        <v>2.3979931213773931E-6</v>
      </c>
      <c r="JB26">
        <v>-3.6297174575716598E-10</v>
      </c>
      <c r="JC26">
        <v>-0.87117688985967634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1.2</v>
      </c>
      <c r="JL26">
        <v>1.3</v>
      </c>
      <c r="JM26">
        <v>1.1291500000000001</v>
      </c>
      <c r="JN26">
        <v>2.4719199999999999</v>
      </c>
      <c r="JO26">
        <v>1.50024</v>
      </c>
      <c r="JP26">
        <v>2.2705099999999998</v>
      </c>
      <c r="JQ26">
        <v>1.4477500000000001</v>
      </c>
      <c r="JR26">
        <v>2.4243199999999998</v>
      </c>
      <c r="JS26">
        <v>34.326900000000002</v>
      </c>
      <c r="JT26">
        <v>23.947399999999998</v>
      </c>
      <c r="JU26">
        <v>18</v>
      </c>
      <c r="JV26">
        <v>527.952</v>
      </c>
      <c r="JW26">
        <v>491.14499999999998</v>
      </c>
      <c r="JX26">
        <v>24.672899999999998</v>
      </c>
      <c r="JY26">
        <v>26.039300000000001</v>
      </c>
      <c r="JZ26">
        <v>30.0001</v>
      </c>
      <c r="KA26">
        <v>26.0627</v>
      </c>
      <c r="KB26">
        <v>26.0746</v>
      </c>
      <c r="KC26">
        <v>22.5809</v>
      </c>
      <c r="KD26">
        <v>34.001600000000003</v>
      </c>
      <c r="KE26">
        <v>47.468400000000003</v>
      </c>
      <c r="KF26">
        <v>24.671600000000002</v>
      </c>
      <c r="KG26">
        <v>433.26400000000001</v>
      </c>
      <c r="KH26">
        <v>20.109100000000002</v>
      </c>
      <c r="KI26">
        <v>101.27500000000001</v>
      </c>
      <c r="KJ26">
        <v>98.525800000000004</v>
      </c>
    </row>
    <row r="27" spans="1:296" x14ac:dyDescent="0.3">
      <c r="A27">
        <v>11</v>
      </c>
      <c r="B27">
        <v>1785947618</v>
      </c>
      <c r="C27">
        <v>1815.400000095367</v>
      </c>
      <c r="D27" t="s">
        <v>779</v>
      </c>
      <c r="E27" t="s">
        <v>780</v>
      </c>
      <c r="F27">
        <v>15</v>
      </c>
      <c r="H27">
        <v>1785947610.25</v>
      </c>
      <c r="I27">
        <f t="shared" si="0"/>
        <v>1.1424026101642796E-3</v>
      </c>
      <c r="J27">
        <f t="shared" si="1"/>
        <v>1.1424026101642797</v>
      </c>
      <c r="K27">
        <f t="shared" si="2"/>
        <v>4.1870651261266172</v>
      </c>
      <c r="L27">
        <f t="shared" si="3"/>
        <v>420.03513333333342</v>
      </c>
      <c r="M27">
        <f t="shared" si="4"/>
        <v>349.48239248888149</v>
      </c>
      <c r="N27">
        <f t="shared" si="5"/>
        <v>34.247696888741281</v>
      </c>
      <c r="O27">
        <f t="shared" si="6"/>
        <v>41.161547014073641</v>
      </c>
      <c r="P27">
        <f t="shared" si="7"/>
        <v>0.10676143761124859</v>
      </c>
      <c r="Q27">
        <f t="shared" si="8"/>
        <v>2.8939284306164446</v>
      </c>
      <c r="R27">
        <f t="shared" si="9"/>
        <v>0.10462066548285305</v>
      </c>
      <c r="S27">
        <f t="shared" si="10"/>
        <v>6.5576680449029812E-2</v>
      </c>
      <c r="T27">
        <f t="shared" si="11"/>
        <v>16.510103478988306</v>
      </c>
      <c r="U27">
        <f t="shared" si="12"/>
        <v>25.375160262018195</v>
      </c>
      <c r="V27">
        <f t="shared" si="13"/>
        <v>24.997156666666669</v>
      </c>
      <c r="W27">
        <f t="shared" si="14"/>
        <v>3.1791386206564227</v>
      </c>
      <c r="X27">
        <f t="shared" si="15"/>
        <v>64.972510308667779</v>
      </c>
      <c r="Y27">
        <f t="shared" si="16"/>
        <v>2.1381102640926586</v>
      </c>
      <c r="Z27">
        <f t="shared" si="17"/>
        <v>3.2907921426077635</v>
      </c>
      <c r="AA27">
        <f t="shared" si="18"/>
        <v>1.0410283565637641</v>
      </c>
      <c r="AB27">
        <f t="shared" si="19"/>
        <v>-50.379955108244729</v>
      </c>
      <c r="AC27">
        <f t="shared" si="20"/>
        <v>90.525496299572509</v>
      </c>
      <c r="AD27">
        <f t="shared" si="21"/>
        <v>6.6358858210397527</v>
      </c>
      <c r="AE27">
        <f t="shared" si="22"/>
        <v>63.291530491355843</v>
      </c>
      <c r="AF27">
        <f t="shared" si="23"/>
        <v>4.1870651261266172</v>
      </c>
      <c r="AG27">
        <f t="shared" si="24"/>
        <v>1.1424026101642797</v>
      </c>
      <c r="AH27">
        <f t="shared" si="25"/>
        <v>4.3122586777552501</v>
      </c>
      <c r="AI27">
        <v>434.4401364382893</v>
      </c>
      <c r="AJ27">
        <v>429.31658787878803</v>
      </c>
      <c r="AK27">
        <v>-3.009539833749587E-2</v>
      </c>
      <c r="AL27">
        <v>67.061032710466264</v>
      </c>
      <c r="AM27">
        <f t="shared" si="26"/>
        <v>1.1514011215256466</v>
      </c>
      <c r="AN27">
        <v>20.450051315896459</v>
      </c>
      <c r="AO27">
        <v>21.80287393939393</v>
      </c>
      <c r="AP27">
        <v>-2.1182907411508209E-4</v>
      </c>
      <c r="AQ27">
        <v>78.133522117358439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52056.925062266826</v>
      </c>
      <c r="AW27" t="s">
        <v>740</v>
      </c>
      <c r="AX27">
        <v>13204</v>
      </c>
      <c r="AY27">
        <v>634.19117647058829</v>
      </c>
      <c r="AZ27">
        <v>2420.69</v>
      </c>
      <c r="BA27">
        <f t="shared" si="30"/>
        <v>0.73801222937650501</v>
      </c>
      <c r="BB27">
        <v>-2.939506487161454</v>
      </c>
      <c r="BC27" t="s">
        <v>781</v>
      </c>
      <c r="BD27">
        <v>13263.5</v>
      </c>
      <c r="BE27">
        <v>885.15188235294124</v>
      </c>
      <c r="BF27">
        <v>2363.88</v>
      </c>
      <c r="BG27">
        <f t="shared" si="31"/>
        <v>0.62555126218211532</v>
      </c>
      <c r="BH27">
        <v>0.5</v>
      </c>
      <c r="BI27">
        <f t="shared" si="32"/>
        <v>84.28766060880227</v>
      </c>
      <c r="BJ27">
        <f t="shared" si="33"/>
        <v>4.1870651261266172</v>
      </c>
      <c r="BK27">
        <f t="shared" si="34"/>
        <v>26.363126240107011</v>
      </c>
      <c r="BL27">
        <f t="shared" si="35"/>
        <v>8.4550592124795959E-2</v>
      </c>
      <c r="BM27">
        <f t="shared" si="36"/>
        <v>2.4032522801495822E-2</v>
      </c>
      <c r="BN27">
        <f t="shared" si="37"/>
        <v>630.22314842257902</v>
      </c>
      <c r="BO27" t="s">
        <v>408</v>
      </c>
      <c r="BP27">
        <v>0</v>
      </c>
      <c r="BQ27">
        <f t="shared" si="38"/>
        <v>630.22314842257902</v>
      </c>
      <c r="BR27">
        <f t="shared" si="39"/>
        <v>0.73339461037676235</v>
      </c>
      <c r="BS27">
        <f t="shared" si="40"/>
        <v>0.85295317599996356</v>
      </c>
      <c r="BT27">
        <f t="shared" si="41"/>
        <v>3.1729154856985881E-2</v>
      </c>
      <c r="BU27">
        <f t="shared" si="42"/>
        <v>0.85490991069117828</v>
      </c>
      <c r="BV27">
        <f t="shared" si="43"/>
        <v>3.17996291135339E-2</v>
      </c>
      <c r="BW27">
        <f t="shared" si="44"/>
        <v>0.60729785108381518</v>
      </c>
      <c r="BX27">
        <f t="shared" si="45"/>
        <v>0.39270214891618482</v>
      </c>
      <c r="DG27">
        <f t="shared" si="46"/>
        <v>100.0034766666667</v>
      </c>
      <c r="DH27">
        <f t="shared" si="47"/>
        <v>84.28766060880227</v>
      </c>
      <c r="DI27">
        <f t="shared" si="48"/>
        <v>0.84284730309678468</v>
      </c>
      <c r="DJ27">
        <f t="shared" si="49"/>
        <v>0.16509529497679432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1785947610.25</v>
      </c>
      <c r="DQ27">
        <v>420.03513333333342</v>
      </c>
      <c r="DR27">
        <v>425.63526666666661</v>
      </c>
      <c r="DS27">
        <v>21.81845666666667</v>
      </c>
      <c r="DT27">
        <v>20.47752333333333</v>
      </c>
      <c r="DU27">
        <v>431.01279999999991</v>
      </c>
      <c r="DV27">
        <v>22.342306666666669</v>
      </c>
      <c r="DW27">
        <v>500.01463333333328</v>
      </c>
      <c r="DX27">
        <v>97.950606666666673</v>
      </c>
      <c r="DY27">
        <v>4.4879299999999997E-2</v>
      </c>
      <c r="DZ27">
        <v>25.57738333333333</v>
      </c>
      <c r="EA27">
        <v>24.997156666666669</v>
      </c>
      <c r="EB27">
        <v>999.9000000000002</v>
      </c>
      <c r="EC27">
        <v>0</v>
      </c>
      <c r="ED27">
        <v>0</v>
      </c>
      <c r="EE27">
        <v>10003.33333333333</v>
      </c>
      <c r="EF27">
        <v>0</v>
      </c>
      <c r="EG27">
        <v>20.746046666666668</v>
      </c>
      <c r="EH27">
        <v>-5.6001746666666667</v>
      </c>
      <c r="EI27">
        <v>429.40413333333328</v>
      </c>
      <c r="EJ27">
        <v>434.53336666666672</v>
      </c>
      <c r="EK27">
        <v>1.3409310000000001</v>
      </c>
      <c r="EL27">
        <v>425.63526666666661</v>
      </c>
      <c r="EM27">
        <v>20.47752333333333</v>
      </c>
      <c r="EN27">
        <v>2.137131333333333</v>
      </c>
      <c r="EO27">
        <v>2.0057863333333339</v>
      </c>
      <c r="EP27">
        <v>18.49866333333334</v>
      </c>
      <c r="EQ27">
        <v>17.490083333333331</v>
      </c>
      <c r="ER27">
        <v>100.0034766666667</v>
      </c>
      <c r="ES27">
        <v>0.90009460000000019</v>
      </c>
      <c r="ET27">
        <v>9.9905590000000016E-2</v>
      </c>
      <c r="EU27">
        <v>0</v>
      </c>
      <c r="EV27">
        <v>884.94950000000017</v>
      </c>
      <c r="EW27">
        <v>5.0010700000000003</v>
      </c>
      <c r="EX27">
        <v>1018.172333333333</v>
      </c>
      <c r="EY27">
        <v>836.63373333333323</v>
      </c>
      <c r="EZ27">
        <v>34.80813333333333</v>
      </c>
      <c r="FA27">
        <v>38.233133333333328</v>
      </c>
      <c r="FB27">
        <v>37.033066666666663</v>
      </c>
      <c r="FC27">
        <v>38.49553333333332</v>
      </c>
      <c r="FD27">
        <v>37.28726666666666</v>
      </c>
      <c r="FE27">
        <v>85.511000000000024</v>
      </c>
      <c r="FF27">
        <v>9.4913333333333334</v>
      </c>
      <c r="FG27">
        <v>0</v>
      </c>
      <c r="FH27">
        <v>180.70000004768369</v>
      </c>
      <c r="FI27">
        <v>0</v>
      </c>
      <c r="FJ27">
        <v>885.15188235294124</v>
      </c>
      <c r="FK27">
        <v>3.882843130305996</v>
      </c>
      <c r="FL27">
        <v>19.779411732032312</v>
      </c>
      <c r="FM27">
        <v>1019.032352941176</v>
      </c>
      <c r="FN27">
        <v>10</v>
      </c>
      <c r="FO27">
        <v>1785947528</v>
      </c>
      <c r="FP27" t="s">
        <v>782</v>
      </c>
      <c r="FQ27">
        <v>1785947527</v>
      </c>
      <c r="FR27">
        <v>1785947528</v>
      </c>
      <c r="FS27">
        <v>27</v>
      </c>
      <c r="FT27">
        <v>-4.0000000000000001E-3</v>
      </c>
      <c r="FU27">
        <v>0</v>
      </c>
      <c r="FV27">
        <v>-10.999000000000001</v>
      </c>
      <c r="FW27">
        <v>-0.56399999999999995</v>
      </c>
      <c r="FX27">
        <v>426</v>
      </c>
      <c r="FY27">
        <v>20</v>
      </c>
      <c r="FZ27">
        <v>1.29</v>
      </c>
      <c r="GA27">
        <v>0.17</v>
      </c>
      <c r="GB27">
        <v>420.03653333333341</v>
      </c>
      <c r="GC27">
        <v>-0.1830834260290721</v>
      </c>
      <c r="GD27">
        <v>6.0564969706552438E-2</v>
      </c>
      <c r="GE27">
        <v>-1</v>
      </c>
      <c r="GF27">
        <v>884.69823529411747</v>
      </c>
      <c r="GG27">
        <v>5.032605048197949</v>
      </c>
      <c r="GH27">
        <v>0.51705467106677561</v>
      </c>
      <c r="GI27">
        <v>1</v>
      </c>
      <c r="GJ27">
        <v>1.335297</v>
      </c>
      <c r="GK27">
        <v>0.15280727954972079</v>
      </c>
      <c r="GL27">
        <v>1.7767450745675359E-2</v>
      </c>
      <c r="GM27">
        <v>1</v>
      </c>
      <c r="GN27">
        <v>2</v>
      </c>
      <c r="GO27">
        <v>2</v>
      </c>
      <c r="GP27" t="s">
        <v>411</v>
      </c>
      <c r="GQ27">
        <v>3.1315300000000001</v>
      </c>
      <c r="GR27">
        <v>2.72106</v>
      </c>
      <c r="GS27">
        <v>9.4283500000000006E-2</v>
      </c>
      <c r="GT27">
        <v>9.4095899999999996E-2</v>
      </c>
      <c r="GU27">
        <v>0.108486</v>
      </c>
      <c r="GV27">
        <v>0.102296</v>
      </c>
      <c r="GW27">
        <v>22954.400000000001</v>
      </c>
      <c r="GX27">
        <v>30568.799999999999</v>
      </c>
      <c r="GY27">
        <v>27455.599999999999</v>
      </c>
      <c r="GZ27">
        <v>34645.5</v>
      </c>
      <c r="HA27">
        <v>35792.300000000003</v>
      </c>
      <c r="HB27">
        <v>39116.699999999997</v>
      </c>
      <c r="HC27">
        <v>40514.9</v>
      </c>
      <c r="HD27">
        <v>43669.3</v>
      </c>
      <c r="HE27">
        <v>2.0472000000000001</v>
      </c>
      <c r="HF27">
        <v>1.9603999999999999</v>
      </c>
      <c r="HG27">
        <v>4.3392199999999999E-2</v>
      </c>
      <c r="HH27">
        <v>0</v>
      </c>
      <c r="HI27">
        <v>24.288900000000002</v>
      </c>
      <c r="HJ27">
        <v>999.9</v>
      </c>
      <c r="HK27">
        <v>68.099999999999994</v>
      </c>
      <c r="HL27">
        <v>28.5</v>
      </c>
      <c r="HM27">
        <v>27.164300000000001</v>
      </c>
      <c r="HN27">
        <v>60.029299999999999</v>
      </c>
      <c r="HO27">
        <v>4.0584899999999999</v>
      </c>
      <c r="HP27">
        <v>1</v>
      </c>
      <c r="HQ27">
        <v>-0.101829</v>
      </c>
      <c r="HR27">
        <v>-4.7494599999999998E-2</v>
      </c>
      <c r="HS27">
        <v>20.258700000000001</v>
      </c>
      <c r="HT27">
        <v>5.2148899999999996</v>
      </c>
      <c r="HU27">
        <v>11.902100000000001</v>
      </c>
      <c r="HV27">
        <v>4.9863999999999997</v>
      </c>
      <c r="HW27">
        <v>3.2704</v>
      </c>
      <c r="HX27">
        <v>9999</v>
      </c>
      <c r="HY27">
        <v>9999</v>
      </c>
      <c r="HZ27">
        <v>9999</v>
      </c>
      <c r="IA27">
        <v>999.9</v>
      </c>
      <c r="IB27">
        <v>1.8672800000000001</v>
      </c>
      <c r="IC27">
        <v>1.8629199999999999</v>
      </c>
      <c r="ID27">
        <v>1.8623400000000001</v>
      </c>
      <c r="IE27">
        <v>1.86185</v>
      </c>
      <c r="IF27">
        <v>1.86188</v>
      </c>
      <c r="IG27">
        <v>1.8626400000000001</v>
      </c>
      <c r="IH27">
        <v>1.8634299999999999</v>
      </c>
      <c r="II27">
        <v>1.8614200000000001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-10.978</v>
      </c>
      <c r="IX27">
        <v>-0.52429999999999999</v>
      </c>
      <c r="IY27">
        <v>-8.9712271102095986</v>
      </c>
      <c r="IZ27">
        <v>-5.6215304933332991E-3</v>
      </c>
      <c r="JA27">
        <v>2.3979931213773931E-6</v>
      </c>
      <c r="JB27">
        <v>-3.6297174575716598E-10</v>
      </c>
      <c r="JC27">
        <v>-0.87096295384913169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1.5</v>
      </c>
      <c r="JL27">
        <v>1.5</v>
      </c>
      <c r="JM27">
        <v>1.11328</v>
      </c>
      <c r="JN27">
        <v>2.4670399999999999</v>
      </c>
      <c r="JO27">
        <v>1.50024</v>
      </c>
      <c r="JP27">
        <v>2.2717299999999998</v>
      </c>
      <c r="JQ27">
        <v>1.4477500000000001</v>
      </c>
      <c r="JR27">
        <v>2.5</v>
      </c>
      <c r="JS27">
        <v>34.4636</v>
      </c>
      <c r="JT27">
        <v>23.938700000000001</v>
      </c>
      <c r="JU27">
        <v>18</v>
      </c>
      <c r="JV27">
        <v>528.15</v>
      </c>
      <c r="JW27">
        <v>490.71899999999999</v>
      </c>
      <c r="JX27">
        <v>24.831499999999998</v>
      </c>
      <c r="JY27">
        <v>25.9998</v>
      </c>
      <c r="JZ27">
        <v>29.9999</v>
      </c>
      <c r="KA27">
        <v>26.029900000000001</v>
      </c>
      <c r="KB27">
        <v>26.041899999999998</v>
      </c>
      <c r="KC27">
        <v>22.2591</v>
      </c>
      <c r="KD27">
        <v>33.152999999999999</v>
      </c>
      <c r="KE27">
        <v>44.064599999999999</v>
      </c>
      <c r="KF27">
        <v>24.831299999999999</v>
      </c>
      <c r="KG27">
        <v>425.59300000000002</v>
      </c>
      <c r="KH27">
        <v>20.440300000000001</v>
      </c>
      <c r="KI27">
        <v>101.28700000000001</v>
      </c>
      <c r="KJ27">
        <v>98.536699999999996</v>
      </c>
    </row>
    <row r="28" spans="1:296" x14ac:dyDescent="0.3">
      <c r="A28">
        <v>12</v>
      </c>
      <c r="B28">
        <v>1785947799.5</v>
      </c>
      <c r="C28">
        <v>1996.900000095367</v>
      </c>
      <c r="D28" t="s">
        <v>783</v>
      </c>
      <c r="E28" t="s">
        <v>784</v>
      </c>
      <c r="F28">
        <v>15</v>
      </c>
      <c r="H28">
        <v>1785947791.75</v>
      </c>
      <c r="I28">
        <f t="shared" si="0"/>
        <v>8.4156012736851698E-4</v>
      </c>
      <c r="J28">
        <f t="shared" si="1"/>
        <v>0.84156012736851693</v>
      </c>
      <c r="K28">
        <f t="shared" si="2"/>
        <v>0.99908791633970495</v>
      </c>
      <c r="L28">
        <f t="shared" si="3"/>
        <v>419.99166666666662</v>
      </c>
      <c r="M28">
        <f t="shared" si="4"/>
        <v>392.06933598854647</v>
      </c>
      <c r="N28">
        <f t="shared" si="5"/>
        <v>38.415266193235972</v>
      </c>
      <c r="O28">
        <f t="shared" si="6"/>
        <v>41.151118419554628</v>
      </c>
      <c r="P28">
        <f t="shared" si="7"/>
        <v>7.7811605141959214E-2</v>
      </c>
      <c r="Q28">
        <f t="shared" si="8"/>
        <v>2.892744321461298</v>
      </c>
      <c r="R28">
        <f t="shared" si="9"/>
        <v>7.6667256468444953E-2</v>
      </c>
      <c r="S28">
        <f t="shared" si="10"/>
        <v>4.8018448467237192E-2</v>
      </c>
      <c r="T28">
        <f t="shared" si="11"/>
        <v>8.2370479165932977</v>
      </c>
      <c r="U28">
        <f t="shared" si="12"/>
        <v>25.385406598225039</v>
      </c>
      <c r="V28">
        <f t="shared" si="13"/>
        <v>24.98038</v>
      </c>
      <c r="W28">
        <f t="shared" si="14"/>
        <v>3.1759601370257227</v>
      </c>
      <c r="X28">
        <f t="shared" si="15"/>
        <v>64.7877963047289</v>
      </c>
      <c r="Y28">
        <f t="shared" si="16"/>
        <v>2.1295646218401023</v>
      </c>
      <c r="Z28">
        <f t="shared" si="17"/>
        <v>3.2869841903924488</v>
      </c>
      <c r="AA28">
        <f t="shared" si="18"/>
        <v>1.0463955151856204</v>
      </c>
      <c r="AB28">
        <f t="shared" si="19"/>
        <v>-37.1128016169516</v>
      </c>
      <c r="AC28">
        <f t="shared" si="20"/>
        <v>90.063222398354</v>
      </c>
      <c r="AD28">
        <f t="shared" si="21"/>
        <v>6.603496760378178</v>
      </c>
      <c r="AE28">
        <f t="shared" si="22"/>
        <v>67.790965458373876</v>
      </c>
      <c r="AF28">
        <f t="shared" si="23"/>
        <v>0.99908791633970495</v>
      </c>
      <c r="AG28">
        <f t="shared" si="24"/>
        <v>0.84156012736851693</v>
      </c>
      <c r="AH28">
        <f t="shared" si="25"/>
        <v>1.0369879696010895</v>
      </c>
      <c r="AI28">
        <v>430.65540385629458</v>
      </c>
      <c r="AJ28">
        <v>429.36462424242421</v>
      </c>
      <c r="AK28">
        <v>3.7937914081298879E-3</v>
      </c>
      <c r="AL28">
        <v>67.057103480666129</v>
      </c>
      <c r="AM28">
        <f t="shared" si="26"/>
        <v>0.84722891235328301</v>
      </c>
      <c r="AN28">
        <v>20.742446271390559</v>
      </c>
      <c r="AO28">
        <v>21.737118181818179</v>
      </c>
      <c r="AP28">
        <v>-2.0027651989478319E-5</v>
      </c>
      <c r="AQ28">
        <v>78.111265752432928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52026.089852182376</v>
      </c>
      <c r="AW28" t="s">
        <v>740</v>
      </c>
      <c r="AX28">
        <v>13204</v>
      </c>
      <c r="AY28">
        <v>634.19117647058829</v>
      </c>
      <c r="AZ28">
        <v>2420.69</v>
      </c>
      <c r="BA28">
        <f t="shared" si="30"/>
        <v>0.73801222937650501</v>
      </c>
      <c r="BB28">
        <v>-2.939506487161454</v>
      </c>
      <c r="BC28" t="s">
        <v>785</v>
      </c>
      <c r="BD28">
        <v>13250</v>
      </c>
      <c r="BE28">
        <v>850.60082352941174</v>
      </c>
      <c r="BF28">
        <v>2423.42</v>
      </c>
      <c r="BG28">
        <f t="shared" si="31"/>
        <v>0.6490080862873906</v>
      </c>
      <c r="BH28">
        <v>0.5</v>
      </c>
      <c r="BI28">
        <f t="shared" si="32"/>
        <v>42.118132736058705</v>
      </c>
      <c r="BJ28">
        <f t="shared" si="33"/>
        <v>0.99908791633970495</v>
      </c>
      <c r="BK28">
        <f t="shared" si="34"/>
        <v>13.667504362513879</v>
      </c>
      <c r="BL28">
        <f t="shared" si="35"/>
        <v>9.351303459208675E-2</v>
      </c>
      <c r="BM28">
        <f t="shared" si="36"/>
        <v>-1.1265071675566011E-3</v>
      </c>
      <c r="BN28">
        <f t="shared" si="37"/>
        <v>634.37840126687092</v>
      </c>
      <c r="BO28" t="s">
        <v>408</v>
      </c>
      <c r="BP28">
        <v>0</v>
      </c>
      <c r="BQ28">
        <f t="shared" si="38"/>
        <v>634.37840126687092</v>
      </c>
      <c r="BR28">
        <f t="shared" si="39"/>
        <v>0.73823010404021139</v>
      </c>
      <c r="BS28">
        <f t="shared" si="40"/>
        <v>0.87914064020889515</v>
      </c>
      <c r="BT28">
        <f t="shared" si="41"/>
        <v>-1.5282887945956142E-3</v>
      </c>
      <c r="BU28">
        <f t="shared" si="42"/>
        <v>0.87904864698527707</v>
      </c>
      <c r="BV28">
        <f t="shared" si="43"/>
        <v>-1.5281286301698329E-3</v>
      </c>
      <c r="BW28">
        <f t="shared" si="44"/>
        <v>0.65566340684969737</v>
      </c>
      <c r="BX28">
        <f t="shared" si="45"/>
        <v>0.34433659315030263</v>
      </c>
      <c r="DG28">
        <f t="shared" si="46"/>
        <v>49.980123333333331</v>
      </c>
      <c r="DH28">
        <f t="shared" si="47"/>
        <v>42.118132736058705</v>
      </c>
      <c r="DI28">
        <f t="shared" si="48"/>
        <v>0.84269765512900974</v>
      </c>
      <c r="DJ28">
        <f t="shared" si="49"/>
        <v>0.16480647439898871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1785947791.75</v>
      </c>
      <c r="DQ28">
        <v>419.99166666666662</v>
      </c>
      <c r="DR28">
        <v>421.61466666666672</v>
      </c>
      <c r="DS28">
        <v>21.73451</v>
      </c>
      <c r="DT28">
        <v>20.74661333333334</v>
      </c>
      <c r="DU28">
        <v>430.90480000000002</v>
      </c>
      <c r="DV28">
        <v>22.26198333333333</v>
      </c>
      <c r="DW28">
        <v>500.01336666666668</v>
      </c>
      <c r="DX28">
        <v>97.936273333333332</v>
      </c>
      <c r="DY28">
        <v>4.4524110000000013E-2</v>
      </c>
      <c r="DZ28">
        <v>25.557880000000001</v>
      </c>
      <c r="EA28">
        <v>24.98038</v>
      </c>
      <c r="EB28">
        <v>999.9000000000002</v>
      </c>
      <c r="EC28">
        <v>0</v>
      </c>
      <c r="ED28">
        <v>0</v>
      </c>
      <c r="EE28">
        <v>9998</v>
      </c>
      <c r="EF28">
        <v>0</v>
      </c>
      <c r="EG28">
        <v>0.96072673333333336</v>
      </c>
      <c r="EH28">
        <v>-1.6229553333333331</v>
      </c>
      <c r="EI28">
        <v>429.32273333333319</v>
      </c>
      <c r="EJ28">
        <v>430.5469333333333</v>
      </c>
      <c r="EK28">
        <v>0.98790029999999995</v>
      </c>
      <c r="EL28">
        <v>421.61466666666672</v>
      </c>
      <c r="EM28">
        <v>20.74661333333334</v>
      </c>
      <c r="EN28">
        <v>2.1285963333333329</v>
      </c>
      <c r="EO28">
        <v>2.0318453333333339</v>
      </c>
      <c r="EP28">
        <v>18.434813333333331</v>
      </c>
      <c r="EQ28">
        <v>17.694710000000001</v>
      </c>
      <c r="ER28">
        <v>49.980123333333331</v>
      </c>
      <c r="ES28">
        <v>0.90002286666666687</v>
      </c>
      <c r="ET28">
        <v>9.9977316666666663E-2</v>
      </c>
      <c r="EU28">
        <v>0</v>
      </c>
      <c r="EV28">
        <v>850.4894333333333</v>
      </c>
      <c r="EW28">
        <v>5.0010700000000003</v>
      </c>
      <c r="EX28">
        <v>433.11216666666672</v>
      </c>
      <c r="EY28">
        <v>396.09426666666673</v>
      </c>
      <c r="EZ28">
        <v>35.399799999999999</v>
      </c>
      <c r="FA28">
        <v>40.420666666666662</v>
      </c>
      <c r="FB28">
        <v>37.962200000000003</v>
      </c>
      <c r="FC28">
        <v>41.683066666666647</v>
      </c>
      <c r="FD28">
        <v>38.495666666666658</v>
      </c>
      <c r="FE28">
        <v>40.481666666666683</v>
      </c>
      <c r="FF28">
        <v>4.4939999999999998</v>
      </c>
      <c r="FG28">
        <v>0</v>
      </c>
      <c r="FH28">
        <v>180.9000000953674</v>
      </c>
      <c r="FI28">
        <v>0</v>
      </c>
      <c r="FJ28">
        <v>850.60082352941174</v>
      </c>
      <c r="FK28">
        <v>2.3754902356363909</v>
      </c>
      <c r="FL28">
        <v>18.482597877183881</v>
      </c>
      <c r="FM28">
        <v>433.63299999999998</v>
      </c>
      <c r="FN28">
        <v>10</v>
      </c>
      <c r="FO28">
        <v>1785947701.5</v>
      </c>
      <c r="FP28" t="s">
        <v>786</v>
      </c>
      <c r="FQ28">
        <v>1785947701</v>
      </c>
      <c r="FR28">
        <v>1785947701.5</v>
      </c>
      <c r="FS28">
        <v>28</v>
      </c>
      <c r="FT28">
        <v>6.4000000000000001E-2</v>
      </c>
      <c r="FU28">
        <v>-1E-3</v>
      </c>
      <c r="FV28">
        <v>-10.919</v>
      </c>
      <c r="FW28">
        <v>-0.55600000000000005</v>
      </c>
      <c r="FX28">
        <v>421</v>
      </c>
      <c r="FY28">
        <v>21</v>
      </c>
      <c r="FZ28">
        <v>1.4</v>
      </c>
      <c r="GA28">
        <v>0.22</v>
      </c>
      <c r="GB28">
        <v>419.99166666666662</v>
      </c>
      <c r="GC28">
        <v>0.11543492769635851</v>
      </c>
      <c r="GD28">
        <v>4.6420062712389992E-2</v>
      </c>
      <c r="GE28">
        <v>-1</v>
      </c>
      <c r="GF28">
        <v>850.35023529411751</v>
      </c>
      <c r="GG28">
        <v>2.5848128359117308</v>
      </c>
      <c r="GH28">
        <v>0.30711312907208488</v>
      </c>
      <c r="GI28">
        <v>1</v>
      </c>
      <c r="GJ28">
        <v>0.99486864999999991</v>
      </c>
      <c r="GK28">
        <v>-9.9745711069420151E-2</v>
      </c>
      <c r="GL28">
        <v>1.6378216275818921E-2</v>
      </c>
      <c r="GM28">
        <v>1</v>
      </c>
      <c r="GN28">
        <v>2</v>
      </c>
      <c r="GO28">
        <v>2</v>
      </c>
      <c r="GP28" t="s">
        <v>411</v>
      </c>
      <c r="GQ28">
        <v>3.1314199999999999</v>
      </c>
      <c r="GR28">
        <v>2.72126</v>
      </c>
      <c r="GS28">
        <v>9.4271400000000005E-2</v>
      </c>
      <c r="GT28">
        <v>9.3439599999999998E-2</v>
      </c>
      <c r="GU28">
        <v>0.108277</v>
      </c>
      <c r="GV28">
        <v>0.103466</v>
      </c>
      <c r="GW28">
        <v>22957.1</v>
      </c>
      <c r="GX28">
        <v>30595.7</v>
      </c>
      <c r="GY28">
        <v>27458.1</v>
      </c>
      <c r="GZ28">
        <v>34650.300000000003</v>
      </c>
      <c r="HA28">
        <v>35803.9</v>
      </c>
      <c r="HB28">
        <v>39069.5</v>
      </c>
      <c r="HC28">
        <v>40518.800000000003</v>
      </c>
      <c r="HD28">
        <v>43674.3</v>
      </c>
      <c r="HE28">
        <v>2.0468000000000002</v>
      </c>
      <c r="HF28">
        <v>1.9614</v>
      </c>
      <c r="HG28">
        <v>4.4852499999999997E-2</v>
      </c>
      <c r="HH28">
        <v>0</v>
      </c>
      <c r="HI28">
        <v>24.232099999999999</v>
      </c>
      <c r="HJ28">
        <v>999.9</v>
      </c>
      <c r="HK28">
        <v>67.599999999999994</v>
      </c>
      <c r="HL28">
        <v>28.7</v>
      </c>
      <c r="HM28">
        <v>27.2804</v>
      </c>
      <c r="HN28">
        <v>60.319299999999998</v>
      </c>
      <c r="HO28">
        <v>4.2948700000000004</v>
      </c>
      <c r="HP28">
        <v>1</v>
      </c>
      <c r="HQ28">
        <v>-0.10975600000000001</v>
      </c>
      <c r="HR28">
        <v>-0.15612200000000001</v>
      </c>
      <c r="HS28">
        <v>20.2607</v>
      </c>
      <c r="HT28">
        <v>5.2160900000000003</v>
      </c>
      <c r="HU28">
        <v>11.902100000000001</v>
      </c>
      <c r="HV28">
        <v>4.9863999999999997</v>
      </c>
      <c r="HW28">
        <v>3.2704</v>
      </c>
      <c r="HX28">
        <v>9999</v>
      </c>
      <c r="HY28">
        <v>9999</v>
      </c>
      <c r="HZ28">
        <v>9999</v>
      </c>
      <c r="IA28">
        <v>999.9</v>
      </c>
      <c r="IB28">
        <v>1.8672500000000001</v>
      </c>
      <c r="IC28">
        <v>1.8628199999999999</v>
      </c>
      <c r="ID28">
        <v>1.8623400000000001</v>
      </c>
      <c r="IE28">
        <v>1.86188</v>
      </c>
      <c r="IF28">
        <v>1.86188</v>
      </c>
      <c r="IG28">
        <v>1.8626400000000001</v>
      </c>
      <c r="IH28">
        <v>1.8634599999999999</v>
      </c>
      <c r="II28">
        <v>1.8614200000000001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-10.914</v>
      </c>
      <c r="IX28">
        <v>-0.52749999999999997</v>
      </c>
      <c r="IY28">
        <v>-8.9070394873687277</v>
      </c>
      <c r="IZ28">
        <v>-5.6215304933332991E-3</v>
      </c>
      <c r="JA28">
        <v>2.3979931213773931E-6</v>
      </c>
      <c r="JB28">
        <v>-3.6297174575716598E-10</v>
      </c>
      <c r="JC28">
        <v>-0.87244724891559589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1.6</v>
      </c>
      <c r="JL28">
        <v>1.6</v>
      </c>
      <c r="JM28">
        <v>1.1047400000000001</v>
      </c>
      <c r="JN28">
        <v>2.4694799999999999</v>
      </c>
      <c r="JO28">
        <v>1.50024</v>
      </c>
      <c r="JP28">
        <v>2.2717299999999998</v>
      </c>
      <c r="JQ28">
        <v>1.4477500000000001</v>
      </c>
      <c r="JR28">
        <v>2.4291999999999998</v>
      </c>
      <c r="JS28">
        <v>34.6006</v>
      </c>
      <c r="JT28">
        <v>23.947399999999998</v>
      </c>
      <c r="JU28">
        <v>18</v>
      </c>
      <c r="JV28">
        <v>527.21500000000003</v>
      </c>
      <c r="JW28">
        <v>490.72899999999998</v>
      </c>
      <c r="JX28">
        <v>24.907399999999999</v>
      </c>
      <c r="JY28">
        <v>25.9101</v>
      </c>
      <c r="JZ28">
        <v>29.9999</v>
      </c>
      <c r="KA28">
        <v>25.9557</v>
      </c>
      <c r="KB28">
        <v>25.970099999999999</v>
      </c>
      <c r="KC28">
        <v>22.0944</v>
      </c>
      <c r="KD28">
        <v>32.095999999999997</v>
      </c>
      <c r="KE28">
        <v>41.442100000000003</v>
      </c>
      <c r="KF28">
        <v>24.905200000000001</v>
      </c>
      <c r="KG28">
        <v>421.565</v>
      </c>
      <c r="KH28">
        <v>20.8338</v>
      </c>
      <c r="KI28">
        <v>101.29600000000001</v>
      </c>
      <c r="KJ28">
        <v>98.549000000000007</v>
      </c>
    </row>
    <row r="29" spans="1:296" x14ac:dyDescent="0.3">
      <c r="A29">
        <v>13</v>
      </c>
      <c r="B29">
        <v>1785947981</v>
      </c>
      <c r="C29">
        <v>2178.400000095367</v>
      </c>
      <c r="D29" t="s">
        <v>787</v>
      </c>
      <c r="E29" t="s">
        <v>788</v>
      </c>
      <c r="F29">
        <v>15</v>
      </c>
      <c r="H29">
        <v>1785947973</v>
      </c>
      <c r="I29">
        <f t="shared" si="0"/>
        <v>6.5091427559416614E-4</v>
      </c>
      <c r="J29">
        <f t="shared" si="1"/>
        <v>0.65091427559416615</v>
      </c>
      <c r="K29">
        <f t="shared" si="2"/>
        <v>-2.7089864722862615</v>
      </c>
      <c r="L29">
        <f t="shared" si="3"/>
        <v>419.93632258064508</v>
      </c>
      <c r="M29">
        <f t="shared" si="4"/>
        <v>484.82858524378406</v>
      </c>
      <c r="N29">
        <f t="shared" si="5"/>
        <v>47.519687178005235</v>
      </c>
      <c r="O29">
        <f t="shared" si="6"/>
        <v>41.159377336796567</v>
      </c>
      <c r="P29">
        <f t="shared" si="7"/>
        <v>6.0121264305301701E-2</v>
      </c>
      <c r="Q29">
        <f t="shared" si="8"/>
        <v>2.8926091152928164</v>
      </c>
      <c r="R29">
        <f t="shared" si="9"/>
        <v>5.9435594898574737E-2</v>
      </c>
      <c r="S29">
        <f t="shared" si="10"/>
        <v>3.7208199805583521E-2</v>
      </c>
      <c r="T29">
        <f t="shared" si="11"/>
        <v>1.5966703903835998E-4</v>
      </c>
      <c r="U29">
        <f t="shared" si="12"/>
        <v>25.40645012263094</v>
      </c>
      <c r="V29">
        <f t="shared" si="13"/>
        <v>24.987422580645159</v>
      </c>
      <c r="W29">
        <f t="shared" si="14"/>
        <v>3.1772940760757509</v>
      </c>
      <c r="X29">
        <f t="shared" si="15"/>
        <v>64.814273200757739</v>
      </c>
      <c r="Y29">
        <f t="shared" si="16"/>
        <v>2.1329696518662851</v>
      </c>
      <c r="Z29">
        <f t="shared" si="17"/>
        <v>3.290894962687553</v>
      </c>
      <c r="AA29">
        <f t="shared" si="18"/>
        <v>1.0443244242094658</v>
      </c>
      <c r="AB29">
        <f t="shared" si="19"/>
        <v>-28.705319553702726</v>
      </c>
      <c r="AC29">
        <f t="shared" si="20"/>
        <v>92.084303108403503</v>
      </c>
      <c r="AD29">
        <f t="shared" si="21"/>
        <v>6.7529189523983506</v>
      </c>
      <c r="AE29">
        <f t="shared" si="22"/>
        <v>70.13206217413817</v>
      </c>
      <c r="AF29">
        <f t="shared" si="23"/>
        <v>-2.7089864722862615</v>
      </c>
      <c r="AG29">
        <f t="shared" si="24"/>
        <v>0.65091427559416615</v>
      </c>
      <c r="AH29">
        <f t="shared" si="25"/>
        <v>-2.7480059308300748</v>
      </c>
      <c r="AI29">
        <v>425.83923280042262</v>
      </c>
      <c r="AJ29">
        <v>429.22371515151508</v>
      </c>
      <c r="AK29">
        <v>-3.0380887174051002E-3</v>
      </c>
      <c r="AL29">
        <v>67.050802669191427</v>
      </c>
      <c r="AM29">
        <f t="shared" si="26"/>
        <v>0.63569959130852605</v>
      </c>
      <c r="AN29">
        <v>21.010262950848251</v>
      </c>
      <c r="AO29">
        <v>21.756312727272711</v>
      </c>
      <c r="AP29">
        <v>3.4097237801724E-5</v>
      </c>
      <c r="AQ29">
        <v>78.068523517926792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52019.43837725238</v>
      </c>
      <c r="AW29" t="s">
        <v>676</v>
      </c>
      <c r="AX29">
        <v>13220</v>
      </c>
      <c r="AY29">
        <v>673.38823529411764</v>
      </c>
      <c r="AZ29">
        <v>2594.1</v>
      </c>
      <c r="BA29">
        <f t="shared" si="30"/>
        <v>0.74041546767891853</v>
      </c>
      <c r="BB29">
        <v>-2.7089864722863091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-2.7089864722862615</v>
      </c>
      <c r="BK29" t="e">
        <f t="shared" si="34"/>
        <v>#DIV/0!</v>
      </c>
      <c r="BL29">
        <f t="shared" si="35"/>
        <v>5.6544755201997057E-11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1.3505930705835154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1785947973</v>
      </c>
      <c r="DQ29">
        <v>419.93632258064508</v>
      </c>
      <c r="DR29">
        <v>417.01348387096772</v>
      </c>
      <c r="DS29">
        <v>21.762025806451611</v>
      </c>
      <c r="DT29">
        <v>20.997909677419361</v>
      </c>
      <c r="DU29">
        <v>430.839</v>
      </c>
      <c r="DV29">
        <v>22.287374193548391</v>
      </c>
      <c r="DW29">
        <v>499.98870967741942</v>
      </c>
      <c r="DX29">
        <v>97.969132258064505</v>
      </c>
      <c r="DY29">
        <v>4.4245303225806457E-2</v>
      </c>
      <c r="DZ29">
        <v>25.57790967741936</v>
      </c>
      <c r="EA29">
        <v>24.987422580645159</v>
      </c>
      <c r="EB29">
        <v>999.90000000000032</v>
      </c>
      <c r="EC29">
        <v>0</v>
      </c>
      <c r="ED29">
        <v>0</v>
      </c>
      <c r="EE29">
        <v>9993.8709677419356</v>
      </c>
      <c r="EF29">
        <v>0</v>
      </c>
      <c r="EG29">
        <v>1.0551564516129031</v>
      </c>
      <c r="EH29">
        <v>2.9227783870967738</v>
      </c>
      <c r="EI29">
        <v>429.27819354838709</v>
      </c>
      <c r="EJ29">
        <v>425.9577741935484</v>
      </c>
      <c r="EK29">
        <v>0.76411996774193558</v>
      </c>
      <c r="EL29">
        <v>417.01348387096772</v>
      </c>
      <c r="EM29">
        <v>20.997909677419361</v>
      </c>
      <c r="EN29">
        <v>2.1320077419354839</v>
      </c>
      <c r="EO29">
        <v>2.0571474193548389</v>
      </c>
      <c r="EP29">
        <v>18.460351612903221</v>
      </c>
      <c r="EQ29">
        <v>17.891190322580641</v>
      </c>
      <c r="ER29">
        <v>1.00021E-2</v>
      </c>
      <c r="ES29">
        <v>0</v>
      </c>
      <c r="ET29">
        <v>0</v>
      </c>
      <c r="EU29">
        <v>0</v>
      </c>
      <c r="EV29">
        <v>674.14354838709687</v>
      </c>
      <c r="EW29">
        <v>1.00021E-2</v>
      </c>
      <c r="EX29">
        <v>22.838709677419359</v>
      </c>
      <c r="EY29">
        <v>-0.51290322580645176</v>
      </c>
      <c r="EZ29">
        <v>34.584354838709679</v>
      </c>
      <c r="FA29">
        <v>39.282032258064511</v>
      </c>
      <c r="FB29">
        <v>37.130870967741927</v>
      </c>
      <c r="FC29">
        <v>39.661064516129017</v>
      </c>
      <c r="FD29">
        <v>37.3768064516129</v>
      </c>
      <c r="FE29">
        <v>0</v>
      </c>
      <c r="FF29">
        <v>0</v>
      </c>
      <c r="FG29">
        <v>0</v>
      </c>
      <c r="FH29">
        <v>180.79999995231631</v>
      </c>
      <c r="FI29">
        <v>0</v>
      </c>
      <c r="FJ29">
        <v>673.38823529411764</v>
      </c>
      <c r="FK29">
        <v>-13.100490245593811</v>
      </c>
      <c r="FL29">
        <v>-34.620098313444267</v>
      </c>
      <c r="FM29">
        <v>23.732352941176469</v>
      </c>
      <c r="FN29">
        <v>10</v>
      </c>
      <c r="FO29">
        <v>1785947919.5</v>
      </c>
      <c r="FP29" t="s">
        <v>789</v>
      </c>
      <c r="FQ29">
        <v>1785947918.5</v>
      </c>
      <c r="FR29">
        <v>1785947919.5</v>
      </c>
      <c r="FS29">
        <v>29</v>
      </c>
      <c r="FT29">
        <v>0.01</v>
      </c>
      <c r="FU29">
        <v>1E-3</v>
      </c>
      <c r="FV29">
        <v>-10.891</v>
      </c>
      <c r="FW29">
        <v>-0.54500000000000004</v>
      </c>
      <c r="FX29">
        <v>417</v>
      </c>
      <c r="FY29">
        <v>21</v>
      </c>
      <c r="FZ29">
        <v>1.92</v>
      </c>
      <c r="GA29">
        <v>0.4</v>
      </c>
      <c r="GB29">
        <v>419.94029032258061</v>
      </c>
      <c r="GC29">
        <v>-0.29748387096897783</v>
      </c>
      <c r="GD29">
        <v>5.4858876747163027E-2</v>
      </c>
      <c r="GE29">
        <v>-1</v>
      </c>
      <c r="GF29">
        <v>674.83088235294122</v>
      </c>
      <c r="GG29">
        <v>-6.6440029972280286</v>
      </c>
      <c r="GH29">
        <v>3.9815754845413069</v>
      </c>
      <c r="GI29">
        <v>1</v>
      </c>
      <c r="GJ29">
        <v>0.77150219512195128</v>
      </c>
      <c r="GK29">
        <v>-0.12554732404181199</v>
      </c>
      <c r="GL29">
        <v>1.420979068042311E-2</v>
      </c>
      <c r="GM29">
        <v>1</v>
      </c>
      <c r="GN29">
        <v>2</v>
      </c>
      <c r="GO29">
        <v>2</v>
      </c>
      <c r="GP29" t="s">
        <v>411</v>
      </c>
      <c r="GQ29">
        <v>3.1313300000000002</v>
      </c>
      <c r="GR29">
        <v>2.7204799999999998</v>
      </c>
      <c r="GS29">
        <v>9.4297199999999998E-2</v>
      </c>
      <c r="GT29">
        <v>9.2777100000000001E-2</v>
      </c>
      <c r="GU29">
        <v>0.108392</v>
      </c>
      <c r="GV29">
        <v>0.104419</v>
      </c>
      <c r="GW29">
        <v>22960.799999999999</v>
      </c>
      <c r="GX29">
        <v>30626.2</v>
      </c>
      <c r="GY29">
        <v>27462.799999999999</v>
      </c>
      <c r="GZ29">
        <v>34658.699999999997</v>
      </c>
      <c r="HA29">
        <v>35804.800000000003</v>
      </c>
      <c r="HB29">
        <v>39036.6</v>
      </c>
      <c r="HC29">
        <v>40525.599999999999</v>
      </c>
      <c r="HD29">
        <v>43684.7</v>
      </c>
      <c r="HE29">
        <v>2.0489999999999999</v>
      </c>
      <c r="HF29">
        <v>1.9632000000000001</v>
      </c>
      <c r="HG29">
        <v>5.2720299999999998E-2</v>
      </c>
      <c r="HH29">
        <v>0</v>
      </c>
      <c r="HI29">
        <v>24.132000000000001</v>
      </c>
      <c r="HJ29">
        <v>999.9</v>
      </c>
      <c r="HK29">
        <v>67.099999999999994</v>
      </c>
      <c r="HL29">
        <v>28.8</v>
      </c>
      <c r="HM29">
        <v>27.229800000000001</v>
      </c>
      <c r="HN29">
        <v>60.0593</v>
      </c>
      <c r="HO29">
        <v>4.5593000000000004</v>
      </c>
      <c r="HP29">
        <v>1</v>
      </c>
      <c r="HQ29">
        <v>-0.11890199999999999</v>
      </c>
      <c r="HR29">
        <v>-0.34368199999999999</v>
      </c>
      <c r="HS29">
        <v>20.261500000000002</v>
      </c>
      <c r="HT29">
        <v>5.2125000000000004</v>
      </c>
      <c r="HU29">
        <v>11.902100000000001</v>
      </c>
      <c r="HV29">
        <v>4.9867999999999997</v>
      </c>
      <c r="HW29">
        <v>3.2704</v>
      </c>
      <c r="HX29">
        <v>9999</v>
      </c>
      <c r="HY29">
        <v>9999</v>
      </c>
      <c r="HZ29">
        <v>9999</v>
      </c>
      <c r="IA29">
        <v>999.9</v>
      </c>
      <c r="IB29">
        <v>1.86731</v>
      </c>
      <c r="IC29">
        <v>1.8628499999999999</v>
      </c>
      <c r="ID29">
        <v>1.8623400000000001</v>
      </c>
      <c r="IE29">
        <v>1.86182</v>
      </c>
      <c r="IF29">
        <v>1.86188</v>
      </c>
      <c r="IG29">
        <v>1.8625799999999999</v>
      </c>
      <c r="IH29">
        <v>1.8634599999999999</v>
      </c>
      <c r="II29">
        <v>1.8614200000000001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-10.903</v>
      </c>
      <c r="IX29">
        <v>-0.52549999999999997</v>
      </c>
      <c r="IY29">
        <v>-8.8967516075976061</v>
      </c>
      <c r="IZ29">
        <v>-5.6215304933332991E-3</v>
      </c>
      <c r="JA29">
        <v>2.3979931213773931E-6</v>
      </c>
      <c r="JB29">
        <v>-3.6297174575716598E-10</v>
      </c>
      <c r="JC29">
        <v>-0.87098489028579973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</v>
      </c>
      <c r="JL29">
        <v>1</v>
      </c>
      <c r="JM29">
        <v>1.09497</v>
      </c>
      <c r="JN29">
        <v>2.47925</v>
      </c>
      <c r="JO29">
        <v>1.50024</v>
      </c>
      <c r="JP29">
        <v>2.2705099999999998</v>
      </c>
      <c r="JQ29">
        <v>1.4477500000000001</v>
      </c>
      <c r="JR29">
        <v>2.31934</v>
      </c>
      <c r="JS29">
        <v>34.6006</v>
      </c>
      <c r="JT29">
        <v>23.947399999999998</v>
      </c>
      <c r="JU29">
        <v>18</v>
      </c>
      <c r="JV29">
        <v>527.76599999999996</v>
      </c>
      <c r="JW29">
        <v>491.13</v>
      </c>
      <c r="JX29">
        <v>25.161899999999999</v>
      </c>
      <c r="JY29">
        <v>25.807700000000001</v>
      </c>
      <c r="JZ29">
        <v>29.9999</v>
      </c>
      <c r="KA29">
        <v>25.866099999999999</v>
      </c>
      <c r="KB29">
        <v>25.883500000000002</v>
      </c>
      <c r="KC29">
        <v>21.914300000000001</v>
      </c>
      <c r="KD29">
        <v>31.303699999999999</v>
      </c>
      <c r="KE29">
        <v>38.8322</v>
      </c>
      <c r="KF29">
        <v>25.161000000000001</v>
      </c>
      <c r="KG29">
        <v>417.22899999999998</v>
      </c>
      <c r="KH29">
        <v>21.108799999999999</v>
      </c>
      <c r="KI29">
        <v>101.313</v>
      </c>
      <c r="KJ29">
        <v>98.572699999999998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0551-EBCB-4641-A9A8-AE44C12785A8}">
  <dimension ref="A2:KJ31"/>
  <sheetViews>
    <sheetView workbookViewId="0">
      <selection activeCell="G12" sqref="G12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1785941569.5</v>
      </c>
      <c r="C17">
        <v>0</v>
      </c>
      <c r="D17" t="s">
        <v>790</v>
      </c>
      <c r="E17" t="s">
        <v>606</v>
      </c>
      <c r="F17">
        <v>15</v>
      </c>
      <c r="H17">
        <v>1785941561.5</v>
      </c>
      <c r="I17">
        <f t="shared" ref="I17:I31" si="0">(J17)/1000</f>
        <v>1.4855856036441969E-3</v>
      </c>
      <c r="J17">
        <f t="shared" ref="J17:J31" si="1">IF(DO17, AM17, AG17)</f>
        <v>1.485585603644197</v>
      </c>
      <c r="K17">
        <f t="shared" ref="K17:K31" si="2">IF(DO17, AH17, AF17)</f>
        <v>22.558664701722897</v>
      </c>
      <c r="L17">
        <f t="shared" ref="L17:L31" si="3">DQ17 - IF(AT17&gt;1, K17*DK17*100/(AV17), 0)</f>
        <v>419.57680645161292</v>
      </c>
      <c r="M17">
        <f t="shared" ref="M17:M31" si="4">((S17-I17/2)*L17-K17)/(S17+I17/2)</f>
        <v>150.97216500594956</v>
      </c>
      <c r="N17">
        <f t="shared" ref="N17:N31" si="5">M17*(DX17+DY17)/1000</f>
        <v>14.788866285259902</v>
      </c>
      <c r="O17">
        <f t="shared" ref="O17:O31" si="6">(DQ17 - IF(AT17&gt;1, K17*DK17*100/(AV17), 0))*(DX17+DY17)/1000</f>
        <v>41.100724009387733</v>
      </c>
      <c r="P17">
        <f t="shared" ref="P17:P31" si="7">2/((1/R17-1/Q17)+SIGN(R17)*SQRT((1/R17-1/Q17)*(1/R17-1/Q17) + 4*DL17/((DL17+1)*(DL17+1))*(2*1/R17*1/Q17-1/Q17*1/Q17)))</f>
        <v>0.14004620603746751</v>
      </c>
      <c r="Q17">
        <f t="shared" ref="Q17:Q31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2.8934266783429186</v>
      </c>
      <c r="R17">
        <f t="shared" ref="R17:R31" si="9">I17*(1000-(1000*0.61365*EXP(17.502*V17/(240.97+V17))/(DX17+DY17)+DS17)/2)/(1000*0.61365*EXP(17.502*V17/(240.97+V17))/(DX17+DY17)-DS17)</f>
        <v>0.13638653275778936</v>
      </c>
      <c r="S17">
        <f t="shared" ref="S17:S31" si="10">1/((DL17+1)/(P17/1.6)+1/(Q17/1.37)) + DL17/((DL17+1)/(P17/1.6) + DL17/(Q17/1.37))</f>
        <v>8.5562424562413045E-2</v>
      </c>
      <c r="T17">
        <f t="shared" ref="T17:T31" si="11">(DG17*DJ17)</f>
        <v>319.78026432199192</v>
      </c>
      <c r="U17">
        <f t="shared" ref="U17:U31" si="12">(DZ17+(T17+2*0.95*0.0000000567*(((DZ17+$B$7)+273)^4-(DZ17+273)^4)-44100*I17)/(1.84*29.3*Q17+8*0.95*0.0000000567*(DZ17+273)^3))</f>
        <v>27.049022002752825</v>
      </c>
      <c r="V17">
        <f t="shared" ref="V17:V31" si="13">($C$7*EA17+$D$7*EB17+$E$7*U17)</f>
        <v>24.993048387096781</v>
      </c>
      <c r="W17">
        <f t="shared" ref="W17:W31" si="14">0.61365*EXP(17.502*V17/(240.97+V17))</f>
        <v>3.1783600148963722</v>
      </c>
      <c r="X17">
        <f t="shared" ref="X17:X31" si="15">(Y17/Z17*100)</f>
        <v>65.220751904517698</v>
      </c>
      <c r="Y17">
        <f t="shared" ref="Y17:Y31" si="16">DS17*(DX17+DY17)/1000</f>
        <v>2.1403273818937105</v>
      </c>
      <c r="Z17">
        <f t="shared" ref="Z17:Z31" si="17">0.61365*EXP(17.502*DZ17/(240.97+DZ17))</f>
        <v>3.2816662172602991</v>
      </c>
      <c r="AA17">
        <f t="shared" ref="AA17:AA31" si="18">(W17-DS17*(DX17+DY17)/1000)</f>
        <v>1.0380326330026617</v>
      </c>
      <c r="AB17">
        <f t="shared" ref="AB17:AB31" si="19">(-I17*44100)</f>
        <v>-65.514325120709088</v>
      </c>
      <c r="AC17">
        <f t="shared" ref="AC17:AC31" si="20">2*29.3*Q17*0.92*(DZ17-V17)</f>
        <v>83.854410960120703</v>
      </c>
      <c r="AD17">
        <f t="shared" ref="AD17:AD31" si="21">2*0.95*0.0000000567*(((DZ17+$B$7)+273)^4-(V17+273)^4)</f>
        <v>6.1463603963537228</v>
      </c>
      <c r="AE17">
        <f t="shared" ref="AE17:AE31" si="22">T17+AD17+AB17+AC17</f>
        <v>344.26671055775728</v>
      </c>
      <c r="AF17">
        <f t="shared" ref="AF17:AF31" si="23">DW17*AT17*(DR17-DQ17*(1000-AT17*DT17)/(1000-AT17*DS17))/(100*DK17)</f>
        <v>22.558664701722897</v>
      </c>
      <c r="AG17">
        <f t="shared" ref="AG17:AG31" si="24">1000*DW17*AT17*(DS17-DT17)/(100*DK17*(1000-AT17*DS17))</f>
        <v>1.485585603644197</v>
      </c>
      <c r="AH17">
        <f t="shared" ref="AH17:AH31" si="25">(AI17 - AJ17 - DX17*1000/(8.314*(DZ17+273.15)) * AL17/DW17 * AK17) * DW17/(100*DK17) * (1000 - DT17)/1000</f>
        <v>22.780693271173426</v>
      </c>
      <c r="AI17">
        <v>456.70086292459342</v>
      </c>
      <c r="AJ17">
        <v>428.92778181818147</v>
      </c>
      <c r="AK17">
        <v>-2.3551274155614459E-2</v>
      </c>
      <c r="AL17">
        <v>67.040091218686086</v>
      </c>
      <c r="AM17">
        <f t="shared" ref="AM17:AM31" si="26">(AO17 - AN17 + DX17*1000/(8.314*(DZ17+273.15)) * AQ17/DW17 * AP17) * DW17/(100*DK17) * 1000/(1000 - AO17)</f>
        <v>1.5430500022271867</v>
      </c>
      <c r="AN17">
        <v>20.06045009885689</v>
      </c>
      <c r="AO17">
        <v>21.87230969696969</v>
      </c>
      <c r="AP17">
        <v>-1.156495486612216E-4</v>
      </c>
      <c r="AQ17">
        <v>77.810935619280784</v>
      </c>
      <c r="AR17">
        <v>0</v>
      </c>
      <c r="AS17">
        <v>0</v>
      </c>
      <c r="AT17">
        <f t="shared" ref="AT17:AT31" si="27">IF(AR17*$H$13&gt;=AV17,1,(AV17/(AV17-AR17*$H$13)))</f>
        <v>1</v>
      </c>
      <c r="AU17">
        <f t="shared" ref="AU17:AU31" si="28">(AT17-1)*100</f>
        <v>0</v>
      </c>
      <c r="AV17">
        <f t="shared" ref="AV17:AV31" si="29">MAX(0,($B$13+$C$13*EE17)/(1+$D$13*EE17)*DX17/(DZ17+273)*$E$13)</f>
        <v>52049.803770236773</v>
      </c>
      <c r="AW17" t="s">
        <v>791</v>
      </c>
      <c r="AX17">
        <v>13187.8</v>
      </c>
      <c r="AY17">
        <v>842.64307290737111</v>
      </c>
      <c r="AZ17">
        <v>2516.38</v>
      </c>
      <c r="BA17">
        <f t="shared" ref="BA17:BA31" si="30">1-AY17/AZ17</f>
        <v>0.66513679455910035</v>
      </c>
      <c r="BB17">
        <v>-2.8380250201795221</v>
      </c>
      <c r="BC17" t="s">
        <v>792</v>
      </c>
      <c r="BD17">
        <v>13174.1</v>
      </c>
      <c r="BE17">
        <v>910.72582352941174</v>
      </c>
      <c r="BF17">
        <v>1039.55</v>
      </c>
      <c r="BG17">
        <f t="shared" ref="BG17:BG31" si="31">1-BE17/BF17</f>
        <v>0.12392302099041719</v>
      </c>
      <c r="BH17">
        <v>0.5</v>
      </c>
      <c r="BI17">
        <f t="shared" ref="BI17:BI31" si="32">DH17</f>
        <v>1680.3121368206876</v>
      </c>
      <c r="BJ17">
        <f t="shared" ref="BJ17:BJ31" si="33">K17</f>
        <v>22.558664701722897</v>
      </c>
      <c r="BK17">
        <f t="shared" ref="BK17:BK31" si="34">BG17*BH17*BI17</f>
        <v>104.11467810084142</v>
      </c>
      <c r="BL17">
        <f t="shared" ref="BL17:BL31" si="35">(BJ17-BB17)/BI17</f>
        <v>1.5114269048818157E-2</v>
      </c>
      <c r="BM17">
        <f t="shared" ref="BM17:BM31" si="36">(AZ17-BF17)/BF17</f>
        <v>1.4206435476889041</v>
      </c>
      <c r="BN17">
        <f t="shared" ref="BN17:BN31" si="37">AY17/(BA17+AY17/BF17)</f>
        <v>571.00422703096012</v>
      </c>
      <c r="BO17" t="s">
        <v>408</v>
      </c>
      <c r="BP17">
        <v>0</v>
      </c>
      <c r="BQ17">
        <f t="shared" ref="BQ17:BQ31" si="38">IF(BP17&lt;&gt;0, BP17, BN17)</f>
        <v>571.00422703096012</v>
      </c>
      <c r="BR17">
        <f t="shared" ref="BR17:BR31" si="39">1-BQ17/BF17</f>
        <v>0.45071980469341533</v>
      </c>
      <c r="BS17">
        <f t="shared" ref="BS17:BS31" si="40">(BF17-BE17)/(BF17-BQ17)</f>
        <v>0.27494469890159601</v>
      </c>
      <c r="BT17">
        <f t="shared" ref="BT17:BT31" si="41">(AZ17-BF17)/(AZ17-BQ17)</f>
        <v>0.75914896264286069</v>
      </c>
      <c r="BU17">
        <f t="shared" ref="BU17:BU31" si="42">(BF17-BE17)/(BF17-AY17)</f>
        <v>0.65423892583518306</v>
      </c>
      <c r="BV17">
        <f t="shared" ref="BV17:BV31" si="43">(AZ17-BF17)/(AZ17-AY17)</f>
        <v>0.88235491258792575</v>
      </c>
      <c r="BW17">
        <f t="shared" ref="BW17:BW31" si="44">(BS17*BQ17/BE17)</f>
        <v>0.17238402735101074</v>
      </c>
      <c r="BX17">
        <f t="shared" ref="BX17:BX31" si="45">(1-BW17)</f>
        <v>0.82761597264898923</v>
      </c>
      <c r="DG17">
        <f t="shared" ref="DG17:DG31" si="46">$B$11*EF17+$C$11*EG17+$F$11*ER17*(1-EU17)</f>
        <v>2000.0151612903221</v>
      </c>
      <c r="DH17">
        <f t="shared" ref="DH17:DH31" si="47">DG17*DI17</f>
        <v>1680.3121368206876</v>
      </c>
      <c r="DI17">
        <f t="shared" ref="DI17:DI31" si="48">($B$11*$D$9+$C$11*$D$9+$F$11*((FE17+EW17)/MAX(FE17+EW17+FF17, 0.1)*$I$9+FF17/MAX(FE17+EW17+FF17, 0.1)*$J$9))/($B$11+$C$11+$F$11)</f>
        <v>0.84014969953358942</v>
      </c>
      <c r="DJ17">
        <f t="shared" ref="DJ17:DJ31" si="49">($B$11*$K$9+$C$11*$K$9+$F$11*((FE17+EW17)/MAX(FE17+EW17+FF17, 0.1)*$P$9+FF17/MAX(FE17+EW17+FF17, 0.1)*$Q$9))/($B$11+$C$11+$F$11)</f>
        <v>0.1598889200998275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1785941561.5</v>
      </c>
      <c r="DQ17">
        <v>419.57680645161292</v>
      </c>
      <c r="DR17">
        <v>447.39503225806459</v>
      </c>
      <c r="DS17">
        <v>21.849535483870969</v>
      </c>
      <c r="DT17">
        <v>20.105793548387091</v>
      </c>
      <c r="DU17">
        <v>429.36064516129028</v>
      </c>
      <c r="DV17">
        <v>22.404535483870969</v>
      </c>
      <c r="DW17">
        <v>500.00274193548393</v>
      </c>
      <c r="DX17">
        <v>97.909248387096795</v>
      </c>
      <c r="DY17">
        <v>4.8320709677419367E-2</v>
      </c>
      <c r="DZ17">
        <v>25.530609677419349</v>
      </c>
      <c r="EA17">
        <v>24.993048387096781</v>
      </c>
      <c r="EB17">
        <v>999.90000000000032</v>
      </c>
      <c r="EC17">
        <v>0</v>
      </c>
      <c r="ED17">
        <v>0</v>
      </c>
      <c r="EE17">
        <v>10004.677419354841</v>
      </c>
      <c r="EF17">
        <v>0</v>
      </c>
      <c r="EG17">
        <v>23.004570967741941</v>
      </c>
      <c r="EH17">
        <v>-27.81827419354839</v>
      </c>
      <c r="EI17">
        <v>428.96222580645173</v>
      </c>
      <c r="EJ17">
        <v>456.5749677419355</v>
      </c>
      <c r="EK17">
        <v>1.773627419354838</v>
      </c>
      <c r="EL17">
        <v>447.39503225806459</v>
      </c>
      <c r="EM17">
        <v>20.105793548387091</v>
      </c>
      <c r="EN17">
        <v>2.1421983870967738</v>
      </c>
      <c r="EO17">
        <v>1.9685425806451611</v>
      </c>
      <c r="EP17">
        <v>18.53647419354839</v>
      </c>
      <c r="EQ17">
        <v>17.193532258064511</v>
      </c>
      <c r="ER17">
        <v>2000.0151612903221</v>
      </c>
      <c r="ES17">
        <v>0.99499512903225784</v>
      </c>
      <c r="ET17">
        <v>5.0044641935483858E-3</v>
      </c>
      <c r="EU17">
        <v>0</v>
      </c>
      <c r="EV17">
        <v>910.6306451612902</v>
      </c>
      <c r="EW17">
        <v>5.0010700000000003</v>
      </c>
      <c r="EX17">
        <v>19031</v>
      </c>
      <c r="EY17">
        <v>18241.754838709679</v>
      </c>
      <c r="EZ17">
        <v>37.493806451612897</v>
      </c>
      <c r="FA17">
        <v>38.182999999999993</v>
      </c>
      <c r="FB17">
        <v>38.029999999999987</v>
      </c>
      <c r="FC17">
        <v>37.682999999999993</v>
      </c>
      <c r="FD17">
        <v>38.779999999999987</v>
      </c>
      <c r="FE17">
        <v>1985.025161290323</v>
      </c>
      <c r="FF17">
        <v>9.980000000000004</v>
      </c>
      <c r="FG17">
        <v>0</v>
      </c>
      <c r="FH17">
        <v>1785941569.2</v>
      </c>
      <c r="FI17">
        <v>0</v>
      </c>
      <c r="FJ17">
        <v>910.72582352941174</v>
      </c>
      <c r="FK17">
        <v>4.1749999623999798</v>
      </c>
      <c r="FL17">
        <v>-2.5735292273563899</v>
      </c>
      <c r="FM17">
        <v>19030.900000000001</v>
      </c>
      <c r="FN17">
        <v>10</v>
      </c>
      <c r="FO17">
        <v>1785941586.5</v>
      </c>
      <c r="FP17" t="s">
        <v>793</v>
      </c>
      <c r="FQ17">
        <v>1785948192.5</v>
      </c>
      <c r="FR17">
        <v>1785941586.5</v>
      </c>
      <c r="FS17">
        <v>1</v>
      </c>
      <c r="FT17">
        <v>-6.0000000000000001E-3</v>
      </c>
      <c r="FU17">
        <v>1.7999999999999999E-2</v>
      </c>
      <c r="FV17">
        <v>-9.7370000000000001</v>
      </c>
      <c r="FW17">
        <v>-0.55500000000000005</v>
      </c>
      <c r="FX17">
        <v>417</v>
      </c>
      <c r="FY17">
        <v>20</v>
      </c>
      <c r="FZ17">
        <v>1.92</v>
      </c>
      <c r="GA17">
        <v>0.18</v>
      </c>
      <c r="GB17">
        <v>419.57760000000002</v>
      </c>
      <c r="GC17">
        <v>0.43039822024511498</v>
      </c>
      <c r="GD17">
        <v>6.4123630589665914E-2</v>
      </c>
      <c r="GE17">
        <v>-1</v>
      </c>
      <c r="GF17">
        <v>910.54391176470585</v>
      </c>
      <c r="GG17">
        <v>1.7560122204404629</v>
      </c>
      <c r="GH17">
        <v>0.25807732170657921</v>
      </c>
      <c r="GI17">
        <v>1</v>
      </c>
      <c r="GJ17">
        <v>1.7569870000000001</v>
      </c>
      <c r="GK17">
        <v>0.409818236397747</v>
      </c>
      <c r="GL17">
        <v>4.1008779072291349E-2</v>
      </c>
      <c r="GM17">
        <v>1</v>
      </c>
      <c r="GN17">
        <v>2</v>
      </c>
      <c r="GO17">
        <v>2</v>
      </c>
      <c r="GP17" t="s">
        <v>411</v>
      </c>
      <c r="GQ17">
        <v>3.13096</v>
      </c>
      <c r="GR17">
        <v>2.7248800000000002</v>
      </c>
      <c r="GS17">
        <v>9.4170699999999996E-2</v>
      </c>
      <c r="GT17">
        <v>9.7860799999999998E-2</v>
      </c>
      <c r="GU17">
        <v>0.10892</v>
      </c>
      <c r="GV17">
        <v>0.101018</v>
      </c>
      <c r="GW17">
        <v>23006.2</v>
      </c>
      <c r="GX17">
        <v>30464.2</v>
      </c>
      <c r="GY17">
        <v>27510</v>
      </c>
      <c r="GZ17">
        <v>34665</v>
      </c>
      <c r="HA17">
        <v>35821.599999999999</v>
      </c>
      <c r="HB17">
        <v>39160</v>
      </c>
      <c r="HC17">
        <v>40572.400000000001</v>
      </c>
      <c r="HD17">
        <v>43656.3</v>
      </c>
      <c r="HE17">
        <v>2.0564</v>
      </c>
      <c r="HF17">
        <v>2.0192000000000001</v>
      </c>
      <c r="HG17">
        <v>9.8526500000000003E-2</v>
      </c>
      <c r="HH17">
        <v>0</v>
      </c>
      <c r="HI17">
        <v>23.382400000000001</v>
      </c>
      <c r="HJ17">
        <v>999.9</v>
      </c>
      <c r="HK17">
        <v>81.2</v>
      </c>
      <c r="HL17">
        <v>23.5</v>
      </c>
      <c r="HM17">
        <v>24.099900000000002</v>
      </c>
      <c r="HN17">
        <v>60.860100000000003</v>
      </c>
      <c r="HO17">
        <v>2.34375</v>
      </c>
      <c r="HP17">
        <v>1</v>
      </c>
      <c r="HQ17">
        <v>-0.16874</v>
      </c>
      <c r="HR17">
        <v>-0.16241800000000001</v>
      </c>
      <c r="HS17">
        <v>20.275400000000001</v>
      </c>
      <c r="HT17">
        <v>5.2160900000000003</v>
      </c>
      <c r="HU17">
        <v>11.902100000000001</v>
      </c>
      <c r="HV17">
        <v>4.9867999999999997</v>
      </c>
      <c r="HW17">
        <v>3.2702</v>
      </c>
      <c r="HX17">
        <v>9999</v>
      </c>
      <c r="HY17">
        <v>9999</v>
      </c>
      <c r="HZ17">
        <v>9999</v>
      </c>
      <c r="IA17">
        <v>999.9</v>
      </c>
      <c r="IB17">
        <v>1.86649</v>
      </c>
      <c r="IC17">
        <v>1.8620300000000001</v>
      </c>
      <c r="ID17">
        <v>1.86145</v>
      </c>
      <c r="IE17">
        <v>1.86093</v>
      </c>
      <c r="IF17">
        <v>1.8609899999999999</v>
      </c>
      <c r="IG17">
        <v>1.86175</v>
      </c>
      <c r="IH17">
        <v>1.8626400000000001</v>
      </c>
      <c r="II17">
        <v>1.86066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-9.7829999999999995</v>
      </c>
      <c r="IX17">
        <v>-0.55500000000000005</v>
      </c>
      <c r="IY17">
        <v>-7.7834867071077554</v>
      </c>
      <c r="IZ17">
        <v>-5.6215304933332991E-3</v>
      </c>
      <c r="JA17">
        <v>2.3979931213773931E-6</v>
      </c>
      <c r="JB17">
        <v>-3.6297174575716598E-10</v>
      </c>
      <c r="JC17">
        <v>-0.87389087648227215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-110.4</v>
      </c>
      <c r="JL17">
        <v>-110.5</v>
      </c>
      <c r="JM17">
        <v>1.15967</v>
      </c>
      <c r="JN17">
        <v>2.4279799999999998</v>
      </c>
      <c r="JO17">
        <v>1.50024</v>
      </c>
      <c r="JP17">
        <v>2.2912599999999999</v>
      </c>
      <c r="JQ17">
        <v>1.4477500000000001</v>
      </c>
      <c r="JR17">
        <v>2.4682599999999999</v>
      </c>
      <c r="JS17">
        <v>28.458400000000001</v>
      </c>
      <c r="JT17">
        <v>15.8657</v>
      </c>
      <c r="JU17">
        <v>18</v>
      </c>
      <c r="JV17">
        <v>525.53800000000001</v>
      </c>
      <c r="JW17">
        <v>521.76499999999999</v>
      </c>
      <c r="JX17">
        <v>24.252300000000002</v>
      </c>
      <c r="JY17">
        <v>25.124099999999999</v>
      </c>
      <c r="JZ17">
        <v>30.0001</v>
      </c>
      <c r="KA17">
        <v>25.1312</v>
      </c>
      <c r="KB17">
        <v>25.136399999999998</v>
      </c>
      <c r="KC17">
        <v>23.205200000000001</v>
      </c>
      <c r="KD17">
        <v>28.741199999999999</v>
      </c>
      <c r="KE17">
        <v>100</v>
      </c>
      <c r="KF17">
        <v>24.247299999999999</v>
      </c>
      <c r="KG17">
        <v>447.85199999999998</v>
      </c>
      <c r="KH17">
        <v>20.035900000000002</v>
      </c>
      <c r="KI17">
        <v>101.453</v>
      </c>
      <c r="KJ17">
        <v>98.544799999999995</v>
      </c>
    </row>
    <row r="18" spans="1:296" x14ac:dyDescent="0.3">
      <c r="A18">
        <v>2</v>
      </c>
      <c r="B18">
        <v>1785941767.5</v>
      </c>
      <c r="C18">
        <v>198</v>
      </c>
      <c r="D18" t="s">
        <v>794</v>
      </c>
      <c r="E18" t="s">
        <v>795</v>
      </c>
      <c r="F18">
        <v>15</v>
      </c>
      <c r="H18">
        <v>1785941759.75</v>
      </c>
      <c r="I18">
        <f t="shared" si="0"/>
        <v>1.7714029262982901E-3</v>
      </c>
      <c r="J18">
        <f t="shared" si="1"/>
        <v>1.77140292629829</v>
      </c>
      <c r="K18">
        <f t="shared" si="2"/>
        <v>27.98143316901394</v>
      </c>
      <c r="L18">
        <f t="shared" si="3"/>
        <v>419.65120000000007</v>
      </c>
      <c r="M18">
        <f t="shared" si="4"/>
        <v>141.1112405638489</v>
      </c>
      <c r="N18">
        <f t="shared" si="5"/>
        <v>13.824641401034174</v>
      </c>
      <c r="O18">
        <f t="shared" si="6"/>
        <v>41.11314825333595</v>
      </c>
      <c r="P18">
        <f t="shared" si="7"/>
        <v>0.16810123406593269</v>
      </c>
      <c r="Q18">
        <f t="shared" si="8"/>
        <v>2.8901842347855533</v>
      </c>
      <c r="R18">
        <f t="shared" si="9"/>
        <v>0.1628523011803952</v>
      </c>
      <c r="S18">
        <f t="shared" si="10"/>
        <v>0.10224063125717647</v>
      </c>
      <c r="T18">
        <f t="shared" si="11"/>
        <v>271.90278402973252</v>
      </c>
      <c r="U18">
        <f t="shared" si="12"/>
        <v>26.77028328300953</v>
      </c>
      <c r="V18">
        <f t="shared" si="13"/>
        <v>25.014453333333329</v>
      </c>
      <c r="W18">
        <f t="shared" si="14"/>
        <v>3.1824185327849799</v>
      </c>
      <c r="X18">
        <f t="shared" si="15"/>
        <v>65.070995343586887</v>
      </c>
      <c r="Y18">
        <f t="shared" si="16"/>
        <v>2.1457439184535501</v>
      </c>
      <c r="Z18">
        <f t="shared" si="17"/>
        <v>3.2975427947945555</v>
      </c>
      <c r="AA18">
        <f t="shared" si="18"/>
        <v>1.0366746143314298</v>
      </c>
      <c r="AB18">
        <f t="shared" si="19"/>
        <v>-78.118869049754593</v>
      </c>
      <c r="AC18">
        <f t="shared" si="20"/>
        <v>93.093076438418365</v>
      </c>
      <c r="AD18">
        <f t="shared" si="21"/>
        <v>6.8347216229031611</v>
      </c>
      <c r="AE18">
        <f t="shared" si="22"/>
        <v>293.71171304129939</v>
      </c>
      <c r="AF18">
        <f t="shared" si="23"/>
        <v>27.98143316901394</v>
      </c>
      <c r="AG18">
        <f t="shared" si="24"/>
        <v>1.77140292629829</v>
      </c>
      <c r="AH18">
        <f t="shared" si="25"/>
        <v>28.040935522067773</v>
      </c>
      <c r="AI18">
        <v>463.32697633471457</v>
      </c>
      <c r="AJ18">
        <v>429.04470909090912</v>
      </c>
      <c r="AK18">
        <v>-9.750540037045341E-3</v>
      </c>
      <c r="AL18">
        <v>67.041001603750772</v>
      </c>
      <c r="AM18">
        <f t="shared" si="26"/>
        <v>1.7859361460137566</v>
      </c>
      <c r="AN18">
        <v>19.786513562634848</v>
      </c>
      <c r="AO18">
        <v>21.889036363636379</v>
      </c>
      <c r="AP18">
        <v>-9.8578691288272839E-4</v>
      </c>
      <c r="AQ18">
        <v>77.89230806761671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51943.054214790936</v>
      </c>
      <c r="AW18" t="s">
        <v>791</v>
      </c>
      <c r="AX18">
        <v>13187.8</v>
      </c>
      <c r="AY18">
        <v>842.64307290737111</v>
      </c>
      <c r="AZ18">
        <v>2516.38</v>
      </c>
      <c r="BA18">
        <f t="shared" si="30"/>
        <v>0.66513679455910035</v>
      </c>
      <c r="BB18">
        <v>-2.8380250201795221</v>
      </c>
      <c r="BC18" t="s">
        <v>796</v>
      </c>
      <c r="BD18">
        <v>13154.6</v>
      </c>
      <c r="BE18">
        <v>914.4930588235294</v>
      </c>
      <c r="BF18">
        <v>1108.22</v>
      </c>
      <c r="BG18">
        <f t="shared" si="31"/>
        <v>0.17480910033790276</v>
      </c>
      <c r="BH18">
        <v>0.5</v>
      </c>
      <c r="BI18">
        <f t="shared" si="32"/>
        <v>1428.2759598081518</v>
      </c>
      <c r="BJ18">
        <f t="shared" si="33"/>
        <v>27.98143316901394</v>
      </c>
      <c r="BK18">
        <f t="shared" si="34"/>
        <v>124.83781778415879</v>
      </c>
      <c r="BL18">
        <f t="shared" si="35"/>
        <v>2.1578083687226086E-2</v>
      </c>
      <c r="BM18">
        <f t="shared" si="36"/>
        <v>1.2706502319034128</v>
      </c>
      <c r="BN18">
        <f t="shared" si="37"/>
        <v>591.12354538383465</v>
      </c>
      <c r="BO18" t="s">
        <v>408</v>
      </c>
      <c r="BP18">
        <v>0</v>
      </c>
      <c r="BQ18">
        <f t="shared" si="38"/>
        <v>591.12354538383465</v>
      </c>
      <c r="BR18">
        <f t="shared" si="39"/>
        <v>0.46660090470860061</v>
      </c>
      <c r="BS18">
        <f t="shared" si="40"/>
        <v>0.37464372352015424</v>
      </c>
      <c r="BT18">
        <f t="shared" si="41"/>
        <v>0.73141424698183499</v>
      </c>
      <c r="BU18">
        <f t="shared" si="42"/>
        <v>0.7294569724007004</v>
      </c>
      <c r="BV18">
        <f t="shared" si="43"/>
        <v>0.84132695957545112</v>
      </c>
      <c r="BW18">
        <f t="shared" si="44"/>
        <v>0.24216774962506324</v>
      </c>
      <c r="BX18">
        <f t="shared" si="45"/>
        <v>0.75783225037493673</v>
      </c>
      <c r="DG18">
        <f t="shared" si="46"/>
        <v>1699.9656666666669</v>
      </c>
      <c r="DH18">
        <f t="shared" si="47"/>
        <v>1428.2759598081518</v>
      </c>
      <c r="DI18">
        <f t="shared" si="48"/>
        <v>0.84017929762590393</v>
      </c>
      <c r="DJ18">
        <f t="shared" si="49"/>
        <v>0.15994604441799459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1785941759.75</v>
      </c>
      <c r="DQ18">
        <v>419.65120000000007</v>
      </c>
      <c r="DR18">
        <v>454.1251666666667</v>
      </c>
      <c r="DS18">
        <v>21.90209333333334</v>
      </c>
      <c r="DT18">
        <v>19.822713333333329</v>
      </c>
      <c r="DU18">
        <v>430.97016666666673</v>
      </c>
      <c r="DV18">
        <v>22.40926</v>
      </c>
      <c r="DW18">
        <v>499.93906666666669</v>
      </c>
      <c r="DX18">
        <v>97.921373333333321</v>
      </c>
      <c r="DY18">
        <v>4.8436483333333329E-2</v>
      </c>
      <c r="DZ18">
        <v>25.611910000000002</v>
      </c>
      <c r="EA18">
        <v>25.014453333333329</v>
      </c>
      <c r="EB18">
        <v>999.9000000000002</v>
      </c>
      <c r="EC18">
        <v>0</v>
      </c>
      <c r="ED18">
        <v>0</v>
      </c>
      <c r="EE18">
        <v>9984.8333333333339</v>
      </c>
      <c r="EF18">
        <v>0</v>
      </c>
      <c r="EG18">
        <v>25.560980000000001</v>
      </c>
      <c r="EH18">
        <v>-34.474006666666668</v>
      </c>
      <c r="EI18">
        <v>429.0481666666667</v>
      </c>
      <c r="EJ18">
        <v>463.30929999999989</v>
      </c>
      <c r="EK18">
        <v>2.0793813333333331</v>
      </c>
      <c r="EL18">
        <v>454.1251666666667</v>
      </c>
      <c r="EM18">
        <v>19.822713333333329</v>
      </c>
      <c r="EN18">
        <v>2.1446836666666669</v>
      </c>
      <c r="EO18">
        <v>1.941068</v>
      </c>
      <c r="EP18">
        <v>18.55499</v>
      </c>
      <c r="EQ18">
        <v>16.97160666666667</v>
      </c>
      <c r="ER18">
        <v>1699.9656666666669</v>
      </c>
      <c r="ES18">
        <v>0.99400740000000021</v>
      </c>
      <c r="ET18">
        <v>5.9926060000000019E-3</v>
      </c>
      <c r="EU18">
        <v>0</v>
      </c>
      <c r="EV18">
        <v>914.50800000000015</v>
      </c>
      <c r="EW18">
        <v>5.0010700000000003</v>
      </c>
      <c r="EX18">
        <v>16300.73</v>
      </c>
      <c r="EY18">
        <v>15492.24</v>
      </c>
      <c r="EZ18">
        <v>37.18516666666666</v>
      </c>
      <c r="FA18">
        <v>38.641433333333318</v>
      </c>
      <c r="FB18">
        <v>37.764399999999988</v>
      </c>
      <c r="FC18">
        <v>38.445533333333323</v>
      </c>
      <c r="FD18">
        <v>38.881066666666662</v>
      </c>
      <c r="FE18">
        <v>1684.8056666666671</v>
      </c>
      <c r="FF18">
        <v>10.16</v>
      </c>
      <c r="FG18">
        <v>0</v>
      </c>
      <c r="FH18">
        <v>197.5</v>
      </c>
      <c r="FI18">
        <v>0</v>
      </c>
      <c r="FJ18">
        <v>914.4930588235294</v>
      </c>
      <c r="FK18">
        <v>-0.57647058130323192</v>
      </c>
      <c r="FL18">
        <v>82.965685728131177</v>
      </c>
      <c r="FM18">
        <v>16305.917647058821</v>
      </c>
      <c r="FN18">
        <v>10</v>
      </c>
      <c r="FO18">
        <v>1785941670.5</v>
      </c>
      <c r="FP18" t="s">
        <v>797</v>
      </c>
      <c r="FQ18">
        <v>1785941670.5</v>
      </c>
      <c r="FR18">
        <v>1785941669</v>
      </c>
      <c r="FS18">
        <v>2</v>
      </c>
      <c r="FT18">
        <v>-1.5289999999999999</v>
      </c>
      <c r="FU18">
        <v>0</v>
      </c>
      <c r="FV18">
        <v>-11.43</v>
      </c>
      <c r="FW18">
        <v>-0.55600000000000005</v>
      </c>
      <c r="FX18">
        <v>450</v>
      </c>
      <c r="FY18">
        <v>20</v>
      </c>
      <c r="FZ18">
        <v>0.22</v>
      </c>
      <c r="GA18">
        <v>0.15</v>
      </c>
      <c r="GB18">
        <v>419.64816666666673</v>
      </c>
      <c r="GC18">
        <v>0.25102558398244551</v>
      </c>
      <c r="GD18">
        <v>5.609104701782424E-2</v>
      </c>
      <c r="GE18">
        <v>-1</v>
      </c>
      <c r="GF18">
        <v>914.5171764705882</v>
      </c>
      <c r="GG18">
        <v>-0.49668448721142849</v>
      </c>
      <c r="GH18">
        <v>0.2198556305167105</v>
      </c>
      <c r="GI18">
        <v>1</v>
      </c>
      <c r="GJ18">
        <v>2.0650692500000001</v>
      </c>
      <c r="GK18">
        <v>0.33159636022513322</v>
      </c>
      <c r="GL18">
        <v>3.3859994491102607E-2</v>
      </c>
      <c r="GM18">
        <v>1</v>
      </c>
      <c r="GN18">
        <v>2</v>
      </c>
      <c r="GO18">
        <v>2</v>
      </c>
      <c r="GP18" t="s">
        <v>411</v>
      </c>
      <c r="GQ18">
        <v>3.1319400000000002</v>
      </c>
      <c r="GR18">
        <v>2.72444</v>
      </c>
      <c r="GS18">
        <v>9.4450500000000007E-2</v>
      </c>
      <c r="GT18">
        <v>9.8976999999999996E-2</v>
      </c>
      <c r="GU18">
        <v>0.10891000000000001</v>
      </c>
      <c r="GV18">
        <v>0.100061</v>
      </c>
      <c r="GW18">
        <v>22996.5</v>
      </c>
      <c r="GX18">
        <v>30426.9</v>
      </c>
      <c r="GY18">
        <v>27507.1</v>
      </c>
      <c r="GZ18">
        <v>34665.699999999997</v>
      </c>
      <c r="HA18">
        <v>35820.300000000003</v>
      </c>
      <c r="HB18">
        <v>39204.699999999997</v>
      </c>
      <c r="HC18">
        <v>40570.400000000001</v>
      </c>
      <c r="HD18">
        <v>43658.9</v>
      </c>
      <c r="HE18">
        <v>2.0581999999999998</v>
      </c>
      <c r="HF18">
        <v>2.0156000000000001</v>
      </c>
      <c r="HG18">
        <v>9.5367400000000005E-2</v>
      </c>
      <c r="HH18">
        <v>0</v>
      </c>
      <c r="HI18">
        <v>23.461300000000001</v>
      </c>
      <c r="HJ18">
        <v>999.9</v>
      </c>
      <c r="HK18">
        <v>80.599999999999994</v>
      </c>
      <c r="HL18">
        <v>23.7</v>
      </c>
      <c r="HM18">
        <v>24.210899999999999</v>
      </c>
      <c r="HN18">
        <v>60.9801</v>
      </c>
      <c r="HO18">
        <v>1.875</v>
      </c>
      <c r="HP18">
        <v>1</v>
      </c>
      <c r="HQ18">
        <v>-0.166382</v>
      </c>
      <c r="HR18">
        <v>-2.8235300000000001E-2</v>
      </c>
      <c r="HS18">
        <v>20.279599999999999</v>
      </c>
      <c r="HT18">
        <v>5.2172900000000002</v>
      </c>
      <c r="HU18">
        <v>11.902100000000001</v>
      </c>
      <c r="HV18">
        <v>4.9863999999999997</v>
      </c>
      <c r="HW18">
        <v>3.2702</v>
      </c>
      <c r="HX18">
        <v>9999</v>
      </c>
      <c r="HY18">
        <v>9999</v>
      </c>
      <c r="HZ18">
        <v>9999</v>
      </c>
      <c r="IA18">
        <v>999.9</v>
      </c>
      <c r="IB18">
        <v>1.86652</v>
      </c>
      <c r="IC18">
        <v>1.8620300000000001</v>
      </c>
      <c r="ID18">
        <v>1.86151</v>
      </c>
      <c r="IE18">
        <v>1.8609599999999999</v>
      </c>
      <c r="IF18">
        <v>1.8610199999999999</v>
      </c>
      <c r="IG18">
        <v>1.86178</v>
      </c>
      <c r="IH18">
        <v>1.86267</v>
      </c>
      <c r="II18">
        <v>1.86066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-11.319000000000001</v>
      </c>
      <c r="IX18">
        <v>-0.50760000000000005</v>
      </c>
      <c r="IY18">
        <v>-9.3126579645997136</v>
      </c>
      <c r="IZ18">
        <v>-5.6215304933332991E-3</v>
      </c>
      <c r="JA18">
        <v>2.3979931213773931E-6</v>
      </c>
      <c r="JB18">
        <v>-3.6297174575716598E-10</v>
      </c>
      <c r="JC18">
        <v>-0.85606866888168875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1.6</v>
      </c>
      <c r="JL18">
        <v>1.6</v>
      </c>
      <c r="JM18">
        <v>1.17554</v>
      </c>
      <c r="JN18">
        <v>2.4475099999999999</v>
      </c>
      <c r="JO18">
        <v>1.50024</v>
      </c>
      <c r="JP18">
        <v>2.2912599999999999</v>
      </c>
      <c r="JQ18">
        <v>1.4477500000000001</v>
      </c>
      <c r="JR18">
        <v>2.3571800000000001</v>
      </c>
      <c r="JS18">
        <v>28.563600000000001</v>
      </c>
      <c r="JT18">
        <v>15.839399999999999</v>
      </c>
      <c r="JU18">
        <v>18</v>
      </c>
      <c r="JV18">
        <v>527.20799999999997</v>
      </c>
      <c r="JW18">
        <v>519.92700000000002</v>
      </c>
      <c r="JX18">
        <v>24.350999999999999</v>
      </c>
      <c r="JY18">
        <v>25.157900000000001</v>
      </c>
      <c r="JZ18">
        <v>30</v>
      </c>
      <c r="KA18">
        <v>25.190200000000001</v>
      </c>
      <c r="KB18">
        <v>25.201499999999999</v>
      </c>
      <c r="KC18">
        <v>23.4954</v>
      </c>
      <c r="KD18">
        <v>29.4879</v>
      </c>
      <c r="KE18">
        <v>100</v>
      </c>
      <c r="KF18">
        <v>24.336099999999998</v>
      </c>
      <c r="KG18">
        <v>454.40899999999999</v>
      </c>
      <c r="KH18">
        <v>19.767099999999999</v>
      </c>
      <c r="KI18">
        <v>101.446</v>
      </c>
      <c r="KJ18">
        <v>98.549000000000007</v>
      </c>
    </row>
    <row r="19" spans="1:296" x14ac:dyDescent="0.3">
      <c r="A19">
        <v>3</v>
      </c>
      <c r="B19">
        <v>1785942051.0999999</v>
      </c>
      <c r="C19">
        <v>481.59999990463263</v>
      </c>
      <c r="D19" t="s">
        <v>798</v>
      </c>
      <c r="E19" t="s">
        <v>799</v>
      </c>
      <c r="F19">
        <v>15</v>
      </c>
      <c r="H19">
        <v>1785942043.099999</v>
      </c>
      <c r="I19">
        <f t="shared" si="0"/>
        <v>2.1590705514688106E-3</v>
      </c>
      <c r="J19">
        <f t="shared" si="1"/>
        <v>2.1590705514688104</v>
      </c>
      <c r="K19">
        <f t="shared" si="2"/>
        <v>34.085887105523206</v>
      </c>
      <c r="L19">
        <f t="shared" si="3"/>
        <v>419.70212903225809</v>
      </c>
      <c r="M19">
        <f t="shared" si="4"/>
        <v>142.84021307473427</v>
      </c>
      <c r="N19">
        <f t="shared" si="5"/>
        <v>13.994823984330578</v>
      </c>
      <c r="O19">
        <f t="shared" si="6"/>
        <v>41.12047507645584</v>
      </c>
      <c r="P19">
        <f t="shared" si="7"/>
        <v>0.20731657801906214</v>
      </c>
      <c r="Q19">
        <f t="shared" si="8"/>
        <v>2.8902855070673734</v>
      </c>
      <c r="R19">
        <f t="shared" si="9"/>
        <v>0.19939535907577138</v>
      </c>
      <c r="S19">
        <f t="shared" si="10"/>
        <v>0.12530857228209236</v>
      </c>
      <c r="T19">
        <f t="shared" si="11"/>
        <v>319.78211485214911</v>
      </c>
      <c r="U19">
        <f t="shared" si="12"/>
        <v>26.959310247048641</v>
      </c>
      <c r="V19">
        <f t="shared" si="13"/>
        <v>24.988358064516131</v>
      </c>
      <c r="W19">
        <f t="shared" si="14"/>
        <v>3.1774713034192112</v>
      </c>
      <c r="X19">
        <f t="shared" si="15"/>
        <v>65.041122993784427</v>
      </c>
      <c r="Y19">
        <f t="shared" si="16"/>
        <v>2.145403531408884</v>
      </c>
      <c r="Z19">
        <f t="shared" si="17"/>
        <v>3.2985339622962946</v>
      </c>
      <c r="AA19">
        <f t="shared" si="18"/>
        <v>1.0320677720103273</v>
      </c>
      <c r="AB19">
        <f t="shared" si="19"/>
        <v>-95.215011319774547</v>
      </c>
      <c r="AC19">
        <f t="shared" si="20"/>
        <v>97.951639263859917</v>
      </c>
      <c r="AD19">
        <f t="shared" si="21"/>
        <v>7.1904166791793349</v>
      </c>
      <c r="AE19">
        <f t="shared" si="22"/>
        <v>329.70915947541386</v>
      </c>
      <c r="AF19">
        <f t="shared" si="23"/>
        <v>34.085887105523206</v>
      </c>
      <c r="AG19">
        <f t="shared" si="24"/>
        <v>2.1590705514688104</v>
      </c>
      <c r="AH19">
        <f t="shared" si="25"/>
        <v>34.032556540197696</v>
      </c>
      <c r="AI19">
        <v>471.09848800227638</v>
      </c>
      <c r="AJ19">
        <v>429.24195151515119</v>
      </c>
      <c r="AK19">
        <v>3.9581799244121189E-2</v>
      </c>
      <c r="AL19">
        <v>67.051249729708658</v>
      </c>
      <c r="AM19">
        <f t="shared" si="26"/>
        <v>2.2319128211258366</v>
      </c>
      <c r="AN19">
        <v>19.361580353232689</v>
      </c>
      <c r="AO19">
        <v>21.98049939393939</v>
      </c>
      <c r="AP19">
        <v>1.007059312458763E-4</v>
      </c>
      <c r="AQ19">
        <v>78.075614338988942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51945.193366823783</v>
      </c>
      <c r="AW19" t="s">
        <v>791</v>
      </c>
      <c r="AX19">
        <v>13187.8</v>
      </c>
      <c r="AY19">
        <v>842.64307290737111</v>
      </c>
      <c r="AZ19">
        <v>2516.38</v>
      </c>
      <c r="BA19">
        <f t="shared" si="30"/>
        <v>0.66513679455910035</v>
      </c>
      <c r="BB19">
        <v>-2.8380250201795221</v>
      </c>
      <c r="BC19" t="s">
        <v>800</v>
      </c>
      <c r="BD19">
        <v>13163.2</v>
      </c>
      <c r="BE19">
        <v>922.57935294117647</v>
      </c>
      <c r="BF19">
        <v>1113.3900000000001</v>
      </c>
      <c r="BG19">
        <f t="shared" si="31"/>
        <v>0.17137808589876291</v>
      </c>
      <c r="BH19">
        <v>0.5</v>
      </c>
      <c r="BI19">
        <f t="shared" si="32"/>
        <v>1680.3218901624034</v>
      </c>
      <c r="BJ19">
        <f t="shared" si="33"/>
        <v>34.085887105523206</v>
      </c>
      <c r="BK19">
        <f t="shared" si="34"/>
        <v>143.98517461491201</v>
      </c>
      <c r="BL19">
        <f t="shared" si="35"/>
        <v>2.1974308816588722E-2</v>
      </c>
      <c r="BM19">
        <f t="shared" si="36"/>
        <v>1.2601065215243534</v>
      </c>
      <c r="BN19">
        <f t="shared" si="37"/>
        <v>592.59129091252453</v>
      </c>
      <c r="BO19" t="s">
        <v>408</v>
      </c>
      <c r="BP19">
        <v>0</v>
      </c>
      <c r="BQ19">
        <f t="shared" si="38"/>
        <v>592.59129091252453</v>
      </c>
      <c r="BR19">
        <f t="shared" si="39"/>
        <v>0.4677594635190504</v>
      </c>
      <c r="BS19">
        <f t="shared" si="40"/>
        <v>0.36638079881794455</v>
      </c>
      <c r="BT19">
        <f t="shared" si="41"/>
        <v>0.72928487072028314</v>
      </c>
      <c r="BU19">
        <f t="shared" si="42"/>
        <v>0.7047564643034443</v>
      </c>
      <c r="BV19">
        <f t="shared" si="43"/>
        <v>0.83823806315671667</v>
      </c>
      <c r="BW19">
        <f t="shared" si="44"/>
        <v>0.23533376272179687</v>
      </c>
      <c r="BX19">
        <f t="shared" si="45"/>
        <v>0.76466623727820315</v>
      </c>
      <c r="DG19">
        <f t="shared" si="46"/>
        <v>2000.0267741935479</v>
      </c>
      <c r="DH19">
        <f t="shared" si="47"/>
        <v>1680.3218901624034</v>
      </c>
      <c r="DI19">
        <f t="shared" si="48"/>
        <v>0.84014969791589111</v>
      </c>
      <c r="DJ19">
        <f t="shared" si="49"/>
        <v>0.15988891697766988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1785942043.099999</v>
      </c>
      <c r="DQ19">
        <v>419.70212903225809</v>
      </c>
      <c r="DR19">
        <v>461.69441935483871</v>
      </c>
      <c r="DS19">
        <v>21.89737419354838</v>
      </c>
      <c r="DT19">
        <v>19.363112903225801</v>
      </c>
      <c r="DU19">
        <v>430.94296774193549</v>
      </c>
      <c r="DV19">
        <v>22.473374193548381</v>
      </c>
      <c r="DW19">
        <v>499.97825806451618</v>
      </c>
      <c r="DX19">
        <v>97.927016129032253</v>
      </c>
      <c r="DY19">
        <v>4.836267419354838E-2</v>
      </c>
      <c r="DZ19">
        <v>25.61697419354838</v>
      </c>
      <c r="EA19">
        <v>24.988358064516131</v>
      </c>
      <c r="EB19">
        <v>999.90000000000032</v>
      </c>
      <c r="EC19">
        <v>0</v>
      </c>
      <c r="ED19">
        <v>0</v>
      </c>
      <c r="EE19">
        <v>9984.8387096774186</v>
      </c>
      <c r="EF19">
        <v>0</v>
      </c>
      <c r="EG19">
        <v>26.734448387096769</v>
      </c>
      <c r="EH19">
        <v>-41.992270967741938</v>
      </c>
      <c r="EI19">
        <v>429.12883870967732</v>
      </c>
      <c r="EJ19">
        <v>470.81064516129032</v>
      </c>
      <c r="EK19">
        <v>2.604236129032258</v>
      </c>
      <c r="EL19">
        <v>461.69441935483871</v>
      </c>
      <c r="EM19">
        <v>19.363112903225801</v>
      </c>
      <c r="EN19">
        <v>2.151196774193548</v>
      </c>
      <c r="EO19">
        <v>1.8961719354838711</v>
      </c>
      <c r="EP19">
        <v>18.603435483870971</v>
      </c>
      <c r="EQ19">
        <v>16.602980645161288</v>
      </c>
      <c r="ER19">
        <v>2000.0267741935479</v>
      </c>
      <c r="ES19">
        <v>0.99499706451612946</v>
      </c>
      <c r="ET19">
        <v>5.0030119354838717E-3</v>
      </c>
      <c r="EU19">
        <v>0</v>
      </c>
      <c r="EV19">
        <v>922.44419354838715</v>
      </c>
      <c r="EW19">
        <v>5.0010700000000003</v>
      </c>
      <c r="EX19">
        <v>19388.348387096779</v>
      </c>
      <c r="EY19">
        <v>18241.854838709682</v>
      </c>
      <c r="EZ19">
        <v>38.243741935483861</v>
      </c>
      <c r="FA19">
        <v>38.725612903225787</v>
      </c>
      <c r="FB19">
        <v>38.747870967741918</v>
      </c>
      <c r="FC19">
        <v>38.37687096774193</v>
      </c>
      <c r="FD19">
        <v>39.459354838709658</v>
      </c>
      <c r="FE19">
        <v>1985.0467741935479</v>
      </c>
      <c r="FF19">
        <v>9.980000000000004</v>
      </c>
      <c r="FG19">
        <v>0</v>
      </c>
      <c r="FH19">
        <v>282.69999980926508</v>
      </c>
      <c r="FI19">
        <v>0</v>
      </c>
      <c r="FJ19">
        <v>922.57935294117647</v>
      </c>
      <c r="FK19">
        <v>3.0080882282606192</v>
      </c>
      <c r="FL19">
        <v>77.40196082392913</v>
      </c>
      <c r="FM19">
        <v>19388.094117647059</v>
      </c>
      <c r="FN19">
        <v>10</v>
      </c>
      <c r="FO19">
        <v>1785942072.0999999</v>
      </c>
      <c r="FP19" t="s">
        <v>801</v>
      </c>
      <c r="FQ19">
        <v>1785941820.5</v>
      </c>
      <c r="FR19">
        <v>1785942072.0999999</v>
      </c>
      <c r="FS19">
        <v>4</v>
      </c>
      <c r="FT19">
        <v>7.8E-2</v>
      </c>
      <c r="FU19">
        <v>-1E-3</v>
      </c>
      <c r="FV19">
        <v>-11.372</v>
      </c>
      <c r="FW19">
        <v>-0.57599999999999996</v>
      </c>
      <c r="FX19">
        <v>455</v>
      </c>
      <c r="FY19">
        <v>19</v>
      </c>
      <c r="FZ19">
        <v>0.19</v>
      </c>
      <c r="GA19">
        <v>0.11</v>
      </c>
      <c r="GB19">
        <v>419.69470967741938</v>
      </c>
      <c r="GC19">
        <v>-1.495161290409463E-2</v>
      </c>
      <c r="GD19">
        <v>4.4074858277181821E-2</v>
      </c>
      <c r="GE19">
        <v>-1</v>
      </c>
      <c r="GF19">
        <v>922.3447941176471</v>
      </c>
      <c r="GG19">
        <v>1.894163484697186</v>
      </c>
      <c r="GH19">
        <v>0.27050060121840103</v>
      </c>
      <c r="GI19">
        <v>1</v>
      </c>
      <c r="GJ19">
        <v>2.5967460975609762</v>
      </c>
      <c r="GK19">
        <v>0.12443017421602651</v>
      </c>
      <c r="GL19">
        <v>1.2557415237774721E-2</v>
      </c>
      <c r="GM19">
        <v>1</v>
      </c>
      <c r="GN19">
        <v>2</v>
      </c>
      <c r="GO19">
        <v>2</v>
      </c>
      <c r="GP19" t="s">
        <v>411</v>
      </c>
      <c r="GQ19">
        <v>3.1303800000000002</v>
      </c>
      <c r="GR19">
        <v>2.7244600000000001</v>
      </c>
      <c r="GS19">
        <v>9.4435699999999997E-2</v>
      </c>
      <c r="GT19">
        <v>0.100137</v>
      </c>
      <c r="GU19">
        <v>0.10921599999999999</v>
      </c>
      <c r="GV19">
        <v>9.8528599999999994E-2</v>
      </c>
      <c r="GW19">
        <v>22992.5</v>
      </c>
      <c r="GX19">
        <v>30385.8</v>
      </c>
      <c r="GY19">
        <v>27502.3</v>
      </c>
      <c r="GZ19">
        <v>34664.199999999997</v>
      </c>
      <c r="HA19">
        <v>35802.9</v>
      </c>
      <c r="HB19">
        <v>39274.6</v>
      </c>
      <c r="HC19">
        <v>40564.400000000001</v>
      </c>
      <c r="HD19">
        <v>43661.3</v>
      </c>
      <c r="HE19">
        <v>2.0558000000000001</v>
      </c>
      <c r="HF19">
        <v>2.0125999999999999</v>
      </c>
      <c r="HG19">
        <v>9.19402E-2</v>
      </c>
      <c r="HH19">
        <v>0</v>
      </c>
      <c r="HI19">
        <v>23.465299999999999</v>
      </c>
      <c r="HJ19">
        <v>999.9</v>
      </c>
      <c r="HK19">
        <v>79.900000000000006</v>
      </c>
      <c r="HL19">
        <v>23.9</v>
      </c>
      <c r="HM19">
        <v>24.290900000000001</v>
      </c>
      <c r="HN19">
        <v>60.692799999999998</v>
      </c>
      <c r="HO19">
        <v>2.06731</v>
      </c>
      <c r="HP19">
        <v>1</v>
      </c>
      <c r="HQ19">
        <v>-0.159329</v>
      </c>
      <c r="HR19">
        <v>-5.3986899999999997E-2</v>
      </c>
      <c r="HS19">
        <v>20.275400000000001</v>
      </c>
      <c r="HT19">
        <v>5.2112999999999996</v>
      </c>
      <c r="HU19">
        <v>11.902100000000001</v>
      </c>
      <c r="HV19">
        <v>4.9871999999999996</v>
      </c>
      <c r="HW19">
        <v>3.2706</v>
      </c>
      <c r="HX19">
        <v>9999</v>
      </c>
      <c r="HY19">
        <v>9999</v>
      </c>
      <c r="HZ19">
        <v>9999</v>
      </c>
      <c r="IA19">
        <v>999.9</v>
      </c>
      <c r="IB19">
        <v>1.86652</v>
      </c>
      <c r="IC19">
        <v>1.8620300000000001</v>
      </c>
      <c r="ID19">
        <v>1.86145</v>
      </c>
      <c r="IE19">
        <v>1.8609599999999999</v>
      </c>
      <c r="IF19">
        <v>1.8609899999999999</v>
      </c>
      <c r="IG19">
        <v>1.86182</v>
      </c>
      <c r="IH19">
        <v>1.8626400000000001</v>
      </c>
      <c r="II19">
        <v>1.86069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-11.241</v>
      </c>
      <c r="IX19">
        <v>-0.57599999999999996</v>
      </c>
      <c r="IY19">
        <v>-9.2345593971682494</v>
      </c>
      <c r="IZ19">
        <v>-5.6215304933332991E-3</v>
      </c>
      <c r="JA19">
        <v>2.3979931213773931E-6</v>
      </c>
      <c r="JB19">
        <v>-3.6297174575716598E-10</v>
      </c>
      <c r="JC19">
        <v>-0.85665213820268415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3.8</v>
      </c>
      <c r="JL19">
        <v>3.8</v>
      </c>
      <c r="JM19">
        <v>1.1914100000000001</v>
      </c>
      <c r="JN19">
        <v>2.4377399999999998</v>
      </c>
      <c r="JO19">
        <v>1.50024</v>
      </c>
      <c r="JP19">
        <v>2.2888199999999999</v>
      </c>
      <c r="JQ19">
        <v>1.4477500000000001</v>
      </c>
      <c r="JR19">
        <v>2.4682599999999999</v>
      </c>
      <c r="JS19">
        <v>28.7745</v>
      </c>
      <c r="JT19">
        <v>15.8132</v>
      </c>
      <c r="JU19">
        <v>18</v>
      </c>
      <c r="JV19">
        <v>526.64200000000005</v>
      </c>
      <c r="JW19">
        <v>518.85299999999995</v>
      </c>
      <c r="JX19">
        <v>24.147400000000001</v>
      </c>
      <c r="JY19">
        <v>25.261800000000001</v>
      </c>
      <c r="JZ19">
        <v>30.0002</v>
      </c>
      <c r="KA19">
        <v>25.2896</v>
      </c>
      <c r="KB19">
        <v>25.302600000000002</v>
      </c>
      <c r="KC19">
        <v>23.8217</v>
      </c>
      <c r="KD19">
        <v>31.408999999999999</v>
      </c>
      <c r="KE19">
        <v>98.886300000000006</v>
      </c>
      <c r="KF19">
        <v>24.153600000000001</v>
      </c>
      <c r="KG19">
        <v>461.899</v>
      </c>
      <c r="KH19">
        <v>19.269200000000001</v>
      </c>
      <c r="KI19">
        <v>101.43</v>
      </c>
      <c r="KJ19">
        <v>98.550299999999993</v>
      </c>
    </row>
    <row r="20" spans="1:296" x14ac:dyDescent="0.3">
      <c r="A20">
        <v>4</v>
      </c>
      <c r="B20">
        <v>1785942253.0999999</v>
      </c>
      <c r="C20">
        <v>683.59999990463257</v>
      </c>
      <c r="D20" t="s">
        <v>802</v>
      </c>
      <c r="E20" t="s">
        <v>803</v>
      </c>
      <c r="F20">
        <v>15</v>
      </c>
      <c r="H20">
        <v>1785942245.349999</v>
      </c>
      <c r="I20">
        <f t="shared" si="0"/>
        <v>2.3959900301032898E-3</v>
      </c>
      <c r="J20">
        <f t="shared" si="1"/>
        <v>2.3959900301032899</v>
      </c>
      <c r="K20">
        <f t="shared" si="2"/>
        <v>35.58365480676656</v>
      </c>
      <c r="L20">
        <f t="shared" si="3"/>
        <v>419.83940000000001</v>
      </c>
      <c r="M20">
        <f t="shared" si="4"/>
        <v>159.49797609275632</v>
      </c>
      <c r="N20">
        <f t="shared" si="5"/>
        <v>15.626670874831582</v>
      </c>
      <c r="O20">
        <f t="shared" si="6"/>
        <v>41.133387926323188</v>
      </c>
      <c r="P20">
        <f t="shared" si="7"/>
        <v>0.23140962762424147</v>
      </c>
      <c r="Q20">
        <f t="shared" si="8"/>
        <v>2.8941853644020266</v>
      </c>
      <c r="R20">
        <f t="shared" si="9"/>
        <v>0.22159985106824853</v>
      </c>
      <c r="S20">
        <f t="shared" si="10"/>
        <v>0.139346622411822</v>
      </c>
      <c r="T20">
        <f t="shared" si="11"/>
        <v>271.90176702936589</v>
      </c>
      <c r="U20">
        <f t="shared" si="12"/>
        <v>26.595080266582102</v>
      </c>
      <c r="V20">
        <f t="shared" si="13"/>
        <v>25.01879666666667</v>
      </c>
      <c r="W20">
        <f t="shared" si="14"/>
        <v>3.1832426096818085</v>
      </c>
      <c r="X20">
        <f t="shared" si="15"/>
        <v>65.320021616549155</v>
      </c>
      <c r="Y20">
        <f t="shared" si="16"/>
        <v>2.1527705594286846</v>
      </c>
      <c r="Z20">
        <f t="shared" si="17"/>
        <v>3.2957284859245504</v>
      </c>
      <c r="AA20">
        <f t="shared" si="18"/>
        <v>1.0304720502531239</v>
      </c>
      <c r="AB20">
        <f t="shared" si="19"/>
        <v>-105.66316032755508</v>
      </c>
      <c r="AC20">
        <f t="shared" si="20"/>
        <v>91.097326666116231</v>
      </c>
      <c r="AD20">
        <f t="shared" si="21"/>
        <v>6.6787852514682884</v>
      </c>
      <c r="AE20">
        <f t="shared" si="22"/>
        <v>264.01471861939535</v>
      </c>
      <c r="AF20">
        <f t="shared" si="23"/>
        <v>35.58365480676656</v>
      </c>
      <c r="AG20">
        <f t="shared" si="24"/>
        <v>2.3959900301032899</v>
      </c>
      <c r="AH20">
        <f t="shared" si="25"/>
        <v>35.510133834539864</v>
      </c>
      <c r="AI20">
        <v>472.64216622503972</v>
      </c>
      <c r="AJ20">
        <v>429.27130909090903</v>
      </c>
      <c r="AK20">
        <v>-1.383681482991788E-2</v>
      </c>
      <c r="AL20">
        <v>67.040942699578437</v>
      </c>
      <c r="AM20">
        <f t="shared" si="26"/>
        <v>2.3955015510082056</v>
      </c>
      <c r="AN20">
        <v>19.160540412613429</v>
      </c>
      <c r="AO20">
        <v>21.972329696969702</v>
      </c>
      <c r="AP20">
        <v>-6.3132755120942261E-5</v>
      </c>
      <c r="AQ20">
        <v>77.889355099623359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52059.344929730534</v>
      </c>
      <c r="AW20" t="s">
        <v>791</v>
      </c>
      <c r="AX20">
        <v>13187.8</v>
      </c>
      <c r="AY20">
        <v>842.64307290737111</v>
      </c>
      <c r="AZ20">
        <v>2516.38</v>
      </c>
      <c r="BA20">
        <f t="shared" si="30"/>
        <v>0.66513679455910035</v>
      </c>
      <c r="BB20">
        <v>-2.8380250201795221</v>
      </c>
      <c r="BC20" t="s">
        <v>804</v>
      </c>
      <c r="BD20">
        <v>13181</v>
      </c>
      <c r="BE20">
        <v>925.33611764705893</v>
      </c>
      <c r="BF20">
        <v>1179.52</v>
      </c>
      <c r="BG20">
        <f t="shared" si="31"/>
        <v>0.21549772988414018</v>
      </c>
      <c r="BH20">
        <v>0.5</v>
      </c>
      <c r="BI20">
        <f t="shared" si="32"/>
        <v>1428.2678598079617</v>
      </c>
      <c r="BJ20">
        <f t="shared" si="33"/>
        <v>35.58365480676656</v>
      </c>
      <c r="BK20">
        <f t="shared" si="34"/>
        <v>153.89424072754755</v>
      </c>
      <c r="BL20">
        <f t="shared" si="35"/>
        <v>2.6900892268283683E-2</v>
      </c>
      <c r="BM20">
        <f t="shared" si="36"/>
        <v>1.1333932447097126</v>
      </c>
      <c r="BN20">
        <f t="shared" si="37"/>
        <v>610.81820446234394</v>
      </c>
      <c r="BO20" t="s">
        <v>408</v>
      </c>
      <c r="BP20">
        <v>0</v>
      </c>
      <c r="BQ20">
        <f t="shared" si="38"/>
        <v>610.81820446234394</v>
      </c>
      <c r="BR20">
        <f t="shared" si="39"/>
        <v>0.48214680169700896</v>
      </c>
      <c r="BS20">
        <f t="shared" si="40"/>
        <v>0.44695459790597852</v>
      </c>
      <c r="BT20">
        <f t="shared" si="41"/>
        <v>0.70155688633692603</v>
      </c>
      <c r="BU20">
        <f t="shared" si="42"/>
        <v>0.75453039941512456</v>
      </c>
      <c r="BV20">
        <f t="shared" si="43"/>
        <v>0.7987276724079917</v>
      </c>
      <c r="BW20">
        <f t="shared" si="44"/>
        <v>0.29503658158650758</v>
      </c>
      <c r="BX20">
        <f t="shared" si="45"/>
        <v>0.70496341841349242</v>
      </c>
      <c r="DG20">
        <f t="shared" si="46"/>
        <v>1699.955666666667</v>
      </c>
      <c r="DH20">
        <f t="shared" si="47"/>
        <v>1428.2678598079617</v>
      </c>
      <c r="DI20">
        <f t="shared" si="48"/>
        <v>0.84017947515570202</v>
      </c>
      <c r="DJ20">
        <f t="shared" si="49"/>
        <v>0.15994638705050496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1785942245.349999</v>
      </c>
      <c r="DQ20">
        <v>419.83940000000001</v>
      </c>
      <c r="DR20">
        <v>463.74630000000002</v>
      </c>
      <c r="DS20">
        <v>21.97285333333333</v>
      </c>
      <c r="DT20">
        <v>19.160879999999999</v>
      </c>
      <c r="DU20">
        <v>431.17153333333329</v>
      </c>
      <c r="DV20">
        <v>22.478546666666659</v>
      </c>
      <c r="DW20">
        <v>500.00686666666672</v>
      </c>
      <c r="DX20">
        <v>97.92589333333332</v>
      </c>
      <c r="DY20">
        <v>4.8208016666666652E-2</v>
      </c>
      <c r="DZ20">
        <v>25.602636666666669</v>
      </c>
      <c r="EA20">
        <v>25.01879666666667</v>
      </c>
      <c r="EB20">
        <v>999.9000000000002</v>
      </c>
      <c r="EC20">
        <v>0</v>
      </c>
      <c r="ED20">
        <v>0</v>
      </c>
      <c r="EE20">
        <v>10007.33333333333</v>
      </c>
      <c r="EF20">
        <v>0</v>
      </c>
      <c r="EG20">
        <v>26.704433333333331</v>
      </c>
      <c r="EH20">
        <v>-43.906979999999997</v>
      </c>
      <c r="EI20">
        <v>429.27159999999998</v>
      </c>
      <c r="EJ20">
        <v>472.80560000000003</v>
      </c>
      <c r="EK20">
        <v>2.8119710000000002</v>
      </c>
      <c r="EL20">
        <v>463.74630000000002</v>
      </c>
      <c r="EM20">
        <v>19.160879999999999</v>
      </c>
      <c r="EN20">
        <v>2.1517106666666659</v>
      </c>
      <c r="EO20">
        <v>1.876346333333333</v>
      </c>
      <c r="EP20">
        <v>18.60725333333334</v>
      </c>
      <c r="EQ20">
        <v>16.437750000000001</v>
      </c>
      <c r="ER20">
        <v>1699.955666666667</v>
      </c>
      <c r="ES20">
        <v>0.9940024000000004</v>
      </c>
      <c r="ET20">
        <v>5.9979103333333309E-3</v>
      </c>
      <c r="EU20">
        <v>0</v>
      </c>
      <c r="EV20">
        <v>925.25999999999988</v>
      </c>
      <c r="EW20">
        <v>5.0010700000000003</v>
      </c>
      <c r="EX20">
        <v>16526.35333333334</v>
      </c>
      <c r="EY20">
        <v>15492.123333333329</v>
      </c>
      <c r="EZ20">
        <v>36.828866666666663</v>
      </c>
      <c r="FA20">
        <v>37.957999999999977</v>
      </c>
      <c r="FB20">
        <v>37.587199999999989</v>
      </c>
      <c r="FC20">
        <v>37.449599999999997</v>
      </c>
      <c r="FD20">
        <v>38.307866666666662</v>
      </c>
      <c r="FE20">
        <v>1684.785666666666</v>
      </c>
      <c r="FF20">
        <v>10.17</v>
      </c>
      <c r="FG20">
        <v>0</v>
      </c>
      <c r="FH20">
        <v>201.0999999046326</v>
      </c>
      <c r="FI20">
        <v>0</v>
      </c>
      <c r="FJ20">
        <v>925.33611764705893</v>
      </c>
      <c r="FK20">
        <v>5.6372500408774999E-2</v>
      </c>
      <c r="FL20">
        <v>8.2598038941455094</v>
      </c>
      <c r="FM20">
        <v>16527.21176470588</v>
      </c>
      <c r="FN20">
        <v>10</v>
      </c>
      <c r="FO20">
        <v>1785942152.0999999</v>
      </c>
      <c r="FP20" t="s">
        <v>805</v>
      </c>
      <c r="FQ20">
        <v>1785942148.5999999</v>
      </c>
      <c r="FR20">
        <v>1785942152.0999999</v>
      </c>
      <c r="FS20">
        <v>5</v>
      </c>
      <c r="FT20">
        <v>-9.0999999999999998E-2</v>
      </c>
      <c r="FU20">
        <v>2E-3</v>
      </c>
      <c r="FV20">
        <v>-11.488</v>
      </c>
      <c r="FW20">
        <v>-0.57399999999999995</v>
      </c>
      <c r="FX20">
        <v>462</v>
      </c>
      <c r="FY20">
        <v>19</v>
      </c>
      <c r="FZ20">
        <v>0.17</v>
      </c>
      <c r="GA20">
        <v>0.08</v>
      </c>
      <c r="GB20">
        <v>419.83954838709678</v>
      </c>
      <c r="GC20">
        <v>0.26462903225740669</v>
      </c>
      <c r="GD20">
        <v>6.0664513041480822E-2</v>
      </c>
      <c r="GE20">
        <v>-1</v>
      </c>
      <c r="GF20">
        <v>925.16208823529405</v>
      </c>
      <c r="GG20">
        <v>1.7162872360063399</v>
      </c>
      <c r="GH20">
        <v>0.27774939695461898</v>
      </c>
      <c r="GI20">
        <v>1</v>
      </c>
      <c r="GJ20">
        <v>2.8135256097560979</v>
      </c>
      <c r="GK20">
        <v>-3.5362996515676488E-2</v>
      </c>
      <c r="GL20">
        <v>4.5263268092676284E-3</v>
      </c>
      <c r="GM20">
        <v>1</v>
      </c>
      <c r="GN20">
        <v>2</v>
      </c>
      <c r="GO20">
        <v>2</v>
      </c>
      <c r="GP20" t="s">
        <v>411</v>
      </c>
      <c r="GQ20">
        <v>3.13226</v>
      </c>
      <c r="GR20">
        <v>2.72424</v>
      </c>
      <c r="GS20">
        <v>9.4443200000000005E-2</v>
      </c>
      <c r="GT20">
        <v>0.100455</v>
      </c>
      <c r="GU20">
        <v>0.109144</v>
      </c>
      <c r="GV20">
        <v>9.77904E-2</v>
      </c>
      <c r="GW20">
        <v>22987.9</v>
      </c>
      <c r="GX20">
        <v>30374.3</v>
      </c>
      <c r="GY20">
        <v>27497.5</v>
      </c>
      <c r="GZ20">
        <v>34664</v>
      </c>
      <c r="HA20">
        <v>35801.199999999997</v>
      </c>
      <c r="HB20">
        <v>39309.5</v>
      </c>
      <c r="HC20">
        <v>40558.699999999997</v>
      </c>
      <c r="HD20">
        <v>43663.9</v>
      </c>
      <c r="HE20">
        <v>2.0577999999999999</v>
      </c>
      <c r="HF20">
        <v>2.0074000000000001</v>
      </c>
      <c r="HG20">
        <v>7.8678100000000001E-2</v>
      </c>
      <c r="HH20">
        <v>0</v>
      </c>
      <c r="HI20">
        <v>23.7273</v>
      </c>
      <c r="HJ20">
        <v>999.9</v>
      </c>
      <c r="HK20">
        <v>79.400000000000006</v>
      </c>
      <c r="HL20">
        <v>24</v>
      </c>
      <c r="HM20">
        <v>24.285699999999999</v>
      </c>
      <c r="HN20">
        <v>60.382800000000003</v>
      </c>
      <c r="HO20">
        <v>2.0352600000000001</v>
      </c>
      <c r="HP20">
        <v>1</v>
      </c>
      <c r="HQ20">
        <v>-0.15138199999999999</v>
      </c>
      <c r="HR20">
        <v>0.25764700000000001</v>
      </c>
      <c r="HS20">
        <v>20.2776</v>
      </c>
      <c r="HT20">
        <v>5.2148899999999996</v>
      </c>
      <c r="HU20">
        <v>11.902100000000001</v>
      </c>
      <c r="HV20">
        <v>4.9867999999999997</v>
      </c>
      <c r="HW20">
        <v>3.2704</v>
      </c>
      <c r="HX20">
        <v>9999</v>
      </c>
      <c r="HY20">
        <v>9999</v>
      </c>
      <c r="HZ20">
        <v>9999</v>
      </c>
      <c r="IA20">
        <v>999.9</v>
      </c>
      <c r="IB20">
        <v>1.8665799999999999</v>
      </c>
      <c r="IC20">
        <v>1.8620300000000001</v>
      </c>
      <c r="ID20">
        <v>1.86151</v>
      </c>
      <c r="IE20">
        <v>1.8609599999999999</v>
      </c>
      <c r="IF20">
        <v>1.8609899999999999</v>
      </c>
      <c r="IG20">
        <v>1.86188</v>
      </c>
      <c r="IH20">
        <v>1.8626400000000001</v>
      </c>
      <c r="II20">
        <v>1.86066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-11.332000000000001</v>
      </c>
      <c r="IX20">
        <v>-0.50580000000000003</v>
      </c>
      <c r="IY20">
        <v>-9.3251165960613758</v>
      </c>
      <c r="IZ20">
        <v>-5.6215304933332991E-3</v>
      </c>
      <c r="JA20">
        <v>2.3979931213773931E-6</v>
      </c>
      <c r="JB20">
        <v>-3.6297174575716598E-10</v>
      </c>
      <c r="JC20">
        <v>-0.85645604158786104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1.7</v>
      </c>
      <c r="JL20">
        <v>1.7</v>
      </c>
      <c r="JM20">
        <v>1.1950700000000001</v>
      </c>
      <c r="JN20">
        <v>2.4426299999999999</v>
      </c>
      <c r="JO20">
        <v>1.50024</v>
      </c>
      <c r="JP20">
        <v>2.2888199999999999</v>
      </c>
      <c r="JQ20">
        <v>1.4477500000000001</v>
      </c>
      <c r="JR20">
        <v>2.4475099999999999</v>
      </c>
      <c r="JS20">
        <v>28.901299999999999</v>
      </c>
      <c r="JT20">
        <v>15.786899999999999</v>
      </c>
      <c r="JU20">
        <v>18</v>
      </c>
      <c r="JV20">
        <v>528.70100000000002</v>
      </c>
      <c r="JW20">
        <v>516.13400000000001</v>
      </c>
      <c r="JX20">
        <v>23.9999</v>
      </c>
      <c r="JY20">
        <v>25.357600000000001</v>
      </c>
      <c r="JZ20">
        <v>30.000399999999999</v>
      </c>
      <c r="KA20">
        <v>25.3766</v>
      </c>
      <c r="KB20">
        <v>25.389299999999999</v>
      </c>
      <c r="KC20">
        <v>23.905100000000001</v>
      </c>
      <c r="KD20">
        <v>31.790900000000001</v>
      </c>
      <c r="KE20">
        <v>99.257400000000004</v>
      </c>
      <c r="KF20">
        <v>23.985299999999999</v>
      </c>
      <c r="KG20">
        <v>463.834</v>
      </c>
      <c r="KH20">
        <v>19.2026</v>
      </c>
      <c r="KI20">
        <v>101.414</v>
      </c>
      <c r="KJ20">
        <v>98.553299999999993</v>
      </c>
    </row>
    <row r="21" spans="1:296" x14ac:dyDescent="0.3">
      <c r="A21">
        <v>5</v>
      </c>
      <c r="B21">
        <v>1785942434.5999999</v>
      </c>
      <c r="C21">
        <v>865.09999990463257</v>
      </c>
      <c r="D21" t="s">
        <v>806</v>
      </c>
      <c r="E21" t="s">
        <v>807</v>
      </c>
      <c r="F21">
        <v>15</v>
      </c>
      <c r="H21">
        <v>1785942426.599999</v>
      </c>
      <c r="I21">
        <f t="shared" si="0"/>
        <v>2.4423285831653525E-3</v>
      </c>
      <c r="J21">
        <f t="shared" si="1"/>
        <v>2.4423285831653523</v>
      </c>
      <c r="K21">
        <f t="shared" si="2"/>
        <v>36.359690002929334</v>
      </c>
      <c r="L21">
        <f t="shared" si="3"/>
        <v>419.8949032258065</v>
      </c>
      <c r="M21">
        <f t="shared" si="4"/>
        <v>155.06719379481402</v>
      </c>
      <c r="N21">
        <f t="shared" si="5"/>
        <v>15.191565204715053</v>
      </c>
      <c r="O21">
        <f t="shared" si="6"/>
        <v>41.136107808353771</v>
      </c>
      <c r="P21">
        <f t="shared" si="7"/>
        <v>0.23244979035974397</v>
      </c>
      <c r="Q21">
        <f t="shared" si="8"/>
        <v>2.8923959338022831</v>
      </c>
      <c r="R21">
        <f t="shared" si="9"/>
        <v>0.2225478129726445</v>
      </c>
      <c r="S21">
        <f t="shared" si="10"/>
        <v>0.13994688571092215</v>
      </c>
      <c r="T21">
        <f t="shared" si="11"/>
        <v>255.90968411323334</v>
      </c>
      <c r="U21">
        <f t="shared" si="12"/>
        <v>26.490866248888622</v>
      </c>
      <c r="V21">
        <f t="shared" si="13"/>
        <v>25.01903870967741</v>
      </c>
      <c r="W21">
        <f t="shared" si="14"/>
        <v>3.1832885388935064</v>
      </c>
      <c r="X21">
        <f t="shared" si="15"/>
        <v>64.840712279280922</v>
      </c>
      <c r="Y21">
        <f t="shared" si="16"/>
        <v>2.1373480539217562</v>
      </c>
      <c r="Z21">
        <f t="shared" si="17"/>
        <v>3.2963056369828321</v>
      </c>
      <c r="AA21">
        <f t="shared" si="18"/>
        <v>1.0459404849717502</v>
      </c>
      <c r="AB21">
        <f t="shared" si="19"/>
        <v>-107.70669051759205</v>
      </c>
      <c r="AC21">
        <f t="shared" si="20"/>
        <v>91.463334515174864</v>
      </c>
      <c r="AD21">
        <f t="shared" si="21"/>
        <v>6.7098753729830571</v>
      </c>
      <c r="AE21">
        <f t="shared" si="22"/>
        <v>246.37620348379923</v>
      </c>
      <c r="AF21">
        <f t="shared" si="23"/>
        <v>36.359690002929334</v>
      </c>
      <c r="AG21">
        <f t="shared" si="24"/>
        <v>2.4423285831653523</v>
      </c>
      <c r="AH21">
        <f t="shared" si="25"/>
        <v>36.373618043862031</v>
      </c>
      <c r="AI21">
        <v>473.823394827122</v>
      </c>
      <c r="AJ21">
        <v>429.2896545454542</v>
      </c>
      <c r="AK21">
        <v>7.2678486794768354E-3</v>
      </c>
      <c r="AL21">
        <v>67.041650773118832</v>
      </c>
      <c r="AM21">
        <f t="shared" si="26"/>
        <v>2.4499213185933288</v>
      </c>
      <c r="AN21">
        <v>18.950782047715592</v>
      </c>
      <c r="AO21">
        <v>21.826482424242421</v>
      </c>
      <c r="AP21">
        <v>4.6858224798800117E-5</v>
      </c>
      <c r="AQ21">
        <v>77.918837650851273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52007.430461784112</v>
      </c>
      <c r="AW21" t="s">
        <v>791</v>
      </c>
      <c r="AX21">
        <v>13187.8</v>
      </c>
      <c r="AY21">
        <v>842.64307290737111</v>
      </c>
      <c r="AZ21">
        <v>2516.38</v>
      </c>
      <c r="BA21">
        <f t="shared" si="30"/>
        <v>0.66513679455910035</v>
      </c>
      <c r="BB21">
        <v>-2.8380250201795221</v>
      </c>
      <c r="BC21" t="s">
        <v>808</v>
      </c>
      <c r="BD21">
        <v>13162.1</v>
      </c>
      <c r="BE21">
        <v>921.81582352941166</v>
      </c>
      <c r="BF21">
        <v>1203.93</v>
      </c>
      <c r="BG21">
        <f t="shared" si="31"/>
        <v>0.2343277237634982</v>
      </c>
      <c r="BH21">
        <v>0.5</v>
      </c>
      <c r="BI21">
        <f t="shared" si="32"/>
        <v>1344.2633127111858</v>
      </c>
      <c r="BJ21">
        <f t="shared" si="33"/>
        <v>36.359690002929334</v>
      </c>
      <c r="BK21">
        <f t="shared" si="34"/>
        <v>157.49908110319586</v>
      </c>
      <c r="BL21">
        <f t="shared" si="35"/>
        <v>2.9159253735827024E-2</v>
      </c>
      <c r="BM21">
        <f t="shared" si="36"/>
        <v>1.0901381309544576</v>
      </c>
      <c r="BN21">
        <f t="shared" si="37"/>
        <v>617.29961018816221</v>
      </c>
      <c r="BO21" t="s">
        <v>408</v>
      </c>
      <c r="BP21">
        <v>0</v>
      </c>
      <c r="BQ21">
        <f t="shared" si="38"/>
        <v>617.29961018816221</v>
      </c>
      <c r="BR21">
        <f t="shared" si="39"/>
        <v>0.48726287226984777</v>
      </c>
      <c r="BS21">
        <f t="shared" si="40"/>
        <v>0.48090617426259957</v>
      </c>
      <c r="BT21">
        <f t="shared" si="41"/>
        <v>0.69109765286452063</v>
      </c>
      <c r="BU21">
        <f t="shared" si="42"/>
        <v>0.78085907713527158</v>
      </c>
      <c r="BV21">
        <f t="shared" si="43"/>
        <v>0.78414354057408309</v>
      </c>
      <c r="BW21">
        <f t="shared" si="44"/>
        <v>0.3220417640182886</v>
      </c>
      <c r="BX21">
        <f t="shared" si="45"/>
        <v>0.67795823598171134</v>
      </c>
      <c r="DG21">
        <f t="shared" si="46"/>
        <v>1599.9716129032261</v>
      </c>
      <c r="DH21">
        <f t="shared" si="47"/>
        <v>1344.2633127111858</v>
      </c>
      <c r="DI21">
        <f t="shared" si="48"/>
        <v>0.84017947685456418</v>
      </c>
      <c r="DJ21">
        <f t="shared" si="49"/>
        <v>0.15994639032930891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1785942426.599999</v>
      </c>
      <c r="DQ21">
        <v>419.8949032258065</v>
      </c>
      <c r="DR21">
        <v>464.76106451612912</v>
      </c>
      <c r="DS21">
        <v>21.816880645161291</v>
      </c>
      <c r="DT21">
        <v>18.949777419354842</v>
      </c>
      <c r="DU21">
        <v>431.20212903225797</v>
      </c>
      <c r="DV21">
        <v>22.326983870967741</v>
      </c>
      <c r="DW21">
        <v>499.95645161290321</v>
      </c>
      <c r="DX21">
        <v>97.919216129032236</v>
      </c>
      <c r="DY21">
        <v>4.8412180645161298E-2</v>
      </c>
      <c r="DZ21">
        <v>25.60558709677419</v>
      </c>
      <c r="EA21">
        <v>25.01903870967741</v>
      </c>
      <c r="EB21">
        <v>999.90000000000032</v>
      </c>
      <c r="EC21">
        <v>0</v>
      </c>
      <c r="ED21">
        <v>0</v>
      </c>
      <c r="EE21">
        <v>9997.7419354838712</v>
      </c>
      <c r="EF21">
        <v>0</v>
      </c>
      <c r="EG21">
        <v>23.675438709677419</v>
      </c>
      <c r="EH21">
        <v>-44.866038709677433</v>
      </c>
      <c r="EI21">
        <v>429.26012903225808</v>
      </c>
      <c r="EJ21">
        <v>473.73829032258061</v>
      </c>
      <c r="EK21">
        <v>2.867111612903225</v>
      </c>
      <c r="EL21">
        <v>464.76106451612912</v>
      </c>
      <c r="EM21">
        <v>18.949777419354842</v>
      </c>
      <c r="EN21">
        <v>2.1362929032258071</v>
      </c>
      <c r="EO21">
        <v>1.855547741935484</v>
      </c>
      <c r="EP21">
        <v>18.492393548387099</v>
      </c>
      <c r="EQ21">
        <v>16.26274193548387</v>
      </c>
      <c r="ER21">
        <v>1599.9716129032261</v>
      </c>
      <c r="ES21">
        <v>0.99399877419354821</v>
      </c>
      <c r="ET21">
        <v>6.0010441935483862E-3</v>
      </c>
      <c r="EU21">
        <v>0</v>
      </c>
      <c r="EV21">
        <v>921.96280645161301</v>
      </c>
      <c r="EW21">
        <v>5.0010700000000003</v>
      </c>
      <c r="EX21">
        <v>15564.309677419349</v>
      </c>
      <c r="EY21">
        <v>14578.222580645161</v>
      </c>
      <c r="EZ21">
        <v>38.175161290322571</v>
      </c>
      <c r="FA21">
        <v>39.917032258064502</v>
      </c>
      <c r="FB21">
        <v>38.733645161290312</v>
      </c>
      <c r="FC21">
        <v>40.376774193548378</v>
      </c>
      <c r="FD21">
        <v>39.955387096774167</v>
      </c>
      <c r="FE21">
        <v>1585.3996774193549</v>
      </c>
      <c r="FF21">
        <v>9.5719354838709645</v>
      </c>
      <c r="FG21">
        <v>0</v>
      </c>
      <c r="FH21">
        <v>180.9000000953674</v>
      </c>
      <c r="FI21">
        <v>0</v>
      </c>
      <c r="FJ21">
        <v>921.81582352941166</v>
      </c>
      <c r="FK21">
        <v>-2.2747548862303222</v>
      </c>
      <c r="FL21">
        <v>13.602941333345679</v>
      </c>
      <c r="FM21">
        <v>15564.5</v>
      </c>
      <c r="FN21">
        <v>10</v>
      </c>
      <c r="FO21">
        <v>1785942314.0999999</v>
      </c>
      <c r="FP21" t="s">
        <v>809</v>
      </c>
      <c r="FQ21">
        <v>1785942311.5999999</v>
      </c>
      <c r="FR21">
        <v>1785942314.0999999</v>
      </c>
      <c r="FS21">
        <v>6</v>
      </c>
      <c r="FT21">
        <v>2.5000000000000001E-2</v>
      </c>
      <c r="FU21">
        <v>0</v>
      </c>
      <c r="FV21">
        <v>-11.47</v>
      </c>
      <c r="FW21">
        <v>-0.57699999999999996</v>
      </c>
      <c r="FX21">
        <v>464</v>
      </c>
      <c r="FY21">
        <v>19</v>
      </c>
      <c r="FZ21">
        <v>0.17</v>
      </c>
      <c r="GA21">
        <v>0.08</v>
      </c>
      <c r="GB21">
        <v>419.89656666666667</v>
      </c>
      <c r="GC21">
        <v>9.7575083427310888E-2</v>
      </c>
      <c r="GD21">
        <v>4.4843195941216239E-2</v>
      </c>
      <c r="GE21">
        <v>-1</v>
      </c>
      <c r="GF21">
        <v>922.08841176470582</v>
      </c>
      <c r="GG21">
        <v>-3.1820320879469701</v>
      </c>
      <c r="GH21">
        <v>0.36242493077852939</v>
      </c>
      <c r="GI21">
        <v>1</v>
      </c>
      <c r="GJ21">
        <v>2.86917475</v>
      </c>
      <c r="GK21">
        <v>-1.903891181988656E-2</v>
      </c>
      <c r="GL21">
        <v>6.0376684189759567E-3</v>
      </c>
      <c r="GM21">
        <v>1</v>
      </c>
      <c r="GN21">
        <v>2</v>
      </c>
      <c r="GO21">
        <v>2</v>
      </c>
      <c r="GP21" t="s">
        <v>411</v>
      </c>
      <c r="GQ21">
        <v>3.1310199999999999</v>
      </c>
      <c r="GR21">
        <v>2.7253599999999998</v>
      </c>
      <c r="GS21">
        <v>9.4408000000000006E-2</v>
      </c>
      <c r="GT21">
        <v>0.100581</v>
      </c>
      <c r="GU21">
        <v>0.10863</v>
      </c>
      <c r="GV21">
        <v>9.6986699999999995E-2</v>
      </c>
      <c r="GW21">
        <v>22984.799999999999</v>
      </c>
      <c r="GX21">
        <v>30366.3</v>
      </c>
      <c r="GY21">
        <v>27493.3</v>
      </c>
      <c r="GZ21">
        <v>34660.5</v>
      </c>
      <c r="HA21">
        <v>35818.9</v>
      </c>
      <c r="HB21">
        <v>39343.5</v>
      </c>
      <c r="HC21">
        <v>40554.300000000003</v>
      </c>
      <c r="HD21">
        <v>43662.2</v>
      </c>
      <c r="HE21">
        <v>2.0552000000000001</v>
      </c>
      <c r="HF21">
        <v>2.0055999999999998</v>
      </c>
      <c r="HG21">
        <v>7.4654799999999993E-2</v>
      </c>
      <c r="HH21">
        <v>0</v>
      </c>
      <c r="HI21">
        <v>23.8033</v>
      </c>
      <c r="HJ21">
        <v>999.9</v>
      </c>
      <c r="HK21">
        <v>79.099999999999994</v>
      </c>
      <c r="HL21">
        <v>24.1</v>
      </c>
      <c r="HM21">
        <v>24.340399999999999</v>
      </c>
      <c r="HN21">
        <v>60.552799999999998</v>
      </c>
      <c r="HO21">
        <v>2.2596099999999999</v>
      </c>
      <c r="HP21">
        <v>1</v>
      </c>
      <c r="HQ21">
        <v>-0.143618</v>
      </c>
      <c r="HR21">
        <v>0.204401</v>
      </c>
      <c r="HS21">
        <v>20.279800000000002</v>
      </c>
      <c r="HT21">
        <v>5.2160900000000003</v>
      </c>
      <c r="HU21">
        <v>11.902100000000001</v>
      </c>
      <c r="HV21">
        <v>4.9859999999999998</v>
      </c>
      <c r="HW21">
        <v>3.27</v>
      </c>
      <c r="HX21">
        <v>9999</v>
      </c>
      <c r="HY21">
        <v>9999</v>
      </c>
      <c r="HZ21">
        <v>9999</v>
      </c>
      <c r="IA21">
        <v>999.9</v>
      </c>
      <c r="IB21">
        <v>1.8666100000000001</v>
      </c>
      <c r="IC21">
        <v>1.8620300000000001</v>
      </c>
      <c r="ID21">
        <v>1.86154</v>
      </c>
      <c r="IE21">
        <v>1.8609899999999999</v>
      </c>
      <c r="IF21">
        <v>1.8610500000000001</v>
      </c>
      <c r="IG21">
        <v>1.86188</v>
      </c>
      <c r="IH21">
        <v>1.86267</v>
      </c>
      <c r="II21">
        <v>1.86066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-11.308</v>
      </c>
      <c r="IX21">
        <v>-0.50990000000000002</v>
      </c>
      <c r="IY21">
        <v>-9.2999681322897221</v>
      </c>
      <c r="IZ21">
        <v>-5.6215304933332991E-3</v>
      </c>
      <c r="JA21">
        <v>2.3979931213773931E-6</v>
      </c>
      <c r="JB21">
        <v>-3.6297174575716598E-10</v>
      </c>
      <c r="JC21">
        <v>-0.85681185399294613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2</v>
      </c>
      <c r="JL21">
        <v>2</v>
      </c>
      <c r="JM21">
        <v>1.1975100000000001</v>
      </c>
      <c r="JN21">
        <v>2.4426299999999999</v>
      </c>
      <c r="JO21">
        <v>1.50024</v>
      </c>
      <c r="JP21">
        <v>2.2888199999999999</v>
      </c>
      <c r="JQ21">
        <v>1.4477500000000001</v>
      </c>
      <c r="JR21">
        <v>2.3913600000000002</v>
      </c>
      <c r="JS21">
        <v>29.049399999999999</v>
      </c>
      <c r="JT21">
        <v>15.7606</v>
      </c>
      <c r="JU21">
        <v>18</v>
      </c>
      <c r="JV21">
        <v>527.93600000000004</v>
      </c>
      <c r="JW21">
        <v>515.76300000000003</v>
      </c>
      <c r="JX21">
        <v>24.096</v>
      </c>
      <c r="JY21">
        <v>25.4559</v>
      </c>
      <c r="JZ21">
        <v>30.0002</v>
      </c>
      <c r="KA21">
        <v>25.468299999999999</v>
      </c>
      <c r="KB21">
        <v>25.478400000000001</v>
      </c>
      <c r="KC21">
        <v>23.949400000000001</v>
      </c>
      <c r="KD21">
        <v>32.602899999999998</v>
      </c>
      <c r="KE21">
        <v>97.485200000000006</v>
      </c>
      <c r="KF21">
        <v>24.104199999999999</v>
      </c>
      <c r="KG21">
        <v>464.93599999999998</v>
      </c>
      <c r="KH21">
        <v>18.963899999999999</v>
      </c>
      <c r="KI21">
        <v>101.401</v>
      </c>
      <c r="KJ21">
        <v>98.546599999999998</v>
      </c>
    </row>
    <row r="22" spans="1:296" x14ac:dyDescent="0.3">
      <c r="A22">
        <v>6</v>
      </c>
      <c r="B22">
        <v>1785942616.0999999</v>
      </c>
      <c r="C22">
        <v>1046.599999904633</v>
      </c>
      <c r="D22" t="s">
        <v>810</v>
      </c>
      <c r="E22" t="s">
        <v>811</v>
      </c>
      <c r="F22">
        <v>15</v>
      </c>
      <c r="H22">
        <v>1785942608.099999</v>
      </c>
      <c r="I22">
        <f t="shared" si="0"/>
        <v>2.3870931204590098E-3</v>
      </c>
      <c r="J22">
        <f t="shared" si="1"/>
        <v>2.38709312045901</v>
      </c>
      <c r="K22">
        <f t="shared" si="2"/>
        <v>36.104004743687604</v>
      </c>
      <c r="L22">
        <f t="shared" si="3"/>
        <v>419.91129032258073</v>
      </c>
      <c r="M22">
        <f t="shared" si="4"/>
        <v>155.92083611452153</v>
      </c>
      <c r="N22">
        <f t="shared" si="5"/>
        <v>15.275620412947598</v>
      </c>
      <c r="O22">
        <f t="shared" si="6"/>
        <v>41.138860192921832</v>
      </c>
      <c r="P22">
        <f t="shared" si="7"/>
        <v>0.23144673331126392</v>
      </c>
      <c r="Q22">
        <f t="shared" si="8"/>
        <v>2.892945512095328</v>
      </c>
      <c r="R22">
        <f t="shared" si="9"/>
        <v>0.22162986849997937</v>
      </c>
      <c r="S22">
        <f t="shared" si="10"/>
        <v>0.13936597559118508</v>
      </c>
      <c r="T22">
        <f t="shared" si="11"/>
        <v>224.01165490254272</v>
      </c>
      <c r="U22">
        <f t="shared" si="12"/>
        <v>26.36449432589885</v>
      </c>
      <c r="V22">
        <f t="shared" si="13"/>
        <v>24.98494516129033</v>
      </c>
      <c r="W22">
        <f t="shared" si="14"/>
        <v>3.1768247709096116</v>
      </c>
      <c r="X22">
        <f t="shared" si="15"/>
        <v>65.041601099993201</v>
      </c>
      <c r="Y22">
        <f t="shared" si="16"/>
        <v>2.1503106587267808</v>
      </c>
      <c r="Z22">
        <f t="shared" si="17"/>
        <v>3.3060543134861504</v>
      </c>
      <c r="AA22">
        <f t="shared" si="18"/>
        <v>1.0265141121828307</v>
      </c>
      <c r="AB22">
        <f t="shared" si="19"/>
        <v>-105.27080661224234</v>
      </c>
      <c r="AC22">
        <f t="shared" si="20"/>
        <v>104.56009568525674</v>
      </c>
      <c r="AD22">
        <f t="shared" si="21"/>
        <v>7.6698212120898486</v>
      </c>
      <c r="AE22">
        <f t="shared" si="22"/>
        <v>230.97076518764698</v>
      </c>
      <c r="AF22">
        <f t="shared" si="23"/>
        <v>36.104004743687604</v>
      </c>
      <c r="AG22">
        <f t="shared" si="24"/>
        <v>2.38709312045901</v>
      </c>
      <c r="AH22">
        <f t="shared" si="25"/>
        <v>36.277464412172137</v>
      </c>
      <c r="AI22">
        <v>473.50564910110592</v>
      </c>
      <c r="AJ22">
        <v>429.28880606060602</v>
      </c>
      <c r="AK22">
        <v>-3.0950448718289138E-2</v>
      </c>
      <c r="AL22">
        <v>67.054008000252168</v>
      </c>
      <c r="AM22">
        <f t="shared" si="26"/>
        <v>2.3926867673774463</v>
      </c>
      <c r="AN22">
        <v>19.147475202715469</v>
      </c>
      <c r="AO22">
        <v>21.955836363636362</v>
      </c>
      <c r="AP22">
        <v>-5.2586119412435012E-5</v>
      </c>
      <c r="AQ22">
        <v>78.094777069380811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52014.554238682627</v>
      </c>
      <c r="AW22" t="s">
        <v>791</v>
      </c>
      <c r="AX22">
        <v>13187.8</v>
      </c>
      <c r="AY22">
        <v>842.64307290737111</v>
      </c>
      <c r="AZ22">
        <v>2516.38</v>
      </c>
      <c r="BA22">
        <f t="shared" si="30"/>
        <v>0.66513679455910035</v>
      </c>
      <c r="BB22">
        <v>-2.8380250201795221</v>
      </c>
      <c r="BC22" t="s">
        <v>812</v>
      </c>
      <c r="BD22">
        <v>13174.8</v>
      </c>
      <c r="BE22">
        <v>916.88799999999992</v>
      </c>
      <c r="BF22">
        <v>1254.31</v>
      </c>
      <c r="BG22">
        <f t="shared" si="31"/>
        <v>0.26901005333609718</v>
      </c>
      <c r="BH22">
        <v>0.5</v>
      </c>
      <c r="BI22">
        <f t="shared" si="32"/>
        <v>1176.322577803423</v>
      </c>
      <c r="BJ22">
        <f t="shared" si="33"/>
        <v>36.104004743687604</v>
      </c>
      <c r="BK22">
        <f t="shared" si="34"/>
        <v>158.22129969767707</v>
      </c>
      <c r="BL22">
        <f t="shared" si="35"/>
        <v>3.3104890188016767E-2</v>
      </c>
      <c r="BM22">
        <f t="shared" si="36"/>
        <v>1.0061866683674692</v>
      </c>
      <c r="BN22">
        <f t="shared" si="37"/>
        <v>630.27981189900663</v>
      </c>
      <c r="BO22" t="s">
        <v>408</v>
      </c>
      <c r="BP22">
        <v>0</v>
      </c>
      <c r="BQ22">
        <f t="shared" si="38"/>
        <v>630.27981189900663</v>
      </c>
      <c r="BR22">
        <f t="shared" si="39"/>
        <v>0.49750874034408821</v>
      </c>
      <c r="BS22">
        <f t="shared" si="40"/>
        <v>0.54071422574414219</v>
      </c>
      <c r="BT22">
        <f t="shared" si="41"/>
        <v>0.6691426086281802</v>
      </c>
      <c r="BU22">
        <f t="shared" si="42"/>
        <v>0.81964806447537863</v>
      </c>
      <c r="BV22">
        <f t="shared" si="43"/>
        <v>0.75404323079152202</v>
      </c>
      <c r="BW22">
        <f t="shared" si="44"/>
        <v>0.37169344619313915</v>
      </c>
      <c r="BX22">
        <f t="shared" si="45"/>
        <v>0.62830655380686085</v>
      </c>
      <c r="DG22">
        <f t="shared" si="46"/>
        <v>1400.0348387096769</v>
      </c>
      <c r="DH22">
        <f t="shared" si="47"/>
        <v>1176.322577803423</v>
      </c>
      <c r="DI22">
        <f t="shared" si="48"/>
        <v>0.84020950427745411</v>
      </c>
      <c r="DJ22">
        <f t="shared" si="49"/>
        <v>0.16000434325548643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1785942608.099999</v>
      </c>
      <c r="DQ22">
        <v>419.91129032258073</v>
      </c>
      <c r="DR22">
        <v>464.43661290322581</v>
      </c>
      <c r="DS22">
        <v>21.948583870967742</v>
      </c>
      <c r="DT22">
        <v>19.147090322580649</v>
      </c>
      <c r="DU22">
        <v>431.20793548387098</v>
      </c>
      <c r="DV22">
        <v>22.45547419354839</v>
      </c>
      <c r="DW22">
        <v>500.02609677419349</v>
      </c>
      <c r="DX22">
        <v>97.921677419354836</v>
      </c>
      <c r="DY22">
        <v>4.8682370967741952E-2</v>
      </c>
      <c r="DZ22">
        <v>25.65535483870968</v>
      </c>
      <c r="EA22">
        <v>24.98494516129033</v>
      </c>
      <c r="EB22">
        <v>999.90000000000032</v>
      </c>
      <c r="EC22">
        <v>0</v>
      </c>
      <c r="ED22">
        <v>0</v>
      </c>
      <c r="EE22">
        <v>10000.64516129032</v>
      </c>
      <c r="EF22">
        <v>0</v>
      </c>
      <c r="EG22">
        <v>18.339490322580641</v>
      </c>
      <c r="EH22">
        <v>-44.525461290322582</v>
      </c>
      <c r="EI22">
        <v>429.33451612903218</v>
      </c>
      <c r="EJ22">
        <v>473.50293548387089</v>
      </c>
      <c r="EK22">
        <v>2.8014903225806451</v>
      </c>
      <c r="EL22">
        <v>464.43661290322581</v>
      </c>
      <c r="EM22">
        <v>19.147090322580649</v>
      </c>
      <c r="EN22">
        <v>2.1492429032258071</v>
      </c>
      <c r="EO22">
        <v>1.874915483870967</v>
      </c>
      <c r="EP22">
        <v>18.588912903225811</v>
      </c>
      <c r="EQ22">
        <v>16.425777419354841</v>
      </c>
      <c r="ER22">
        <v>1400.0348387096769</v>
      </c>
      <c r="ES22">
        <v>0.99299306451612868</v>
      </c>
      <c r="ET22">
        <v>7.0071325806451623E-3</v>
      </c>
      <c r="EU22">
        <v>0</v>
      </c>
      <c r="EV22">
        <v>916.77206451612881</v>
      </c>
      <c r="EW22">
        <v>5.0010700000000003</v>
      </c>
      <c r="EX22">
        <v>13501.44193548387</v>
      </c>
      <c r="EY22">
        <v>12745.79354838709</v>
      </c>
      <c r="EZ22">
        <v>37.786096774193538</v>
      </c>
      <c r="FA22">
        <v>39.001741935483849</v>
      </c>
      <c r="FB22">
        <v>38.759806451612889</v>
      </c>
      <c r="FC22">
        <v>38.786032258064502</v>
      </c>
      <c r="FD22">
        <v>39.33041935483871</v>
      </c>
      <c r="FE22">
        <v>1385.254838709677</v>
      </c>
      <c r="FF22">
        <v>9.7770967741935433</v>
      </c>
      <c r="FG22">
        <v>0</v>
      </c>
      <c r="FH22">
        <v>180.70000004768369</v>
      </c>
      <c r="FI22">
        <v>0</v>
      </c>
      <c r="FJ22">
        <v>916.88799999999992</v>
      </c>
      <c r="FK22">
        <v>0.68774513971037987</v>
      </c>
      <c r="FL22">
        <v>-29.019607793955451</v>
      </c>
      <c r="FM22">
        <v>13499.9</v>
      </c>
      <c r="FN22">
        <v>10</v>
      </c>
      <c r="FO22">
        <v>1785942508.5999999</v>
      </c>
      <c r="FP22" t="s">
        <v>813</v>
      </c>
      <c r="FQ22">
        <v>1785942501.5999999</v>
      </c>
      <c r="FR22">
        <v>1785942508.5999999</v>
      </c>
      <c r="FS22">
        <v>7</v>
      </c>
      <c r="FT22">
        <v>1.0999999999999999E-2</v>
      </c>
      <c r="FU22">
        <v>0</v>
      </c>
      <c r="FV22">
        <v>-11.46</v>
      </c>
      <c r="FW22">
        <v>-0.57899999999999996</v>
      </c>
      <c r="FX22">
        <v>464</v>
      </c>
      <c r="FY22">
        <v>19</v>
      </c>
      <c r="FZ22">
        <v>0.26</v>
      </c>
      <c r="GA22">
        <v>0.08</v>
      </c>
      <c r="GB22">
        <v>419.91129032258073</v>
      </c>
      <c r="GC22">
        <v>5.9709677417594781E-2</v>
      </c>
      <c r="GD22">
        <v>6.8686381027145305E-2</v>
      </c>
      <c r="GE22">
        <v>-1</v>
      </c>
      <c r="GF22">
        <v>916.67279411764707</v>
      </c>
      <c r="GG22">
        <v>2.1756302563724552</v>
      </c>
      <c r="GH22">
        <v>0.29819355926801572</v>
      </c>
      <c r="GI22">
        <v>1</v>
      </c>
      <c r="GJ22">
        <v>2.802090487804878</v>
      </c>
      <c r="GK22">
        <v>2.0362369337979971E-3</v>
      </c>
      <c r="GL22">
        <v>3.219932548316002E-3</v>
      </c>
      <c r="GM22">
        <v>1</v>
      </c>
      <c r="GN22">
        <v>2</v>
      </c>
      <c r="GO22">
        <v>2</v>
      </c>
      <c r="GP22" t="s">
        <v>411</v>
      </c>
      <c r="GQ22">
        <v>3.1310799999999999</v>
      </c>
      <c r="GR22">
        <v>2.7247300000000001</v>
      </c>
      <c r="GS22">
        <v>9.4397800000000004E-2</v>
      </c>
      <c r="GT22">
        <v>0.100505</v>
      </c>
      <c r="GU22">
        <v>0.10906200000000001</v>
      </c>
      <c r="GV22">
        <v>9.7699400000000006E-2</v>
      </c>
      <c r="GW22">
        <v>22982</v>
      </c>
      <c r="GX22">
        <v>30365.5</v>
      </c>
      <c r="GY22">
        <v>27489.9</v>
      </c>
      <c r="GZ22">
        <v>34657.1</v>
      </c>
      <c r="HA22">
        <v>35798.1</v>
      </c>
      <c r="HB22">
        <v>39310.400000000001</v>
      </c>
      <c r="HC22">
        <v>40550.5</v>
      </c>
      <c r="HD22">
        <v>43660.2</v>
      </c>
      <c r="HE22">
        <v>2.0539999999999998</v>
      </c>
      <c r="HF22">
        <v>2.0045999999999999</v>
      </c>
      <c r="HG22">
        <v>7.3462700000000006E-2</v>
      </c>
      <c r="HH22">
        <v>0</v>
      </c>
      <c r="HI22">
        <v>23.8033</v>
      </c>
      <c r="HJ22">
        <v>999.9</v>
      </c>
      <c r="HK22">
        <v>78.7</v>
      </c>
      <c r="HL22">
        <v>24.3</v>
      </c>
      <c r="HM22">
        <v>24.508099999999999</v>
      </c>
      <c r="HN22">
        <v>60.742800000000003</v>
      </c>
      <c r="HO22">
        <v>2.4879799999999999</v>
      </c>
      <c r="HP22">
        <v>1</v>
      </c>
      <c r="HQ22">
        <v>-0.13853699999999999</v>
      </c>
      <c r="HR22">
        <v>-9.3464099999999994E-3</v>
      </c>
      <c r="HS22">
        <v>20.279800000000002</v>
      </c>
      <c r="HT22">
        <v>5.2112999999999996</v>
      </c>
      <c r="HU22">
        <v>11.902100000000001</v>
      </c>
      <c r="HV22">
        <v>4.9867999999999997</v>
      </c>
      <c r="HW22">
        <v>3.27</v>
      </c>
      <c r="HX22">
        <v>9999</v>
      </c>
      <c r="HY22">
        <v>9999</v>
      </c>
      <c r="HZ22">
        <v>9999</v>
      </c>
      <c r="IA22">
        <v>999.9</v>
      </c>
      <c r="IB22">
        <v>1.8665799999999999</v>
      </c>
      <c r="IC22">
        <v>1.8620300000000001</v>
      </c>
      <c r="ID22">
        <v>1.86148</v>
      </c>
      <c r="IE22">
        <v>1.8609599999999999</v>
      </c>
      <c r="IF22">
        <v>1.8610800000000001</v>
      </c>
      <c r="IG22">
        <v>1.86188</v>
      </c>
      <c r="IH22">
        <v>1.8626400000000001</v>
      </c>
      <c r="II22">
        <v>1.86069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-11.297000000000001</v>
      </c>
      <c r="IX22">
        <v>-0.50660000000000005</v>
      </c>
      <c r="IY22">
        <v>-9.289346749437259</v>
      </c>
      <c r="IZ22">
        <v>-5.6215304933332991E-3</v>
      </c>
      <c r="JA22">
        <v>2.3979931213773931E-6</v>
      </c>
      <c r="JB22">
        <v>-3.6297174575716598E-10</v>
      </c>
      <c r="JC22">
        <v>-0.85702918037258446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1.9</v>
      </c>
      <c r="JL22">
        <v>1.8</v>
      </c>
      <c r="JM22">
        <v>1.1962900000000001</v>
      </c>
      <c r="JN22">
        <v>2.4523899999999998</v>
      </c>
      <c r="JO22">
        <v>1.50024</v>
      </c>
      <c r="JP22">
        <v>2.2863799999999999</v>
      </c>
      <c r="JQ22">
        <v>1.4477500000000001</v>
      </c>
      <c r="JR22">
        <v>2.3547400000000001</v>
      </c>
      <c r="JS22">
        <v>29.176600000000001</v>
      </c>
      <c r="JT22">
        <v>15.7081</v>
      </c>
      <c r="JU22">
        <v>18</v>
      </c>
      <c r="JV22">
        <v>527.92499999999995</v>
      </c>
      <c r="JW22">
        <v>515.83699999999999</v>
      </c>
      <c r="JX22">
        <v>24.322199999999999</v>
      </c>
      <c r="JY22">
        <v>25.535299999999999</v>
      </c>
      <c r="JZ22">
        <v>30.000299999999999</v>
      </c>
      <c r="KA22">
        <v>25.5474</v>
      </c>
      <c r="KB22">
        <v>25.557200000000002</v>
      </c>
      <c r="KC22">
        <v>23.934100000000001</v>
      </c>
      <c r="KD22">
        <v>31.864000000000001</v>
      </c>
      <c r="KE22">
        <v>96.178600000000003</v>
      </c>
      <c r="KF22">
        <v>24.32</v>
      </c>
      <c r="KG22">
        <v>464.56400000000002</v>
      </c>
      <c r="KH22">
        <v>19.197900000000001</v>
      </c>
      <c r="KI22">
        <v>101.39100000000001</v>
      </c>
      <c r="KJ22">
        <v>98.5398</v>
      </c>
    </row>
    <row r="23" spans="1:296" x14ac:dyDescent="0.3">
      <c r="A23">
        <v>7</v>
      </c>
      <c r="B23">
        <v>1785942797.5999999</v>
      </c>
      <c r="C23">
        <v>1228.099999904633</v>
      </c>
      <c r="D23" t="s">
        <v>814</v>
      </c>
      <c r="E23" t="s">
        <v>815</v>
      </c>
      <c r="F23">
        <v>15</v>
      </c>
      <c r="H23">
        <v>1785942789.849999</v>
      </c>
      <c r="I23">
        <f t="shared" si="0"/>
        <v>2.1859661560188915E-3</v>
      </c>
      <c r="J23">
        <f t="shared" si="1"/>
        <v>2.1859661560188917</v>
      </c>
      <c r="K23">
        <f t="shared" si="2"/>
        <v>33.154038514417046</v>
      </c>
      <c r="L23">
        <f t="shared" si="3"/>
        <v>419.99443333333329</v>
      </c>
      <c r="M23">
        <f t="shared" si="4"/>
        <v>156.0889638163178</v>
      </c>
      <c r="N23">
        <f t="shared" si="5"/>
        <v>15.290767140293152</v>
      </c>
      <c r="O23">
        <f t="shared" si="6"/>
        <v>41.14344104351089</v>
      </c>
      <c r="P23">
        <f t="shared" si="7"/>
        <v>0.21194593224579275</v>
      </c>
      <c r="Q23">
        <f t="shared" si="8"/>
        <v>2.8912829105861482</v>
      </c>
      <c r="R23">
        <f t="shared" si="9"/>
        <v>0.20367732767504682</v>
      </c>
      <c r="S23">
        <f t="shared" si="10"/>
        <v>0.1280143529455936</v>
      </c>
      <c r="T23">
        <f t="shared" si="11"/>
        <v>160.1716328805872</v>
      </c>
      <c r="U23">
        <f t="shared" si="12"/>
        <v>26.070199629656987</v>
      </c>
      <c r="V23">
        <f t="shared" si="13"/>
        <v>24.996359999999999</v>
      </c>
      <c r="W23">
        <f t="shared" si="14"/>
        <v>3.1789876224689078</v>
      </c>
      <c r="X23">
        <f t="shared" si="15"/>
        <v>65.09037784195057</v>
      </c>
      <c r="Y23">
        <f t="shared" si="16"/>
        <v>2.156242363057248</v>
      </c>
      <c r="Z23">
        <f t="shared" si="17"/>
        <v>3.3126898852744953</v>
      </c>
      <c r="AA23">
        <f t="shared" si="18"/>
        <v>1.0227452594116597</v>
      </c>
      <c r="AB23">
        <f t="shared" si="19"/>
        <v>-96.401107480433112</v>
      </c>
      <c r="AC23">
        <f t="shared" si="20"/>
        <v>107.98957253126679</v>
      </c>
      <c r="AD23">
        <f t="shared" si="21"/>
        <v>7.9277423669151759</v>
      </c>
      <c r="AE23">
        <f t="shared" si="22"/>
        <v>179.68784029833603</v>
      </c>
      <c r="AF23">
        <f t="shared" si="23"/>
        <v>33.154038514417046</v>
      </c>
      <c r="AG23">
        <f t="shared" si="24"/>
        <v>2.1859661560188917</v>
      </c>
      <c r="AH23">
        <f t="shared" si="25"/>
        <v>33.097540353617539</v>
      </c>
      <c r="AI23">
        <v>469.95244365103667</v>
      </c>
      <c r="AJ23">
        <v>429.46004848484853</v>
      </c>
      <c r="AK23">
        <v>-2.819545292374642E-3</v>
      </c>
      <c r="AL23">
        <v>67.051442818976653</v>
      </c>
      <c r="AM23">
        <f t="shared" si="26"/>
        <v>2.180588559408001</v>
      </c>
      <c r="AN23">
        <v>19.447351863537349</v>
      </c>
      <c r="AO23">
        <v>22.00659030303029</v>
      </c>
      <c r="AP23">
        <v>7.8612523301394878E-6</v>
      </c>
      <c r="AQ23">
        <v>78.075280011204669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51960.881522691583</v>
      </c>
      <c r="AW23" t="s">
        <v>791</v>
      </c>
      <c r="AX23">
        <v>13187.8</v>
      </c>
      <c r="AY23">
        <v>842.64307290737111</v>
      </c>
      <c r="AZ23">
        <v>2516.38</v>
      </c>
      <c r="BA23">
        <f t="shared" si="30"/>
        <v>0.66513679455910035</v>
      </c>
      <c r="BB23">
        <v>-2.8380250201795221</v>
      </c>
      <c r="BC23" t="s">
        <v>816</v>
      </c>
      <c r="BD23">
        <v>13189.8</v>
      </c>
      <c r="BE23">
        <v>905.92364705882346</v>
      </c>
      <c r="BF23">
        <v>1392.39</v>
      </c>
      <c r="BG23">
        <f t="shared" si="31"/>
        <v>0.34937506944259622</v>
      </c>
      <c r="BH23">
        <v>0.5</v>
      </c>
      <c r="BI23">
        <f t="shared" si="32"/>
        <v>840.27422097439751</v>
      </c>
      <c r="BJ23">
        <f t="shared" si="33"/>
        <v>33.154038514417046</v>
      </c>
      <c r="BK23">
        <f t="shared" si="34"/>
        <v>146.78543215187679</v>
      </c>
      <c r="BL23">
        <f t="shared" si="35"/>
        <v>4.2833711467263037E-2</v>
      </c>
      <c r="BM23">
        <f t="shared" si="36"/>
        <v>0.80723791466471317</v>
      </c>
      <c r="BN23">
        <f t="shared" si="37"/>
        <v>663.33433312859677</v>
      </c>
      <c r="BO23" t="s">
        <v>408</v>
      </c>
      <c r="BP23">
        <v>0</v>
      </c>
      <c r="BQ23">
        <f t="shared" si="38"/>
        <v>663.33433312859677</v>
      </c>
      <c r="BR23">
        <f t="shared" si="39"/>
        <v>0.52360018879150472</v>
      </c>
      <c r="BS23">
        <f t="shared" si="40"/>
        <v>0.66725543061581261</v>
      </c>
      <c r="BT23">
        <f t="shared" si="41"/>
        <v>0.60656357266018857</v>
      </c>
      <c r="BU23">
        <f t="shared" si="42"/>
        <v>0.88489144543996701</v>
      </c>
      <c r="BV23">
        <f t="shared" si="43"/>
        <v>0.67154520032752762</v>
      </c>
      <c r="BW23">
        <f t="shared" si="44"/>
        <v>0.48857697614028051</v>
      </c>
      <c r="BX23">
        <f t="shared" si="45"/>
        <v>0.51142302385971949</v>
      </c>
      <c r="DG23">
        <f t="shared" si="46"/>
        <v>999.971</v>
      </c>
      <c r="DH23">
        <f t="shared" si="47"/>
        <v>840.27422097439751</v>
      </c>
      <c r="DI23">
        <f t="shared" si="48"/>
        <v>0.84029858963349691</v>
      </c>
      <c r="DJ23">
        <f t="shared" si="49"/>
        <v>0.16017627799264897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1785942789.849999</v>
      </c>
      <c r="DQ23">
        <v>419.99443333333329</v>
      </c>
      <c r="DR23">
        <v>460.88363333333331</v>
      </c>
      <c r="DS23">
        <v>22.011036666666669</v>
      </c>
      <c r="DT23">
        <v>19.445450000000001</v>
      </c>
      <c r="DU23">
        <v>431.25793333333343</v>
      </c>
      <c r="DV23">
        <v>22.519596666666668</v>
      </c>
      <c r="DW23">
        <v>499.96769999999998</v>
      </c>
      <c r="DX23">
        <v>97.912896666666683</v>
      </c>
      <c r="DY23">
        <v>4.8975630000000013E-2</v>
      </c>
      <c r="DZ23">
        <v>25.689156666666669</v>
      </c>
      <c r="EA23">
        <v>24.996359999999999</v>
      </c>
      <c r="EB23">
        <v>999.9000000000002</v>
      </c>
      <c r="EC23">
        <v>0</v>
      </c>
      <c r="ED23">
        <v>0</v>
      </c>
      <c r="EE23">
        <v>9992</v>
      </c>
      <c r="EF23">
        <v>0</v>
      </c>
      <c r="EG23">
        <v>17.223373333333331</v>
      </c>
      <c r="EH23">
        <v>-40.889189999999992</v>
      </c>
      <c r="EI23">
        <v>429.44706666666667</v>
      </c>
      <c r="EJ23">
        <v>470.02339999999998</v>
      </c>
      <c r="EK23">
        <v>2.5655826666666668</v>
      </c>
      <c r="EL23">
        <v>460.88363333333331</v>
      </c>
      <c r="EM23">
        <v>19.445450000000001</v>
      </c>
      <c r="EN23">
        <v>2.1551640000000001</v>
      </c>
      <c r="EO23">
        <v>1.903960333333333</v>
      </c>
      <c r="EP23">
        <v>18.632863333333329</v>
      </c>
      <c r="EQ23">
        <v>16.667486666666669</v>
      </c>
      <c r="ER23">
        <v>999.971</v>
      </c>
      <c r="ES23">
        <v>0.98999480000000017</v>
      </c>
      <c r="ET23">
        <v>1.0004843333333331E-2</v>
      </c>
      <c r="EU23">
        <v>0</v>
      </c>
      <c r="EV23">
        <v>905.95003333333318</v>
      </c>
      <c r="EW23">
        <v>5.0010700000000003</v>
      </c>
      <c r="EX23">
        <v>9549.9510000000009</v>
      </c>
      <c r="EY23">
        <v>9079.9889999999996</v>
      </c>
      <c r="EZ23">
        <v>36.195533333333323</v>
      </c>
      <c r="FA23">
        <v>38.458133333333322</v>
      </c>
      <c r="FB23">
        <v>37.466399999999993</v>
      </c>
      <c r="FC23">
        <v>38.166399999999989</v>
      </c>
      <c r="FD23">
        <v>38.274733333333323</v>
      </c>
      <c r="FE23">
        <v>985.0139999999999</v>
      </c>
      <c r="FF23">
        <v>9.9526666666666639</v>
      </c>
      <c r="FG23">
        <v>0</v>
      </c>
      <c r="FH23">
        <v>180.9000000953674</v>
      </c>
      <c r="FI23">
        <v>0</v>
      </c>
      <c r="FJ23">
        <v>905.92364705882346</v>
      </c>
      <c r="FK23">
        <v>0.81593135536015937</v>
      </c>
      <c r="FL23">
        <v>63.169117564768101</v>
      </c>
      <c r="FM23">
        <v>9553.0541176470597</v>
      </c>
      <c r="FN23">
        <v>10</v>
      </c>
      <c r="FO23">
        <v>1785942704.5999999</v>
      </c>
      <c r="FP23" t="s">
        <v>817</v>
      </c>
      <c r="FQ23">
        <v>1785942704.5999999</v>
      </c>
      <c r="FR23">
        <v>1785942703.5999999</v>
      </c>
      <c r="FS23">
        <v>8</v>
      </c>
      <c r="FT23">
        <v>3.3000000000000002E-2</v>
      </c>
      <c r="FU23">
        <v>-3.0000000000000001E-3</v>
      </c>
      <c r="FV23">
        <v>-11.414999999999999</v>
      </c>
      <c r="FW23">
        <v>-0.57799999999999996</v>
      </c>
      <c r="FX23">
        <v>461</v>
      </c>
      <c r="FY23">
        <v>19</v>
      </c>
      <c r="FZ23">
        <v>0.25</v>
      </c>
      <c r="GA23">
        <v>0.08</v>
      </c>
      <c r="GB23">
        <v>419.99277419354831</v>
      </c>
      <c r="GC23">
        <v>0.49867741935442222</v>
      </c>
      <c r="GD23">
        <v>6.3663282412825872E-2</v>
      </c>
      <c r="GE23">
        <v>-1</v>
      </c>
      <c r="GF23">
        <v>905.85970588235296</v>
      </c>
      <c r="GG23">
        <v>1.079113827325316</v>
      </c>
      <c r="GH23">
        <v>0.23530799959049231</v>
      </c>
      <c r="GI23">
        <v>1</v>
      </c>
      <c r="GJ23">
        <v>2.566894146341463</v>
      </c>
      <c r="GK23">
        <v>-2.784167247386295E-2</v>
      </c>
      <c r="GL23">
        <v>3.7957337897927359E-3</v>
      </c>
      <c r="GM23">
        <v>1</v>
      </c>
      <c r="GN23">
        <v>2</v>
      </c>
      <c r="GO23">
        <v>2</v>
      </c>
      <c r="GP23" t="s">
        <v>411</v>
      </c>
      <c r="GQ23">
        <v>3.13056</v>
      </c>
      <c r="GR23">
        <v>2.7250299999999998</v>
      </c>
      <c r="GS23">
        <v>9.4406199999999996E-2</v>
      </c>
      <c r="GT23">
        <v>9.9892800000000004E-2</v>
      </c>
      <c r="GU23">
        <v>0.10921699999999999</v>
      </c>
      <c r="GV23">
        <v>9.8762799999999998E-2</v>
      </c>
      <c r="GW23">
        <v>22979.7</v>
      </c>
      <c r="GX23">
        <v>30386</v>
      </c>
      <c r="GY23">
        <v>27487.5</v>
      </c>
      <c r="GZ23">
        <v>34657.1</v>
      </c>
      <c r="HA23">
        <v>35789.4</v>
      </c>
      <c r="HB23">
        <v>39264.699999999997</v>
      </c>
      <c r="HC23">
        <v>40547.699999999997</v>
      </c>
      <c r="HD23">
        <v>43661.3</v>
      </c>
      <c r="HE23">
        <v>2.0528</v>
      </c>
      <c r="HF23">
        <v>2.0028000000000001</v>
      </c>
      <c r="HG23">
        <v>6.9767200000000001E-2</v>
      </c>
      <c r="HH23">
        <v>0</v>
      </c>
      <c r="HI23">
        <v>23.8414</v>
      </c>
      <c r="HJ23">
        <v>999.9</v>
      </c>
      <c r="HK23">
        <v>78.3</v>
      </c>
      <c r="HL23">
        <v>24.4</v>
      </c>
      <c r="HM23">
        <v>24.532800000000002</v>
      </c>
      <c r="HN23">
        <v>61.002899999999997</v>
      </c>
      <c r="HO23">
        <v>2.5560900000000002</v>
      </c>
      <c r="HP23">
        <v>1</v>
      </c>
      <c r="HQ23">
        <v>-0.13561000000000001</v>
      </c>
      <c r="HR23">
        <v>-0.18779999999999999</v>
      </c>
      <c r="HS23">
        <v>20.284400000000002</v>
      </c>
      <c r="HT23">
        <v>5.2148899999999996</v>
      </c>
      <c r="HU23">
        <v>11.902100000000001</v>
      </c>
      <c r="HV23">
        <v>4.9863999999999997</v>
      </c>
      <c r="HW23">
        <v>3.2702</v>
      </c>
      <c r="HX23">
        <v>9999</v>
      </c>
      <c r="HY23">
        <v>9999</v>
      </c>
      <c r="HZ23">
        <v>9999</v>
      </c>
      <c r="IA23">
        <v>999.9</v>
      </c>
      <c r="IB23">
        <v>1.8666100000000001</v>
      </c>
      <c r="IC23">
        <v>1.8620300000000001</v>
      </c>
      <c r="ID23">
        <v>1.8615699999999999</v>
      </c>
      <c r="IE23">
        <v>1.8610199999999999</v>
      </c>
      <c r="IF23">
        <v>1.8610800000000001</v>
      </c>
      <c r="IG23">
        <v>1.86188</v>
      </c>
      <c r="IH23">
        <v>1.86267</v>
      </c>
      <c r="II23">
        <v>1.86069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-11.263</v>
      </c>
      <c r="IX23">
        <v>-0.50870000000000004</v>
      </c>
      <c r="IY23">
        <v>-9.2559298991694945</v>
      </c>
      <c r="IZ23">
        <v>-5.6215304933332991E-3</v>
      </c>
      <c r="JA23">
        <v>2.3979931213773931E-6</v>
      </c>
      <c r="JB23">
        <v>-3.6297174575716598E-10</v>
      </c>
      <c r="JC23">
        <v>-0.86042809870967818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1.6</v>
      </c>
      <c r="JL23">
        <v>1.6</v>
      </c>
      <c r="JM23">
        <v>1.18896</v>
      </c>
      <c r="JN23">
        <v>2.4523899999999998</v>
      </c>
      <c r="JO23">
        <v>1.50024</v>
      </c>
      <c r="JP23">
        <v>2.2851599999999999</v>
      </c>
      <c r="JQ23">
        <v>1.4477500000000001</v>
      </c>
      <c r="JR23">
        <v>2.2985799999999998</v>
      </c>
      <c r="JS23">
        <v>29.303899999999999</v>
      </c>
      <c r="JT23">
        <v>15.7081</v>
      </c>
      <c r="JU23">
        <v>18</v>
      </c>
      <c r="JV23">
        <v>527.59500000000003</v>
      </c>
      <c r="JW23">
        <v>515.07899999999995</v>
      </c>
      <c r="JX23">
        <v>24.7408</v>
      </c>
      <c r="JY23">
        <v>25.557700000000001</v>
      </c>
      <c r="JZ23">
        <v>30.000299999999999</v>
      </c>
      <c r="KA23">
        <v>25.592400000000001</v>
      </c>
      <c r="KB23">
        <v>25.606200000000001</v>
      </c>
      <c r="KC23">
        <v>23.781300000000002</v>
      </c>
      <c r="KD23">
        <v>30.990500000000001</v>
      </c>
      <c r="KE23">
        <v>94.7761</v>
      </c>
      <c r="KF23">
        <v>24.740500000000001</v>
      </c>
      <c r="KG23">
        <v>460.767</v>
      </c>
      <c r="KH23">
        <v>19.469799999999999</v>
      </c>
      <c r="KI23">
        <v>101.383</v>
      </c>
      <c r="KJ23">
        <v>98.541300000000007</v>
      </c>
    </row>
    <row r="24" spans="1:296" x14ac:dyDescent="0.3">
      <c r="A24">
        <v>8</v>
      </c>
      <c r="B24">
        <v>1785942979.0999999</v>
      </c>
      <c r="C24">
        <v>1409.599999904633</v>
      </c>
      <c r="D24" t="s">
        <v>818</v>
      </c>
      <c r="E24" t="s">
        <v>819</v>
      </c>
      <c r="F24">
        <v>15</v>
      </c>
      <c r="H24">
        <v>1785942971.349999</v>
      </c>
      <c r="I24">
        <f t="shared" si="0"/>
        <v>2.0678516496629626E-3</v>
      </c>
      <c r="J24">
        <f t="shared" si="1"/>
        <v>2.0678516496629626</v>
      </c>
      <c r="K24">
        <f t="shared" si="2"/>
        <v>30.549571340609049</v>
      </c>
      <c r="L24">
        <f t="shared" si="3"/>
        <v>420.00996666666663</v>
      </c>
      <c r="M24">
        <f t="shared" si="4"/>
        <v>164.11961464653933</v>
      </c>
      <c r="N24">
        <f t="shared" si="5"/>
        <v>16.076109731943578</v>
      </c>
      <c r="O24">
        <f t="shared" si="6"/>
        <v>41.141495044240742</v>
      </c>
      <c r="P24">
        <f t="shared" si="7"/>
        <v>0.20122363104284191</v>
      </c>
      <c r="Q24">
        <f t="shared" si="8"/>
        <v>2.892007886450811</v>
      </c>
      <c r="R24">
        <f t="shared" si="9"/>
        <v>0.19375642015256575</v>
      </c>
      <c r="S24">
        <f t="shared" si="10"/>
        <v>0.12174557482857487</v>
      </c>
      <c r="T24">
        <f t="shared" si="11"/>
        <v>128.28223961445173</v>
      </c>
      <c r="U24">
        <f t="shared" si="12"/>
        <v>25.973842776654461</v>
      </c>
      <c r="V24">
        <f t="shared" si="13"/>
        <v>25.028373333333331</v>
      </c>
      <c r="W24">
        <f t="shared" si="14"/>
        <v>3.185060285405708</v>
      </c>
      <c r="X24">
        <f t="shared" si="15"/>
        <v>65.207508133149659</v>
      </c>
      <c r="Y24">
        <f t="shared" si="16"/>
        <v>2.1682235367111007</v>
      </c>
      <c r="Z24">
        <f t="shared" si="17"/>
        <v>3.3251133171409091</v>
      </c>
      <c r="AA24">
        <f t="shared" si="18"/>
        <v>1.0168367486946073</v>
      </c>
      <c r="AB24">
        <f t="shared" si="19"/>
        <v>-91.192257750136648</v>
      </c>
      <c r="AC24">
        <f t="shared" si="20"/>
        <v>112.86765246859369</v>
      </c>
      <c r="AD24">
        <f t="shared" si="21"/>
        <v>8.2877395241395604</v>
      </c>
      <c r="AE24">
        <f t="shared" si="22"/>
        <v>158.24537385704832</v>
      </c>
      <c r="AF24">
        <f t="shared" si="23"/>
        <v>30.549571340609049</v>
      </c>
      <c r="AG24">
        <f t="shared" si="24"/>
        <v>2.0678516496629626</v>
      </c>
      <c r="AH24">
        <f t="shared" si="25"/>
        <v>30.468227295447029</v>
      </c>
      <c r="AI24">
        <v>466.88060215918381</v>
      </c>
      <c r="AJ24">
        <v>429.56161818181818</v>
      </c>
      <c r="AK24">
        <v>3.431177440751079E-3</v>
      </c>
      <c r="AL24">
        <v>67.050819641167578</v>
      </c>
      <c r="AM24">
        <f t="shared" si="26"/>
        <v>2.0654106803594146</v>
      </c>
      <c r="AN24">
        <v>19.709398600981601</v>
      </c>
      <c r="AO24">
        <v>22.133675757575752</v>
      </c>
      <c r="AP24">
        <v>-6.3065476940783654E-5</v>
      </c>
      <c r="AQ24">
        <v>78.070514500470679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51970.471615977935</v>
      </c>
      <c r="AW24" t="s">
        <v>791</v>
      </c>
      <c r="AX24">
        <v>13187.8</v>
      </c>
      <c r="AY24">
        <v>842.64307290737111</v>
      </c>
      <c r="AZ24">
        <v>2516.38</v>
      </c>
      <c r="BA24">
        <f t="shared" si="30"/>
        <v>0.66513679455910035</v>
      </c>
      <c r="BB24">
        <v>-2.8380250201795221</v>
      </c>
      <c r="BC24" t="s">
        <v>820</v>
      </c>
      <c r="BD24">
        <v>13186.9</v>
      </c>
      <c r="BE24">
        <v>893.24623529411758</v>
      </c>
      <c r="BF24">
        <v>1491.99</v>
      </c>
      <c r="BG24">
        <f t="shared" si="31"/>
        <v>0.40130548107285069</v>
      </c>
      <c r="BH24">
        <v>0.5</v>
      </c>
      <c r="BI24">
        <f t="shared" si="32"/>
        <v>672.33713331318734</v>
      </c>
      <c r="BJ24">
        <f t="shared" si="33"/>
        <v>30.549571340609049</v>
      </c>
      <c r="BK24">
        <f t="shared" si="34"/>
        <v>134.90628836369498</v>
      </c>
      <c r="BL24">
        <f t="shared" si="35"/>
        <v>4.9659009902158713E-2</v>
      </c>
      <c r="BM24">
        <f t="shared" si="36"/>
        <v>0.68659307368011857</v>
      </c>
      <c r="BN24">
        <f t="shared" si="37"/>
        <v>685.12315002199045</v>
      </c>
      <c r="BO24" t="s">
        <v>408</v>
      </c>
      <c r="BP24">
        <v>0</v>
      </c>
      <c r="BQ24">
        <f t="shared" si="38"/>
        <v>685.12315002199045</v>
      </c>
      <c r="BR24">
        <f t="shared" si="39"/>
        <v>0.54079910051542535</v>
      </c>
      <c r="BS24">
        <f t="shared" si="40"/>
        <v>0.7420601859181607</v>
      </c>
      <c r="BT24">
        <f t="shared" si="41"/>
        <v>0.55939176419315584</v>
      </c>
      <c r="BU24">
        <f t="shared" si="42"/>
        <v>0.92207068321195274</v>
      </c>
      <c r="BV24">
        <f t="shared" si="43"/>
        <v>0.61203764069388167</v>
      </c>
      <c r="BW24">
        <f t="shared" si="44"/>
        <v>0.56916289371737827</v>
      </c>
      <c r="BX24">
        <f t="shared" si="45"/>
        <v>0.43083710628262173</v>
      </c>
      <c r="DG24">
        <f t="shared" si="46"/>
        <v>800.03313333333313</v>
      </c>
      <c r="DH24">
        <f t="shared" si="47"/>
        <v>672.33713331318734</v>
      </c>
      <c r="DI24">
        <f t="shared" si="48"/>
        <v>0.84038661062936082</v>
      </c>
      <c r="DJ24">
        <f t="shared" si="49"/>
        <v>0.16034615851466621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1785942971.349999</v>
      </c>
      <c r="DQ24">
        <v>420.00996666666663</v>
      </c>
      <c r="DR24">
        <v>457.71563333333341</v>
      </c>
      <c r="DS24">
        <v>22.135206666666669</v>
      </c>
      <c r="DT24">
        <v>19.70845666666667</v>
      </c>
      <c r="DU24">
        <v>431.26130000000012</v>
      </c>
      <c r="DV24">
        <v>22.64280333333334</v>
      </c>
      <c r="DW24">
        <v>499.94749999999999</v>
      </c>
      <c r="DX24">
        <v>97.904670000000038</v>
      </c>
      <c r="DY24">
        <v>4.8946126666666659E-2</v>
      </c>
      <c r="DZ24">
        <v>25.752283333333331</v>
      </c>
      <c r="EA24">
        <v>25.028373333333331</v>
      </c>
      <c r="EB24">
        <v>999.9000000000002</v>
      </c>
      <c r="EC24">
        <v>0</v>
      </c>
      <c r="ED24">
        <v>0</v>
      </c>
      <c r="EE24">
        <v>9997</v>
      </c>
      <c r="EF24">
        <v>0</v>
      </c>
      <c r="EG24">
        <v>22.26250000000001</v>
      </c>
      <c r="EH24">
        <v>-37.705649999999999</v>
      </c>
      <c r="EI24">
        <v>429.51749999999998</v>
      </c>
      <c r="EJ24">
        <v>466.91783333333342</v>
      </c>
      <c r="EK24">
        <v>2.4267379999999998</v>
      </c>
      <c r="EL24">
        <v>457.71563333333341</v>
      </c>
      <c r="EM24">
        <v>19.70845666666667</v>
      </c>
      <c r="EN24">
        <v>2.167139333333334</v>
      </c>
      <c r="EO24">
        <v>1.929550333333333</v>
      </c>
      <c r="EP24">
        <v>18.721439999999991</v>
      </c>
      <c r="EQ24">
        <v>16.87778333333333</v>
      </c>
      <c r="ER24">
        <v>800.03313333333313</v>
      </c>
      <c r="ES24">
        <v>0.98702666666666683</v>
      </c>
      <c r="ET24">
        <v>1.297333333333334E-2</v>
      </c>
      <c r="EU24">
        <v>0</v>
      </c>
      <c r="EV24">
        <v>893.20980000000009</v>
      </c>
      <c r="EW24">
        <v>5.0010700000000003</v>
      </c>
      <c r="EX24">
        <v>7634.2886666666664</v>
      </c>
      <c r="EY24">
        <v>7246.9970000000012</v>
      </c>
      <c r="EZ24">
        <v>37.293533333333329</v>
      </c>
      <c r="FA24">
        <v>39.683033333333327</v>
      </c>
      <c r="FB24">
        <v>38.870600000000003</v>
      </c>
      <c r="FC24">
        <v>40.16013333333332</v>
      </c>
      <c r="FD24">
        <v>39.266466666666673</v>
      </c>
      <c r="FE24">
        <v>784.71866666666676</v>
      </c>
      <c r="FF24">
        <v>10.31</v>
      </c>
      <c r="FG24">
        <v>0</v>
      </c>
      <c r="FH24">
        <v>180.70000004768369</v>
      </c>
      <c r="FI24">
        <v>0</v>
      </c>
      <c r="FJ24">
        <v>893.24623529411758</v>
      </c>
      <c r="FK24">
        <v>0.54166665908689704</v>
      </c>
      <c r="FL24">
        <v>-11.29166661724453</v>
      </c>
      <c r="FM24">
        <v>7634.4017647058827</v>
      </c>
      <c r="FN24">
        <v>10</v>
      </c>
      <c r="FO24">
        <v>1785942882.0999999</v>
      </c>
      <c r="FP24" t="s">
        <v>821</v>
      </c>
      <c r="FQ24">
        <v>1785942882.0999999</v>
      </c>
      <c r="FR24">
        <v>1785942882.0999999</v>
      </c>
      <c r="FS24">
        <v>9</v>
      </c>
      <c r="FT24">
        <v>1.2E-2</v>
      </c>
      <c r="FU24">
        <v>-2E-3</v>
      </c>
      <c r="FV24">
        <v>-11.391999999999999</v>
      </c>
      <c r="FW24">
        <v>-0.57499999999999996</v>
      </c>
      <c r="FX24">
        <v>458</v>
      </c>
      <c r="FY24">
        <v>19</v>
      </c>
      <c r="FZ24">
        <v>0.2</v>
      </c>
      <c r="GA24">
        <v>0.09</v>
      </c>
      <c r="GB24">
        <v>420.0039666666666</v>
      </c>
      <c r="GC24">
        <v>0.15924360400364729</v>
      </c>
      <c r="GD24">
        <v>5.4444763037617881E-2</v>
      </c>
      <c r="GE24">
        <v>-1</v>
      </c>
      <c r="GF24">
        <v>893.14085294117638</v>
      </c>
      <c r="GG24">
        <v>1.125362871871064</v>
      </c>
      <c r="GH24">
        <v>0.1914910737211491</v>
      </c>
      <c r="GI24">
        <v>1</v>
      </c>
      <c r="GJ24">
        <v>2.4219145000000002</v>
      </c>
      <c r="GK24">
        <v>7.2119774859284336E-2</v>
      </c>
      <c r="GL24">
        <v>9.9150950449302232E-3</v>
      </c>
      <c r="GM24">
        <v>1</v>
      </c>
      <c r="GN24">
        <v>2</v>
      </c>
      <c r="GO24">
        <v>2</v>
      </c>
      <c r="GP24" t="s">
        <v>411</v>
      </c>
      <c r="GQ24">
        <v>3.13137</v>
      </c>
      <c r="GR24">
        <v>2.7256100000000001</v>
      </c>
      <c r="GS24">
        <v>9.4369400000000006E-2</v>
      </c>
      <c r="GT24">
        <v>9.9388500000000005E-2</v>
      </c>
      <c r="GU24">
        <v>0.109628</v>
      </c>
      <c r="GV24">
        <v>9.9711300000000003E-2</v>
      </c>
      <c r="GW24">
        <v>22977.200000000001</v>
      </c>
      <c r="GX24">
        <v>30402.3</v>
      </c>
      <c r="GY24">
        <v>27483.5</v>
      </c>
      <c r="GZ24">
        <v>34656.400000000001</v>
      </c>
      <c r="HA24">
        <v>35768.5</v>
      </c>
      <c r="HB24">
        <v>39223.9</v>
      </c>
      <c r="HC24">
        <v>40543</v>
      </c>
      <c r="HD24">
        <v>43662.3</v>
      </c>
      <c r="HE24">
        <v>2.0535999999999999</v>
      </c>
      <c r="HF24">
        <v>2.0009999999999999</v>
      </c>
      <c r="HG24">
        <v>6.4671000000000006E-2</v>
      </c>
      <c r="HH24">
        <v>0</v>
      </c>
      <c r="HI24">
        <v>23.978200000000001</v>
      </c>
      <c r="HJ24">
        <v>999.9</v>
      </c>
      <c r="HK24">
        <v>77.900000000000006</v>
      </c>
      <c r="HL24">
        <v>24.5</v>
      </c>
      <c r="HM24">
        <v>24.5532</v>
      </c>
      <c r="HN24">
        <v>60.652900000000002</v>
      </c>
      <c r="HO24">
        <v>2.4399000000000002</v>
      </c>
      <c r="HP24">
        <v>1</v>
      </c>
      <c r="HQ24">
        <v>-0.13280500000000001</v>
      </c>
      <c r="HR24">
        <v>4.7712400000000004E-3</v>
      </c>
      <c r="HS24">
        <v>20.255299999999998</v>
      </c>
      <c r="HT24">
        <v>5.2160900000000003</v>
      </c>
      <c r="HU24">
        <v>11.902100000000001</v>
      </c>
      <c r="HV24">
        <v>4.9867999999999997</v>
      </c>
      <c r="HW24">
        <v>3.2702</v>
      </c>
      <c r="HX24">
        <v>9999</v>
      </c>
      <c r="HY24">
        <v>9999</v>
      </c>
      <c r="HZ24">
        <v>9999</v>
      </c>
      <c r="IA24">
        <v>999.9</v>
      </c>
      <c r="IB24">
        <v>1.86676</v>
      </c>
      <c r="IC24">
        <v>1.8623400000000001</v>
      </c>
      <c r="ID24">
        <v>1.86172</v>
      </c>
      <c r="IE24">
        <v>1.86127</v>
      </c>
      <c r="IF24">
        <v>1.86127</v>
      </c>
      <c r="IG24">
        <v>1.86209</v>
      </c>
      <c r="IH24">
        <v>1.8629500000000001</v>
      </c>
      <c r="II24">
        <v>1.8609599999999999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-11.250999999999999</v>
      </c>
      <c r="IX24">
        <v>-0.50770000000000004</v>
      </c>
      <c r="IY24">
        <v>-9.2439471802998803</v>
      </c>
      <c r="IZ24">
        <v>-5.6215304933332991E-3</v>
      </c>
      <c r="JA24">
        <v>2.3979931213773931E-6</v>
      </c>
      <c r="JB24">
        <v>-3.6297174575716598E-10</v>
      </c>
      <c r="JC24">
        <v>-0.86276870892267832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1.6</v>
      </c>
      <c r="JL24">
        <v>1.6</v>
      </c>
      <c r="JM24">
        <v>1.18164</v>
      </c>
      <c r="JN24">
        <v>2.4462899999999999</v>
      </c>
      <c r="JO24">
        <v>1.50024</v>
      </c>
      <c r="JP24">
        <v>2.2851599999999999</v>
      </c>
      <c r="JQ24">
        <v>1.4477500000000001</v>
      </c>
      <c r="JR24">
        <v>2.3742700000000001</v>
      </c>
      <c r="JS24">
        <v>29.4101</v>
      </c>
      <c r="JT24">
        <v>23.9999</v>
      </c>
      <c r="JU24">
        <v>18</v>
      </c>
      <c r="JV24">
        <v>528.43499999999995</v>
      </c>
      <c r="JW24">
        <v>514.19899999999996</v>
      </c>
      <c r="JX24">
        <v>24.696899999999999</v>
      </c>
      <c r="JY24">
        <v>25.5913</v>
      </c>
      <c r="JZ24">
        <v>30.0001</v>
      </c>
      <c r="KA24">
        <v>25.628900000000002</v>
      </c>
      <c r="KB24">
        <v>25.642600000000002</v>
      </c>
      <c r="KC24">
        <v>23.650300000000001</v>
      </c>
      <c r="KD24">
        <v>30.253</v>
      </c>
      <c r="KE24">
        <v>93.947400000000002</v>
      </c>
      <c r="KF24">
        <v>24.684699999999999</v>
      </c>
      <c r="KG24">
        <v>457.73700000000002</v>
      </c>
      <c r="KH24">
        <v>19.657499999999999</v>
      </c>
      <c r="KI24">
        <v>101.37</v>
      </c>
      <c r="KJ24">
        <v>98.541700000000006</v>
      </c>
    </row>
    <row r="25" spans="1:296" x14ac:dyDescent="0.3">
      <c r="A25">
        <v>9</v>
      </c>
      <c r="B25">
        <v>1785943160.5999999</v>
      </c>
      <c r="C25">
        <v>1591.099999904633</v>
      </c>
      <c r="D25" t="s">
        <v>822</v>
      </c>
      <c r="E25" t="s">
        <v>823</v>
      </c>
      <c r="F25">
        <v>15</v>
      </c>
      <c r="H25">
        <v>1785943152.849999</v>
      </c>
      <c r="I25">
        <f t="shared" si="0"/>
        <v>1.9201933784510491E-3</v>
      </c>
      <c r="J25">
        <f t="shared" si="1"/>
        <v>1.920193378451049</v>
      </c>
      <c r="K25">
        <f t="shared" si="2"/>
        <v>26.151120907870009</v>
      </c>
      <c r="L25">
        <f t="shared" si="3"/>
        <v>420.02339999999992</v>
      </c>
      <c r="M25">
        <f t="shared" si="4"/>
        <v>180.72207718420253</v>
      </c>
      <c r="N25">
        <f t="shared" si="5"/>
        <v>17.702102327780498</v>
      </c>
      <c r="O25">
        <f t="shared" si="6"/>
        <v>41.142163274738081</v>
      </c>
      <c r="P25">
        <f t="shared" si="7"/>
        <v>0.18410416466699189</v>
      </c>
      <c r="Q25">
        <f t="shared" si="8"/>
        <v>2.8925006999686822</v>
      </c>
      <c r="R25">
        <f t="shared" si="9"/>
        <v>0.17783320378887216</v>
      </c>
      <c r="S25">
        <f t="shared" si="10"/>
        <v>0.11169137862290723</v>
      </c>
      <c r="T25">
        <f t="shared" si="11"/>
        <v>96.343755238238359</v>
      </c>
      <c r="U25">
        <f t="shared" si="12"/>
        <v>25.704795620742779</v>
      </c>
      <c r="V25">
        <f t="shared" si="13"/>
        <v>24.978513333333328</v>
      </c>
      <c r="W25">
        <f t="shared" si="14"/>
        <v>3.1756066527329709</v>
      </c>
      <c r="X25">
        <f t="shared" si="15"/>
        <v>65.009797563552752</v>
      </c>
      <c r="Y25">
        <f t="shared" si="16"/>
        <v>2.1466817440868597</v>
      </c>
      <c r="Z25">
        <f t="shared" si="17"/>
        <v>3.3020895688658176</v>
      </c>
      <c r="AA25">
        <f t="shared" si="18"/>
        <v>1.0289249086461112</v>
      </c>
      <c r="AB25">
        <f t="shared" si="19"/>
        <v>-84.680527989691271</v>
      </c>
      <c r="AC25">
        <f t="shared" si="20"/>
        <v>102.39312982222123</v>
      </c>
      <c r="AD25">
        <f t="shared" si="21"/>
        <v>7.511015081310191</v>
      </c>
      <c r="AE25">
        <f t="shared" si="22"/>
        <v>121.56737215207851</v>
      </c>
      <c r="AF25">
        <f t="shared" si="23"/>
        <v>26.151120907870009</v>
      </c>
      <c r="AG25">
        <f t="shared" si="24"/>
        <v>1.920193378451049</v>
      </c>
      <c r="AH25">
        <f t="shared" si="25"/>
        <v>26.245628803258395</v>
      </c>
      <c r="AI25">
        <v>461.56235684230489</v>
      </c>
      <c r="AJ25">
        <v>429.45562424242422</v>
      </c>
      <c r="AK25">
        <v>-4.6668523752496404E-3</v>
      </c>
      <c r="AL25">
        <v>67.042257336954279</v>
      </c>
      <c r="AM25">
        <f t="shared" si="26"/>
        <v>1.9054679787795263</v>
      </c>
      <c r="AN25">
        <v>19.662821709207581</v>
      </c>
      <c r="AO25">
        <v>21.899869090909078</v>
      </c>
      <c r="AP25">
        <v>-3.4812890446653103E-5</v>
      </c>
      <c r="AQ25">
        <v>77.937701571214944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52004.933509063972</v>
      </c>
      <c r="AW25" t="s">
        <v>791</v>
      </c>
      <c r="AX25">
        <v>13187.8</v>
      </c>
      <c r="AY25">
        <v>842.64307290737111</v>
      </c>
      <c r="AZ25">
        <v>2516.38</v>
      </c>
      <c r="BA25">
        <f t="shared" si="30"/>
        <v>0.66513679455910035</v>
      </c>
      <c r="BB25">
        <v>-2.8380250201795221</v>
      </c>
      <c r="BC25" t="s">
        <v>824</v>
      </c>
      <c r="BD25">
        <v>13202.8</v>
      </c>
      <c r="BE25">
        <v>879.77305882352937</v>
      </c>
      <c r="BF25">
        <v>1618.15</v>
      </c>
      <c r="BG25">
        <f t="shared" si="31"/>
        <v>0.45630932928125989</v>
      </c>
      <c r="BH25">
        <v>0.5</v>
      </c>
      <c r="BI25">
        <f t="shared" si="32"/>
        <v>504.29342667266229</v>
      </c>
      <c r="BJ25">
        <f t="shared" si="33"/>
        <v>26.151120907870009</v>
      </c>
      <c r="BK25">
        <f t="shared" si="34"/>
        <v>115.05689764297537</v>
      </c>
      <c r="BL25">
        <f t="shared" si="35"/>
        <v>5.7484679344960876E-2</v>
      </c>
      <c r="BM25">
        <f t="shared" si="36"/>
        <v>0.55509686988227291</v>
      </c>
      <c r="BN25">
        <f t="shared" si="37"/>
        <v>710.56261582681282</v>
      </c>
      <c r="BO25" t="s">
        <v>408</v>
      </c>
      <c r="BP25">
        <v>0</v>
      </c>
      <c r="BQ25">
        <f t="shared" si="38"/>
        <v>710.56261582681282</v>
      </c>
      <c r="BR25">
        <f t="shared" si="39"/>
        <v>0.56087963672909635</v>
      </c>
      <c r="BS25">
        <f t="shared" si="40"/>
        <v>0.81356016407073861</v>
      </c>
      <c r="BT25">
        <f t="shared" si="41"/>
        <v>0.49740910009638889</v>
      </c>
      <c r="BU25">
        <f t="shared" si="42"/>
        <v>0.95212165795171122</v>
      </c>
      <c r="BV25">
        <f t="shared" si="43"/>
        <v>0.53666139849126338</v>
      </c>
      <c r="BW25">
        <f t="shared" si="44"/>
        <v>0.65708472488079595</v>
      </c>
      <c r="BX25">
        <f t="shared" si="45"/>
        <v>0.34291527511920405</v>
      </c>
      <c r="DG25">
        <f t="shared" si="46"/>
        <v>599.98806666666667</v>
      </c>
      <c r="DH25">
        <f t="shared" si="47"/>
        <v>504.29342667266229</v>
      </c>
      <c r="DI25">
        <f t="shared" si="48"/>
        <v>0.84050576118013176</v>
      </c>
      <c r="DJ25">
        <f t="shared" si="49"/>
        <v>0.16057611907765448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1785943152.849999</v>
      </c>
      <c r="DQ25">
        <v>420.02339999999992</v>
      </c>
      <c r="DR25">
        <v>452.37759999999997</v>
      </c>
      <c r="DS25">
        <v>21.915633333333339</v>
      </c>
      <c r="DT25">
        <v>19.661549999999998</v>
      </c>
      <c r="DU25">
        <v>431.24596666666662</v>
      </c>
      <c r="DV25">
        <v>22.43090999999999</v>
      </c>
      <c r="DW25">
        <v>499.92236666666668</v>
      </c>
      <c r="DX25">
        <v>97.902993333333356</v>
      </c>
      <c r="DY25">
        <v>4.9080943333333342E-2</v>
      </c>
      <c r="DZ25">
        <v>25.63513</v>
      </c>
      <c r="EA25">
        <v>24.978513333333328</v>
      </c>
      <c r="EB25">
        <v>999.9000000000002</v>
      </c>
      <c r="EC25">
        <v>0</v>
      </c>
      <c r="ED25">
        <v>0</v>
      </c>
      <c r="EE25">
        <v>10000</v>
      </c>
      <c r="EF25">
        <v>0</v>
      </c>
      <c r="EG25">
        <v>30.402290000000011</v>
      </c>
      <c r="EH25">
        <v>-32.354059999999997</v>
      </c>
      <c r="EI25">
        <v>429.43470000000002</v>
      </c>
      <c r="EJ25">
        <v>461.45026666666672</v>
      </c>
      <c r="EK25">
        <v>2.254092</v>
      </c>
      <c r="EL25">
        <v>452.37759999999997</v>
      </c>
      <c r="EM25">
        <v>19.661549999999998</v>
      </c>
      <c r="EN25">
        <v>2.145607333333333</v>
      </c>
      <c r="EO25">
        <v>1.9249240000000001</v>
      </c>
      <c r="EP25">
        <v>18.561866666666671</v>
      </c>
      <c r="EQ25">
        <v>16.839950000000002</v>
      </c>
      <c r="ER25">
        <v>599.98806666666667</v>
      </c>
      <c r="ES25">
        <v>0.98299836666666662</v>
      </c>
      <c r="ET25">
        <v>1.700159E-2</v>
      </c>
      <c r="EU25">
        <v>0</v>
      </c>
      <c r="EV25">
        <v>879.74463333333335</v>
      </c>
      <c r="EW25">
        <v>5.0010700000000003</v>
      </c>
      <c r="EX25">
        <v>5762.8506666666681</v>
      </c>
      <c r="EY25">
        <v>5415.0003333333352</v>
      </c>
      <c r="EZ25">
        <v>35.962266666666657</v>
      </c>
      <c r="FA25">
        <v>39.108066666666673</v>
      </c>
      <c r="FB25">
        <v>37.620533333333327</v>
      </c>
      <c r="FC25">
        <v>39.120533333333327</v>
      </c>
      <c r="FD25">
        <v>38.357999999999983</v>
      </c>
      <c r="FE25">
        <v>584.87066666666658</v>
      </c>
      <c r="FF25">
        <v>10.115</v>
      </c>
      <c r="FG25">
        <v>0</v>
      </c>
      <c r="FH25">
        <v>180.9000000953674</v>
      </c>
      <c r="FI25">
        <v>0</v>
      </c>
      <c r="FJ25">
        <v>879.77305882352937</v>
      </c>
      <c r="FK25">
        <v>-9.1421562095582443E-2</v>
      </c>
      <c r="FL25">
        <v>-38.424019387617193</v>
      </c>
      <c r="FM25">
        <v>5761.4400000000014</v>
      </c>
      <c r="FN25">
        <v>10</v>
      </c>
      <c r="FO25">
        <v>1785943083.5999999</v>
      </c>
      <c r="FP25" t="s">
        <v>825</v>
      </c>
      <c r="FQ25">
        <v>1785943078.5999999</v>
      </c>
      <c r="FR25">
        <v>1785943083.5999999</v>
      </c>
      <c r="FS25">
        <v>10</v>
      </c>
      <c r="FT25">
        <v>2.9000000000000001E-2</v>
      </c>
      <c r="FU25">
        <v>-2E-3</v>
      </c>
      <c r="FV25">
        <v>-11.345000000000001</v>
      </c>
      <c r="FW25">
        <v>-0.57099999999999995</v>
      </c>
      <c r="FX25">
        <v>453</v>
      </c>
      <c r="FY25">
        <v>20</v>
      </c>
      <c r="FZ25">
        <v>0.3</v>
      </c>
      <c r="GA25">
        <v>0.11</v>
      </c>
      <c r="GB25">
        <v>420.02016129032239</v>
      </c>
      <c r="GC25">
        <v>0.28567741935376662</v>
      </c>
      <c r="GD25">
        <v>5.7585894763863693E-2</v>
      </c>
      <c r="GE25">
        <v>-1</v>
      </c>
      <c r="GF25">
        <v>879.79126470588244</v>
      </c>
      <c r="GG25">
        <v>-0.59705118173288685</v>
      </c>
      <c r="GH25">
        <v>0.21459240554835721</v>
      </c>
      <c r="GI25">
        <v>1</v>
      </c>
      <c r="GJ25">
        <v>2.2604543902439018</v>
      </c>
      <c r="GK25">
        <v>-0.1238533797909358</v>
      </c>
      <c r="GL25">
        <v>1.25996014355818E-2</v>
      </c>
      <c r="GM25">
        <v>1</v>
      </c>
      <c r="GN25">
        <v>2</v>
      </c>
      <c r="GO25">
        <v>2</v>
      </c>
      <c r="GP25" t="s">
        <v>411</v>
      </c>
      <c r="GQ25">
        <v>3.13184</v>
      </c>
      <c r="GR25">
        <v>2.7242500000000001</v>
      </c>
      <c r="GS25">
        <v>9.4369400000000006E-2</v>
      </c>
      <c r="GT25">
        <v>9.8536700000000005E-2</v>
      </c>
      <c r="GU25">
        <v>0.10883</v>
      </c>
      <c r="GV25">
        <v>9.9524199999999993E-2</v>
      </c>
      <c r="GW25">
        <v>22975.1</v>
      </c>
      <c r="GX25">
        <v>30427.7</v>
      </c>
      <c r="GY25">
        <v>27481.3</v>
      </c>
      <c r="GZ25">
        <v>34653.1</v>
      </c>
      <c r="HA25">
        <v>35799.1</v>
      </c>
      <c r="HB25">
        <v>39229.599999999999</v>
      </c>
      <c r="HC25">
        <v>40540.199999999997</v>
      </c>
      <c r="HD25">
        <v>43659.6</v>
      </c>
      <c r="HE25">
        <v>2.0543999999999998</v>
      </c>
      <c r="HF25">
        <v>1.9965999999999999</v>
      </c>
      <c r="HG25">
        <v>5.8382700000000003E-2</v>
      </c>
      <c r="HH25">
        <v>0</v>
      </c>
      <c r="HI25">
        <v>24.006399999999999</v>
      </c>
      <c r="HJ25">
        <v>999.9</v>
      </c>
      <c r="HK25">
        <v>77.5</v>
      </c>
      <c r="HL25">
        <v>24.7</v>
      </c>
      <c r="HM25">
        <v>24.7241</v>
      </c>
      <c r="HN25">
        <v>60.5229</v>
      </c>
      <c r="HO25">
        <v>2.5160300000000002</v>
      </c>
      <c r="HP25">
        <v>1</v>
      </c>
      <c r="HQ25">
        <v>-0.12762200000000001</v>
      </c>
      <c r="HR25">
        <v>-0.447712</v>
      </c>
      <c r="HS25">
        <v>20.256499999999999</v>
      </c>
      <c r="HT25">
        <v>5.2112999999999996</v>
      </c>
      <c r="HU25">
        <v>11.902100000000001</v>
      </c>
      <c r="HV25">
        <v>4.9867999999999997</v>
      </c>
      <c r="HW25">
        <v>3.2704</v>
      </c>
      <c r="HX25">
        <v>9999</v>
      </c>
      <c r="HY25">
        <v>9999</v>
      </c>
      <c r="HZ25">
        <v>9999</v>
      </c>
      <c r="IA25">
        <v>999.9</v>
      </c>
      <c r="IB25">
        <v>1.86707</v>
      </c>
      <c r="IC25">
        <v>1.8626400000000001</v>
      </c>
      <c r="ID25">
        <v>1.8620300000000001</v>
      </c>
      <c r="IE25">
        <v>1.8615699999999999</v>
      </c>
      <c r="IF25">
        <v>1.8615699999999999</v>
      </c>
      <c r="IG25">
        <v>1.86246</v>
      </c>
      <c r="IH25">
        <v>1.8632500000000001</v>
      </c>
      <c r="II25">
        <v>1.86127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-11.222</v>
      </c>
      <c r="IX25">
        <v>-0.51570000000000005</v>
      </c>
      <c r="IY25">
        <v>-9.2151483193030241</v>
      </c>
      <c r="IZ25">
        <v>-5.6215304933332991E-3</v>
      </c>
      <c r="JA25">
        <v>2.3979931213773931E-6</v>
      </c>
      <c r="JB25">
        <v>-3.6297174575716598E-10</v>
      </c>
      <c r="JC25">
        <v>-0.86475667555646352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1.4</v>
      </c>
      <c r="JL25">
        <v>1.3</v>
      </c>
      <c r="JM25">
        <v>1.17065</v>
      </c>
      <c r="JN25">
        <v>2.4536099999999998</v>
      </c>
      <c r="JO25">
        <v>1.50024</v>
      </c>
      <c r="JP25">
        <v>2.2851599999999999</v>
      </c>
      <c r="JQ25">
        <v>1.4477500000000001</v>
      </c>
      <c r="JR25">
        <v>2.3071299999999999</v>
      </c>
      <c r="JS25">
        <v>30.178999999999998</v>
      </c>
      <c r="JT25">
        <v>23.973700000000001</v>
      </c>
      <c r="JU25">
        <v>18</v>
      </c>
      <c r="JV25">
        <v>529.45399999999995</v>
      </c>
      <c r="JW25">
        <v>511.73599999999999</v>
      </c>
      <c r="JX25">
        <v>25.139099999999999</v>
      </c>
      <c r="JY25">
        <v>25.6538</v>
      </c>
      <c r="JZ25">
        <v>30.0002</v>
      </c>
      <c r="KA25">
        <v>25.684899999999999</v>
      </c>
      <c r="KB25">
        <v>25.6983</v>
      </c>
      <c r="KC25">
        <v>23.4176</v>
      </c>
      <c r="KD25">
        <v>30.6099</v>
      </c>
      <c r="KE25">
        <v>92.781999999999996</v>
      </c>
      <c r="KF25">
        <v>25.1372</v>
      </c>
      <c r="KG25">
        <v>452.274</v>
      </c>
      <c r="KH25">
        <v>19.6555</v>
      </c>
      <c r="KI25">
        <v>101.36199999999999</v>
      </c>
      <c r="KJ25">
        <v>98.534000000000006</v>
      </c>
    </row>
    <row r="26" spans="1:296" x14ac:dyDescent="0.3">
      <c r="A26">
        <v>10</v>
      </c>
      <c r="B26">
        <v>1785943342.0999999</v>
      </c>
      <c r="C26">
        <v>1772.599999904633</v>
      </c>
      <c r="D26" t="s">
        <v>826</v>
      </c>
      <c r="E26" t="s">
        <v>827</v>
      </c>
      <c r="F26">
        <v>15</v>
      </c>
      <c r="H26">
        <v>1785943334.349999</v>
      </c>
      <c r="I26">
        <f t="shared" si="0"/>
        <v>1.6109981577414445E-3</v>
      </c>
      <c r="J26">
        <f t="shared" si="1"/>
        <v>1.6109981577414445</v>
      </c>
      <c r="K26">
        <f t="shared" si="2"/>
        <v>18.95859369047421</v>
      </c>
      <c r="L26">
        <f t="shared" si="3"/>
        <v>420.09526666666659</v>
      </c>
      <c r="M26">
        <f t="shared" si="4"/>
        <v>215.73560449948886</v>
      </c>
      <c r="N26">
        <f t="shared" si="5"/>
        <v>21.131661425354615</v>
      </c>
      <c r="O26">
        <f t="shared" si="6"/>
        <v>41.149030370715145</v>
      </c>
      <c r="P26">
        <f t="shared" si="7"/>
        <v>0.15635322492013645</v>
      </c>
      <c r="Q26">
        <f t="shared" si="8"/>
        <v>2.8938043054571967</v>
      </c>
      <c r="R26">
        <f t="shared" si="9"/>
        <v>0.15180713794683928</v>
      </c>
      <c r="S26">
        <f t="shared" si="10"/>
        <v>9.5276898899881418E-2</v>
      </c>
      <c r="T26">
        <f t="shared" si="11"/>
        <v>64.408335743661411</v>
      </c>
      <c r="U26">
        <f t="shared" si="12"/>
        <v>25.65513669066836</v>
      </c>
      <c r="V26">
        <f t="shared" si="13"/>
        <v>24.955766666666658</v>
      </c>
      <c r="W26">
        <f t="shared" si="14"/>
        <v>3.1713019554500397</v>
      </c>
      <c r="X26">
        <f t="shared" si="15"/>
        <v>65.18559373940262</v>
      </c>
      <c r="Y26">
        <f t="shared" si="16"/>
        <v>2.1601143309742823</v>
      </c>
      <c r="Z26">
        <f t="shared" si="17"/>
        <v>3.3137909882510765</v>
      </c>
      <c r="AA26">
        <f t="shared" si="18"/>
        <v>1.0111876244757574</v>
      </c>
      <c r="AB26">
        <f t="shared" si="19"/>
        <v>-71.045018756397695</v>
      </c>
      <c r="AC26">
        <f t="shared" si="20"/>
        <v>115.29092466013373</v>
      </c>
      <c r="AD26">
        <f t="shared" si="21"/>
        <v>8.4548894971976036</v>
      </c>
      <c r="AE26">
        <f t="shared" si="22"/>
        <v>117.10913114459504</v>
      </c>
      <c r="AF26">
        <f t="shared" si="23"/>
        <v>18.95859369047421</v>
      </c>
      <c r="AG26">
        <f t="shared" si="24"/>
        <v>1.6109981577414445</v>
      </c>
      <c r="AH26">
        <f t="shared" si="25"/>
        <v>18.811548094653922</v>
      </c>
      <c r="AI26">
        <v>452.74275402043719</v>
      </c>
      <c r="AJ26">
        <v>429.67514545454537</v>
      </c>
      <c r="AK26">
        <v>6.1158865061099587E-3</v>
      </c>
      <c r="AL26">
        <v>67.041748818368205</v>
      </c>
      <c r="AM26">
        <f t="shared" si="26"/>
        <v>1.6045329934493782</v>
      </c>
      <c r="AN26">
        <v>20.163987568509299</v>
      </c>
      <c r="AO26">
        <v>22.047319999999999</v>
      </c>
      <c r="AP26">
        <v>-9.6830577464821559E-5</v>
      </c>
      <c r="AQ26">
        <v>77.919880974964684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52031.873265915376</v>
      </c>
      <c r="AW26" t="s">
        <v>791</v>
      </c>
      <c r="AX26">
        <v>13187.8</v>
      </c>
      <c r="AY26">
        <v>842.64307290737111</v>
      </c>
      <c r="AZ26">
        <v>2516.38</v>
      </c>
      <c r="BA26">
        <f t="shared" si="30"/>
        <v>0.66513679455910035</v>
      </c>
      <c r="BB26">
        <v>-2.8380250201795221</v>
      </c>
      <c r="BC26" t="s">
        <v>828</v>
      </c>
      <c r="BD26">
        <v>13197</v>
      </c>
      <c r="BE26">
        <v>847.71982352941177</v>
      </c>
      <c r="BF26">
        <v>1732.36</v>
      </c>
      <c r="BG26">
        <f t="shared" si="31"/>
        <v>0.51065608561187525</v>
      </c>
      <c r="BH26">
        <v>0.5</v>
      </c>
      <c r="BI26">
        <f t="shared" si="32"/>
        <v>336.28086821951371</v>
      </c>
      <c r="BJ26">
        <f t="shared" si="33"/>
        <v>18.95859369047421</v>
      </c>
      <c r="BK26">
        <f t="shared" si="34"/>
        <v>85.861935915569859</v>
      </c>
      <c r="BL26">
        <f t="shared" si="35"/>
        <v>6.4816707611286342E-2</v>
      </c>
      <c r="BM26">
        <f t="shared" si="36"/>
        <v>0.45257336812209947</v>
      </c>
      <c r="BN26">
        <f t="shared" si="37"/>
        <v>731.74673216762983</v>
      </c>
      <c r="BO26" t="s">
        <v>408</v>
      </c>
      <c r="BP26">
        <v>0</v>
      </c>
      <c r="BQ26">
        <f t="shared" si="38"/>
        <v>731.74673216762983</v>
      </c>
      <c r="BR26">
        <f t="shared" si="39"/>
        <v>0.57760123059431656</v>
      </c>
      <c r="BS26">
        <f t="shared" si="40"/>
        <v>0.88409798761412128</v>
      </c>
      <c r="BT26">
        <f t="shared" si="41"/>
        <v>0.43931714942884437</v>
      </c>
      <c r="BU26">
        <f t="shared" si="42"/>
        <v>0.99429397096149419</v>
      </c>
      <c r="BV26">
        <f t="shared" si="43"/>
        <v>0.46842486851376641</v>
      </c>
      <c r="BW26">
        <f t="shared" si="44"/>
        <v>0.7631481480038379</v>
      </c>
      <c r="BX26">
        <f t="shared" si="45"/>
        <v>0.2368518519961621</v>
      </c>
      <c r="DG26">
        <f t="shared" si="46"/>
        <v>399.98203333333339</v>
      </c>
      <c r="DH26">
        <f t="shared" si="47"/>
        <v>336.28086821951371</v>
      </c>
      <c r="DI26">
        <f t="shared" si="48"/>
        <v>0.84073993378414325</v>
      </c>
      <c r="DJ26">
        <f t="shared" si="49"/>
        <v>0.16102807220339665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1785943334.349999</v>
      </c>
      <c r="DQ26">
        <v>420.09526666666659</v>
      </c>
      <c r="DR26">
        <v>443.65456666666671</v>
      </c>
      <c r="DS26">
        <v>22.052859999999999</v>
      </c>
      <c r="DT26">
        <v>20.162546666666671</v>
      </c>
      <c r="DU26">
        <v>431.25146666666672</v>
      </c>
      <c r="DV26">
        <v>22.563030000000001</v>
      </c>
      <c r="DW26">
        <v>500.06663333333341</v>
      </c>
      <c r="DX26">
        <v>97.902849999999987</v>
      </c>
      <c r="DY26">
        <v>4.8813910000000009E-2</v>
      </c>
      <c r="DZ26">
        <v>25.694760000000009</v>
      </c>
      <c r="EA26">
        <v>24.955766666666658</v>
      </c>
      <c r="EB26">
        <v>999.9000000000002</v>
      </c>
      <c r="EC26">
        <v>0</v>
      </c>
      <c r="ED26">
        <v>0</v>
      </c>
      <c r="EE26">
        <v>10007.5</v>
      </c>
      <c r="EF26">
        <v>0</v>
      </c>
      <c r="EG26">
        <v>19.92886</v>
      </c>
      <c r="EH26">
        <v>-23.559316666666671</v>
      </c>
      <c r="EI26">
        <v>429.56839999999988</v>
      </c>
      <c r="EJ26">
        <v>452.78366666666659</v>
      </c>
      <c r="EK26">
        <v>1.890317666666667</v>
      </c>
      <c r="EL26">
        <v>443.65456666666671</v>
      </c>
      <c r="EM26">
        <v>20.162546666666671</v>
      </c>
      <c r="EN26">
        <v>2.1590376666666669</v>
      </c>
      <c r="EO26">
        <v>1.9739713333333331</v>
      </c>
      <c r="EP26">
        <v>18.661566666666658</v>
      </c>
      <c r="EQ26">
        <v>17.237093333333341</v>
      </c>
      <c r="ER26">
        <v>399.98203333333339</v>
      </c>
      <c r="ES26">
        <v>0.97502349999999993</v>
      </c>
      <c r="ET26">
        <v>2.4976573333333332E-2</v>
      </c>
      <c r="EU26">
        <v>0</v>
      </c>
      <c r="EV26">
        <v>847.8139666666666</v>
      </c>
      <c r="EW26">
        <v>5.0010700000000003</v>
      </c>
      <c r="EX26">
        <v>3724.7436666666672</v>
      </c>
      <c r="EY26">
        <v>3583.543000000001</v>
      </c>
      <c r="EZ26">
        <v>36.076900000000002</v>
      </c>
      <c r="FA26">
        <v>38.968566666666661</v>
      </c>
      <c r="FB26">
        <v>38.010133333333322</v>
      </c>
      <c r="FC26">
        <v>39.289333333333317</v>
      </c>
      <c r="FD26">
        <v>38.260133333333322</v>
      </c>
      <c r="FE26">
        <v>385.1153333333333</v>
      </c>
      <c r="FF26">
        <v>9.8653333333333322</v>
      </c>
      <c r="FG26">
        <v>0</v>
      </c>
      <c r="FH26">
        <v>180.70000004768369</v>
      </c>
      <c r="FI26">
        <v>0</v>
      </c>
      <c r="FJ26">
        <v>847.71982352941177</v>
      </c>
      <c r="FK26">
        <v>0.2529411917510106</v>
      </c>
      <c r="FL26">
        <v>2.794117815049816</v>
      </c>
      <c r="FM26">
        <v>3724.7864705882348</v>
      </c>
      <c r="FN26">
        <v>10</v>
      </c>
      <c r="FO26">
        <v>1785943277.0999999</v>
      </c>
      <c r="FP26" t="s">
        <v>829</v>
      </c>
      <c r="FQ26">
        <v>1785943276.0999999</v>
      </c>
      <c r="FR26">
        <v>1785943277.0999999</v>
      </c>
      <c r="FS26">
        <v>11</v>
      </c>
      <c r="FT26">
        <v>6.6000000000000003E-2</v>
      </c>
      <c r="FU26">
        <v>2E-3</v>
      </c>
      <c r="FV26">
        <v>-11.247</v>
      </c>
      <c r="FW26">
        <v>-0.56399999999999995</v>
      </c>
      <c r="FX26">
        <v>445</v>
      </c>
      <c r="FY26">
        <v>20</v>
      </c>
      <c r="FZ26">
        <v>0.31</v>
      </c>
      <c r="GA26">
        <v>0.14000000000000001</v>
      </c>
      <c r="GB26">
        <v>420.09529032258052</v>
      </c>
      <c r="GC26">
        <v>0.58698387096775817</v>
      </c>
      <c r="GD26">
        <v>6.7420296335462551E-2</v>
      </c>
      <c r="GE26">
        <v>-1</v>
      </c>
      <c r="GF26">
        <v>847.91894117647053</v>
      </c>
      <c r="GG26">
        <v>-1.9517494292605191</v>
      </c>
      <c r="GH26">
        <v>0.26573659461252752</v>
      </c>
      <c r="GI26">
        <v>1</v>
      </c>
      <c r="GJ26">
        <v>1.894830731707317</v>
      </c>
      <c r="GK26">
        <v>-9.3005435540068654E-2</v>
      </c>
      <c r="GL26">
        <v>9.8751260295122604E-3</v>
      </c>
      <c r="GM26">
        <v>1</v>
      </c>
      <c r="GN26">
        <v>2</v>
      </c>
      <c r="GO26">
        <v>2</v>
      </c>
      <c r="GP26" t="s">
        <v>411</v>
      </c>
      <c r="GQ26">
        <v>3.1315900000000001</v>
      </c>
      <c r="GR26">
        <v>2.72505</v>
      </c>
      <c r="GS26">
        <v>9.4360100000000002E-2</v>
      </c>
      <c r="GT26">
        <v>9.7066399999999997E-2</v>
      </c>
      <c r="GU26">
        <v>0.109318</v>
      </c>
      <c r="GV26">
        <v>0.10131999999999999</v>
      </c>
      <c r="GW26">
        <v>22972.5</v>
      </c>
      <c r="GX26">
        <v>30475.1</v>
      </c>
      <c r="GY26">
        <v>27478.2</v>
      </c>
      <c r="GZ26">
        <v>34650.800000000003</v>
      </c>
      <c r="HA26">
        <v>35775.9</v>
      </c>
      <c r="HB26">
        <v>39149.800000000003</v>
      </c>
      <c r="HC26">
        <v>40536.5</v>
      </c>
      <c r="HD26">
        <v>43658.6</v>
      </c>
      <c r="HE26">
        <v>2.0529999999999999</v>
      </c>
      <c r="HF26">
        <v>1.9950000000000001</v>
      </c>
      <c r="HG26">
        <v>5.9455599999999997E-2</v>
      </c>
      <c r="HH26">
        <v>0</v>
      </c>
      <c r="HI26">
        <v>23.972200000000001</v>
      </c>
      <c r="HJ26">
        <v>999.9</v>
      </c>
      <c r="HK26">
        <v>77</v>
      </c>
      <c r="HL26">
        <v>24.9</v>
      </c>
      <c r="HM26">
        <v>24.859200000000001</v>
      </c>
      <c r="HN26">
        <v>60.532899999999998</v>
      </c>
      <c r="HO26">
        <v>2.2716400000000001</v>
      </c>
      <c r="HP26">
        <v>1</v>
      </c>
      <c r="HQ26">
        <v>-0.12422800000000001</v>
      </c>
      <c r="HR26">
        <v>-0.51551199999999997</v>
      </c>
      <c r="HS26">
        <v>20.255400000000002</v>
      </c>
      <c r="HT26">
        <v>5.2172900000000002</v>
      </c>
      <c r="HU26">
        <v>11.902100000000001</v>
      </c>
      <c r="HV26">
        <v>4.9875999999999996</v>
      </c>
      <c r="HW26">
        <v>3.27</v>
      </c>
      <c r="HX26">
        <v>9999</v>
      </c>
      <c r="HY26">
        <v>9999</v>
      </c>
      <c r="HZ26">
        <v>9999</v>
      </c>
      <c r="IA26">
        <v>999.9</v>
      </c>
      <c r="IB26">
        <v>1.86707</v>
      </c>
      <c r="IC26">
        <v>1.8626400000000001</v>
      </c>
      <c r="ID26">
        <v>1.86212</v>
      </c>
      <c r="IE26">
        <v>1.8615699999999999</v>
      </c>
      <c r="IF26">
        <v>1.8616900000000001</v>
      </c>
      <c r="IG26">
        <v>1.86249</v>
      </c>
      <c r="IH26">
        <v>1.8632500000000001</v>
      </c>
      <c r="II26">
        <v>1.8613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-11.157</v>
      </c>
      <c r="IX26">
        <v>-0.51029999999999998</v>
      </c>
      <c r="IY26">
        <v>-9.1488061923963038</v>
      </c>
      <c r="IZ26">
        <v>-5.6215304933332991E-3</v>
      </c>
      <c r="JA26">
        <v>2.3979931213773931E-6</v>
      </c>
      <c r="JB26">
        <v>-3.6297174575716598E-10</v>
      </c>
      <c r="JC26">
        <v>-0.86318059097562361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1.1000000000000001</v>
      </c>
      <c r="JL26">
        <v>1.1000000000000001</v>
      </c>
      <c r="JM26">
        <v>1.1523399999999999</v>
      </c>
      <c r="JN26">
        <v>2.4450699999999999</v>
      </c>
      <c r="JO26">
        <v>1.50024</v>
      </c>
      <c r="JP26">
        <v>2.2839399999999999</v>
      </c>
      <c r="JQ26">
        <v>1.4477500000000001</v>
      </c>
      <c r="JR26">
        <v>2.4438499999999999</v>
      </c>
      <c r="JS26">
        <v>30.846900000000002</v>
      </c>
      <c r="JT26">
        <v>23.973700000000001</v>
      </c>
      <c r="JU26">
        <v>18</v>
      </c>
      <c r="JV26">
        <v>529</v>
      </c>
      <c r="JW26">
        <v>511.07900000000001</v>
      </c>
      <c r="JX26">
        <v>25.2148</v>
      </c>
      <c r="JY26">
        <v>25.6906</v>
      </c>
      <c r="JZ26">
        <v>30.0001</v>
      </c>
      <c r="KA26">
        <v>25.7302</v>
      </c>
      <c r="KB26">
        <v>25.743400000000001</v>
      </c>
      <c r="KC26">
        <v>23.050599999999999</v>
      </c>
      <c r="KD26">
        <v>28.978100000000001</v>
      </c>
      <c r="KE26">
        <v>92.198400000000007</v>
      </c>
      <c r="KF26">
        <v>25.211099999999998</v>
      </c>
      <c r="KG26">
        <v>443.48</v>
      </c>
      <c r="KH26">
        <v>20.126799999999999</v>
      </c>
      <c r="KI26">
        <v>101.352</v>
      </c>
      <c r="KJ26">
        <v>98.529899999999998</v>
      </c>
    </row>
    <row r="27" spans="1:296" x14ac:dyDescent="0.3">
      <c r="A27">
        <v>11</v>
      </c>
      <c r="B27">
        <v>1785943523.5999999</v>
      </c>
      <c r="C27">
        <v>1954.099999904633</v>
      </c>
      <c r="D27" t="s">
        <v>830</v>
      </c>
      <c r="E27" t="s">
        <v>831</v>
      </c>
      <c r="F27">
        <v>15</v>
      </c>
      <c r="H27">
        <v>1785943515.849999</v>
      </c>
      <c r="I27">
        <f t="shared" si="0"/>
        <v>1.4561164390228282E-3</v>
      </c>
      <c r="J27">
        <f t="shared" si="1"/>
        <v>1.4561164390228283</v>
      </c>
      <c r="K27">
        <f t="shared" si="2"/>
        <v>14.183231247472271</v>
      </c>
      <c r="L27">
        <f t="shared" si="3"/>
        <v>419.97416666666658</v>
      </c>
      <c r="M27">
        <f t="shared" si="4"/>
        <v>245.94060593413718</v>
      </c>
      <c r="N27">
        <f t="shared" si="5"/>
        <v>24.090087619017055</v>
      </c>
      <c r="O27">
        <f t="shared" si="6"/>
        <v>41.136820145238872</v>
      </c>
      <c r="P27">
        <f t="shared" si="7"/>
        <v>0.13790582362425721</v>
      </c>
      <c r="Q27">
        <f t="shared" si="8"/>
        <v>2.8923194395202443</v>
      </c>
      <c r="R27">
        <f t="shared" si="9"/>
        <v>0.134354311548705</v>
      </c>
      <c r="S27">
        <f t="shared" si="10"/>
        <v>8.4282915946893494E-2</v>
      </c>
      <c r="T27">
        <f t="shared" si="11"/>
        <v>48.443255151972345</v>
      </c>
      <c r="U27">
        <f t="shared" si="12"/>
        <v>25.630715704665178</v>
      </c>
      <c r="V27">
        <f t="shared" si="13"/>
        <v>25.031653333333331</v>
      </c>
      <c r="W27">
        <f t="shared" si="14"/>
        <v>3.1856830462451322</v>
      </c>
      <c r="X27">
        <f t="shared" si="15"/>
        <v>64.855813104676358</v>
      </c>
      <c r="Y27">
        <f t="shared" si="16"/>
        <v>2.1530334611523982</v>
      </c>
      <c r="Z27">
        <f t="shared" si="17"/>
        <v>3.3197231799059135</v>
      </c>
      <c r="AA27">
        <f t="shared" si="18"/>
        <v>1.032649585092734</v>
      </c>
      <c r="AB27">
        <f t="shared" si="19"/>
        <v>-64.214734960906725</v>
      </c>
      <c r="AC27">
        <f t="shared" si="20"/>
        <v>108.1015743838603</v>
      </c>
      <c r="AD27">
        <f t="shared" si="21"/>
        <v>7.935955135812268</v>
      </c>
      <c r="AE27">
        <f t="shared" si="22"/>
        <v>100.26604971073819</v>
      </c>
      <c r="AF27">
        <f t="shared" si="23"/>
        <v>14.183231247472271</v>
      </c>
      <c r="AG27">
        <f t="shared" si="24"/>
        <v>1.4561164390228283</v>
      </c>
      <c r="AH27">
        <f t="shared" si="25"/>
        <v>14.127355169693823</v>
      </c>
      <c r="AI27">
        <v>446.73670000909971</v>
      </c>
      <c r="AJ27">
        <v>429.43884848484828</v>
      </c>
      <c r="AK27">
        <v>-7.7863319637252917E-4</v>
      </c>
      <c r="AL27">
        <v>67.058369697694332</v>
      </c>
      <c r="AM27">
        <f t="shared" si="26"/>
        <v>1.4473939664939723</v>
      </c>
      <c r="AN27">
        <v>20.273098128707399</v>
      </c>
      <c r="AO27">
        <v>21.97147878787878</v>
      </c>
      <c r="AP27">
        <v>2.754254983948504E-5</v>
      </c>
      <c r="AQ27">
        <v>78.118607489502523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51984.104864597306</v>
      </c>
      <c r="AW27" t="s">
        <v>791</v>
      </c>
      <c r="AX27">
        <v>13187.8</v>
      </c>
      <c r="AY27">
        <v>842.64307290737111</v>
      </c>
      <c r="AZ27">
        <v>2516.38</v>
      </c>
      <c r="BA27">
        <f t="shared" si="30"/>
        <v>0.66513679455910035</v>
      </c>
      <c r="BB27">
        <v>-2.8380250201795221</v>
      </c>
      <c r="BC27" t="s">
        <v>832</v>
      </c>
      <c r="BD27">
        <v>13181</v>
      </c>
      <c r="BE27">
        <v>825.71552941176469</v>
      </c>
      <c r="BF27">
        <v>1784.63</v>
      </c>
      <c r="BG27">
        <f t="shared" si="31"/>
        <v>0.53731836323957083</v>
      </c>
      <c r="BH27">
        <v>0.5</v>
      </c>
      <c r="BI27">
        <f t="shared" si="32"/>
        <v>252.28853514609963</v>
      </c>
      <c r="BJ27">
        <f t="shared" si="33"/>
        <v>14.183231247472271</v>
      </c>
      <c r="BK27">
        <f t="shared" si="34"/>
        <v>67.77963138440559</v>
      </c>
      <c r="BL27">
        <f t="shared" si="35"/>
        <v>6.746741883373665E-2</v>
      </c>
      <c r="BM27">
        <f t="shared" si="36"/>
        <v>0.41002896959033525</v>
      </c>
      <c r="BN27">
        <f t="shared" si="37"/>
        <v>740.91303477270435</v>
      </c>
      <c r="BO27" t="s">
        <v>408</v>
      </c>
      <c r="BP27">
        <v>0</v>
      </c>
      <c r="BQ27">
        <f t="shared" si="38"/>
        <v>740.91303477270435</v>
      </c>
      <c r="BR27">
        <f t="shared" si="39"/>
        <v>0.58483661331889281</v>
      </c>
      <c r="BS27">
        <f t="shared" si="40"/>
        <v>0.9187495293605844</v>
      </c>
      <c r="BT27">
        <f t="shared" si="41"/>
        <v>0.41214509440693603</v>
      </c>
      <c r="BU27">
        <f t="shared" si="42"/>
        <v>1.017970040781619</v>
      </c>
      <c r="BV27">
        <f t="shared" si="43"/>
        <v>0.43719534901526552</v>
      </c>
      <c r="BW27">
        <f t="shared" si="44"/>
        <v>0.82439227282001237</v>
      </c>
      <c r="BX27">
        <f t="shared" si="45"/>
        <v>0.17560772717998763</v>
      </c>
      <c r="DG27">
        <f t="shared" si="46"/>
        <v>299.99563333333327</v>
      </c>
      <c r="DH27">
        <f t="shared" si="47"/>
        <v>252.28853514609963</v>
      </c>
      <c r="DI27">
        <f t="shared" si="48"/>
        <v>0.84097402466446902</v>
      </c>
      <c r="DJ27">
        <f t="shared" si="49"/>
        <v>0.16147986760242516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1785943515.849999</v>
      </c>
      <c r="DQ27">
        <v>419.97416666666658</v>
      </c>
      <c r="DR27">
        <v>437.72620000000012</v>
      </c>
      <c r="DS27">
        <v>21.980756666666672</v>
      </c>
      <c r="DT27">
        <v>20.27198666666667</v>
      </c>
      <c r="DU27">
        <v>431.02766666666662</v>
      </c>
      <c r="DV27">
        <v>22.49602333333333</v>
      </c>
      <c r="DW27">
        <v>500.04736666666662</v>
      </c>
      <c r="DX27">
        <v>97.902596666666639</v>
      </c>
      <c r="DY27">
        <v>4.8237956666666658E-2</v>
      </c>
      <c r="DZ27">
        <v>25.724920000000001</v>
      </c>
      <c r="EA27">
        <v>25.031653333333331</v>
      </c>
      <c r="EB27">
        <v>999.9000000000002</v>
      </c>
      <c r="EC27">
        <v>0</v>
      </c>
      <c r="ED27">
        <v>0</v>
      </c>
      <c r="EE27">
        <v>9999</v>
      </c>
      <c r="EF27">
        <v>0</v>
      </c>
      <c r="EG27">
        <v>24.77732</v>
      </c>
      <c r="EH27">
        <v>-17.752046666666669</v>
      </c>
      <c r="EI27">
        <v>429.41286666666662</v>
      </c>
      <c r="EJ27">
        <v>446.78336666666661</v>
      </c>
      <c r="EK27">
        <v>1.708773333333333</v>
      </c>
      <c r="EL27">
        <v>437.72620000000012</v>
      </c>
      <c r="EM27">
        <v>20.27198666666667</v>
      </c>
      <c r="EN27">
        <v>2.151972666666667</v>
      </c>
      <c r="EO27">
        <v>1.9846790000000001</v>
      </c>
      <c r="EP27">
        <v>18.609183333333341</v>
      </c>
      <c r="EQ27">
        <v>17.322636666666661</v>
      </c>
      <c r="ER27">
        <v>299.99563333333327</v>
      </c>
      <c r="ES27">
        <v>0.96697483333333312</v>
      </c>
      <c r="ET27">
        <v>3.3025196666666673E-2</v>
      </c>
      <c r="EU27">
        <v>0</v>
      </c>
      <c r="EV27">
        <v>825.85586666666654</v>
      </c>
      <c r="EW27">
        <v>5.0010700000000003</v>
      </c>
      <c r="EX27">
        <v>2821.6096666666658</v>
      </c>
      <c r="EY27">
        <v>2667.96</v>
      </c>
      <c r="EZ27">
        <v>35.949733333333327</v>
      </c>
      <c r="FA27">
        <v>40.12053333333332</v>
      </c>
      <c r="FB27">
        <v>38.099799999999988</v>
      </c>
      <c r="FC27">
        <v>40.899799999999992</v>
      </c>
      <c r="FD27">
        <v>38.749733333333317</v>
      </c>
      <c r="FE27">
        <v>285.25133333333332</v>
      </c>
      <c r="FF27">
        <v>9.740000000000002</v>
      </c>
      <c r="FG27">
        <v>0</v>
      </c>
      <c r="FH27">
        <v>180.9000000953674</v>
      </c>
      <c r="FI27">
        <v>0</v>
      </c>
      <c r="FJ27">
        <v>825.71552941176469</v>
      </c>
      <c r="FK27">
        <v>-3.2857843042774699</v>
      </c>
      <c r="FL27">
        <v>-17.622548897779112</v>
      </c>
      <c r="FM27">
        <v>2821.2176470588238</v>
      </c>
      <c r="FN27">
        <v>10</v>
      </c>
      <c r="FO27">
        <v>1785943466.5999999</v>
      </c>
      <c r="FP27" t="s">
        <v>833</v>
      </c>
      <c r="FQ27">
        <v>1785943460.0999999</v>
      </c>
      <c r="FR27">
        <v>1785943466.5999999</v>
      </c>
      <c r="FS27">
        <v>12</v>
      </c>
      <c r="FT27">
        <v>0.10199999999999999</v>
      </c>
      <c r="FU27">
        <v>-3.0000000000000001E-3</v>
      </c>
      <c r="FV27">
        <v>-11.122</v>
      </c>
      <c r="FW27">
        <v>-0.56000000000000005</v>
      </c>
      <c r="FX27">
        <v>438</v>
      </c>
      <c r="FY27">
        <v>20</v>
      </c>
      <c r="FZ27">
        <v>0.42</v>
      </c>
      <c r="GA27">
        <v>0.15</v>
      </c>
      <c r="GB27">
        <v>419.96809677419338</v>
      </c>
      <c r="GC27">
        <v>0.52437096774098224</v>
      </c>
      <c r="GD27">
        <v>5.8775326641818892E-2</v>
      </c>
      <c r="GE27">
        <v>-1</v>
      </c>
      <c r="GF27">
        <v>825.99711764705876</v>
      </c>
      <c r="GG27">
        <v>-2.8108174201945109</v>
      </c>
      <c r="GH27">
        <v>0.33774710036685912</v>
      </c>
      <c r="GI27">
        <v>1</v>
      </c>
      <c r="GJ27">
        <v>1.7154956097560969</v>
      </c>
      <c r="GK27">
        <v>-0.1187199303135896</v>
      </c>
      <c r="GL27">
        <v>1.240887409620689E-2</v>
      </c>
      <c r="GM27">
        <v>1</v>
      </c>
      <c r="GN27">
        <v>2</v>
      </c>
      <c r="GO27">
        <v>2</v>
      </c>
      <c r="GP27" t="s">
        <v>411</v>
      </c>
      <c r="GQ27">
        <v>3.1314500000000001</v>
      </c>
      <c r="GR27">
        <v>2.7244299999999999</v>
      </c>
      <c r="GS27">
        <v>9.4314400000000007E-2</v>
      </c>
      <c r="GT27">
        <v>9.6134499999999998E-2</v>
      </c>
      <c r="GU27">
        <v>0.109067</v>
      </c>
      <c r="GV27">
        <v>0.10169300000000001</v>
      </c>
      <c r="GW27">
        <v>22973.200000000001</v>
      </c>
      <c r="GX27">
        <v>30504.7</v>
      </c>
      <c r="GY27">
        <v>27477.7</v>
      </c>
      <c r="GZ27">
        <v>34648.9</v>
      </c>
      <c r="HA27">
        <v>35786.5</v>
      </c>
      <c r="HB27">
        <v>39132</v>
      </c>
      <c r="HC27">
        <v>40536.699999999997</v>
      </c>
      <c r="HD27">
        <v>43657.2</v>
      </c>
      <c r="HE27">
        <v>2.052</v>
      </c>
      <c r="HF27">
        <v>1.9938</v>
      </c>
      <c r="HG27">
        <v>6.0498700000000002E-2</v>
      </c>
      <c r="HH27">
        <v>0</v>
      </c>
      <c r="HI27">
        <v>24.050899999999999</v>
      </c>
      <c r="HJ27">
        <v>999.9</v>
      </c>
      <c r="HK27">
        <v>76.5</v>
      </c>
      <c r="HL27">
        <v>25.1</v>
      </c>
      <c r="HM27">
        <v>24.9954</v>
      </c>
      <c r="HN27">
        <v>60.642899999999997</v>
      </c>
      <c r="HO27">
        <v>2.2796500000000002</v>
      </c>
      <c r="HP27">
        <v>1</v>
      </c>
      <c r="HQ27">
        <v>-0.12235799999999999</v>
      </c>
      <c r="HR27">
        <v>-0.119935</v>
      </c>
      <c r="HS27">
        <v>20.2591</v>
      </c>
      <c r="HT27">
        <v>5.2160900000000003</v>
      </c>
      <c r="HU27">
        <v>11.902100000000001</v>
      </c>
      <c r="HV27">
        <v>4.9880000000000004</v>
      </c>
      <c r="HW27">
        <v>3.2702</v>
      </c>
      <c r="HX27">
        <v>9999</v>
      </c>
      <c r="HY27">
        <v>9999</v>
      </c>
      <c r="HZ27">
        <v>9999</v>
      </c>
      <c r="IA27">
        <v>999.9</v>
      </c>
      <c r="IB27">
        <v>1.8672200000000001</v>
      </c>
      <c r="IC27">
        <v>1.86267</v>
      </c>
      <c r="ID27">
        <v>1.86215</v>
      </c>
      <c r="IE27">
        <v>1.8616600000000001</v>
      </c>
      <c r="IF27">
        <v>1.86172</v>
      </c>
      <c r="IG27">
        <v>1.86249</v>
      </c>
      <c r="IH27">
        <v>1.86337</v>
      </c>
      <c r="II27">
        <v>1.8613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-11.054</v>
      </c>
      <c r="IX27">
        <v>-0.51549999999999996</v>
      </c>
      <c r="IY27">
        <v>-9.0469677592458329</v>
      </c>
      <c r="IZ27">
        <v>-5.6215304933332991E-3</v>
      </c>
      <c r="JA27">
        <v>2.3979931213773931E-6</v>
      </c>
      <c r="JB27">
        <v>-3.6297174575716598E-10</v>
      </c>
      <c r="JC27">
        <v>-0.86649453686155709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1.1000000000000001</v>
      </c>
      <c r="JL27">
        <v>0.9</v>
      </c>
      <c r="JM27">
        <v>1.1401399999999999</v>
      </c>
      <c r="JN27">
        <v>2.4438499999999999</v>
      </c>
      <c r="JO27">
        <v>1.50024</v>
      </c>
      <c r="JP27">
        <v>2.2827099999999998</v>
      </c>
      <c r="JQ27">
        <v>1.4477500000000001</v>
      </c>
      <c r="JR27">
        <v>2.4584999999999999</v>
      </c>
      <c r="JS27">
        <v>31.280899999999999</v>
      </c>
      <c r="JT27">
        <v>23.973700000000001</v>
      </c>
      <c r="JU27">
        <v>18</v>
      </c>
      <c r="JV27">
        <v>528.63599999999997</v>
      </c>
      <c r="JW27">
        <v>510.54899999999998</v>
      </c>
      <c r="JX27">
        <v>24.961500000000001</v>
      </c>
      <c r="JY27">
        <v>25.712199999999999</v>
      </c>
      <c r="JZ27">
        <v>30.0001</v>
      </c>
      <c r="KA27">
        <v>25.758199999999999</v>
      </c>
      <c r="KB27">
        <v>25.773499999999999</v>
      </c>
      <c r="KC27">
        <v>22.802600000000002</v>
      </c>
      <c r="KD27">
        <v>28.790900000000001</v>
      </c>
      <c r="KE27">
        <v>91.688400000000001</v>
      </c>
      <c r="KF27">
        <v>24.9682</v>
      </c>
      <c r="KG27">
        <v>437.67899999999997</v>
      </c>
      <c r="KH27">
        <v>20.3047</v>
      </c>
      <c r="KI27">
        <v>101.352</v>
      </c>
      <c r="KJ27">
        <v>98.525700000000001</v>
      </c>
    </row>
    <row r="28" spans="1:296" x14ac:dyDescent="0.3">
      <c r="A28">
        <v>12</v>
      </c>
      <c r="B28">
        <v>1785943705.5</v>
      </c>
      <c r="C28">
        <v>2136</v>
      </c>
      <c r="D28" t="s">
        <v>834</v>
      </c>
      <c r="E28" t="s">
        <v>835</v>
      </c>
      <c r="F28">
        <v>15</v>
      </c>
      <c r="H28">
        <v>1785943697.75</v>
      </c>
      <c r="I28">
        <f t="shared" si="0"/>
        <v>1.2119869709032235E-3</v>
      </c>
      <c r="J28">
        <f t="shared" si="1"/>
        <v>1.2119869709032234</v>
      </c>
      <c r="K28">
        <f t="shared" si="2"/>
        <v>9.3324588116637148</v>
      </c>
      <c r="L28">
        <f t="shared" si="3"/>
        <v>420.036</v>
      </c>
      <c r="M28">
        <f t="shared" si="4"/>
        <v>280.92857011889259</v>
      </c>
      <c r="N28">
        <f t="shared" si="5"/>
        <v>27.521595511520317</v>
      </c>
      <c r="O28">
        <f t="shared" si="6"/>
        <v>41.149466881864605</v>
      </c>
      <c r="P28">
        <f t="shared" si="7"/>
        <v>0.11433272223156135</v>
      </c>
      <c r="Q28">
        <f t="shared" si="8"/>
        <v>2.8940740411777934</v>
      </c>
      <c r="R28">
        <f t="shared" si="9"/>
        <v>0.1118814228680884</v>
      </c>
      <c r="S28">
        <f t="shared" si="10"/>
        <v>7.0141751472423047E-2</v>
      </c>
      <c r="T28">
        <f t="shared" si="11"/>
        <v>32.48403803059503</v>
      </c>
      <c r="U28">
        <f t="shared" si="12"/>
        <v>25.495158563167966</v>
      </c>
      <c r="V28">
        <f t="shared" si="13"/>
        <v>24.987273333333331</v>
      </c>
      <c r="W28">
        <f t="shared" si="14"/>
        <v>3.1772658019836659</v>
      </c>
      <c r="X28">
        <f t="shared" si="15"/>
        <v>65.011205361123999</v>
      </c>
      <c r="Y28">
        <f t="shared" si="16"/>
        <v>2.1448425026519331</v>
      </c>
      <c r="Z28">
        <f t="shared" si="17"/>
        <v>3.2991889486401149</v>
      </c>
      <c r="AA28">
        <f t="shared" si="18"/>
        <v>1.0324232993317328</v>
      </c>
      <c r="AB28">
        <f t="shared" si="19"/>
        <v>-53.448625416832151</v>
      </c>
      <c r="AC28">
        <f t="shared" si="20"/>
        <v>98.771308556736273</v>
      </c>
      <c r="AD28">
        <f t="shared" si="21"/>
        <v>7.24117776416991</v>
      </c>
      <c r="AE28">
        <f t="shared" si="22"/>
        <v>85.047898934669064</v>
      </c>
      <c r="AF28">
        <f t="shared" si="23"/>
        <v>9.3324588116637148</v>
      </c>
      <c r="AG28">
        <f t="shared" si="24"/>
        <v>1.2119869709032234</v>
      </c>
      <c r="AH28">
        <f t="shared" si="25"/>
        <v>9.3054821350287042</v>
      </c>
      <c r="AI28">
        <v>440.77199453714132</v>
      </c>
      <c r="AJ28">
        <v>429.40013333333309</v>
      </c>
      <c r="AK28">
        <v>-5.328635390537623E-3</v>
      </c>
      <c r="AL28">
        <v>67.059382555479374</v>
      </c>
      <c r="AM28">
        <f t="shared" si="26"/>
        <v>1.2100508845191986</v>
      </c>
      <c r="AN28">
        <v>20.479580159172698</v>
      </c>
      <c r="AO28">
        <v>21.90001333333332</v>
      </c>
      <c r="AP28">
        <v>-2.6231634822715991E-5</v>
      </c>
      <c r="AQ28">
        <v>78.124439040540835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52052.900994305506</v>
      </c>
      <c r="AW28" t="s">
        <v>791</v>
      </c>
      <c r="AX28">
        <v>13187.8</v>
      </c>
      <c r="AY28">
        <v>842.64307290737111</v>
      </c>
      <c r="AZ28">
        <v>2516.38</v>
      </c>
      <c r="BA28">
        <f t="shared" si="30"/>
        <v>0.66513679455910035</v>
      </c>
      <c r="BB28">
        <v>-2.8380250201795221</v>
      </c>
      <c r="BC28" t="s">
        <v>836</v>
      </c>
      <c r="BD28">
        <v>13192.3</v>
      </c>
      <c r="BE28">
        <v>806.90223529411765</v>
      </c>
      <c r="BF28">
        <v>1868.51</v>
      </c>
      <c r="BG28">
        <f t="shared" si="31"/>
        <v>0.56815738995557008</v>
      </c>
      <c r="BH28">
        <v>0.5</v>
      </c>
      <c r="BI28">
        <f t="shared" si="32"/>
        <v>168.29103599512695</v>
      </c>
      <c r="BJ28">
        <f t="shared" si="33"/>
        <v>9.3324588116637148</v>
      </c>
      <c r="BK28">
        <f t="shared" si="34"/>
        <v>47.807897881955114</v>
      </c>
      <c r="BL28">
        <f t="shared" si="35"/>
        <v>7.2318075409528323E-2</v>
      </c>
      <c r="BM28">
        <f t="shared" si="36"/>
        <v>0.34673081760333108</v>
      </c>
      <c r="BN28">
        <f t="shared" si="37"/>
        <v>754.98386462303961</v>
      </c>
      <c r="BO28" t="s">
        <v>408</v>
      </c>
      <c r="BP28">
        <v>0</v>
      </c>
      <c r="BQ28">
        <f t="shared" si="38"/>
        <v>754.98386462303961</v>
      </c>
      <c r="BR28">
        <f t="shared" si="39"/>
        <v>0.59594336416554383</v>
      </c>
      <c r="BS28">
        <f t="shared" si="40"/>
        <v>0.9533748072706868</v>
      </c>
      <c r="BT28">
        <f t="shared" si="41"/>
        <v>0.36781618114618375</v>
      </c>
      <c r="BU28">
        <f t="shared" si="42"/>
        <v>1.0348396431051201</v>
      </c>
      <c r="BV28">
        <f t="shared" si="43"/>
        <v>0.38707994638403848</v>
      </c>
      <c r="BW28">
        <f t="shared" si="44"/>
        <v>0.89203197728793793</v>
      </c>
      <c r="BX28">
        <f t="shared" si="45"/>
        <v>0.10796802271206207</v>
      </c>
      <c r="DG28">
        <f t="shared" si="46"/>
        <v>199.9984</v>
      </c>
      <c r="DH28">
        <f t="shared" si="47"/>
        <v>168.29103599512695</v>
      </c>
      <c r="DI28">
        <f t="shared" si="48"/>
        <v>0.8414619116709281</v>
      </c>
      <c r="DJ28">
        <f t="shared" si="49"/>
        <v>0.16242148952489135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1785943697.75</v>
      </c>
      <c r="DQ28">
        <v>420.036</v>
      </c>
      <c r="DR28">
        <v>431.84593333333328</v>
      </c>
      <c r="DS28">
        <v>21.893626666666659</v>
      </c>
      <c r="DT28">
        <v>20.471073333333329</v>
      </c>
      <c r="DU28">
        <v>431.08296666666661</v>
      </c>
      <c r="DV28">
        <v>22.413213333333331</v>
      </c>
      <c r="DW28">
        <v>499.99623333333329</v>
      </c>
      <c r="DX28">
        <v>97.91800666666667</v>
      </c>
      <c r="DY28">
        <v>4.8517349999999987E-2</v>
      </c>
      <c r="DZ28">
        <v>25.62032</v>
      </c>
      <c r="EA28">
        <v>24.987273333333331</v>
      </c>
      <c r="EB28">
        <v>999.9000000000002</v>
      </c>
      <c r="EC28">
        <v>0</v>
      </c>
      <c r="ED28">
        <v>0</v>
      </c>
      <c r="EE28">
        <v>10007.5</v>
      </c>
      <c r="EF28">
        <v>0</v>
      </c>
      <c r="EG28">
        <v>18.729656666666671</v>
      </c>
      <c r="EH28">
        <v>-11.81000666666667</v>
      </c>
      <c r="EI28">
        <v>429.43783333333317</v>
      </c>
      <c r="EJ28">
        <v>440.87113333333338</v>
      </c>
      <c r="EK28">
        <v>1.42256</v>
      </c>
      <c r="EL28">
        <v>431.84593333333328</v>
      </c>
      <c r="EM28">
        <v>20.471073333333329</v>
      </c>
      <c r="EN28">
        <v>2.1437816666666669</v>
      </c>
      <c r="EO28">
        <v>2.0044866666666672</v>
      </c>
      <c r="EP28">
        <v>18.54826666666667</v>
      </c>
      <c r="EQ28">
        <v>17.479813333333329</v>
      </c>
      <c r="ER28">
        <v>199.9984</v>
      </c>
      <c r="ES28">
        <v>0.9500183000000002</v>
      </c>
      <c r="ET28">
        <v>4.9981209999999977E-2</v>
      </c>
      <c r="EU28">
        <v>0</v>
      </c>
      <c r="EV28">
        <v>807.02246666666667</v>
      </c>
      <c r="EW28">
        <v>5.0010700000000003</v>
      </c>
      <c r="EX28">
        <v>1866.4996666666659</v>
      </c>
      <c r="EY28">
        <v>1751.826333333333</v>
      </c>
      <c r="EZ28">
        <v>34.84343333333333</v>
      </c>
      <c r="FA28">
        <v>38.128933333333329</v>
      </c>
      <c r="FB28">
        <v>36.91846666666666</v>
      </c>
      <c r="FC28">
        <v>38.116366666666657</v>
      </c>
      <c r="FD28">
        <v>37.330966666666662</v>
      </c>
      <c r="FE28">
        <v>185.25133333333329</v>
      </c>
      <c r="FF28">
        <v>9.7460000000000022</v>
      </c>
      <c r="FG28">
        <v>0</v>
      </c>
      <c r="FH28">
        <v>181.29999995231631</v>
      </c>
      <c r="FI28">
        <v>0</v>
      </c>
      <c r="FJ28">
        <v>806.90223529411765</v>
      </c>
      <c r="FK28">
        <v>-2.9382353048160859</v>
      </c>
      <c r="FL28">
        <v>-22.504902045740199</v>
      </c>
      <c r="FM28">
        <v>1865.207647058824</v>
      </c>
      <c r="FN28">
        <v>10</v>
      </c>
      <c r="FO28">
        <v>1785943620.5</v>
      </c>
      <c r="FP28" t="s">
        <v>837</v>
      </c>
      <c r="FQ28">
        <v>1785943615</v>
      </c>
      <c r="FR28">
        <v>1785943620.5</v>
      </c>
      <c r="FS28">
        <v>13</v>
      </c>
      <c r="FT28">
        <v>7.0000000000000001E-3</v>
      </c>
      <c r="FU28">
        <v>-2E-3</v>
      </c>
      <c r="FV28">
        <v>-11.093</v>
      </c>
      <c r="FW28">
        <v>-0.55700000000000005</v>
      </c>
      <c r="FX28">
        <v>432</v>
      </c>
      <c r="FY28">
        <v>20</v>
      </c>
      <c r="FZ28">
        <v>0.74</v>
      </c>
      <c r="GA28">
        <v>0.2</v>
      </c>
      <c r="GB28">
        <v>420.03777419354839</v>
      </c>
      <c r="GC28">
        <v>3.5564516127674438E-2</v>
      </c>
      <c r="GD28">
        <v>5.0378380973498421E-2</v>
      </c>
      <c r="GE28">
        <v>-1</v>
      </c>
      <c r="GF28">
        <v>807.09708823529411</v>
      </c>
      <c r="GG28">
        <v>-1.4016348362900599</v>
      </c>
      <c r="GH28">
        <v>0.23747276842607989</v>
      </c>
      <c r="GI28">
        <v>1</v>
      </c>
      <c r="GJ28">
        <v>1.4316970731707319</v>
      </c>
      <c r="GK28">
        <v>-0.1241809756097567</v>
      </c>
      <c r="GL28">
        <v>1.398952138233618E-2</v>
      </c>
      <c r="GM28">
        <v>1</v>
      </c>
      <c r="GN28">
        <v>2</v>
      </c>
      <c r="GO28">
        <v>2</v>
      </c>
      <c r="GP28" t="s">
        <v>411</v>
      </c>
      <c r="GQ28">
        <v>3.1311</v>
      </c>
      <c r="GR28">
        <v>2.72458</v>
      </c>
      <c r="GS28">
        <v>9.43243E-2</v>
      </c>
      <c r="GT28">
        <v>9.5133400000000007E-2</v>
      </c>
      <c r="GU28">
        <v>0.108823</v>
      </c>
      <c r="GV28">
        <v>0.102434</v>
      </c>
      <c r="GW28">
        <v>22970.3</v>
      </c>
      <c r="GX28">
        <v>30537.200000000001</v>
      </c>
      <c r="GY28">
        <v>27474.7</v>
      </c>
      <c r="GZ28">
        <v>34647.699999999997</v>
      </c>
      <c r="HA28">
        <v>35793.699999999997</v>
      </c>
      <c r="HB28">
        <v>39099.699999999997</v>
      </c>
      <c r="HC28">
        <v>40533.300000000003</v>
      </c>
      <c r="HD28">
        <v>43657.5</v>
      </c>
      <c r="HE28">
        <v>2.0506000000000002</v>
      </c>
      <c r="HF28">
        <v>1.9918</v>
      </c>
      <c r="HG28">
        <v>5.1558E-2</v>
      </c>
      <c r="HH28">
        <v>0</v>
      </c>
      <c r="HI28">
        <v>24.1523</v>
      </c>
      <c r="HJ28">
        <v>999.9</v>
      </c>
      <c r="HK28">
        <v>75.900000000000006</v>
      </c>
      <c r="HL28">
        <v>25.2</v>
      </c>
      <c r="HM28">
        <v>24.942799999999998</v>
      </c>
      <c r="HN28">
        <v>60.382899999999999</v>
      </c>
      <c r="HO28">
        <v>2.4479099999999998</v>
      </c>
      <c r="HP28">
        <v>1</v>
      </c>
      <c r="HQ28">
        <v>-0.118455</v>
      </c>
      <c r="HR28">
        <v>-0.17949899999999999</v>
      </c>
      <c r="HS28">
        <v>20.259899999999998</v>
      </c>
      <c r="HT28">
        <v>5.2172900000000002</v>
      </c>
      <c r="HU28">
        <v>11.902100000000001</v>
      </c>
      <c r="HV28">
        <v>4.9880000000000004</v>
      </c>
      <c r="HW28">
        <v>3.2702</v>
      </c>
      <c r="HX28">
        <v>9999</v>
      </c>
      <c r="HY28">
        <v>9999</v>
      </c>
      <c r="HZ28">
        <v>9999</v>
      </c>
      <c r="IA28">
        <v>999.9</v>
      </c>
      <c r="IB28">
        <v>1.8672200000000001</v>
      </c>
      <c r="IC28">
        <v>1.8626400000000001</v>
      </c>
      <c r="ID28">
        <v>1.8621799999999999</v>
      </c>
      <c r="IE28">
        <v>1.8616299999999999</v>
      </c>
      <c r="IF28">
        <v>1.86172</v>
      </c>
      <c r="IG28">
        <v>1.86249</v>
      </c>
      <c r="IH28">
        <v>1.86334</v>
      </c>
      <c r="II28">
        <v>1.8613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-11.047000000000001</v>
      </c>
      <c r="IX28">
        <v>-0.51949999999999996</v>
      </c>
      <c r="IY28">
        <v>-9.0402603827900911</v>
      </c>
      <c r="IZ28">
        <v>-5.6215304933332991E-3</v>
      </c>
      <c r="JA28">
        <v>2.3979931213773931E-6</v>
      </c>
      <c r="JB28">
        <v>-3.6297174575716598E-10</v>
      </c>
      <c r="JC28">
        <v>-0.86858898537907181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1.5</v>
      </c>
      <c r="JL28">
        <v>1.4</v>
      </c>
      <c r="JM28">
        <v>1.1279300000000001</v>
      </c>
      <c r="JN28">
        <v>2.4450699999999999</v>
      </c>
      <c r="JO28">
        <v>1.50024</v>
      </c>
      <c r="JP28">
        <v>2.2814899999999998</v>
      </c>
      <c r="JQ28">
        <v>1.4477500000000001</v>
      </c>
      <c r="JR28">
        <v>2.4072300000000002</v>
      </c>
      <c r="JS28">
        <v>31.608000000000001</v>
      </c>
      <c r="JT28">
        <v>23.9649</v>
      </c>
      <c r="JU28">
        <v>18</v>
      </c>
      <c r="JV28">
        <v>528.12199999999996</v>
      </c>
      <c r="JW28">
        <v>509.56</v>
      </c>
      <c r="JX28">
        <v>24.923100000000002</v>
      </c>
      <c r="JY28">
        <v>25.7621</v>
      </c>
      <c r="JZ28">
        <v>30.000399999999999</v>
      </c>
      <c r="KA28">
        <v>25.7971</v>
      </c>
      <c r="KB28">
        <v>25.8123</v>
      </c>
      <c r="KC28">
        <v>22.5547</v>
      </c>
      <c r="KD28">
        <v>28.121400000000001</v>
      </c>
      <c r="KE28">
        <v>91.408799999999999</v>
      </c>
      <c r="KF28">
        <v>24.9148</v>
      </c>
      <c r="KG28">
        <v>431.75700000000001</v>
      </c>
      <c r="KH28">
        <v>20.5428</v>
      </c>
      <c r="KI28">
        <v>101.342</v>
      </c>
      <c r="KJ28">
        <v>98.524600000000007</v>
      </c>
    </row>
    <row r="29" spans="1:296" x14ac:dyDescent="0.3">
      <c r="A29">
        <v>13</v>
      </c>
      <c r="B29">
        <v>1785943887</v>
      </c>
      <c r="C29">
        <v>2317.5</v>
      </c>
      <c r="D29" t="s">
        <v>838</v>
      </c>
      <c r="E29" t="s">
        <v>839</v>
      </c>
      <c r="F29">
        <v>15</v>
      </c>
      <c r="H29">
        <v>1785943879.25</v>
      </c>
      <c r="I29">
        <f t="shared" si="0"/>
        <v>9.7035085850875067E-4</v>
      </c>
      <c r="J29">
        <f t="shared" si="1"/>
        <v>0.97035085850875069</v>
      </c>
      <c r="K29">
        <f t="shared" si="2"/>
        <v>4.5266467969770634</v>
      </c>
      <c r="L29">
        <f t="shared" si="3"/>
        <v>420.0474000000001</v>
      </c>
      <c r="M29">
        <f t="shared" si="4"/>
        <v>332.35947277494876</v>
      </c>
      <c r="N29">
        <f t="shared" si="5"/>
        <v>32.56144887824729</v>
      </c>
      <c r="O29">
        <f t="shared" si="6"/>
        <v>41.152285588086933</v>
      </c>
      <c r="P29">
        <f t="shared" si="7"/>
        <v>9.0584499771856952E-2</v>
      </c>
      <c r="Q29">
        <f t="shared" si="8"/>
        <v>2.8926650021362423</v>
      </c>
      <c r="R29">
        <f t="shared" si="9"/>
        <v>8.9037607158261672E-2</v>
      </c>
      <c r="S29">
        <f t="shared" si="10"/>
        <v>5.578528629026705E-2</v>
      </c>
      <c r="T29">
        <f t="shared" si="11"/>
        <v>16.511095735766101</v>
      </c>
      <c r="U29">
        <f t="shared" si="12"/>
        <v>25.485954525379579</v>
      </c>
      <c r="V29">
        <f t="shared" si="13"/>
        <v>24.982356666666671</v>
      </c>
      <c r="W29">
        <f t="shared" si="14"/>
        <v>3.1763344891262242</v>
      </c>
      <c r="X29">
        <f t="shared" si="15"/>
        <v>64.704414612725941</v>
      </c>
      <c r="Y29">
        <f t="shared" si="16"/>
        <v>2.137586354052146</v>
      </c>
      <c r="Z29">
        <f t="shared" si="17"/>
        <v>3.3036174839787975</v>
      </c>
      <c r="AA29">
        <f t="shared" si="18"/>
        <v>1.0387481350740781</v>
      </c>
      <c r="AB29">
        <f t="shared" si="19"/>
        <v>-42.792472860235904</v>
      </c>
      <c r="AC29">
        <f t="shared" si="20"/>
        <v>103.01546582550085</v>
      </c>
      <c r="AD29">
        <f t="shared" si="21"/>
        <v>7.5566795109735514</v>
      </c>
      <c r="AE29">
        <f t="shared" si="22"/>
        <v>84.290768212004608</v>
      </c>
      <c r="AF29">
        <f t="shared" si="23"/>
        <v>4.5266467969770634</v>
      </c>
      <c r="AG29">
        <f t="shared" si="24"/>
        <v>0.97035085850875069</v>
      </c>
      <c r="AH29">
        <f t="shared" si="25"/>
        <v>4.4193153656641879</v>
      </c>
      <c r="AI29">
        <v>434.8911409839277</v>
      </c>
      <c r="AJ29">
        <v>429.48081818181822</v>
      </c>
      <c r="AK29">
        <v>-8.5430138644514847E-4</v>
      </c>
      <c r="AL29">
        <v>67.042759054310864</v>
      </c>
      <c r="AM29">
        <f t="shared" si="26"/>
        <v>0.96540062276567418</v>
      </c>
      <c r="AN29">
        <v>20.68023244122849</v>
      </c>
      <c r="AO29">
        <v>21.81420666666666</v>
      </c>
      <c r="AP29">
        <v>-1.3551631533487149E-4</v>
      </c>
      <c r="AQ29">
        <v>77.948609114566693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52008.693450611878</v>
      </c>
      <c r="AW29" t="s">
        <v>791</v>
      </c>
      <c r="AX29">
        <v>13187.8</v>
      </c>
      <c r="AY29">
        <v>842.64307290737111</v>
      </c>
      <c r="AZ29">
        <v>2516.38</v>
      </c>
      <c r="BA29">
        <f t="shared" si="30"/>
        <v>0.66513679455910035</v>
      </c>
      <c r="BB29">
        <v>-2.8380250201795221</v>
      </c>
      <c r="BC29" t="s">
        <v>840</v>
      </c>
      <c r="BD29">
        <v>13196.1</v>
      </c>
      <c r="BE29">
        <v>788.79958823529421</v>
      </c>
      <c r="BF29">
        <v>2083.6</v>
      </c>
      <c r="BG29">
        <f t="shared" si="31"/>
        <v>0.62142465529118152</v>
      </c>
      <c r="BH29">
        <v>0.5</v>
      </c>
      <c r="BI29">
        <f t="shared" si="32"/>
        <v>84.288535713868498</v>
      </c>
      <c r="BJ29">
        <f t="shared" si="33"/>
        <v>4.5266467969770634</v>
      </c>
      <c r="BK29">
        <f t="shared" si="34"/>
        <v>26.189487125494587</v>
      </c>
      <c r="BL29">
        <f t="shared" si="35"/>
        <v>8.7374537412266751E-2</v>
      </c>
      <c r="BM29">
        <f t="shared" si="36"/>
        <v>0.20770781339988492</v>
      </c>
      <c r="BN29">
        <f t="shared" si="37"/>
        <v>787.84550004935363</v>
      </c>
      <c r="BO29" t="s">
        <v>408</v>
      </c>
      <c r="BP29">
        <v>0</v>
      </c>
      <c r="BQ29">
        <f t="shared" si="38"/>
        <v>787.84550004935363</v>
      </c>
      <c r="BR29">
        <f t="shared" si="39"/>
        <v>0.62188255900875711</v>
      </c>
      <c r="BS29">
        <f t="shared" si="40"/>
        <v>0.99926368136404153</v>
      </c>
      <c r="BT29">
        <f t="shared" si="41"/>
        <v>0.25037394394636442</v>
      </c>
      <c r="BU29">
        <f t="shared" si="42"/>
        <v>1.0433886813446651</v>
      </c>
      <c r="BV29">
        <f t="shared" si="43"/>
        <v>0.25857110098643898</v>
      </c>
      <c r="BW29">
        <f t="shared" si="44"/>
        <v>0.99805502749650865</v>
      </c>
      <c r="BX29">
        <f t="shared" si="45"/>
        <v>1.944972503491349E-3</v>
      </c>
      <c r="DG29">
        <f t="shared" si="46"/>
        <v>100.0039533333334</v>
      </c>
      <c r="DH29">
        <f t="shared" si="47"/>
        <v>84.288535713868498</v>
      </c>
      <c r="DI29">
        <f t="shared" si="48"/>
        <v>0.84285203638817918</v>
      </c>
      <c r="DJ29">
        <f t="shared" si="49"/>
        <v>0.16510443022918583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1785943879.25</v>
      </c>
      <c r="DQ29">
        <v>420.0474000000001</v>
      </c>
      <c r="DR29">
        <v>425.96813333333341</v>
      </c>
      <c r="DS29">
        <v>21.818656666666669</v>
      </c>
      <c r="DT29">
        <v>20.67971</v>
      </c>
      <c r="DU29">
        <v>431.09623333333332</v>
      </c>
      <c r="DV29">
        <v>22.34086666666667</v>
      </c>
      <c r="DW29">
        <v>500.02996666666672</v>
      </c>
      <c r="DX29">
        <v>97.922020000000003</v>
      </c>
      <c r="DY29">
        <v>4.8555673333333327E-2</v>
      </c>
      <c r="DZ29">
        <v>25.642926666666671</v>
      </c>
      <c r="EA29">
        <v>24.982356666666671</v>
      </c>
      <c r="EB29">
        <v>999.9000000000002</v>
      </c>
      <c r="EC29">
        <v>0</v>
      </c>
      <c r="ED29">
        <v>0</v>
      </c>
      <c r="EE29">
        <v>9999</v>
      </c>
      <c r="EF29">
        <v>0</v>
      </c>
      <c r="EG29">
        <v>17.750473333333328</v>
      </c>
      <c r="EH29">
        <v>-5.9208433333333339</v>
      </c>
      <c r="EI29">
        <v>429.41669999999999</v>
      </c>
      <c r="EJ29">
        <v>434.96313333333319</v>
      </c>
      <c r="EK29">
        <v>1.1389443333333329</v>
      </c>
      <c r="EL29">
        <v>425.96813333333341</v>
      </c>
      <c r="EM29">
        <v>20.67971</v>
      </c>
      <c r="EN29">
        <v>2.1365266666666671</v>
      </c>
      <c r="EO29">
        <v>2.0249993333333332</v>
      </c>
      <c r="EP29">
        <v>18.494146666666669</v>
      </c>
      <c r="EQ29">
        <v>17.641179999999999</v>
      </c>
      <c r="ER29">
        <v>100.0039533333334</v>
      </c>
      <c r="ES29">
        <v>0.89993896666666684</v>
      </c>
      <c r="ET29">
        <v>0.1000611066666667</v>
      </c>
      <c r="EU29">
        <v>0</v>
      </c>
      <c r="EV29">
        <v>788.7229000000001</v>
      </c>
      <c r="EW29">
        <v>5.0010700000000003</v>
      </c>
      <c r="EX29">
        <v>994.19593333333319</v>
      </c>
      <c r="EY29">
        <v>836.58536666666669</v>
      </c>
      <c r="EZ29">
        <v>35.64139999999999</v>
      </c>
      <c r="FA29">
        <v>39.81219999999999</v>
      </c>
      <c r="FB29">
        <v>38.10393333333333</v>
      </c>
      <c r="FC29">
        <v>40.745599999999989</v>
      </c>
      <c r="FD29">
        <v>38.253933333333329</v>
      </c>
      <c r="FE29">
        <v>85.49733333333333</v>
      </c>
      <c r="FF29">
        <v>9.5073333333333299</v>
      </c>
      <c r="FG29">
        <v>0</v>
      </c>
      <c r="FH29">
        <v>181.0999999046326</v>
      </c>
      <c r="FI29">
        <v>0</v>
      </c>
      <c r="FJ29">
        <v>788.79958823529421</v>
      </c>
      <c r="FK29">
        <v>0.8392156411781615</v>
      </c>
      <c r="FL29">
        <v>11.81789189804589</v>
      </c>
      <c r="FM29">
        <v>994.73864705882352</v>
      </c>
      <c r="FN29">
        <v>10</v>
      </c>
      <c r="FO29">
        <v>1785943798</v>
      </c>
      <c r="FP29" t="s">
        <v>841</v>
      </c>
      <c r="FQ29">
        <v>1785943798</v>
      </c>
      <c r="FR29">
        <v>1785943795</v>
      </c>
      <c r="FS29">
        <v>14</v>
      </c>
      <c r="FT29">
        <v>-2E-3</v>
      </c>
      <c r="FU29">
        <v>-1E-3</v>
      </c>
      <c r="FV29">
        <v>-11.07</v>
      </c>
      <c r="FW29">
        <v>-0.55500000000000005</v>
      </c>
      <c r="FX29">
        <v>426</v>
      </c>
      <c r="FY29">
        <v>21</v>
      </c>
      <c r="FZ29">
        <v>1.62</v>
      </c>
      <c r="GA29">
        <v>0.23</v>
      </c>
      <c r="GB29">
        <v>420.03860000000009</v>
      </c>
      <c r="GC29">
        <v>0.70638487208099687</v>
      </c>
      <c r="GD29">
        <v>6.73911962598506E-2</v>
      </c>
      <c r="GE29">
        <v>-1</v>
      </c>
      <c r="GF29">
        <v>788.67626470588232</v>
      </c>
      <c r="GG29">
        <v>0.80734911256084618</v>
      </c>
      <c r="GH29">
        <v>0.19962911328754551</v>
      </c>
      <c r="GI29">
        <v>1</v>
      </c>
      <c r="GJ29">
        <v>1.1415995000000001</v>
      </c>
      <c r="GK29">
        <v>-4.2083977485931227E-2</v>
      </c>
      <c r="GL29">
        <v>5.8984391791388306E-3</v>
      </c>
      <c r="GM29">
        <v>1</v>
      </c>
      <c r="GN29">
        <v>2</v>
      </c>
      <c r="GO29">
        <v>2</v>
      </c>
      <c r="GP29" t="s">
        <v>411</v>
      </c>
      <c r="GQ29">
        <v>3.13123</v>
      </c>
      <c r="GR29">
        <v>2.7244199999999998</v>
      </c>
      <c r="GS29">
        <v>9.4316899999999995E-2</v>
      </c>
      <c r="GT29">
        <v>9.4142000000000003E-2</v>
      </c>
      <c r="GU29">
        <v>0.108541</v>
      </c>
      <c r="GV29">
        <v>0.10314</v>
      </c>
      <c r="GW29">
        <v>22969.7</v>
      </c>
      <c r="GX29">
        <v>30568.9</v>
      </c>
      <c r="GY29">
        <v>27473.9</v>
      </c>
      <c r="GZ29">
        <v>34645.9</v>
      </c>
      <c r="HA29">
        <v>35805</v>
      </c>
      <c r="HB29">
        <v>39066.800000000003</v>
      </c>
      <c r="HC29">
        <v>40532.800000000003</v>
      </c>
      <c r="HD29">
        <v>43655.5</v>
      </c>
      <c r="HE29">
        <v>2.0508000000000002</v>
      </c>
      <c r="HF29">
        <v>1.9894000000000001</v>
      </c>
      <c r="HG29">
        <v>5.6773400000000002E-2</v>
      </c>
      <c r="HH29">
        <v>0</v>
      </c>
      <c r="HI29">
        <v>24.050899999999999</v>
      </c>
      <c r="HJ29">
        <v>999.9</v>
      </c>
      <c r="HK29">
        <v>75.3</v>
      </c>
      <c r="HL29">
        <v>25.4</v>
      </c>
      <c r="HM29">
        <v>25.0398</v>
      </c>
      <c r="HN29">
        <v>60.632899999999999</v>
      </c>
      <c r="HO29">
        <v>2.5921500000000002</v>
      </c>
      <c r="HP29">
        <v>1</v>
      </c>
      <c r="HQ29">
        <v>-0.117033</v>
      </c>
      <c r="HR29">
        <v>-0.36516300000000002</v>
      </c>
      <c r="HS29">
        <v>20.258400000000002</v>
      </c>
      <c r="HT29">
        <v>5.2160900000000003</v>
      </c>
      <c r="HU29">
        <v>11.902100000000001</v>
      </c>
      <c r="HV29">
        <v>4.9875999999999996</v>
      </c>
      <c r="HW29">
        <v>3.27</v>
      </c>
      <c r="HX29">
        <v>9999</v>
      </c>
      <c r="HY29">
        <v>9999</v>
      </c>
      <c r="HZ29">
        <v>9999</v>
      </c>
      <c r="IA29">
        <v>999.9</v>
      </c>
      <c r="IB29">
        <v>1.8672200000000001</v>
      </c>
      <c r="IC29">
        <v>1.86276</v>
      </c>
      <c r="ID29">
        <v>1.8621799999999999</v>
      </c>
      <c r="IE29">
        <v>1.8616900000000001</v>
      </c>
      <c r="IF29">
        <v>1.86172</v>
      </c>
      <c r="IG29">
        <v>1.86249</v>
      </c>
      <c r="IH29">
        <v>1.8633999999999999</v>
      </c>
      <c r="II29">
        <v>1.8613299999999999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-11.048999999999999</v>
      </c>
      <c r="IX29">
        <v>-0.52239999999999998</v>
      </c>
      <c r="IY29">
        <v>-9.0419815922217435</v>
      </c>
      <c r="IZ29">
        <v>-5.6215304933332991E-3</v>
      </c>
      <c r="JA29">
        <v>2.3979931213773931E-6</v>
      </c>
      <c r="JB29">
        <v>-3.6297174575716598E-10</v>
      </c>
      <c r="JC29">
        <v>-0.86929358315879268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1.5</v>
      </c>
      <c r="JL29">
        <v>1.5</v>
      </c>
      <c r="JM29">
        <v>1.11572</v>
      </c>
      <c r="JN29">
        <v>2.4499499999999999</v>
      </c>
      <c r="JO29">
        <v>1.50024</v>
      </c>
      <c r="JP29">
        <v>2.2814899999999998</v>
      </c>
      <c r="JQ29">
        <v>1.4477500000000001</v>
      </c>
      <c r="JR29">
        <v>2.48291</v>
      </c>
      <c r="JS29">
        <v>31.826899999999998</v>
      </c>
      <c r="JT29">
        <v>23.956199999999999</v>
      </c>
      <c r="JU29">
        <v>18</v>
      </c>
      <c r="JV29">
        <v>528.53</v>
      </c>
      <c r="JW29">
        <v>508.21300000000002</v>
      </c>
      <c r="JX29">
        <v>25.120899999999999</v>
      </c>
      <c r="JY29">
        <v>25.785900000000002</v>
      </c>
      <c r="JZ29">
        <v>30</v>
      </c>
      <c r="KA29">
        <v>25.827500000000001</v>
      </c>
      <c r="KB29">
        <v>25.841200000000001</v>
      </c>
      <c r="KC29">
        <v>22.309899999999999</v>
      </c>
      <c r="KD29">
        <v>27.734400000000001</v>
      </c>
      <c r="KE29">
        <v>91.254400000000004</v>
      </c>
      <c r="KF29">
        <v>25.1236</v>
      </c>
      <c r="KG29">
        <v>425.86399999999998</v>
      </c>
      <c r="KH29">
        <v>20.683599999999998</v>
      </c>
      <c r="KI29">
        <v>101.34</v>
      </c>
      <c r="KJ29">
        <v>98.519800000000004</v>
      </c>
    </row>
    <row r="30" spans="1:296" x14ac:dyDescent="0.3">
      <c r="A30">
        <v>14</v>
      </c>
      <c r="B30">
        <v>1785944068.5</v>
      </c>
      <c r="C30">
        <v>2499</v>
      </c>
      <c r="D30" t="s">
        <v>842</v>
      </c>
      <c r="E30" t="s">
        <v>843</v>
      </c>
      <c r="F30">
        <v>15</v>
      </c>
      <c r="H30">
        <v>1785944060.75</v>
      </c>
      <c r="I30">
        <f t="shared" si="0"/>
        <v>7.3488628212281363E-4</v>
      </c>
      <c r="J30">
        <f t="shared" si="1"/>
        <v>0.73488628212281359</v>
      </c>
      <c r="K30">
        <f t="shared" si="2"/>
        <v>1.2944839133213684</v>
      </c>
      <c r="L30">
        <f t="shared" si="3"/>
        <v>420.00636666666662</v>
      </c>
      <c r="M30">
        <f t="shared" si="4"/>
        <v>382.7763028968418</v>
      </c>
      <c r="N30">
        <f t="shared" si="5"/>
        <v>37.499452083138387</v>
      </c>
      <c r="O30">
        <f t="shared" si="6"/>
        <v>41.146770325733414</v>
      </c>
      <c r="P30">
        <f t="shared" si="7"/>
        <v>6.9084261426901078E-2</v>
      </c>
      <c r="Q30">
        <f t="shared" si="8"/>
        <v>2.8918671231705466</v>
      </c>
      <c r="R30">
        <f t="shared" si="9"/>
        <v>6.8180339470169798E-2</v>
      </c>
      <c r="S30">
        <f t="shared" si="10"/>
        <v>4.2692940545100908E-2</v>
      </c>
      <c r="T30">
        <f t="shared" si="11"/>
        <v>8.2414886052533252</v>
      </c>
      <c r="U30">
        <f t="shared" si="12"/>
        <v>25.498586106148633</v>
      </c>
      <c r="V30">
        <f t="shared" si="13"/>
        <v>24.953669999999999</v>
      </c>
      <c r="W30">
        <f t="shared" si="14"/>
        <v>3.1709054281665856</v>
      </c>
      <c r="X30">
        <f t="shared" si="15"/>
        <v>64.886380011759329</v>
      </c>
      <c r="Y30">
        <f t="shared" si="16"/>
        <v>2.143602882143838</v>
      </c>
      <c r="Z30">
        <f t="shared" si="17"/>
        <v>3.3036253243829505</v>
      </c>
      <c r="AA30">
        <f t="shared" si="18"/>
        <v>1.0273025460227476</v>
      </c>
      <c r="AB30">
        <f t="shared" si="19"/>
        <v>-32.408485041616082</v>
      </c>
      <c r="AC30">
        <f t="shared" si="20"/>
        <v>107.46572071157412</v>
      </c>
      <c r="AD30">
        <f t="shared" si="21"/>
        <v>7.8841671723632185</v>
      </c>
      <c r="AE30">
        <f t="shared" si="22"/>
        <v>91.182891447574576</v>
      </c>
      <c r="AF30">
        <f t="shared" si="23"/>
        <v>1.2944839133213684</v>
      </c>
      <c r="AG30">
        <f t="shared" si="24"/>
        <v>0.73488628212281359</v>
      </c>
      <c r="AH30">
        <f t="shared" si="25"/>
        <v>1.1961485415923121</v>
      </c>
      <c r="AI30">
        <v>430.95631538674331</v>
      </c>
      <c r="AJ30">
        <v>429.4446727272728</v>
      </c>
      <c r="AK30">
        <v>8.6091060320294954E-3</v>
      </c>
      <c r="AL30">
        <v>67.043565886475946</v>
      </c>
      <c r="AM30">
        <f t="shared" si="26"/>
        <v>0.73074964023721345</v>
      </c>
      <c r="AN30">
        <v>21.01918995050692</v>
      </c>
      <c r="AO30">
        <v>21.877540606060599</v>
      </c>
      <c r="AP30">
        <v>-1.084005638567341E-4</v>
      </c>
      <c r="AQ30">
        <v>77.967348829024914</v>
      </c>
      <c r="AR30">
        <v>0</v>
      </c>
      <c r="AS30">
        <v>0</v>
      </c>
      <c r="AT30">
        <f t="shared" si="27"/>
        <v>1</v>
      </c>
      <c r="AU30">
        <f t="shared" si="28"/>
        <v>0</v>
      </c>
      <c r="AV30">
        <f t="shared" si="29"/>
        <v>51985.753176000631</v>
      </c>
      <c r="AW30" t="s">
        <v>791</v>
      </c>
      <c r="AX30">
        <v>13187.8</v>
      </c>
      <c r="AY30">
        <v>842.64307290737111</v>
      </c>
      <c r="AZ30">
        <v>2516.38</v>
      </c>
      <c r="BA30">
        <f t="shared" si="30"/>
        <v>0.66513679455910035</v>
      </c>
      <c r="BB30">
        <v>-2.8380250201795221</v>
      </c>
      <c r="BC30" t="s">
        <v>844</v>
      </c>
      <c r="BD30">
        <v>13190.7</v>
      </c>
      <c r="BE30">
        <v>747.5562941176471</v>
      </c>
      <c r="BF30">
        <v>2212.09</v>
      </c>
      <c r="BG30">
        <f t="shared" si="31"/>
        <v>0.66205882485900347</v>
      </c>
      <c r="BH30">
        <v>0.5</v>
      </c>
      <c r="BI30">
        <f t="shared" si="32"/>
        <v>42.140186668006905</v>
      </c>
      <c r="BJ30">
        <f t="shared" si="33"/>
        <v>1.2944839133213684</v>
      </c>
      <c r="BK30">
        <f t="shared" si="34"/>
        <v>13.949641232379848</v>
      </c>
      <c r="BL30">
        <f t="shared" si="35"/>
        <v>9.8065748167136549E-2</v>
      </c>
      <c r="BM30">
        <f t="shared" si="36"/>
        <v>0.13755769430719361</v>
      </c>
      <c r="BN30">
        <f t="shared" si="37"/>
        <v>805.53758663722658</v>
      </c>
      <c r="BO30" t="s">
        <v>408</v>
      </c>
      <c r="BP30">
        <v>0</v>
      </c>
      <c r="BQ30">
        <f t="shared" si="38"/>
        <v>805.53758663722658</v>
      </c>
      <c r="BR30">
        <f t="shared" si="39"/>
        <v>0.63584773375530546</v>
      </c>
      <c r="BS30">
        <f t="shared" si="40"/>
        <v>1.0412222765172028</v>
      </c>
      <c r="BT30">
        <f t="shared" si="41"/>
        <v>0.17785974770282781</v>
      </c>
      <c r="BU30">
        <f t="shared" si="42"/>
        <v>1.0694344387566705</v>
      </c>
      <c r="BV30">
        <f t="shared" si="43"/>
        <v>0.1818027642662865</v>
      </c>
      <c r="BW30">
        <f t="shared" si="44"/>
        <v>1.1219806272497101</v>
      </c>
      <c r="BX30">
        <f t="shared" si="45"/>
        <v>-0.12198062724971015</v>
      </c>
      <c r="DG30">
        <f t="shared" si="46"/>
        <v>50.006206666666671</v>
      </c>
      <c r="DH30">
        <f t="shared" si="47"/>
        <v>42.140186668006905</v>
      </c>
      <c r="DI30">
        <f t="shared" si="48"/>
        <v>0.84269912630859223</v>
      </c>
      <c r="DJ30">
        <f t="shared" si="49"/>
        <v>0.16480931377558314</v>
      </c>
      <c r="DK30">
        <v>6</v>
      </c>
      <c r="DL30">
        <v>0.5</v>
      </c>
      <c r="DM30" t="s">
        <v>409</v>
      </c>
      <c r="DN30">
        <v>2</v>
      </c>
      <c r="DO30" t="b">
        <v>0</v>
      </c>
      <c r="DP30">
        <v>1785944060.75</v>
      </c>
      <c r="DQ30">
        <v>420.00636666666662</v>
      </c>
      <c r="DR30">
        <v>421.93006666666668</v>
      </c>
      <c r="DS30">
        <v>21.88086333333333</v>
      </c>
      <c r="DT30">
        <v>21.01832666666667</v>
      </c>
      <c r="DU30">
        <v>431.00093333333342</v>
      </c>
      <c r="DV30">
        <v>22.403130000000001</v>
      </c>
      <c r="DW30">
        <v>500.01793333333342</v>
      </c>
      <c r="DX30">
        <v>97.91798</v>
      </c>
      <c r="DY30">
        <v>4.9035719999999998E-2</v>
      </c>
      <c r="DZ30">
        <v>25.64296666666667</v>
      </c>
      <c r="EA30">
        <v>24.953669999999999</v>
      </c>
      <c r="EB30">
        <v>999.9000000000002</v>
      </c>
      <c r="EC30">
        <v>0</v>
      </c>
      <c r="ED30">
        <v>0</v>
      </c>
      <c r="EE30">
        <v>9994.8333333333339</v>
      </c>
      <c r="EF30">
        <v>0</v>
      </c>
      <c r="EG30">
        <v>20.100296666666669</v>
      </c>
      <c r="EH30">
        <v>-1.923823333333333</v>
      </c>
      <c r="EI30">
        <v>429.40193333333332</v>
      </c>
      <c r="EJ30">
        <v>430.98883333333339</v>
      </c>
      <c r="EK30">
        <v>0.86255009999999999</v>
      </c>
      <c r="EL30">
        <v>421.93006666666668</v>
      </c>
      <c r="EM30">
        <v>21.01832666666667</v>
      </c>
      <c r="EN30">
        <v>2.1425313333333329</v>
      </c>
      <c r="EO30">
        <v>2.058071</v>
      </c>
      <c r="EP30">
        <v>18.538946666666661</v>
      </c>
      <c r="EQ30">
        <v>17.89831666666667</v>
      </c>
      <c r="ER30">
        <v>50.006206666666671</v>
      </c>
      <c r="ES30">
        <v>0.90001463333333354</v>
      </c>
      <c r="ET30">
        <v>9.9985516666666677E-2</v>
      </c>
      <c r="EU30">
        <v>0</v>
      </c>
      <c r="EV30">
        <v>747.59116666666671</v>
      </c>
      <c r="EW30">
        <v>5.0010700000000003</v>
      </c>
      <c r="EX30">
        <v>579.26513333333344</v>
      </c>
      <c r="EY30">
        <v>396.32263333333339</v>
      </c>
      <c r="EZ30">
        <v>34.989433333333331</v>
      </c>
      <c r="FA30">
        <v>39.745499999999993</v>
      </c>
      <c r="FB30">
        <v>37.399633333333327</v>
      </c>
      <c r="FC30">
        <v>40.555999999999983</v>
      </c>
      <c r="FD30">
        <v>38.033033333333307</v>
      </c>
      <c r="FE30">
        <v>40.50500000000001</v>
      </c>
      <c r="FF30">
        <v>4.4989999999999997</v>
      </c>
      <c r="FG30">
        <v>0</v>
      </c>
      <c r="FH30">
        <v>180.70000004768369</v>
      </c>
      <c r="FI30">
        <v>0</v>
      </c>
      <c r="FJ30">
        <v>747.5562941176471</v>
      </c>
      <c r="FK30">
        <v>-0.72230395099007283</v>
      </c>
      <c r="FL30">
        <v>-7.8276962645737989</v>
      </c>
      <c r="FM30">
        <v>578.69458823529419</v>
      </c>
      <c r="FN30">
        <v>10</v>
      </c>
      <c r="FO30">
        <v>1785943980.5</v>
      </c>
      <c r="FP30" t="s">
        <v>845</v>
      </c>
      <c r="FQ30">
        <v>1785943980.5</v>
      </c>
      <c r="FR30">
        <v>1785943978</v>
      </c>
      <c r="FS30">
        <v>15</v>
      </c>
      <c r="FT30">
        <v>5.3999999999999999E-2</v>
      </c>
      <c r="FU30">
        <v>-2E-3</v>
      </c>
      <c r="FV30">
        <v>-11</v>
      </c>
      <c r="FW30">
        <v>-0.54700000000000004</v>
      </c>
      <c r="FX30">
        <v>421</v>
      </c>
      <c r="FY30">
        <v>21</v>
      </c>
      <c r="FZ30">
        <v>1.51</v>
      </c>
      <c r="GA30">
        <v>0.47</v>
      </c>
      <c r="GB30">
        <v>420.00812903225813</v>
      </c>
      <c r="GC30">
        <v>-0.24933870967819319</v>
      </c>
      <c r="GD30">
        <v>5.2911820702285173E-2</v>
      </c>
      <c r="GE30">
        <v>-1</v>
      </c>
      <c r="GF30">
        <v>747.57920588235288</v>
      </c>
      <c r="GG30">
        <v>-0.16392666108617771</v>
      </c>
      <c r="GH30">
        <v>0.1624662461616776</v>
      </c>
      <c r="GI30">
        <v>1</v>
      </c>
      <c r="GJ30">
        <v>0.86229221951219526</v>
      </c>
      <c r="GK30">
        <v>1.6028174216028059E-2</v>
      </c>
      <c r="GL30">
        <v>3.9409099946536097E-3</v>
      </c>
      <c r="GM30">
        <v>1</v>
      </c>
      <c r="GN30">
        <v>2</v>
      </c>
      <c r="GO30">
        <v>2</v>
      </c>
      <c r="GP30" t="s">
        <v>411</v>
      </c>
      <c r="GQ30">
        <v>3.13185</v>
      </c>
      <c r="GR30">
        <v>2.7246299999999999</v>
      </c>
      <c r="GS30">
        <v>9.4305399999999998E-2</v>
      </c>
      <c r="GT30">
        <v>9.3530699999999994E-2</v>
      </c>
      <c r="GU30">
        <v>0.108766</v>
      </c>
      <c r="GV30">
        <v>0.10435999999999999</v>
      </c>
      <c r="GW30">
        <v>22969.8</v>
      </c>
      <c r="GX30">
        <v>30591.3</v>
      </c>
      <c r="GY30">
        <v>27473.5</v>
      </c>
      <c r="GZ30">
        <v>34647.599999999999</v>
      </c>
      <c r="HA30">
        <v>35795.199999999997</v>
      </c>
      <c r="HB30">
        <v>39017.5</v>
      </c>
      <c r="HC30">
        <v>40532.5</v>
      </c>
      <c r="HD30">
        <v>43660.5</v>
      </c>
      <c r="HE30">
        <v>2.0506000000000002</v>
      </c>
      <c r="HF30">
        <v>1.9896</v>
      </c>
      <c r="HG30">
        <v>6.3478900000000005E-2</v>
      </c>
      <c r="HH30">
        <v>0</v>
      </c>
      <c r="HI30">
        <v>23.9238</v>
      </c>
      <c r="HJ30">
        <v>999.9</v>
      </c>
      <c r="HK30">
        <v>74.7</v>
      </c>
      <c r="HL30">
        <v>25.6</v>
      </c>
      <c r="HM30">
        <v>25.140799999999999</v>
      </c>
      <c r="HN30">
        <v>60.532899999999998</v>
      </c>
      <c r="HO30">
        <v>2.9407000000000001</v>
      </c>
      <c r="HP30">
        <v>1</v>
      </c>
      <c r="HQ30">
        <v>-0.11951199999999999</v>
      </c>
      <c r="HR30">
        <v>-0.86148100000000005</v>
      </c>
      <c r="HS30">
        <v>20.258600000000001</v>
      </c>
      <c r="HT30">
        <v>5.2148899999999996</v>
      </c>
      <c r="HU30">
        <v>11.902100000000001</v>
      </c>
      <c r="HV30">
        <v>4.9859999999999998</v>
      </c>
      <c r="HW30">
        <v>3.2704</v>
      </c>
      <c r="HX30">
        <v>9999</v>
      </c>
      <c r="HY30">
        <v>9999</v>
      </c>
      <c r="HZ30">
        <v>9999</v>
      </c>
      <c r="IA30">
        <v>999.9</v>
      </c>
      <c r="IB30">
        <v>1.8672200000000001</v>
      </c>
      <c r="IC30">
        <v>1.86276</v>
      </c>
      <c r="ID30">
        <v>1.8621799999999999</v>
      </c>
      <c r="IE30">
        <v>1.86172</v>
      </c>
      <c r="IF30">
        <v>1.86175</v>
      </c>
      <c r="IG30">
        <v>1.86249</v>
      </c>
      <c r="IH30">
        <v>1.8633999999999999</v>
      </c>
      <c r="II30">
        <v>1.8613599999999999</v>
      </c>
      <c r="IJ30">
        <v>0</v>
      </c>
      <c r="IK30">
        <v>0</v>
      </c>
      <c r="IL30">
        <v>0</v>
      </c>
      <c r="IM30">
        <v>4.5</v>
      </c>
      <c r="IN30" t="s">
        <v>412</v>
      </c>
      <c r="IO30" t="s">
        <v>413</v>
      </c>
      <c r="IP30" t="s">
        <v>414</v>
      </c>
      <c r="IQ30" t="s">
        <v>415</v>
      </c>
      <c r="IR30" t="s">
        <v>415</v>
      </c>
      <c r="IS30" t="s">
        <v>414</v>
      </c>
      <c r="IT30">
        <v>0</v>
      </c>
      <c r="IU30">
        <v>100</v>
      </c>
      <c r="IV30">
        <v>100</v>
      </c>
      <c r="IW30">
        <v>-10.994999999999999</v>
      </c>
      <c r="IX30">
        <v>-0.52229999999999999</v>
      </c>
      <c r="IY30">
        <v>-8.9882702689629745</v>
      </c>
      <c r="IZ30">
        <v>-5.6215304933332991E-3</v>
      </c>
      <c r="JA30">
        <v>2.3979931213773931E-6</v>
      </c>
      <c r="JB30">
        <v>-3.6297174575716598E-10</v>
      </c>
      <c r="JC30">
        <v>-0.8709964751621706</v>
      </c>
      <c r="JD30">
        <v>2.7492919904454862E-4</v>
      </c>
      <c r="JE30">
        <v>8.6739513355948885E-4</v>
      </c>
      <c r="JF30">
        <v>-8.2500691715147318E-6</v>
      </c>
      <c r="JG30">
        <v>17</v>
      </c>
      <c r="JH30">
        <v>1914</v>
      </c>
      <c r="JI30">
        <v>2</v>
      </c>
      <c r="JJ30">
        <v>37</v>
      </c>
      <c r="JK30">
        <v>1.5</v>
      </c>
      <c r="JL30">
        <v>1.5</v>
      </c>
      <c r="JM30">
        <v>1.1071800000000001</v>
      </c>
      <c r="JN30">
        <v>2.4584999999999999</v>
      </c>
      <c r="JO30">
        <v>1.50024</v>
      </c>
      <c r="JP30">
        <v>2.2802699999999998</v>
      </c>
      <c r="JQ30">
        <v>1.4477500000000001</v>
      </c>
      <c r="JR30">
        <v>2.3547400000000001</v>
      </c>
      <c r="JS30">
        <v>32.002400000000002</v>
      </c>
      <c r="JT30">
        <v>23.956199999999999</v>
      </c>
      <c r="JU30">
        <v>18</v>
      </c>
      <c r="JV30">
        <v>528.24300000000005</v>
      </c>
      <c r="JW30">
        <v>508.214</v>
      </c>
      <c r="JX30">
        <v>25.755600000000001</v>
      </c>
      <c r="JY30">
        <v>25.744800000000001</v>
      </c>
      <c r="JZ30">
        <v>29.9999</v>
      </c>
      <c r="KA30">
        <v>25.810099999999998</v>
      </c>
      <c r="KB30">
        <v>25.827400000000001</v>
      </c>
      <c r="KC30">
        <v>22.1448</v>
      </c>
      <c r="KD30">
        <v>26.749300000000002</v>
      </c>
      <c r="KE30">
        <v>91.176699999999997</v>
      </c>
      <c r="KF30">
        <v>25.745200000000001</v>
      </c>
      <c r="KG30">
        <v>421.89499999999998</v>
      </c>
      <c r="KH30">
        <v>20.967500000000001</v>
      </c>
      <c r="KI30">
        <v>101.339</v>
      </c>
      <c r="KJ30">
        <v>98.528300000000002</v>
      </c>
    </row>
    <row r="31" spans="1:296" x14ac:dyDescent="0.3">
      <c r="A31">
        <v>15</v>
      </c>
      <c r="B31">
        <v>1785944250</v>
      </c>
      <c r="C31">
        <v>2680.5</v>
      </c>
      <c r="D31" t="s">
        <v>846</v>
      </c>
      <c r="E31" t="s">
        <v>847</v>
      </c>
      <c r="F31">
        <v>15</v>
      </c>
      <c r="H31">
        <v>1785944242</v>
      </c>
      <c r="I31">
        <f t="shared" si="0"/>
        <v>5.3998175357537455E-4</v>
      </c>
      <c r="J31">
        <f t="shared" si="1"/>
        <v>0.53998175357537459</v>
      </c>
      <c r="K31">
        <f t="shared" si="2"/>
        <v>-2.9395064871615006</v>
      </c>
      <c r="L31">
        <f t="shared" si="3"/>
        <v>420.02790322580643</v>
      </c>
      <c r="M31">
        <f t="shared" si="4"/>
        <v>504.54721150806597</v>
      </c>
      <c r="N31">
        <f t="shared" si="5"/>
        <v>49.426835172881319</v>
      </c>
      <c r="O31">
        <f t="shared" si="6"/>
        <v>41.147090831599989</v>
      </c>
      <c r="P31">
        <f t="shared" si="7"/>
        <v>5.1350632824809637E-2</v>
      </c>
      <c r="Q31">
        <f t="shared" si="8"/>
        <v>2.8932010319538333</v>
      </c>
      <c r="R31">
        <f t="shared" si="9"/>
        <v>5.0849627408100596E-2</v>
      </c>
      <c r="S31">
        <f t="shared" si="10"/>
        <v>3.1825622996053626E-2</v>
      </c>
      <c r="T31">
        <f t="shared" si="11"/>
        <v>1.5966703903835998E-4</v>
      </c>
      <c r="U31">
        <f t="shared" si="12"/>
        <v>25.534421074669979</v>
      </c>
      <c r="V31">
        <f t="shared" si="13"/>
        <v>24.948219354838709</v>
      </c>
      <c r="W31">
        <f t="shared" si="14"/>
        <v>3.1698747901020723</v>
      </c>
      <c r="X31">
        <f t="shared" si="15"/>
        <v>65.188201044010043</v>
      </c>
      <c r="Y31">
        <f t="shared" si="16"/>
        <v>2.1578780752188931</v>
      </c>
      <c r="Z31">
        <f t="shared" si="17"/>
        <v>3.3102279870586711</v>
      </c>
      <c r="AA31">
        <f t="shared" si="18"/>
        <v>1.0119967148831792</v>
      </c>
      <c r="AB31">
        <f t="shared" si="19"/>
        <v>-23.813195332674017</v>
      </c>
      <c r="AC31">
        <f t="shared" si="20"/>
        <v>113.61506339453136</v>
      </c>
      <c r="AD31">
        <f t="shared" si="21"/>
        <v>8.3326505479356801</v>
      </c>
      <c r="AE31">
        <f t="shared" si="22"/>
        <v>98.134678276832062</v>
      </c>
      <c r="AF31">
        <f t="shared" si="23"/>
        <v>-2.9395064871615006</v>
      </c>
      <c r="AG31">
        <f t="shared" si="24"/>
        <v>0.53998175357537459</v>
      </c>
      <c r="AH31">
        <f t="shared" si="25"/>
        <v>-2.9957673488001664</v>
      </c>
      <c r="AI31">
        <v>426.02540700690321</v>
      </c>
      <c r="AJ31">
        <v>429.54762424242438</v>
      </c>
      <c r="AK31">
        <v>2.8587672412391522E-2</v>
      </c>
      <c r="AL31">
        <v>67.043395493719743</v>
      </c>
      <c r="AM31">
        <f t="shared" si="26"/>
        <v>0.5349172549143012</v>
      </c>
      <c r="AN31">
        <v>21.39675531201074</v>
      </c>
      <c r="AO31">
        <v>22.024452121212121</v>
      </c>
      <c r="AP31">
        <v>4.3183022586631677E-6</v>
      </c>
      <c r="AQ31">
        <v>77.963053798402598</v>
      </c>
      <c r="AR31">
        <v>0</v>
      </c>
      <c r="AS31">
        <v>0</v>
      </c>
      <c r="AT31">
        <f t="shared" si="27"/>
        <v>1</v>
      </c>
      <c r="AU31">
        <f t="shared" si="28"/>
        <v>0</v>
      </c>
      <c r="AV31">
        <f t="shared" si="29"/>
        <v>52017.998826659867</v>
      </c>
      <c r="AW31" t="s">
        <v>740</v>
      </c>
      <c r="AX31">
        <v>13204</v>
      </c>
      <c r="AY31">
        <v>634.19117647058829</v>
      </c>
      <c r="AZ31">
        <v>2420.69</v>
      </c>
      <c r="BA31">
        <f t="shared" si="30"/>
        <v>0.73801222937650501</v>
      </c>
      <c r="BB31">
        <v>-2.939506487161454</v>
      </c>
      <c r="BC31" t="s">
        <v>408</v>
      </c>
      <c r="BD31" t="s">
        <v>408</v>
      </c>
      <c r="BE31">
        <v>0</v>
      </c>
      <c r="BF31">
        <v>0</v>
      </c>
      <c r="BG31" t="e">
        <f t="shared" si="31"/>
        <v>#DIV/0!</v>
      </c>
      <c r="BH31">
        <v>0.5</v>
      </c>
      <c r="BI31">
        <f t="shared" si="32"/>
        <v>8.4035283704399992E-4</v>
      </c>
      <c r="BJ31">
        <f t="shared" si="33"/>
        <v>-2.9395064871615006</v>
      </c>
      <c r="BK31" t="e">
        <f t="shared" si="34"/>
        <v>#DIV/0!</v>
      </c>
      <c r="BL31">
        <f t="shared" si="35"/>
        <v>-5.5487843889810194E-11</v>
      </c>
      <c r="BM31" t="e">
        <f t="shared" si="36"/>
        <v>#DIV/0!</v>
      </c>
      <c r="BN31" t="e">
        <f t="shared" si="37"/>
        <v>#DIV/0!</v>
      </c>
      <c r="BO31" t="s">
        <v>408</v>
      </c>
      <c r="BP31">
        <v>0</v>
      </c>
      <c r="BQ31" t="e">
        <f t="shared" si="38"/>
        <v>#DIV/0!</v>
      </c>
      <c r="BR31" t="e">
        <f t="shared" si="39"/>
        <v>#DIV/0!</v>
      </c>
      <c r="BS31" t="e">
        <f t="shared" si="40"/>
        <v>#DIV/0!</v>
      </c>
      <c r="BT31" t="e">
        <f t="shared" si="41"/>
        <v>#DIV/0!</v>
      </c>
      <c r="BU31">
        <f t="shared" si="42"/>
        <v>0</v>
      </c>
      <c r="BV31">
        <f t="shared" si="43"/>
        <v>1.3549910966175049</v>
      </c>
      <c r="BW31" t="e">
        <f t="shared" si="44"/>
        <v>#DIV/0!</v>
      </c>
      <c r="BX31" t="e">
        <f t="shared" si="45"/>
        <v>#DIV/0!</v>
      </c>
      <c r="DG31">
        <f t="shared" si="46"/>
        <v>1.00021E-2</v>
      </c>
      <c r="DH31">
        <f t="shared" si="47"/>
        <v>8.4035283704399992E-4</v>
      </c>
      <c r="DI31">
        <f t="shared" si="48"/>
        <v>8.4017639999999991E-2</v>
      </c>
      <c r="DJ31">
        <f t="shared" si="49"/>
        <v>1.5963351599999998E-2</v>
      </c>
      <c r="DK31">
        <v>6</v>
      </c>
      <c r="DL31">
        <v>0.5</v>
      </c>
      <c r="DM31" t="s">
        <v>409</v>
      </c>
      <c r="DN31">
        <v>2</v>
      </c>
      <c r="DO31" t="b">
        <v>0</v>
      </c>
      <c r="DP31">
        <v>1785944242</v>
      </c>
      <c r="DQ31">
        <v>420.02790322580643</v>
      </c>
      <c r="DR31">
        <v>416.77287096774188</v>
      </c>
      <c r="DS31">
        <v>22.02753548387097</v>
      </c>
      <c r="DT31">
        <v>21.393870967741929</v>
      </c>
      <c r="DU31">
        <v>430.96658064516129</v>
      </c>
      <c r="DV31">
        <v>22.546009677419349</v>
      </c>
      <c r="DW31">
        <v>500.03174193548392</v>
      </c>
      <c r="DX31">
        <v>97.91393225806452</v>
      </c>
      <c r="DY31">
        <v>4.8823348387096781E-2</v>
      </c>
      <c r="DZ31">
        <v>25.676622580645169</v>
      </c>
      <c r="EA31">
        <v>24.948219354838709</v>
      </c>
      <c r="EB31">
        <v>999.90000000000032</v>
      </c>
      <c r="EC31">
        <v>0</v>
      </c>
      <c r="ED31">
        <v>0</v>
      </c>
      <c r="EE31">
        <v>10002.903225806451</v>
      </c>
      <c r="EF31">
        <v>0</v>
      </c>
      <c r="EG31">
        <v>21.791893548387101</v>
      </c>
      <c r="EH31">
        <v>3.254985161290322</v>
      </c>
      <c r="EI31">
        <v>429.48851612903229</v>
      </c>
      <c r="EJ31">
        <v>425.88425806451608</v>
      </c>
      <c r="EK31">
        <v>0.6336661612903226</v>
      </c>
      <c r="EL31">
        <v>416.77287096774188</v>
      </c>
      <c r="EM31">
        <v>21.393870967741929</v>
      </c>
      <c r="EN31">
        <v>2.156803870967742</v>
      </c>
      <c r="EO31">
        <v>2.0947590322580649</v>
      </c>
      <c r="EP31">
        <v>18.64501612903226</v>
      </c>
      <c r="EQ31">
        <v>18.179377419354839</v>
      </c>
      <c r="ER31">
        <v>1.00021E-2</v>
      </c>
      <c r="ES31">
        <v>0</v>
      </c>
      <c r="ET31">
        <v>0</v>
      </c>
      <c r="EU31">
        <v>0</v>
      </c>
      <c r="EV31">
        <v>633.69838709677424</v>
      </c>
      <c r="EW31">
        <v>1.00021E-2</v>
      </c>
      <c r="EX31">
        <v>220.3048387096774</v>
      </c>
      <c r="EY31">
        <v>-0.26451612903225807</v>
      </c>
      <c r="EZ31">
        <v>34.278032258064513</v>
      </c>
      <c r="FA31">
        <v>37.802290322580653</v>
      </c>
      <c r="FB31">
        <v>36.606483870967729</v>
      </c>
      <c r="FC31">
        <v>38.025967741935482</v>
      </c>
      <c r="FD31">
        <v>36.606548387096773</v>
      </c>
      <c r="FE31">
        <v>0</v>
      </c>
      <c r="FF31">
        <v>0</v>
      </c>
      <c r="FG31">
        <v>0</v>
      </c>
      <c r="FH31">
        <v>180.9000000953674</v>
      </c>
      <c r="FI31">
        <v>0</v>
      </c>
      <c r="FJ31">
        <v>634.19117647058829</v>
      </c>
      <c r="FK31">
        <v>-15.62499874613238</v>
      </c>
      <c r="FL31">
        <v>27.67156745354751</v>
      </c>
      <c r="FM31">
        <v>219.38529411764699</v>
      </c>
      <c r="FN31">
        <v>10</v>
      </c>
      <c r="FO31">
        <v>1785944201.5</v>
      </c>
      <c r="FP31" t="s">
        <v>848</v>
      </c>
      <c r="FQ31">
        <v>1785944201.5</v>
      </c>
      <c r="FR31">
        <v>1785944195</v>
      </c>
      <c r="FS31">
        <v>16</v>
      </c>
      <c r="FT31">
        <v>5.6000000000000001E-2</v>
      </c>
      <c r="FU31">
        <v>0</v>
      </c>
      <c r="FV31">
        <v>-10.927</v>
      </c>
      <c r="FW31">
        <v>-0.53700000000000003</v>
      </c>
      <c r="FX31">
        <v>417</v>
      </c>
      <c r="FY31">
        <v>21</v>
      </c>
      <c r="FZ31">
        <v>1.44</v>
      </c>
      <c r="GA31">
        <v>0.49</v>
      </c>
      <c r="GB31">
        <v>420.02567741935491</v>
      </c>
      <c r="GC31">
        <v>-5.6032258064723617E-2</v>
      </c>
      <c r="GD31">
        <v>5.2826793725117019E-2</v>
      </c>
      <c r="GE31">
        <v>-1</v>
      </c>
      <c r="GF31">
        <v>634.03382352941185</v>
      </c>
      <c r="GG31">
        <v>-2.3139798783731389</v>
      </c>
      <c r="GH31">
        <v>3.8548235747421238</v>
      </c>
      <c r="GI31">
        <v>1</v>
      </c>
      <c r="GJ31">
        <v>0.63627551219512202</v>
      </c>
      <c r="GK31">
        <v>-5.5407261324042417E-2</v>
      </c>
      <c r="GL31">
        <v>6.1493254959165472E-3</v>
      </c>
      <c r="GM31">
        <v>1</v>
      </c>
      <c r="GN31">
        <v>2</v>
      </c>
      <c r="GO31">
        <v>2</v>
      </c>
      <c r="GP31" t="s">
        <v>411</v>
      </c>
      <c r="GQ31">
        <v>3.1315300000000001</v>
      </c>
      <c r="GR31">
        <v>2.7244100000000002</v>
      </c>
      <c r="GS31">
        <v>9.4308400000000001E-2</v>
      </c>
      <c r="GT31">
        <v>9.2680499999999999E-2</v>
      </c>
      <c r="GU31">
        <v>0.109279</v>
      </c>
      <c r="GV31">
        <v>0.105702</v>
      </c>
      <c r="GW31">
        <v>22971.3</v>
      </c>
      <c r="GX31">
        <v>30622.400000000001</v>
      </c>
      <c r="GY31">
        <v>27475.1</v>
      </c>
      <c r="GZ31">
        <v>34649.800000000003</v>
      </c>
      <c r="HA31">
        <v>35777</v>
      </c>
      <c r="HB31">
        <v>38961.1</v>
      </c>
      <c r="HC31">
        <v>40536.1</v>
      </c>
      <c r="HD31">
        <v>43663.7</v>
      </c>
      <c r="HE31">
        <v>2.0518000000000001</v>
      </c>
      <c r="HF31">
        <v>1.9890000000000001</v>
      </c>
      <c r="HG31">
        <v>6.6727400000000006E-2</v>
      </c>
      <c r="HH31">
        <v>0</v>
      </c>
      <c r="HI31">
        <v>23.859500000000001</v>
      </c>
      <c r="HJ31">
        <v>999.9</v>
      </c>
      <c r="HK31">
        <v>74.3</v>
      </c>
      <c r="HL31">
        <v>25.8</v>
      </c>
      <c r="HM31">
        <v>25.304400000000001</v>
      </c>
      <c r="HN31">
        <v>60.6629</v>
      </c>
      <c r="HO31">
        <v>3.0408599999999999</v>
      </c>
      <c r="HP31">
        <v>1</v>
      </c>
      <c r="HQ31">
        <v>-0.124309</v>
      </c>
      <c r="HR31">
        <v>-1.0321800000000001</v>
      </c>
      <c r="HS31">
        <v>20.258199999999999</v>
      </c>
      <c r="HT31">
        <v>5.2137000000000002</v>
      </c>
      <c r="HU31">
        <v>11.902100000000001</v>
      </c>
      <c r="HV31">
        <v>4.9859999999999998</v>
      </c>
      <c r="HW31">
        <v>3.27</v>
      </c>
      <c r="HX31">
        <v>9999</v>
      </c>
      <c r="HY31">
        <v>9999</v>
      </c>
      <c r="HZ31">
        <v>9999</v>
      </c>
      <c r="IA31">
        <v>999.9</v>
      </c>
      <c r="IB31">
        <v>1.8672200000000001</v>
      </c>
      <c r="IC31">
        <v>1.8627899999999999</v>
      </c>
      <c r="ID31">
        <v>1.8621799999999999</v>
      </c>
      <c r="IE31">
        <v>1.86172</v>
      </c>
      <c r="IF31">
        <v>1.86175</v>
      </c>
      <c r="IG31">
        <v>1.86249</v>
      </c>
      <c r="IH31">
        <v>1.8633999999999999</v>
      </c>
      <c r="II31">
        <v>1.8613599999999999</v>
      </c>
      <c r="IJ31">
        <v>0</v>
      </c>
      <c r="IK31">
        <v>0</v>
      </c>
      <c r="IL31">
        <v>0</v>
      </c>
      <c r="IM31">
        <v>4.5</v>
      </c>
      <c r="IN31" t="s">
        <v>412</v>
      </c>
      <c r="IO31" t="s">
        <v>413</v>
      </c>
      <c r="IP31" t="s">
        <v>414</v>
      </c>
      <c r="IQ31" t="s">
        <v>415</v>
      </c>
      <c r="IR31" t="s">
        <v>415</v>
      </c>
      <c r="IS31" t="s">
        <v>414</v>
      </c>
      <c r="IT31">
        <v>0</v>
      </c>
      <c r="IU31">
        <v>100</v>
      </c>
      <c r="IV31">
        <v>100</v>
      </c>
      <c r="IW31">
        <v>-10.939</v>
      </c>
      <c r="IX31">
        <v>-0.51839999999999997</v>
      </c>
      <c r="IY31">
        <v>-8.9323519421676707</v>
      </c>
      <c r="IZ31">
        <v>-5.6215304933332991E-3</v>
      </c>
      <c r="JA31">
        <v>2.3979931213773931E-6</v>
      </c>
      <c r="JB31">
        <v>-3.6297174575716598E-10</v>
      </c>
      <c r="JC31">
        <v>-0.87102189770852156</v>
      </c>
      <c r="JD31">
        <v>2.7492919904454862E-4</v>
      </c>
      <c r="JE31">
        <v>8.6739513355948885E-4</v>
      </c>
      <c r="JF31">
        <v>-8.2500691715147318E-6</v>
      </c>
      <c r="JG31">
        <v>17</v>
      </c>
      <c r="JH31">
        <v>1914</v>
      </c>
      <c r="JI31">
        <v>2</v>
      </c>
      <c r="JJ31">
        <v>37</v>
      </c>
      <c r="JK31">
        <v>0.8</v>
      </c>
      <c r="JL31">
        <v>0.9</v>
      </c>
      <c r="JM31">
        <v>1.09619</v>
      </c>
      <c r="JN31">
        <v>2.4609399999999999</v>
      </c>
      <c r="JO31">
        <v>1.50024</v>
      </c>
      <c r="JP31">
        <v>2.2802699999999998</v>
      </c>
      <c r="JQ31">
        <v>1.4477500000000001</v>
      </c>
      <c r="JR31">
        <v>2.4133300000000002</v>
      </c>
      <c r="JS31">
        <v>32.244599999999998</v>
      </c>
      <c r="JT31">
        <v>23.956199999999999</v>
      </c>
      <c r="JU31">
        <v>18</v>
      </c>
      <c r="JV31">
        <v>528.55899999999997</v>
      </c>
      <c r="JW31">
        <v>507.4</v>
      </c>
      <c r="JX31">
        <v>25.9558</v>
      </c>
      <c r="JY31">
        <v>25.6755</v>
      </c>
      <c r="JZ31">
        <v>30</v>
      </c>
      <c r="KA31">
        <v>25.763000000000002</v>
      </c>
      <c r="KB31">
        <v>25.7834</v>
      </c>
      <c r="KC31">
        <v>21.932200000000002</v>
      </c>
      <c r="KD31">
        <v>25.714600000000001</v>
      </c>
      <c r="KE31">
        <v>92.2333</v>
      </c>
      <c r="KF31">
        <v>25.949400000000001</v>
      </c>
      <c r="KG31">
        <v>416.72399999999999</v>
      </c>
      <c r="KH31">
        <v>21.391400000000001</v>
      </c>
      <c r="KI31">
        <v>101.34699999999999</v>
      </c>
      <c r="KJ31">
        <v>98.534999999999997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9ABA-609B-48CB-9937-65C12493BD42}">
  <dimension ref="A2:KJ29"/>
  <sheetViews>
    <sheetView tabSelected="1" workbookViewId="0">
      <selection activeCell="P11" sqref="P11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>
        <v>21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1785942985.0999999</v>
      </c>
      <c r="C17">
        <v>0</v>
      </c>
      <c r="D17" t="s">
        <v>849</v>
      </c>
      <c r="E17" t="s">
        <v>850</v>
      </c>
      <c r="F17">
        <v>15</v>
      </c>
      <c r="H17">
        <v>1785942977.349999</v>
      </c>
      <c r="I17">
        <f t="shared" ref="I17:I29" si="0">(J17)/1000</f>
        <v>2.6879823765777462E-3</v>
      </c>
      <c r="J17">
        <f t="shared" ref="J17:J29" si="1">IF(DO17, AM17, AG17)</f>
        <v>2.6879823765777462</v>
      </c>
      <c r="K17">
        <f t="shared" ref="K17:K29" si="2">IF(DO17, AH17, AF17)</f>
        <v>34.79103366629198</v>
      </c>
      <c r="L17">
        <f t="shared" ref="L17:L29" si="3">DQ17 - IF(AT17&gt;1, K17*DK17*100/(AV17), 0)</f>
        <v>377.03503333333339</v>
      </c>
      <c r="M17">
        <f t="shared" ref="M17:M29" si="4">((S17-I17/2)*L17-K17)/(S17+I17/2)</f>
        <v>132.89491657100595</v>
      </c>
      <c r="N17">
        <f t="shared" ref="N17:N29" si="5">M17*(DX17+DY17)/1000</f>
        <v>12.979334666464604</v>
      </c>
      <c r="O17">
        <f t="shared" ref="O17:O29" si="6">(DQ17 - IF(AT17&gt;1, K17*DK17*100/(AV17), 0))*(DX17+DY17)/1000</f>
        <v>36.823559582885018</v>
      </c>
      <c r="P17">
        <f t="shared" ref="P17:P29" si="7">2/((1/R17-1/Q17)+SIGN(R17)*SQRT((1/R17-1/Q17)*(1/R17-1/Q17) + 4*DL17/((DL17+1)*(DL17+1))*(2*1/R17*1/Q17-1/Q17*1/Q17)))</f>
        <v>0.24172893049245836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2.887418520987918</v>
      </c>
      <c r="R17">
        <f t="shared" ref="R17:R29" si="9">I17*(1000-(1000*0.61365*EXP(17.502*V17/(240.97+V17))/(DX17+DY17)+DS17)/2)/(1000*0.61365*EXP(17.502*V17/(240.97+V17))/(DX17+DY17)-DS17)</f>
        <v>0.23102261287527717</v>
      </c>
      <c r="S17">
        <f t="shared" ref="S17:S29" si="10">1/((DL17+1)/(P17/1.6)+1/(Q17/1.37)) + DL17/((DL17+1)/(P17/1.6) + DL17/(Q17/1.37))</f>
        <v>0.14531153460594337</v>
      </c>
      <c r="T17">
        <f t="shared" ref="T17:T29" si="11">(DG17*DJ17)</f>
        <v>319.7745902905412</v>
      </c>
      <c r="U17">
        <f t="shared" ref="U17:U29" si="12">(DZ17+(T17+2*0.95*0.0000000567*(((DZ17+$B$7)+273)^4-(DZ17+273)^4)-44100*I17)/(1.84*29.3*Q17+8*0.95*0.0000000567*(DZ17+273)^3))</f>
        <v>26.214459511936376</v>
      </c>
      <c r="V17">
        <f t="shared" ref="V17:V29" si="13">($C$7*EA17+$D$7*EB17+$E$7*U17)</f>
        <v>24.988516666666669</v>
      </c>
      <c r="W17">
        <f t="shared" ref="W17:W29" si="14">0.61365*EXP(17.502*V17/(240.97+V17))</f>
        <v>3.1775013514402173</v>
      </c>
      <c r="X17">
        <f t="shared" ref="X17:X29" si="15">(Y17/Z17*100)</f>
        <v>65.114994739787107</v>
      </c>
      <c r="Y17">
        <f t="shared" ref="Y17:Y29" si="16">DS17*(DX17+DY17)/1000</f>
        <v>2.071678716953774</v>
      </c>
      <c r="Z17">
        <f t="shared" ref="Z17:Z29" si="17">0.61365*EXP(17.502*DZ17/(240.97+DZ17))</f>
        <v>3.1815693531614766</v>
      </c>
      <c r="AA17">
        <f t="shared" ref="AA17:AA29" si="18">(W17-DS17*(DX17+DY17)/1000)</f>
        <v>1.1058226344864432</v>
      </c>
      <c r="AB17">
        <f t="shared" ref="AB17:AB29" si="19">(-I17*44100)</f>
        <v>-118.54002280707861</v>
      </c>
      <c r="AC17">
        <f t="shared" ref="AC17:AC29" si="20">2*29.3*Q17*0.92*(DZ17-V17)</f>
        <v>3.340603246733302</v>
      </c>
      <c r="AD17">
        <f t="shared" ref="AD17:AD29" si="21">2*0.95*0.0000000567*(((DZ17+$B$7)+273)^4-(V17+273)^4)</f>
        <v>0.24472135461451541</v>
      </c>
      <c r="AE17">
        <f t="shared" ref="AE17:AE29" si="22">T17+AD17+AB17+AC17</f>
        <v>204.81989208481039</v>
      </c>
      <c r="AF17">
        <f t="shared" ref="AF17:AF29" si="23">DW17*AT17*(DR17-DQ17*(1000-AT17*DT17)/(1000-AT17*DS17))/(100*DK17)</f>
        <v>34.79103366629198</v>
      </c>
      <c r="AG17">
        <f t="shared" ref="AG17:AG29" si="24">1000*DW17*AT17*(DS17-DT17)/(100*DK17*(1000-AT17*DS17))</f>
        <v>2.6879823765777462</v>
      </c>
      <c r="AH17">
        <f t="shared" ref="AH17:AH29" si="25">(AI17 - AJ17 - DX17*1000/(8.314*(DZ17+273.15)) * AL17/DW17 * AK17) * DW17/(100*DK17) * (1000 - DT17)/1000</f>
        <v>34.980251670856752</v>
      </c>
      <c r="AI17">
        <v>427.62207291691982</v>
      </c>
      <c r="AJ17">
        <v>385.04913333333309</v>
      </c>
      <c r="AK17">
        <v>-3.3331568374994777E-2</v>
      </c>
      <c r="AL17">
        <v>66.800240683547131</v>
      </c>
      <c r="AM17">
        <f t="shared" ref="AM17:AM29" si="26">(AO17 - AN17 + DX17*1000/(8.314*(DZ17+273.15)) * AQ17/DW17 * AP17) * DW17/(100*DK17) * 1000/(1000 - AO17)</f>
        <v>2.6916348810299828</v>
      </c>
      <c r="AN17">
        <v>18.052070462575099</v>
      </c>
      <c r="AO17">
        <v>21.214179393939411</v>
      </c>
      <c r="AP17">
        <v>-1.0641150443126819E-4</v>
      </c>
      <c r="AQ17">
        <v>77.924813481313322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51962.201660122199</v>
      </c>
      <c r="AW17" t="s">
        <v>851</v>
      </c>
      <c r="AX17">
        <v>13263.7</v>
      </c>
      <c r="AY17">
        <v>631.76470588235293</v>
      </c>
      <c r="AZ17">
        <v>2485.6799999999998</v>
      </c>
      <c r="BA17">
        <f t="shared" ref="BA17:BA29" si="30">1-AY17/AZ17</f>
        <v>0.74583827931095192</v>
      </c>
      <c r="BB17">
        <v>-2.170661106458982</v>
      </c>
      <c r="BC17" t="s">
        <v>852</v>
      </c>
      <c r="BD17">
        <v>13168.1</v>
      </c>
      <c r="BE17">
        <v>911.2018823529412</v>
      </c>
      <c r="BF17">
        <v>1105.3399999999999</v>
      </c>
      <c r="BG17">
        <f t="shared" ref="BG17:BG29" si="31">1-BE17/BF17</f>
        <v>0.17563656218634871</v>
      </c>
      <c r="BH17">
        <v>0.5</v>
      </c>
      <c r="BI17">
        <f t="shared" ref="BI17:BI29" si="32">DH17</f>
        <v>1680.2795398396586</v>
      </c>
      <c r="BJ17">
        <f t="shared" ref="BJ17:BJ29" si="33">K17</f>
        <v>34.79103366629198</v>
      </c>
      <c r="BK17">
        <f t="shared" ref="BK17:BK29" si="34">BG17*BH17*BI17</f>
        <v>147.55926094474879</v>
      </c>
      <c r="BL17">
        <f t="shared" ref="BL17:BL29" si="35">(BJ17-BB17)/BI17</f>
        <v>2.1997348593721523E-2</v>
      </c>
      <c r="BM17">
        <f t="shared" ref="BM17:BM29" si="36">(AZ17-BF17)/BF17</f>
        <v>1.2487922268261349</v>
      </c>
      <c r="BN17">
        <f t="shared" ref="BN17:BN29" si="37">AY17/(BA17+AY17/BF17)</f>
        <v>479.55595626918154</v>
      </c>
      <c r="BO17" t="s">
        <v>408</v>
      </c>
      <c r="BP17">
        <v>0</v>
      </c>
      <c r="BQ17">
        <f t="shared" ref="BQ17:BQ29" si="38">IF(BP17&lt;&gt;0, BP17, BN17)</f>
        <v>479.55595626918154</v>
      </c>
      <c r="BR17">
        <f t="shared" ref="BR17:BR29" si="39">1-BQ17/BF17</f>
        <v>0.56614620273474081</v>
      </c>
      <c r="BS17">
        <f t="shared" ref="BS17:BS29" si="40">(BF17-BE17)/(BF17-BQ17)</f>
        <v>0.31023181174393671</v>
      </c>
      <c r="BT17">
        <f t="shared" ref="BT17:BT29" si="41">(AZ17-BF17)/(AZ17-BQ17)</f>
        <v>0.68806313563390697</v>
      </c>
      <c r="BU17">
        <f t="shared" ref="BU17:BU29" si="42">(BF17-BE17)/(BF17-AY17)</f>
        <v>0.40994139698265247</v>
      </c>
      <c r="BV17">
        <f t="shared" ref="BV17:BV29" si="43">(AZ17-BF17)/(AZ17-AY17)</f>
        <v>0.74455397416469316</v>
      </c>
      <c r="BW17">
        <f t="shared" ref="BW17:BW29" si="44">(BS17*BQ17/BE17)</f>
        <v>0.16327173596460917</v>
      </c>
      <c r="BX17">
        <f t="shared" ref="BX17:BX29" si="45">(1-BW17)</f>
        <v>0.8367282640353908</v>
      </c>
      <c r="DG17">
        <f t="shared" ref="DG17:DG29" si="46">$B$11*EF17+$C$11*EG17+$F$11*ER17*(1-EU17)</f>
        <v>1999.9760000000001</v>
      </c>
      <c r="DH17">
        <f t="shared" ref="DH17:DH29" si="47">DG17*DI17</f>
        <v>1680.2795398396586</v>
      </c>
      <c r="DI17">
        <f t="shared" ref="DI17:DI29" si="48">($B$11*$D$9+$C$11*$D$9+$F$11*((FE17+EW17)/MAX(FE17+EW17+FF17, 0.1)*$I$9+FF17/MAX(FE17+EW17+FF17, 0.1)*$J$9))/($B$11+$C$11+$F$11)</f>
        <v>0.8401498517180499</v>
      </c>
      <c r="DJ17">
        <f t="shared" ref="DJ17:DJ29" si="49">($B$11*$K$9+$C$11*$K$9+$F$11*((FE17+EW17)/MAX(FE17+EW17+FF17, 0.1)*$P$9+FF17/MAX(FE17+EW17+FF17, 0.1)*$Q$9))/($B$11+$C$11+$F$11)</f>
        <v>0.15988921381583637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1785942977.349999</v>
      </c>
      <c r="DQ17">
        <v>377.03503333333339</v>
      </c>
      <c r="DR17">
        <v>420.00063333333338</v>
      </c>
      <c r="DS17">
        <v>21.211839999999999</v>
      </c>
      <c r="DT17">
        <v>18.05466666666667</v>
      </c>
      <c r="DU17">
        <v>386.21413333333328</v>
      </c>
      <c r="DV17">
        <v>21.77724666666667</v>
      </c>
      <c r="DW17">
        <v>499.99763333333323</v>
      </c>
      <c r="DX17">
        <v>97.620889999999989</v>
      </c>
      <c r="DY17">
        <v>4.5258573333333343E-2</v>
      </c>
      <c r="DZ17">
        <v>25.00997666666667</v>
      </c>
      <c r="EA17">
        <v>24.988516666666669</v>
      </c>
      <c r="EB17">
        <v>999.9000000000002</v>
      </c>
      <c r="EC17">
        <v>0</v>
      </c>
      <c r="ED17">
        <v>0</v>
      </c>
      <c r="EE17">
        <v>9999.6666666666661</v>
      </c>
      <c r="EF17">
        <v>0</v>
      </c>
      <c r="EG17">
        <v>335.41296666666682</v>
      </c>
      <c r="EH17">
        <v>-42.965690000000002</v>
      </c>
      <c r="EI17">
        <v>385.20596666666671</v>
      </c>
      <c r="EJ17">
        <v>427.72309999999999</v>
      </c>
      <c r="EK17">
        <v>3.1571660000000001</v>
      </c>
      <c r="EL17">
        <v>420.00063333333338</v>
      </c>
      <c r="EM17">
        <v>18.05466666666667</v>
      </c>
      <c r="EN17">
        <v>2.070718666666667</v>
      </c>
      <c r="EO17">
        <v>1.762513</v>
      </c>
      <c r="EP17">
        <v>17.995706666666671</v>
      </c>
      <c r="EQ17">
        <v>15.45823666666667</v>
      </c>
      <c r="ER17">
        <v>1999.9760000000001</v>
      </c>
      <c r="ES17">
        <v>0.99499499999999985</v>
      </c>
      <c r="ET17">
        <v>5.0053100000000024E-3</v>
      </c>
      <c r="EU17">
        <v>0</v>
      </c>
      <c r="EV17">
        <v>911.18566666666652</v>
      </c>
      <c r="EW17">
        <v>5.0010700000000003</v>
      </c>
      <c r="EX17">
        <v>20723.293333333339</v>
      </c>
      <c r="EY17">
        <v>18241.38</v>
      </c>
      <c r="EZ17">
        <v>38.764466666666657</v>
      </c>
      <c r="FA17">
        <v>40</v>
      </c>
      <c r="FB17">
        <v>39.303733333333319</v>
      </c>
      <c r="FC17">
        <v>39.629133333333328</v>
      </c>
      <c r="FD17">
        <v>39.945399999999992</v>
      </c>
      <c r="FE17">
        <v>1984.9860000000001</v>
      </c>
      <c r="FF17">
        <v>9.990000000000002</v>
      </c>
      <c r="FG17">
        <v>0</v>
      </c>
      <c r="FH17">
        <v>390.70000004768372</v>
      </c>
      <c r="FI17">
        <v>0</v>
      </c>
      <c r="FJ17">
        <v>911.2018823529412</v>
      </c>
      <c r="FK17">
        <v>0.72696075944589911</v>
      </c>
      <c r="FL17">
        <v>61.323529279002422</v>
      </c>
      <c r="FM17">
        <v>20726.31764705883</v>
      </c>
      <c r="FN17">
        <v>10</v>
      </c>
      <c r="FO17">
        <v>1785942867.0999999</v>
      </c>
      <c r="FP17" t="s">
        <v>853</v>
      </c>
      <c r="FQ17">
        <v>1785942861.0999999</v>
      </c>
      <c r="FR17">
        <v>1785942867.0999999</v>
      </c>
      <c r="FS17">
        <v>5</v>
      </c>
      <c r="FT17">
        <v>2.1999999999999999E-2</v>
      </c>
      <c r="FU17">
        <v>3.0000000000000001E-3</v>
      </c>
      <c r="FV17">
        <v>-9.3450000000000006</v>
      </c>
      <c r="FW17">
        <v>-0.63600000000000001</v>
      </c>
      <c r="FX17">
        <v>420</v>
      </c>
      <c r="FY17">
        <v>18</v>
      </c>
      <c r="FZ17">
        <v>0.2</v>
      </c>
      <c r="GA17">
        <v>0.11</v>
      </c>
      <c r="GB17">
        <v>377.05751612903231</v>
      </c>
      <c r="GC17">
        <v>-0.89288709677550449</v>
      </c>
      <c r="GD17">
        <v>8.2053039875178285E-2</v>
      </c>
      <c r="GE17">
        <v>-1</v>
      </c>
      <c r="GF17">
        <v>911.13947058823521</v>
      </c>
      <c r="GG17">
        <v>0.69561497244748671</v>
      </c>
      <c r="GH17">
        <v>0.22029875908092339</v>
      </c>
      <c r="GI17">
        <v>1</v>
      </c>
      <c r="GJ17">
        <v>3.156297804878049</v>
      </c>
      <c r="GK17">
        <v>1.336912891986684E-2</v>
      </c>
      <c r="GL17">
        <v>2.7921383642030102E-3</v>
      </c>
      <c r="GM17">
        <v>1</v>
      </c>
      <c r="GN17">
        <v>2</v>
      </c>
      <c r="GO17">
        <v>2</v>
      </c>
      <c r="GP17" t="s">
        <v>411</v>
      </c>
      <c r="GQ17">
        <v>3.1306799999999999</v>
      </c>
      <c r="GR17">
        <v>2.7218100000000001</v>
      </c>
      <c r="GS17">
        <v>8.5586700000000002E-2</v>
      </c>
      <c r="GT17">
        <v>9.1998700000000003E-2</v>
      </c>
      <c r="GU17">
        <v>0.10530200000000001</v>
      </c>
      <c r="GV17">
        <v>9.2388799999999993E-2</v>
      </c>
      <c r="GW17">
        <v>23063.1</v>
      </c>
      <c r="GX17">
        <v>30531.5</v>
      </c>
      <c r="GY17">
        <v>27341</v>
      </c>
      <c r="GZ17">
        <v>34549.599999999999</v>
      </c>
      <c r="HA17">
        <v>35784.400000000001</v>
      </c>
      <c r="HB17">
        <v>39506.800000000003</v>
      </c>
      <c r="HC17">
        <v>40343.300000000003</v>
      </c>
      <c r="HD17">
        <v>43614.1</v>
      </c>
      <c r="HE17">
        <v>2.0038</v>
      </c>
      <c r="HF17">
        <v>1.2962</v>
      </c>
      <c r="HG17">
        <v>-7.4505800000000005E-4</v>
      </c>
      <c r="HH17">
        <v>0</v>
      </c>
      <c r="HI17">
        <v>25.000399999999999</v>
      </c>
      <c r="HJ17">
        <v>999.9</v>
      </c>
      <c r="HK17">
        <v>60.4</v>
      </c>
      <c r="HL17">
        <v>33</v>
      </c>
      <c r="HM17">
        <v>31.2575</v>
      </c>
      <c r="HN17">
        <v>60.320099999999996</v>
      </c>
      <c r="HO17">
        <v>14.2468</v>
      </c>
      <c r="HP17">
        <v>1</v>
      </c>
      <c r="HQ17">
        <v>0.20469499999999999</v>
      </c>
      <c r="HR17">
        <v>2.9841600000000001</v>
      </c>
      <c r="HS17">
        <v>20.2455</v>
      </c>
      <c r="HT17">
        <v>5.2112999999999996</v>
      </c>
      <c r="HU17">
        <v>11.902100000000001</v>
      </c>
      <c r="HV17">
        <v>4.9843999999999999</v>
      </c>
      <c r="HW17">
        <v>3.2704</v>
      </c>
      <c r="HX17">
        <v>9999</v>
      </c>
      <c r="HY17">
        <v>9999</v>
      </c>
      <c r="HZ17">
        <v>9999</v>
      </c>
      <c r="IA17">
        <v>999.9</v>
      </c>
      <c r="IB17">
        <v>1.8669100000000001</v>
      </c>
      <c r="IC17">
        <v>1.86249</v>
      </c>
      <c r="ID17">
        <v>1.8620300000000001</v>
      </c>
      <c r="IE17">
        <v>1.86151</v>
      </c>
      <c r="IF17">
        <v>1.8615699999999999</v>
      </c>
      <c r="IG17">
        <v>1.8621799999999999</v>
      </c>
      <c r="IH17">
        <v>1.8631</v>
      </c>
      <c r="II17">
        <v>1.8610800000000001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-9.1780000000000008</v>
      </c>
      <c r="IX17">
        <v>-0.56530000000000002</v>
      </c>
      <c r="IY17">
        <v>-7.3447928148524859</v>
      </c>
      <c r="IZ17">
        <v>-5.6215304933332991E-3</v>
      </c>
      <c r="JA17">
        <v>2.3979931213773931E-6</v>
      </c>
      <c r="JB17">
        <v>-3.6297174575716598E-10</v>
      </c>
      <c r="JC17">
        <v>-0.89755521754609413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</v>
      </c>
      <c r="JM17">
        <v>0.87036100000000005</v>
      </c>
      <c r="JN17">
        <v>2.49878</v>
      </c>
      <c r="JO17">
        <v>1.50024</v>
      </c>
      <c r="JP17">
        <v>2.2790499999999998</v>
      </c>
      <c r="JQ17">
        <v>1.4477500000000001</v>
      </c>
      <c r="JR17">
        <v>2.1179199999999998</v>
      </c>
      <c r="JS17">
        <v>36.245899999999999</v>
      </c>
      <c r="JT17">
        <v>15.515499999999999</v>
      </c>
      <c r="JU17">
        <v>18</v>
      </c>
      <c r="JV17">
        <v>534.16899999999998</v>
      </c>
      <c r="JW17">
        <v>191.834</v>
      </c>
      <c r="JX17">
        <v>21.801100000000002</v>
      </c>
      <c r="JY17">
        <v>29.812999999999999</v>
      </c>
      <c r="JZ17">
        <v>30.0002</v>
      </c>
      <c r="KA17">
        <v>29.777899999999999</v>
      </c>
      <c r="KB17">
        <v>29.821300000000001</v>
      </c>
      <c r="KC17">
        <v>17.416</v>
      </c>
      <c r="KD17">
        <v>55.070500000000003</v>
      </c>
      <c r="KE17">
        <v>0</v>
      </c>
      <c r="KF17">
        <v>21.799099999999999</v>
      </c>
      <c r="KG17">
        <v>420</v>
      </c>
      <c r="KH17">
        <v>17.993500000000001</v>
      </c>
      <c r="KI17">
        <v>100.86</v>
      </c>
      <c r="KJ17">
        <v>98.346599999999995</v>
      </c>
    </row>
    <row r="18" spans="1:296" x14ac:dyDescent="0.3">
      <c r="A18">
        <v>2</v>
      </c>
      <c r="B18">
        <v>1785943166.5999999</v>
      </c>
      <c r="C18">
        <v>181.5</v>
      </c>
      <c r="D18" t="s">
        <v>854</v>
      </c>
      <c r="E18" t="s">
        <v>855</v>
      </c>
      <c r="F18">
        <v>15</v>
      </c>
      <c r="H18">
        <v>1785943158.849999</v>
      </c>
      <c r="I18">
        <f t="shared" si="0"/>
        <v>2.6920981334057951E-3</v>
      </c>
      <c r="J18">
        <f t="shared" si="1"/>
        <v>2.692098133405795</v>
      </c>
      <c r="K18">
        <f t="shared" si="2"/>
        <v>35.119207435422652</v>
      </c>
      <c r="L18">
        <f t="shared" si="3"/>
        <v>376.64796666666672</v>
      </c>
      <c r="M18">
        <f t="shared" si="4"/>
        <v>129.48278849703686</v>
      </c>
      <c r="N18">
        <f t="shared" si="5"/>
        <v>12.645931090790587</v>
      </c>
      <c r="O18">
        <f t="shared" si="6"/>
        <v>36.785307817664567</v>
      </c>
      <c r="P18">
        <f t="shared" si="7"/>
        <v>0.24092330178916702</v>
      </c>
      <c r="Q18">
        <f t="shared" si="8"/>
        <v>2.8867604976683512</v>
      </c>
      <c r="R18">
        <f t="shared" si="9"/>
        <v>0.23028423157745972</v>
      </c>
      <c r="S18">
        <f t="shared" si="10"/>
        <v>0.14484436898093495</v>
      </c>
      <c r="T18">
        <f t="shared" si="11"/>
        <v>271.91038542937747</v>
      </c>
      <c r="U18">
        <f t="shared" si="12"/>
        <v>26.038744451790979</v>
      </c>
      <c r="V18">
        <f t="shared" si="13"/>
        <v>25.016823333333331</v>
      </c>
      <c r="W18">
        <f t="shared" si="14"/>
        <v>3.1828681786472734</v>
      </c>
      <c r="X18">
        <f t="shared" si="15"/>
        <v>64.688146520897519</v>
      </c>
      <c r="Y18">
        <f t="shared" si="16"/>
        <v>2.0718474888635994</v>
      </c>
      <c r="Z18">
        <f t="shared" si="17"/>
        <v>3.2028240107239565</v>
      </c>
      <c r="AA18">
        <f t="shared" si="18"/>
        <v>1.1110206897836741</v>
      </c>
      <c r="AB18">
        <f t="shared" si="19"/>
        <v>-118.72152768319556</v>
      </c>
      <c r="AC18">
        <f t="shared" si="20"/>
        <v>16.324138941267833</v>
      </c>
      <c r="AD18">
        <f t="shared" si="21"/>
        <v>1.1969674889056527</v>
      </c>
      <c r="AE18">
        <f t="shared" si="22"/>
        <v>170.70996417635541</v>
      </c>
      <c r="AF18">
        <f t="shared" si="23"/>
        <v>35.119207435422652</v>
      </c>
      <c r="AG18">
        <f t="shared" si="24"/>
        <v>2.692098133405795</v>
      </c>
      <c r="AH18">
        <f t="shared" si="25"/>
        <v>35.168682718722621</v>
      </c>
      <c r="AI18">
        <v>427.71399337634472</v>
      </c>
      <c r="AJ18">
        <v>384.7662363636361</v>
      </c>
      <c r="AK18">
        <v>-5.1827356049970689E-3</v>
      </c>
      <c r="AL18">
        <v>66.798961244778027</v>
      </c>
      <c r="AM18">
        <f t="shared" si="26"/>
        <v>2.6845903252106376</v>
      </c>
      <c r="AN18">
        <v>18.053410254636599</v>
      </c>
      <c r="AO18">
        <v>21.210690303030301</v>
      </c>
      <c r="AP18">
        <v>-7.0758830738624004E-4</v>
      </c>
      <c r="AQ18">
        <v>77.925941018869878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51923.864975390679</v>
      </c>
      <c r="AW18" t="s">
        <v>851</v>
      </c>
      <c r="AX18">
        <v>13263.7</v>
      </c>
      <c r="AY18">
        <v>631.76470588235293</v>
      </c>
      <c r="AZ18">
        <v>2485.6799999999998</v>
      </c>
      <c r="BA18">
        <f t="shared" si="30"/>
        <v>0.74583827931095192</v>
      </c>
      <c r="BB18">
        <v>-2.170661106458982</v>
      </c>
      <c r="BC18" t="s">
        <v>856</v>
      </c>
      <c r="BD18">
        <v>13176.5</v>
      </c>
      <c r="BE18">
        <v>913.41911764705878</v>
      </c>
      <c r="BF18">
        <v>1161.33</v>
      </c>
      <c r="BG18">
        <f t="shared" si="31"/>
        <v>0.21347152174915063</v>
      </c>
      <c r="BH18">
        <v>0.5</v>
      </c>
      <c r="BI18">
        <f t="shared" si="32"/>
        <v>1428.3132198079668</v>
      </c>
      <c r="BJ18">
        <f t="shared" si="33"/>
        <v>35.119207435422652</v>
      </c>
      <c r="BK18">
        <f t="shared" si="34"/>
        <v>152.45209828341788</v>
      </c>
      <c r="BL18">
        <f t="shared" si="35"/>
        <v>2.6107626831945979E-2</v>
      </c>
      <c r="BM18">
        <f t="shared" si="36"/>
        <v>1.1403735372374777</v>
      </c>
      <c r="BN18">
        <f t="shared" si="37"/>
        <v>489.80109821487184</v>
      </c>
      <c r="BO18" t="s">
        <v>408</v>
      </c>
      <c r="BP18">
        <v>0</v>
      </c>
      <c r="BQ18">
        <f t="shared" si="38"/>
        <v>489.80109821487184</v>
      </c>
      <c r="BR18">
        <f t="shared" si="39"/>
        <v>0.57824124218364126</v>
      </c>
      <c r="BS18">
        <f t="shared" si="40"/>
        <v>0.36917380874288303</v>
      </c>
      <c r="BT18">
        <f t="shared" si="41"/>
        <v>0.66354226141450368</v>
      </c>
      <c r="BU18">
        <f t="shared" si="42"/>
        <v>0.46814035040949237</v>
      </c>
      <c r="BV18">
        <f t="shared" si="43"/>
        <v>0.71435302583784521</v>
      </c>
      <c r="BW18">
        <f t="shared" si="44"/>
        <v>0.19796141055184255</v>
      </c>
      <c r="BX18">
        <f t="shared" si="45"/>
        <v>0.80203858944815742</v>
      </c>
      <c r="DG18">
        <f t="shared" si="46"/>
        <v>1700.0096666666659</v>
      </c>
      <c r="DH18">
        <f t="shared" si="47"/>
        <v>1428.3132198079668</v>
      </c>
      <c r="DI18">
        <f t="shared" si="48"/>
        <v>0.84017946945476241</v>
      </c>
      <c r="DJ18">
        <f t="shared" si="49"/>
        <v>0.15994637604769166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1785943158.849999</v>
      </c>
      <c r="DQ18">
        <v>376.64796666666672</v>
      </c>
      <c r="DR18">
        <v>420.00450000000012</v>
      </c>
      <c r="DS18">
        <v>21.213826666666659</v>
      </c>
      <c r="DT18">
        <v>18.05208</v>
      </c>
      <c r="DU18">
        <v>385.79093333333338</v>
      </c>
      <c r="DV18">
        <v>21.775063333333328</v>
      </c>
      <c r="DW18">
        <v>500.03786666666667</v>
      </c>
      <c r="DX18">
        <v>97.619776666666681</v>
      </c>
      <c r="DY18">
        <v>4.5181259999999987E-2</v>
      </c>
      <c r="DZ18">
        <v>25.121713333333339</v>
      </c>
      <c r="EA18">
        <v>25.016823333333331</v>
      </c>
      <c r="EB18">
        <v>999.9000000000002</v>
      </c>
      <c r="EC18">
        <v>0</v>
      </c>
      <c r="ED18">
        <v>0</v>
      </c>
      <c r="EE18">
        <v>9996</v>
      </c>
      <c r="EF18">
        <v>0</v>
      </c>
      <c r="EG18">
        <v>355.01373333333328</v>
      </c>
      <c r="EH18">
        <v>-43.356580000000008</v>
      </c>
      <c r="EI18">
        <v>384.8112333333334</v>
      </c>
      <c r="EJ18">
        <v>427.72586666666672</v>
      </c>
      <c r="EK18">
        <v>3.1617413333333331</v>
      </c>
      <c r="EL18">
        <v>420.00450000000012</v>
      </c>
      <c r="EM18">
        <v>18.05208</v>
      </c>
      <c r="EN18">
        <v>2.0708899999999999</v>
      </c>
      <c r="EO18">
        <v>1.7622413333333331</v>
      </c>
      <c r="EP18">
        <v>17.99702666666667</v>
      </c>
      <c r="EQ18">
        <v>15.455833333333331</v>
      </c>
      <c r="ER18">
        <v>1700.0096666666659</v>
      </c>
      <c r="ES18">
        <v>0.99400296666666654</v>
      </c>
      <c r="ET18">
        <v>5.9973153333333327E-3</v>
      </c>
      <c r="EU18">
        <v>0</v>
      </c>
      <c r="EV18">
        <v>913.30653333333328</v>
      </c>
      <c r="EW18">
        <v>5.0010700000000003</v>
      </c>
      <c r="EX18">
        <v>18016.64333333333</v>
      </c>
      <c r="EY18">
        <v>15492.636666666671</v>
      </c>
      <c r="EZ18">
        <v>38.625</v>
      </c>
      <c r="FA18">
        <v>40.162199999999991</v>
      </c>
      <c r="FB18">
        <v>39.375</v>
      </c>
      <c r="FC18">
        <v>39.811999999999983</v>
      </c>
      <c r="FD18">
        <v>39.941199999999988</v>
      </c>
      <c r="FE18">
        <v>1684.839666666667</v>
      </c>
      <c r="FF18">
        <v>10.17</v>
      </c>
      <c r="FG18">
        <v>0</v>
      </c>
      <c r="FH18">
        <v>180.70000004768369</v>
      </c>
      <c r="FI18">
        <v>0</v>
      </c>
      <c r="FJ18">
        <v>913.41911764705878</v>
      </c>
      <c r="FK18">
        <v>2.2980392175072328</v>
      </c>
      <c r="FL18">
        <v>31.00490219302516</v>
      </c>
      <c r="FM18">
        <v>18018.123529411769</v>
      </c>
      <c r="FN18">
        <v>10</v>
      </c>
      <c r="FO18">
        <v>1785943049.5999999</v>
      </c>
      <c r="FP18" t="s">
        <v>857</v>
      </c>
      <c r="FQ18">
        <v>1785943042.0999999</v>
      </c>
      <c r="FR18">
        <v>1785943049.5999999</v>
      </c>
      <c r="FS18">
        <v>6</v>
      </c>
      <c r="FT18">
        <v>3.5000000000000003E-2</v>
      </c>
      <c r="FU18">
        <v>4.0000000000000001E-3</v>
      </c>
      <c r="FV18">
        <v>-9.3109999999999999</v>
      </c>
      <c r="FW18">
        <v>-0.63900000000000001</v>
      </c>
      <c r="FX18">
        <v>420</v>
      </c>
      <c r="FY18">
        <v>18</v>
      </c>
      <c r="FZ18">
        <v>0.16</v>
      </c>
      <c r="GA18">
        <v>7.0000000000000007E-2</v>
      </c>
      <c r="GB18">
        <v>376.65693333333343</v>
      </c>
      <c r="GC18">
        <v>-0.42548609566300682</v>
      </c>
      <c r="GD18">
        <v>6.791118382776877E-2</v>
      </c>
      <c r="GE18">
        <v>-1</v>
      </c>
      <c r="GF18">
        <v>913.22502941176469</v>
      </c>
      <c r="GG18">
        <v>2.0928189485237678</v>
      </c>
      <c r="GH18">
        <v>0.27712149441059059</v>
      </c>
      <c r="GI18">
        <v>1</v>
      </c>
      <c r="GJ18">
        <v>3.16363225</v>
      </c>
      <c r="GK18">
        <v>-3.0033883677302701E-2</v>
      </c>
      <c r="GL18">
        <v>4.3424995610247341E-3</v>
      </c>
      <c r="GM18">
        <v>1</v>
      </c>
      <c r="GN18">
        <v>2</v>
      </c>
      <c r="GO18">
        <v>2</v>
      </c>
      <c r="GP18" t="s">
        <v>411</v>
      </c>
      <c r="GQ18">
        <v>3.1307399999999999</v>
      </c>
      <c r="GR18">
        <v>2.7206999999999999</v>
      </c>
      <c r="GS18">
        <v>8.5519499999999998E-2</v>
      </c>
      <c r="GT18">
        <v>9.1922000000000004E-2</v>
      </c>
      <c r="GU18">
        <v>0.105239</v>
      </c>
      <c r="GV18">
        <v>9.2374800000000007E-2</v>
      </c>
      <c r="GW18">
        <v>23062.3</v>
      </c>
      <c r="GX18">
        <v>30529</v>
      </c>
      <c r="GY18">
        <v>27338.3</v>
      </c>
      <c r="GZ18">
        <v>34544.300000000003</v>
      </c>
      <c r="HA18">
        <v>35783.800000000003</v>
      </c>
      <c r="HB18">
        <v>39505.699999999997</v>
      </c>
      <c r="HC18">
        <v>40339.4</v>
      </c>
      <c r="HD18">
        <v>43612.1</v>
      </c>
      <c r="HE18">
        <v>2.0032000000000001</v>
      </c>
      <c r="HF18">
        <v>1.2946</v>
      </c>
      <c r="HG18">
        <v>-4.9173799999999998E-3</v>
      </c>
      <c r="HH18">
        <v>0</v>
      </c>
      <c r="HI18">
        <v>25.093599999999999</v>
      </c>
      <c r="HJ18">
        <v>999.9</v>
      </c>
      <c r="HK18">
        <v>60.5</v>
      </c>
      <c r="HL18">
        <v>32.9</v>
      </c>
      <c r="HM18">
        <v>31.134399999999999</v>
      </c>
      <c r="HN18">
        <v>60.370100000000001</v>
      </c>
      <c r="HO18">
        <v>13.866199999999999</v>
      </c>
      <c r="HP18">
        <v>1</v>
      </c>
      <c r="HQ18">
        <v>0.211809</v>
      </c>
      <c r="HR18">
        <v>3.0881699999999999</v>
      </c>
      <c r="HS18">
        <v>20.245999999999999</v>
      </c>
      <c r="HT18">
        <v>5.2112999999999996</v>
      </c>
      <c r="HU18">
        <v>11.902100000000001</v>
      </c>
      <c r="HV18">
        <v>4.9843999999999999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1.8669100000000001</v>
      </c>
      <c r="IC18">
        <v>1.86249</v>
      </c>
      <c r="ID18">
        <v>1.8620300000000001</v>
      </c>
      <c r="IE18">
        <v>1.86148</v>
      </c>
      <c r="IF18">
        <v>1.8615699999999999</v>
      </c>
      <c r="IG18">
        <v>1.8621799999999999</v>
      </c>
      <c r="IH18">
        <v>1.8631</v>
      </c>
      <c r="II18">
        <v>1.86111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-9.1430000000000007</v>
      </c>
      <c r="IX18">
        <v>-0.56140000000000001</v>
      </c>
      <c r="IY18">
        <v>-7.310230465371701</v>
      </c>
      <c r="IZ18">
        <v>-5.6215304933332991E-3</v>
      </c>
      <c r="JA18">
        <v>2.3979931213773931E-6</v>
      </c>
      <c r="JB18">
        <v>-3.6297174575716598E-10</v>
      </c>
      <c r="JC18">
        <v>-0.89332411192630978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2.1</v>
      </c>
      <c r="JL18">
        <v>1.9</v>
      </c>
      <c r="JM18">
        <v>0.87036100000000005</v>
      </c>
      <c r="JN18">
        <v>2.49756</v>
      </c>
      <c r="JO18">
        <v>1.50024</v>
      </c>
      <c r="JP18">
        <v>2.2790499999999998</v>
      </c>
      <c r="JQ18">
        <v>1.4477500000000001</v>
      </c>
      <c r="JR18">
        <v>2.31812</v>
      </c>
      <c r="JS18">
        <v>36.387099999999997</v>
      </c>
      <c r="JT18">
        <v>15.4892</v>
      </c>
      <c r="JU18">
        <v>18</v>
      </c>
      <c r="JV18">
        <v>534.34</v>
      </c>
      <c r="JW18">
        <v>191.48</v>
      </c>
      <c r="JX18">
        <v>21.909400000000002</v>
      </c>
      <c r="JY18">
        <v>29.877400000000002</v>
      </c>
      <c r="JZ18">
        <v>30.000499999999999</v>
      </c>
      <c r="KA18">
        <v>29.841899999999999</v>
      </c>
      <c r="KB18">
        <v>29.887699999999999</v>
      </c>
      <c r="KC18">
        <v>17.422799999999999</v>
      </c>
      <c r="KD18">
        <v>55.156199999999998</v>
      </c>
      <c r="KE18">
        <v>0</v>
      </c>
      <c r="KF18">
        <v>21.915500000000002</v>
      </c>
      <c r="KG18">
        <v>420</v>
      </c>
      <c r="KH18">
        <v>18.103300000000001</v>
      </c>
      <c r="KI18">
        <v>100.85</v>
      </c>
      <c r="KJ18">
        <v>98.337400000000002</v>
      </c>
    </row>
    <row r="19" spans="1:296" x14ac:dyDescent="0.3">
      <c r="A19">
        <v>3</v>
      </c>
      <c r="B19">
        <v>1785943348.0999999</v>
      </c>
      <c r="C19">
        <v>363</v>
      </c>
      <c r="D19" t="s">
        <v>858</v>
      </c>
      <c r="E19" t="s">
        <v>859</v>
      </c>
      <c r="F19">
        <v>15</v>
      </c>
      <c r="H19">
        <v>1785943340.099999</v>
      </c>
      <c r="I19">
        <f t="shared" si="0"/>
        <v>2.7667145011399745E-3</v>
      </c>
      <c r="J19">
        <f t="shared" si="1"/>
        <v>2.7667145011399747</v>
      </c>
      <c r="K19">
        <f t="shared" si="2"/>
        <v>35.578376204402616</v>
      </c>
      <c r="L19">
        <f t="shared" si="3"/>
        <v>376.07074193548391</v>
      </c>
      <c r="M19">
        <f t="shared" si="4"/>
        <v>134.5214762267656</v>
      </c>
      <c r="N19">
        <f t="shared" si="5"/>
        <v>13.13826116848254</v>
      </c>
      <c r="O19">
        <f t="shared" si="6"/>
        <v>36.729567381823742</v>
      </c>
      <c r="P19">
        <f t="shared" si="7"/>
        <v>0.25022062521056471</v>
      </c>
      <c r="Q19">
        <f t="shared" si="8"/>
        <v>2.8880461261579229</v>
      </c>
      <c r="R19">
        <f t="shared" si="9"/>
        <v>0.23877040949452721</v>
      </c>
      <c r="S19">
        <f t="shared" si="10"/>
        <v>0.15021659264838055</v>
      </c>
      <c r="T19">
        <f t="shared" si="11"/>
        <v>255.91539565204693</v>
      </c>
      <c r="U19">
        <f t="shared" si="12"/>
        <v>25.870736718615632</v>
      </c>
      <c r="V19">
        <f t="shared" si="13"/>
        <v>25.000377419354841</v>
      </c>
      <c r="W19">
        <f t="shared" si="14"/>
        <v>3.1797491378755161</v>
      </c>
      <c r="X19">
        <f t="shared" si="15"/>
        <v>65.098731918446063</v>
      </c>
      <c r="Y19">
        <f t="shared" si="16"/>
        <v>2.0785169496673785</v>
      </c>
      <c r="Z19">
        <f t="shared" si="17"/>
        <v>3.1928685681178681</v>
      </c>
      <c r="AA19">
        <f t="shared" si="18"/>
        <v>1.1012321882081375</v>
      </c>
      <c r="AB19">
        <f t="shared" si="19"/>
        <v>-122.01210950027287</v>
      </c>
      <c r="AC19">
        <f t="shared" si="20"/>
        <v>10.755880129240541</v>
      </c>
      <c r="AD19">
        <f t="shared" si="21"/>
        <v>0.78805129813616026</v>
      </c>
      <c r="AE19">
        <f t="shared" si="22"/>
        <v>145.44721757915079</v>
      </c>
      <c r="AF19">
        <f t="shared" si="23"/>
        <v>35.578376204402616</v>
      </c>
      <c r="AG19">
        <f t="shared" si="24"/>
        <v>2.7667145011399747</v>
      </c>
      <c r="AH19">
        <f t="shared" si="25"/>
        <v>35.634673392042394</v>
      </c>
      <c r="AI19">
        <v>427.89464285383679</v>
      </c>
      <c r="AJ19">
        <v>384.32490303030289</v>
      </c>
      <c r="AK19">
        <v>4.8434186198419958E-3</v>
      </c>
      <c r="AL19">
        <v>66.798002093554359</v>
      </c>
      <c r="AM19">
        <f t="shared" si="26"/>
        <v>2.7678597488568317</v>
      </c>
      <c r="AN19">
        <v>18.032594831240608</v>
      </c>
      <c r="AO19">
        <v>21.282823030303032</v>
      </c>
      <c r="AP19">
        <v>5.2093610062523682E-5</v>
      </c>
      <c r="AQ19">
        <v>77.927578158864648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51969.814228786898</v>
      </c>
      <c r="AW19" t="s">
        <v>851</v>
      </c>
      <c r="AX19">
        <v>13263.7</v>
      </c>
      <c r="AY19">
        <v>631.76470588235293</v>
      </c>
      <c r="AZ19">
        <v>2485.6799999999998</v>
      </c>
      <c r="BA19">
        <f t="shared" si="30"/>
        <v>0.74583827931095192</v>
      </c>
      <c r="BB19">
        <v>-2.170661106458982</v>
      </c>
      <c r="BC19" t="s">
        <v>860</v>
      </c>
      <c r="BD19">
        <v>13180.8</v>
      </c>
      <c r="BE19">
        <v>917.48894117647058</v>
      </c>
      <c r="BF19">
        <v>1193.17</v>
      </c>
      <c r="BG19">
        <f t="shared" si="31"/>
        <v>0.23104927112107199</v>
      </c>
      <c r="BH19">
        <v>0.5</v>
      </c>
      <c r="BI19">
        <f t="shared" si="32"/>
        <v>1344.2946099484118</v>
      </c>
      <c r="BJ19">
        <f t="shared" si="33"/>
        <v>35.578376204402616</v>
      </c>
      <c r="BK19">
        <f t="shared" si="34"/>
        <v>155.29914490028315</v>
      </c>
      <c r="BL19">
        <f t="shared" si="35"/>
        <v>2.8080925885963524E-2</v>
      </c>
      <c r="BM19">
        <f t="shared" si="36"/>
        <v>1.083257205595179</v>
      </c>
      <c r="BN19">
        <f t="shared" si="37"/>
        <v>495.37642305515601</v>
      </c>
      <c r="BO19" t="s">
        <v>408</v>
      </c>
      <c r="BP19">
        <v>0</v>
      </c>
      <c r="BQ19">
        <f t="shared" si="38"/>
        <v>495.37642305515601</v>
      </c>
      <c r="BR19">
        <f t="shared" si="39"/>
        <v>0.58482326654612837</v>
      </c>
      <c r="BS19">
        <f t="shared" si="40"/>
        <v>0.39507537462661435</v>
      </c>
      <c r="BT19">
        <f t="shared" si="41"/>
        <v>0.64940344526940397</v>
      </c>
      <c r="BU19">
        <f t="shared" si="42"/>
        <v>0.4910553244012662</v>
      </c>
      <c r="BV19">
        <f t="shared" si="43"/>
        <v>0.69717856263500833</v>
      </c>
      <c r="BW19">
        <f t="shared" si="44"/>
        <v>0.21331159116615961</v>
      </c>
      <c r="BX19">
        <f t="shared" si="45"/>
        <v>0.78668840883384039</v>
      </c>
      <c r="DG19">
        <f t="shared" si="46"/>
        <v>1600.009032258065</v>
      </c>
      <c r="DH19">
        <f t="shared" si="47"/>
        <v>1344.2946099484118</v>
      </c>
      <c r="DI19">
        <f t="shared" si="48"/>
        <v>0.84017938826959748</v>
      </c>
      <c r="DJ19">
        <f t="shared" si="49"/>
        <v>0.15994621936032322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1785943340.099999</v>
      </c>
      <c r="DQ19">
        <v>376.07074193548391</v>
      </c>
      <c r="DR19">
        <v>420.01074193548402</v>
      </c>
      <c r="DS19">
        <v>21.28174838709678</v>
      </c>
      <c r="DT19">
        <v>18.03254193548387</v>
      </c>
      <c r="DU19">
        <v>385.26100000000002</v>
      </c>
      <c r="DV19">
        <v>21.840845161290321</v>
      </c>
      <c r="DW19">
        <v>500.02990322580638</v>
      </c>
      <c r="DX19">
        <v>97.621354838709678</v>
      </c>
      <c r="DY19">
        <v>4.5289454838709671E-2</v>
      </c>
      <c r="DZ19">
        <v>25.06945806451613</v>
      </c>
      <c r="EA19">
        <v>25.000377419354841</v>
      </c>
      <c r="EB19">
        <v>999.90000000000032</v>
      </c>
      <c r="EC19">
        <v>0</v>
      </c>
      <c r="ED19">
        <v>0</v>
      </c>
      <c r="EE19">
        <v>10003.22580645161</v>
      </c>
      <c r="EF19">
        <v>0</v>
      </c>
      <c r="EG19">
        <v>380.27822580645147</v>
      </c>
      <c r="EH19">
        <v>-43.939980645161292</v>
      </c>
      <c r="EI19">
        <v>384.24829032258071</v>
      </c>
      <c r="EJ19">
        <v>427.72374193548387</v>
      </c>
      <c r="EK19">
        <v>3.2492045161290322</v>
      </c>
      <c r="EL19">
        <v>420.01074193548402</v>
      </c>
      <c r="EM19">
        <v>18.03254193548387</v>
      </c>
      <c r="EN19">
        <v>2.0775522580645158</v>
      </c>
      <c r="EO19">
        <v>1.7603606451612901</v>
      </c>
      <c r="EP19">
        <v>18.048109677419351</v>
      </c>
      <c r="EQ19">
        <v>15.43919032258064</v>
      </c>
      <c r="ER19">
        <v>1600.009032258065</v>
      </c>
      <c r="ES19">
        <v>0.99400283870967732</v>
      </c>
      <c r="ET19">
        <v>5.9968516129032283E-3</v>
      </c>
      <c r="EU19">
        <v>0</v>
      </c>
      <c r="EV19">
        <v>917.40303225806451</v>
      </c>
      <c r="EW19">
        <v>5.0010700000000003</v>
      </c>
      <c r="EX19">
        <v>17141.4064516129</v>
      </c>
      <c r="EY19">
        <v>14578.60322580645</v>
      </c>
      <c r="EZ19">
        <v>38.436999999999983</v>
      </c>
      <c r="FA19">
        <v>40.125</v>
      </c>
      <c r="FB19">
        <v>39.297999999999988</v>
      </c>
      <c r="FC19">
        <v>39.811999999999983</v>
      </c>
      <c r="FD19">
        <v>39.811999999999983</v>
      </c>
      <c r="FE19">
        <v>1585.439032258065</v>
      </c>
      <c r="FF19">
        <v>9.5674193548387105</v>
      </c>
      <c r="FG19">
        <v>0</v>
      </c>
      <c r="FH19">
        <v>180.9000000953674</v>
      </c>
      <c r="FI19">
        <v>0</v>
      </c>
      <c r="FJ19">
        <v>917.48894117647058</v>
      </c>
      <c r="FK19">
        <v>0.59852940992109005</v>
      </c>
      <c r="FL19">
        <v>31.004902029100808</v>
      </c>
      <c r="FM19">
        <v>17143.01176470588</v>
      </c>
      <c r="FN19">
        <v>10</v>
      </c>
      <c r="FO19">
        <v>1785943247.5999999</v>
      </c>
      <c r="FP19" t="s">
        <v>861</v>
      </c>
      <c r="FQ19">
        <v>1785943241.5999999</v>
      </c>
      <c r="FR19">
        <v>1785943247.5999999</v>
      </c>
      <c r="FS19">
        <v>7</v>
      </c>
      <c r="FT19">
        <v>-0.05</v>
      </c>
      <c r="FU19">
        <v>0</v>
      </c>
      <c r="FV19">
        <v>-9.36</v>
      </c>
      <c r="FW19">
        <v>-0.63300000000000001</v>
      </c>
      <c r="FX19">
        <v>420</v>
      </c>
      <c r="FY19">
        <v>18</v>
      </c>
      <c r="FZ19">
        <v>0.2</v>
      </c>
      <c r="GA19">
        <v>0.08</v>
      </c>
      <c r="GB19">
        <v>376.06906666666669</v>
      </c>
      <c r="GC19">
        <v>0.37428253615007923</v>
      </c>
      <c r="GD19">
        <v>5.9219328676444832E-2</v>
      </c>
      <c r="GE19">
        <v>-1</v>
      </c>
      <c r="GF19">
        <v>917.34329411764713</v>
      </c>
      <c r="GG19">
        <v>1.1196333157294209</v>
      </c>
      <c r="GH19">
        <v>0.26957444998190022</v>
      </c>
      <c r="GI19">
        <v>1</v>
      </c>
      <c r="GJ19">
        <v>3.2485360000000001</v>
      </c>
      <c r="GK19">
        <v>1.5413358348963711E-2</v>
      </c>
      <c r="GL19">
        <v>2.8610494578038968E-3</v>
      </c>
      <c r="GM19">
        <v>1</v>
      </c>
      <c r="GN19">
        <v>2</v>
      </c>
      <c r="GO19">
        <v>2</v>
      </c>
      <c r="GP19" t="s">
        <v>411</v>
      </c>
      <c r="GQ19">
        <v>3.1307999999999998</v>
      </c>
      <c r="GR19">
        <v>2.72112</v>
      </c>
      <c r="GS19">
        <v>8.5424399999999998E-2</v>
      </c>
      <c r="GT19">
        <v>9.1937199999999997E-2</v>
      </c>
      <c r="GU19">
        <v>0.10545499999999999</v>
      </c>
      <c r="GV19">
        <v>9.2300900000000005E-2</v>
      </c>
      <c r="GW19">
        <v>23059</v>
      </c>
      <c r="GX19">
        <v>30524.9</v>
      </c>
      <c r="GY19">
        <v>27332</v>
      </c>
      <c r="GZ19">
        <v>34540.9</v>
      </c>
      <c r="HA19">
        <v>35767.699999999997</v>
      </c>
      <c r="HB19">
        <v>39505.1</v>
      </c>
      <c r="HC19">
        <v>40330.699999999997</v>
      </c>
      <c r="HD19">
        <v>43607.8</v>
      </c>
      <c r="HE19">
        <v>2.0026000000000002</v>
      </c>
      <c r="HF19">
        <v>1.2926</v>
      </c>
      <c r="HG19">
        <v>-1.2964E-2</v>
      </c>
      <c r="HH19">
        <v>0</v>
      </c>
      <c r="HI19">
        <v>25.188500000000001</v>
      </c>
      <c r="HJ19">
        <v>999.9</v>
      </c>
      <c r="HK19">
        <v>60.6</v>
      </c>
      <c r="HL19">
        <v>32.9</v>
      </c>
      <c r="HM19">
        <v>31.187200000000001</v>
      </c>
      <c r="HN19">
        <v>60.2301</v>
      </c>
      <c r="HO19">
        <v>14.0946</v>
      </c>
      <c r="HP19">
        <v>1</v>
      </c>
      <c r="HQ19">
        <v>0.21939</v>
      </c>
      <c r="HR19">
        <v>3.0580799999999999</v>
      </c>
      <c r="HS19">
        <v>20.247699999999998</v>
      </c>
      <c r="HT19">
        <v>5.2100999999999997</v>
      </c>
      <c r="HU19">
        <v>11.902100000000001</v>
      </c>
      <c r="HV19">
        <v>4.9859999999999998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1.8669100000000001</v>
      </c>
      <c r="IC19">
        <v>1.86249</v>
      </c>
      <c r="ID19">
        <v>1.8620000000000001</v>
      </c>
      <c r="IE19">
        <v>1.86151</v>
      </c>
      <c r="IF19">
        <v>1.8615699999999999</v>
      </c>
      <c r="IG19">
        <v>1.8621799999999999</v>
      </c>
      <c r="IH19">
        <v>1.8631</v>
      </c>
      <c r="II19">
        <v>1.8610500000000001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-9.19</v>
      </c>
      <c r="IX19">
        <v>-0.55920000000000003</v>
      </c>
      <c r="IY19">
        <v>-7.3595821593657682</v>
      </c>
      <c r="IZ19">
        <v>-5.6215304933332991E-3</v>
      </c>
      <c r="JA19">
        <v>2.3979931213773931E-6</v>
      </c>
      <c r="JB19">
        <v>-3.6297174575716598E-10</v>
      </c>
      <c r="JC19">
        <v>-0.89291531475616082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1.8</v>
      </c>
      <c r="JL19">
        <v>1.7</v>
      </c>
      <c r="JM19">
        <v>0.87036100000000005</v>
      </c>
      <c r="JN19">
        <v>2.5</v>
      </c>
      <c r="JO19">
        <v>1.50024</v>
      </c>
      <c r="JP19">
        <v>2.2778299999999998</v>
      </c>
      <c r="JQ19">
        <v>1.4477500000000001</v>
      </c>
      <c r="JR19">
        <v>2.2375500000000001</v>
      </c>
      <c r="JS19">
        <v>36.505099999999999</v>
      </c>
      <c r="JT19">
        <v>15.4542</v>
      </c>
      <c r="JU19">
        <v>18</v>
      </c>
      <c r="JV19">
        <v>534.71100000000001</v>
      </c>
      <c r="JW19">
        <v>191.04300000000001</v>
      </c>
      <c r="JX19">
        <v>21.9436</v>
      </c>
      <c r="JY19">
        <v>29.9756</v>
      </c>
      <c r="JZ19">
        <v>30.000299999999999</v>
      </c>
      <c r="KA19">
        <v>29.929300000000001</v>
      </c>
      <c r="KB19">
        <v>29.972200000000001</v>
      </c>
      <c r="KC19">
        <v>17.422599999999999</v>
      </c>
      <c r="KD19">
        <v>55.058700000000002</v>
      </c>
      <c r="KE19">
        <v>0</v>
      </c>
      <c r="KF19">
        <v>21.942499999999999</v>
      </c>
      <c r="KG19">
        <v>420</v>
      </c>
      <c r="KH19">
        <v>18.072900000000001</v>
      </c>
      <c r="KI19">
        <v>100.828</v>
      </c>
      <c r="KJ19">
        <v>98.327699999999993</v>
      </c>
    </row>
    <row r="20" spans="1:296" x14ac:dyDescent="0.3">
      <c r="A20">
        <v>4</v>
      </c>
      <c r="B20">
        <v>1785943529.5999999</v>
      </c>
      <c r="C20">
        <v>544.5</v>
      </c>
      <c r="D20" t="s">
        <v>862</v>
      </c>
      <c r="E20" t="s">
        <v>863</v>
      </c>
      <c r="F20">
        <v>15</v>
      </c>
      <c r="H20">
        <v>1785943521.849999</v>
      </c>
      <c r="I20">
        <f t="shared" si="0"/>
        <v>2.7548685487820508E-3</v>
      </c>
      <c r="J20">
        <f t="shared" si="1"/>
        <v>2.7548685487820506</v>
      </c>
      <c r="K20">
        <f t="shared" si="2"/>
        <v>35.089428866710854</v>
      </c>
      <c r="L20">
        <f t="shared" si="3"/>
        <v>376.59403333333341</v>
      </c>
      <c r="M20">
        <f t="shared" si="4"/>
        <v>136.57356994440133</v>
      </c>
      <c r="N20">
        <f t="shared" si="5"/>
        <v>13.33790726978758</v>
      </c>
      <c r="O20">
        <f t="shared" si="6"/>
        <v>36.77853846099309</v>
      </c>
      <c r="P20">
        <f t="shared" si="7"/>
        <v>0.24835741263343783</v>
      </c>
      <c r="Q20">
        <f t="shared" si="8"/>
        <v>2.8864298102334702</v>
      </c>
      <c r="R20">
        <f t="shared" si="9"/>
        <v>0.23706694226581923</v>
      </c>
      <c r="S20">
        <f t="shared" si="10"/>
        <v>0.14913846513981588</v>
      </c>
      <c r="T20">
        <f t="shared" si="11"/>
        <v>224.01120916722394</v>
      </c>
      <c r="U20">
        <f t="shared" si="12"/>
        <v>25.721840198830158</v>
      </c>
      <c r="V20">
        <f t="shared" si="13"/>
        <v>25.014130000000002</v>
      </c>
      <c r="W20">
        <f t="shared" si="14"/>
        <v>3.1823571929973626</v>
      </c>
      <c r="X20">
        <f t="shared" si="15"/>
        <v>64.934308654640745</v>
      </c>
      <c r="Y20">
        <f t="shared" si="16"/>
        <v>2.0780392273074613</v>
      </c>
      <c r="Z20">
        <f t="shared" si="17"/>
        <v>3.2002176820880761</v>
      </c>
      <c r="AA20">
        <f t="shared" si="18"/>
        <v>1.1043179656899014</v>
      </c>
      <c r="AB20">
        <f t="shared" si="19"/>
        <v>-121.48970300128843</v>
      </c>
      <c r="AC20">
        <f t="shared" si="20"/>
        <v>14.614673402359385</v>
      </c>
      <c r="AD20">
        <f t="shared" si="21"/>
        <v>1.0716554590857557</v>
      </c>
      <c r="AE20">
        <f t="shared" si="22"/>
        <v>118.20783502738064</v>
      </c>
      <c r="AF20">
        <f t="shared" si="23"/>
        <v>35.089428866710854</v>
      </c>
      <c r="AG20">
        <f t="shared" si="24"/>
        <v>2.7548685487820506</v>
      </c>
      <c r="AH20">
        <f t="shared" si="25"/>
        <v>35.228576233811069</v>
      </c>
      <c r="AI20">
        <v>427.72713819206632</v>
      </c>
      <c r="AJ20">
        <v>384.69783030303017</v>
      </c>
      <c r="AK20">
        <v>-3.930785877027082E-3</v>
      </c>
      <c r="AL20">
        <v>66.798133847816203</v>
      </c>
      <c r="AM20">
        <f t="shared" si="26"/>
        <v>2.7618471003816683</v>
      </c>
      <c r="AN20">
        <v>18.040081018017339</v>
      </c>
      <c r="AO20">
        <v>21.281882424242411</v>
      </c>
      <c r="AP20">
        <v>2.9369740440948451E-4</v>
      </c>
      <c r="AQ20">
        <v>77.928205671013686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51916.694947069467</v>
      </c>
      <c r="AW20" t="s">
        <v>851</v>
      </c>
      <c r="AX20">
        <v>13263.7</v>
      </c>
      <c r="AY20">
        <v>631.76470588235293</v>
      </c>
      <c r="AZ20">
        <v>2485.6799999999998</v>
      </c>
      <c r="BA20">
        <f t="shared" si="30"/>
        <v>0.74583827931095192</v>
      </c>
      <c r="BB20">
        <v>-2.170661106458982</v>
      </c>
      <c r="BC20" t="s">
        <v>864</v>
      </c>
      <c r="BD20">
        <v>13192.7</v>
      </c>
      <c r="BE20">
        <v>920.24817647058831</v>
      </c>
      <c r="BF20">
        <v>1249.04</v>
      </c>
      <c r="BG20">
        <f t="shared" si="31"/>
        <v>0.26323562378259435</v>
      </c>
      <c r="BH20">
        <v>0.5</v>
      </c>
      <c r="BI20">
        <f t="shared" si="32"/>
        <v>1176.3194397757636</v>
      </c>
      <c r="BJ20">
        <f t="shared" si="33"/>
        <v>35.089428866710854</v>
      </c>
      <c r="BK20">
        <f t="shared" si="34"/>
        <v>154.82459074848254</v>
      </c>
      <c r="BL20">
        <f t="shared" si="35"/>
        <v>3.1675145979286508E-2</v>
      </c>
      <c r="BM20">
        <f t="shared" si="36"/>
        <v>0.99007237558444883</v>
      </c>
      <c r="BN20">
        <f t="shared" si="37"/>
        <v>504.75013879523107</v>
      </c>
      <c r="BO20" t="s">
        <v>408</v>
      </c>
      <c r="BP20">
        <v>0</v>
      </c>
      <c r="BQ20">
        <f t="shared" si="38"/>
        <v>504.75013879523107</v>
      </c>
      <c r="BR20">
        <f t="shared" si="39"/>
        <v>0.59588953212448681</v>
      </c>
      <c r="BS20">
        <f t="shared" si="40"/>
        <v>0.44175238797046373</v>
      </c>
      <c r="BT20">
        <f t="shared" si="41"/>
        <v>0.62427248143349001</v>
      </c>
      <c r="BU20">
        <f t="shared" si="42"/>
        <v>0.53265022375372595</v>
      </c>
      <c r="BV20">
        <f t="shared" si="43"/>
        <v>0.66704234218455316</v>
      </c>
      <c r="BW20">
        <f t="shared" si="44"/>
        <v>0.24229831130596405</v>
      </c>
      <c r="BX20">
        <f t="shared" si="45"/>
        <v>0.75770168869403598</v>
      </c>
      <c r="DG20">
        <f t="shared" si="46"/>
        <v>1400.0309999999999</v>
      </c>
      <c r="DH20">
        <f t="shared" si="47"/>
        <v>1176.3194397757636</v>
      </c>
      <c r="DI20">
        <f t="shared" si="48"/>
        <v>0.84020956662799873</v>
      </c>
      <c r="DJ20">
        <f t="shared" si="49"/>
        <v>0.16000446359203757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1785943521.849999</v>
      </c>
      <c r="DQ20">
        <v>376.59403333333341</v>
      </c>
      <c r="DR20">
        <v>419.94523333333319</v>
      </c>
      <c r="DS20">
        <v>21.278093333333331</v>
      </c>
      <c r="DT20">
        <v>18.04267333333333</v>
      </c>
      <c r="DU20">
        <v>385.79943333333341</v>
      </c>
      <c r="DV20">
        <v>21.835493333333329</v>
      </c>
      <c r="DW20">
        <v>500.01240000000001</v>
      </c>
      <c r="DX20">
        <v>97.615873333333369</v>
      </c>
      <c r="DY20">
        <v>4.5096320000000009E-2</v>
      </c>
      <c r="DZ20">
        <v>25.10804666666666</v>
      </c>
      <c r="EA20">
        <v>25.014130000000002</v>
      </c>
      <c r="EB20">
        <v>999.9000000000002</v>
      </c>
      <c r="EC20">
        <v>0</v>
      </c>
      <c r="ED20">
        <v>0</v>
      </c>
      <c r="EE20">
        <v>9994.5</v>
      </c>
      <c r="EF20">
        <v>0</v>
      </c>
      <c r="EG20">
        <v>406.56479999999999</v>
      </c>
      <c r="EH20">
        <v>-43.351250000000007</v>
      </c>
      <c r="EI20">
        <v>384.78140000000002</v>
      </c>
      <c r="EJ20">
        <v>427.66136666666671</v>
      </c>
      <c r="EK20">
        <v>3.2354233333333329</v>
      </c>
      <c r="EL20">
        <v>419.94523333333319</v>
      </c>
      <c r="EM20">
        <v>18.04267333333333</v>
      </c>
      <c r="EN20">
        <v>2.0770793333333328</v>
      </c>
      <c r="EO20">
        <v>1.761250333333334</v>
      </c>
      <c r="EP20">
        <v>18.044493333333332</v>
      </c>
      <c r="EQ20">
        <v>15.44706333333334</v>
      </c>
      <c r="ER20">
        <v>1400.0309999999999</v>
      </c>
      <c r="ES20">
        <v>0.99298933333333339</v>
      </c>
      <c r="ET20">
        <v>7.0107546666666664E-3</v>
      </c>
      <c r="EU20">
        <v>0</v>
      </c>
      <c r="EV20">
        <v>920.15846666666653</v>
      </c>
      <c r="EW20">
        <v>5.0010700000000003</v>
      </c>
      <c r="EX20">
        <v>15561.50333333333</v>
      </c>
      <c r="EY20">
        <v>12745.75333333333</v>
      </c>
      <c r="EZ20">
        <v>38.186999999999991</v>
      </c>
      <c r="FA20">
        <v>40.061999999999983</v>
      </c>
      <c r="FB20">
        <v>39.186999999999991</v>
      </c>
      <c r="FC20">
        <v>39.77893333333332</v>
      </c>
      <c r="FD20">
        <v>39.641533333333342</v>
      </c>
      <c r="FE20">
        <v>1385.251</v>
      </c>
      <c r="FF20">
        <v>9.7799999999999958</v>
      </c>
      <c r="FG20">
        <v>0</v>
      </c>
      <c r="FH20">
        <v>180.60000014305109</v>
      </c>
      <c r="FI20">
        <v>0</v>
      </c>
      <c r="FJ20">
        <v>920.24817647058831</v>
      </c>
      <c r="FK20">
        <v>2.3838235182173459</v>
      </c>
      <c r="FL20">
        <v>249.28921469788389</v>
      </c>
      <c r="FM20">
        <v>15569.02352941177</v>
      </c>
      <c r="FN20">
        <v>10</v>
      </c>
      <c r="FO20">
        <v>1785943414.5999999</v>
      </c>
      <c r="FP20" t="s">
        <v>865</v>
      </c>
      <c r="FQ20">
        <v>1785943410.5999999</v>
      </c>
      <c r="FR20">
        <v>1785943414.5999999</v>
      </c>
      <c r="FS20">
        <v>8</v>
      </c>
      <c r="FT20">
        <v>-1.2999999999999999E-2</v>
      </c>
      <c r="FU20">
        <v>2E-3</v>
      </c>
      <c r="FV20">
        <v>-9.3740000000000006</v>
      </c>
      <c r="FW20">
        <v>-0.63700000000000001</v>
      </c>
      <c r="FX20">
        <v>420</v>
      </c>
      <c r="FY20">
        <v>18</v>
      </c>
      <c r="FZ20">
        <v>0.21</v>
      </c>
      <c r="GA20">
        <v>0.09</v>
      </c>
      <c r="GB20">
        <v>376.59403333333341</v>
      </c>
      <c r="GC20">
        <v>-1.01277864293705</v>
      </c>
      <c r="GD20">
        <v>8.6511842477715109E-2</v>
      </c>
      <c r="GE20">
        <v>-1</v>
      </c>
      <c r="GF20">
        <v>920.08570588235295</v>
      </c>
      <c r="GG20">
        <v>1.537692894746681</v>
      </c>
      <c r="GH20">
        <v>0.26868180715264339</v>
      </c>
      <c r="GI20">
        <v>1</v>
      </c>
      <c r="GJ20">
        <v>3.2339902499999988</v>
      </c>
      <c r="GK20">
        <v>3.9556435272039107E-2</v>
      </c>
      <c r="GL20">
        <v>4.6325049851565119E-3</v>
      </c>
      <c r="GM20">
        <v>1</v>
      </c>
      <c r="GN20">
        <v>2</v>
      </c>
      <c r="GO20">
        <v>2</v>
      </c>
      <c r="GP20" t="s">
        <v>411</v>
      </c>
      <c r="GQ20">
        <v>3.1307700000000001</v>
      </c>
      <c r="GR20">
        <v>2.7218599999999999</v>
      </c>
      <c r="GS20">
        <v>8.5471800000000001E-2</v>
      </c>
      <c r="GT20">
        <v>9.18934E-2</v>
      </c>
      <c r="GU20">
        <v>0.105423</v>
      </c>
      <c r="GV20">
        <v>9.2312099999999994E-2</v>
      </c>
      <c r="GW20">
        <v>23054.799999999999</v>
      </c>
      <c r="GX20">
        <v>30520.5</v>
      </c>
      <c r="GY20">
        <v>27328.799999999999</v>
      </c>
      <c r="GZ20">
        <v>34534.800000000003</v>
      </c>
      <c r="HA20">
        <v>35766.199999999997</v>
      </c>
      <c r="HB20">
        <v>39499.199999999997</v>
      </c>
      <c r="HC20">
        <v>40327.199999999997</v>
      </c>
      <c r="HD20">
        <v>43601.7</v>
      </c>
      <c r="HE20">
        <v>2.0011999999999999</v>
      </c>
      <c r="HF20">
        <v>1.2914000000000001</v>
      </c>
      <c r="HG20">
        <v>-1.5914399999999999E-2</v>
      </c>
      <c r="HH20">
        <v>0</v>
      </c>
      <c r="HI20">
        <v>25.276</v>
      </c>
      <c r="HJ20">
        <v>999.9</v>
      </c>
      <c r="HK20">
        <v>60.7</v>
      </c>
      <c r="HL20">
        <v>33</v>
      </c>
      <c r="HM20">
        <v>31.414400000000001</v>
      </c>
      <c r="HN20">
        <v>60.280099999999997</v>
      </c>
      <c r="HO20">
        <v>13.942299999999999</v>
      </c>
      <c r="HP20">
        <v>1</v>
      </c>
      <c r="HQ20">
        <v>0.22648399999999999</v>
      </c>
      <c r="HR20">
        <v>3.0560100000000001</v>
      </c>
      <c r="HS20">
        <v>20.249500000000001</v>
      </c>
      <c r="HT20">
        <v>5.2125000000000004</v>
      </c>
      <c r="HU20">
        <v>11.902100000000001</v>
      </c>
      <c r="HV20">
        <v>4.9855999999999998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1.8669100000000001</v>
      </c>
      <c r="IC20">
        <v>1.86249</v>
      </c>
      <c r="ID20">
        <v>1.8620300000000001</v>
      </c>
      <c r="IE20">
        <v>1.86154</v>
      </c>
      <c r="IF20">
        <v>1.8615699999999999</v>
      </c>
      <c r="IG20">
        <v>1.8621799999999999</v>
      </c>
      <c r="IH20">
        <v>1.8631</v>
      </c>
      <c r="II20">
        <v>1.86111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-9.2050000000000001</v>
      </c>
      <c r="IX20">
        <v>-0.55740000000000001</v>
      </c>
      <c r="IY20">
        <v>-7.3726986369079457</v>
      </c>
      <c r="IZ20">
        <v>-5.6215304933332991E-3</v>
      </c>
      <c r="JA20">
        <v>2.3979931213773931E-6</v>
      </c>
      <c r="JB20">
        <v>-3.6297174575716598E-10</v>
      </c>
      <c r="JC20">
        <v>-0.89108718573907164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</v>
      </c>
      <c r="JL20">
        <v>1.9</v>
      </c>
      <c r="JM20">
        <v>0.87158199999999997</v>
      </c>
      <c r="JN20">
        <v>2.49878</v>
      </c>
      <c r="JO20">
        <v>1.50024</v>
      </c>
      <c r="JP20">
        <v>2.2790499999999998</v>
      </c>
      <c r="JQ20">
        <v>1.4477500000000001</v>
      </c>
      <c r="JR20">
        <v>2.2985799999999998</v>
      </c>
      <c r="JS20">
        <v>36.6233</v>
      </c>
      <c r="JT20">
        <v>15.427899999999999</v>
      </c>
      <c r="JU20">
        <v>18</v>
      </c>
      <c r="JV20">
        <v>534.50300000000004</v>
      </c>
      <c r="JW20">
        <v>190.86500000000001</v>
      </c>
      <c r="JX20">
        <v>22.098299999999998</v>
      </c>
      <c r="JY20">
        <v>30.058499999999999</v>
      </c>
      <c r="JZ20">
        <v>30.000499999999999</v>
      </c>
      <c r="KA20">
        <v>30.0092</v>
      </c>
      <c r="KB20">
        <v>30.054500000000001</v>
      </c>
      <c r="KC20">
        <v>17.4312</v>
      </c>
      <c r="KD20">
        <v>54.983800000000002</v>
      </c>
      <c r="KE20">
        <v>0</v>
      </c>
      <c r="KF20">
        <v>22.098700000000001</v>
      </c>
      <c r="KG20">
        <v>420</v>
      </c>
      <c r="KH20">
        <v>18.047499999999999</v>
      </c>
      <c r="KI20">
        <v>100.818</v>
      </c>
      <c r="KJ20">
        <v>98.312299999999993</v>
      </c>
    </row>
    <row r="21" spans="1:296" x14ac:dyDescent="0.3">
      <c r="A21">
        <v>5</v>
      </c>
      <c r="B21">
        <v>1785943711.0999999</v>
      </c>
      <c r="C21">
        <v>726</v>
      </c>
      <c r="D21" t="s">
        <v>866</v>
      </c>
      <c r="E21" t="s">
        <v>867</v>
      </c>
      <c r="F21">
        <v>15</v>
      </c>
      <c r="H21">
        <v>1785943703.099999</v>
      </c>
      <c r="I21">
        <f t="shared" si="0"/>
        <v>3.0158185332950795E-3</v>
      </c>
      <c r="J21">
        <f t="shared" si="1"/>
        <v>3.0158185332950795</v>
      </c>
      <c r="K21">
        <f t="shared" si="2"/>
        <v>32.504628633742755</v>
      </c>
      <c r="L21">
        <f t="shared" si="3"/>
        <v>379.64983870967751</v>
      </c>
      <c r="M21">
        <f t="shared" si="4"/>
        <v>178.89224210370125</v>
      </c>
      <c r="N21">
        <f t="shared" si="5"/>
        <v>17.469368599691936</v>
      </c>
      <c r="O21">
        <f t="shared" si="6"/>
        <v>37.073955210356935</v>
      </c>
      <c r="P21">
        <f t="shared" si="7"/>
        <v>0.27789030406918525</v>
      </c>
      <c r="Q21">
        <f t="shared" si="8"/>
        <v>2.8879371631145814</v>
      </c>
      <c r="R21">
        <f t="shared" si="9"/>
        <v>0.26384358561545462</v>
      </c>
      <c r="S21">
        <f t="shared" si="10"/>
        <v>0.1661050937896173</v>
      </c>
      <c r="T21">
        <f t="shared" si="11"/>
        <v>160.17791312651798</v>
      </c>
      <c r="U21">
        <f t="shared" si="12"/>
        <v>25.20292078913711</v>
      </c>
      <c r="V21">
        <f t="shared" si="13"/>
        <v>25.007851612903231</v>
      </c>
      <c r="W21">
        <f t="shared" si="14"/>
        <v>3.1811663206809992</v>
      </c>
      <c r="X21">
        <f t="shared" si="15"/>
        <v>65.732843469489694</v>
      </c>
      <c r="Y21">
        <f t="shared" si="16"/>
        <v>2.0951150965358059</v>
      </c>
      <c r="Z21">
        <f t="shared" si="17"/>
        <v>3.1873185244272397</v>
      </c>
      <c r="AA21">
        <f t="shared" si="18"/>
        <v>1.0860512241451934</v>
      </c>
      <c r="AB21">
        <f t="shared" si="19"/>
        <v>-132.99759731831301</v>
      </c>
      <c r="AC21">
        <f t="shared" si="20"/>
        <v>5.0465097350266843</v>
      </c>
      <c r="AD21">
        <f t="shared" si="21"/>
        <v>0.36971626506659716</v>
      </c>
      <c r="AE21">
        <f t="shared" si="22"/>
        <v>32.596541808298234</v>
      </c>
      <c r="AF21">
        <f t="shared" si="23"/>
        <v>32.504628633742755</v>
      </c>
      <c r="AG21">
        <f t="shared" si="24"/>
        <v>3.0158185332950795</v>
      </c>
      <c r="AH21">
        <f t="shared" si="25"/>
        <v>32.485609843483644</v>
      </c>
      <c r="AI21">
        <v>427.54409027731867</v>
      </c>
      <c r="AJ21">
        <v>387.86883030303028</v>
      </c>
      <c r="AK21">
        <v>-2.803441531074397E-3</v>
      </c>
      <c r="AL21">
        <v>66.798180744030674</v>
      </c>
      <c r="AM21">
        <f t="shared" si="26"/>
        <v>2.9673440853250672</v>
      </c>
      <c r="AN21">
        <v>17.795916725191908</v>
      </c>
      <c r="AO21">
        <v>21.381019999999989</v>
      </c>
      <c r="AP21">
        <v>-1.6421590773203269E-2</v>
      </c>
      <c r="AQ21">
        <v>77.927693194113644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51971.479240005247</v>
      </c>
      <c r="AW21" t="s">
        <v>851</v>
      </c>
      <c r="AX21">
        <v>13263.7</v>
      </c>
      <c r="AY21">
        <v>631.76470588235293</v>
      </c>
      <c r="AZ21">
        <v>2485.6799999999998</v>
      </c>
      <c r="BA21">
        <f t="shared" si="30"/>
        <v>0.74583827931095192</v>
      </c>
      <c r="BB21">
        <v>-2.170661106458982</v>
      </c>
      <c r="BC21" t="s">
        <v>868</v>
      </c>
      <c r="BD21">
        <v>13199.2</v>
      </c>
      <c r="BE21">
        <v>921.81305882352945</v>
      </c>
      <c r="BF21">
        <v>1400.63</v>
      </c>
      <c r="BG21">
        <f t="shared" si="31"/>
        <v>0.34185826462125657</v>
      </c>
      <c r="BH21">
        <v>0.5</v>
      </c>
      <c r="BI21">
        <f t="shared" si="32"/>
        <v>840.30525100655291</v>
      </c>
      <c r="BJ21">
        <f t="shared" si="33"/>
        <v>32.504628633742755</v>
      </c>
      <c r="BK21">
        <f t="shared" si="34"/>
        <v>143.63264743061478</v>
      </c>
      <c r="BL21">
        <f t="shared" si="35"/>
        <v>4.1265111337417226E-2</v>
      </c>
      <c r="BM21">
        <f t="shared" si="36"/>
        <v>0.7746871050884242</v>
      </c>
      <c r="BN21">
        <f t="shared" si="37"/>
        <v>527.83600866312736</v>
      </c>
      <c r="BO21" t="s">
        <v>408</v>
      </c>
      <c r="BP21">
        <v>0</v>
      </c>
      <c r="BQ21">
        <f t="shared" si="38"/>
        <v>527.83600866312736</v>
      </c>
      <c r="BR21">
        <f t="shared" si="39"/>
        <v>0.62314386478718342</v>
      </c>
      <c r="BS21">
        <f t="shared" si="40"/>
        <v>0.54860247197973833</v>
      </c>
      <c r="BT21">
        <f t="shared" si="41"/>
        <v>0.55420656845037797</v>
      </c>
      <c r="BU21">
        <f t="shared" si="42"/>
        <v>0.62275790680077825</v>
      </c>
      <c r="BV21">
        <f t="shared" si="43"/>
        <v>0.58527485233159959</v>
      </c>
      <c r="BW21">
        <f t="shared" si="44"/>
        <v>0.31413325769335354</v>
      </c>
      <c r="BX21">
        <f t="shared" si="45"/>
        <v>0.68586674230664646</v>
      </c>
      <c r="DG21">
        <f t="shared" si="46"/>
        <v>1000.007677419355</v>
      </c>
      <c r="DH21">
        <f t="shared" si="47"/>
        <v>840.30525100655291</v>
      </c>
      <c r="DI21">
        <f t="shared" si="48"/>
        <v>0.84029879968028431</v>
      </c>
      <c r="DJ21">
        <f t="shared" si="49"/>
        <v>0.16017668338294877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1785943703.099999</v>
      </c>
      <c r="DQ21">
        <v>379.64983870967751</v>
      </c>
      <c r="DR21">
        <v>420.02548387096772</v>
      </c>
      <c r="DS21">
        <v>21.45468709677419</v>
      </c>
      <c r="DT21">
        <v>17.91368709677419</v>
      </c>
      <c r="DU21">
        <v>388.8393225806451</v>
      </c>
      <c r="DV21">
        <v>22.00391290322581</v>
      </c>
      <c r="DW21">
        <v>500.04774193548388</v>
      </c>
      <c r="DX21">
        <v>97.607374193548381</v>
      </c>
      <c r="DY21">
        <v>4.5650858064516117E-2</v>
      </c>
      <c r="DZ21">
        <v>25.040264516129032</v>
      </c>
      <c r="EA21">
        <v>25.007851612903231</v>
      </c>
      <c r="EB21">
        <v>999.90000000000032</v>
      </c>
      <c r="EC21">
        <v>0</v>
      </c>
      <c r="ED21">
        <v>0</v>
      </c>
      <c r="EE21">
        <v>10004.032258064521</v>
      </c>
      <c r="EF21">
        <v>0</v>
      </c>
      <c r="EG21">
        <v>386.8737741935484</v>
      </c>
      <c r="EH21">
        <v>-40.375764516129038</v>
      </c>
      <c r="EI21">
        <v>387.97374193548382</v>
      </c>
      <c r="EJ21">
        <v>427.68700000000001</v>
      </c>
      <c r="EK21">
        <v>3.540999999999999</v>
      </c>
      <c r="EL21">
        <v>420.02548387096772</v>
      </c>
      <c r="EM21">
        <v>17.91368709677419</v>
      </c>
      <c r="EN21">
        <v>2.0941364516129028</v>
      </c>
      <c r="EO21">
        <v>1.748508709677419</v>
      </c>
      <c r="EP21">
        <v>18.17461290322581</v>
      </c>
      <c r="EQ21">
        <v>15.33357096774194</v>
      </c>
      <c r="ER21">
        <v>1000.007677419355</v>
      </c>
      <c r="ES21">
        <v>0.98998516129032244</v>
      </c>
      <c r="ET21">
        <v>1.0014545161290319E-2</v>
      </c>
      <c r="EU21">
        <v>0</v>
      </c>
      <c r="EV21">
        <v>921.72280645161288</v>
      </c>
      <c r="EW21">
        <v>5.0010700000000003</v>
      </c>
      <c r="EX21">
        <v>12683.44193548387</v>
      </c>
      <c r="EY21">
        <v>9080.2935483870951</v>
      </c>
      <c r="EZ21">
        <v>37.713419354838699</v>
      </c>
      <c r="FA21">
        <v>40.125</v>
      </c>
      <c r="FB21">
        <v>39.047999999999988</v>
      </c>
      <c r="FC21">
        <v>39.875</v>
      </c>
      <c r="FD21">
        <v>39.375</v>
      </c>
      <c r="FE21">
        <v>985.04</v>
      </c>
      <c r="FF21">
        <v>9.9599999999999973</v>
      </c>
      <c r="FG21">
        <v>0</v>
      </c>
      <c r="FH21">
        <v>180.9000000953674</v>
      </c>
      <c r="FI21">
        <v>0</v>
      </c>
      <c r="FJ21">
        <v>921.81305882352945</v>
      </c>
      <c r="FK21">
        <v>1.8240195639346251</v>
      </c>
      <c r="FL21">
        <v>-3100.3921518978891</v>
      </c>
      <c r="FM21">
        <v>12583.182352941179</v>
      </c>
      <c r="FN21">
        <v>10</v>
      </c>
      <c r="FO21">
        <v>1785943611.5999999</v>
      </c>
      <c r="FP21" t="s">
        <v>869</v>
      </c>
      <c r="FQ21">
        <v>1785943598.5999999</v>
      </c>
      <c r="FR21">
        <v>1785943611.5999999</v>
      </c>
      <c r="FS21">
        <v>9</v>
      </c>
      <c r="FT21">
        <v>2.8000000000000001E-2</v>
      </c>
      <c r="FU21">
        <v>4.0000000000000001E-3</v>
      </c>
      <c r="FV21">
        <v>-9.3460000000000001</v>
      </c>
      <c r="FW21">
        <v>-0.63500000000000001</v>
      </c>
      <c r="FX21">
        <v>420</v>
      </c>
      <c r="FY21">
        <v>18</v>
      </c>
      <c r="FZ21">
        <v>0.19</v>
      </c>
      <c r="GA21">
        <v>7.0000000000000007E-2</v>
      </c>
      <c r="GB21">
        <v>379.65809677419361</v>
      </c>
      <c r="GC21">
        <v>-0.35666129032426852</v>
      </c>
      <c r="GD21">
        <v>7.9011373145692065E-2</v>
      </c>
      <c r="GE21">
        <v>-1</v>
      </c>
      <c r="GF21">
        <v>921.55105882352939</v>
      </c>
      <c r="GG21">
        <v>2.832574478636924</v>
      </c>
      <c r="GH21">
        <v>0.36241558377547572</v>
      </c>
      <c r="GI21">
        <v>1</v>
      </c>
      <c r="GJ21">
        <v>3.4136778048780489</v>
      </c>
      <c r="GK21">
        <v>2.073236027874569</v>
      </c>
      <c r="GL21">
        <v>0.23146170172076869</v>
      </c>
      <c r="GM21">
        <v>0</v>
      </c>
      <c r="GN21">
        <v>1</v>
      </c>
      <c r="GO21">
        <v>2</v>
      </c>
      <c r="GP21" t="s">
        <v>444</v>
      </c>
      <c r="GQ21">
        <v>3.1309999999999998</v>
      </c>
      <c r="GR21">
        <v>2.7214200000000002</v>
      </c>
      <c r="GS21">
        <v>8.5958800000000002E-2</v>
      </c>
      <c r="GT21">
        <v>9.1848799999999994E-2</v>
      </c>
      <c r="GU21">
        <v>0.10567699999999999</v>
      </c>
      <c r="GV21">
        <v>9.1898999999999995E-2</v>
      </c>
      <c r="GW21">
        <v>23035.9</v>
      </c>
      <c r="GX21">
        <v>30510.799999999999</v>
      </c>
      <c r="GY21">
        <v>27322</v>
      </c>
      <c r="GZ21">
        <v>34523.599999999999</v>
      </c>
      <c r="HA21">
        <v>35748.400000000001</v>
      </c>
      <c r="HB21">
        <v>39507.599999999999</v>
      </c>
      <c r="HC21">
        <v>40317.699999999997</v>
      </c>
      <c r="HD21">
        <v>43590.7</v>
      </c>
      <c r="HE21">
        <v>1.9998</v>
      </c>
      <c r="HF21">
        <v>1.2869999999999999</v>
      </c>
      <c r="HG21">
        <v>-4.27663E-2</v>
      </c>
      <c r="HH21">
        <v>0</v>
      </c>
      <c r="HI21">
        <v>25.718399999999999</v>
      </c>
      <c r="HJ21">
        <v>999.9</v>
      </c>
      <c r="HK21">
        <v>60.9</v>
      </c>
      <c r="HL21">
        <v>33</v>
      </c>
      <c r="HM21">
        <v>31.5183</v>
      </c>
      <c r="HN21">
        <v>60.200099999999999</v>
      </c>
      <c r="HO21">
        <v>13.886200000000001</v>
      </c>
      <c r="HP21">
        <v>1</v>
      </c>
      <c r="HQ21">
        <v>0.246057</v>
      </c>
      <c r="HR21">
        <v>3.2985600000000002</v>
      </c>
      <c r="HS21">
        <v>20.248200000000001</v>
      </c>
      <c r="HT21">
        <v>5.2112999999999996</v>
      </c>
      <c r="HU21">
        <v>11.902100000000001</v>
      </c>
      <c r="HV21">
        <v>4.9851999999999999</v>
      </c>
      <c r="HW21">
        <v>3.2707999999999999</v>
      </c>
      <c r="HX21">
        <v>9999</v>
      </c>
      <c r="HY21">
        <v>9999</v>
      </c>
      <c r="HZ21">
        <v>9999</v>
      </c>
      <c r="IA21">
        <v>999.9</v>
      </c>
      <c r="IB21">
        <v>1.8669100000000001</v>
      </c>
      <c r="IC21">
        <v>1.86249</v>
      </c>
      <c r="ID21">
        <v>1.8620300000000001</v>
      </c>
      <c r="IE21">
        <v>1.86151</v>
      </c>
      <c r="IF21">
        <v>1.8615699999999999</v>
      </c>
      <c r="IG21">
        <v>1.8621799999999999</v>
      </c>
      <c r="IH21">
        <v>1.8631</v>
      </c>
      <c r="II21">
        <v>1.86111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-9.1890000000000001</v>
      </c>
      <c r="IX21">
        <v>-0.55130000000000001</v>
      </c>
      <c r="IY21">
        <v>-7.3449697674542858</v>
      </c>
      <c r="IZ21">
        <v>-5.6215304933332991E-3</v>
      </c>
      <c r="JA21">
        <v>2.3979931213773931E-6</v>
      </c>
      <c r="JB21">
        <v>-3.6297174575716598E-10</v>
      </c>
      <c r="JC21">
        <v>-0.88735857548205632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1.9</v>
      </c>
      <c r="JL21">
        <v>1.7</v>
      </c>
      <c r="JM21">
        <v>0.87158199999999997</v>
      </c>
      <c r="JN21">
        <v>2.4939</v>
      </c>
      <c r="JO21">
        <v>1.50024</v>
      </c>
      <c r="JP21">
        <v>2.2778299999999998</v>
      </c>
      <c r="JQ21">
        <v>1.4477500000000001</v>
      </c>
      <c r="JR21">
        <v>2.3828100000000001</v>
      </c>
      <c r="JS21">
        <v>36.812899999999999</v>
      </c>
      <c r="JT21">
        <v>15.410399999999999</v>
      </c>
      <c r="JU21">
        <v>18</v>
      </c>
      <c r="JV21">
        <v>535.23599999999999</v>
      </c>
      <c r="JW21">
        <v>189.91900000000001</v>
      </c>
      <c r="JX21">
        <v>22.043600000000001</v>
      </c>
      <c r="JY21">
        <v>30.272600000000001</v>
      </c>
      <c r="JZ21">
        <v>30.002199999999998</v>
      </c>
      <c r="KA21">
        <v>30.198499999999999</v>
      </c>
      <c r="KB21">
        <v>30.2484</v>
      </c>
      <c r="KC21">
        <v>17.436800000000002</v>
      </c>
      <c r="KD21">
        <v>55.3095</v>
      </c>
      <c r="KE21">
        <v>0</v>
      </c>
      <c r="KF21">
        <v>22.006799999999998</v>
      </c>
      <c r="KG21">
        <v>420</v>
      </c>
      <c r="KH21">
        <v>17.916399999999999</v>
      </c>
      <c r="KI21">
        <v>100.794</v>
      </c>
      <c r="KJ21">
        <v>98.284400000000005</v>
      </c>
    </row>
    <row r="22" spans="1:296" x14ac:dyDescent="0.3">
      <c r="A22">
        <v>6</v>
      </c>
      <c r="B22">
        <v>1785943892.5999999</v>
      </c>
      <c r="C22">
        <v>907.5</v>
      </c>
      <c r="D22" t="s">
        <v>870</v>
      </c>
      <c r="E22" t="s">
        <v>871</v>
      </c>
      <c r="F22">
        <v>15</v>
      </c>
      <c r="H22">
        <v>1785943884.849999</v>
      </c>
      <c r="I22">
        <f t="shared" si="0"/>
        <v>2.5817967817006291E-3</v>
      </c>
      <c r="J22">
        <f t="shared" si="1"/>
        <v>2.5817967817006289</v>
      </c>
      <c r="K22">
        <f t="shared" si="2"/>
        <v>29.659512427752308</v>
      </c>
      <c r="L22">
        <f t="shared" si="3"/>
        <v>383.17973333333327</v>
      </c>
      <c r="M22">
        <f t="shared" si="4"/>
        <v>164.89584182923605</v>
      </c>
      <c r="N22">
        <f t="shared" si="5"/>
        <v>16.103380941961081</v>
      </c>
      <c r="O22">
        <f t="shared" si="6"/>
        <v>37.420526476924778</v>
      </c>
      <c r="P22">
        <f t="shared" si="7"/>
        <v>0.23104293222396177</v>
      </c>
      <c r="Q22">
        <f t="shared" si="8"/>
        <v>2.8846418889078302</v>
      </c>
      <c r="R22">
        <f t="shared" si="9"/>
        <v>0.22123263721913008</v>
      </c>
      <c r="S22">
        <f t="shared" si="10"/>
        <v>0.13911710157148283</v>
      </c>
      <c r="T22">
        <f t="shared" si="11"/>
        <v>128.27891289049273</v>
      </c>
      <c r="U22">
        <f t="shared" si="12"/>
        <v>25.148768088046609</v>
      </c>
      <c r="V22">
        <f t="shared" si="13"/>
        <v>24.989723333333341</v>
      </c>
      <c r="W22">
        <f t="shared" si="14"/>
        <v>3.1777299689897252</v>
      </c>
      <c r="X22">
        <f t="shared" si="15"/>
        <v>64.81768469700566</v>
      </c>
      <c r="Y22">
        <f t="shared" si="16"/>
        <v>2.0686699541895228</v>
      </c>
      <c r="Z22">
        <f t="shared" si="17"/>
        <v>3.1915209002907932</v>
      </c>
      <c r="AA22">
        <f t="shared" si="18"/>
        <v>1.1090600148002023</v>
      </c>
      <c r="AB22">
        <f t="shared" si="19"/>
        <v>-113.85723807299775</v>
      </c>
      <c r="AC22">
        <f t="shared" si="20"/>
        <v>11.298296501848398</v>
      </c>
      <c r="AD22">
        <f t="shared" si="21"/>
        <v>0.82869544025331354</v>
      </c>
      <c r="AE22">
        <f t="shared" si="22"/>
        <v>26.548666759596699</v>
      </c>
      <c r="AF22">
        <f t="shared" si="23"/>
        <v>29.659512427752308</v>
      </c>
      <c r="AG22">
        <f t="shared" si="24"/>
        <v>2.5817967817006289</v>
      </c>
      <c r="AH22">
        <f t="shared" si="25"/>
        <v>29.666601299902204</v>
      </c>
      <c r="AI22">
        <v>427.76403970723828</v>
      </c>
      <c r="AJ22">
        <v>391.46642424242413</v>
      </c>
      <c r="AK22">
        <v>7.7220406830133407E-3</v>
      </c>
      <c r="AL22">
        <v>66.798625724456144</v>
      </c>
      <c r="AM22">
        <f t="shared" si="26"/>
        <v>2.5870149930518274</v>
      </c>
      <c r="AN22">
        <v>18.152471489107491</v>
      </c>
      <c r="AO22">
        <v>21.188978181818179</v>
      </c>
      <c r="AP22">
        <v>3.3354121681498358E-4</v>
      </c>
      <c r="AQ22">
        <v>77.928042826563058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51873.384048258064</v>
      </c>
      <c r="AW22" t="s">
        <v>851</v>
      </c>
      <c r="AX22">
        <v>13263.7</v>
      </c>
      <c r="AY22">
        <v>631.76470588235293</v>
      </c>
      <c r="AZ22">
        <v>2485.6799999999998</v>
      </c>
      <c r="BA22">
        <f t="shared" si="30"/>
        <v>0.74583827931095192</v>
      </c>
      <c r="BB22">
        <v>-2.170661106458982</v>
      </c>
      <c r="BC22" t="s">
        <v>872</v>
      </c>
      <c r="BD22">
        <v>13198.4</v>
      </c>
      <c r="BE22">
        <v>921.51852941176469</v>
      </c>
      <c r="BF22">
        <v>1509.85</v>
      </c>
      <c r="BG22">
        <f t="shared" si="31"/>
        <v>0.38966219862121088</v>
      </c>
      <c r="BH22">
        <v>0.5</v>
      </c>
      <c r="BI22">
        <f t="shared" si="32"/>
        <v>672.31688087590283</v>
      </c>
      <c r="BJ22">
        <f t="shared" si="33"/>
        <v>29.659512427752308</v>
      </c>
      <c r="BK22">
        <f t="shared" si="34"/>
        <v>130.98823698612952</v>
      </c>
      <c r="BL22">
        <f t="shared" si="35"/>
        <v>4.7344004649626743E-2</v>
      </c>
      <c r="BM22">
        <f t="shared" si="36"/>
        <v>0.64630923601682289</v>
      </c>
      <c r="BN22">
        <f t="shared" si="37"/>
        <v>542.62868331945799</v>
      </c>
      <c r="BO22" t="s">
        <v>408</v>
      </c>
      <c r="BP22">
        <v>0</v>
      </c>
      <c r="BQ22">
        <f t="shared" si="38"/>
        <v>542.62868331945799</v>
      </c>
      <c r="BR22">
        <f t="shared" si="39"/>
        <v>0.64060755484355525</v>
      </c>
      <c r="BS22">
        <f t="shared" si="40"/>
        <v>0.60826975216733348</v>
      </c>
      <c r="BT22">
        <f t="shared" si="41"/>
        <v>0.50221524857464006</v>
      </c>
      <c r="BU22">
        <f t="shared" si="42"/>
        <v>0.67001631223015312</v>
      </c>
      <c r="BV22">
        <f t="shared" si="43"/>
        <v>0.52636169683493372</v>
      </c>
      <c r="BW22">
        <f t="shared" si="44"/>
        <v>0.35817469121570911</v>
      </c>
      <c r="BX22">
        <f t="shared" si="45"/>
        <v>0.64182530878429089</v>
      </c>
      <c r="DG22">
        <f t="shared" si="46"/>
        <v>800.00866666666661</v>
      </c>
      <c r="DH22">
        <f t="shared" si="47"/>
        <v>672.31688087590283</v>
      </c>
      <c r="DI22">
        <f t="shared" si="48"/>
        <v>0.84038699690241214</v>
      </c>
      <c r="DJ22">
        <f t="shared" si="49"/>
        <v>0.16034690402165569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1785943884.849999</v>
      </c>
      <c r="DQ22">
        <v>383.17973333333327</v>
      </c>
      <c r="DR22">
        <v>419.95726666666661</v>
      </c>
      <c r="DS22">
        <v>21.182823333333332</v>
      </c>
      <c r="DT22">
        <v>18.150379999999998</v>
      </c>
      <c r="DU22">
        <v>392.5104</v>
      </c>
      <c r="DV22">
        <v>21.745123333333328</v>
      </c>
      <c r="DW22">
        <v>500.01403333333332</v>
      </c>
      <c r="DX22">
        <v>97.611633333333344</v>
      </c>
      <c r="DY22">
        <v>4.6262483333333333E-2</v>
      </c>
      <c r="DZ22">
        <v>25.06237333333333</v>
      </c>
      <c r="EA22">
        <v>24.989723333333341</v>
      </c>
      <c r="EB22">
        <v>999.9000000000002</v>
      </c>
      <c r="EC22">
        <v>0</v>
      </c>
      <c r="ED22">
        <v>0</v>
      </c>
      <c r="EE22">
        <v>9984.6666666666661</v>
      </c>
      <c r="EF22">
        <v>0</v>
      </c>
      <c r="EG22">
        <v>350.07746666666668</v>
      </c>
      <c r="EH22">
        <v>-36.777580000000007</v>
      </c>
      <c r="EI22">
        <v>391.47216666666668</v>
      </c>
      <c r="EJ22">
        <v>427.72053333333332</v>
      </c>
      <c r="EK22">
        <v>3.0324606666666671</v>
      </c>
      <c r="EL22">
        <v>419.95726666666661</v>
      </c>
      <c r="EM22">
        <v>18.150379999999998</v>
      </c>
      <c r="EN22">
        <v>2.0676913333333329</v>
      </c>
      <c r="EO22">
        <v>1.771688666666666</v>
      </c>
      <c r="EP22">
        <v>17.972453333333331</v>
      </c>
      <c r="EQ22">
        <v>15.53920666666667</v>
      </c>
      <c r="ER22">
        <v>800.00866666666661</v>
      </c>
      <c r="ES22">
        <v>0.98701600000000034</v>
      </c>
      <c r="ET22">
        <v>1.298378E-2</v>
      </c>
      <c r="EU22">
        <v>0</v>
      </c>
      <c r="EV22">
        <v>921.39006666666671</v>
      </c>
      <c r="EW22">
        <v>5.0010700000000003</v>
      </c>
      <c r="EX22">
        <v>9788.7866666666687</v>
      </c>
      <c r="EY22">
        <v>7246.7456666666667</v>
      </c>
      <c r="EZ22">
        <v>37.258266666666671</v>
      </c>
      <c r="FA22">
        <v>40</v>
      </c>
      <c r="FB22">
        <v>38.75</v>
      </c>
      <c r="FC22">
        <v>39.811999999999983</v>
      </c>
      <c r="FD22">
        <v>39.061999999999991</v>
      </c>
      <c r="FE22">
        <v>784.68533333333335</v>
      </c>
      <c r="FF22">
        <v>10.32</v>
      </c>
      <c r="FG22">
        <v>0</v>
      </c>
      <c r="FH22">
        <v>180.70000004768369</v>
      </c>
      <c r="FI22">
        <v>0</v>
      </c>
      <c r="FJ22">
        <v>921.51852941176469</v>
      </c>
      <c r="FK22">
        <v>0.1598039270409734</v>
      </c>
      <c r="FL22">
        <v>-43.419117712340828</v>
      </c>
      <c r="FM22">
        <v>9785.4923529411753</v>
      </c>
      <c r="FN22">
        <v>10</v>
      </c>
      <c r="FO22">
        <v>1785943794.5999999</v>
      </c>
      <c r="FP22" t="s">
        <v>873</v>
      </c>
      <c r="FQ22">
        <v>1785943794.5999999</v>
      </c>
      <c r="FR22">
        <v>1785943793.0999999</v>
      </c>
      <c r="FS22">
        <v>10</v>
      </c>
      <c r="FT22">
        <v>-0.127</v>
      </c>
      <c r="FU22">
        <v>-6.0000000000000001E-3</v>
      </c>
      <c r="FV22">
        <v>-9.4730000000000008</v>
      </c>
      <c r="FW22">
        <v>-0.64300000000000002</v>
      </c>
      <c r="FX22">
        <v>420</v>
      </c>
      <c r="FY22">
        <v>18</v>
      </c>
      <c r="FZ22">
        <v>0.22</v>
      </c>
      <c r="GA22">
        <v>0.08</v>
      </c>
      <c r="GB22">
        <v>383.1782</v>
      </c>
      <c r="GC22">
        <v>-0.17107007786493489</v>
      </c>
      <c r="GD22">
        <v>6.1373392714862328E-2</v>
      </c>
      <c r="GE22">
        <v>-1</v>
      </c>
      <c r="GF22">
        <v>921.3241764705881</v>
      </c>
      <c r="GG22">
        <v>1.229152026862445</v>
      </c>
      <c r="GH22">
        <v>0.27999332666293159</v>
      </c>
      <c r="GI22">
        <v>1</v>
      </c>
      <c r="GJ22">
        <v>3.0305749999999998</v>
      </c>
      <c r="GK22">
        <v>3.8969155722318481E-2</v>
      </c>
      <c r="GL22">
        <v>4.8289822944384683E-3</v>
      </c>
      <c r="GM22">
        <v>1</v>
      </c>
      <c r="GN22">
        <v>2</v>
      </c>
      <c r="GO22">
        <v>2</v>
      </c>
      <c r="GP22" t="s">
        <v>411</v>
      </c>
      <c r="GQ22">
        <v>3.1305299999999998</v>
      </c>
      <c r="GR22">
        <v>2.72282</v>
      </c>
      <c r="GS22">
        <v>8.6530700000000002E-2</v>
      </c>
      <c r="GT22">
        <v>9.1834200000000005E-2</v>
      </c>
      <c r="GU22">
        <v>0.105014</v>
      </c>
      <c r="GV22">
        <v>9.2599100000000004E-2</v>
      </c>
      <c r="GW22">
        <v>23009.599999999999</v>
      </c>
      <c r="GX22">
        <v>30492.1</v>
      </c>
      <c r="GY22">
        <v>27309.4</v>
      </c>
      <c r="GZ22">
        <v>34504.1</v>
      </c>
      <c r="HA22">
        <v>35761.300000000003</v>
      </c>
      <c r="HB22">
        <v>39459.300000000003</v>
      </c>
      <c r="HC22">
        <v>40300.699999999997</v>
      </c>
      <c r="HD22">
        <v>43570.7</v>
      </c>
      <c r="HE22">
        <v>1.9952000000000001</v>
      </c>
      <c r="HF22">
        <v>1.2871999999999999</v>
      </c>
      <c r="HG22">
        <v>-4.05014E-2</v>
      </c>
      <c r="HH22">
        <v>0</v>
      </c>
      <c r="HI22">
        <v>25.661999999999999</v>
      </c>
      <c r="HJ22">
        <v>999.9</v>
      </c>
      <c r="HK22">
        <v>61</v>
      </c>
      <c r="HL22">
        <v>33.1</v>
      </c>
      <c r="HM22">
        <v>31.750299999999999</v>
      </c>
      <c r="HN22">
        <v>60.670099999999998</v>
      </c>
      <c r="HO22">
        <v>14.0024</v>
      </c>
      <c r="HP22">
        <v>1</v>
      </c>
      <c r="HQ22">
        <v>0.27122000000000002</v>
      </c>
      <c r="HR22">
        <v>3.0183200000000001</v>
      </c>
      <c r="HS22">
        <v>20.222000000000001</v>
      </c>
      <c r="HT22">
        <v>5.2112999999999996</v>
      </c>
      <c r="HU22">
        <v>11.9033</v>
      </c>
      <c r="HV22">
        <v>4.9859999999999998</v>
      </c>
      <c r="HW22">
        <v>3.2706</v>
      </c>
      <c r="HX22">
        <v>9999</v>
      </c>
      <c r="HY22">
        <v>9999</v>
      </c>
      <c r="HZ22">
        <v>9999</v>
      </c>
      <c r="IA22">
        <v>999.9</v>
      </c>
      <c r="IB22">
        <v>1.8672200000000001</v>
      </c>
      <c r="IC22">
        <v>1.8627899999999999</v>
      </c>
      <c r="ID22">
        <v>1.8623400000000001</v>
      </c>
      <c r="IE22">
        <v>1.86185</v>
      </c>
      <c r="IF22">
        <v>1.86188</v>
      </c>
      <c r="IG22">
        <v>1.86249</v>
      </c>
      <c r="IH22">
        <v>1.8633999999999999</v>
      </c>
      <c r="II22">
        <v>1.8613299999999999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-9.3309999999999995</v>
      </c>
      <c r="IX22">
        <v>-0.56210000000000004</v>
      </c>
      <c r="IY22">
        <v>-7.4717040779235866</v>
      </c>
      <c r="IZ22">
        <v>-5.6215304933332991E-3</v>
      </c>
      <c r="JA22">
        <v>2.3979931213773931E-6</v>
      </c>
      <c r="JB22">
        <v>-3.6297174575716598E-10</v>
      </c>
      <c r="JC22">
        <v>-0.89358253983816782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1.6</v>
      </c>
      <c r="JL22">
        <v>1.7</v>
      </c>
      <c r="JM22">
        <v>0.872803</v>
      </c>
      <c r="JN22">
        <v>2.49878</v>
      </c>
      <c r="JO22">
        <v>1.50024</v>
      </c>
      <c r="JP22">
        <v>2.2778299999999998</v>
      </c>
      <c r="JQ22">
        <v>1.4477500000000001</v>
      </c>
      <c r="JR22">
        <v>2.2936999999999999</v>
      </c>
      <c r="JS22">
        <v>37.050899999999999</v>
      </c>
      <c r="JT22">
        <v>23.956199999999999</v>
      </c>
      <c r="JU22">
        <v>18</v>
      </c>
      <c r="JV22">
        <v>534.67899999999997</v>
      </c>
      <c r="JW22">
        <v>190.727</v>
      </c>
      <c r="JX22">
        <v>22.399899999999999</v>
      </c>
      <c r="JY22">
        <v>30.590399999999999</v>
      </c>
      <c r="JZ22">
        <v>30.000499999999999</v>
      </c>
      <c r="KA22">
        <v>30.479700000000001</v>
      </c>
      <c r="KB22">
        <v>30.525300000000001</v>
      </c>
      <c r="KC22">
        <v>17.467500000000001</v>
      </c>
      <c r="KD22">
        <v>55.020200000000003</v>
      </c>
      <c r="KE22">
        <v>0</v>
      </c>
      <c r="KF22">
        <v>22.399000000000001</v>
      </c>
      <c r="KG22">
        <v>420</v>
      </c>
      <c r="KH22">
        <v>18.1021</v>
      </c>
      <c r="KI22">
        <v>100.749</v>
      </c>
      <c r="KJ22">
        <v>98.234700000000004</v>
      </c>
    </row>
    <row r="23" spans="1:296" x14ac:dyDescent="0.3">
      <c r="A23">
        <v>7</v>
      </c>
      <c r="B23">
        <v>1785944074.0999999</v>
      </c>
      <c r="C23">
        <v>1089</v>
      </c>
      <c r="D23" t="s">
        <v>874</v>
      </c>
      <c r="E23" t="s">
        <v>875</v>
      </c>
      <c r="F23">
        <v>15</v>
      </c>
      <c r="H23">
        <v>1785944066.099999</v>
      </c>
      <c r="I23">
        <f t="shared" si="0"/>
        <v>2.329933810911474E-3</v>
      </c>
      <c r="J23">
        <f t="shared" si="1"/>
        <v>2.329933810911474</v>
      </c>
      <c r="K23">
        <f t="shared" si="2"/>
        <v>25.742820176946172</v>
      </c>
      <c r="L23">
        <f t="shared" si="3"/>
        <v>388.03912903225807</v>
      </c>
      <c r="M23">
        <f t="shared" si="4"/>
        <v>178.99933174170741</v>
      </c>
      <c r="N23">
        <f t="shared" si="5"/>
        <v>17.480515027194393</v>
      </c>
      <c r="O23">
        <f t="shared" si="6"/>
        <v>37.894687986744714</v>
      </c>
      <c r="P23">
        <f t="shared" si="7"/>
        <v>0.20903632747553774</v>
      </c>
      <c r="Q23">
        <f t="shared" si="8"/>
        <v>2.8863924227062792</v>
      </c>
      <c r="R23">
        <f t="shared" si="9"/>
        <v>0.20097548255204728</v>
      </c>
      <c r="S23">
        <f t="shared" si="10"/>
        <v>0.12630801196754665</v>
      </c>
      <c r="T23">
        <f t="shared" si="11"/>
        <v>96.346006337552922</v>
      </c>
      <c r="U23">
        <f t="shared" si="12"/>
        <v>25.065497110881445</v>
      </c>
      <c r="V23">
        <f t="shared" si="13"/>
        <v>24.984000000000002</v>
      </c>
      <c r="W23">
        <f t="shared" si="14"/>
        <v>3.1766457420645455</v>
      </c>
      <c r="X23">
        <f t="shared" si="15"/>
        <v>64.853675152783637</v>
      </c>
      <c r="Y23">
        <f t="shared" si="16"/>
        <v>2.0749385796483626</v>
      </c>
      <c r="Z23">
        <f t="shared" si="17"/>
        <v>3.1994155686014385</v>
      </c>
      <c r="AA23">
        <f t="shared" si="18"/>
        <v>1.1017071624161829</v>
      </c>
      <c r="AB23">
        <f t="shared" si="19"/>
        <v>-102.750081061196</v>
      </c>
      <c r="AC23">
        <f t="shared" si="20"/>
        <v>18.648244016395612</v>
      </c>
      <c r="AD23">
        <f t="shared" si="21"/>
        <v>1.3672079987679555</v>
      </c>
      <c r="AE23">
        <f t="shared" si="22"/>
        <v>13.611377291520487</v>
      </c>
      <c r="AF23">
        <f t="shared" si="23"/>
        <v>25.742820176946172</v>
      </c>
      <c r="AG23">
        <f t="shared" si="24"/>
        <v>2.329933810911474</v>
      </c>
      <c r="AH23">
        <f t="shared" si="25"/>
        <v>25.817373735813995</v>
      </c>
      <c r="AI23">
        <v>427.95305384850292</v>
      </c>
      <c r="AJ23">
        <v>396.44681212121202</v>
      </c>
      <c r="AK23">
        <v>-1.166017904997067E-2</v>
      </c>
      <c r="AL23">
        <v>66.799020727450255</v>
      </c>
      <c r="AM23">
        <f t="shared" si="26"/>
        <v>2.3267001515204964</v>
      </c>
      <c r="AN23">
        <v>18.512759407658919</v>
      </c>
      <c r="AO23">
        <v>21.24534242424242</v>
      </c>
      <c r="AP23">
        <v>5.7018931189080802E-5</v>
      </c>
      <c r="AQ23">
        <v>77.926647771434034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51916.240480945627</v>
      </c>
      <c r="AW23" t="s">
        <v>851</v>
      </c>
      <c r="AX23">
        <v>13263.7</v>
      </c>
      <c r="AY23">
        <v>631.76470588235293</v>
      </c>
      <c r="AZ23">
        <v>2485.6799999999998</v>
      </c>
      <c r="BA23">
        <f t="shared" si="30"/>
        <v>0.74583827931095192</v>
      </c>
      <c r="BB23">
        <v>-2.170661106458982</v>
      </c>
      <c r="BC23" t="s">
        <v>876</v>
      </c>
      <c r="BD23">
        <v>13210.2</v>
      </c>
      <c r="BE23">
        <v>920.12</v>
      </c>
      <c r="BF23">
        <v>1655.12</v>
      </c>
      <c r="BG23">
        <f t="shared" si="31"/>
        <v>0.44407656242447668</v>
      </c>
      <c r="BH23">
        <v>0.5</v>
      </c>
      <c r="BI23">
        <f t="shared" si="32"/>
        <v>504.30663502029302</v>
      </c>
      <c r="BJ23">
        <f t="shared" si="33"/>
        <v>25.742820176946172</v>
      </c>
      <c r="BK23">
        <f t="shared" si="34"/>
        <v>111.97537844383346</v>
      </c>
      <c r="BL23">
        <f t="shared" si="35"/>
        <v>5.535021620780764E-2</v>
      </c>
      <c r="BM23">
        <f t="shared" si="36"/>
        <v>0.50181255739765096</v>
      </c>
      <c r="BN23">
        <f t="shared" si="37"/>
        <v>560.30281968374834</v>
      </c>
      <c r="BO23" t="s">
        <v>408</v>
      </c>
      <c r="BP23">
        <v>0</v>
      </c>
      <c r="BQ23">
        <f t="shared" si="38"/>
        <v>560.30281968374834</v>
      </c>
      <c r="BR23">
        <f t="shared" si="39"/>
        <v>0.66147299308584973</v>
      </c>
      <c r="BS23">
        <f t="shared" si="40"/>
        <v>0.67134496353782647</v>
      </c>
      <c r="BT23">
        <f t="shared" si="41"/>
        <v>0.43137521753715646</v>
      </c>
      <c r="BU23">
        <f t="shared" si="42"/>
        <v>0.71822562918749389</v>
      </c>
      <c r="BV23">
        <f t="shared" si="43"/>
        <v>0.4480032084719906</v>
      </c>
      <c r="BW23">
        <f t="shared" si="44"/>
        <v>0.40881241147972808</v>
      </c>
      <c r="BX23">
        <f t="shared" si="45"/>
        <v>0.59118758852027198</v>
      </c>
      <c r="DG23">
        <f t="shared" si="46"/>
        <v>600.0039677419353</v>
      </c>
      <c r="DH23">
        <f t="shared" si="47"/>
        <v>504.30663502029302</v>
      </c>
      <c r="DI23">
        <f t="shared" si="48"/>
        <v>0.84050550018562176</v>
      </c>
      <c r="DJ23">
        <f t="shared" si="49"/>
        <v>0.16057561535825013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1785944066.099999</v>
      </c>
      <c r="DQ23">
        <v>388.03912903225807</v>
      </c>
      <c r="DR23">
        <v>420.01790322580638</v>
      </c>
      <c r="DS23">
        <v>21.24723548387097</v>
      </c>
      <c r="DT23">
        <v>18.51050967741935</v>
      </c>
      <c r="DU23">
        <v>397.39596774193541</v>
      </c>
      <c r="DV23">
        <v>21.81237419354839</v>
      </c>
      <c r="DW23">
        <v>499.96148387096781</v>
      </c>
      <c r="DX23">
        <v>97.61046774193548</v>
      </c>
      <c r="DY23">
        <v>4.6405370967741937E-2</v>
      </c>
      <c r="DZ23">
        <v>25.103838709677419</v>
      </c>
      <c r="EA23">
        <v>24.984000000000002</v>
      </c>
      <c r="EB23">
        <v>999.90000000000032</v>
      </c>
      <c r="EC23">
        <v>0</v>
      </c>
      <c r="ED23">
        <v>0</v>
      </c>
      <c r="EE23">
        <v>9994.8387096774186</v>
      </c>
      <c r="EF23">
        <v>0</v>
      </c>
      <c r="EG23">
        <v>291.62322580645173</v>
      </c>
      <c r="EH23">
        <v>-31.97865483870968</v>
      </c>
      <c r="EI23">
        <v>396.46296774193547</v>
      </c>
      <c r="EJ23">
        <v>427.93922580645159</v>
      </c>
      <c r="EK23">
        <v>2.7367187096774188</v>
      </c>
      <c r="EL23">
        <v>420.01790322580638</v>
      </c>
      <c r="EM23">
        <v>18.51050967741935</v>
      </c>
      <c r="EN23">
        <v>2.0739519354838709</v>
      </c>
      <c r="EO23">
        <v>1.8068193548387099</v>
      </c>
      <c r="EP23">
        <v>18.02052258064516</v>
      </c>
      <c r="EQ23">
        <v>15.8459</v>
      </c>
      <c r="ER23">
        <v>600.0039677419353</v>
      </c>
      <c r="ES23">
        <v>0.98300306451612918</v>
      </c>
      <c r="ET23">
        <v>1.69973E-2</v>
      </c>
      <c r="EU23">
        <v>0</v>
      </c>
      <c r="EV23">
        <v>920.05193548387103</v>
      </c>
      <c r="EW23">
        <v>5.0010700000000003</v>
      </c>
      <c r="EX23">
        <v>7821.2490322580652</v>
      </c>
      <c r="EY23">
        <v>5415.1538709677416</v>
      </c>
      <c r="EZ23">
        <v>36.752000000000002</v>
      </c>
      <c r="FA23">
        <v>39.758000000000003</v>
      </c>
      <c r="FB23">
        <v>38.436999999999983</v>
      </c>
      <c r="FC23">
        <v>39.612806451612897</v>
      </c>
      <c r="FD23">
        <v>38.686999999999983</v>
      </c>
      <c r="FE23">
        <v>584.88870967741946</v>
      </c>
      <c r="FF23">
        <v>10.11</v>
      </c>
      <c r="FG23">
        <v>0</v>
      </c>
      <c r="FH23">
        <v>180.9000000953674</v>
      </c>
      <c r="FI23">
        <v>0</v>
      </c>
      <c r="FJ23">
        <v>920.12</v>
      </c>
      <c r="FK23">
        <v>0.94534314545392906</v>
      </c>
      <c r="FL23">
        <v>605.19117318973258</v>
      </c>
      <c r="FM23">
        <v>7874.168235294117</v>
      </c>
      <c r="FN23">
        <v>10</v>
      </c>
      <c r="FO23">
        <v>1785943954.5999999</v>
      </c>
      <c r="FP23" t="s">
        <v>877</v>
      </c>
      <c r="FQ23">
        <v>1785943954.5999999</v>
      </c>
      <c r="FR23">
        <v>1785943954.0999999</v>
      </c>
      <c r="FS23">
        <v>11</v>
      </c>
      <c r="FT23">
        <v>-7.0000000000000001E-3</v>
      </c>
      <c r="FU23">
        <v>-5.0000000000000001E-3</v>
      </c>
      <c r="FV23">
        <v>-9.4809999999999999</v>
      </c>
      <c r="FW23">
        <v>-0.64100000000000001</v>
      </c>
      <c r="FX23">
        <v>420</v>
      </c>
      <c r="FY23">
        <v>18</v>
      </c>
      <c r="FZ23">
        <v>0.22</v>
      </c>
      <c r="GA23">
        <v>0.08</v>
      </c>
      <c r="GB23">
        <v>388.04236666666662</v>
      </c>
      <c r="GC23">
        <v>0.38835150166857019</v>
      </c>
      <c r="GD23">
        <v>5.8135177723033428E-2</v>
      </c>
      <c r="GE23">
        <v>-1</v>
      </c>
      <c r="GF23">
        <v>920.00061764705879</v>
      </c>
      <c r="GG23">
        <v>1.211596645731587</v>
      </c>
      <c r="GH23">
        <v>0.2400376214025195</v>
      </c>
      <c r="GI23">
        <v>1</v>
      </c>
      <c r="GJ23">
        <v>2.7390797500000001</v>
      </c>
      <c r="GK23">
        <v>-5.6967692307695272E-2</v>
      </c>
      <c r="GL23">
        <v>5.9541256652425158E-3</v>
      </c>
      <c r="GM23">
        <v>1</v>
      </c>
      <c r="GN23">
        <v>2</v>
      </c>
      <c r="GO23">
        <v>2</v>
      </c>
      <c r="GP23" t="s">
        <v>411</v>
      </c>
      <c r="GQ23">
        <v>3.1311300000000002</v>
      </c>
      <c r="GR23">
        <v>2.7225999999999999</v>
      </c>
      <c r="GS23">
        <v>8.72946E-2</v>
      </c>
      <c r="GT23">
        <v>9.1752799999999995E-2</v>
      </c>
      <c r="GU23">
        <v>0.105157</v>
      </c>
      <c r="GV23">
        <v>9.3898099999999998E-2</v>
      </c>
      <c r="GW23">
        <v>22983.8</v>
      </c>
      <c r="GX23">
        <v>30485.9</v>
      </c>
      <c r="GY23">
        <v>27302.400000000001</v>
      </c>
      <c r="GZ23">
        <v>34495.1</v>
      </c>
      <c r="HA23">
        <v>35747.800000000003</v>
      </c>
      <c r="HB23">
        <v>39396</v>
      </c>
      <c r="HC23">
        <v>40291.199999999997</v>
      </c>
      <c r="HD23">
        <v>43563.199999999997</v>
      </c>
      <c r="HE23">
        <v>1.9942</v>
      </c>
      <c r="HF23">
        <v>1.2786</v>
      </c>
      <c r="HG23">
        <v>-3.4272700000000003E-2</v>
      </c>
      <c r="HH23">
        <v>0</v>
      </c>
      <c r="HI23">
        <v>25.5627</v>
      </c>
      <c r="HJ23">
        <v>999.9</v>
      </c>
      <c r="HK23">
        <v>60.9</v>
      </c>
      <c r="HL23">
        <v>33.200000000000003</v>
      </c>
      <c r="HM23">
        <v>31.8779</v>
      </c>
      <c r="HN23">
        <v>60.560099999999998</v>
      </c>
      <c r="HO23">
        <v>14.242800000000001</v>
      </c>
      <c r="HP23">
        <v>1</v>
      </c>
      <c r="HQ23">
        <v>0.284858</v>
      </c>
      <c r="HR23">
        <v>2.8287800000000001</v>
      </c>
      <c r="HS23">
        <v>20.225100000000001</v>
      </c>
      <c r="HT23">
        <v>5.2125000000000004</v>
      </c>
      <c r="HU23">
        <v>11.9033</v>
      </c>
      <c r="HV23">
        <v>4.9855999999999998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1.8629800000000001</v>
      </c>
      <c r="ID23">
        <v>1.86249</v>
      </c>
      <c r="IE23">
        <v>1.8620300000000001</v>
      </c>
      <c r="IF23">
        <v>1.8620300000000001</v>
      </c>
      <c r="IG23">
        <v>1.8626400000000001</v>
      </c>
      <c r="IH23">
        <v>1.8635600000000001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-9.3569999999999993</v>
      </c>
      <c r="IX23">
        <v>-0.56530000000000002</v>
      </c>
      <c r="IY23">
        <v>-7.478702220216352</v>
      </c>
      <c r="IZ23">
        <v>-5.6215304933332991E-3</v>
      </c>
      <c r="JA23">
        <v>2.3979931213773931E-6</v>
      </c>
      <c r="JB23">
        <v>-3.6297174575716598E-10</v>
      </c>
      <c r="JC23">
        <v>-0.89821388768456756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2</v>
      </c>
      <c r="JL23">
        <v>2</v>
      </c>
      <c r="JM23">
        <v>0.87158199999999997</v>
      </c>
      <c r="JN23">
        <v>2.50366</v>
      </c>
      <c r="JO23">
        <v>1.50024</v>
      </c>
      <c r="JP23">
        <v>2.2778299999999998</v>
      </c>
      <c r="JQ23">
        <v>1.4477500000000001</v>
      </c>
      <c r="JR23">
        <v>2.1484399999999999</v>
      </c>
      <c r="JS23">
        <v>37.892099999999999</v>
      </c>
      <c r="JT23">
        <v>23.938700000000001</v>
      </c>
      <c r="JU23">
        <v>18</v>
      </c>
      <c r="JV23">
        <v>535.73199999999997</v>
      </c>
      <c r="JW23">
        <v>188.37100000000001</v>
      </c>
      <c r="JX23">
        <v>22.6432</v>
      </c>
      <c r="JY23">
        <v>30.768000000000001</v>
      </c>
      <c r="JZ23">
        <v>30.0001</v>
      </c>
      <c r="KA23">
        <v>30.677099999999999</v>
      </c>
      <c r="KB23">
        <v>30.720500000000001</v>
      </c>
      <c r="KC23">
        <v>17.433700000000002</v>
      </c>
      <c r="KD23">
        <v>54.822000000000003</v>
      </c>
      <c r="KE23">
        <v>0</v>
      </c>
      <c r="KF23">
        <v>22.643799999999999</v>
      </c>
      <c r="KG23">
        <v>420</v>
      </c>
      <c r="KH23">
        <v>18.457899999999999</v>
      </c>
      <c r="KI23">
        <v>100.72499999999999</v>
      </c>
      <c r="KJ23">
        <v>98.213899999999995</v>
      </c>
    </row>
    <row r="24" spans="1:296" x14ac:dyDescent="0.3">
      <c r="A24">
        <v>8</v>
      </c>
      <c r="B24">
        <v>1785944255.5999999</v>
      </c>
      <c r="C24">
        <v>1270.5</v>
      </c>
      <c r="D24" t="s">
        <v>878</v>
      </c>
      <c r="E24" t="s">
        <v>879</v>
      </c>
      <c r="F24">
        <v>15</v>
      </c>
      <c r="H24">
        <v>1785944247.849999</v>
      </c>
      <c r="I24">
        <f t="shared" si="0"/>
        <v>1.9814993457848576E-3</v>
      </c>
      <c r="J24">
        <f t="shared" si="1"/>
        <v>1.9814993457848575</v>
      </c>
      <c r="K24">
        <f t="shared" si="2"/>
        <v>19.270160056581471</v>
      </c>
      <c r="L24">
        <f t="shared" si="3"/>
        <v>395.94520000000011</v>
      </c>
      <c r="M24">
        <f t="shared" si="4"/>
        <v>210.87993198965316</v>
      </c>
      <c r="N24">
        <f t="shared" si="5"/>
        <v>20.593994550104359</v>
      </c>
      <c r="O24">
        <f t="shared" si="6"/>
        <v>38.666995071584452</v>
      </c>
      <c r="P24">
        <f t="shared" si="7"/>
        <v>0.17679376959933565</v>
      </c>
      <c r="Q24">
        <f t="shared" si="8"/>
        <v>2.8866268870233043</v>
      </c>
      <c r="R24">
        <f t="shared" si="9"/>
        <v>0.17099113753372011</v>
      </c>
      <c r="S24">
        <f t="shared" si="10"/>
        <v>0.10737493896743566</v>
      </c>
      <c r="T24">
        <f t="shared" si="11"/>
        <v>64.407874865476757</v>
      </c>
      <c r="U24">
        <f t="shared" si="12"/>
        <v>24.994302825840581</v>
      </c>
      <c r="V24">
        <f t="shared" si="13"/>
        <v>24.997473333333328</v>
      </c>
      <c r="W24">
        <f t="shared" si="14"/>
        <v>3.1791986425972505</v>
      </c>
      <c r="X24">
        <f t="shared" si="15"/>
        <v>64.84027865644066</v>
      </c>
      <c r="Y24">
        <f t="shared" si="16"/>
        <v>2.0779742389659086</v>
      </c>
      <c r="Z24">
        <f t="shared" si="17"/>
        <v>3.2047583416107068</v>
      </c>
      <c r="AA24">
        <f t="shared" si="18"/>
        <v>1.1012244036313419</v>
      </c>
      <c r="AB24">
        <f t="shared" si="19"/>
        <v>-87.384121149112218</v>
      </c>
      <c r="AC24">
        <f t="shared" si="20"/>
        <v>20.912211359074131</v>
      </c>
      <c r="AD24">
        <f t="shared" si="21"/>
        <v>1.5333878063758386</v>
      </c>
      <c r="AE24">
        <f t="shared" si="22"/>
        <v>-0.53064711818548815</v>
      </c>
      <c r="AF24">
        <f t="shared" si="23"/>
        <v>19.270160056581471</v>
      </c>
      <c r="AG24">
        <f t="shared" si="24"/>
        <v>1.9814993457848575</v>
      </c>
      <c r="AH24">
        <f t="shared" si="25"/>
        <v>19.222727262464218</v>
      </c>
      <c r="AI24">
        <v>428.10615262955668</v>
      </c>
      <c r="AJ24">
        <v>404.57307272727257</v>
      </c>
      <c r="AK24">
        <v>4.0181161810958679E-3</v>
      </c>
      <c r="AL24">
        <v>66.798740130470748</v>
      </c>
      <c r="AM24">
        <f t="shared" si="26"/>
        <v>1.9799828812866718</v>
      </c>
      <c r="AN24">
        <v>18.952104076218401</v>
      </c>
      <c r="AO24">
        <v>21.278287878787879</v>
      </c>
      <c r="AP24">
        <v>-1.3883640636938211E-4</v>
      </c>
      <c r="AQ24">
        <v>77.92660945040619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51918.077339048985</v>
      </c>
      <c r="AW24" t="s">
        <v>851</v>
      </c>
      <c r="AX24">
        <v>13263.7</v>
      </c>
      <c r="AY24">
        <v>631.76470588235293</v>
      </c>
      <c r="AZ24">
        <v>2485.6799999999998</v>
      </c>
      <c r="BA24">
        <f t="shared" si="30"/>
        <v>0.74583827931095192</v>
      </c>
      <c r="BB24">
        <v>-2.170661106458982</v>
      </c>
      <c r="BC24" t="s">
        <v>880</v>
      </c>
      <c r="BD24">
        <v>13218.1</v>
      </c>
      <c r="BE24">
        <v>909.59082352941186</v>
      </c>
      <c r="BF24">
        <v>1814.45</v>
      </c>
      <c r="BG24">
        <f t="shared" si="31"/>
        <v>0.49869612084686166</v>
      </c>
      <c r="BH24">
        <v>0.5</v>
      </c>
      <c r="BI24">
        <f t="shared" si="32"/>
        <v>336.27717105983243</v>
      </c>
      <c r="BJ24">
        <f t="shared" si="33"/>
        <v>19.270160056581471</v>
      </c>
      <c r="BK24">
        <f t="shared" si="34"/>
        <v>83.850060368447487</v>
      </c>
      <c r="BL24">
        <f t="shared" si="35"/>
        <v>6.3759371757131783E-2</v>
      </c>
      <c r="BM24">
        <f t="shared" si="36"/>
        <v>0.36993579321557485</v>
      </c>
      <c r="BN24">
        <f t="shared" si="37"/>
        <v>577.46903575046838</v>
      </c>
      <c r="BO24" t="s">
        <v>408</v>
      </c>
      <c r="BP24">
        <v>0</v>
      </c>
      <c r="BQ24">
        <f t="shared" si="38"/>
        <v>577.46903575046838</v>
      </c>
      <c r="BR24">
        <f t="shared" si="39"/>
        <v>0.68173879922264691</v>
      </c>
      <c r="BS24">
        <f t="shared" si="40"/>
        <v>0.73150614489816379</v>
      </c>
      <c r="BT24">
        <f t="shared" si="41"/>
        <v>0.35175880056007519</v>
      </c>
      <c r="BU24">
        <f t="shared" si="42"/>
        <v>0.76508871884271323</v>
      </c>
      <c r="BV24">
        <f t="shared" si="43"/>
        <v>0.36206077059171426</v>
      </c>
      <c r="BW24">
        <f t="shared" si="44"/>
        <v>0.46440898172300649</v>
      </c>
      <c r="BX24">
        <f t="shared" si="45"/>
        <v>0.53559101827699351</v>
      </c>
      <c r="DG24">
        <f t="shared" si="46"/>
        <v>399.9774666666666</v>
      </c>
      <c r="DH24">
        <f t="shared" si="47"/>
        <v>336.27717105983243</v>
      </c>
      <c r="DI24">
        <f t="shared" si="48"/>
        <v>0.84074028935254808</v>
      </c>
      <c r="DJ24">
        <f t="shared" si="49"/>
        <v>0.16102875845041795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1785944247.849999</v>
      </c>
      <c r="DQ24">
        <v>395.94520000000011</v>
      </c>
      <c r="DR24">
        <v>420.00993333333338</v>
      </c>
      <c r="DS24">
        <v>21.27819666666667</v>
      </c>
      <c r="DT24">
        <v>18.95108333333333</v>
      </c>
      <c r="DU24">
        <v>405.39739999999989</v>
      </c>
      <c r="DV24">
        <v>21.84298333333334</v>
      </c>
      <c r="DW24">
        <v>500.01946666666669</v>
      </c>
      <c r="DX24">
        <v>97.610653333333346</v>
      </c>
      <c r="DY24">
        <v>4.6787826666666671E-2</v>
      </c>
      <c r="DZ24">
        <v>25.131850000000011</v>
      </c>
      <c r="EA24">
        <v>24.997473333333328</v>
      </c>
      <c r="EB24">
        <v>999.9000000000002</v>
      </c>
      <c r="EC24">
        <v>0</v>
      </c>
      <c r="ED24">
        <v>0</v>
      </c>
      <c r="EE24">
        <v>9996.1666666666661</v>
      </c>
      <c r="EF24">
        <v>0</v>
      </c>
      <c r="EG24">
        <v>240.73353333333341</v>
      </c>
      <c r="EH24">
        <v>-24.064646666666661</v>
      </c>
      <c r="EI24">
        <v>404.55340000000012</v>
      </c>
      <c r="EJ24">
        <v>428.1234</v>
      </c>
      <c r="EK24">
        <v>2.3271046666666662</v>
      </c>
      <c r="EL24">
        <v>420.00993333333338</v>
      </c>
      <c r="EM24">
        <v>18.95108333333333</v>
      </c>
      <c r="EN24">
        <v>2.0769786666666672</v>
      </c>
      <c r="EO24">
        <v>1.849828</v>
      </c>
      <c r="EP24">
        <v>18.04371333333334</v>
      </c>
      <c r="EQ24">
        <v>16.214326666666661</v>
      </c>
      <c r="ER24">
        <v>399.9774666666666</v>
      </c>
      <c r="ES24">
        <v>0.97501499999999985</v>
      </c>
      <c r="ET24">
        <v>2.4984923333333329E-2</v>
      </c>
      <c r="EU24">
        <v>0</v>
      </c>
      <c r="EV24">
        <v>909.71579999999994</v>
      </c>
      <c r="EW24">
        <v>5.0010700000000003</v>
      </c>
      <c r="EX24">
        <v>5368.7863333333325</v>
      </c>
      <c r="EY24">
        <v>3583.49</v>
      </c>
      <c r="EZ24">
        <v>36.057866666666662</v>
      </c>
      <c r="FA24">
        <v>39.316199999999988</v>
      </c>
      <c r="FB24">
        <v>37.90186666666667</v>
      </c>
      <c r="FC24">
        <v>39.205899999999993</v>
      </c>
      <c r="FD24">
        <v>38.127066666666657</v>
      </c>
      <c r="FE24">
        <v>385.10766666666672</v>
      </c>
      <c r="FF24">
        <v>9.870000000000001</v>
      </c>
      <c r="FG24">
        <v>0</v>
      </c>
      <c r="FH24">
        <v>180.70000004768369</v>
      </c>
      <c r="FI24">
        <v>0</v>
      </c>
      <c r="FJ24">
        <v>909.59082352941186</v>
      </c>
      <c r="FK24">
        <v>-2.8686274673713479</v>
      </c>
      <c r="FL24">
        <v>-54.948529140751283</v>
      </c>
      <c r="FM24">
        <v>5366.3411764705888</v>
      </c>
      <c r="FN24">
        <v>10</v>
      </c>
      <c r="FO24">
        <v>1785944139.5999999</v>
      </c>
      <c r="FP24" t="s">
        <v>881</v>
      </c>
      <c r="FQ24">
        <v>1785944135.5999999</v>
      </c>
      <c r="FR24">
        <v>1785944139.5999999</v>
      </c>
      <c r="FS24">
        <v>12</v>
      </c>
      <c r="FT24">
        <v>-6.5000000000000002E-2</v>
      </c>
      <c r="FU24">
        <v>0</v>
      </c>
      <c r="FV24">
        <v>-9.5440000000000005</v>
      </c>
      <c r="FW24">
        <v>-0.63300000000000001</v>
      </c>
      <c r="FX24">
        <v>420</v>
      </c>
      <c r="FY24">
        <v>19</v>
      </c>
      <c r="FZ24">
        <v>0.35</v>
      </c>
      <c r="GA24">
        <v>0.06</v>
      </c>
      <c r="GB24">
        <v>395.94520000000011</v>
      </c>
      <c r="GC24">
        <v>4.169966629683225E-2</v>
      </c>
      <c r="GD24">
        <v>5.8756219528944068E-2</v>
      </c>
      <c r="GE24">
        <v>-1</v>
      </c>
      <c r="GF24">
        <v>909.81541176470591</v>
      </c>
      <c r="GG24">
        <v>-2.313613453475388</v>
      </c>
      <c r="GH24">
        <v>0.27530454982747771</v>
      </c>
      <c r="GI24">
        <v>1</v>
      </c>
      <c r="GJ24">
        <v>2.3268252500000002</v>
      </c>
      <c r="GK24">
        <v>-1.004915572237653E-3</v>
      </c>
      <c r="GL24">
        <v>3.2644968888788902E-3</v>
      </c>
      <c r="GM24">
        <v>1</v>
      </c>
      <c r="GN24">
        <v>2</v>
      </c>
      <c r="GO24">
        <v>2</v>
      </c>
      <c r="GP24" t="s">
        <v>411</v>
      </c>
      <c r="GQ24">
        <v>3.1311800000000001</v>
      </c>
      <c r="GR24">
        <v>2.7228599999999998</v>
      </c>
      <c r="GS24">
        <v>8.8646299999999997E-2</v>
      </c>
      <c r="GT24">
        <v>9.1738399999999998E-2</v>
      </c>
      <c r="GU24">
        <v>0.105255</v>
      </c>
      <c r="GV24">
        <v>9.5500500000000002E-2</v>
      </c>
      <c r="GW24">
        <v>22947.9</v>
      </c>
      <c r="GX24">
        <v>30482.9</v>
      </c>
      <c r="GY24">
        <v>27300.3</v>
      </c>
      <c r="GZ24">
        <v>34491.199999999997</v>
      </c>
      <c r="HA24">
        <v>35741.800000000003</v>
      </c>
      <c r="HB24">
        <v>39322.9</v>
      </c>
      <c r="HC24">
        <v>40288.699999999997</v>
      </c>
      <c r="HD24">
        <v>43559.7</v>
      </c>
      <c r="HE24">
        <v>1.994</v>
      </c>
      <c r="HF24">
        <v>1.2762</v>
      </c>
      <c r="HG24">
        <v>-3.0904999999999998E-2</v>
      </c>
      <c r="HH24">
        <v>0</v>
      </c>
      <c r="HI24">
        <v>25.506699999999999</v>
      </c>
      <c r="HJ24">
        <v>999.9</v>
      </c>
      <c r="HK24">
        <v>60.7</v>
      </c>
      <c r="HL24">
        <v>33.299999999999997</v>
      </c>
      <c r="HM24">
        <v>31.9497</v>
      </c>
      <c r="HN24">
        <v>60.1</v>
      </c>
      <c r="HO24">
        <v>13.838100000000001</v>
      </c>
      <c r="HP24">
        <v>1</v>
      </c>
      <c r="HQ24">
        <v>0.28609800000000002</v>
      </c>
      <c r="HR24">
        <v>2.6561400000000002</v>
      </c>
      <c r="HS24">
        <v>20.228999999999999</v>
      </c>
      <c r="HT24">
        <v>5.2088999999999999</v>
      </c>
      <c r="HU24">
        <v>11.902100000000001</v>
      </c>
      <c r="HV24">
        <v>4.9851999999999999</v>
      </c>
      <c r="HW24">
        <v>3.2702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1.8631</v>
      </c>
      <c r="ID24">
        <v>1.86249</v>
      </c>
      <c r="IE24">
        <v>1.8620300000000001</v>
      </c>
      <c r="IF24">
        <v>1.86212</v>
      </c>
      <c r="IG24">
        <v>1.86273</v>
      </c>
      <c r="IH24">
        <v>1.8635600000000001</v>
      </c>
      <c r="II24">
        <v>1.8615699999999999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-9.452</v>
      </c>
      <c r="IX24">
        <v>-0.56469999999999998</v>
      </c>
      <c r="IY24">
        <v>-7.5431795424800843</v>
      </c>
      <c r="IZ24">
        <v>-5.6215304933332991E-3</v>
      </c>
      <c r="JA24">
        <v>2.3979931213773931E-6</v>
      </c>
      <c r="JB24">
        <v>-3.6297174575716598E-10</v>
      </c>
      <c r="JC24">
        <v>-0.89865859710313001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2</v>
      </c>
      <c r="JL24">
        <v>1.9</v>
      </c>
      <c r="JM24">
        <v>0.87158199999999997</v>
      </c>
      <c r="JN24">
        <v>2.5</v>
      </c>
      <c r="JO24">
        <v>1.50024</v>
      </c>
      <c r="JP24">
        <v>2.2778299999999998</v>
      </c>
      <c r="JQ24">
        <v>1.4477500000000001</v>
      </c>
      <c r="JR24">
        <v>2.35229</v>
      </c>
      <c r="JS24">
        <v>38.5259</v>
      </c>
      <c r="JT24">
        <v>23.947399999999998</v>
      </c>
      <c r="JU24">
        <v>18</v>
      </c>
      <c r="JV24">
        <v>536.21799999999996</v>
      </c>
      <c r="JW24">
        <v>187.761</v>
      </c>
      <c r="JX24">
        <v>22.918500000000002</v>
      </c>
      <c r="JY24">
        <v>30.794799999999999</v>
      </c>
      <c r="JZ24">
        <v>30.0001</v>
      </c>
      <c r="KA24">
        <v>30.748899999999999</v>
      </c>
      <c r="KB24">
        <v>30.792100000000001</v>
      </c>
      <c r="KC24">
        <v>17.431799999999999</v>
      </c>
      <c r="KD24">
        <v>54.012300000000003</v>
      </c>
      <c r="KE24">
        <v>0</v>
      </c>
      <c r="KF24">
        <v>22.917200000000001</v>
      </c>
      <c r="KG24">
        <v>420</v>
      </c>
      <c r="KH24">
        <v>18.900500000000001</v>
      </c>
      <c r="KI24">
        <v>100.718</v>
      </c>
      <c r="KJ24">
        <v>98.204700000000003</v>
      </c>
    </row>
    <row r="25" spans="1:296" x14ac:dyDescent="0.3">
      <c r="A25">
        <v>9</v>
      </c>
      <c r="B25">
        <v>1785944437.0999999</v>
      </c>
      <c r="C25">
        <v>1452</v>
      </c>
      <c r="D25" t="s">
        <v>882</v>
      </c>
      <c r="E25" t="s">
        <v>883</v>
      </c>
      <c r="F25">
        <v>15</v>
      </c>
      <c r="H25">
        <v>1785944429.099999</v>
      </c>
      <c r="I25">
        <f t="shared" si="0"/>
        <v>1.6958316309242921E-3</v>
      </c>
      <c r="J25">
        <f t="shared" si="1"/>
        <v>1.695831630924292</v>
      </c>
      <c r="K25">
        <f t="shared" si="2"/>
        <v>14.534635044023505</v>
      </c>
      <c r="L25">
        <f t="shared" si="3"/>
        <v>401.77290322580637</v>
      </c>
      <c r="M25">
        <f t="shared" si="4"/>
        <v>237.25763274478498</v>
      </c>
      <c r="N25">
        <f t="shared" si="5"/>
        <v>23.170521198177301</v>
      </c>
      <c r="O25">
        <f t="shared" si="6"/>
        <v>39.237041452995811</v>
      </c>
      <c r="P25">
        <f t="shared" si="7"/>
        <v>0.15025059783511729</v>
      </c>
      <c r="Q25">
        <f t="shared" si="8"/>
        <v>2.8864458959401671</v>
      </c>
      <c r="R25">
        <f t="shared" si="9"/>
        <v>0.14603693429187534</v>
      </c>
      <c r="S25">
        <f t="shared" si="10"/>
        <v>9.1641822050649413E-2</v>
      </c>
      <c r="T25">
        <f t="shared" si="11"/>
        <v>48.440280561439899</v>
      </c>
      <c r="U25">
        <f t="shared" si="12"/>
        <v>24.950439630951003</v>
      </c>
      <c r="V25">
        <f t="shared" si="13"/>
        <v>24.99813870967742</v>
      </c>
      <c r="W25">
        <f t="shared" si="14"/>
        <v>3.1793247632328065</v>
      </c>
      <c r="X25">
        <f t="shared" si="15"/>
        <v>64.863164879281186</v>
      </c>
      <c r="Y25">
        <f t="shared" si="16"/>
        <v>2.0757778420763584</v>
      </c>
      <c r="Z25">
        <f t="shared" si="17"/>
        <v>3.2002413788159298</v>
      </c>
      <c r="AA25">
        <f t="shared" si="18"/>
        <v>1.1035469211564481</v>
      </c>
      <c r="AB25">
        <f t="shared" si="19"/>
        <v>-74.78617492376128</v>
      </c>
      <c r="AC25">
        <f t="shared" si="20"/>
        <v>17.122567634357541</v>
      </c>
      <c r="AD25">
        <f t="shared" si="21"/>
        <v>1.2554454900229719</v>
      </c>
      <c r="AE25">
        <f t="shared" si="22"/>
        <v>-7.967881237940869</v>
      </c>
      <c r="AF25">
        <f t="shared" si="23"/>
        <v>14.534635044023505</v>
      </c>
      <c r="AG25">
        <f t="shared" si="24"/>
        <v>1.695831630924292</v>
      </c>
      <c r="AH25">
        <f t="shared" si="25"/>
        <v>14.484213957851587</v>
      </c>
      <c r="AI25">
        <v>428.29833221821713</v>
      </c>
      <c r="AJ25">
        <v>410.53306060606042</v>
      </c>
      <c r="AK25">
        <v>8.2268163125393222E-3</v>
      </c>
      <c r="AL25">
        <v>66.798947770651324</v>
      </c>
      <c r="AM25">
        <f t="shared" si="26"/>
        <v>1.6857231689583883</v>
      </c>
      <c r="AN25">
        <v>19.26599345366516</v>
      </c>
      <c r="AO25">
        <v>21.246055151515151</v>
      </c>
      <c r="AP25">
        <v>-3.6132255126516307E-5</v>
      </c>
      <c r="AQ25">
        <v>77.927011543129609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51917.081599754551</v>
      </c>
      <c r="AW25" t="s">
        <v>851</v>
      </c>
      <c r="AX25">
        <v>13263.7</v>
      </c>
      <c r="AY25">
        <v>631.76470588235293</v>
      </c>
      <c r="AZ25">
        <v>2485.6799999999998</v>
      </c>
      <c r="BA25">
        <f t="shared" si="30"/>
        <v>0.74583827931095192</v>
      </c>
      <c r="BB25">
        <v>-2.170661106458982</v>
      </c>
      <c r="BC25" t="s">
        <v>884</v>
      </c>
      <c r="BD25">
        <v>13223.6</v>
      </c>
      <c r="BE25">
        <v>895.2700000000001</v>
      </c>
      <c r="BF25">
        <v>1880.8</v>
      </c>
      <c r="BG25">
        <f t="shared" si="31"/>
        <v>0.52399510846448316</v>
      </c>
      <c r="BH25">
        <v>0.5</v>
      </c>
      <c r="BI25">
        <f t="shared" si="32"/>
        <v>252.27566770858493</v>
      </c>
      <c r="BJ25">
        <f t="shared" si="33"/>
        <v>14.534635044023505</v>
      </c>
      <c r="BK25">
        <f t="shared" si="34"/>
        <v>66.09560793195493</v>
      </c>
      <c r="BL25">
        <f t="shared" si="35"/>
        <v>6.6218420120403881E-2</v>
      </c>
      <c r="BM25">
        <f t="shared" si="36"/>
        <v>0.32160782645682684</v>
      </c>
      <c r="BN25">
        <f t="shared" si="37"/>
        <v>584.02617367691994</v>
      </c>
      <c r="BO25" t="s">
        <v>408</v>
      </c>
      <c r="BP25">
        <v>0</v>
      </c>
      <c r="BQ25">
        <f t="shared" si="38"/>
        <v>584.02617367691994</v>
      </c>
      <c r="BR25">
        <f t="shared" si="39"/>
        <v>0.6894799161649724</v>
      </c>
      <c r="BS25">
        <f t="shared" si="40"/>
        <v>0.75998603611117588</v>
      </c>
      <c r="BT25">
        <f t="shared" si="41"/>
        <v>0.3180810259086736</v>
      </c>
      <c r="BU25">
        <f t="shared" si="42"/>
        <v>0.78903294778087552</v>
      </c>
      <c r="BV25">
        <f t="shared" si="43"/>
        <v>0.32627164893630517</v>
      </c>
      <c r="BW25">
        <f t="shared" si="44"/>
        <v>0.49577416502049604</v>
      </c>
      <c r="BX25">
        <f t="shared" si="45"/>
        <v>0.50422583497950391</v>
      </c>
      <c r="DG25">
        <f t="shared" si="46"/>
        <v>299.98067741935489</v>
      </c>
      <c r="DH25">
        <f t="shared" si="47"/>
        <v>252.27566770858493</v>
      </c>
      <c r="DI25">
        <f t="shared" si="48"/>
        <v>0.84097305826107849</v>
      </c>
      <c r="DJ25">
        <f t="shared" si="49"/>
        <v>0.16147800244388177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1785944429.099999</v>
      </c>
      <c r="DQ25">
        <v>401.77290322580637</v>
      </c>
      <c r="DR25">
        <v>420.03161290322578</v>
      </c>
      <c r="DS25">
        <v>21.255203225806451</v>
      </c>
      <c r="DT25">
        <v>19.263509677419361</v>
      </c>
      <c r="DU25">
        <v>411.24483870967731</v>
      </c>
      <c r="DV25">
        <v>21.824070967741939</v>
      </c>
      <c r="DW25">
        <v>500.01258064516128</v>
      </c>
      <c r="DX25">
        <v>97.61346774193548</v>
      </c>
      <c r="DY25">
        <v>4.6282674193548388E-2</v>
      </c>
      <c r="DZ25">
        <v>25.10817096774193</v>
      </c>
      <c r="EA25">
        <v>24.99813870967742</v>
      </c>
      <c r="EB25">
        <v>999.90000000000032</v>
      </c>
      <c r="EC25">
        <v>0</v>
      </c>
      <c r="ED25">
        <v>0</v>
      </c>
      <c r="EE25">
        <v>9994.8387096774186</v>
      </c>
      <c r="EF25">
        <v>0</v>
      </c>
      <c r="EG25">
        <v>227.48806451612899</v>
      </c>
      <c r="EH25">
        <v>-18.25870967741935</v>
      </c>
      <c r="EI25">
        <v>410.49812903225802</v>
      </c>
      <c r="EJ25">
        <v>428.28183870967752</v>
      </c>
      <c r="EK25">
        <v>1.9917022580645161</v>
      </c>
      <c r="EL25">
        <v>420.03161290322578</v>
      </c>
      <c r="EM25">
        <v>19.263509677419361</v>
      </c>
      <c r="EN25">
        <v>2.0747945161290322</v>
      </c>
      <c r="EO25">
        <v>1.880377096774194</v>
      </c>
      <c r="EP25">
        <v>18.026970967741939</v>
      </c>
      <c r="EQ25">
        <v>16.471470967741929</v>
      </c>
      <c r="ER25">
        <v>299.98067741935489</v>
      </c>
      <c r="ES25">
        <v>0.96702048387096762</v>
      </c>
      <c r="ET25">
        <v>3.2979641935483868E-2</v>
      </c>
      <c r="EU25">
        <v>0</v>
      </c>
      <c r="EV25">
        <v>895.37861290322587</v>
      </c>
      <c r="EW25">
        <v>5.0010700000000003</v>
      </c>
      <c r="EX25">
        <v>4255.1964516129037</v>
      </c>
      <c r="EY25">
        <v>2667.8738709677418</v>
      </c>
      <c r="EZ25">
        <v>35.443096774193528</v>
      </c>
      <c r="FA25">
        <v>38.881000000000007</v>
      </c>
      <c r="FB25">
        <v>37.383000000000003</v>
      </c>
      <c r="FC25">
        <v>38.807999999999993</v>
      </c>
      <c r="FD25">
        <v>37.625</v>
      </c>
      <c r="FE25">
        <v>285.25096774193548</v>
      </c>
      <c r="FF25">
        <v>9.7300000000000022</v>
      </c>
      <c r="FG25">
        <v>0</v>
      </c>
      <c r="FH25">
        <v>180.9000000953674</v>
      </c>
      <c r="FI25">
        <v>0</v>
      </c>
      <c r="FJ25">
        <v>895.2700000000001</v>
      </c>
      <c r="FK25">
        <v>-1.395098068232294</v>
      </c>
      <c r="FL25">
        <v>-39.784313900888442</v>
      </c>
      <c r="FM25">
        <v>4252.8058823529409</v>
      </c>
      <c r="FN25">
        <v>10</v>
      </c>
      <c r="FO25">
        <v>1785944318.5999999</v>
      </c>
      <c r="FP25" t="s">
        <v>885</v>
      </c>
      <c r="FQ25">
        <v>1785944311.0999999</v>
      </c>
      <c r="FR25">
        <v>1785944318.5999999</v>
      </c>
      <c r="FS25">
        <v>13</v>
      </c>
      <c r="FT25">
        <v>3.0000000000000001E-3</v>
      </c>
      <c r="FU25">
        <v>-4.0000000000000001E-3</v>
      </c>
      <c r="FV25">
        <v>-9.5419999999999998</v>
      </c>
      <c r="FW25">
        <v>-0.626</v>
      </c>
      <c r="FX25">
        <v>420</v>
      </c>
      <c r="FY25">
        <v>19</v>
      </c>
      <c r="FZ25">
        <v>0.41</v>
      </c>
      <c r="GA25">
        <v>0.13</v>
      </c>
      <c r="GB25">
        <v>401.77132258064518</v>
      </c>
      <c r="GC25">
        <v>0.10509677419274389</v>
      </c>
      <c r="GD25">
        <v>4.7409259403741383E-2</v>
      </c>
      <c r="GE25">
        <v>-1</v>
      </c>
      <c r="GF25">
        <v>895.51794117647057</v>
      </c>
      <c r="GG25">
        <v>-2.0409472918722531</v>
      </c>
      <c r="GH25">
        <v>0.272988573470894</v>
      </c>
      <c r="GI25">
        <v>1</v>
      </c>
      <c r="GJ25">
        <v>1.995858048780488</v>
      </c>
      <c r="GK25">
        <v>-7.445184668988869E-2</v>
      </c>
      <c r="GL25">
        <v>7.9908365872087602E-3</v>
      </c>
      <c r="GM25">
        <v>1</v>
      </c>
      <c r="GN25">
        <v>2</v>
      </c>
      <c r="GO25">
        <v>2</v>
      </c>
      <c r="GP25" t="s">
        <v>411</v>
      </c>
      <c r="GQ25">
        <v>3.1303999999999998</v>
      </c>
      <c r="GR25">
        <v>2.7235299999999998</v>
      </c>
      <c r="GS25">
        <v>8.96285E-2</v>
      </c>
      <c r="GT25">
        <v>9.1791700000000004E-2</v>
      </c>
      <c r="GU25">
        <v>0.10515099999999999</v>
      </c>
      <c r="GV25">
        <v>9.6630599999999997E-2</v>
      </c>
      <c r="GW25">
        <v>22924.799999999999</v>
      </c>
      <c r="GX25">
        <v>30483.5</v>
      </c>
      <c r="GY25">
        <v>27302.1</v>
      </c>
      <c r="GZ25">
        <v>34493.599999999999</v>
      </c>
      <c r="HA25">
        <v>35748.199999999997</v>
      </c>
      <c r="HB25">
        <v>39276.199999999997</v>
      </c>
      <c r="HC25">
        <v>40291.199999999997</v>
      </c>
      <c r="HD25">
        <v>43562.6</v>
      </c>
      <c r="HE25">
        <v>1.9927999999999999</v>
      </c>
      <c r="HF25">
        <v>1.2766</v>
      </c>
      <c r="HG25">
        <v>-2.9355300000000001E-2</v>
      </c>
      <c r="HH25">
        <v>0</v>
      </c>
      <c r="HI25">
        <v>25.4788</v>
      </c>
      <c r="HJ25">
        <v>999.9</v>
      </c>
      <c r="HK25">
        <v>60.5</v>
      </c>
      <c r="HL25">
        <v>33.5</v>
      </c>
      <c r="HM25">
        <v>32.201900000000002</v>
      </c>
      <c r="HN25">
        <v>60.2</v>
      </c>
      <c r="HO25">
        <v>13.9864</v>
      </c>
      <c r="HP25">
        <v>1</v>
      </c>
      <c r="HQ25">
        <v>0.28115899999999999</v>
      </c>
      <c r="HR25">
        <v>2.5610499999999998</v>
      </c>
      <c r="HS25">
        <v>20.230699999999999</v>
      </c>
      <c r="HT25">
        <v>5.2100999999999997</v>
      </c>
      <c r="HU25">
        <v>11.902100000000001</v>
      </c>
      <c r="HV25">
        <v>4.9855999999999998</v>
      </c>
      <c r="HW25">
        <v>3.2706</v>
      </c>
      <c r="HX25">
        <v>9999</v>
      </c>
      <c r="HY25">
        <v>9999</v>
      </c>
      <c r="HZ25">
        <v>9999</v>
      </c>
      <c r="IA25">
        <v>999.9</v>
      </c>
      <c r="IB25">
        <v>1.8673999999999999</v>
      </c>
      <c r="IC25">
        <v>1.8631</v>
      </c>
      <c r="ID25">
        <v>1.8625799999999999</v>
      </c>
      <c r="IE25">
        <v>1.86206</v>
      </c>
      <c r="IF25">
        <v>1.8621799999999999</v>
      </c>
      <c r="IG25">
        <v>1.86267</v>
      </c>
      <c r="IH25">
        <v>1.8636200000000001</v>
      </c>
      <c r="II25">
        <v>1.8615699999999999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-9.4719999999999995</v>
      </c>
      <c r="IX25">
        <v>-0.56920000000000004</v>
      </c>
      <c r="IY25">
        <v>-7.5404870666728696</v>
      </c>
      <c r="IZ25">
        <v>-5.6215304933332991E-3</v>
      </c>
      <c r="JA25">
        <v>2.3979931213773931E-6</v>
      </c>
      <c r="JB25">
        <v>-3.6297174575716598E-10</v>
      </c>
      <c r="JC25">
        <v>-0.90224313064111428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2.1</v>
      </c>
      <c r="JL25">
        <v>2</v>
      </c>
      <c r="JM25">
        <v>0.87036100000000005</v>
      </c>
      <c r="JN25">
        <v>2.49878</v>
      </c>
      <c r="JO25">
        <v>1.50024</v>
      </c>
      <c r="JP25">
        <v>2.2778299999999998</v>
      </c>
      <c r="JQ25">
        <v>1.4477500000000001</v>
      </c>
      <c r="JR25">
        <v>2.18994</v>
      </c>
      <c r="JS25">
        <v>38.944499999999998</v>
      </c>
      <c r="JT25">
        <v>23.938700000000001</v>
      </c>
      <c r="JU25">
        <v>18</v>
      </c>
      <c r="JV25">
        <v>535.37</v>
      </c>
      <c r="JW25">
        <v>187.874</v>
      </c>
      <c r="JX25">
        <v>23.023399999999999</v>
      </c>
      <c r="JY25">
        <v>30.751999999999999</v>
      </c>
      <c r="JZ25">
        <v>30</v>
      </c>
      <c r="KA25">
        <v>30.7409</v>
      </c>
      <c r="KB25">
        <v>30.784099999999999</v>
      </c>
      <c r="KC25">
        <v>17.426400000000001</v>
      </c>
      <c r="KD25">
        <v>53.669400000000003</v>
      </c>
      <c r="KE25">
        <v>0</v>
      </c>
      <c r="KF25">
        <v>23.020399999999999</v>
      </c>
      <c r="KG25">
        <v>420</v>
      </c>
      <c r="KH25">
        <v>19.291499999999999</v>
      </c>
      <c r="KI25">
        <v>100.724</v>
      </c>
      <c r="KJ25">
        <v>98.211399999999998</v>
      </c>
    </row>
    <row r="26" spans="1:296" x14ac:dyDescent="0.3">
      <c r="A26">
        <v>10</v>
      </c>
      <c r="B26">
        <v>1785944619</v>
      </c>
      <c r="C26">
        <v>1633.900000095367</v>
      </c>
      <c r="D26" t="s">
        <v>886</v>
      </c>
      <c r="E26" t="s">
        <v>887</v>
      </c>
      <c r="F26">
        <v>15</v>
      </c>
      <c r="H26">
        <v>1785944611.25</v>
      </c>
      <c r="I26">
        <f t="shared" si="0"/>
        <v>1.3504509290005824E-3</v>
      </c>
      <c r="J26">
        <f t="shared" si="1"/>
        <v>1.3504509290005824</v>
      </c>
      <c r="K26">
        <f t="shared" si="2"/>
        <v>9.3003055605206164</v>
      </c>
      <c r="L26">
        <f t="shared" si="3"/>
        <v>408.12720000000002</v>
      </c>
      <c r="M26">
        <f t="shared" si="4"/>
        <v>274.12673738085243</v>
      </c>
      <c r="N26">
        <f t="shared" si="5"/>
        <v>26.770354950821897</v>
      </c>
      <c r="O26">
        <f t="shared" si="6"/>
        <v>39.856418653192755</v>
      </c>
      <c r="P26">
        <f t="shared" si="7"/>
        <v>0.11882803849853159</v>
      </c>
      <c r="Q26">
        <f t="shared" si="8"/>
        <v>2.8857579224099741</v>
      </c>
      <c r="R26">
        <f t="shared" si="9"/>
        <v>0.11617515269780078</v>
      </c>
      <c r="S26">
        <f t="shared" si="10"/>
        <v>7.2842888759557051E-2</v>
      </c>
      <c r="T26">
        <f t="shared" si="11"/>
        <v>32.487261280860153</v>
      </c>
      <c r="U26">
        <f t="shared" si="12"/>
        <v>24.929309843017823</v>
      </c>
      <c r="V26">
        <f t="shared" si="13"/>
        <v>24.986303333333339</v>
      </c>
      <c r="W26">
        <f t="shared" si="14"/>
        <v>3.1770820461137235</v>
      </c>
      <c r="X26">
        <f t="shared" si="15"/>
        <v>64.82245635914407</v>
      </c>
      <c r="Y26">
        <f t="shared" si="16"/>
        <v>2.0724034566591651</v>
      </c>
      <c r="Z26">
        <f t="shared" si="17"/>
        <v>3.1970455503524358</v>
      </c>
      <c r="AA26">
        <f t="shared" si="18"/>
        <v>1.1046785894545583</v>
      </c>
      <c r="AB26">
        <f t="shared" si="19"/>
        <v>-59.554885968925682</v>
      </c>
      <c r="AC26">
        <f t="shared" si="20"/>
        <v>16.350622125034867</v>
      </c>
      <c r="AD26">
        <f t="shared" si="21"/>
        <v>1.198958775342277</v>
      </c>
      <c r="AE26">
        <f t="shared" si="22"/>
        <v>-9.5180437876883843</v>
      </c>
      <c r="AF26">
        <f t="shared" si="23"/>
        <v>9.3003055605206164</v>
      </c>
      <c r="AG26">
        <f t="shared" si="24"/>
        <v>1.3504509290005824</v>
      </c>
      <c r="AH26">
        <f t="shared" si="25"/>
        <v>9.2894025398806761</v>
      </c>
      <c r="AI26">
        <v>428.19664092829339</v>
      </c>
      <c r="AJ26">
        <v>416.94079393939393</v>
      </c>
      <c r="AK26">
        <v>-2.190184504686455E-2</v>
      </c>
      <c r="AL26">
        <v>66.798839831166973</v>
      </c>
      <c r="AM26">
        <f t="shared" si="26"/>
        <v>1.349609382729114</v>
      </c>
      <c r="AN26">
        <v>19.7415492774029</v>
      </c>
      <c r="AO26">
        <v>21.263732727272721</v>
      </c>
      <c r="AP26">
        <v>1.0264606881518619E-2</v>
      </c>
      <c r="AQ26">
        <v>77.926864013364195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51900.251590211905</v>
      </c>
      <c r="AW26" t="s">
        <v>851</v>
      </c>
      <c r="AX26">
        <v>13263.7</v>
      </c>
      <c r="AY26">
        <v>631.76470588235293</v>
      </c>
      <c r="AZ26">
        <v>2485.6799999999998</v>
      </c>
      <c r="BA26">
        <f t="shared" si="30"/>
        <v>0.74583827931095192</v>
      </c>
      <c r="BB26">
        <v>-2.170661106458982</v>
      </c>
      <c r="BC26" t="s">
        <v>888</v>
      </c>
      <c r="BD26">
        <v>13205.3</v>
      </c>
      <c r="BE26">
        <v>880.20035294117656</v>
      </c>
      <c r="BF26">
        <v>1952.33</v>
      </c>
      <c r="BG26">
        <f t="shared" si="31"/>
        <v>0.54915390690038235</v>
      </c>
      <c r="BH26">
        <v>0.5</v>
      </c>
      <c r="BI26">
        <f t="shared" si="32"/>
        <v>168.30605989681871</v>
      </c>
      <c r="BJ26">
        <f t="shared" si="33"/>
        <v>9.3003055605206164</v>
      </c>
      <c r="BK26">
        <f t="shared" si="34"/>
        <v>46.212965173673879</v>
      </c>
      <c r="BL26">
        <f t="shared" si="35"/>
        <v>6.8155399003529418E-2</v>
      </c>
      <c r="BM26">
        <f t="shared" si="36"/>
        <v>0.27318639779135695</v>
      </c>
      <c r="BN26">
        <f t="shared" si="37"/>
        <v>590.74705547763961</v>
      </c>
      <c r="BO26" t="s">
        <v>408</v>
      </c>
      <c r="BP26">
        <v>0</v>
      </c>
      <c r="BQ26">
        <f t="shared" si="38"/>
        <v>590.74705547763961</v>
      </c>
      <c r="BR26">
        <f t="shared" si="39"/>
        <v>0.69741434312967598</v>
      </c>
      <c r="BS26">
        <f t="shared" si="40"/>
        <v>0.78741412807203137</v>
      </c>
      <c r="BT26">
        <f t="shared" si="41"/>
        <v>0.28146114697184543</v>
      </c>
      <c r="BU26">
        <f t="shared" si="42"/>
        <v>0.81187174298350828</v>
      </c>
      <c r="BV26">
        <f t="shared" si="43"/>
        <v>0.28768844061661547</v>
      </c>
      <c r="BW26">
        <f t="shared" si="44"/>
        <v>0.52847351860938441</v>
      </c>
      <c r="BX26">
        <f t="shared" si="45"/>
        <v>0.47152648139061559</v>
      </c>
      <c r="DG26">
        <f t="shared" si="46"/>
        <v>200.0160333333333</v>
      </c>
      <c r="DH26">
        <f t="shared" si="47"/>
        <v>168.30605989681871</v>
      </c>
      <c r="DI26">
        <f t="shared" si="48"/>
        <v>0.84146284221290957</v>
      </c>
      <c r="DJ26">
        <f t="shared" si="49"/>
        <v>0.16242328547091556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1785944611.25</v>
      </c>
      <c r="DQ26">
        <v>408.12720000000002</v>
      </c>
      <c r="DR26">
        <v>419.94946666666658</v>
      </c>
      <c r="DS26">
        <v>21.22128</v>
      </c>
      <c r="DT26">
        <v>19.635059999999999</v>
      </c>
      <c r="DU26">
        <v>417.61396666666673</v>
      </c>
      <c r="DV26">
        <v>21.79477</v>
      </c>
      <c r="DW26">
        <v>499.97829999999999</v>
      </c>
      <c r="DX26">
        <v>97.610736666666668</v>
      </c>
      <c r="DY26">
        <v>4.6117993333333329E-2</v>
      </c>
      <c r="DZ26">
        <v>25.0914</v>
      </c>
      <c r="EA26">
        <v>24.986303333333339</v>
      </c>
      <c r="EB26">
        <v>999.9000000000002</v>
      </c>
      <c r="EC26">
        <v>0</v>
      </c>
      <c r="ED26">
        <v>0</v>
      </c>
      <c r="EE26">
        <v>9991.1666666666661</v>
      </c>
      <c r="EF26">
        <v>0</v>
      </c>
      <c r="EG26">
        <v>200.49456666666671</v>
      </c>
      <c r="EH26">
        <v>-11.822333333333329</v>
      </c>
      <c r="EI26">
        <v>416.97603333333342</v>
      </c>
      <c r="EJ26">
        <v>428.36046666666658</v>
      </c>
      <c r="EK26">
        <v>1.5862156666666669</v>
      </c>
      <c r="EL26">
        <v>419.94946666666658</v>
      </c>
      <c r="EM26">
        <v>19.635059999999999</v>
      </c>
      <c r="EN26">
        <v>2.0714243333333329</v>
      </c>
      <c r="EO26">
        <v>1.916593333333334</v>
      </c>
      <c r="EP26">
        <v>18.001116666666672</v>
      </c>
      <c r="EQ26">
        <v>16.77144666666667</v>
      </c>
      <c r="ER26">
        <v>200.0160333333333</v>
      </c>
      <c r="ES26">
        <v>0.94998166666666672</v>
      </c>
      <c r="ET26">
        <v>5.0017956666666682E-2</v>
      </c>
      <c r="EU26">
        <v>0</v>
      </c>
      <c r="EV26">
        <v>880.28536666666662</v>
      </c>
      <c r="EW26">
        <v>5.0010700000000003</v>
      </c>
      <c r="EX26">
        <v>3149.382333333333</v>
      </c>
      <c r="EY26">
        <v>1751.96</v>
      </c>
      <c r="EZ26">
        <v>34.811999999999998</v>
      </c>
      <c r="FA26">
        <v>38.360299999999988</v>
      </c>
      <c r="FB26">
        <v>36.811999999999991</v>
      </c>
      <c r="FC26">
        <v>38.301666666666662</v>
      </c>
      <c r="FD26">
        <v>37.072499999999991</v>
      </c>
      <c r="FE26">
        <v>185.26066666666671</v>
      </c>
      <c r="FF26">
        <v>9.7529999999999983</v>
      </c>
      <c r="FG26">
        <v>0</v>
      </c>
      <c r="FH26">
        <v>181.29999995231631</v>
      </c>
      <c r="FI26">
        <v>0</v>
      </c>
      <c r="FJ26">
        <v>880.20035294117656</v>
      </c>
      <c r="FK26">
        <v>-1.319607854999941</v>
      </c>
      <c r="FL26">
        <v>-53.644607999462487</v>
      </c>
      <c r="FM26">
        <v>3146.758823529412</v>
      </c>
      <c r="FN26">
        <v>10</v>
      </c>
      <c r="FO26">
        <v>1785944493.0999999</v>
      </c>
      <c r="FP26" t="s">
        <v>889</v>
      </c>
      <c r="FQ26">
        <v>1785944488.5999999</v>
      </c>
      <c r="FR26">
        <v>1785944493.0999999</v>
      </c>
      <c r="FS26">
        <v>14</v>
      </c>
      <c r="FT26">
        <v>0.01</v>
      </c>
      <c r="FU26">
        <v>-4.0000000000000001E-3</v>
      </c>
      <c r="FV26">
        <v>-9.532</v>
      </c>
      <c r="FW26">
        <v>-0.61599999999999999</v>
      </c>
      <c r="FX26">
        <v>420</v>
      </c>
      <c r="FY26">
        <v>20</v>
      </c>
      <c r="FZ26">
        <v>0.44</v>
      </c>
      <c r="GA26">
        <v>0.17</v>
      </c>
      <c r="GB26">
        <v>408.13186666666672</v>
      </c>
      <c r="GC26">
        <v>7.3254727473951925E-2</v>
      </c>
      <c r="GD26">
        <v>5.8780798074050233E-2</v>
      </c>
      <c r="GE26">
        <v>-1</v>
      </c>
      <c r="GF26">
        <v>880.3925294117646</v>
      </c>
      <c r="GG26">
        <v>-1.724522531005783</v>
      </c>
      <c r="GH26">
        <v>0.241556379400478</v>
      </c>
      <c r="GI26">
        <v>1</v>
      </c>
      <c r="GJ26">
        <v>1.61445025</v>
      </c>
      <c r="GK26">
        <v>-0.6220233771107031</v>
      </c>
      <c r="GL26">
        <v>7.0677764377755317E-2</v>
      </c>
      <c r="GM26">
        <v>0</v>
      </c>
      <c r="GN26">
        <v>1</v>
      </c>
      <c r="GO26">
        <v>2</v>
      </c>
      <c r="GP26" t="s">
        <v>444</v>
      </c>
      <c r="GQ26">
        <v>3.1309999999999998</v>
      </c>
      <c r="GR26">
        <v>2.7229000000000001</v>
      </c>
      <c r="GS26">
        <v>9.0692400000000006E-2</v>
      </c>
      <c r="GT26">
        <v>9.1761599999999999E-2</v>
      </c>
      <c r="GU26">
        <v>0.10527</v>
      </c>
      <c r="GV26">
        <v>9.8452600000000001E-2</v>
      </c>
      <c r="GW26">
        <v>22903.599999999999</v>
      </c>
      <c r="GX26">
        <v>30494.1</v>
      </c>
      <c r="GY26">
        <v>27308</v>
      </c>
      <c r="GZ26">
        <v>34503.5</v>
      </c>
      <c r="HA26">
        <v>35750.699999999997</v>
      </c>
      <c r="HB26">
        <v>39206.5</v>
      </c>
      <c r="HC26">
        <v>40299.9</v>
      </c>
      <c r="HD26">
        <v>43573.7</v>
      </c>
      <c r="HE26">
        <v>1.9945999999999999</v>
      </c>
      <c r="HF26">
        <v>1.2749999999999999</v>
      </c>
      <c r="HG26">
        <v>-2.6375099999999999E-2</v>
      </c>
      <c r="HH26">
        <v>0</v>
      </c>
      <c r="HI26">
        <v>25.412299999999998</v>
      </c>
      <c r="HJ26">
        <v>999.9</v>
      </c>
      <c r="HK26">
        <v>60.2</v>
      </c>
      <c r="HL26">
        <v>33.700000000000003</v>
      </c>
      <c r="HM26">
        <v>32.403100000000002</v>
      </c>
      <c r="HN26">
        <v>60.540100000000002</v>
      </c>
      <c r="HO26">
        <v>14.1106</v>
      </c>
      <c r="HP26">
        <v>1</v>
      </c>
      <c r="HQ26">
        <v>0.26682899999999998</v>
      </c>
      <c r="HR26">
        <v>2.2962099999999999</v>
      </c>
      <c r="HS26">
        <v>20.235600000000002</v>
      </c>
      <c r="HT26">
        <v>5.2112999999999996</v>
      </c>
      <c r="HU26">
        <v>11.902100000000001</v>
      </c>
      <c r="HV26">
        <v>4.9855999999999998</v>
      </c>
      <c r="HW26">
        <v>3.2706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1.86307</v>
      </c>
      <c r="ID26">
        <v>1.8625799999999999</v>
      </c>
      <c r="IE26">
        <v>1.8620300000000001</v>
      </c>
      <c r="IF26">
        <v>1.8621799999999999</v>
      </c>
      <c r="IG26">
        <v>1.86273</v>
      </c>
      <c r="IH26">
        <v>1.8635900000000001</v>
      </c>
      <c r="II26">
        <v>1.8615999999999999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-9.4870000000000001</v>
      </c>
      <c r="IX26">
        <v>-0.57240000000000002</v>
      </c>
      <c r="IY26">
        <v>-7.5308103273842839</v>
      </c>
      <c r="IZ26">
        <v>-5.6215304933332991E-3</v>
      </c>
      <c r="JA26">
        <v>2.3979931213773931E-6</v>
      </c>
      <c r="JB26">
        <v>-3.6297174575716598E-10</v>
      </c>
      <c r="JC26">
        <v>-0.90609780892097791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2.2000000000000002</v>
      </c>
      <c r="JL26">
        <v>2.1</v>
      </c>
      <c r="JM26">
        <v>0.87036100000000005</v>
      </c>
      <c r="JN26">
        <v>2.5</v>
      </c>
      <c r="JO26">
        <v>1.50024</v>
      </c>
      <c r="JP26">
        <v>2.2778299999999998</v>
      </c>
      <c r="JQ26">
        <v>1.4477500000000001</v>
      </c>
      <c r="JR26">
        <v>2.3584000000000001</v>
      </c>
      <c r="JS26">
        <v>39.242199999999997</v>
      </c>
      <c r="JT26">
        <v>23.938700000000001</v>
      </c>
      <c r="JU26">
        <v>18</v>
      </c>
      <c r="JV26">
        <v>535.65</v>
      </c>
      <c r="JW26">
        <v>187.08</v>
      </c>
      <c r="JX26">
        <v>23.2118</v>
      </c>
      <c r="JY26">
        <v>30.6053</v>
      </c>
      <c r="JZ26">
        <v>29.999600000000001</v>
      </c>
      <c r="KA26">
        <v>30.6373</v>
      </c>
      <c r="KB26">
        <v>30.683399999999999</v>
      </c>
      <c r="KC26">
        <v>17.428599999999999</v>
      </c>
      <c r="KD26">
        <v>53.347799999999999</v>
      </c>
      <c r="KE26">
        <v>0</v>
      </c>
      <c r="KF26">
        <v>23.215299999999999</v>
      </c>
      <c r="KG26">
        <v>420</v>
      </c>
      <c r="KH26">
        <v>19.613600000000002</v>
      </c>
      <c r="KI26">
        <v>100.746</v>
      </c>
      <c r="KJ26">
        <v>98.237799999999993</v>
      </c>
    </row>
    <row r="27" spans="1:296" x14ac:dyDescent="0.3">
      <c r="A27">
        <v>11</v>
      </c>
      <c r="B27">
        <v>1785944800.5</v>
      </c>
      <c r="C27">
        <v>1815.400000095367</v>
      </c>
      <c r="D27" t="s">
        <v>890</v>
      </c>
      <c r="E27" t="s">
        <v>891</v>
      </c>
      <c r="F27">
        <v>15</v>
      </c>
      <c r="H27">
        <v>1785944792.5</v>
      </c>
      <c r="I27">
        <f t="shared" si="0"/>
        <v>1.1663309544612235E-3</v>
      </c>
      <c r="J27">
        <f t="shared" si="1"/>
        <v>1.1663309544612235</v>
      </c>
      <c r="K27">
        <f t="shared" si="2"/>
        <v>4.150780925847414</v>
      </c>
      <c r="L27">
        <f t="shared" si="3"/>
        <v>414.4706129032258</v>
      </c>
      <c r="M27">
        <f t="shared" si="4"/>
        <v>341.76109582180925</v>
      </c>
      <c r="N27">
        <f t="shared" si="5"/>
        <v>33.373177438418736</v>
      </c>
      <c r="O27">
        <f t="shared" si="6"/>
        <v>40.473305699609213</v>
      </c>
      <c r="P27">
        <f t="shared" si="7"/>
        <v>0.10275263812690331</v>
      </c>
      <c r="Q27">
        <f t="shared" si="8"/>
        <v>2.8867455238796258</v>
      </c>
      <c r="R27">
        <f t="shared" si="9"/>
        <v>0.10076317028411021</v>
      </c>
      <c r="S27">
        <f t="shared" si="10"/>
        <v>6.3152518892696158E-2</v>
      </c>
      <c r="T27">
        <f t="shared" si="11"/>
        <v>16.507949704756566</v>
      </c>
      <c r="U27">
        <f t="shared" si="12"/>
        <v>24.885614123984269</v>
      </c>
      <c r="V27">
        <f t="shared" si="13"/>
        <v>24.98869354838709</v>
      </c>
      <c r="W27">
        <f t="shared" si="14"/>
        <v>3.177534862915858</v>
      </c>
      <c r="X27">
        <f t="shared" si="15"/>
        <v>64.973651396233763</v>
      </c>
      <c r="Y27">
        <f t="shared" si="16"/>
        <v>2.0776460663812197</v>
      </c>
      <c r="Z27">
        <f t="shared" si="17"/>
        <v>3.1976747831377872</v>
      </c>
      <c r="AA27">
        <f t="shared" si="18"/>
        <v>1.0998887965346382</v>
      </c>
      <c r="AB27">
        <f t="shared" si="19"/>
        <v>-51.435195091739956</v>
      </c>
      <c r="AC27">
        <f t="shared" si="20"/>
        <v>16.498309915389854</v>
      </c>
      <c r="AD27">
        <f t="shared" si="21"/>
        <v>1.2094091960610431</v>
      </c>
      <c r="AE27">
        <f t="shared" si="22"/>
        <v>-17.219526275532495</v>
      </c>
      <c r="AF27">
        <f t="shared" si="23"/>
        <v>4.150780925847414</v>
      </c>
      <c r="AG27">
        <f t="shared" si="24"/>
        <v>1.1663309544612235</v>
      </c>
      <c r="AH27">
        <f t="shared" si="25"/>
        <v>4.16812721513271</v>
      </c>
      <c r="AI27">
        <v>428.66503690716951</v>
      </c>
      <c r="AJ27">
        <v>423.53524848484841</v>
      </c>
      <c r="AK27">
        <v>5.0904626836693612E-3</v>
      </c>
      <c r="AL27">
        <v>66.799051242597869</v>
      </c>
      <c r="AM27">
        <f t="shared" si="26"/>
        <v>1.124816872148332</v>
      </c>
      <c r="AN27">
        <v>19.872847146458881</v>
      </c>
      <c r="AO27">
        <v>21.241746060606051</v>
      </c>
      <c r="AP27">
        <v>-7.8040562034148268E-3</v>
      </c>
      <c r="AQ27">
        <v>77.926657214409531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51927.822110431327</v>
      </c>
      <c r="AW27" t="s">
        <v>851</v>
      </c>
      <c r="AX27">
        <v>13263.7</v>
      </c>
      <c r="AY27">
        <v>631.76470588235293</v>
      </c>
      <c r="AZ27">
        <v>2485.6799999999998</v>
      </c>
      <c r="BA27">
        <f t="shared" si="30"/>
        <v>0.74583827931095192</v>
      </c>
      <c r="BB27">
        <v>-2.170661106458982</v>
      </c>
      <c r="BC27" t="s">
        <v>892</v>
      </c>
      <c r="BD27">
        <v>13207.9</v>
      </c>
      <c r="BE27">
        <v>862.37082352941172</v>
      </c>
      <c r="BF27">
        <v>2119.9299999999998</v>
      </c>
      <c r="BG27">
        <f t="shared" si="31"/>
        <v>0.5932078778405836</v>
      </c>
      <c r="BH27">
        <v>0.5</v>
      </c>
      <c r="BI27">
        <f t="shared" si="32"/>
        <v>84.276675830310069</v>
      </c>
      <c r="BJ27">
        <f t="shared" si="33"/>
        <v>4.150780925847414</v>
      </c>
      <c r="BK27">
        <f t="shared" si="34"/>
        <v>24.996794010378519</v>
      </c>
      <c r="BL27">
        <f t="shared" si="35"/>
        <v>7.5008203278384311E-2</v>
      </c>
      <c r="BM27">
        <f t="shared" si="36"/>
        <v>0.17252928162722356</v>
      </c>
      <c r="BN27">
        <f t="shared" si="37"/>
        <v>605.22536825973361</v>
      </c>
      <c r="BO27" t="s">
        <v>408</v>
      </c>
      <c r="BP27">
        <v>0</v>
      </c>
      <c r="BQ27">
        <f t="shared" si="38"/>
        <v>605.22536825973361</v>
      </c>
      <c r="BR27">
        <f t="shared" si="39"/>
        <v>0.71450690906787795</v>
      </c>
      <c r="BS27">
        <f t="shared" si="40"/>
        <v>0.83023392819876718</v>
      </c>
      <c r="BT27">
        <f t="shared" si="41"/>
        <v>0.1945008370989077</v>
      </c>
      <c r="BU27">
        <f t="shared" si="42"/>
        <v>0.84503998409411363</v>
      </c>
      <c r="BV27">
        <f t="shared" si="43"/>
        <v>0.19728517325494915</v>
      </c>
      <c r="BW27">
        <f t="shared" si="44"/>
        <v>0.58267119112325438</v>
      </c>
      <c r="BX27">
        <f t="shared" si="45"/>
        <v>0.41732880887674562</v>
      </c>
      <c r="DG27">
        <f t="shared" si="46"/>
        <v>99.990445161290296</v>
      </c>
      <c r="DH27">
        <f t="shared" si="47"/>
        <v>84.276675830310069</v>
      </c>
      <c r="DI27">
        <f t="shared" si="48"/>
        <v>0.84284729100232514</v>
      </c>
      <c r="DJ27">
        <f t="shared" si="49"/>
        <v>0.1650952716344877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1785944792.5</v>
      </c>
      <c r="DQ27">
        <v>414.4706129032258</v>
      </c>
      <c r="DR27">
        <v>420.03129032258067</v>
      </c>
      <c r="DS27">
        <v>21.276325806451609</v>
      </c>
      <c r="DT27">
        <v>19.9065935483871</v>
      </c>
      <c r="DU27">
        <v>423.98516129032271</v>
      </c>
      <c r="DV27">
        <v>21.84338709677419</v>
      </c>
      <c r="DW27">
        <v>500.03161290322578</v>
      </c>
      <c r="DX27">
        <v>97.605077419354842</v>
      </c>
      <c r="DY27">
        <v>4.5526603225806449E-2</v>
      </c>
      <c r="DZ27">
        <v>25.094703225806452</v>
      </c>
      <c r="EA27">
        <v>24.98869354838709</v>
      </c>
      <c r="EB27">
        <v>999.90000000000032</v>
      </c>
      <c r="EC27">
        <v>0</v>
      </c>
      <c r="ED27">
        <v>0</v>
      </c>
      <c r="EE27">
        <v>9997.4193548387102</v>
      </c>
      <c r="EF27">
        <v>0</v>
      </c>
      <c r="EG27">
        <v>170.43941935483869</v>
      </c>
      <c r="EH27">
        <v>-5.5606603225806461</v>
      </c>
      <c r="EI27">
        <v>423.48080645161281</v>
      </c>
      <c r="EJ27">
        <v>428.56251612903219</v>
      </c>
      <c r="EK27">
        <v>1.369718387096774</v>
      </c>
      <c r="EL27">
        <v>420.03129032258067</v>
      </c>
      <c r="EM27">
        <v>19.9065935483871</v>
      </c>
      <c r="EN27">
        <v>2.0766767741935479</v>
      </c>
      <c r="EO27">
        <v>1.942984838709678</v>
      </c>
      <c r="EP27">
        <v>18.0414064516129</v>
      </c>
      <c r="EQ27">
        <v>16.98713225806452</v>
      </c>
      <c r="ER27">
        <v>99.990445161290296</v>
      </c>
      <c r="ES27">
        <v>0.90008587096774206</v>
      </c>
      <c r="ET27">
        <v>9.9914316129032274E-2</v>
      </c>
      <c r="EU27">
        <v>0</v>
      </c>
      <c r="EV27">
        <v>862.45596774193564</v>
      </c>
      <c r="EW27">
        <v>5.0010700000000003</v>
      </c>
      <c r="EX27">
        <v>2016.7525806451611</v>
      </c>
      <c r="EY27">
        <v>836.51661290322579</v>
      </c>
      <c r="EZ27">
        <v>34.415064516129043</v>
      </c>
      <c r="FA27">
        <v>38.562258064516122</v>
      </c>
      <c r="FB27">
        <v>36.566290322580642</v>
      </c>
      <c r="FC27">
        <v>38.60658064516128</v>
      </c>
      <c r="FD27">
        <v>37.114677419354827</v>
      </c>
      <c r="FE27">
        <v>85.498709677419384</v>
      </c>
      <c r="FF27">
        <v>9.490000000000002</v>
      </c>
      <c r="FG27">
        <v>0</v>
      </c>
      <c r="FH27">
        <v>180.70000004768369</v>
      </c>
      <c r="FI27">
        <v>0</v>
      </c>
      <c r="FJ27">
        <v>862.37082352941172</v>
      </c>
      <c r="FK27">
        <v>-0.61887254988729079</v>
      </c>
      <c r="FL27">
        <v>-5.1102942526864981</v>
      </c>
      <c r="FM27">
        <v>2012.967058823529</v>
      </c>
      <c r="FN27">
        <v>10</v>
      </c>
      <c r="FO27">
        <v>1785944677</v>
      </c>
      <c r="FP27" t="s">
        <v>893</v>
      </c>
      <c r="FQ27">
        <v>1785944675</v>
      </c>
      <c r="FR27">
        <v>1785944677</v>
      </c>
      <c r="FS27">
        <v>15</v>
      </c>
      <c r="FT27">
        <v>-4.0000000000000001E-3</v>
      </c>
      <c r="FU27">
        <v>5.0000000000000001E-3</v>
      </c>
      <c r="FV27">
        <v>-9.5359999999999996</v>
      </c>
      <c r="FW27">
        <v>-0.60699999999999998</v>
      </c>
      <c r="FX27">
        <v>420</v>
      </c>
      <c r="FY27">
        <v>20</v>
      </c>
      <c r="FZ27">
        <v>1.06</v>
      </c>
      <c r="GA27">
        <v>0.18</v>
      </c>
      <c r="GB27">
        <v>414.46933333333328</v>
      </c>
      <c r="GC27">
        <v>0.1714438264735838</v>
      </c>
      <c r="GD27">
        <v>5.8897274036144663E-2</v>
      </c>
      <c r="GE27">
        <v>-1</v>
      </c>
      <c r="GF27">
        <v>862.49211764705888</v>
      </c>
      <c r="GG27">
        <v>-1.3421543178185029</v>
      </c>
      <c r="GH27">
        <v>0.21073076839276489</v>
      </c>
      <c r="GI27">
        <v>1</v>
      </c>
      <c r="GJ27">
        <v>1.35946575</v>
      </c>
      <c r="GK27">
        <v>0.32619816135084312</v>
      </c>
      <c r="GL27">
        <v>4.8785650702204419E-2</v>
      </c>
      <c r="GM27">
        <v>1</v>
      </c>
      <c r="GN27">
        <v>2</v>
      </c>
      <c r="GO27">
        <v>2</v>
      </c>
      <c r="GP27" t="s">
        <v>411</v>
      </c>
      <c r="GQ27">
        <v>3.1303000000000001</v>
      </c>
      <c r="GR27">
        <v>2.7223099999999998</v>
      </c>
      <c r="GS27">
        <v>9.1775099999999998E-2</v>
      </c>
      <c r="GT27">
        <v>9.1795100000000004E-2</v>
      </c>
      <c r="GU27">
        <v>0.10518</v>
      </c>
      <c r="GV27">
        <v>9.8382499999999998E-2</v>
      </c>
      <c r="GW27">
        <v>22882.799999999999</v>
      </c>
      <c r="GX27">
        <v>30499.599999999999</v>
      </c>
      <c r="GY27">
        <v>27315.1</v>
      </c>
      <c r="GZ27">
        <v>34509.800000000003</v>
      </c>
      <c r="HA27">
        <v>35763.300000000003</v>
      </c>
      <c r="HB27">
        <v>39216.1</v>
      </c>
      <c r="HC27">
        <v>40310.6</v>
      </c>
      <c r="HD27">
        <v>43581.3</v>
      </c>
      <c r="HE27">
        <v>1.9962</v>
      </c>
      <c r="HF27">
        <v>1.2751999999999999</v>
      </c>
      <c r="HG27">
        <v>-2.2590200000000001E-2</v>
      </c>
      <c r="HH27">
        <v>0</v>
      </c>
      <c r="HI27">
        <v>25.365200000000002</v>
      </c>
      <c r="HJ27">
        <v>999.9</v>
      </c>
      <c r="HK27">
        <v>59.8</v>
      </c>
      <c r="HL27">
        <v>33.799999999999997</v>
      </c>
      <c r="HM27">
        <v>32.3733</v>
      </c>
      <c r="HN27">
        <v>60.320099999999996</v>
      </c>
      <c r="HO27">
        <v>14.1226</v>
      </c>
      <c r="HP27">
        <v>1</v>
      </c>
      <c r="HQ27">
        <v>0.252805</v>
      </c>
      <c r="HR27">
        <v>2.1429200000000002</v>
      </c>
      <c r="HS27">
        <v>20.240600000000001</v>
      </c>
      <c r="HT27">
        <v>5.2112999999999996</v>
      </c>
      <c r="HU27">
        <v>11.9033</v>
      </c>
      <c r="HV27">
        <v>4.9843999999999999</v>
      </c>
      <c r="HW27">
        <v>3.27</v>
      </c>
      <c r="HX27">
        <v>9999</v>
      </c>
      <c r="HY27">
        <v>9999</v>
      </c>
      <c r="HZ27">
        <v>9999</v>
      </c>
      <c r="IA27">
        <v>999.9</v>
      </c>
      <c r="IB27">
        <v>1.8674299999999999</v>
      </c>
      <c r="IC27">
        <v>1.8631</v>
      </c>
      <c r="ID27">
        <v>1.8626400000000001</v>
      </c>
      <c r="IE27">
        <v>1.86212</v>
      </c>
      <c r="IF27">
        <v>1.8621799999999999</v>
      </c>
      <c r="IG27">
        <v>1.86276</v>
      </c>
      <c r="IH27">
        <v>1.8636200000000001</v>
      </c>
      <c r="II27">
        <v>1.8615999999999999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-9.5150000000000006</v>
      </c>
      <c r="IX27">
        <v>-0.56799999999999995</v>
      </c>
      <c r="IY27">
        <v>-7.5344682812355366</v>
      </c>
      <c r="IZ27">
        <v>-5.6215304933332991E-3</v>
      </c>
      <c r="JA27">
        <v>2.3979931213773931E-6</v>
      </c>
      <c r="JB27">
        <v>-3.6297174575716598E-10</v>
      </c>
      <c r="JC27">
        <v>-0.90095621719107855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2.1</v>
      </c>
      <c r="JL27">
        <v>2.1</v>
      </c>
      <c r="JM27">
        <v>0.87036100000000005</v>
      </c>
      <c r="JN27">
        <v>2.5</v>
      </c>
      <c r="JO27">
        <v>1.50024</v>
      </c>
      <c r="JP27">
        <v>2.2766099999999998</v>
      </c>
      <c r="JQ27">
        <v>1.4477500000000001</v>
      </c>
      <c r="JR27">
        <v>2.19604</v>
      </c>
      <c r="JS27">
        <v>39.4666</v>
      </c>
      <c r="JT27">
        <v>23.9299</v>
      </c>
      <c r="JU27">
        <v>18</v>
      </c>
      <c r="JV27">
        <v>535.50699999999995</v>
      </c>
      <c r="JW27">
        <v>186.79</v>
      </c>
      <c r="JX27">
        <v>23.367799999999999</v>
      </c>
      <c r="JY27">
        <v>30.446300000000001</v>
      </c>
      <c r="JZ27">
        <v>29.999600000000001</v>
      </c>
      <c r="KA27">
        <v>30.4998</v>
      </c>
      <c r="KB27">
        <v>30.546299999999999</v>
      </c>
      <c r="KC27">
        <v>17.412299999999998</v>
      </c>
      <c r="KD27">
        <v>53.199599999999997</v>
      </c>
      <c r="KE27">
        <v>0</v>
      </c>
      <c r="KF27">
        <v>23.368300000000001</v>
      </c>
      <c r="KG27">
        <v>420</v>
      </c>
      <c r="KH27">
        <v>19.887</v>
      </c>
      <c r="KI27">
        <v>100.773</v>
      </c>
      <c r="KJ27">
        <v>98.255300000000005</v>
      </c>
    </row>
    <row r="28" spans="1:296" x14ac:dyDescent="0.3">
      <c r="A28">
        <v>12</v>
      </c>
      <c r="B28">
        <v>1785944982</v>
      </c>
      <c r="C28">
        <v>1996.900000095367</v>
      </c>
      <c r="D28" t="s">
        <v>894</v>
      </c>
      <c r="E28" t="s">
        <v>895</v>
      </c>
      <c r="F28">
        <v>15</v>
      </c>
      <c r="H28">
        <v>1785944974.25</v>
      </c>
      <c r="I28">
        <f t="shared" si="0"/>
        <v>8.9439773985777911E-4</v>
      </c>
      <c r="J28">
        <f t="shared" si="1"/>
        <v>0.89439773985777915</v>
      </c>
      <c r="K28">
        <f t="shared" si="2"/>
        <v>0.98803949088608267</v>
      </c>
      <c r="L28">
        <f t="shared" si="3"/>
        <v>420.05059999999997</v>
      </c>
      <c r="M28">
        <f t="shared" si="4"/>
        <v>392.10579517723761</v>
      </c>
      <c r="N28">
        <f t="shared" si="5"/>
        <v>38.293347870103517</v>
      </c>
      <c r="O28">
        <f t="shared" si="6"/>
        <v>41.022458598386642</v>
      </c>
      <c r="P28">
        <f t="shared" si="7"/>
        <v>7.8363328394958451E-2</v>
      </c>
      <c r="Q28">
        <f t="shared" si="8"/>
        <v>2.8885425282450492</v>
      </c>
      <c r="R28">
        <f t="shared" si="9"/>
        <v>7.7201163547554325E-2</v>
      </c>
      <c r="S28">
        <f t="shared" si="10"/>
        <v>4.8353707302125119E-2</v>
      </c>
      <c r="T28">
        <f t="shared" si="11"/>
        <v>8.2419119257139197</v>
      </c>
      <c r="U28">
        <f t="shared" si="12"/>
        <v>24.965866610318798</v>
      </c>
      <c r="V28">
        <f t="shared" si="13"/>
        <v>25.008386666666659</v>
      </c>
      <c r="W28">
        <f t="shared" si="14"/>
        <v>3.1812677934616458</v>
      </c>
      <c r="X28">
        <f t="shared" si="15"/>
        <v>64.833510004460095</v>
      </c>
      <c r="Y28">
        <f t="shared" si="16"/>
        <v>2.0803182869940722</v>
      </c>
      <c r="Z28">
        <f t="shared" si="17"/>
        <v>3.2087084084310118</v>
      </c>
      <c r="AA28">
        <f t="shared" si="18"/>
        <v>1.1009495064675736</v>
      </c>
      <c r="AB28">
        <f t="shared" si="19"/>
        <v>-39.44294032772806</v>
      </c>
      <c r="AC28">
        <f t="shared" si="20"/>
        <v>22.447543064084446</v>
      </c>
      <c r="AD28">
        <f t="shared" si="21"/>
        <v>1.6451359916610786</v>
      </c>
      <c r="AE28">
        <f t="shared" si="22"/>
        <v>-7.1083493462686143</v>
      </c>
      <c r="AF28">
        <f t="shared" si="23"/>
        <v>0.98803949088608267</v>
      </c>
      <c r="AG28">
        <f t="shared" si="24"/>
        <v>0.89439773985777915</v>
      </c>
      <c r="AH28">
        <f t="shared" si="25"/>
        <v>1.2269862999955787</v>
      </c>
      <c r="AI28">
        <v>430.31564648849502</v>
      </c>
      <c r="AJ28">
        <v>429.06523030303038</v>
      </c>
      <c r="AK28">
        <v>-4.7983549149496423E-2</v>
      </c>
      <c r="AL28">
        <v>66.798997192265801</v>
      </c>
      <c r="AM28">
        <f t="shared" si="26"/>
        <v>0.89298804063893167</v>
      </c>
      <c r="AN28">
        <v>20.254253291303321</v>
      </c>
      <c r="AO28">
        <v>21.30304666666667</v>
      </c>
      <c r="AP28">
        <v>-1.7479237810241161E-5</v>
      </c>
      <c r="AQ28">
        <v>77.926468306669307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51969.420953888046</v>
      </c>
      <c r="AW28" t="s">
        <v>851</v>
      </c>
      <c r="AX28">
        <v>13263.7</v>
      </c>
      <c r="AY28">
        <v>631.76470588235293</v>
      </c>
      <c r="AZ28">
        <v>2485.6799999999998</v>
      </c>
      <c r="BA28">
        <f t="shared" si="30"/>
        <v>0.74583827931095192</v>
      </c>
      <c r="BB28">
        <v>-2.170661106458982</v>
      </c>
      <c r="BC28" t="s">
        <v>896</v>
      </c>
      <c r="BD28">
        <v>13231.6</v>
      </c>
      <c r="BE28">
        <v>816.94200000000001</v>
      </c>
      <c r="BF28">
        <v>2199.31</v>
      </c>
      <c r="BG28">
        <f t="shared" si="31"/>
        <v>0.62854622586174758</v>
      </c>
      <c r="BH28">
        <v>0.5</v>
      </c>
      <c r="BI28">
        <f t="shared" si="32"/>
        <v>42.142011493116016</v>
      </c>
      <c r="BJ28">
        <f t="shared" si="33"/>
        <v>0.98803949088608267</v>
      </c>
      <c r="BK28">
        <f t="shared" si="34"/>
        <v>13.244101137110231</v>
      </c>
      <c r="BL28">
        <f t="shared" si="35"/>
        <v>7.4953721605363927E-2</v>
      </c>
      <c r="BM28">
        <f t="shared" si="36"/>
        <v>0.13020902010175914</v>
      </c>
      <c r="BN28">
        <f t="shared" si="37"/>
        <v>611.52674878618882</v>
      </c>
      <c r="BO28" t="s">
        <v>408</v>
      </c>
      <c r="BP28">
        <v>0</v>
      </c>
      <c r="BQ28">
        <f t="shared" si="38"/>
        <v>611.52674878618882</v>
      </c>
      <c r="BR28">
        <f t="shared" si="39"/>
        <v>0.72194608818848238</v>
      </c>
      <c r="BS28">
        <f t="shared" si="40"/>
        <v>0.87062764955054317</v>
      </c>
      <c r="BT28">
        <f t="shared" si="41"/>
        <v>0.15279967089912735</v>
      </c>
      <c r="BU28">
        <f t="shared" si="42"/>
        <v>0.88186797867178623</v>
      </c>
      <c r="BV28">
        <f t="shared" si="43"/>
        <v>0.15446768302124339</v>
      </c>
      <c r="BW28">
        <f t="shared" si="44"/>
        <v>0.65171345815615433</v>
      </c>
      <c r="BX28">
        <f t="shared" si="45"/>
        <v>0.34828654184384567</v>
      </c>
      <c r="DG28">
        <f t="shared" si="46"/>
        <v>50.008326666666662</v>
      </c>
      <c r="DH28">
        <f t="shared" si="47"/>
        <v>42.142011493116016</v>
      </c>
      <c r="DI28">
        <f t="shared" si="48"/>
        <v>0.84269989224026598</v>
      </c>
      <c r="DJ28">
        <f t="shared" si="49"/>
        <v>0.1648107920237134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1785944974.25</v>
      </c>
      <c r="DQ28">
        <v>420.05059999999997</v>
      </c>
      <c r="DR28">
        <v>421.68696666666682</v>
      </c>
      <c r="DS28">
        <v>21.301476666666659</v>
      </c>
      <c r="DT28">
        <v>20.251133333333328</v>
      </c>
      <c r="DU28">
        <v>429.64713333333327</v>
      </c>
      <c r="DV28">
        <v>21.869896666666669</v>
      </c>
      <c r="DW28">
        <v>500.03406666666677</v>
      </c>
      <c r="DX28">
        <v>97.615623333333346</v>
      </c>
      <c r="DY28">
        <v>4.5131343333333331E-2</v>
      </c>
      <c r="DZ28">
        <v>25.152533333333331</v>
      </c>
      <c r="EA28">
        <v>25.008386666666659</v>
      </c>
      <c r="EB28">
        <v>999.9000000000002</v>
      </c>
      <c r="EC28">
        <v>0</v>
      </c>
      <c r="ED28">
        <v>0</v>
      </c>
      <c r="EE28">
        <v>10006.66666666667</v>
      </c>
      <c r="EF28">
        <v>0</v>
      </c>
      <c r="EG28">
        <v>149.23023333333339</v>
      </c>
      <c r="EH28">
        <v>-1.6363616666666669</v>
      </c>
      <c r="EI28">
        <v>429.19283333333328</v>
      </c>
      <c r="EJ28">
        <v>430.40306666666658</v>
      </c>
      <c r="EK28">
        <v>1.0503383333333329</v>
      </c>
      <c r="EL28">
        <v>421.68696666666682</v>
      </c>
      <c r="EM28">
        <v>20.251133333333328</v>
      </c>
      <c r="EN28">
        <v>2.0793569999999999</v>
      </c>
      <c r="EO28">
        <v>1.9768276666666671</v>
      </c>
      <c r="EP28">
        <v>18.061923333333329</v>
      </c>
      <c r="EQ28">
        <v>17.259946666666671</v>
      </c>
      <c r="ER28">
        <v>50.008326666666662</v>
      </c>
      <c r="ES28">
        <v>0.89999336666666685</v>
      </c>
      <c r="ET28">
        <v>0.10000682</v>
      </c>
      <c r="EU28">
        <v>0</v>
      </c>
      <c r="EV28">
        <v>816.87676666666664</v>
      </c>
      <c r="EW28">
        <v>5.0010700000000003</v>
      </c>
      <c r="EX28">
        <v>1483.5313333333329</v>
      </c>
      <c r="EY28">
        <v>396.33796666666672</v>
      </c>
      <c r="EZ28">
        <v>35.147733333333328</v>
      </c>
      <c r="FA28">
        <v>39.47893333333333</v>
      </c>
      <c r="FB28">
        <v>37.537299999999988</v>
      </c>
      <c r="FC28">
        <v>39.878899999999987</v>
      </c>
      <c r="FD28">
        <v>37.612299999999998</v>
      </c>
      <c r="FE28">
        <v>40.507666666666651</v>
      </c>
      <c r="FF28">
        <v>4.5006666666666666</v>
      </c>
      <c r="FG28">
        <v>0</v>
      </c>
      <c r="FH28">
        <v>180.9000000953674</v>
      </c>
      <c r="FI28">
        <v>0</v>
      </c>
      <c r="FJ28">
        <v>816.94200000000001</v>
      </c>
      <c r="FK28">
        <v>1.693137229660626</v>
      </c>
      <c r="FL28">
        <v>-35.884803726497417</v>
      </c>
      <c r="FM28">
        <v>1482.0147058823529</v>
      </c>
      <c r="FN28">
        <v>10</v>
      </c>
      <c r="FO28">
        <v>1785944906</v>
      </c>
      <c r="FP28" t="s">
        <v>897</v>
      </c>
      <c r="FQ28">
        <v>1785944902</v>
      </c>
      <c r="FR28">
        <v>1785944906</v>
      </c>
      <c r="FS28">
        <v>16</v>
      </c>
      <c r="FT28">
        <v>-6.0999999999999999E-2</v>
      </c>
      <c r="FU28">
        <v>-2E-3</v>
      </c>
      <c r="FV28">
        <v>-9.6020000000000003</v>
      </c>
      <c r="FW28">
        <v>-0.6</v>
      </c>
      <c r="FX28">
        <v>421</v>
      </c>
      <c r="FY28">
        <v>20</v>
      </c>
      <c r="FZ28">
        <v>1.49</v>
      </c>
      <c r="GA28">
        <v>0.21</v>
      </c>
      <c r="GB28">
        <v>420.05151612903228</v>
      </c>
      <c r="GC28">
        <v>0.15817741935352439</v>
      </c>
      <c r="GD28">
        <v>5.4104362096964627E-2</v>
      </c>
      <c r="GE28">
        <v>-1</v>
      </c>
      <c r="GF28">
        <v>816.79517647058822</v>
      </c>
      <c r="GG28">
        <v>0.81543162298121064</v>
      </c>
      <c r="GH28">
        <v>0.23078057704340069</v>
      </c>
      <c r="GI28">
        <v>1</v>
      </c>
      <c r="GJ28">
        <v>1.0495848780487811</v>
      </c>
      <c r="GK28">
        <v>-7.7351916376146009E-4</v>
      </c>
      <c r="GL28">
        <v>3.9773689808110697E-3</v>
      </c>
      <c r="GM28">
        <v>1</v>
      </c>
      <c r="GN28">
        <v>2</v>
      </c>
      <c r="GO28">
        <v>2</v>
      </c>
      <c r="GP28" t="s">
        <v>411</v>
      </c>
      <c r="GQ28">
        <v>3.13083</v>
      </c>
      <c r="GR28">
        <v>2.7215199999999999</v>
      </c>
      <c r="GS28">
        <v>9.2721700000000004E-2</v>
      </c>
      <c r="GT28">
        <v>9.2080200000000001E-2</v>
      </c>
      <c r="GU28">
        <v>0.105448</v>
      </c>
      <c r="GV28">
        <v>0.10023899999999999</v>
      </c>
      <c r="GW28">
        <v>22863</v>
      </c>
      <c r="GX28">
        <v>30499.3</v>
      </c>
      <c r="GY28">
        <v>27319.1</v>
      </c>
      <c r="GZ28">
        <v>34519.199999999997</v>
      </c>
      <c r="HA28">
        <v>35757.1</v>
      </c>
      <c r="HB28">
        <v>39143.4</v>
      </c>
      <c r="HC28">
        <v>40316.400000000001</v>
      </c>
      <c r="HD28">
        <v>43590.9</v>
      </c>
      <c r="HE28">
        <v>1.9976</v>
      </c>
      <c r="HF28">
        <v>1.2762</v>
      </c>
      <c r="HG28">
        <v>-1.9818499999999999E-2</v>
      </c>
      <c r="HH28">
        <v>0</v>
      </c>
      <c r="HI28">
        <v>25.318200000000001</v>
      </c>
      <c r="HJ28">
        <v>999.9</v>
      </c>
      <c r="HK28">
        <v>59.4</v>
      </c>
      <c r="HL28">
        <v>34</v>
      </c>
      <c r="HM28">
        <v>32.511800000000001</v>
      </c>
      <c r="HN28">
        <v>60.330100000000002</v>
      </c>
      <c r="HO28">
        <v>14.0825</v>
      </c>
      <c r="HP28">
        <v>1</v>
      </c>
      <c r="HQ28">
        <v>0.23955299999999999</v>
      </c>
      <c r="HR28">
        <v>2.1556199999999999</v>
      </c>
      <c r="HS28">
        <v>20.2395</v>
      </c>
      <c r="HT28">
        <v>5.2112999999999996</v>
      </c>
      <c r="HU28">
        <v>11.902100000000001</v>
      </c>
      <c r="HV28">
        <v>4.9855999999999998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1.8674599999999999</v>
      </c>
      <c r="IC28">
        <v>1.8631</v>
      </c>
      <c r="ID28">
        <v>1.8626400000000001</v>
      </c>
      <c r="IE28">
        <v>1.86206</v>
      </c>
      <c r="IF28">
        <v>1.8621799999999999</v>
      </c>
      <c r="IG28">
        <v>1.8627</v>
      </c>
      <c r="IH28">
        <v>1.86365</v>
      </c>
      <c r="II28">
        <v>1.8615699999999999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-9.5960000000000001</v>
      </c>
      <c r="IX28">
        <v>-0.56840000000000002</v>
      </c>
      <c r="IY28">
        <v>-7.595111821888211</v>
      </c>
      <c r="IZ28">
        <v>-5.6215304933332991E-3</v>
      </c>
      <c r="JA28">
        <v>2.3979931213773931E-6</v>
      </c>
      <c r="JB28">
        <v>-3.6297174575716598E-10</v>
      </c>
      <c r="JC28">
        <v>-0.90300134174617108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1.3</v>
      </c>
      <c r="JM28">
        <v>0.872803</v>
      </c>
      <c r="JN28">
        <v>2.50488</v>
      </c>
      <c r="JO28">
        <v>1.50024</v>
      </c>
      <c r="JP28">
        <v>2.2766099999999998</v>
      </c>
      <c r="JQ28">
        <v>1.4477500000000001</v>
      </c>
      <c r="JR28">
        <v>2.2741699999999998</v>
      </c>
      <c r="JS28">
        <v>39.616700000000002</v>
      </c>
      <c r="JT28">
        <v>23.9299</v>
      </c>
      <c r="JU28">
        <v>18</v>
      </c>
      <c r="JV28">
        <v>535.09799999999996</v>
      </c>
      <c r="JW28">
        <v>186.72300000000001</v>
      </c>
      <c r="JX28">
        <v>23.3842</v>
      </c>
      <c r="JY28">
        <v>30.277799999999999</v>
      </c>
      <c r="JZ28">
        <v>29.9998</v>
      </c>
      <c r="KA28">
        <v>30.3474</v>
      </c>
      <c r="KB28">
        <v>30.394300000000001</v>
      </c>
      <c r="KC28">
        <v>17.467099999999999</v>
      </c>
      <c r="KD28">
        <v>52.130899999999997</v>
      </c>
      <c r="KE28">
        <v>0</v>
      </c>
      <c r="KF28">
        <v>23.384899999999998</v>
      </c>
      <c r="KG28">
        <v>421.65899999999999</v>
      </c>
      <c r="KH28">
        <v>20.210999999999999</v>
      </c>
      <c r="KI28">
        <v>100.78700000000001</v>
      </c>
      <c r="KJ28">
        <v>98.2791</v>
      </c>
    </row>
    <row r="29" spans="1:296" x14ac:dyDescent="0.3">
      <c r="A29">
        <v>13</v>
      </c>
      <c r="B29">
        <v>1785945163.5</v>
      </c>
      <c r="C29">
        <v>2178.400000095367</v>
      </c>
      <c r="D29" t="s">
        <v>898</v>
      </c>
      <c r="E29" t="s">
        <v>899</v>
      </c>
      <c r="F29">
        <v>15</v>
      </c>
      <c r="H29">
        <v>1785945155.75</v>
      </c>
      <c r="I29">
        <f t="shared" si="0"/>
        <v>7.648410335374038E-4</v>
      </c>
      <c r="J29">
        <f t="shared" si="1"/>
        <v>0.76484103353740385</v>
      </c>
      <c r="K29">
        <f t="shared" si="2"/>
        <v>-2.9570808895322744</v>
      </c>
      <c r="L29">
        <f t="shared" si="3"/>
        <v>420.04839999999979</v>
      </c>
      <c r="M29">
        <f t="shared" si="4"/>
        <v>482.73253180250521</v>
      </c>
      <c r="N29">
        <f t="shared" si="5"/>
        <v>47.148577685181742</v>
      </c>
      <c r="O29">
        <f t="shared" si="6"/>
        <v>41.026206675954356</v>
      </c>
      <c r="P29">
        <f t="shared" si="7"/>
        <v>6.7406609576467727E-2</v>
      </c>
      <c r="Q29">
        <f t="shared" si="8"/>
        <v>2.8864237281318728</v>
      </c>
      <c r="R29">
        <f t="shared" si="9"/>
        <v>6.6544160453451198E-2</v>
      </c>
      <c r="S29">
        <f t="shared" si="10"/>
        <v>4.1666668484655313E-2</v>
      </c>
      <c r="T29">
        <f t="shared" si="11"/>
        <v>1.5966703903835998E-4</v>
      </c>
      <c r="U29">
        <f t="shared" si="12"/>
        <v>24.916537783586968</v>
      </c>
      <c r="V29">
        <f t="shared" si="13"/>
        <v>24.983243333333331</v>
      </c>
      <c r="W29">
        <f t="shared" si="14"/>
        <v>3.1765024235064176</v>
      </c>
      <c r="X29">
        <f t="shared" si="15"/>
        <v>65.084484530940685</v>
      </c>
      <c r="Y29">
        <f t="shared" si="16"/>
        <v>2.0841392377714549</v>
      </c>
      <c r="Z29">
        <f t="shared" si="17"/>
        <v>3.2022059524504192</v>
      </c>
      <c r="AA29">
        <f t="shared" si="18"/>
        <v>1.0923631857349627</v>
      </c>
      <c r="AB29">
        <f t="shared" si="19"/>
        <v>-33.729489578999505</v>
      </c>
      <c r="AC29">
        <f t="shared" si="20"/>
        <v>21.043529225678284</v>
      </c>
      <c r="AD29">
        <f t="shared" si="21"/>
        <v>1.5429109176843516</v>
      </c>
      <c r="AE29">
        <f t="shared" si="22"/>
        <v>-11.142889768597833</v>
      </c>
      <c r="AF29">
        <f t="shared" si="23"/>
        <v>-2.9570808895322744</v>
      </c>
      <c r="AG29">
        <f t="shared" si="24"/>
        <v>0.76484103353740385</v>
      </c>
      <c r="AH29">
        <f t="shared" si="25"/>
        <v>-3.1370388270819731</v>
      </c>
      <c r="AI29">
        <v>425.24406382819569</v>
      </c>
      <c r="AJ29">
        <v>429.11933939393953</v>
      </c>
      <c r="AK29">
        <v>-6.1460293867143913E-3</v>
      </c>
      <c r="AL29">
        <v>66.799115790989077</v>
      </c>
      <c r="AM29">
        <f t="shared" si="26"/>
        <v>0.76470099285960969</v>
      </c>
      <c r="AN29">
        <v>20.439482612976121</v>
      </c>
      <c r="AO29">
        <v>21.338132727272729</v>
      </c>
      <c r="AP29">
        <v>-9.7932045330368254E-5</v>
      </c>
      <c r="AQ29">
        <v>77.926419190320146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51914.909253160848</v>
      </c>
      <c r="AW29" t="s">
        <v>900</v>
      </c>
      <c r="AX29">
        <v>13212.6</v>
      </c>
      <c r="AY29">
        <v>666.0617647058823</v>
      </c>
      <c r="AZ29">
        <v>2408.94</v>
      </c>
      <c r="BA29">
        <f t="shared" si="30"/>
        <v>0.72350421151797795</v>
      </c>
      <c r="BB29">
        <v>-2.957080889532322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-2.9570808895322744</v>
      </c>
      <c r="BK29" t="e">
        <f t="shared" si="34"/>
        <v>#DIV/0!</v>
      </c>
      <c r="BL29">
        <f t="shared" si="35"/>
        <v>5.6544755201997057E-11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1.382161961299311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1785945155.75</v>
      </c>
      <c r="DQ29">
        <v>420.04839999999979</v>
      </c>
      <c r="DR29">
        <v>416.88546666666667</v>
      </c>
      <c r="DS29">
        <v>21.338539999999998</v>
      </c>
      <c r="DT29">
        <v>20.440326666666671</v>
      </c>
      <c r="DU29">
        <v>429.65766666666661</v>
      </c>
      <c r="DV29">
        <v>21.90068333333334</v>
      </c>
      <c r="DW29">
        <v>500.0062333333334</v>
      </c>
      <c r="DX29">
        <v>97.625299999999996</v>
      </c>
      <c r="DY29">
        <v>4.4889140000000001E-2</v>
      </c>
      <c r="DZ29">
        <v>25.118473333333331</v>
      </c>
      <c r="EA29">
        <v>24.983243333333331</v>
      </c>
      <c r="EB29">
        <v>999.9000000000002</v>
      </c>
      <c r="EC29">
        <v>0</v>
      </c>
      <c r="ED29">
        <v>0</v>
      </c>
      <c r="EE29">
        <v>9993.5</v>
      </c>
      <c r="EF29">
        <v>0</v>
      </c>
      <c r="EG29">
        <v>142.80090000000001</v>
      </c>
      <c r="EH29">
        <v>3.163101666666666</v>
      </c>
      <c r="EI29">
        <v>429.20720000000011</v>
      </c>
      <c r="EJ29">
        <v>425.58463333333327</v>
      </c>
      <c r="EK29">
        <v>0.8982087666666666</v>
      </c>
      <c r="EL29">
        <v>416.88546666666667</v>
      </c>
      <c r="EM29">
        <v>20.440326666666671</v>
      </c>
      <c r="EN29">
        <v>2.083180333333333</v>
      </c>
      <c r="EO29">
        <v>1.995493</v>
      </c>
      <c r="EP29">
        <v>18.091153333333331</v>
      </c>
      <c r="EQ29">
        <v>17.408616666666671</v>
      </c>
      <c r="ER29">
        <v>1.00021E-2</v>
      </c>
      <c r="ES29">
        <v>0</v>
      </c>
      <c r="ET29">
        <v>0</v>
      </c>
      <c r="EU29">
        <v>0</v>
      </c>
      <c r="EV29">
        <v>666.27</v>
      </c>
      <c r="EW29">
        <v>1.00021E-2</v>
      </c>
      <c r="EX29">
        <v>1015.348333333333</v>
      </c>
      <c r="EY29">
        <v>0.60999999999999988</v>
      </c>
      <c r="EZ29">
        <v>34.162199999999999</v>
      </c>
      <c r="FA29">
        <v>38.162266666666667</v>
      </c>
      <c r="FB29">
        <v>36.412333333333329</v>
      </c>
      <c r="FC29">
        <v>38.020599999999988</v>
      </c>
      <c r="FD29">
        <v>36.553999999999988</v>
      </c>
      <c r="FE29">
        <v>0</v>
      </c>
      <c r="FF29">
        <v>0</v>
      </c>
      <c r="FG29">
        <v>0</v>
      </c>
      <c r="FH29">
        <v>180.79999995231631</v>
      </c>
      <c r="FI29">
        <v>0</v>
      </c>
      <c r="FJ29">
        <v>666.0617647058823</v>
      </c>
      <c r="FK29">
        <v>-44.534313678757698</v>
      </c>
      <c r="FL29">
        <v>-0.34313714406308149</v>
      </c>
      <c r="FM29">
        <v>1013.167647058823</v>
      </c>
      <c r="FN29">
        <v>10</v>
      </c>
      <c r="FO29">
        <v>1785945105.5</v>
      </c>
      <c r="FP29" t="s">
        <v>901</v>
      </c>
      <c r="FQ29">
        <v>1785945098.5</v>
      </c>
      <c r="FR29">
        <v>1785945105.5</v>
      </c>
      <c r="FS29">
        <v>17</v>
      </c>
      <c r="FT29">
        <v>-1.2E-2</v>
      </c>
      <c r="FU29">
        <v>5.0000000000000001E-3</v>
      </c>
      <c r="FV29">
        <v>-9.5990000000000002</v>
      </c>
      <c r="FW29">
        <v>-0.58699999999999997</v>
      </c>
      <c r="FX29">
        <v>417</v>
      </c>
      <c r="FY29">
        <v>20</v>
      </c>
      <c r="FZ29">
        <v>1.51</v>
      </c>
      <c r="GA29">
        <v>0.28999999999999998</v>
      </c>
      <c r="GB29">
        <v>420.05119354838712</v>
      </c>
      <c r="GC29">
        <v>-0.4168548387102472</v>
      </c>
      <c r="GD29">
        <v>6.8314934538191097E-2</v>
      </c>
      <c r="GE29">
        <v>-1</v>
      </c>
      <c r="GF29">
        <v>666.61617647058824</v>
      </c>
      <c r="GG29">
        <v>-6.0527120209725807</v>
      </c>
      <c r="GH29">
        <v>3.5621936522200599</v>
      </c>
      <c r="GI29">
        <v>1</v>
      </c>
      <c r="GJ29">
        <v>0.90004895121951234</v>
      </c>
      <c r="GK29">
        <v>-2.828701045296135E-2</v>
      </c>
      <c r="GL29">
        <v>3.9604425839841551E-3</v>
      </c>
      <c r="GM29">
        <v>1</v>
      </c>
      <c r="GN29">
        <v>2</v>
      </c>
      <c r="GO29">
        <v>2</v>
      </c>
      <c r="GP29" t="s">
        <v>411</v>
      </c>
      <c r="GQ29">
        <v>3.1310600000000002</v>
      </c>
      <c r="GR29">
        <v>2.7212499999999999</v>
      </c>
      <c r="GS29">
        <v>9.2770900000000003E-2</v>
      </c>
      <c r="GT29">
        <v>9.1412900000000005E-2</v>
      </c>
      <c r="GU29">
        <v>0.105597</v>
      </c>
      <c r="GV29">
        <v>0.100941</v>
      </c>
      <c r="GW29">
        <v>22869.5</v>
      </c>
      <c r="GX29">
        <v>30532.6</v>
      </c>
      <c r="GY29">
        <v>27327.4</v>
      </c>
      <c r="GZ29">
        <v>34530.199999999997</v>
      </c>
      <c r="HA29">
        <v>35760.9</v>
      </c>
      <c r="HB29">
        <v>39122.800000000003</v>
      </c>
      <c r="HC29">
        <v>40328.300000000003</v>
      </c>
      <c r="HD29">
        <v>43602.6</v>
      </c>
      <c r="HE29">
        <v>1.9998</v>
      </c>
      <c r="HF29">
        <v>1.2756000000000001</v>
      </c>
      <c r="HG29">
        <v>-1.5795199999999999E-2</v>
      </c>
      <c r="HH29">
        <v>0</v>
      </c>
      <c r="HI29">
        <v>25.252199999999998</v>
      </c>
      <c r="HJ29">
        <v>999.9</v>
      </c>
      <c r="HK29">
        <v>59</v>
      </c>
      <c r="HL29">
        <v>34.1</v>
      </c>
      <c r="HM29">
        <v>32.468200000000003</v>
      </c>
      <c r="HN29">
        <v>60.41</v>
      </c>
      <c r="HO29">
        <v>14.238799999999999</v>
      </c>
      <c r="HP29">
        <v>1</v>
      </c>
      <c r="HQ29">
        <v>0.22239800000000001</v>
      </c>
      <c r="HR29">
        <v>1.86754</v>
      </c>
      <c r="HS29">
        <v>20.245899999999999</v>
      </c>
      <c r="HT29">
        <v>5.2112999999999996</v>
      </c>
      <c r="HU29">
        <v>11.902100000000001</v>
      </c>
      <c r="HV29">
        <v>4.9855999999999998</v>
      </c>
      <c r="HW29">
        <v>3.2706</v>
      </c>
      <c r="HX29">
        <v>9999</v>
      </c>
      <c r="HY29">
        <v>9999</v>
      </c>
      <c r="HZ29">
        <v>9999</v>
      </c>
      <c r="IA29">
        <v>999.9</v>
      </c>
      <c r="IB29">
        <v>1.8674599999999999</v>
      </c>
      <c r="IC29">
        <v>1.8631</v>
      </c>
      <c r="ID29">
        <v>1.8626400000000001</v>
      </c>
      <c r="IE29">
        <v>1.86209</v>
      </c>
      <c r="IF29">
        <v>1.86215</v>
      </c>
      <c r="IG29">
        <v>1.8627</v>
      </c>
      <c r="IH29">
        <v>1.86368</v>
      </c>
      <c r="II29">
        <v>1.8615699999999999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-9.609</v>
      </c>
      <c r="IX29">
        <v>-0.56230000000000002</v>
      </c>
      <c r="IY29">
        <v>-7.6076913890568703</v>
      </c>
      <c r="IZ29">
        <v>-5.6215304933332991E-3</v>
      </c>
      <c r="JA29">
        <v>2.3979931213773931E-6</v>
      </c>
      <c r="JB29">
        <v>-3.6297174575716598E-10</v>
      </c>
      <c r="JC29">
        <v>-0.89754320523761266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1.1000000000000001</v>
      </c>
      <c r="JL29">
        <v>1</v>
      </c>
      <c r="JM29">
        <v>0.865479</v>
      </c>
      <c r="JN29">
        <v>2.50732</v>
      </c>
      <c r="JO29">
        <v>1.50024</v>
      </c>
      <c r="JP29">
        <v>2.2766099999999998</v>
      </c>
      <c r="JQ29">
        <v>1.4477500000000001</v>
      </c>
      <c r="JR29">
        <v>2.2021500000000001</v>
      </c>
      <c r="JS29">
        <v>39.692</v>
      </c>
      <c r="JT29">
        <v>23.9299</v>
      </c>
      <c r="JU29">
        <v>18</v>
      </c>
      <c r="JV29">
        <v>534.93399999999997</v>
      </c>
      <c r="JW29">
        <v>186.05</v>
      </c>
      <c r="JX29">
        <v>23.564299999999999</v>
      </c>
      <c r="JY29">
        <v>30.080400000000001</v>
      </c>
      <c r="JZ29">
        <v>29.999700000000001</v>
      </c>
      <c r="KA29">
        <v>30.1631</v>
      </c>
      <c r="KB29">
        <v>30.211600000000001</v>
      </c>
      <c r="KC29">
        <v>17.3156</v>
      </c>
      <c r="KD29">
        <v>51.959000000000003</v>
      </c>
      <c r="KE29">
        <v>0</v>
      </c>
      <c r="KF29">
        <v>23.5624</v>
      </c>
      <c r="KG29">
        <v>416.94400000000002</v>
      </c>
      <c r="KH29">
        <v>20.414200000000001</v>
      </c>
      <c r="KI29">
        <v>100.81699999999999</v>
      </c>
      <c r="KJ29">
        <v>98.307599999999994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8-06-Plt27-R3-M3-H1-P2_Dent</vt:lpstr>
      <vt:lpstr>8-06-Plt24-M3-H3-P1-dent</vt:lpstr>
      <vt:lpstr>2026-08-06-1015_Plt23-R3-M3-H2-</vt:lpstr>
      <vt:lpstr>8-06-Plt19-R3_M1_H1_P2_Dent</vt:lpstr>
      <vt:lpstr>8-05-Plt17-R2-M1-H1-P4-Dent</vt:lpstr>
      <vt:lpstr>8-05-Plt16-R2-M1-H2-P08-Dent</vt:lpstr>
      <vt:lpstr>8-05-Plt15-R2-M2-P5-Dent</vt:lpstr>
      <vt:lpstr>8-05-Plt10-R2-M3-P11-Dent</vt:lpstr>
      <vt:lpstr>8-04-Plt8-R1-M2-H3-P02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Mishra</dc:creator>
  <cp:lastModifiedBy>Rajendra Mishra</cp:lastModifiedBy>
  <dcterms:created xsi:type="dcterms:W3CDTF">2015-06-05T18:17:20Z</dcterms:created>
  <dcterms:modified xsi:type="dcterms:W3CDTF">2026-08-11T16:27:33Z</dcterms:modified>
</cp:coreProperties>
</file>