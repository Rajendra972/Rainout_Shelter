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jen\OneDrive\Desktop\Arranged_Dataset\Draft Manual\REvised\"/>
    </mc:Choice>
  </mc:AlternateContent>
  <xr:revisionPtr revIDLastSave="0" documentId="13_ncr:1_{629DB479-A3A4-46B9-916A-FDE0DCAEB8C4}" xr6:coauthVersionLast="47" xr6:coauthVersionMax="47" xr10:uidLastSave="{00000000-0000-0000-0000-000000000000}"/>
  <bookViews>
    <workbookView xWindow="28680" yWindow="-120" windowWidth="29040" windowHeight="15720" firstSheet="5" activeTab="8" xr2:uid="{00000000-000D-0000-FFFF-FFFF00000000}"/>
  </bookViews>
  <sheets>
    <sheet name="7_20_Plt17_R2_M1_H1_P4_Blister" sheetId="1" r:id="rId1"/>
    <sheet name="7_20_Plt10_R2_M3_H3_P10_Blister" sheetId="2" r:id="rId2"/>
    <sheet name="7_20_Plt1_R1_M2_H3_P11_Blister" sheetId="3" r:id="rId3"/>
    <sheet name="7_19_Plt6_R1_M1_H2_P8_Blister" sheetId="4" r:id="rId4"/>
    <sheet name="7_19_Plt8_R1_M2_H3_P2_Blister" sheetId="5" r:id="rId5"/>
    <sheet name="7_19_Plt7_R1_m2_H1_P9_Blister" sheetId="6" r:id="rId6"/>
    <sheet name="7_21_Plt15_R2_M2_H1_P5_Blister" sheetId="7" r:id="rId7"/>
    <sheet name="7_21_Plt16_R2_M1_H2_P8_Blister" sheetId="8" r:id="rId8"/>
    <sheet name="Check" sheetId="9" r:id="rId9"/>
    <sheet name="7_22_Plt27_R3_M3_H1_P02_Blister" sheetId="10" r:id="rId10"/>
    <sheet name="7_22_Plt24_R3_M3_H3_P1_Blister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J29" i="11" l="1"/>
  <c r="DI29" i="11"/>
  <c r="DG29" i="11"/>
  <c r="DH29" i="11" s="1"/>
  <c r="BV29" i="11"/>
  <c r="BU29" i="11"/>
  <c r="BM29" i="11"/>
  <c r="BJ29" i="11"/>
  <c r="BL29" i="11" s="1"/>
  <c r="BI29" i="11"/>
  <c r="BG29" i="11"/>
  <c r="BK29" i="11" s="1"/>
  <c r="BA29" i="11"/>
  <c r="BN29" i="11" s="1"/>
  <c r="BQ29" i="11" s="1"/>
  <c r="AV29" i="11"/>
  <c r="AT29" i="11"/>
  <c r="AU29" i="11" s="1"/>
  <c r="AM29" i="11"/>
  <c r="AH29" i="11"/>
  <c r="AG29" i="11"/>
  <c r="AF29" i="11"/>
  <c r="AB29" i="11"/>
  <c r="Z29" i="11"/>
  <c r="Y29" i="11"/>
  <c r="X29" i="11"/>
  <c r="T29" i="11"/>
  <c r="Q29" i="11"/>
  <c r="O29" i="11"/>
  <c r="L29" i="11"/>
  <c r="K29" i="11"/>
  <c r="J29" i="11"/>
  <c r="I29" i="11"/>
  <c r="DJ28" i="11"/>
  <c r="DI28" i="11"/>
  <c r="DG28" i="11"/>
  <c r="DH28" i="11" s="1"/>
  <c r="BI28" i="11" s="1"/>
  <c r="BV28" i="11"/>
  <c r="BU28" i="11"/>
  <c r="BT28" i="11"/>
  <c r="BM28" i="11"/>
  <c r="BG28" i="11"/>
  <c r="BA28" i="11"/>
  <c r="BN28" i="11" s="1"/>
  <c r="BQ28" i="11" s="1"/>
  <c r="BR28" i="11" s="1"/>
  <c r="AV28" i="11"/>
  <c r="AT28" i="11" s="1"/>
  <c r="AU28" i="11"/>
  <c r="AM28" i="11"/>
  <c r="AH28" i="11"/>
  <c r="Z28" i="11"/>
  <c r="Y28" i="11"/>
  <c r="X28" i="11"/>
  <c r="T28" i="11"/>
  <c r="Q28" i="11"/>
  <c r="O28" i="11"/>
  <c r="L28" i="11"/>
  <c r="DJ27" i="11"/>
  <c r="DI27" i="11"/>
  <c r="DG27" i="11"/>
  <c r="DH27" i="11" s="1"/>
  <c r="BV27" i="11"/>
  <c r="BU27" i="11"/>
  <c r="BM27" i="11"/>
  <c r="BJ27" i="11"/>
  <c r="BL27" i="11" s="1"/>
  <c r="BI27" i="11"/>
  <c r="BG27" i="11"/>
  <c r="BK27" i="11" s="1"/>
  <c r="BA27" i="11"/>
  <c r="BN27" i="11" s="1"/>
  <c r="BQ27" i="11" s="1"/>
  <c r="AV27" i="11"/>
  <c r="AT27" i="11"/>
  <c r="AU27" i="11" s="1"/>
  <c r="AM27" i="11"/>
  <c r="AH27" i="11"/>
  <c r="AG27" i="11"/>
  <c r="AF27" i="11"/>
  <c r="Z27" i="11"/>
  <c r="Y27" i="11"/>
  <c r="X27" i="11"/>
  <c r="T27" i="11"/>
  <c r="Q27" i="11"/>
  <c r="O27" i="11"/>
  <c r="L27" i="11"/>
  <c r="K27" i="11"/>
  <c r="J27" i="11"/>
  <c r="I27" i="11" s="1"/>
  <c r="DJ26" i="11"/>
  <c r="DI26" i="11"/>
  <c r="DG26" i="11"/>
  <c r="DH26" i="11" s="1"/>
  <c r="BI26" i="11" s="1"/>
  <c r="BV26" i="11"/>
  <c r="BU26" i="11"/>
  <c r="BT26" i="11"/>
  <c r="BS26" i="11"/>
  <c r="BW26" i="11" s="1"/>
  <c r="BX26" i="11" s="1"/>
  <c r="BM26" i="11"/>
  <c r="BG26" i="11"/>
  <c r="BA26" i="11"/>
  <c r="BN26" i="11" s="1"/>
  <c r="BQ26" i="11" s="1"/>
  <c r="BR26" i="11" s="1"/>
  <c r="AV26" i="11"/>
  <c r="AT26" i="11"/>
  <c r="L26" i="11" s="1"/>
  <c r="AM26" i="11"/>
  <c r="AH26" i="11"/>
  <c r="Z26" i="11"/>
  <c r="Y26" i="11"/>
  <c r="X26" i="11"/>
  <c r="T26" i="11"/>
  <c r="Q26" i="11"/>
  <c r="O26" i="11"/>
  <c r="DJ25" i="11"/>
  <c r="DI25" i="11"/>
  <c r="DG25" i="11"/>
  <c r="DH25" i="11" s="1"/>
  <c r="BV25" i="11"/>
  <c r="BU25" i="11"/>
  <c r="BM25" i="11"/>
  <c r="BJ25" i="11"/>
  <c r="BL25" i="11" s="1"/>
  <c r="BI25" i="11"/>
  <c r="BG25" i="11"/>
  <c r="BK25" i="11" s="1"/>
  <c r="BA25" i="11"/>
  <c r="BN25" i="11" s="1"/>
  <c r="BQ25" i="11" s="1"/>
  <c r="AV25" i="11"/>
  <c r="AT25" i="11"/>
  <c r="AU25" i="11" s="1"/>
  <c r="AM25" i="11"/>
  <c r="AH25" i="11"/>
  <c r="AG25" i="11"/>
  <c r="AF25" i="11"/>
  <c r="Z25" i="11"/>
  <c r="Y25" i="11"/>
  <c r="X25" i="11"/>
  <c r="T25" i="11"/>
  <c r="Q25" i="11"/>
  <c r="O25" i="11"/>
  <c r="L25" i="11"/>
  <c r="K25" i="11"/>
  <c r="J25" i="11"/>
  <c r="I25" i="11"/>
  <c r="DJ24" i="11"/>
  <c r="DI24" i="11"/>
  <c r="DG24" i="11"/>
  <c r="DH24" i="11" s="1"/>
  <c r="BI24" i="11" s="1"/>
  <c r="BV24" i="11"/>
  <c r="BU24" i="11"/>
  <c r="BT24" i="11"/>
  <c r="BM24" i="11"/>
  <c r="BG24" i="11"/>
  <c r="BA24" i="11"/>
  <c r="BN24" i="11" s="1"/>
  <c r="BQ24" i="11" s="1"/>
  <c r="BR24" i="11" s="1"/>
  <c r="AV24" i="11"/>
  <c r="AT24" i="11"/>
  <c r="L24" i="11" s="1"/>
  <c r="AM24" i="11"/>
  <c r="AH24" i="11"/>
  <c r="Z24" i="11"/>
  <c r="Y24" i="11"/>
  <c r="X24" i="11"/>
  <c r="T24" i="11"/>
  <c r="Q24" i="11"/>
  <c r="O24" i="11"/>
  <c r="DJ23" i="11"/>
  <c r="DI23" i="11"/>
  <c r="DG23" i="11"/>
  <c r="DH23" i="11" s="1"/>
  <c r="BV23" i="11"/>
  <c r="BU23" i="11"/>
  <c r="BM23" i="11"/>
  <c r="BJ23" i="11"/>
  <c r="BL23" i="11" s="1"/>
  <c r="BI23" i="11"/>
  <c r="BG23" i="11"/>
  <c r="BK23" i="11" s="1"/>
  <c r="BA23" i="11"/>
  <c r="BN23" i="11" s="1"/>
  <c r="BQ23" i="11" s="1"/>
  <c r="AV23" i="11"/>
  <c r="AT23" i="11"/>
  <c r="AU23" i="11" s="1"/>
  <c r="AM23" i="11"/>
  <c r="AH23" i="11"/>
  <c r="AG23" i="11"/>
  <c r="AF23" i="11"/>
  <c r="AB23" i="11"/>
  <c r="Z23" i="11"/>
  <c r="Y23" i="11"/>
  <c r="X23" i="11"/>
  <c r="T23" i="11"/>
  <c r="Q23" i="11"/>
  <c r="O23" i="11"/>
  <c r="L23" i="11"/>
  <c r="K23" i="11"/>
  <c r="J23" i="11"/>
  <c r="I23" i="11"/>
  <c r="DJ22" i="11"/>
  <c r="DI22" i="11"/>
  <c r="DG22" i="11"/>
  <c r="DH22" i="11" s="1"/>
  <c r="BI22" i="11" s="1"/>
  <c r="BV22" i="11"/>
  <c r="BU22" i="11"/>
  <c r="BM22" i="11"/>
  <c r="BG22" i="11"/>
  <c r="BK22" i="11" s="1"/>
  <c r="BA22" i="11"/>
  <c r="BN22" i="11" s="1"/>
  <c r="BQ22" i="11" s="1"/>
  <c r="AV22" i="11"/>
  <c r="AT22" i="11"/>
  <c r="L22" i="11" s="1"/>
  <c r="AM22" i="11"/>
  <c r="AH22" i="11"/>
  <c r="Z22" i="11"/>
  <c r="Y22" i="11"/>
  <c r="X22" i="11"/>
  <c r="T22" i="11"/>
  <c r="Q22" i="11"/>
  <c r="O22" i="11"/>
  <c r="DJ21" i="11"/>
  <c r="DI21" i="11"/>
  <c r="DG21" i="11"/>
  <c r="DH21" i="11" s="1"/>
  <c r="BV21" i="11"/>
  <c r="BU21" i="11"/>
  <c r="BM21" i="11"/>
  <c r="BJ21" i="11"/>
  <c r="BL21" i="11" s="1"/>
  <c r="BI21" i="11"/>
  <c r="BG21" i="11"/>
  <c r="BK21" i="11" s="1"/>
  <c r="BA21" i="11"/>
  <c r="BN21" i="11" s="1"/>
  <c r="BQ21" i="11" s="1"/>
  <c r="AV21" i="11"/>
  <c r="AT21" i="11"/>
  <c r="AU21" i="11" s="1"/>
  <c r="AM21" i="11"/>
  <c r="AH21" i="11"/>
  <c r="AG21" i="11"/>
  <c r="AF21" i="11"/>
  <c r="Z21" i="11"/>
  <c r="Y21" i="11"/>
  <c r="X21" i="11"/>
  <c r="T21" i="11"/>
  <c r="Q21" i="11"/>
  <c r="O21" i="11"/>
  <c r="L21" i="11"/>
  <c r="K21" i="11"/>
  <c r="J21" i="11"/>
  <c r="I21" i="11"/>
  <c r="DJ20" i="11"/>
  <c r="DI20" i="11"/>
  <c r="DG20" i="11"/>
  <c r="DH20" i="11" s="1"/>
  <c r="BI20" i="11" s="1"/>
  <c r="BV20" i="11"/>
  <c r="BU20" i="11"/>
  <c r="BT20" i="11"/>
  <c r="BM20" i="11"/>
  <c r="BG20" i="11"/>
  <c r="BA20" i="11"/>
  <c r="BN20" i="11" s="1"/>
  <c r="BQ20" i="11" s="1"/>
  <c r="BR20" i="11" s="1"/>
  <c r="AV20" i="11"/>
  <c r="AT20" i="11"/>
  <c r="O20" i="11" s="1"/>
  <c r="AM20" i="11"/>
  <c r="AH20" i="11"/>
  <c r="Z20" i="11"/>
  <c r="Y20" i="11"/>
  <c r="X20" i="11"/>
  <c r="T20" i="11"/>
  <c r="Q20" i="11"/>
  <c r="DJ19" i="11"/>
  <c r="DI19" i="11"/>
  <c r="DG19" i="11"/>
  <c r="DH19" i="11" s="1"/>
  <c r="BV19" i="11"/>
  <c r="BU19" i="11"/>
  <c r="BM19" i="11"/>
  <c r="BJ19" i="11"/>
  <c r="BL19" i="11" s="1"/>
  <c r="BI19" i="11"/>
  <c r="BG19" i="11"/>
  <c r="BK19" i="11" s="1"/>
  <c r="BA19" i="11"/>
  <c r="BN19" i="11" s="1"/>
  <c r="BQ19" i="11" s="1"/>
  <c r="AV19" i="11"/>
  <c r="AT19" i="11"/>
  <c r="AU19" i="11" s="1"/>
  <c r="AM19" i="11"/>
  <c r="AH19" i="11"/>
  <c r="AG19" i="11"/>
  <c r="AF19" i="11"/>
  <c r="AB19" i="11"/>
  <c r="Z19" i="11"/>
  <c r="Y19" i="11"/>
  <c r="X19" i="11"/>
  <c r="T19" i="11"/>
  <c r="Q19" i="11"/>
  <c r="O19" i="11"/>
  <c r="L19" i="11"/>
  <c r="K19" i="11"/>
  <c r="J19" i="11"/>
  <c r="I19" i="11"/>
  <c r="DJ18" i="11"/>
  <c r="DI18" i="11"/>
  <c r="DG18" i="11"/>
  <c r="DH18" i="11" s="1"/>
  <c r="BV18" i="11"/>
  <c r="BU18" i="11"/>
  <c r="BM18" i="11"/>
  <c r="BI18" i="11"/>
  <c r="BG18" i="11"/>
  <c r="BK18" i="11" s="1"/>
  <c r="BA18" i="11"/>
  <c r="BN18" i="11" s="1"/>
  <c r="BQ18" i="11" s="1"/>
  <c r="BR18" i="11" s="1"/>
  <c r="AV18" i="11"/>
  <c r="AT18" i="11" s="1"/>
  <c r="AM18" i="11"/>
  <c r="AH18" i="11"/>
  <c r="Z18" i="11"/>
  <c r="Y18" i="11"/>
  <c r="X18" i="11"/>
  <c r="T18" i="11"/>
  <c r="Q18" i="11"/>
  <c r="DJ17" i="11"/>
  <c r="DI17" i="11"/>
  <c r="DG17" i="11"/>
  <c r="DH17" i="11" s="1"/>
  <c r="BV17" i="11"/>
  <c r="BU17" i="11"/>
  <c r="BN17" i="11"/>
  <c r="BQ17" i="11" s="1"/>
  <c r="BM17" i="11"/>
  <c r="BJ17" i="11"/>
  <c r="BL17" i="11" s="1"/>
  <c r="BI17" i="11"/>
  <c r="BK17" i="11" s="1"/>
  <c r="BG17" i="11"/>
  <c r="BA17" i="11"/>
  <c r="AV17" i="11"/>
  <c r="AT17" i="11"/>
  <c r="AU17" i="11" s="1"/>
  <c r="AM17" i="11"/>
  <c r="AH17" i="11"/>
  <c r="AG17" i="11"/>
  <c r="AF17" i="11"/>
  <c r="AB17" i="11"/>
  <c r="Z17" i="11"/>
  <c r="Y17" i="11"/>
  <c r="X17" i="11"/>
  <c r="T17" i="11"/>
  <c r="Q17" i="11"/>
  <c r="O17" i="11"/>
  <c r="L17" i="11"/>
  <c r="K17" i="11"/>
  <c r="J17" i="11"/>
  <c r="I17" i="11"/>
  <c r="DJ29" i="10"/>
  <c r="DI29" i="10"/>
  <c r="DG29" i="10"/>
  <c r="DH29" i="10" s="1"/>
  <c r="BI29" i="10" s="1"/>
  <c r="BV29" i="10"/>
  <c r="BU29" i="10"/>
  <c r="BT29" i="10"/>
  <c r="BS29" i="10"/>
  <c r="BW29" i="10" s="1"/>
  <c r="BX29" i="10" s="1"/>
  <c r="BR29" i="10"/>
  <c r="BM29" i="10"/>
  <c r="BG29" i="10"/>
  <c r="BA29" i="10"/>
  <c r="BN29" i="10" s="1"/>
  <c r="BQ29" i="10" s="1"/>
  <c r="AV29" i="10"/>
  <c r="AT29" i="10"/>
  <c r="AU29" i="10" s="1"/>
  <c r="AM29" i="10"/>
  <c r="AH29" i="10"/>
  <c r="AG29" i="10"/>
  <c r="AF29" i="10"/>
  <c r="Z29" i="10"/>
  <c r="Y29" i="10"/>
  <c r="X29" i="10"/>
  <c r="T29" i="10"/>
  <c r="Q29" i="10"/>
  <c r="O29" i="10"/>
  <c r="L29" i="10"/>
  <c r="K29" i="10"/>
  <c r="BJ29" i="10" s="1"/>
  <c r="BL29" i="10" s="1"/>
  <c r="J29" i="10"/>
  <c r="I29" i="10"/>
  <c r="DJ28" i="10"/>
  <c r="DI28" i="10"/>
  <c r="DG28" i="10"/>
  <c r="DH28" i="10" s="1"/>
  <c r="BI28" i="10" s="1"/>
  <c r="BK28" i="10" s="1"/>
  <c r="BV28" i="10"/>
  <c r="BU28" i="10"/>
  <c r="BT28" i="10"/>
  <c r="BS28" i="10"/>
  <c r="BW28" i="10" s="1"/>
  <c r="BX28" i="10" s="1"/>
  <c r="BM28" i="10"/>
  <c r="BJ28" i="10"/>
  <c r="BG28" i="10"/>
  <c r="BA28" i="10"/>
  <c r="BN28" i="10" s="1"/>
  <c r="BQ28" i="10" s="1"/>
  <c r="BR28" i="10" s="1"/>
  <c r="AV28" i="10"/>
  <c r="AT28" i="10" s="1"/>
  <c r="AM28" i="10"/>
  <c r="AH28" i="10"/>
  <c r="AF28" i="10"/>
  <c r="K28" i="10" s="1"/>
  <c r="Z28" i="10"/>
  <c r="Y28" i="10"/>
  <c r="X28" i="10"/>
  <c r="T28" i="10"/>
  <c r="Q28" i="10"/>
  <c r="DJ27" i="10"/>
  <c r="DI27" i="10"/>
  <c r="DG27" i="10"/>
  <c r="BV27" i="10"/>
  <c r="BU27" i="10"/>
  <c r="BM27" i="10"/>
  <c r="BG27" i="10"/>
  <c r="BA27" i="10"/>
  <c r="BN27" i="10" s="1"/>
  <c r="BQ27" i="10" s="1"/>
  <c r="AV27" i="10"/>
  <c r="AT27" i="10"/>
  <c r="AU27" i="10" s="1"/>
  <c r="AM27" i="10"/>
  <c r="AH27" i="10"/>
  <c r="AG27" i="10"/>
  <c r="J27" i="10" s="1"/>
  <c r="I27" i="10" s="1"/>
  <c r="AB27" i="10" s="1"/>
  <c r="AF27" i="10"/>
  <c r="K27" i="10" s="1"/>
  <c r="BJ27" i="10" s="1"/>
  <c r="Z27" i="10"/>
  <c r="Y27" i="10"/>
  <c r="X27" i="10"/>
  <c r="Q27" i="10"/>
  <c r="O27" i="10"/>
  <c r="L27" i="10"/>
  <c r="DJ26" i="10"/>
  <c r="T26" i="10" s="1"/>
  <c r="DI26" i="10"/>
  <c r="DG26" i="10"/>
  <c r="DH26" i="10" s="1"/>
  <c r="BI26" i="10" s="1"/>
  <c r="BV26" i="10"/>
  <c r="BU26" i="10"/>
  <c r="BM26" i="10"/>
  <c r="BG26" i="10"/>
  <c r="BK26" i="10" s="1"/>
  <c r="BA26" i="10"/>
  <c r="BN26" i="10" s="1"/>
  <c r="BQ26" i="10" s="1"/>
  <c r="AV26" i="10"/>
  <c r="AT26" i="10" s="1"/>
  <c r="AM26" i="10"/>
  <c r="AH26" i="10"/>
  <c r="Z26" i="10"/>
  <c r="Y26" i="10"/>
  <c r="X26" i="10"/>
  <c r="Q26" i="10"/>
  <c r="DJ25" i="10"/>
  <c r="DI25" i="10"/>
  <c r="DG25" i="10"/>
  <c r="DH25" i="10" s="1"/>
  <c r="BV25" i="10"/>
  <c r="BU25" i="10"/>
  <c r="BT25" i="10"/>
  <c r="BS25" i="10"/>
  <c r="BW25" i="10" s="1"/>
  <c r="BX25" i="10" s="1"/>
  <c r="BR25" i="10"/>
  <c r="BM25" i="10"/>
  <c r="BI25" i="10"/>
  <c r="BG25" i="10"/>
  <c r="BK25" i="10" s="1"/>
  <c r="BA25" i="10"/>
  <c r="BN25" i="10" s="1"/>
  <c r="BQ25" i="10" s="1"/>
  <c r="AV25" i="10"/>
  <c r="AT25" i="10"/>
  <c r="AU25" i="10" s="1"/>
  <c r="AM25" i="10"/>
  <c r="AH25" i="10"/>
  <c r="AG25" i="10"/>
  <c r="J25" i="10" s="1"/>
  <c r="I25" i="10" s="1"/>
  <c r="AF25" i="10"/>
  <c r="K25" i="10" s="1"/>
  <c r="BJ25" i="10" s="1"/>
  <c r="BL25" i="10" s="1"/>
  <c r="Z25" i="10"/>
  <c r="Y25" i="10"/>
  <c r="X25" i="10"/>
  <c r="Q25" i="10"/>
  <c r="O25" i="10"/>
  <c r="L25" i="10"/>
  <c r="DJ24" i="10"/>
  <c r="DI24" i="10"/>
  <c r="DG24" i="10"/>
  <c r="DH24" i="10" s="1"/>
  <c r="BI24" i="10" s="1"/>
  <c r="BL24" i="10" s="1"/>
  <c r="BV24" i="10"/>
  <c r="BU24" i="10"/>
  <c r="BT24" i="10"/>
  <c r="BS24" i="10"/>
  <c r="BW24" i="10" s="1"/>
  <c r="BX24" i="10" s="1"/>
  <c r="BM24" i="10"/>
  <c r="BG24" i="10"/>
  <c r="BA24" i="10"/>
  <c r="BN24" i="10" s="1"/>
  <c r="BQ24" i="10" s="1"/>
  <c r="BR24" i="10" s="1"/>
  <c r="AV24" i="10"/>
  <c r="AT24" i="10" s="1"/>
  <c r="AM24" i="10"/>
  <c r="AH24" i="10"/>
  <c r="AF24" i="10"/>
  <c r="K24" i="10" s="1"/>
  <c r="BJ24" i="10" s="1"/>
  <c r="Z24" i="10"/>
  <c r="Y24" i="10"/>
  <c r="X24" i="10"/>
  <c r="T24" i="10"/>
  <c r="Q24" i="10"/>
  <c r="DJ23" i="10"/>
  <c r="DI23" i="10"/>
  <c r="DG23" i="10"/>
  <c r="DH23" i="10" s="1"/>
  <c r="BW23" i="10"/>
  <c r="BX23" i="10" s="1"/>
  <c r="BV23" i="10"/>
  <c r="BU23" i="10"/>
  <c r="BT23" i="10"/>
  <c r="BS23" i="10"/>
  <c r="BR23" i="10"/>
  <c r="BM23" i="10"/>
  <c r="BJ23" i="10"/>
  <c r="BI23" i="10"/>
  <c r="BG23" i="10"/>
  <c r="BK23" i="10" s="1"/>
  <c r="BA23" i="10"/>
  <c r="BN23" i="10" s="1"/>
  <c r="BQ23" i="10" s="1"/>
  <c r="AV23" i="10"/>
  <c r="AT23" i="10"/>
  <c r="AU23" i="10" s="1"/>
  <c r="AM23" i="10"/>
  <c r="AH23" i="10"/>
  <c r="AG23" i="10"/>
  <c r="AF23" i="10"/>
  <c r="K23" i="10" s="1"/>
  <c r="AB23" i="10"/>
  <c r="Z23" i="10"/>
  <c r="Y23" i="10"/>
  <c r="X23" i="10"/>
  <c r="T23" i="10"/>
  <c r="Q23" i="10"/>
  <c r="O23" i="10"/>
  <c r="L23" i="10"/>
  <c r="J23" i="10"/>
  <c r="I23" i="10"/>
  <c r="DJ22" i="10"/>
  <c r="DI22" i="10"/>
  <c r="DG22" i="10"/>
  <c r="DH22" i="10" s="1"/>
  <c r="BW22" i="10"/>
  <c r="BX22" i="10" s="1"/>
  <c r="BV22" i="10"/>
  <c r="BU22" i="10"/>
  <c r="BT22" i="10"/>
  <c r="BS22" i="10"/>
  <c r="BM22" i="10"/>
  <c r="BJ22" i="10"/>
  <c r="BI22" i="10"/>
  <c r="BK22" i="10" s="1"/>
  <c r="BG22" i="10"/>
  <c r="BA22" i="10"/>
  <c r="BN22" i="10" s="1"/>
  <c r="BQ22" i="10" s="1"/>
  <c r="BR22" i="10" s="1"/>
  <c r="AV22" i="10"/>
  <c r="AT22" i="10" s="1"/>
  <c r="AM22" i="10"/>
  <c r="AH22" i="10"/>
  <c r="AG22" i="10"/>
  <c r="J22" i="10" s="1"/>
  <c r="I22" i="10" s="1"/>
  <c r="AB22" i="10" s="1"/>
  <c r="AF22" i="10"/>
  <c r="K22" i="10" s="1"/>
  <c r="Z22" i="10"/>
  <c r="Y22" i="10"/>
  <c r="X22" i="10"/>
  <c r="T22" i="10"/>
  <c r="Q22" i="10"/>
  <c r="DJ21" i="10"/>
  <c r="DI21" i="10"/>
  <c r="DG21" i="10"/>
  <c r="DH21" i="10" s="1"/>
  <c r="BW21" i="10"/>
  <c r="BX21" i="10" s="1"/>
  <c r="BV21" i="10"/>
  <c r="BU21" i="10"/>
  <c r="BT21" i="10"/>
  <c r="BS21" i="10"/>
  <c r="BR21" i="10"/>
  <c r="BM21" i="10"/>
  <c r="BJ21" i="10"/>
  <c r="BI21" i="10"/>
  <c r="BG21" i="10"/>
  <c r="BK21" i="10" s="1"/>
  <c r="BA21" i="10"/>
  <c r="BN21" i="10" s="1"/>
  <c r="BQ21" i="10" s="1"/>
  <c r="AV21" i="10"/>
  <c r="AT21" i="10"/>
  <c r="AU21" i="10" s="1"/>
  <c r="AM21" i="10"/>
  <c r="AH21" i="10"/>
  <c r="AG21" i="10"/>
  <c r="AF21" i="10"/>
  <c r="K21" i="10" s="1"/>
  <c r="AB21" i="10"/>
  <c r="Z21" i="10"/>
  <c r="Y21" i="10"/>
  <c r="X21" i="10"/>
  <c r="T21" i="10"/>
  <c r="Q21" i="10"/>
  <c r="O21" i="10"/>
  <c r="L21" i="10"/>
  <c r="J21" i="10"/>
  <c r="I21" i="10"/>
  <c r="DJ20" i="10"/>
  <c r="DI20" i="10"/>
  <c r="DG20" i="10"/>
  <c r="DH20" i="10" s="1"/>
  <c r="BW20" i="10"/>
  <c r="BX20" i="10" s="1"/>
  <c r="BV20" i="10"/>
  <c r="BU20" i="10"/>
  <c r="BT20" i="10"/>
  <c r="BS20" i="10"/>
  <c r="BM20" i="10"/>
  <c r="BJ20" i="10"/>
  <c r="BI20" i="10"/>
  <c r="BK20" i="10" s="1"/>
  <c r="BG20" i="10"/>
  <c r="BA20" i="10"/>
  <c r="BN20" i="10" s="1"/>
  <c r="BQ20" i="10" s="1"/>
  <c r="BR20" i="10" s="1"/>
  <c r="AV20" i="10"/>
  <c r="AT20" i="10" s="1"/>
  <c r="AM20" i="10"/>
  <c r="AH20" i="10"/>
  <c r="AG20" i="10"/>
  <c r="J20" i="10" s="1"/>
  <c r="I20" i="10" s="1"/>
  <c r="AB20" i="10" s="1"/>
  <c r="AF20" i="10"/>
  <c r="K20" i="10" s="1"/>
  <c r="Z20" i="10"/>
  <c r="Y20" i="10"/>
  <c r="X20" i="10"/>
  <c r="T20" i="10"/>
  <c r="Q20" i="10"/>
  <c r="DJ19" i="10"/>
  <c r="DI19" i="10"/>
  <c r="DG19" i="10"/>
  <c r="DH19" i="10" s="1"/>
  <c r="BX19" i="10"/>
  <c r="BW19" i="10"/>
  <c r="BV19" i="10"/>
  <c r="BU19" i="10"/>
  <c r="BT19" i="10"/>
  <c r="BS19" i="10"/>
  <c r="BR19" i="10"/>
  <c r="BM19" i="10"/>
  <c r="BI19" i="10"/>
  <c r="BG19" i="10"/>
  <c r="BK19" i="10" s="1"/>
  <c r="BA19" i="10"/>
  <c r="BN19" i="10" s="1"/>
  <c r="BQ19" i="10" s="1"/>
  <c r="AV19" i="10"/>
  <c r="AT19" i="10"/>
  <c r="AU19" i="10" s="1"/>
  <c r="AM19" i="10"/>
  <c r="AH19" i="10"/>
  <c r="AG19" i="10"/>
  <c r="AF19" i="10"/>
  <c r="K19" i="10" s="1"/>
  <c r="BJ19" i="10" s="1"/>
  <c r="BL19" i="10" s="1"/>
  <c r="AB19" i="10"/>
  <c r="Z19" i="10"/>
  <c r="Y19" i="10"/>
  <c r="X19" i="10"/>
  <c r="T19" i="10"/>
  <c r="Q19" i="10"/>
  <c r="O19" i="10"/>
  <c r="L19" i="10"/>
  <c r="J19" i="10"/>
  <c r="I19" i="10"/>
  <c r="DJ18" i="10"/>
  <c r="DI18" i="10"/>
  <c r="DG18" i="10"/>
  <c r="DH18" i="10" s="1"/>
  <c r="BI18" i="10" s="1"/>
  <c r="BK18" i="10" s="1"/>
  <c r="BW18" i="10"/>
  <c r="BX18" i="10" s="1"/>
  <c r="BV18" i="10"/>
  <c r="BU18" i="10"/>
  <c r="BT18" i="10"/>
  <c r="BS18" i="10"/>
  <c r="BM18" i="10"/>
  <c r="BG18" i="10"/>
  <c r="BA18" i="10"/>
  <c r="BN18" i="10" s="1"/>
  <c r="BQ18" i="10" s="1"/>
  <c r="BR18" i="10" s="1"/>
  <c r="AV18" i="10"/>
  <c r="AT18" i="10" s="1"/>
  <c r="AM18" i="10"/>
  <c r="AH18" i="10"/>
  <c r="AG18" i="10"/>
  <c r="J18" i="10" s="1"/>
  <c r="I18" i="10" s="1"/>
  <c r="AB18" i="10" s="1"/>
  <c r="AF18" i="10"/>
  <c r="K18" i="10" s="1"/>
  <c r="BJ18" i="10" s="1"/>
  <c r="BL18" i="10" s="1"/>
  <c r="Z18" i="10"/>
  <c r="Y18" i="10"/>
  <c r="X18" i="10"/>
  <c r="T18" i="10"/>
  <c r="Q18" i="10"/>
  <c r="DJ17" i="10"/>
  <c r="DI17" i="10"/>
  <c r="DG17" i="10"/>
  <c r="DH17" i="10" s="1"/>
  <c r="BW17" i="10"/>
  <c r="BX17" i="10" s="1"/>
  <c r="BV17" i="10"/>
  <c r="BU17" i="10"/>
  <c r="BT17" i="10"/>
  <c r="BS17" i="10"/>
  <c r="BR17" i="10"/>
  <c r="BM17" i="10"/>
  <c r="BI17" i="10"/>
  <c r="BG17" i="10"/>
  <c r="BA17" i="10"/>
  <c r="BN17" i="10" s="1"/>
  <c r="BQ17" i="10" s="1"/>
  <c r="AV17" i="10"/>
  <c r="AT17" i="10"/>
  <c r="AU17" i="10" s="1"/>
  <c r="AM17" i="10"/>
  <c r="AH17" i="10"/>
  <c r="AG17" i="10"/>
  <c r="AF17" i="10"/>
  <c r="K17" i="10" s="1"/>
  <c r="BJ17" i="10" s="1"/>
  <c r="BL17" i="10" s="1"/>
  <c r="AB17" i="10"/>
  <c r="Z17" i="10"/>
  <c r="Y17" i="10"/>
  <c r="X17" i="10"/>
  <c r="T17" i="10"/>
  <c r="Q17" i="10"/>
  <c r="O17" i="10"/>
  <c r="L17" i="10"/>
  <c r="J17" i="10"/>
  <c r="I17" i="10"/>
  <c r="DJ29" i="9"/>
  <c r="DI29" i="9"/>
  <c r="DG29" i="9"/>
  <c r="DH29" i="9" s="1"/>
  <c r="BI29" i="9" s="1"/>
  <c r="BV29" i="9"/>
  <c r="BU29" i="9"/>
  <c r="BT29" i="9"/>
  <c r="BS29" i="9"/>
  <c r="BW29" i="9" s="1"/>
  <c r="BX29" i="9" s="1"/>
  <c r="BM29" i="9"/>
  <c r="BG29" i="9"/>
  <c r="BA29" i="9"/>
  <c r="BN29" i="9" s="1"/>
  <c r="BQ29" i="9" s="1"/>
  <c r="BR29" i="9" s="1"/>
  <c r="AV29" i="9"/>
  <c r="AT29" i="9"/>
  <c r="AU29" i="9" s="1"/>
  <c r="AM29" i="9"/>
  <c r="AH29" i="9"/>
  <c r="AG29" i="9"/>
  <c r="J29" i="9" s="1"/>
  <c r="I29" i="9" s="1"/>
  <c r="AF29" i="9"/>
  <c r="K29" i="9" s="1"/>
  <c r="BJ29" i="9" s="1"/>
  <c r="BL29" i="9" s="1"/>
  <c r="Z29" i="9"/>
  <c r="Y29" i="9"/>
  <c r="X29" i="9"/>
  <c r="T29" i="9"/>
  <c r="U29" i="9" s="1"/>
  <c r="V29" i="9" s="1"/>
  <c r="Q29" i="9"/>
  <c r="O29" i="9"/>
  <c r="L29" i="9"/>
  <c r="DJ28" i="9"/>
  <c r="DI28" i="9"/>
  <c r="DG28" i="9"/>
  <c r="DH28" i="9" s="1"/>
  <c r="BV28" i="9"/>
  <c r="BU28" i="9"/>
  <c r="BM28" i="9"/>
  <c r="BI28" i="9"/>
  <c r="BG28" i="9"/>
  <c r="BK28" i="9" s="1"/>
  <c r="BA28" i="9"/>
  <c r="BN28" i="9" s="1"/>
  <c r="BQ28" i="9" s="1"/>
  <c r="BR28" i="9" s="1"/>
  <c r="AV28" i="9"/>
  <c r="AT28" i="9"/>
  <c r="AU28" i="9" s="1"/>
  <c r="AM28" i="9"/>
  <c r="AH28" i="9"/>
  <c r="AG28" i="9"/>
  <c r="AF28" i="9"/>
  <c r="K28" i="9" s="1"/>
  <c r="BJ28" i="9" s="1"/>
  <c r="BL28" i="9" s="1"/>
  <c r="Z28" i="9"/>
  <c r="Y28" i="9"/>
  <c r="X28" i="9" s="1"/>
  <c r="T28" i="9"/>
  <c r="U28" i="9" s="1"/>
  <c r="V28" i="9" s="1"/>
  <c r="Q28" i="9"/>
  <c r="O28" i="9"/>
  <c r="L28" i="9"/>
  <c r="J28" i="9"/>
  <c r="I28" i="9"/>
  <c r="DJ27" i="9"/>
  <c r="DI27" i="9"/>
  <c r="DG27" i="9"/>
  <c r="DH27" i="9" s="1"/>
  <c r="BI27" i="9" s="1"/>
  <c r="BV27" i="9"/>
  <c r="BU27" i="9"/>
  <c r="BM27" i="9"/>
  <c r="BG27" i="9"/>
  <c r="BA27" i="9"/>
  <c r="BN27" i="9" s="1"/>
  <c r="BQ27" i="9" s="1"/>
  <c r="BR27" i="9" s="1"/>
  <c r="AV27" i="9"/>
  <c r="AT27" i="9"/>
  <c r="AU27" i="9" s="1"/>
  <c r="AM27" i="9"/>
  <c r="AH27" i="9"/>
  <c r="AG27" i="9"/>
  <c r="AF27" i="9"/>
  <c r="Z27" i="9"/>
  <c r="Y27" i="9"/>
  <c r="X27" i="9"/>
  <c r="Q27" i="9"/>
  <c r="O27" i="9"/>
  <c r="L27" i="9"/>
  <c r="K27" i="9"/>
  <c r="BJ27" i="9" s="1"/>
  <c r="J27" i="9"/>
  <c r="I27" i="9" s="1"/>
  <c r="DJ26" i="9"/>
  <c r="DI26" i="9"/>
  <c r="DG26" i="9"/>
  <c r="DH26" i="9" s="1"/>
  <c r="BI26" i="9" s="1"/>
  <c r="BV26" i="9"/>
  <c r="BU26" i="9"/>
  <c r="BT26" i="9"/>
  <c r="BS26" i="9"/>
  <c r="BW26" i="9" s="1"/>
  <c r="BX26" i="9" s="1"/>
  <c r="BM26" i="9"/>
  <c r="BG26" i="9"/>
  <c r="BK26" i="9" s="1"/>
  <c r="BA26" i="9"/>
  <c r="BN26" i="9" s="1"/>
  <c r="BQ26" i="9" s="1"/>
  <c r="BR26" i="9" s="1"/>
  <c r="AV26" i="9"/>
  <c r="AT26" i="9"/>
  <c r="AU26" i="9" s="1"/>
  <c r="AM26" i="9"/>
  <c r="AH26" i="9"/>
  <c r="AG26" i="9"/>
  <c r="AF26" i="9"/>
  <c r="Z26" i="9"/>
  <c r="Y26" i="9"/>
  <c r="X26" i="9"/>
  <c r="U26" i="9"/>
  <c r="V26" i="9" s="1"/>
  <c r="T26" i="9"/>
  <c r="Q26" i="9"/>
  <c r="O26" i="9"/>
  <c r="L26" i="9"/>
  <c r="K26" i="9"/>
  <c r="BJ26" i="9" s="1"/>
  <c r="BL26" i="9" s="1"/>
  <c r="J26" i="9"/>
  <c r="I26" i="9"/>
  <c r="DJ25" i="9"/>
  <c r="DI25" i="9"/>
  <c r="DG25" i="9"/>
  <c r="DH25" i="9" s="1"/>
  <c r="BV25" i="9"/>
  <c r="BU25" i="9"/>
  <c r="BT25" i="9"/>
  <c r="BS25" i="9"/>
  <c r="BW25" i="9" s="1"/>
  <c r="BX25" i="9" s="1"/>
  <c r="BM25" i="9"/>
  <c r="BI25" i="9"/>
  <c r="BG25" i="9"/>
  <c r="BA25" i="9"/>
  <c r="BN25" i="9" s="1"/>
  <c r="BQ25" i="9" s="1"/>
  <c r="BR25" i="9" s="1"/>
  <c r="AV25" i="9"/>
  <c r="AT25" i="9"/>
  <c r="AU25" i="9" s="1"/>
  <c r="AM25" i="9"/>
  <c r="AH25" i="9"/>
  <c r="AG25" i="9"/>
  <c r="J25" i="9" s="1"/>
  <c r="I25" i="9" s="1"/>
  <c r="AF25" i="9"/>
  <c r="K25" i="9" s="1"/>
  <c r="BJ25" i="9" s="1"/>
  <c r="BL25" i="9" s="1"/>
  <c r="Z25" i="9"/>
  <c r="Y25" i="9"/>
  <c r="X25" i="9"/>
  <c r="T25" i="9"/>
  <c r="U25" i="9" s="1"/>
  <c r="V25" i="9" s="1"/>
  <c r="Q25" i="9"/>
  <c r="O25" i="9"/>
  <c r="L25" i="9"/>
  <c r="DJ24" i="9"/>
  <c r="DI24" i="9"/>
  <c r="DG24" i="9"/>
  <c r="DH24" i="9" s="1"/>
  <c r="BI24" i="9" s="1"/>
  <c r="BV24" i="9"/>
  <c r="BU24" i="9"/>
  <c r="BM24" i="9"/>
  <c r="BG24" i="9"/>
  <c r="BK24" i="9" s="1"/>
  <c r="BA24" i="9"/>
  <c r="BN24" i="9" s="1"/>
  <c r="BQ24" i="9" s="1"/>
  <c r="BR24" i="9" s="1"/>
  <c r="AV24" i="9"/>
  <c r="AT24" i="9"/>
  <c r="AU24" i="9" s="1"/>
  <c r="AM24" i="9"/>
  <c r="AH24" i="9"/>
  <c r="AG24" i="9"/>
  <c r="AF24" i="9"/>
  <c r="K24" i="9" s="1"/>
  <c r="BJ24" i="9" s="1"/>
  <c r="BL24" i="9" s="1"/>
  <c r="Z24" i="9"/>
  <c r="Y24" i="9"/>
  <c r="X24" i="9"/>
  <c r="T24" i="9"/>
  <c r="U24" i="9" s="1"/>
  <c r="V24" i="9" s="1"/>
  <c r="Q24" i="9"/>
  <c r="O24" i="9"/>
  <c r="L24" i="9"/>
  <c r="J24" i="9"/>
  <c r="I24" i="9"/>
  <c r="DJ23" i="9"/>
  <c r="DI23" i="9"/>
  <c r="DG23" i="9"/>
  <c r="DH23" i="9" s="1"/>
  <c r="BI23" i="9" s="1"/>
  <c r="BV23" i="9"/>
  <c r="BU23" i="9"/>
  <c r="BM23" i="9"/>
  <c r="BG23" i="9"/>
  <c r="BA23" i="9"/>
  <c r="BN23" i="9" s="1"/>
  <c r="BQ23" i="9" s="1"/>
  <c r="BR23" i="9" s="1"/>
  <c r="AV23" i="9"/>
  <c r="AT23" i="9"/>
  <c r="AU23" i="9" s="1"/>
  <c r="AM23" i="9"/>
  <c r="AH23" i="9"/>
  <c r="AG23" i="9"/>
  <c r="AF23" i="9"/>
  <c r="Z23" i="9"/>
  <c r="Y23" i="9"/>
  <c r="X23" i="9"/>
  <c r="Q23" i="9"/>
  <c r="O23" i="9"/>
  <c r="L23" i="9"/>
  <c r="K23" i="9"/>
  <c r="BJ23" i="9" s="1"/>
  <c r="J23" i="9"/>
  <c r="I23" i="9" s="1"/>
  <c r="DJ22" i="9"/>
  <c r="DI22" i="9"/>
  <c r="DG22" i="9"/>
  <c r="DH22" i="9" s="1"/>
  <c r="BI22" i="9" s="1"/>
  <c r="BV22" i="9"/>
  <c r="BU22" i="9"/>
  <c r="BT22" i="9"/>
  <c r="BS22" i="9"/>
  <c r="BW22" i="9" s="1"/>
  <c r="BX22" i="9" s="1"/>
  <c r="BM22" i="9"/>
  <c r="BG22" i="9"/>
  <c r="BA22" i="9"/>
  <c r="BN22" i="9" s="1"/>
  <c r="BQ22" i="9" s="1"/>
  <c r="BR22" i="9" s="1"/>
  <c r="AV22" i="9"/>
  <c r="AT22" i="9"/>
  <c r="AU22" i="9" s="1"/>
  <c r="AM22" i="9"/>
  <c r="AH22" i="9"/>
  <c r="AG22" i="9"/>
  <c r="AF22" i="9"/>
  <c r="Z22" i="9"/>
  <c r="Y22" i="9"/>
  <c r="X22" i="9"/>
  <c r="U22" i="9"/>
  <c r="V22" i="9" s="1"/>
  <c r="T22" i="9"/>
  <c r="Q22" i="9"/>
  <c r="O22" i="9"/>
  <c r="L22" i="9"/>
  <c r="K22" i="9"/>
  <c r="BJ22" i="9" s="1"/>
  <c r="BL22" i="9" s="1"/>
  <c r="J22" i="9"/>
  <c r="I22" i="9"/>
  <c r="DJ21" i="9"/>
  <c r="DI21" i="9"/>
  <c r="DG21" i="9"/>
  <c r="DH21" i="9" s="1"/>
  <c r="BV21" i="9"/>
  <c r="BU21" i="9"/>
  <c r="BT21" i="9"/>
  <c r="BS21" i="9"/>
  <c r="BW21" i="9" s="1"/>
  <c r="BX21" i="9" s="1"/>
  <c r="BM21" i="9"/>
  <c r="BI21" i="9"/>
  <c r="BG21" i="9"/>
  <c r="BA21" i="9"/>
  <c r="BN21" i="9" s="1"/>
  <c r="BQ21" i="9" s="1"/>
  <c r="BR21" i="9" s="1"/>
  <c r="AV21" i="9"/>
  <c r="AT21" i="9"/>
  <c r="AU21" i="9" s="1"/>
  <c r="AM21" i="9"/>
  <c r="AH21" i="9"/>
  <c r="AG21" i="9"/>
  <c r="J21" i="9" s="1"/>
  <c r="I21" i="9" s="1"/>
  <c r="AF21" i="9"/>
  <c r="K21" i="9" s="1"/>
  <c r="BJ21" i="9" s="1"/>
  <c r="BL21" i="9" s="1"/>
  <c r="Z21" i="9"/>
  <c r="Y21" i="9"/>
  <c r="X21" i="9"/>
  <c r="T21" i="9"/>
  <c r="Q21" i="9"/>
  <c r="O21" i="9"/>
  <c r="L21" i="9"/>
  <c r="DJ20" i="9"/>
  <c r="DI20" i="9"/>
  <c r="DG20" i="9"/>
  <c r="DH20" i="9" s="1"/>
  <c r="BV20" i="9"/>
  <c r="BU20" i="9"/>
  <c r="BM20" i="9"/>
  <c r="BI20" i="9"/>
  <c r="BG20" i="9"/>
  <c r="BK20" i="9" s="1"/>
  <c r="BA20" i="9"/>
  <c r="BN20" i="9" s="1"/>
  <c r="BQ20" i="9" s="1"/>
  <c r="BR20" i="9" s="1"/>
  <c r="AV20" i="9"/>
  <c r="AT20" i="9"/>
  <c r="AU20" i="9" s="1"/>
  <c r="AM20" i="9"/>
  <c r="AH20" i="9"/>
  <c r="AG20" i="9"/>
  <c r="AF20" i="9"/>
  <c r="K20" i="9" s="1"/>
  <c r="BJ20" i="9" s="1"/>
  <c r="BL20" i="9" s="1"/>
  <c r="Z20" i="9"/>
  <c r="Y20" i="9"/>
  <c r="X20" i="9" s="1"/>
  <c r="T20" i="9"/>
  <c r="U20" i="9" s="1"/>
  <c r="V20" i="9" s="1"/>
  <c r="Q20" i="9"/>
  <c r="O20" i="9"/>
  <c r="L20" i="9"/>
  <c r="J20" i="9"/>
  <c r="I20" i="9"/>
  <c r="DJ19" i="9"/>
  <c r="DI19" i="9"/>
  <c r="DG19" i="9"/>
  <c r="DH19" i="9" s="1"/>
  <c r="BI19" i="9" s="1"/>
  <c r="BV19" i="9"/>
  <c r="BU19" i="9"/>
  <c r="BM19" i="9"/>
  <c r="BG19" i="9"/>
  <c r="BA19" i="9"/>
  <c r="BN19" i="9" s="1"/>
  <c r="BQ19" i="9" s="1"/>
  <c r="BR19" i="9" s="1"/>
  <c r="AV19" i="9"/>
  <c r="AT19" i="9"/>
  <c r="AU19" i="9" s="1"/>
  <c r="AM19" i="9"/>
  <c r="AH19" i="9"/>
  <c r="AG19" i="9"/>
  <c r="AF19" i="9"/>
  <c r="Z19" i="9"/>
  <c r="Y19" i="9"/>
  <c r="X19" i="9"/>
  <c r="Q19" i="9"/>
  <c r="O19" i="9"/>
  <c r="L19" i="9"/>
  <c r="K19" i="9"/>
  <c r="BJ19" i="9" s="1"/>
  <c r="BL19" i="9" s="1"/>
  <c r="J19" i="9"/>
  <c r="I19" i="9" s="1"/>
  <c r="DJ18" i="9"/>
  <c r="DI18" i="9"/>
  <c r="DG18" i="9"/>
  <c r="DH18" i="9" s="1"/>
  <c r="BI18" i="9" s="1"/>
  <c r="BV18" i="9"/>
  <c r="BU18" i="9"/>
  <c r="BT18" i="9"/>
  <c r="BS18" i="9"/>
  <c r="BW18" i="9" s="1"/>
  <c r="BX18" i="9" s="1"/>
  <c r="BM18" i="9"/>
  <c r="BG18" i="9"/>
  <c r="BK18" i="9" s="1"/>
  <c r="BA18" i="9"/>
  <c r="BN18" i="9" s="1"/>
  <c r="BQ18" i="9" s="1"/>
  <c r="BR18" i="9" s="1"/>
  <c r="AV18" i="9"/>
  <c r="AT18" i="9"/>
  <c r="AU18" i="9" s="1"/>
  <c r="AM18" i="9"/>
  <c r="AH18" i="9"/>
  <c r="AG18" i="9"/>
  <c r="AF18" i="9"/>
  <c r="Z18" i="9"/>
  <c r="Y18" i="9"/>
  <c r="X18" i="9"/>
  <c r="U18" i="9"/>
  <c r="V18" i="9" s="1"/>
  <c r="T18" i="9"/>
  <c r="Q18" i="9"/>
  <c r="O18" i="9"/>
  <c r="L18" i="9"/>
  <c r="K18" i="9"/>
  <c r="BJ18" i="9" s="1"/>
  <c r="BL18" i="9" s="1"/>
  <c r="J18" i="9"/>
  <c r="I18" i="9"/>
  <c r="DJ17" i="9"/>
  <c r="DI17" i="9"/>
  <c r="DG17" i="9"/>
  <c r="DH17" i="9" s="1"/>
  <c r="BV17" i="9"/>
  <c r="BU17" i="9"/>
  <c r="BT17" i="9"/>
  <c r="BS17" i="9"/>
  <c r="BW17" i="9" s="1"/>
  <c r="BX17" i="9" s="1"/>
  <c r="BM17" i="9"/>
  <c r="BI17" i="9"/>
  <c r="BG17" i="9"/>
  <c r="BA17" i="9"/>
  <c r="BN17" i="9" s="1"/>
  <c r="BQ17" i="9" s="1"/>
  <c r="BR17" i="9" s="1"/>
  <c r="AV17" i="9"/>
  <c r="AT17" i="9"/>
  <c r="AU17" i="9" s="1"/>
  <c r="AM17" i="9"/>
  <c r="AH17" i="9"/>
  <c r="AG17" i="9"/>
  <c r="J17" i="9" s="1"/>
  <c r="I17" i="9" s="1"/>
  <c r="AF17" i="9"/>
  <c r="K17" i="9" s="1"/>
  <c r="BJ17" i="9" s="1"/>
  <c r="BL17" i="9" s="1"/>
  <c r="Z17" i="9"/>
  <c r="Y17" i="9"/>
  <c r="X17" i="9"/>
  <c r="T17" i="9"/>
  <c r="U17" i="9" s="1"/>
  <c r="V17" i="9" s="1"/>
  <c r="Q17" i="9"/>
  <c r="O17" i="9"/>
  <c r="L17" i="9"/>
  <c r="DJ29" i="8"/>
  <c r="DI29" i="8"/>
  <c r="DG29" i="8"/>
  <c r="DH29" i="8" s="1"/>
  <c r="BV29" i="8"/>
  <c r="BU29" i="8"/>
  <c r="BM29" i="8"/>
  <c r="BJ29" i="8"/>
  <c r="BL29" i="8" s="1"/>
  <c r="BI29" i="8"/>
  <c r="BG29" i="8"/>
  <c r="BK29" i="8" s="1"/>
  <c r="BA29" i="8"/>
  <c r="BN29" i="8" s="1"/>
  <c r="BQ29" i="8" s="1"/>
  <c r="AV29" i="8"/>
  <c r="AT29" i="8"/>
  <c r="AU29" i="8" s="1"/>
  <c r="AM29" i="8"/>
  <c r="AH29" i="8"/>
  <c r="AG29" i="8"/>
  <c r="AF29" i="8"/>
  <c r="AB29" i="8"/>
  <c r="Z29" i="8"/>
  <c r="X29" i="8" s="1"/>
  <c r="Y29" i="8"/>
  <c r="T29" i="8"/>
  <c r="U29" i="8" s="1"/>
  <c r="V29" i="8" s="1"/>
  <c r="Q29" i="8"/>
  <c r="O29" i="8"/>
  <c r="L29" i="8"/>
  <c r="K29" i="8"/>
  <c r="J29" i="8"/>
  <c r="I29" i="8"/>
  <c r="DJ28" i="8"/>
  <c r="DI28" i="8"/>
  <c r="DG28" i="8"/>
  <c r="T28" i="8" s="1"/>
  <c r="BV28" i="8"/>
  <c r="BU28" i="8"/>
  <c r="BM28" i="8"/>
  <c r="BG28" i="8"/>
  <c r="BA28" i="8"/>
  <c r="BN28" i="8" s="1"/>
  <c r="BQ28" i="8" s="1"/>
  <c r="BR28" i="8" s="1"/>
  <c r="AV28" i="8"/>
  <c r="AT28" i="8"/>
  <c r="AU28" i="8" s="1"/>
  <c r="AM28" i="8"/>
  <c r="AH28" i="8"/>
  <c r="AG28" i="8"/>
  <c r="J28" i="8" s="1"/>
  <c r="I28" i="8" s="1"/>
  <c r="AF28" i="8"/>
  <c r="K28" i="8" s="1"/>
  <c r="BJ28" i="8" s="1"/>
  <c r="Z28" i="8"/>
  <c r="Y28" i="8"/>
  <c r="X28" i="8"/>
  <c r="Q28" i="8"/>
  <c r="DJ27" i="8"/>
  <c r="DI27" i="8"/>
  <c r="DG27" i="8"/>
  <c r="DH27" i="8" s="1"/>
  <c r="BV27" i="8"/>
  <c r="BU27" i="8"/>
  <c r="BN27" i="8"/>
  <c r="BQ27" i="8" s="1"/>
  <c r="BM27" i="8"/>
  <c r="BJ27" i="8"/>
  <c r="BL27" i="8" s="1"/>
  <c r="BI27" i="8"/>
  <c r="BG27" i="8"/>
  <c r="BK27" i="8" s="1"/>
  <c r="BA27" i="8"/>
  <c r="AV27" i="8"/>
  <c r="AT27" i="8"/>
  <c r="AU27" i="8" s="1"/>
  <c r="AM27" i="8"/>
  <c r="AH27" i="8"/>
  <c r="AG27" i="8"/>
  <c r="AF27" i="8"/>
  <c r="AB27" i="8"/>
  <c r="Z27" i="8"/>
  <c r="Y27" i="8"/>
  <c r="X27" i="8"/>
  <c r="T27" i="8"/>
  <c r="U27" i="8" s="1"/>
  <c r="V27" i="8" s="1"/>
  <c r="Q27" i="8"/>
  <c r="O27" i="8"/>
  <c r="L27" i="8"/>
  <c r="K27" i="8"/>
  <c r="J27" i="8"/>
  <c r="I27" i="8"/>
  <c r="DJ26" i="8"/>
  <c r="DI26" i="8"/>
  <c r="DG26" i="8"/>
  <c r="T26" i="8" s="1"/>
  <c r="BV26" i="8"/>
  <c r="BU26" i="8"/>
  <c r="BM26" i="8"/>
  <c r="BG26" i="8"/>
  <c r="BA26" i="8"/>
  <c r="BN26" i="8" s="1"/>
  <c r="BQ26" i="8" s="1"/>
  <c r="BR26" i="8" s="1"/>
  <c r="AV26" i="8"/>
  <c r="AT26" i="8"/>
  <c r="AU26" i="8" s="1"/>
  <c r="AM26" i="8"/>
  <c r="AH26" i="8"/>
  <c r="AG26" i="8"/>
  <c r="J26" i="8" s="1"/>
  <c r="I26" i="8" s="1"/>
  <c r="Z26" i="8"/>
  <c r="Y26" i="8"/>
  <c r="X26" i="8"/>
  <c r="Q26" i="8"/>
  <c r="DJ25" i="8"/>
  <c r="DI25" i="8"/>
  <c r="DG25" i="8"/>
  <c r="DH25" i="8" s="1"/>
  <c r="BI25" i="8" s="1"/>
  <c r="BV25" i="8"/>
  <c r="BU25" i="8"/>
  <c r="BM25" i="8"/>
  <c r="BJ25" i="8"/>
  <c r="BL25" i="8" s="1"/>
  <c r="BG25" i="8"/>
  <c r="BK25" i="8" s="1"/>
  <c r="BA25" i="8"/>
  <c r="BN25" i="8" s="1"/>
  <c r="BQ25" i="8" s="1"/>
  <c r="AV25" i="8"/>
  <c r="AT25" i="8"/>
  <c r="AU25" i="8" s="1"/>
  <c r="AM25" i="8"/>
  <c r="AH25" i="8"/>
  <c r="AG25" i="8"/>
  <c r="AF25" i="8"/>
  <c r="AB25" i="8"/>
  <c r="Z25" i="8"/>
  <c r="Y25" i="8"/>
  <c r="X25" i="8"/>
  <c r="T25" i="8"/>
  <c r="Q25" i="8"/>
  <c r="O25" i="8"/>
  <c r="L25" i="8"/>
  <c r="K25" i="8"/>
  <c r="J25" i="8"/>
  <c r="I25" i="8"/>
  <c r="DJ24" i="8"/>
  <c r="DI24" i="8"/>
  <c r="DG24" i="8"/>
  <c r="T24" i="8" s="1"/>
  <c r="BV24" i="8"/>
  <c r="BU24" i="8"/>
  <c r="BT24" i="8"/>
  <c r="BS24" i="8"/>
  <c r="BW24" i="8" s="1"/>
  <c r="BX24" i="8" s="1"/>
  <c r="BM24" i="8"/>
  <c r="BG24" i="8"/>
  <c r="BA24" i="8"/>
  <c r="BN24" i="8" s="1"/>
  <c r="BQ24" i="8" s="1"/>
  <c r="BR24" i="8" s="1"/>
  <c r="AV24" i="8"/>
  <c r="AT24" i="8"/>
  <c r="AU24" i="8" s="1"/>
  <c r="AM24" i="8"/>
  <c r="AH24" i="8"/>
  <c r="AG24" i="8"/>
  <c r="J24" i="8" s="1"/>
  <c r="I24" i="8" s="1"/>
  <c r="AF24" i="8"/>
  <c r="K24" i="8" s="1"/>
  <c r="BJ24" i="8" s="1"/>
  <c r="Z24" i="8"/>
  <c r="Y24" i="8"/>
  <c r="X24" i="8"/>
  <c r="Q24" i="8"/>
  <c r="O24" i="8"/>
  <c r="DJ23" i="8"/>
  <c r="DI23" i="8"/>
  <c r="DG23" i="8"/>
  <c r="DH23" i="8" s="1"/>
  <c r="BV23" i="8"/>
  <c r="BU23" i="8"/>
  <c r="BM23" i="8"/>
  <c r="BJ23" i="8"/>
  <c r="BL23" i="8" s="1"/>
  <c r="BI23" i="8"/>
  <c r="BG23" i="8"/>
  <c r="BK23" i="8" s="1"/>
  <c r="BA23" i="8"/>
  <c r="BN23" i="8" s="1"/>
  <c r="BQ23" i="8" s="1"/>
  <c r="AV23" i="8"/>
  <c r="AT23" i="8"/>
  <c r="AU23" i="8" s="1"/>
  <c r="AM23" i="8"/>
  <c r="AH23" i="8"/>
  <c r="AG23" i="8"/>
  <c r="AF23" i="8"/>
  <c r="AB23" i="8"/>
  <c r="Z23" i="8"/>
  <c r="Y23" i="8"/>
  <c r="X23" i="8"/>
  <c r="T23" i="8"/>
  <c r="Q23" i="8"/>
  <c r="O23" i="8"/>
  <c r="L23" i="8"/>
  <c r="K23" i="8"/>
  <c r="J23" i="8"/>
  <c r="I23" i="8"/>
  <c r="DJ22" i="8"/>
  <c r="DI22" i="8"/>
  <c r="DH22" i="8"/>
  <c r="BI22" i="8" s="1"/>
  <c r="DG22" i="8"/>
  <c r="T22" i="8" s="1"/>
  <c r="BV22" i="8"/>
  <c r="BU22" i="8"/>
  <c r="BM22" i="8"/>
  <c r="BG22" i="8"/>
  <c r="BK22" i="8" s="1"/>
  <c r="BA22" i="8"/>
  <c r="BN22" i="8" s="1"/>
  <c r="BQ22" i="8" s="1"/>
  <c r="BR22" i="8" s="1"/>
  <c r="AV22" i="8"/>
  <c r="AT22" i="8"/>
  <c r="AU22" i="8" s="1"/>
  <c r="AM22" i="8"/>
  <c r="AH22" i="8"/>
  <c r="AG22" i="8"/>
  <c r="J22" i="8" s="1"/>
  <c r="I22" i="8" s="1"/>
  <c r="AF22" i="8"/>
  <c r="K22" i="8" s="1"/>
  <c r="BJ22" i="8" s="1"/>
  <c r="BL22" i="8" s="1"/>
  <c r="Z22" i="8"/>
  <c r="Y22" i="8"/>
  <c r="X22" i="8"/>
  <c r="Q22" i="8"/>
  <c r="DJ21" i="8"/>
  <c r="DI21" i="8"/>
  <c r="DG21" i="8"/>
  <c r="DH21" i="8" s="1"/>
  <c r="BI21" i="8" s="1"/>
  <c r="BL21" i="8" s="1"/>
  <c r="BV21" i="8"/>
  <c r="BU21" i="8"/>
  <c r="BN21" i="8"/>
  <c r="BQ21" i="8" s="1"/>
  <c r="BM21" i="8"/>
  <c r="BJ21" i="8"/>
  <c r="BG21" i="8"/>
  <c r="BA21" i="8"/>
  <c r="AV21" i="8"/>
  <c r="AT21" i="8"/>
  <c r="AU21" i="8" s="1"/>
  <c r="AM21" i="8"/>
  <c r="AH21" i="8"/>
  <c r="AG21" i="8"/>
  <c r="AF21" i="8"/>
  <c r="AB21" i="8"/>
  <c r="Z21" i="8"/>
  <c r="Y21" i="8"/>
  <c r="X21" i="8"/>
  <c r="T21" i="8"/>
  <c r="Q21" i="8"/>
  <c r="O21" i="8"/>
  <c r="L21" i="8"/>
  <c r="K21" i="8"/>
  <c r="J21" i="8"/>
  <c r="I21" i="8"/>
  <c r="DJ20" i="8"/>
  <c r="DI20" i="8"/>
  <c r="DG20" i="8"/>
  <c r="T20" i="8" s="1"/>
  <c r="BV20" i="8"/>
  <c r="BU20" i="8"/>
  <c r="BM20" i="8"/>
  <c r="BG20" i="8"/>
  <c r="BA20" i="8"/>
  <c r="BN20" i="8" s="1"/>
  <c r="BQ20" i="8" s="1"/>
  <c r="BR20" i="8" s="1"/>
  <c r="AV20" i="8"/>
  <c r="AT20" i="8"/>
  <c r="AU20" i="8" s="1"/>
  <c r="AM20" i="8"/>
  <c r="AH20" i="8"/>
  <c r="AG20" i="8"/>
  <c r="J20" i="8" s="1"/>
  <c r="I20" i="8" s="1"/>
  <c r="AF20" i="8"/>
  <c r="Z20" i="8"/>
  <c r="Y20" i="8"/>
  <c r="X20" i="8"/>
  <c r="Q20" i="8"/>
  <c r="O20" i="8"/>
  <c r="L20" i="8"/>
  <c r="K20" i="8"/>
  <c r="BJ20" i="8" s="1"/>
  <c r="DJ19" i="8"/>
  <c r="DI19" i="8"/>
  <c r="DG19" i="8"/>
  <c r="DH19" i="8" s="1"/>
  <c r="BV19" i="8"/>
  <c r="BU19" i="8"/>
  <c r="BM19" i="8"/>
  <c r="BJ19" i="8"/>
  <c r="BL19" i="8" s="1"/>
  <c r="BI19" i="8"/>
  <c r="BG19" i="8"/>
  <c r="BK19" i="8" s="1"/>
  <c r="BA19" i="8"/>
  <c r="BN19" i="8" s="1"/>
  <c r="BQ19" i="8" s="1"/>
  <c r="AV19" i="8"/>
  <c r="AT19" i="8"/>
  <c r="AU19" i="8" s="1"/>
  <c r="AM19" i="8"/>
  <c r="AH19" i="8"/>
  <c r="AG19" i="8"/>
  <c r="AF19" i="8"/>
  <c r="AB19" i="8"/>
  <c r="Z19" i="8"/>
  <c r="Y19" i="8"/>
  <c r="X19" i="8"/>
  <c r="T19" i="8"/>
  <c r="Q19" i="8"/>
  <c r="O19" i="8"/>
  <c r="L19" i="8"/>
  <c r="K19" i="8"/>
  <c r="J19" i="8"/>
  <c r="I19" i="8"/>
  <c r="DJ18" i="8"/>
  <c r="DI18" i="8"/>
  <c r="DH18" i="8" s="1"/>
  <c r="BI18" i="8" s="1"/>
  <c r="DG18" i="8"/>
  <c r="T18" i="8" s="1"/>
  <c r="BV18" i="8"/>
  <c r="BU18" i="8"/>
  <c r="BM18" i="8"/>
  <c r="BG18" i="8"/>
  <c r="BA18" i="8"/>
  <c r="BN18" i="8" s="1"/>
  <c r="BQ18" i="8" s="1"/>
  <c r="BR18" i="8" s="1"/>
  <c r="AV18" i="8"/>
  <c r="AT18" i="8"/>
  <c r="L18" i="8" s="1"/>
  <c r="AM18" i="8"/>
  <c r="AH18" i="8"/>
  <c r="AG18" i="8"/>
  <c r="J18" i="8" s="1"/>
  <c r="I18" i="8" s="1"/>
  <c r="AF18" i="8"/>
  <c r="K18" i="8" s="1"/>
  <c r="BJ18" i="8" s="1"/>
  <c r="Z18" i="8"/>
  <c r="Y18" i="8"/>
  <c r="X18" i="8"/>
  <c r="Q18" i="8"/>
  <c r="DJ17" i="8"/>
  <c r="DI17" i="8"/>
  <c r="DG17" i="8"/>
  <c r="DH17" i="8" s="1"/>
  <c r="BI17" i="8" s="1"/>
  <c r="BV17" i="8"/>
  <c r="BU17" i="8"/>
  <c r="BN17" i="8"/>
  <c r="BQ17" i="8" s="1"/>
  <c r="BM17" i="8"/>
  <c r="BJ17" i="8"/>
  <c r="BG17" i="8"/>
  <c r="BA17" i="8"/>
  <c r="AV17" i="8"/>
  <c r="AT17" i="8"/>
  <c r="AU17" i="8" s="1"/>
  <c r="AM17" i="8"/>
  <c r="AH17" i="8"/>
  <c r="AG17" i="8"/>
  <c r="AF17" i="8"/>
  <c r="AB17" i="8"/>
  <c r="Z17" i="8"/>
  <c r="Y17" i="8"/>
  <c r="X17" i="8"/>
  <c r="V17" i="8"/>
  <c r="U17" i="8"/>
  <c r="T17" i="8"/>
  <c r="Q17" i="8"/>
  <c r="O17" i="8"/>
  <c r="L17" i="8"/>
  <c r="K17" i="8"/>
  <c r="J17" i="8"/>
  <c r="I17" i="8"/>
  <c r="DJ29" i="7"/>
  <c r="DI29" i="7"/>
  <c r="DG29" i="7"/>
  <c r="DH29" i="7" s="1"/>
  <c r="BV29" i="7"/>
  <c r="BU29" i="7"/>
  <c r="BM29" i="7"/>
  <c r="BI29" i="7"/>
  <c r="BG29" i="7"/>
  <c r="BK29" i="7" s="1"/>
  <c r="BA29" i="7"/>
  <c r="BN29" i="7" s="1"/>
  <c r="BQ29" i="7" s="1"/>
  <c r="AV29" i="7"/>
  <c r="AT29" i="7"/>
  <c r="AU29" i="7" s="1"/>
  <c r="AM29" i="7"/>
  <c r="AH29" i="7"/>
  <c r="AG29" i="7"/>
  <c r="AF29" i="7"/>
  <c r="AB29" i="7"/>
  <c r="Z29" i="7"/>
  <c r="Y29" i="7"/>
  <c r="X29" i="7"/>
  <c r="T29" i="7"/>
  <c r="Q29" i="7"/>
  <c r="O29" i="7"/>
  <c r="L29" i="7"/>
  <c r="K29" i="7"/>
  <c r="BJ29" i="7" s="1"/>
  <c r="BL29" i="7" s="1"/>
  <c r="J29" i="7"/>
  <c r="I29" i="7"/>
  <c r="DJ28" i="7"/>
  <c r="DI28" i="7"/>
  <c r="DG28" i="7"/>
  <c r="DH28" i="7" s="1"/>
  <c r="BV28" i="7"/>
  <c r="BU28" i="7"/>
  <c r="BM28" i="7"/>
  <c r="BI28" i="7"/>
  <c r="BG28" i="7"/>
  <c r="BK28" i="7" s="1"/>
  <c r="BA28" i="7"/>
  <c r="BN28" i="7" s="1"/>
  <c r="BQ28" i="7" s="1"/>
  <c r="AV28" i="7"/>
  <c r="AT28" i="7"/>
  <c r="AM28" i="7"/>
  <c r="AH28" i="7"/>
  <c r="Z28" i="7"/>
  <c r="Y28" i="7"/>
  <c r="X28" i="7"/>
  <c r="T28" i="7"/>
  <c r="Q28" i="7"/>
  <c r="O28" i="7"/>
  <c r="DJ27" i="7"/>
  <c r="DI27" i="7"/>
  <c r="DG27" i="7"/>
  <c r="DH27" i="7" s="1"/>
  <c r="BV27" i="7"/>
  <c r="BU27" i="7"/>
  <c r="BN27" i="7"/>
  <c r="BQ27" i="7" s="1"/>
  <c r="BM27" i="7"/>
  <c r="BJ27" i="7"/>
  <c r="BL27" i="7" s="1"/>
  <c r="BI27" i="7"/>
  <c r="BG27" i="7"/>
  <c r="BK27" i="7" s="1"/>
  <c r="BA27" i="7"/>
  <c r="AV27" i="7"/>
  <c r="AT27" i="7"/>
  <c r="AU27" i="7" s="1"/>
  <c r="AM27" i="7"/>
  <c r="AH27" i="7"/>
  <c r="AG27" i="7"/>
  <c r="AF27" i="7"/>
  <c r="K27" i="7" s="1"/>
  <c r="AB27" i="7"/>
  <c r="Z27" i="7"/>
  <c r="Y27" i="7"/>
  <c r="X27" i="7" s="1"/>
  <c r="T27" i="7"/>
  <c r="Q27" i="7"/>
  <c r="O27" i="7"/>
  <c r="L27" i="7"/>
  <c r="J27" i="7"/>
  <c r="I27" i="7"/>
  <c r="DJ26" i="7"/>
  <c r="DI26" i="7"/>
  <c r="DG26" i="7"/>
  <c r="DH26" i="7" s="1"/>
  <c r="BI26" i="7" s="1"/>
  <c r="BV26" i="7"/>
  <c r="BU26" i="7"/>
  <c r="BT26" i="7"/>
  <c r="BS26" i="7"/>
  <c r="BW26" i="7" s="1"/>
  <c r="BX26" i="7" s="1"/>
  <c r="BM26" i="7"/>
  <c r="BJ26" i="7"/>
  <c r="BG26" i="7"/>
  <c r="BA26" i="7"/>
  <c r="BN26" i="7" s="1"/>
  <c r="BQ26" i="7" s="1"/>
  <c r="BR26" i="7" s="1"/>
  <c r="AV26" i="7"/>
  <c r="AT26" i="7"/>
  <c r="AU26" i="7" s="1"/>
  <c r="AM26" i="7"/>
  <c r="AH26" i="7"/>
  <c r="AG26" i="7"/>
  <c r="AF26" i="7"/>
  <c r="K26" i="7" s="1"/>
  <c r="Z26" i="7"/>
  <c r="Y26" i="7"/>
  <c r="X26" i="7"/>
  <c r="T26" i="7"/>
  <c r="Q26" i="7"/>
  <c r="L26" i="7"/>
  <c r="J26" i="7"/>
  <c r="I26" i="7"/>
  <c r="AB26" i="7" s="1"/>
  <c r="DJ25" i="7"/>
  <c r="DI25" i="7"/>
  <c r="DG25" i="7"/>
  <c r="DH25" i="7" s="1"/>
  <c r="BI25" i="7" s="1"/>
  <c r="BV25" i="7"/>
  <c r="BU25" i="7"/>
  <c r="BN25" i="7"/>
  <c r="BQ25" i="7" s="1"/>
  <c r="BM25" i="7"/>
  <c r="BG25" i="7"/>
  <c r="BA25" i="7"/>
  <c r="AV25" i="7"/>
  <c r="AT25" i="7"/>
  <c r="AU25" i="7" s="1"/>
  <c r="AM25" i="7"/>
  <c r="AH25" i="7"/>
  <c r="AG25" i="7"/>
  <c r="AF25" i="7"/>
  <c r="K25" i="7" s="1"/>
  <c r="BJ25" i="7" s="1"/>
  <c r="AB25" i="7"/>
  <c r="Z25" i="7"/>
  <c r="Y25" i="7"/>
  <c r="X25" i="7" s="1"/>
  <c r="T25" i="7"/>
  <c r="U25" i="7" s="1"/>
  <c r="V25" i="7" s="1"/>
  <c r="W25" i="7" s="1"/>
  <c r="AA25" i="7" s="1"/>
  <c r="Q25" i="7"/>
  <c r="O25" i="7"/>
  <c r="L25" i="7"/>
  <c r="J25" i="7"/>
  <c r="I25" i="7"/>
  <c r="DJ24" i="7"/>
  <c r="DI24" i="7"/>
  <c r="DG24" i="7"/>
  <c r="T24" i="7" s="1"/>
  <c r="U24" i="7" s="1"/>
  <c r="V24" i="7" s="1"/>
  <c r="W24" i="7" s="1"/>
  <c r="AA24" i="7" s="1"/>
  <c r="BV24" i="7"/>
  <c r="BU24" i="7"/>
  <c r="BM24" i="7"/>
  <c r="BG24" i="7"/>
  <c r="BA24" i="7"/>
  <c r="BN24" i="7" s="1"/>
  <c r="BQ24" i="7" s="1"/>
  <c r="BR24" i="7" s="1"/>
  <c r="AV24" i="7"/>
  <c r="AT24" i="7"/>
  <c r="AU24" i="7" s="1"/>
  <c r="AM24" i="7"/>
  <c r="AH24" i="7"/>
  <c r="AG24" i="7"/>
  <c r="AF24" i="7"/>
  <c r="Z24" i="7"/>
  <c r="Y24" i="7"/>
  <c r="X24" i="7"/>
  <c r="Q24" i="7"/>
  <c r="L24" i="7"/>
  <c r="K24" i="7"/>
  <c r="BJ24" i="7" s="1"/>
  <c r="J24" i="7"/>
  <c r="I24" i="7"/>
  <c r="DJ23" i="7"/>
  <c r="DI23" i="7"/>
  <c r="DG23" i="7"/>
  <c r="DH23" i="7" s="1"/>
  <c r="BI23" i="7" s="1"/>
  <c r="BV23" i="7"/>
  <c r="BU23" i="7"/>
  <c r="BM23" i="7"/>
  <c r="BG23" i="7"/>
  <c r="BA23" i="7"/>
  <c r="BN23" i="7" s="1"/>
  <c r="BQ23" i="7" s="1"/>
  <c r="AV23" i="7"/>
  <c r="AT23" i="7"/>
  <c r="AU23" i="7" s="1"/>
  <c r="AM23" i="7"/>
  <c r="AH23" i="7"/>
  <c r="AG23" i="7"/>
  <c r="J23" i="7" s="1"/>
  <c r="I23" i="7" s="1"/>
  <c r="AF23" i="7"/>
  <c r="Z23" i="7"/>
  <c r="Y23" i="7"/>
  <c r="X23" i="7"/>
  <c r="T23" i="7"/>
  <c r="Q23" i="7"/>
  <c r="O23" i="7"/>
  <c r="L23" i="7"/>
  <c r="K23" i="7"/>
  <c r="BJ23" i="7" s="1"/>
  <c r="DJ22" i="7"/>
  <c r="DI22" i="7"/>
  <c r="DG22" i="7"/>
  <c r="DH22" i="7" s="1"/>
  <c r="BI22" i="7" s="1"/>
  <c r="BK22" i="7" s="1"/>
  <c r="BV22" i="7"/>
  <c r="BU22" i="7"/>
  <c r="BM22" i="7"/>
  <c r="BG22" i="7"/>
  <c r="BA22" i="7"/>
  <c r="BN22" i="7" s="1"/>
  <c r="BQ22" i="7" s="1"/>
  <c r="AV22" i="7"/>
  <c r="AT22" i="7"/>
  <c r="AM22" i="7"/>
  <c r="AH22" i="7"/>
  <c r="Z22" i="7"/>
  <c r="Y22" i="7"/>
  <c r="X22" i="7"/>
  <c r="T22" i="7"/>
  <c r="Q22" i="7"/>
  <c r="O22" i="7"/>
  <c r="DJ21" i="7"/>
  <c r="DI21" i="7"/>
  <c r="DG21" i="7"/>
  <c r="DH21" i="7" s="1"/>
  <c r="BI21" i="7" s="1"/>
  <c r="BK21" i="7" s="1"/>
  <c r="BV21" i="7"/>
  <c r="BU21" i="7"/>
  <c r="BN21" i="7"/>
  <c r="BQ21" i="7" s="1"/>
  <c r="BM21" i="7"/>
  <c r="BJ21" i="7"/>
  <c r="BL21" i="7" s="1"/>
  <c r="BG21" i="7"/>
  <c r="BA21" i="7"/>
  <c r="AV21" i="7"/>
  <c r="AT21" i="7"/>
  <c r="AU21" i="7" s="1"/>
  <c r="AM21" i="7"/>
  <c r="AH21" i="7"/>
  <c r="AG21" i="7"/>
  <c r="AF21" i="7"/>
  <c r="K21" i="7" s="1"/>
  <c r="AB21" i="7"/>
  <c r="Z21" i="7"/>
  <c r="Y21" i="7"/>
  <c r="X21" i="7"/>
  <c r="V21" i="7"/>
  <c r="AD21" i="7" s="1"/>
  <c r="U21" i="7"/>
  <c r="T21" i="7"/>
  <c r="Q21" i="7"/>
  <c r="O21" i="7"/>
  <c r="L21" i="7"/>
  <c r="J21" i="7"/>
  <c r="I21" i="7"/>
  <c r="DJ20" i="7"/>
  <c r="DI20" i="7"/>
  <c r="DH20" i="7"/>
  <c r="BI20" i="7" s="1"/>
  <c r="DG20" i="7"/>
  <c r="T20" i="7" s="1"/>
  <c r="BV20" i="7"/>
  <c r="BU20" i="7"/>
  <c r="BT20" i="7"/>
  <c r="BS20" i="7"/>
  <c r="BW20" i="7" s="1"/>
  <c r="BX20" i="7" s="1"/>
  <c r="BM20" i="7"/>
  <c r="BG20" i="7"/>
  <c r="BA20" i="7"/>
  <c r="BN20" i="7" s="1"/>
  <c r="BQ20" i="7" s="1"/>
  <c r="BR20" i="7" s="1"/>
  <c r="AV20" i="7"/>
  <c r="AT20" i="7"/>
  <c r="AU20" i="7" s="1"/>
  <c r="AM20" i="7"/>
  <c r="AH20" i="7"/>
  <c r="AG20" i="7"/>
  <c r="AF20" i="7"/>
  <c r="K20" i="7" s="1"/>
  <c r="BJ20" i="7" s="1"/>
  <c r="Z20" i="7"/>
  <c r="Y20" i="7"/>
  <c r="X20" i="7"/>
  <c r="Q20" i="7"/>
  <c r="L20" i="7"/>
  <c r="J20" i="7"/>
  <c r="I20" i="7"/>
  <c r="DJ19" i="7"/>
  <c r="DI19" i="7"/>
  <c r="DG19" i="7"/>
  <c r="DH19" i="7" s="1"/>
  <c r="BI19" i="7" s="1"/>
  <c r="BV19" i="7"/>
  <c r="BU19" i="7"/>
  <c r="BM19" i="7"/>
  <c r="BG19" i="7"/>
  <c r="BK19" i="7" s="1"/>
  <c r="BA19" i="7"/>
  <c r="BN19" i="7" s="1"/>
  <c r="BQ19" i="7" s="1"/>
  <c r="AV19" i="7"/>
  <c r="AT19" i="7"/>
  <c r="AU19" i="7" s="1"/>
  <c r="AM19" i="7"/>
  <c r="AH19" i="7"/>
  <c r="AG19" i="7"/>
  <c r="AF19" i="7"/>
  <c r="Z19" i="7"/>
  <c r="Y19" i="7"/>
  <c r="X19" i="7"/>
  <c r="T19" i="7"/>
  <c r="Q19" i="7"/>
  <c r="O19" i="7"/>
  <c r="L19" i="7"/>
  <c r="K19" i="7"/>
  <c r="BJ19" i="7" s="1"/>
  <c r="BL19" i="7" s="1"/>
  <c r="J19" i="7"/>
  <c r="I19" i="7"/>
  <c r="DJ18" i="7"/>
  <c r="T18" i="7" s="1"/>
  <c r="DI18" i="7"/>
  <c r="DH18" i="7" s="1"/>
  <c r="BI18" i="7" s="1"/>
  <c r="DG18" i="7"/>
  <c r="BV18" i="7"/>
  <c r="BU18" i="7"/>
  <c r="BM18" i="7"/>
  <c r="BG18" i="7"/>
  <c r="BA18" i="7"/>
  <c r="BN18" i="7" s="1"/>
  <c r="BQ18" i="7" s="1"/>
  <c r="AV18" i="7"/>
  <c r="AT18" i="7"/>
  <c r="O18" i="7" s="1"/>
  <c r="AM18" i="7"/>
  <c r="AH18" i="7"/>
  <c r="Z18" i="7"/>
  <c r="Y18" i="7"/>
  <c r="X18" i="7"/>
  <c r="Q18" i="7"/>
  <c r="DJ17" i="7"/>
  <c r="DI17" i="7"/>
  <c r="DG17" i="7"/>
  <c r="DH17" i="7" s="1"/>
  <c r="BV17" i="7"/>
  <c r="BU17" i="7"/>
  <c r="BM17" i="7"/>
  <c r="BJ17" i="7"/>
  <c r="BL17" i="7" s="1"/>
  <c r="BI17" i="7"/>
  <c r="BG17" i="7"/>
  <c r="BK17" i="7" s="1"/>
  <c r="BA17" i="7"/>
  <c r="BN17" i="7" s="1"/>
  <c r="BQ17" i="7" s="1"/>
  <c r="AV17" i="7"/>
  <c r="AT17" i="7"/>
  <c r="AU17" i="7" s="1"/>
  <c r="AM17" i="7"/>
  <c r="AH17" i="7"/>
  <c r="AG17" i="7"/>
  <c r="AF17" i="7"/>
  <c r="K17" i="7" s="1"/>
  <c r="AB17" i="7"/>
  <c r="Z17" i="7"/>
  <c r="Y17" i="7"/>
  <c r="X17" i="7"/>
  <c r="T17" i="7"/>
  <c r="Q17" i="7"/>
  <c r="O17" i="7"/>
  <c r="L17" i="7"/>
  <c r="J17" i="7"/>
  <c r="I17" i="7"/>
  <c r="DJ29" i="6"/>
  <c r="DI29" i="6"/>
  <c r="DG29" i="6"/>
  <c r="DH29" i="6" s="1"/>
  <c r="BV29" i="6"/>
  <c r="BU29" i="6"/>
  <c r="BM29" i="6"/>
  <c r="BJ29" i="6"/>
  <c r="BL29" i="6" s="1"/>
  <c r="BI29" i="6"/>
  <c r="BG29" i="6"/>
  <c r="BK29" i="6" s="1"/>
  <c r="BA29" i="6"/>
  <c r="BN29" i="6" s="1"/>
  <c r="BQ29" i="6" s="1"/>
  <c r="AV29" i="6"/>
  <c r="AU29" i="6"/>
  <c r="AT29" i="6"/>
  <c r="AM29" i="6"/>
  <c r="AH29" i="6"/>
  <c r="AG29" i="6"/>
  <c r="AF29" i="6"/>
  <c r="Z29" i="6"/>
  <c r="Y29" i="6"/>
  <c r="X29" i="6"/>
  <c r="T29" i="6"/>
  <c r="Q29" i="6"/>
  <c r="O29" i="6"/>
  <c r="L29" i="6"/>
  <c r="K29" i="6"/>
  <c r="J29" i="6"/>
  <c r="I29" i="6"/>
  <c r="DJ28" i="6"/>
  <c r="DI28" i="6"/>
  <c r="DH28" i="6"/>
  <c r="BI28" i="6" s="1"/>
  <c r="DG28" i="6"/>
  <c r="BV28" i="6"/>
  <c r="BU28" i="6"/>
  <c r="BM28" i="6"/>
  <c r="BG28" i="6"/>
  <c r="BK28" i="6" s="1"/>
  <c r="BA28" i="6"/>
  <c r="BN28" i="6" s="1"/>
  <c r="BQ28" i="6" s="1"/>
  <c r="BR28" i="6" s="1"/>
  <c r="AV28" i="6"/>
  <c r="AT28" i="6"/>
  <c r="O28" i="6" s="1"/>
  <c r="AM28" i="6"/>
  <c r="AH28" i="6"/>
  <c r="AG28" i="6"/>
  <c r="J28" i="6" s="1"/>
  <c r="I28" i="6" s="1"/>
  <c r="AF28" i="6"/>
  <c r="K28" i="6" s="1"/>
  <c r="BJ28" i="6" s="1"/>
  <c r="BL28" i="6" s="1"/>
  <c r="Z28" i="6"/>
  <c r="Y28" i="6"/>
  <c r="X28" i="6"/>
  <c r="Q28" i="6"/>
  <c r="DJ27" i="6"/>
  <c r="DI27" i="6"/>
  <c r="DG27" i="6"/>
  <c r="DH27" i="6" s="1"/>
  <c r="BI27" i="6" s="1"/>
  <c r="BV27" i="6"/>
  <c r="BU27" i="6"/>
  <c r="BM27" i="6"/>
  <c r="BJ27" i="6"/>
  <c r="BL27" i="6" s="1"/>
  <c r="BG27" i="6"/>
  <c r="BK27" i="6" s="1"/>
  <c r="BA27" i="6"/>
  <c r="BN27" i="6" s="1"/>
  <c r="BQ27" i="6" s="1"/>
  <c r="AV27" i="6"/>
  <c r="AU27" i="6"/>
  <c r="AT27" i="6"/>
  <c r="AM27" i="6"/>
  <c r="AH27" i="6"/>
  <c r="AG27" i="6"/>
  <c r="AF27" i="6"/>
  <c r="Z27" i="6"/>
  <c r="Y27" i="6"/>
  <c r="X27" i="6"/>
  <c r="T27" i="6"/>
  <c r="Q27" i="6"/>
  <c r="O27" i="6"/>
  <c r="L27" i="6"/>
  <c r="K27" i="6"/>
  <c r="J27" i="6"/>
  <c r="I27" i="6"/>
  <c r="DJ26" i="6"/>
  <c r="DI26" i="6"/>
  <c r="DG26" i="6"/>
  <c r="BV26" i="6"/>
  <c r="BU26" i="6"/>
  <c r="BM26" i="6"/>
  <c r="BG26" i="6"/>
  <c r="BA26" i="6"/>
  <c r="BN26" i="6" s="1"/>
  <c r="BQ26" i="6" s="1"/>
  <c r="BR26" i="6" s="1"/>
  <c r="AV26" i="6"/>
  <c r="AT26" i="6"/>
  <c r="O26" i="6" s="1"/>
  <c r="AM26" i="6"/>
  <c r="AH26" i="6"/>
  <c r="AG26" i="6"/>
  <c r="J26" i="6" s="1"/>
  <c r="I26" i="6" s="1"/>
  <c r="AF26" i="6"/>
  <c r="K26" i="6" s="1"/>
  <c r="BJ26" i="6" s="1"/>
  <c r="Z26" i="6"/>
  <c r="Y26" i="6"/>
  <c r="X26" i="6"/>
  <c r="Q26" i="6"/>
  <c r="DJ25" i="6"/>
  <c r="DI25" i="6"/>
  <c r="DG25" i="6"/>
  <c r="DH25" i="6" s="1"/>
  <c r="BI25" i="6" s="1"/>
  <c r="BV25" i="6"/>
  <c r="BU25" i="6"/>
  <c r="BR25" i="6"/>
  <c r="BM25" i="6"/>
  <c r="BJ25" i="6"/>
  <c r="BL25" i="6" s="1"/>
  <c r="BG25" i="6"/>
  <c r="BK25" i="6" s="1"/>
  <c r="BA25" i="6"/>
  <c r="BN25" i="6" s="1"/>
  <c r="BQ25" i="6" s="1"/>
  <c r="AV25" i="6"/>
  <c r="AU25" i="6"/>
  <c r="AT25" i="6"/>
  <c r="AM25" i="6"/>
  <c r="AH25" i="6"/>
  <c r="AG25" i="6"/>
  <c r="AF25" i="6"/>
  <c r="AB25" i="6"/>
  <c r="Z25" i="6"/>
  <c r="X25" i="6" s="1"/>
  <c r="Y25" i="6"/>
  <c r="T25" i="6"/>
  <c r="Q25" i="6"/>
  <c r="O25" i="6"/>
  <c r="L25" i="6"/>
  <c r="K25" i="6"/>
  <c r="J25" i="6"/>
  <c r="I25" i="6"/>
  <c r="DJ24" i="6"/>
  <c r="DI24" i="6"/>
  <c r="DG24" i="6"/>
  <c r="T24" i="6" s="1"/>
  <c r="BV24" i="6"/>
  <c r="BU24" i="6"/>
  <c r="BM24" i="6"/>
  <c r="BG24" i="6"/>
  <c r="BA24" i="6"/>
  <c r="BN24" i="6" s="1"/>
  <c r="BQ24" i="6" s="1"/>
  <c r="BR24" i="6" s="1"/>
  <c r="AV24" i="6"/>
  <c r="AT24" i="6"/>
  <c r="L24" i="6" s="1"/>
  <c r="AM24" i="6"/>
  <c r="AH24" i="6"/>
  <c r="AG24" i="6"/>
  <c r="J24" i="6" s="1"/>
  <c r="I24" i="6" s="1"/>
  <c r="AF24" i="6"/>
  <c r="K24" i="6" s="1"/>
  <c r="BJ24" i="6" s="1"/>
  <c r="Z24" i="6"/>
  <c r="Y24" i="6"/>
  <c r="X24" i="6"/>
  <c r="Q24" i="6"/>
  <c r="DJ23" i="6"/>
  <c r="DI23" i="6"/>
  <c r="DG23" i="6"/>
  <c r="DH23" i="6" s="1"/>
  <c r="BI23" i="6" s="1"/>
  <c r="BL23" i="6" s="1"/>
  <c r="BV23" i="6"/>
  <c r="BU23" i="6"/>
  <c r="BN23" i="6"/>
  <c r="BQ23" i="6" s="1"/>
  <c r="BM23" i="6"/>
  <c r="BJ23" i="6"/>
  <c r="BG23" i="6"/>
  <c r="BA23" i="6"/>
  <c r="AV23" i="6"/>
  <c r="AU23" i="6"/>
  <c r="AT23" i="6"/>
  <c r="AM23" i="6"/>
  <c r="AH23" i="6"/>
  <c r="AG23" i="6"/>
  <c r="AF23" i="6"/>
  <c r="AB23" i="6"/>
  <c r="Z23" i="6"/>
  <c r="Y23" i="6"/>
  <c r="X23" i="6"/>
  <c r="T23" i="6"/>
  <c r="Q23" i="6"/>
  <c r="O23" i="6"/>
  <c r="L23" i="6"/>
  <c r="K23" i="6"/>
  <c r="J23" i="6"/>
  <c r="I23" i="6"/>
  <c r="DJ22" i="6"/>
  <c r="DI22" i="6"/>
  <c r="DG22" i="6"/>
  <c r="T22" i="6" s="1"/>
  <c r="BV22" i="6"/>
  <c r="BU22" i="6"/>
  <c r="BT22" i="6"/>
  <c r="BS22" i="6"/>
  <c r="BW22" i="6" s="1"/>
  <c r="BX22" i="6" s="1"/>
  <c r="BM22" i="6"/>
  <c r="BG22" i="6"/>
  <c r="BA22" i="6"/>
  <c r="BN22" i="6" s="1"/>
  <c r="BQ22" i="6" s="1"/>
  <c r="BR22" i="6" s="1"/>
  <c r="AV22" i="6"/>
  <c r="AT22" i="6"/>
  <c r="O22" i="6" s="1"/>
  <c r="AM22" i="6"/>
  <c r="AH22" i="6"/>
  <c r="AG22" i="6"/>
  <c r="J22" i="6" s="1"/>
  <c r="I22" i="6" s="1"/>
  <c r="AF22" i="6"/>
  <c r="K22" i="6" s="1"/>
  <c r="BJ22" i="6" s="1"/>
  <c r="Z22" i="6"/>
  <c r="Y22" i="6"/>
  <c r="X22" i="6"/>
  <c r="Q22" i="6"/>
  <c r="DJ21" i="6"/>
  <c r="DI21" i="6"/>
  <c r="DG21" i="6"/>
  <c r="DH21" i="6" s="1"/>
  <c r="BI21" i="6" s="1"/>
  <c r="BK21" i="6" s="1"/>
  <c r="BV21" i="6"/>
  <c r="BU21" i="6"/>
  <c r="BN21" i="6"/>
  <c r="BQ21" i="6" s="1"/>
  <c r="BM21" i="6"/>
  <c r="BJ21" i="6"/>
  <c r="BL21" i="6" s="1"/>
  <c r="BG21" i="6"/>
  <c r="BA21" i="6"/>
  <c r="AV21" i="6"/>
  <c r="AU21" i="6"/>
  <c r="AT21" i="6"/>
  <c r="AM21" i="6"/>
  <c r="AH21" i="6"/>
  <c r="AG21" i="6"/>
  <c r="AF21" i="6"/>
  <c r="AB21" i="6"/>
  <c r="Z21" i="6"/>
  <c r="Y21" i="6"/>
  <c r="X21" i="6"/>
  <c r="T21" i="6"/>
  <c r="Q21" i="6"/>
  <c r="O21" i="6"/>
  <c r="L21" i="6"/>
  <c r="K21" i="6"/>
  <c r="J21" i="6"/>
  <c r="I21" i="6"/>
  <c r="DJ20" i="6"/>
  <c r="DI20" i="6"/>
  <c r="DG20" i="6"/>
  <c r="T20" i="6" s="1"/>
  <c r="BV20" i="6"/>
  <c r="BU20" i="6"/>
  <c r="BM20" i="6"/>
  <c r="BG20" i="6"/>
  <c r="BA20" i="6"/>
  <c r="BN20" i="6" s="1"/>
  <c r="BQ20" i="6" s="1"/>
  <c r="AV20" i="6"/>
  <c r="AT20" i="6" s="1"/>
  <c r="AM20" i="6"/>
  <c r="AH20" i="6"/>
  <c r="Z20" i="6"/>
  <c r="Y20" i="6"/>
  <c r="X20" i="6"/>
  <c r="Q20" i="6"/>
  <c r="DJ19" i="6"/>
  <c r="DI19" i="6"/>
  <c r="DG19" i="6"/>
  <c r="DH19" i="6" s="1"/>
  <c r="BV19" i="6"/>
  <c r="BU19" i="6"/>
  <c r="BM19" i="6"/>
  <c r="BJ19" i="6"/>
  <c r="BL19" i="6" s="1"/>
  <c r="BI19" i="6"/>
  <c r="BG19" i="6"/>
  <c r="BK19" i="6" s="1"/>
  <c r="BA19" i="6"/>
  <c r="BN19" i="6" s="1"/>
  <c r="BQ19" i="6" s="1"/>
  <c r="AV19" i="6"/>
  <c r="AU19" i="6"/>
  <c r="AT19" i="6"/>
  <c r="AM19" i="6"/>
  <c r="AH19" i="6"/>
  <c r="AG19" i="6"/>
  <c r="AF19" i="6"/>
  <c r="AB19" i="6"/>
  <c r="Z19" i="6"/>
  <c r="Y19" i="6"/>
  <c r="X19" i="6"/>
  <c r="T19" i="6"/>
  <c r="U19" i="6" s="1"/>
  <c r="V19" i="6" s="1"/>
  <c r="Q19" i="6"/>
  <c r="O19" i="6"/>
  <c r="L19" i="6"/>
  <c r="K19" i="6"/>
  <c r="J19" i="6"/>
  <c r="I19" i="6"/>
  <c r="DJ18" i="6"/>
  <c r="DI18" i="6"/>
  <c r="DG18" i="6"/>
  <c r="DH18" i="6" s="1"/>
  <c r="BI18" i="6" s="1"/>
  <c r="BV18" i="6"/>
  <c r="BU18" i="6"/>
  <c r="BM18" i="6"/>
  <c r="BG18" i="6"/>
  <c r="BA18" i="6"/>
  <c r="BN18" i="6" s="1"/>
  <c r="BQ18" i="6" s="1"/>
  <c r="BR18" i="6" s="1"/>
  <c r="AV18" i="6"/>
  <c r="AT18" i="6" s="1"/>
  <c r="AU18" i="6"/>
  <c r="AM18" i="6"/>
  <c r="AH18" i="6"/>
  <c r="Z18" i="6"/>
  <c r="Y18" i="6"/>
  <c r="X18" i="6"/>
  <c r="T18" i="6"/>
  <c r="Q18" i="6"/>
  <c r="L18" i="6"/>
  <c r="DJ17" i="6"/>
  <c r="DI17" i="6"/>
  <c r="DG17" i="6"/>
  <c r="DH17" i="6" s="1"/>
  <c r="BV17" i="6"/>
  <c r="BU17" i="6"/>
  <c r="BM17" i="6"/>
  <c r="BJ17" i="6"/>
  <c r="BL17" i="6" s="1"/>
  <c r="BI17" i="6"/>
  <c r="BG17" i="6"/>
  <c r="BK17" i="6" s="1"/>
  <c r="BA17" i="6"/>
  <c r="BN17" i="6" s="1"/>
  <c r="BQ17" i="6" s="1"/>
  <c r="AV17" i="6"/>
  <c r="AU17" i="6"/>
  <c r="AT17" i="6"/>
  <c r="AM17" i="6"/>
  <c r="AH17" i="6"/>
  <c r="AG17" i="6"/>
  <c r="AF17" i="6"/>
  <c r="AB17" i="6"/>
  <c r="Z17" i="6"/>
  <c r="Y17" i="6"/>
  <c r="X17" i="6"/>
  <c r="T17" i="6"/>
  <c r="Q17" i="6"/>
  <c r="O17" i="6"/>
  <c r="L17" i="6"/>
  <c r="K17" i="6"/>
  <c r="J17" i="6"/>
  <c r="I17" i="6"/>
  <c r="DJ29" i="4"/>
  <c r="DI29" i="4"/>
  <c r="DG29" i="4"/>
  <c r="DH29" i="4" s="1"/>
  <c r="BV29" i="4"/>
  <c r="BU29" i="4"/>
  <c r="BN29" i="4"/>
  <c r="BQ29" i="4" s="1"/>
  <c r="BM29" i="4"/>
  <c r="BJ29" i="4"/>
  <c r="BL29" i="4" s="1"/>
  <c r="BI29" i="4"/>
  <c r="BK29" i="4" s="1"/>
  <c r="BG29" i="4"/>
  <c r="BA29" i="4"/>
  <c r="AV29" i="4"/>
  <c r="AU29" i="4"/>
  <c r="AT29" i="4"/>
  <c r="AM29" i="4"/>
  <c r="AH29" i="4"/>
  <c r="AG29" i="4"/>
  <c r="AF29" i="4"/>
  <c r="AB29" i="4"/>
  <c r="Z29" i="4"/>
  <c r="Y29" i="4"/>
  <c r="X29" i="4"/>
  <c r="T29" i="4"/>
  <c r="Q29" i="4"/>
  <c r="O29" i="4"/>
  <c r="L29" i="4"/>
  <c r="K29" i="4"/>
  <c r="J29" i="4"/>
  <c r="I29" i="4"/>
  <c r="DJ28" i="4"/>
  <c r="DI28" i="4"/>
  <c r="DG28" i="4"/>
  <c r="T28" i="4" s="1"/>
  <c r="BV28" i="4"/>
  <c r="BU28" i="4"/>
  <c r="BM28" i="4"/>
  <c r="BG28" i="4"/>
  <c r="BA28" i="4"/>
  <c r="BN28" i="4" s="1"/>
  <c r="BQ28" i="4" s="1"/>
  <c r="BR28" i="4" s="1"/>
  <c r="AV28" i="4"/>
  <c r="AT28" i="4"/>
  <c r="AU28" i="4" s="1"/>
  <c r="AM28" i="4"/>
  <c r="AH28" i="4"/>
  <c r="Z28" i="4"/>
  <c r="Y28" i="4"/>
  <c r="X28" i="4"/>
  <c r="Q28" i="4"/>
  <c r="DJ27" i="4"/>
  <c r="DI27" i="4"/>
  <c r="DG27" i="4"/>
  <c r="DH27" i="4" s="1"/>
  <c r="BV27" i="4"/>
  <c r="BU27" i="4"/>
  <c r="BN27" i="4"/>
  <c r="BQ27" i="4" s="1"/>
  <c r="BM27" i="4"/>
  <c r="BJ27" i="4"/>
  <c r="BL27" i="4" s="1"/>
  <c r="BI27" i="4"/>
  <c r="BK27" i="4" s="1"/>
  <c r="BG27" i="4"/>
  <c r="BA27" i="4"/>
  <c r="AV27" i="4"/>
  <c r="AU27" i="4"/>
  <c r="AT27" i="4"/>
  <c r="AM27" i="4"/>
  <c r="AH27" i="4"/>
  <c r="AG27" i="4"/>
  <c r="AF27" i="4"/>
  <c r="AB27" i="4"/>
  <c r="Z27" i="4"/>
  <c r="X27" i="4" s="1"/>
  <c r="Y27" i="4"/>
  <c r="T27" i="4"/>
  <c r="Q27" i="4"/>
  <c r="O27" i="4"/>
  <c r="L27" i="4"/>
  <c r="K27" i="4"/>
  <c r="J27" i="4"/>
  <c r="I27" i="4"/>
  <c r="DJ26" i="4"/>
  <c r="DI26" i="4"/>
  <c r="DG26" i="4"/>
  <c r="T26" i="4" s="1"/>
  <c r="BV26" i="4"/>
  <c r="BU26" i="4"/>
  <c r="BM26" i="4"/>
  <c r="BG26" i="4"/>
  <c r="BA26" i="4"/>
  <c r="BN26" i="4" s="1"/>
  <c r="BQ26" i="4" s="1"/>
  <c r="BR26" i="4" s="1"/>
  <c r="AV26" i="4"/>
  <c r="AT26" i="4"/>
  <c r="AU26" i="4" s="1"/>
  <c r="AM26" i="4"/>
  <c r="AH26" i="4"/>
  <c r="Z26" i="4"/>
  <c r="Y26" i="4"/>
  <c r="X26" i="4"/>
  <c r="Q26" i="4"/>
  <c r="DJ25" i="4"/>
  <c r="DI25" i="4"/>
  <c r="DG25" i="4"/>
  <c r="DH25" i="4" s="1"/>
  <c r="BV25" i="4"/>
  <c r="BU25" i="4"/>
  <c r="BM25" i="4"/>
  <c r="BJ25" i="4"/>
  <c r="BL25" i="4" s="1"/>
  <c r="BI25" i="4"/>
  <c r="BG25" i="4"/>
  <c r="BK25" i="4" s="1"/>
  <c r="BA25" i="4"/>
  <c r="BN25" i="4" s="1"/>
  <c r="BQ25" i="4" s="1"/>
  <c r="AV25" i="4"/>
  <c r="AU25" i="4"/>
  <c r="AT25" i="4"/>
  <c r="AM25" i="4"/>
  <c r="AH25" i="4"/>
  <c r="AG25" i="4"/>
  <c r="AF25" i="4"/>
  <c r="AB25" i="4"/>
  <c r="Z25" i="4"/>
  <c r="X25" i="4" s="1"/>
  <c r="Y25" i="4"/>
  <c r="T25" i="4"/>
  <c r="Q25" i="4"/>
  <c r="O25" i="4"/>
  <c r="L25" i="4"/>
  <c r="K25" i="4"/>
  <c r="J25" i="4"/>
  <c r="I25" i="4"/>
  <c r="DJ24" i="4"/>
  <c r="DI24" i="4"/>
  <c r="DG24" i="4"/>
  <c r="T24" i="4" s="1"/>
  <c r="BV24" i="4"/>
  <c r="BU24" i="4"/>
  <c r="BM24" i="4"/>
  <c r="BG24" i="4"/>
  <c r="BA24" i="4"/>
  <c r="BN24" i="4" s="1"/>
  <c r="BQ24" i="4" s="1"/>
  <c r="BR24" i="4" s="1"/>
  <c r="AV24" i="4"/>
  <c r="AT24" i="4"/>
  <c r="AU24" i="4" s="1"/>
  <c r="AM24" i="4"/>
  <c r="AH24" i="4"/>
  <c r="AG24" i="4"/>
  <c r="J24" i="4" s="1"/>
  <c r="I24" i="4" s="1"/>
  <c r="Z24" i="4"/>
  <c r="Y24" i="4"/>
  <c r="X24" i="4"/>
  <c r="Q24" i="4"/>
  <c r="DJ23" i="4"/>
  <c r="DI23" i="4"/>
  <c r="DG23" i="4"/>
  <c r="DH23" i="4" s="1"/>
  <c r="BI23" i="4" s="1"/>
  <c r="BV23" i="4"/>
  <c r="BU23" i="4"/>
  <c r="BM23" i="4"/>
  <c r="BJ23" i="4"/>
  <c r="BL23" i="4" s="1"/>
  <c r="BG23" i="4"/>
  <c r="BA23" i="4"/>
  <c r="BN23" i="4" s="1"/>
  <c r="BQ23" i="4" s="1"/>
  <c r="AV23" i="4"/>
  <c r="AU23" i="4"/>
  <c r="AT23" i="4"/>
  <c r="AM23" i="4"/>
  <c r="AH23" i="4"/>
  <c r="AG23" i="4"/>
  <c r="AF23" i="4"/>
  <c r="AB23" i="4"/>
  <c r="Z23" i="4"/>
  <c r="Y23" i="4"/>
  <c r="X23" i="4"/>
  <c r="T23" i="4"/>
  <c r="Q23" i="4"/>
  <c r="O23" i="4"/>
  <c r="L23" i="4"/>
  <c r="K23" i="4"/>
  <c r="J23" i="4"/>
  <c r="I23" i="4"/>
  <c r="DJ22" i="4"/>
  <c r="DI22" i="4"/>
  <c r="DG22" i="4"/>
  <c r="T22" i="4" s="1"/>
  <c r="BV22" i="4"/>
  <c r="BU22" i="4"/>
  <c r="BT22" i="4"/>
  <c r="BM22" i="4"/>
  <c r="BG22" i="4"/>
  <c r="BA22" i="4"/>
  <c r="BN22" i="4" s="1"/>
  <c r="BQ22" i="4" s="1"/>
  <c r="BR22" i="4" s="1"/>
  <c r="AV22" i="4"/>
  <c r="AT22" i="4"/>
  <c r="AU22" i="4" s="1"/>
  <c r="AM22" i="4"/>
  <c r="AH22" i="4"/>
  <c r="AG22" i="4"/>
  <c r="J22" i="4" s="1"/>
  <c r="I22" i="4" s="1"/>
  <c r="Z22" i="4"/>
  <c r="Y22" i="4"/>
  <c r="X22" i="4"/>
  <c r="Q22" i="4"/>
  <c r="O22" i="4"/>
  <c r="DJ21" i="4"/>
  <c r="DI21" i="4"/>
  <c r="DG21" i="4"/>
  <c r="DH21" i="4" s="1"/>
  <c r="BI21" i="4" s="1"/>
  <c r="BV21" i="4"/>
  <c r="BU21" i="4"/>
  <c r="BM21" i="4"/>
  <c r="BG21" i="4"/>
  <c r="BK21" i="4" s="1"/>
  <c r="BA21" i="4"/>
  <c r="BN21" i="4" s="1"/>
  <c r="BQ21" i="4" s="1"/>
  <c r="AV21" i="4"/>
  <c r="AT21" i="4" s="1"/>
  <c r="AM21" i="4"/>
  <c r="AH21" i="4"/>
  <c r="Z21" i="4"/>
  <c r="Y21" i="4"/>
  <c r="X21" i="4"/>
  <c r="T21" i="4"/>
  <c r="Q21" i="4"/>
  <c r="DJ20" i="4"/>
  <c r="DI20" i="4"/>
  <c r="DG20" i="4"/>
  <c r="T20" i="4" s="1"/>
  <c r="BV20" i="4"/>
  <c r="BU20" i="4"/>
  <c r="BT20" i="4"/>
  <c r="BS20" i="4"/>
  <c r="BW20" i="4" s="1"/>
  <c r="BX20" i="4" s="1"/>
  <c r="BM20" i="4"/>
  <c r="BG20" i="4"/>
  <c r="BA20" i="4"/>
  <c r="BN20" i="4" s="1"/>
  <c r="BQ20" i="4" s="1"/>
  <c r="BR20" i="4" s="1"/>
  <c r="AV20" i="4"/>
  <c r="AT20" i="4"/>
  <c r="AU20" i="4" s="1"/>
  <c r="AM20" i="4"/>
  <c r="AH20" i="4"/>
  <c r="AG20" i="4"/>
  <c r="J20" i="4" s="1"/>
  <c r="I20" i="4" s="1"/>
  <c r="AF20" i="4"/>
  <c r="K20" i="4" s="1"/>
  <c r="BJ20" i="4" s="1"/>
  <c r="Z20" i="4"/>
  <c r="Y20" i="4"/>
  <c r="X20" i="4"/>
  <c r="Q20" i="4"/>
  <c r="O20" i="4"/>
  <c r="DJ19" i="4"/>
  <c r="DI19" i="4"/>
  <c r="DG19" i="4"/>
  <c r="DH19" i="4" s="1"/>
  <c r="BI19" i="4" s="1"/>
  <c r="BV19" i="4"/>
  <c r="BU19" i="4"/>
  <c r="BM19" i="4"/>
  <c r="BG19" i="4"/>
  <c r="BA19" i="4"/>
  <c r="BN19" i="4" s="1"/>
  <c r="BQ19" i="4" s="1"/>
  <c r="AV19" i="4"/>
  <c r="AT19" i="4" s="1"/>
  <c r="AM19" i="4"/>
  <c r="AH19" i="4"/>
  <c r="Z19" i="4"/>
  <c r="Y19" i="4"/>
  <c r="X19" i="4"/>
  <c r="T19" i="4"/>
  <c r="Q19" i="4"/>
  <c r="DJ18" i="4"/>
  <c r="DI18" i="4"/>
  <c r="DG18" i="4"/>
  <c r="T18" i="4" s="1"/>
  <c r="BV18" i="4"/>
  <c r="BU18" i="4"/>
  <c r="BT18" i="4"/>
  <c r="BS18" i="4"/>
  <c r="BW18" i="4" s="1"/>
  <c r="BX18" i="4" s="1"/>
  <c r="BM18" i="4"/>
  <c r="BG18" i="4"/>
  <c r="BA18" i="4"/>
  <c r="BN18" i="4" s="1"/>
  <c r="BQ18" i="4" s="1"/>
  <c r="BR18" i="4" s="1"/>
  <c r="AV18" i="4"/>
  <c r="AT18" i="4"/>
  <c r="AU18" i="4" s="1"/>
  <c r="AM18" i="4"/>
  <c r="AH18" i="4"/>
  <c r="AG18" i="4"/>
  <c r="J18" i="4" s="1"/>
  <c r="I18" i="4" s="1"/>
  <c r="AF18" i="4"/>
  <c r="K18" i="4" s="1"/>
  <c r="BJ18" i="4" s="1"/>
  <c r="Z18" i="4"/>
  <c r="Y18" i="4"/>
  <c r="X18" i="4"/>
  <c r="Q18" i="4"/>
  <c r="O18" i="4"/>
  <c r="L18" i="4"/>
  <c r="DJ17" i="4"/>
  <c r="DI17" i="4"/>
  <c r="DG17" i="4"/>
  <c r="DH17" i="4" s="1"/>
  <c r="BI17" i="4" s="1"/>
  <c r="BV17" i="4"/>
  <c r="BU17" i="4"/>
  <c r="BN17" i="4"/>
  <c r="BQ17" i="4" s="1"/>
  <c r="BM17" i="4"/>
  <c r="BG17" i="4"/>
  <c r="BA17" i="4"/>
  <c r="AV17" i="4"/>
  <c r="AT17" i="4" s="1"/>
  <c r="AM17" i="4"/>
  <c r="AH17" i="4"/>
  <c r="Z17" i="4"/>
  <c r="X17" i="4" s="1"/>
  <c r="Y17" i="4"/>
  <c r="T17" i="4"/>
  <c r="Q17" i="4"/>
  <c r="DJ29" i="3"/>
  <c r="DI29" i="3"/>
  <c r="DG29" i="3"/>
  <c r="DH29" i="3" s="1"/>
  <c r="BV29" i="3"/>
  <c r="BU29" i="3"/>
  <c r="BM29" i="3"/>
  <c r="BJ29" i="3"/>
  <c r="BI29" i="3"/>
  <c r="BG29" i="3"/>
  <c r="BK29" i="3" s="1"/>
  <c r="BA29" i="3"/>
  <c r="BN29" i="3" s="1"/>
  <c r="BQ29" i="3" s="1"/>
  <c r="AV29" i="3"/>
  <c r="AU29" i="3"/>
  <c r="AT29" i="3"/>
  <c r="AM29" i="3"/>
  <c r="AH29" i="3"/>
  <c r="AG29" i="3"/>
  <c r="AF29" i="3"/>
  <c r="AB29" i="3"/>
  <c r="Z29" i="3"/>
  <c r="Y29" i="3"/>
  <c r="X29" i="3"/>
  <c r="T29" i="3"/>
  <c r="Q29" i="3"/>
  <c r="O29" i="3"/>
  <c r="L29" i="3"/>
  <c r="K29" i="3"/>
  <c r="J29" i="3"/>
  <c r="I29" i="3"/>
  <c r="DJ28" i="3"/>
  <c r="DI28" i="3"/>
  <c r="DG28" i="3"/>
  <c r="DH28" i="3" s="1"/>
  <c r="BI28" i="3" s="1"/>
  <c r="BV28" i="3"/>
  <c r="BU28" i="3"/>
  <c r="BT28" i="3"/>
  <c r="BS28" i="3"/>
  <c r="BW28" i="3" s="1"/>
  <c r="BX28" i="3" s="1"/>
  <c r="BM28" i="3"/>
  <c r="BG28" i="3"/>
  <c r="BK28" i="3" s="1"/>
  <c r="BA28" i="3"/>
  <c r="BN28" i="3" s="1"/>
  <c r="BQ28" i="3" s="1"/>
  <c r="BR28" i="3" s="1"/>
  <c r="AV28" i="3"/>
  <c r="AT28" i="3"/>
  <c r="AU28" i="3" s="1"/>
  <c r="AM28" i="3"/>
  <c r="AH28" i="3"/>
  <c r="AG28" i="3"/>
  <c r="AF28" i="3"/>
  <c r="K28" i="3" s="1"/>
  <c r="BJ28" i="3" s="1"/>
  <c r="BL28" i="3" s="1"/>
  <c r="Z28" i="3"/>
  <c r="Y28" i="3"/>
  <c r="X28" i="3"/>
  <c r="Q28" i="3"/>
  <c r="O28" i="3"/>
  <c r="L28" i="3"/>
  <c r="J28" i="3"/>
  <c r="I28" i="3"/>
  <c r="DJ27" i="3"/>
  <c r="DI27" i="3"/>
  <c r="DG27" i="3"/>
  <c r="DH27" i="3" s="1"/>
  <c r="BV27" i="3"/>
  <c r="BU27" i="3"/>
  <c r="BM27" i="3"/>
  <c r="BJ27" i="3"/>
  <c r="BI27" i="3"/>
  <c r="BG27" i="3"/>
  <c r="BK27" i="3" s="1"/>
  <c r="BA27" i="3"/>
  <c r="BN27" i="3" s="1"/>
  <c r="BQ27" i="3" s="1"/>
  <c r="AV27" i="3"/>
  <c r="AU27" i="3"/>
  <c r="AT27" i="3"/>
  <c r="AM27" i="3"/>
  <c r="AH27" i="3"/>
  <c r="AG27" i="3"/>
  <c r="AF27" i="3"/>
  <c r="AB27" i="3"/>
  <c r="Z27" i="3"/>
  <c r="Y27" i="3"/>
  <c r="X27" i="3"/>
  <c r="T27" i="3"/>
  <c r="Q27" i="3"/>
  <c r="O27" i="3"/>
  <c r="L27" i="3"/>
  <c r="K27" i="3"/>
  <c r="J27" i="3"/>
  <c r="I27" i="3"/>
  <c r="DJ26" i="3"/>
  <c r="DI26" i="3"/>
  <c r="DG26" i="3"/>
  <c r="DH26" i="3" s="1"/>
  <c r="BI26" i="3" s="1"/>
  <c r="BV26" i="3"/>
  <c r="BU26" i="3"/>
  <c r="BM26" i="3"/>
  <c r="BG26" i="3"/>
  <c r="BK26" i="3" s="1"/>
  <c r="BA26" i="3"/>
  <c r="BN26" i="3" s="1"/>
  <c r="BQ26" i="3" s="1"/>
  <c r="BR26" i="3" s="1"/>
  <c r="AV26" i="3"/>
  <c r="AT26" i="3"/>
  <c r="AU26" i="3" s="1"/>
  <c r="AM26" i="3"/>
  <c r="AH26" i="3"/>
  <c r="AG26" i="3"/>
  <c r="AF26" i="3"/>
  <c r="K26" i="3" s="1"/>
  <c r="BJ26" i="3" s="1"/>
  <c r="BL26" i="3" s="1"/>
  <c r="Z26" i="3"/>
  <c r="Y26" i="3"/>
  <c r="X26" i="3"/>
  <c r="Q26" i="3"/>
  <c r="O26" i="3"/>
  <c r="L26" i="3"/>
  <c r="J26" i="3"/>
  <c r="I26" i="3"/>
  <c r="DJ25" i="3"/>
  <c r="DI25" i="3"/>
  <c r="DG25" i="3"/>
  <c r="DH25" i="3" s="1"/>
  <c r="BV25" i="3"/>
  <c r="BU25" i="3"/>
  <c r="BM25" i="3"/>
  <c r="BJ25" i="3"/>
  <c r="BI25" i="3"/>
  <c r="BG25" i="3"/>
  <c r="BK25" i="3" s="1"/>
  <c r="BA25" i="3"/>
  <c r="BN25" i="3" s="1"/>
  <c r="BQ25" i="3" s="1"/>
  <c r="AV25" i="3"/>
  <c r="AU25" i="3"/>
  <c r="AT25" i="3"/>
  <c r="AM25" i="3"/>
  <c r="AH25" i="3"/>
  <c r="AG25" i="3"/>
  <c r="AF25" i="3"/>
  <c r="AB25" i="3"/>
  <c r="Z25" i="3"/>
  <c r="Y25" i="3"/>
  <c r="X25" i="3"/>
  <c r="T25" i="3"/>
  <c r="Q25" i="3"/>
  <c r="O25" i="3"/>
  <c r="L25" i="3"/>
  <c r="K25" i="3"/>
  <c r="J25" i="3"/>
  <c r="I25" i="3"/>
  <c r="DJ24" i="3"/>
  <c r="DI24" i="3"/>
  <c r="DG24" i="3"/>
  <c r="T24" i="3" s="1"/>
  <c r="BV24" i="3"/>
  <c r="BU24" i="3"/>
  <c r="BM24" i="3"/>
  <c r="BG24" i="3"/>
  <c r="BA24" i="3"/>
  <c r="BN24" i="3" s="1"/>
  <c r="BQ24" i="3" s="1"/>
  <c r="BR24" i="3" s="1"/>
  <c r="AV24" i="3"/>
  <c r="AT24" i="3"/>
  <c r="AU24" i="3" s="1"/>
  <c r="AM24" i="3"/>
  <c r="AH24" i="3"/>
  <c r="AG24" i="3"/>
  <c r="AF24" i="3"/>
  <c r="Z24" i="3"/>
  <c r="Y24" i="3"/>
  <c r="X24" i="3"/>
  <c r="Q24" i="3"/>
  <c r="O24" i="3"/>
  <c r="L24" i="3"/>
  <c r="K24" i="3"/>
  <c r="BJ24" i="3" s="1"/>
  <c r="J24" i="3"/>
  <c r="I24" i="3"/>
  <c r="DJ23" i="3"/>
  <c r="DI23" i="3"/>
  <c r="DG23" i="3"/>
  <c r="DH23" i="3" s="1"/>
  <c r="BV23" i="3"/>
  <c r="BU23" i="3"/>
  <c r="BM23" i="3"/>
  <c r="BJ23" i="3"/>
  <c r="BI23" i="3"/>
  <c r="BG23" i="3"/>
  <c r="BK23" i="3" s="1"/>
  <c r="BA23" i="3"/>
  <c r="BN23" i="3" s="1"/>
  <c r="BQ23" i="3" s="1"/>
  <c r="AV23" i="3"/>
  <c r="AU23" i="3"/>
  <c r="AT23" i="3"/>
  <c r="AM23" i="3"/>
  <c r="AH23" i="3"/>
  <c r="AG23" i="3"/>
  <c r="AF23" i="3"/>
  <c r="AB23" i="3"/>
  <c r="Z23" i="3"/>
  <c r="Y23" i="3"/>
  <c r="X23" i="3"/>
  <c r="T23" i="3"/>
  <c r="U23" i="3" s="1"/>
  <c r="V23" i="3" s="1"/>
  <c r="Q23" i="3"/>
  <c r="O23" i="3"/>
  <c r="L23" i="3"/>
  <c r="K23" i="3"/>
  <c r="J23" i="3"/>
  <c r="I23" i="3"/>
  <c r="DJ22" i="3"/>
  <c r="DI22" i="3"/>
  <c r="DG22" i="3"/>
  <c r="T22" i="3" s="1"/>
  <c r="BV22" i="3"/>
  <c r="BU22" i="3"/>
  <c r="BT22" i="3"/>
  <c r="BS22" i="3"/>
  <c r="BW22" i="3" s="1"/>
  <c r="BX22" i="3" s="1"/>
  <c r="BM22" i="3"/>
  <c r="BG22" i="3"/>
  <c r="BA22" i="3"/>
  <c r="BN22" i="3" s="1"/>
  <c r="BQ22" i="3" s="1"/>
  <c r="BR22" i="3" s="1"/>
  <c r="AV22" i="3"/>
  <c r="AT22" i="3"/>
  <c r="AU22" i="3" s="1"/>
  <c r="AM22" i="3"/>
  <c r="AH22" i="3"/>
  <c r="AG22" i="3"/>
  <c r="J22" i="3" s="1"/>
  <c r="I22" i="3" s="1"/>
  <c r="AF22" i="3"/>
  <c r="Z22" i="3"/>
  <c r="Y22" i="3"/>
  <c r="X22" i="3"/>
  <c r="Q22" i="3"/>
  <c r="O22" i="3"/>
  <c r="L22" i="3"/>
  <c r="K22" i="3"/>
  <c r="BJ22" i="3" s="1"/>
  <c r="DJ21" i="3"/>
  <c r="DI21" i="3"/>
  <c r="DG21" i="3"/>
  <c r="DH21" i="3" s="1"/>
  <c r="BV21" i="3"/>
  <c r="BU21" i="3"/>
  <c r="BM21" i="3"/>
  <c r="BJ21" i="3"/>
  <c r="BI21" i="3"/>
  <c r="BK21" i="3" s="1"/>
  <c r="BG21" i="3"/>
  <c r="BA21" i="3"/>
  <c r="BN21" i="3" s="1"/>
  <c r="BQ21" i="3" s="1"/>
  <c r="AV21" i="3"/>
  <c r="AU21" i="3"/>
  <c r="AT21" i="3"/>
  <c r="AM21" i="3"/>
  <c r="AH21" i="3"/>
  <c r="AG21" i="3"/>
  <c r="AF21" i="3"/>
  <c r="AB21" i="3"/>
  <c r="Z21" i="3"/>
  <c r="Y21" i="3"/>
  <c r="X21" i="3"/>
  <c r="T21" i="3"/>
  <c r="U21" i="3" s="1"/>
  <c r="V21" i="3" s="1"/>
  <c r="Q21" i="3"/>
  <c r="O21" i="3"/>
  <c r="L21" i="3"/>
  <c r="K21" i="3"/>
  <c r="J21" i="3"/>
  <c r="I21" i="3"/>
  <c r="DJ20" i="3"/>
  <c r="DI20" i="3"/>
  <c r="DG20" i="3"/>
  <c r="T20" i="3" s="1"/>
  <c r="BV20" i="3"/>
  <c r="BU20" i="3"/>
  <c r="BM20" i="3"/>
  <c r="BG20" i="3"/>
  <c r="BA20" i="3"/>
  <c r="BN20" i="3" s="1"/>
  <c r="BQ20" i="3" s="1"/>
  <c r="BR20" i="3" s="1"/>
  <c r="AV20" i="3"/>
  <c r="AT20" i="3"/>
  <c r="AU20" i="3" s="1"/>
  <c r="AM20" i="3"/>
  <c r="AH20" i="3"/>
  <c r="AG20" i="3"/>
  <c r="J20" i="3" s="1"/>
  <c r="I20" i="3" s="1"/>
  <c r="AF20" i="3"/>
  <c r="Z20" i="3"/>
  <c r="Y20" i="3"/>
  <c r="X20" i="3"/>
  <c r="Q20" i="3"/>
  <c r="O20" i="3"/>
  <c r="L20" i="3"/>
  <c r="K20" i="3"/>
  <c r="BJ20" i="3" s="1"/>
  <c r="DJ19" i="3"/>
  <c r="DI19" i="3"/>
  <c r="DG19" i="3"/>
  <c r="DH19" i="3" s="1"/>
  <c r="BI19" i="3" s="1"/>
  <c r="BV19" i="3"/>
  <c r="BU19" i="3"/>
  <c r="BM19" i="3"/>
  <c r="BJ19" i="3"/>
  <c r="BG19" i="3"/>
  <c r="BA19" i="3"/>
  <c r="BN19" i="3" s="1"/>
  <c r="BQ19" i="3" s="1"/>
  <c r="AV19" i="3"/>
  <c r="AU19" i="3"/>
  <c r="AT19" i="3"/>
  <c r="AM19" i="3"/>
  <c r="AH19" i="3"/>
  <c r="AG19" i="3"/>
  <c r="AF19" i="3"/>
  <c r="AB19" i="3"/>
  <c r="Z19" i="3"/>
  <c r="Y19" i="3"/>
  <c r="X19" i="3"/>
  <c r="T19" i="3"/>
  <c r="Q19" i="3"/>
  <c r="O19" i="3"/>
  <c r="L19" i="3"/>
  <c r="K19" i="3"/>
  <c r="J19" i="3"/>
  <c r="I19" i="3"/>
  <c r="DJ18" i="3"/>
  <c r="DI18" i="3"/>
  <c r="DG18" i="3"/>
  <c r="T18" i="3" s="1"/>
  <c r="BV18" i="3"/>
  <c r="BU18" i="3"/>
  <c r="BM18" i="3"/>
  <c r="BG18" i="3"/>
  <c r="BA18" i="3"/>
  <c r="BN18" i="3" s="1"/>
  <c r="BQ18" i="3" s="1"/>
  <c r="BR18" i="3" s="1"/>
  <c r="AV18" i="3"/>
  <c r="AT18" i="3"/>
  <c r="AU18" i="3" s="1"/>
  <c r="AM18" i="3"/>
  <c r="AH18" i="3"/>
  <c r="AG18" i="3"/>
  <c r="AF18" i="3"/>
  <c r="Z18" i="3"/>
  <c r="Y18" i="3"/>
  <c r="X18" i="3"/>
  <c r="Q18" i="3"/>
  <c r="O18" i="3"/>
  <c r="L18" i="3"/>
  <c r="K18" i="3"/>
  <c r="BJ18" i="3" s="1"/>
  <c r="J18" i="3"/>
  <c r="I18" i="3"/>
  <c r="DJ17" i="3"/>
  <c r="DI17" i="3"/>
  <c r="DG17" i="3"/>
  <c r="DH17" i="3" s="1"/>
  <c r="BI17" i="3" s="1"/>
  <c r="BV17" i="3"/>
  <c r="BU17" i="3"/>
  <c r="BM17" i="3"/>
  <c r="BJ17" i="3"/>
  <c r="BG17" i="3"/>
  <c r="BK17" i="3" s="1"/>
  <c r="BA17" i="3"/>
  <c r="BN17" i="3" s="1"/>
  <c r="BQ17" i="3" s="1"/>
  <c r="AV17" i="3"/>
  <c r="AU17" i="3"/>
  <c r="AT17" i="3"/>
  <c r="AM17" i="3"/>
  <c r="AH17" i="3"/>
  <c r="AG17" i="3"/>
  <c r="AF17" i="3"/>
  <c r="AB17" i="3"/>
  <c r="Z17" i="3"/>
  <c r="Y17" i="3"/>
  <c r="X17" i="3"/>
  <c r="T17" i="3"/>
  <c r="Q17" i="3"/>
  <c r="O17" i="3"/>
  <c r="L17" i="3"/>
  <c r="K17" i="3"/>
  <c r="J17" i="3"/>
  <c r="I17" i="3"/>
  <c r="DJ29" i="2"/>
  <c r="DI29" i="2"/>
  <c r="DG29" i="2"/>
  <c r="DH29" i="2" s="1"/>
  <c r="BV29" i="2"/>
  <c r="BU29" i="2"/>
  <c r="BM29" i="2"/>
  <c r="BJ29" i="2"/>
  <c r="BL29" i="2" s="1"/>
  <c r="BI29" i="2"/>
  <c r="BG29" i="2"/>
  <c r="BK29" i="2" s="1"/>
  <c r="BA29" i="2"/>
  <c r="BN29" i="2" s="1"/>
  <c r="BQ29" i="2" s="1"/>
  <c r="AV29" i="2"/>
  <c r="AT29" i="2"/>
  <c r="AU29" i="2" s="1"/>
  <c r="AM29" i="2"/>
  <c r="AH29" i="2"/>
  <c r="AG29" i="2"/>
  <c r="AF29" i="2"/>
  <c r="AB29" i="2"/>
  <c r="Z29" i="2"/>
  <c r="Y29" i="2"/>
  <c r="X29" i="2"/>
  <c r="T29" i="2"/>
  <c r="Q29" i="2"/>
  <c r="O29" i="2"/>
  <c r="L29" i="2"/>
  <c r="K29" i="2"/>
  <c r="J29" i="2"/>
  <c r="I29" i="2"/>
  <c r="DJ28" i="2"/>
  <c r="DI28" i="2"/>
  <c r="DG28" i="2"/>
  <c r="BV28" i="2"/>
  <c r="BU28" i="2"/>
  <c r="BM28" i="2"/>
  <c r="BG28" i="2"/>
  <c r="BA28" i="2"/>
  <c r="BN28" i="2" s="1"/>
  <c r="BQ28" i="2" s="1"/>
  <c r="BR28" i="2" s="1"/>
  <c r="AV28" i="2"/>
  <c r="AT28" i="2"/>
  <c r="AU28" i="2" s="1"/>
  <c r="AM28" i="2"/>
  <c r="AH28" i="2"/>
  <c r="AG28" i="2"/>
  <c r="J28" i="2" s="1"/>
  <c r="I28" i="2" s="1"/>
  <c r="AF28" i="2"/>
  <c r="K28" i="2" s="1"/>
  <c r="BJ28" i="2" s="1"/>
  <c r="Z28" i="2"/>
  <c r="Y28" i="2"/>
  <c r="X28" i="2"/>
  <c r="Q28" i="2"/>
  <c r="O28" i="2"/>
  <c r="L28" i="2"/>
  <c r="DJ27" i="2"/>
  <c r="DI27" i="2"/>
  <c r="DG27" i="2"/>
  <c r="DH27" i="2" s="1"/>
  <c r="BI27" i="2" s="1"/>
  <c r="BV27" i="2"/>
  <c r="BU27" i="2"/>
  <c r="BM27" i="2"/>
  <c r="BJ27" i="2"/>
  <c r="BG27" i="2"/>
  <c r="BA27" i="2"/>
  <c r="BN27" i="2" s="1"/>
  <c r="BQ27" i="2" s="1"/>
  <c r="AV27" i="2"/>
  <c r="AT27" i="2"/>
  <c r="AU27" i="2" s="1"/>
  <c r="AM27" i="2"/>
  <c r="AH27" i="2"/>
  <c r="AG27" i="2"/>
  <c r="AF27" i="2"/>
  <c r="AB27" i="2"/>
  <c r="Z27" i="2"/>
  <c r="Y27" i="2"/>
  <c r="X27" i="2"/>
  <c r="T27" i="2"/>
  <c r="Q27" i="2"/>
  <c r="O27" i="2"/>
  <c r="L27" i="2"/>
  <c r="K27" i="2"/>
  <c r="J27" i="2"/>
  <c r="I27" i="2"/>
  <c r="DJ26" i="2"/>
  <c r="DI26" i="2"/>
  <c r="DG26" i="2"/>
  <c r="BV26" i="2"/>
  <c r="BU26" i="2"/>
  <c r="BM26" i="2"/>
  <c r="BG26" i="2"/>
  <c r="BA26" i="2"/>
  <c r="BN26" i="2" s="1"/>
  <c r="BQ26" i="2" s="1"/>
  <c r="BR26" i="2" s="1"/>
  <c r="AV26" i="2"/>
  <c r="AT26" i="2"/>
  <c r="AU26" i="2" s="1"/>
  <c r="AM26" i="2"/>
  <c r="AH26" i="2"/>
  <c r="AG26" i="2"/>
  <c r="AF26" i="2"/>
  <c r="K26" i="2" s="1"/>
  <c r="BJ26" i="2" s="1"/>
  <c r="Z26" i="2"/>
  <c r="Y26" i="2"/>
  <c r="X26" i="2"/>
  <c r="Q26" i="2"/>
  <c r="O26" i="2"/>
  <c r="L26" i="2"/>
  <c r="J26" i="2"/>
  <c r="I26" i="2"/>
  <c r="DJ25" i="2"/>
  <c r="DI25" i="2"/>
  <c r="DG25" i="2"/>
  <c r="DH25" i="2" s="1"/>
  <c r="BV25" i="2"/>
  <c r="BU25" i="2"/>
  <c r="BM25" i="2"/>
  <c r="BJ25" i="2"/>
  <c r="BL25" i="2" s="1"/>
  <c r="BI25" i="2"/>
  <c r="BK25" i="2" s="1"/>
  <c r="BG25" i="2"/>
  <c r="BA25" i="2"/>
  <c r="BN25" i="2" s="1"/>
  <c r="BQ25" i="2" s="1"/>
  <c r="AV25" i="2"/>
  <c r="AT25" i="2"/>
  <c r="AU25" i="2" s="1"/>
  <c r="AM25" i="2"/>
  <c r="AH25" i="2"/>
  <c r="AG25" i="2"/>
  <c r="AF25" i="2"/>
  <c r="AB25" i="2"/>
  <c r="Z25" i="2"/>
  <c r="Y25" i="2"/>
  <c r="X25" i="2" s="1"/>
  <c r="T25" i="2"/>
  <c r="Q25" i="2"/>
  <c r="O25" i="2"/>
  <c r="L25" i="2"/>
  <c r="K25" i="2"/>
  <c r="J25" i="2"/>
  <c r="I25" i="2"/>
  <c r="DJ24" i="2"/>
  <c r="DI24" i="2"/>
  <c r="DG24" i="2"/>
  <c r="BV24" i="2"/>
  <c r="BU24" i="2"/>
  <c r="BT24" i="2"/>
  <c r="BM24" i="2"/>
  <c r="BG24" i="2"/>
  <c r="BA24" i="2"/>
  <c r="BN24" i="2" s="1"/>
  <c r="BQ24" i="2" s="1"/>
  <c r="BR24" i="2" s="1"/>
  <c r="AV24" i="2"/>
  <c r="AT24" i="2"/>
  <c r="AU24" i="2" s="1"/>
  <c r="AM24" i="2"/>
  <c r="AH24" i="2"/>
  <c r="AG24" i="2"/>
  <c r="J24" i="2" s="1"/>
  <c r="I24" i="2" s="1"/>
  <c r="Z24" i="2"/>
  <c r="Y24" i="2"/>
  <c r="X24" i="2"/>
  <c r="Q24" i="2"/>
  <c r="O24" i="2"/>
  <c r="DJ23" i="2"/>
  <c r="DI23" i="2"/>
  <c r="DG23" i="2"/>
  <c r="DH23" i="2" s="1"/>
  <c r="BI23" i="2" s="1"/>
  <c r="BV23" i="2"/>
  <c r="BU23" i="2"/>
  <c r="BM23" i="2"/>
  <c r="BJ23" i="2"/>
  <c r="BL23" i="2" s="1"/>
  <c r="BG23" i="2"/>
  <c r="BK23" i="2" s="1"/>
  <c r="BA23" i="2"/>
  <c r="BN23" i="2" s="1"/>
  <c r="BQ23" i="2" s="1"/>
  <c r="AV23" i="2"/>
  <c r="AT23" i="2"/>
  <c r="AU23" i="2" s="1"/>
  <c r="AM23" i="2"/>
  <c r="AH23" i="2"/>
  <c r="AG23" i="2"/>
  <c r="AF23" i="2"/>
  <c r="AB23" i="2"/>
  <c r="Z23" i="2"/>
  <c r="Y23" i="2"/>
  <c r="X23" i="2"/>
  <c r="T23" i="2"/>
  <c r="Q23" i="2"/>
  <c r="O23" i="2"/>
  <c r="L23" i="2"/>
  <c r="K23" i="2"/>
  <c r="J23" i="2"/>
  <c r="I23" i="2"/>
  <c r="DJ22" i="2"/>
  <c r="DI22" i="2"/>
  <c r="DG22" i="2"/>
  <c r="T22" i="2" s="1"/>
  <c r="BV22" i="2"/>
  <c r="BU22" i="2"/>
  <c r="BT22" i="2"/>
  <c r="BS22" i="2"/>
  <c r="BW22" i="2" s="1"/>
  <c r="BX22" i="2" s="1"/>
  <c r="BM22" i="2"/>
  <c r="BG22" i="2"/>
  <c r="BA22" i="2"/>
  <c r="BN22" i="2" s="1"/>
  <c r="BQ22" i="2" s="1"/>
  <c r="BR22" i="2" s="1"/>
  <c r="AV22" i="2"/>
  <c r="AT22" i="2"/>
  <c r="AU22" i="2" s="1"/>
  <c r="AM22" i="2"/>
  <c r="AH22" i="2"/>
  <c r="AG22" i="2"/>
  <c r="J22" i="2" s="1"/>
  <c r="I22" i="2" s="1"/>
  <c r="AF22" i="2"/>
  <c r="K22" i="2" s="1"/>
  <c r="BJ22" i="2" s="1"/>
  <c r="Z22" i="2"/>
  <c r="Y22" i="2"/>
  <c r="X22" i="2"/>
  <c r="Q22" i="2"/>
  <c r="O22" i="2"/>
  <c r="DJ21" i="2"/>
  <c r="DI21" i="2"/>
  <c r="DG21" i="2"/>
  <c r="DH21" i="2" s="1"/>
  <c r="BV21" i="2"/>
  <c r="BU21" i="2"/>
  <c r="BN21" i="2"/>
  <c r="BQ21" i="2" s="1"/>
  <c r="BM21" i="2"/>
  <c r="BJ21" i="2"/>
  <c r="BL21" i="2" s="1"/>
  <c r="BI21" i="2"/>
  <c r="BG21" i="2"/>
  <c r="BK21" i="2" s="1"/>
  <c r="BA21" i="2"/>
  <c r="AV21" i="2"/>
  <c r="AT21" i="2"/>
  <c r="AU21" i="2" s="1"/>
  <c r="AM21" i="2"/>
  <c r="AH21" i="2"/>
  <c r="AG21" i="2"/>
  <c r="AF21" i="2"/>
  <c r="AB21" i="2"/>
  <c r="Z21" i="2"/>
  <c r="Y21" i="2"/>
  <c r="X21" i="2"/>
  <c r="T21" i="2"/>
  <c r="Q21" i="2"/>
  <c r="O21" i="2"/>
  <c r="L21" i="2"/>
  <c r="K21" i="2"/>
  <c r="J21" i="2"/>
  <c r="I21" i="2"/>
  <c r="DJ20" i="2"/>
  <c r="DI20" i="2"/>
  <c r="DG20" i="2"/>
  <c r="T20" i="2" s="1"/>
  <c r="BV20" i="2"/>
  <c r="BU20" i="2"/>
  <c r="BM20" i="2"/>
  <c r="BG20" i="2"/>
  <c r="BA20" i="2"/>
  <c r="BN20" i="2" s="1"/>
  <c r="BQ20" i="2" s="1"/>
  <c r="BR20" i="2" s="1"/>
  <c r="AV20" i="2"/>
  <c r="AT20" i="2"/>
  <c r="AU20" i="2" s="1"/>
  <c r="AM20" i="2"/>
  <c r="AH20" i="2"/>
  <c r="AG20" i="2"/>
  <c r="AF20" i="2"/>
  <c r="Z20" i="2"/>
  <c r="Y20" i="2"/>
  <c r="X20" i="2"/>
  <c r="Q20" i="2"/>
  <c r="O20" i="2"/>
  <c r="L20" i="2"/>
  <c r="K20" i="2"/>
  <c r="BJ20" i="2" s="1"/>
  <c r="J20" i="2"/>
  <c r="I20" i="2" s="1"/>
  <c r="DJ19" i="2"/>
  <c r="DI19" i="2"/>
  <c r="DG19" i="2"/>
  <c r="DH19" i="2" s="1"/>
  <c r="BI19" i="2" s="1"/>
  <c r="BL19" i="2" s="1"/>
  <c r="BV19" i="2"/>
  <c r="BU19" i="2"/>
  <c r="BN19" i="2"/>
  <c r="BQ19" i="2" s="1"/>
  <c r="BM19" i="2"/>
  <c r="BJ19" i="2"/>
  <c r="BG19" i="2"/>
  <c r="BA19" i="2"/>
  <c r="AV19" i="2"/>
  <c r="AT19" i="2"/>
  <c r="AU19" i="2" s="1"/>
  <c r="AM19" i="2"/>
  <c r="AH19" i="2"/>
  <c r="AG19" i="2"/>
  <c r="AF19" i="2"/>
  <c r="AB19" i="2"/>
  <c r="Z19" i="2"/>
  <c r="Y19" i="2"/>
  <c r="X19" i="2"/>
  <c r="T19" i="2"/>
  <c r="Q19" i="2"/>
  <c r="O19" i="2"/>
  <c r="L19" i="2"/>
  <c r="K19" i="2"/>
  <c r="J19" i="2"/>
  <c r="I19" i="2"/>
  <c r="DJ18" i="2"/>
  <c r="DI18" i="2"/>
  <c r="DG18" i="2"/>
  <c r="T18" i="2" s="1"/>
  <c r="BV18" i="2"/>
  <c r="BU18" i="2"/>
  <c r="BM18" i="2"/>
  <c r="BG18" i="2"/>
  <c r="BA18" i="2"/>
  <c r="BN18" i="2" s="1"/>
  <c r="BQ18" i="2" s="1"/>
  <c r="BR18" i="2" s="1"/>
  <c r="AV18" i="2"/>
  <c r="AT18" i="2"/>
  <c r="AU18" i="2" s="1"/>
  <c r="AM18" i="2"/>
  <c r="AH18" i="2"/>
  <c r="AG18" i="2"/>
  <c r="AF18" i="2"/>
  <c r="Z18" i="2"/>
  <c r="Y18" i="2"/>
  <c r="X18" i="2"/>
  <c r="Q18" i="2"/>
  <c r="O18" i="2"/>
  <c r="L18" i="2"/>
  <c r="K18" i="2"/>
  <c r="BJ18" i="2" s="1"/>
  <c r="J18" i="2"/>
  <c r="I18" i="2"/>
  <c r="DJ17" i="2"/>
  <c r="DI17" i="2"/>
  <c r="DG17" i="2"/>
  <c r="DH17" i="2" s="1"/>
  <c r="BV17" i="2"/>
  <c r="BU17" i="2"/>
  <c r="BN17" i="2"/>
  <c r="BQ17" i="2" s="1"/>
  <c r="BM17" i="2"/>
  <c r="BJ17" i="2"/>
  <c r="BL17" i="2" s="1"/>
  <c r="BI17" i="2"/>
  <c r="BK17" i="2" s="1"/>
  <c r="BG17" i="2"/>
  <c r="BA17" i="2"/>
  <c r="AV17" i="2"/>
  <c r="AT17" i="2"/>
  <c r="AU17" i="2" s="1"/>
  <c r="AM17" i="2"/>
  <c r="AH17" i="2"/>
  <c r="AG17" i="2"/>
  <c r="AF17" i="2"/>
  <c r="AB17" i="2"/>
  <c r="Z17" i="2"/>
  <c r="Y17" i="2"/>
  <c r="X17" i="2"/>
  <c r="T17" i="2"/>
  <c r="Q17" i="2"/>
  <c r="O17" i="2"/>
  <c r="L17" i="2"/>
  <c r="K17" i="2"/>
  <c r="J17" i="2"/>
  <c r="I17" i="2"/>
  <c r="DJ29" i="1"/>
  <c r="DI29" i="1"/>
  <c r="DG29" i="1"/>
  <c r="T29" i="1" s="1"/>
  <c r="BV29" i="1"/>
  <c r="BU29" i="1"/>
  <c r="BN29" i="1"/>
  <c r="BQ29" i="1" s="1"/>
  <c r="BT29" i="1" s="1"/>
  <c r="BM29" i="1"/>
  <c r="BG29" i="1"/>
  <c r="BA29" i="1"/>
  <c r="AV29" i="1"/>
  <c r="AT29" i="1"/>
  <c r="AU29" i="1" s="1"/>
  <c r="AM29" i="1"/>
  <c r="AH29" i="1"/>
  <c r="AG29" i="1"/>
  <c r="J29" i="1" s="1"/>
  <c r="I29" i="1" s="1"/>
  <c r="AF29" i="1"/>
  <c r="K29" i="1" s="1"/>
  <c r="BJ29" i="1" s="1"/>
  <c r="Z29" i="1"/>
  <c r="Y29" i="1"/>
  <c r="X29" i="1"/>
  <c r="Q29" i="1"/>
  <c r="O29" i="1"/>
  <c r="L29" i="1"/>
  <c r="DJ28" i="1"/>
  <c r="DI28" i="1"/>
  <c r="DG28" i="1"/>
  <c r="DH28" i="1" s="1"/>
  <c r="BV28" i="1"/>
  <c r="BU28" i="1"/>
  <c r="BN28" i="1"/>
  <c r="BQ28" i="1" s="1"/>
  <c r="BM28" i="1"/>
  <c r="BI28" i="1"/>
  <c r="BK28" i="1" s="1"/>
  <c r="BG28" i="1"/>
  <c r="BA28" i="1"/>
  <c r="AV28" i="1"/>
  <c r="AT28" i="1"/>
  <c r="AU28" i="1" s="1"/>
  <c r="AM28" i="1"/>
  <c r="AH28" i="1"/>
  <c r="AG28" i="1"/>
  <c r="J28" i="1" s="1"/>
  <c r="I28" i="1" s="1"/>
  <c r="AB28" i="1" s="1"/>
  <c r="AF28" i="1"/>
  <c r="K28" i="1" s="1"/>
  <c r="BJ28" i="1" s="1"/>
  <c r="BL28" i="1" s="1"/>
  <c r="Z28" i="1"/>
  <c r="X28" i="1" s="1"/>
  <c r="Y28" i="1"/>
  <c r="T28" i="1"/>
  <c r="Q28" i="1"/>
  <c r="DJ27" i="1"/>
  <c r="DI27" i="1"/>
  <c r="DG27" i="1"/>
  <c r="BV27" i="1"/>
  <c r="BU27" i="1"/>
  <c r="BN27" i="1"/>
  <c r="BQ27" i="1" s="1"/>
  <c r="BM27" i="1"/>
  <c r="BG27" i="1"/>
  <c r="BA27" i="1"/>
  <c r="AV27" i="1"/>
  <c r="AT27" i="1"/>
  <c r="O27" i="1" s="1"/>
  <c r="AM27" i="1"/>
  <c r="AH27" i="1"/>
  <c r="AG27" i="1"/>
  <c r="J27" i="1" s="1"/>
  <c r="I27" i="1" s="1"/>
  <c r="AF27" i="1"/>
  <c r="K27" i="1" s="1"/>
  <c r="BJ27" i="1" s="1"/>
  <c r="Z27" i="1"/>
  <c r="Y27" i="1"/>
  <c r="X27" i="1"/>
  <c r="Q27" i="1"/>
  <c r="L27" i="1"/>
  <c r="DJ26" i="1"/>
  <c r="DI26" i="1"/>
  <c r="DG26" i="1"/>
  <c r="T26" i="1" s="1"/>
  <c r="BV26" i="1"/>
  <c r="BU26" i="1"/>
  <c r="BQ26" i="1"/>
  <c r="BN26" i="1"/>
  <c r="BM26" i="1"/>
  <c r="BG26" i="1"/>
  <c r="BA26" i="1"/>
  <c r="AV26" i="1"/>
  <c r="AT26" i="1"/>
  <c r="AU26" i="1" s="1"/>
  <c r="AM26" i="1"/>
  <c r="AH26" i="1"/>
  <c r="Z26" i="1"/>
  <c r="Y26" i="1"/>
  <c r="X26" i="1"/>
  <c r="Q26" i="1"/>
  <c r="DJ25" i="1"/>
  <c r="DI25" i="1"/>
  <c r="DG25" i="1"/>
  <c r="T25" i="1" s="1"/>
  <c r="BV25" i="1"/>
  <c r="BU25" i="1"/>
  <c r="BN25" i="1"/>
  <c r="BQ25" i="1" s="1"/>
  <c r="BR25" i="1" s="1"/>
  <c r="BM25" i="1"/>
  <c r="BG25" i="1"/>
  <c r="BA25" i="1"/>
  <c r="AV25" i="1"/>
  <c r="AU25" i="1"/>
  <c r="AT25" i="1"/>
  <c r="AM25" i="1"/>
  <c r="AH25" i="1"/>
  <c r="AG25" i="1"/>
  <c r="J25" i="1" s="1"/>
  <c r="I25" i="1" s="1"/>
  <c r="AF25" i="1"/>
  <c r="K25" i="1" s="1"/>
  <c r="BJ25" i="1" s="1"/>
  <c r="AB25" i="1"/>
  <c r="Z25" i="1"/>
  <c r="Y25" i="1"/>
  <c r="X25" i="1"/>
  <c r="Q25" i="1"/>
  <c r="O25" i="1"/>
  <c r="L25" i="1"/>
  <c r="DJ24" i="1"/>
  <c r="DI24" i="1"/>
  <c r="DG24" i="1"/>
  <c r="T24" i="1" s="1"/>
  <c r="BV24" i="1"/>
  <c r="BU24" i="1"/>
  <c r="BN24" i="1"/>
  <c r="BQ24" i="1" s="1"/>
  <c r="BM24" i="1"/>
  <c r="BG24" i="1"/>
  <c r="BA24" i="1"/>
  <c r="AV24" i="1"/>
  <c r="AT24" i="1"/>
  <c r="O24" i="1" s="1"/>
  <c r="AM24" i="1"/>
  <c r="AH24" i="1"/>
  <c r="AG24" i="1"/>
  <c r="J24" i="1" s="1"/>
  <c r="I24" i="1" s="1"/>
  <c r="AB24" i="1" s="1"/>
  <c r="AF24" i="1"/>
  <c r="K24" i="1" s="1"/>
  <c r="BJ24" i="1" s="1"/>
  <c r="Z24" i="1"/>
  <c r="Y24" i="1"/>
  <c r="X24" i="1"/>
  <c r="Q24" i="1"/>
  <c r="L24" i="1"/>
  <c r="DJ23" i="1"/>
  <c r="DI23" i="1"/>
  <c r="DG23" i="1"/>
  <c r="T23" i="1" s="1"/>
  <c r="BV23" i="1"/>
  <c r="BU23" i="1"/>
  <c r="BN23" i="1"/>
  <c r="BQ23" i="1" s="1"/>
  <c r="BM23" i="1"/>
  <c r="BG23" i="1"/>
  <c r="BA23" i="1"/>
  <c r="AV23" i="1"/>
  <c r="AT23" i="1"/>
  <c r="AM23" i="1"/>
  <c r="AH23" i="1"/>
  <c r="Z23" i="1"/>
  <c r="Y23" i="1"/>
  <c r="X23" i="1"/>
  <c r="Q23" i="1"/>
  <c r="DJ22" i="1"/>
  <c r="DI22" i="1"/>
  <c r="DG22" i="1"/>
  <c r="DH22" i="1" s="1"/>
  <c r="BI22" i="1" s="1"/>
  <c r="BV22" i="1"/>
  <c r="BU22" i="1"/>
  <c r="BQ22" i="1"/>
  <c r="BM22" i="1"/>
  <c r="BG22" i="1"/>
  <c r="BA22" i="1"/>
  <c r="BN22" i="1" s="1"/>
  <c r="AV22" i="1"/>
  <c r="AT22" i="1" s="1"/>
  <c r="AM22" i="1"/>
  <c r="AH22" i="1"/>
  <c r="Z22" i="1"/>
  <c r="Y22" i="1"/>
  <c r="X22" i="1"/>
  <c r="T22" i="1"/>
  <c r="Q22" i="1"/>
  <c r="O22" i="1"/>
  <c r="DJ21" i="1"/>
  <c r="DI21" i="1"/>
  <c r="DG21" i="1"/>
  <c r="T21" i="1" s="1"/>
  <c r="BV21" i="1"/>
  <c r="BU21" i="1"/>
  <c r="BN21" i="1"/>
  <c r="BQ21" i="1" s="1"/>
  <c r="BM21" i="1"/>
  <c r="BJ21" i="1"/>
  <c r="BG21" i="1"/>
  <c r="BA21" i="1"/>
  <c r="AV21" i="1"/>
  <c r="AT21" i="1"/>
  <c r="O21" i="1" s="1"/>
  <c r="AM21" i="1"/>
  <c r="AH21" i="1"/>
  <c r="AG21" i="1"/>
  <c r="J21" i="1" s="1"/>
  <c r="AF21" i="1"/>
  <c r="K21" i="1" s="1"/>
  <c r="Z21" i="1"/>
  <c r="Y21" i="1"/>
  <c r="X21" i="1"/>
  <c r="Q21" i="1"/>
  <c r="L21" i="1"/>
  <c r="I21" i="1"/>
  <c r="AB21" i="1" s="1"/>
  <c r="DJ20" i="1"/>
  <c r="DI20" i="1"/>
  <c r="DG20" i="1"/>
  <c r="T20" i="1" s="1"/>
  <c r="BV20" i="1"/>
  <c r="BU20" i="1"/>
  <c r="BN20" i="1"/>
  <c r="BQ20" i="1" s="1"/>
  <c r="BM20" i="1"/>
  <c r="BG20" i="1"/>
  <c r="BA20" i="1"/>
  <c r="AV20" i="1"/>
  <c r="AT20" i="1"/>
  <c r="O20" i="1" s="1"/>
  <c r="AM20" i="1"/>
  <c r="AH20" i="1"/>
  <c r="Z20" i="1"/>
  <c r="Y20" i="1"/>
  <c r="X20" i="1"/>
  <c r="Q20" i="1"/>
  <c r="DJ19" i="1"/>
  <c r="DI19" i="1"/>
  <c r="DG19" i="1"/>
  <c r="T19" i="1" s="1"/>
  <c r="BV19" i="1"/>
  <c r="BU19" i="1"/>
  <c r="BN19" i="1"/>
  <c r="BQ19" i="1" s="1"/>
  <c r="BM19" i="1"/>
  <c r="BJ19" i="1"/>
  <c r="BG19" i="1"/>
  <c r="BA19" i="1"/>
  <c r="AV19" i="1"/>
  <c r="AT19" i="1" s="1"/>
  <c r="AM19" i="1"/>
  <c r="AH19" i="1"/>
  <c r="AF19" i="1"/>
  <c r="K19" i="1" s="1"/>
  <c r="Z19" i="1"/>
  <c r="Y19" i="1"/>
  <c r="X19" i="1"/>
  <c r="Q19" i="1"/>
  <c r="O19" i="1"/>
  <c r="DJ18" i="1"/>
  <c r="T18" i="1" s="1"/>
  <c r="DI18" i="1"/>
  <c r="DH18" i="1" s="1"/>
  <c r="BI18" i="1" s="1"/>
  <c r="BK18" i="1" s="1"/>
  <c r="DG18" i="1"/>
  <c r="BV18" i="1"/>
  <c r="BU18" i="1"/>
  <c r="BN18" i="1"/>
  <c r="BQ18" i="1" s="1"/>
  <c r="BM18" i="1"/>
  <c r="BG18" i="1"/>
  <c r="BA18" i="1"/>
  <c r="AV18" i="1"/>
  <c r="AT18" i="1" s="1"/>
  <c r="AM18" i="1"/>
  <c r="AH18" i="1"/>
  <c r="Z18" i="1"/>
  <c r="Y18" i="1"/>
  <c r="X18" i="1"/>
  <c r="Q18" i="1"/>
  <c r="DJ17" i="1"/>
  <c r="DI17" i="1"/>
  <c r="DG17" i="1"/>
  <c r="BV17" i="1"/>
  <c r="BU17" i="1"/>
  <c r="BQ17" i="1"/>
  <c r="BT17" i="1" s="1"/>
  <c r="BN17" i="1"/>
  <c r="BM17" i="1"/>
  <c r="BG17" i="1"/>
  <c r="BA17" i="1"/>
  <c r="AV17" i="1"/>
  <c r="AT17" i="1" s="1"/>
  <c r="AU17" i="1"/>
  <c r="AM17" i="1"/>
  <c r="AH17" i="1"/>
  <c r="Z17" i="1"/>
  <c r="X17" i="1" s="1"/>
  <c r="Y17" i="1"/>
  <c r="Q17" i="1"/>
  <c r="O17" i="1"/>
  <c r="BT27" i="11" l="1"/>
  <c r="BS27" i="11"/>
  <c r="BW27" i="11" s="1"/>
  <c r="BX27" i="11" s="1"/>
  <c r="BR27" i="11"/>
  <c r="BT17" i="11"/>
  <c r="BS17" i="11"/>
  <c r="BW17" i="11" s="1"/>
  <c r="BX17" i="11" s="1"/>
  <c r="BR17" i="11"/>
  <c r="BT19" i="11"/>
  <c r="BS19" i="11"/>
  <c r="BW19" i="11" s="1"/>
  <c r="BX19" i="11" s="1"/>
  <c r="BR19" i="11"/>
  <c r="BT29" i="11"/>
  <c r="BS29" i="11"/>
  <c r="BW29" i="11" s="1"/>
  <c r="BX29" i="11" s="1"/>
  <c r="BR29" i="11"/>
  <c r="BT25" i="11"/>
  <c r="BS25" i="11"/>
  <c r="BW25" i="11" s="1"/>
  <c r="BX25" i="11" s="1"/>
  <c r="BR25" i="11"/>
  <c r="AC18" i="11"/>
  <c r="U18" i="11"/>
  <c r="V18" i="11" s="1"/>
  <c r="BT21" i="11"/>
  <c r="BS21" i="11"/>
  <c r="BW21" i="11" s="1"/>
  <c r="BX21" i="11" s="1"/>
  <c r="BR21" i="11"/>
  <c r="BT23" i="11"/>
  <c r="BS23" i="11"/>
  <c r="BW23" i="11" s="1"/>
  <c r="BX23" i="11" s="1"/>
  <c r="BR23" i="11"/>
  <c r="U22" i="11"/>
  <c r="V22" i="11" s="1"/>
  <c r="R27" i="11"/>
  <c r="P27" i="11" s="1"/>
  <c r="S27" i="11" s="1"/>
  <c r="M27" i="11" s="1"/>
  <c r="N27" i="11" s="1"/>
  <c r="AB27" i="11"/>
  <c r="U17" i="11"/>
  <c r="V17" i="11" s="1"/>
  <c r="AF18" i="11"/>
  <c r="K18" i="11" s="1"/>
  <c r="BJ18" i="11" s="1"/>
  <c r="BL18" i="11" s="1"/>
  <c r="AG18" i="11"/>
  <c r="J18" i="11" s="1"/>
  <c r="I18" i="11" s="1"/>
  <c r="AU18" i="11"/>
  <c r="L18" i="11"/>
  <c r="U19" i="11"/>
  <c r="V19" i="11" s="1"/>
  <c r="AF20" i="11"/>
  <c r="K20" i="11" s="1"/>
  <c r="BJ20" i="11" s="1"/>
  <c r="BL20" i="11" s="1"/>
  <c r="AG20" i="11"/>
  <c r="J20" i="11" s="1"/>
  <c r="I20" i="11" s="1"/>
  <c r="U20" i="11" s="1"/>
  <c r="V20" i="11" s="1"/>
  <c r="AU20" i="11"/>
  <c r="AG22" i="11"/>
  <c r="J22" i="11" s="1"/>
  <c r="I22" i="11" s="1"/>
  <c r="AF22" i="11"/>
  <c r="K22" i="11" s="1"/>
  <c r="BJ22" i="11" s="1"/>
  <c r="BL22" i="11" s="1"/>
  <c r="U23" i="11"/>
  <c r="V23" i="11" s="1"/>
  <c r="AG24" i="11"/>
  <c r="J24" i="11" s="1"/>
  <c r="I24" i="11" s="1"/>
  <c r="AF24" i="11"/>
  <c r="K24" i="11" s="1"/>
  <c r="BJ24" i="11" s="1"/>
  <c r="BL24" i="11" s="1"/>
  <c r="U21" i="11"/>
  <c r="V21" i="11" s="1"/>
  <c r="AU22" i="11"/>
  <c r="AU24" i="11"/>
  <c r="U25" i="11"/>
  <c r="V25" i="11" s="1"/>
  <c r="AF26" i="11"/>
  <c r="K26" i="11" s="1"/>
  <c r="BJ26" i="11" s="1"/>
  <c r="BL26" i="11" s="1"/>
  <c r="AG26" i="11"/>
  <c r="J26" i="11" s="1"/>
  <c r="I26" i="11" s="1"/>
  <c r="U27" i="11"/>
  <c r="V27" i="11" s="1"/>
  <c r="AU26" i="11"/>
  <c r="AG28" i="11"/>
  <c r="J28" i="11" s="1"/>
  <c r="I28" i="11" s="1"/>
  <c r="U28" i="11" s="1"/>
  <c r="V28" i="11" s="1"/>
  <c r="AF28" i="11"/>
  <c r="K28" i="11" s="1"/>
  <c r="BJ28" i="11" s="1"/>
  <c r="BL28" i="11" s="1"/>
  <c r="BS18" i="11"/>
  <c r="BW18" i="11" s="1"/>
  <c r="BX18" i="11" s="1"/>
  <c r="BK20" i="11"/>
  <c r="BR22" i="11"/>
  <c r="BT22" i="11"/>
  <c r="BT18" i="11"/>
  <c r="BK24" i="11"/>
  <c r="BK28" i="11"/>
  <c r="L20" i="11"/>
  <c r="BK26" i="11"/>
  <c r="U29" i="11"/>
  <c r="V29" i="11" s="1"/>
  <c r="O18" i="11"/>
  <c r="BS20" i="11"/>
  <c r="BW20" i="11" s="1"/>
  <c r="BX20" i="11" s="1"/>
  <c r="BS22" i="11"/>
  <c r="BW22" i="11" s="1"/>
  <c r="BX22" i="11" s="1"/>
  <c r="BS24" i="11"/>
  <c r="BW24" i="11" s="1"/>
  <c r="BX24" i="11" s="1"/>
  <c r="BS28" i="11"/>
  <c r="BW28" i="11" s="1"/>
  <c r="BX28" i="11" s="1"/>
  <c r="R25" i="11"/>
  <c r="P25" i="11" s="1"/>
  <c r="S25" i="11" s="1"/>
  <c r="M25" i="11" s="1"/>
  <c r="N25" i="11" s="1"/>
  <c r="R19" i="11"/>
  <c r="P19" i="11" s="1"/>
  <c r="S19" i="11" s="1"/>
  <c r="M19" i="11" s="1"/>
  <c r="N19" i="11" s="1"/>
  <c r="R29" i="11"/>
  <c r="P29" i="11" s="1"/>
  <c r="S29" i="11" s="1"/>
  <c r="M29" i="11" s="1"/>
  <c r="N29" i="11" s="1"/>
  <c r="U26" i="11"/>
  <c r="V26" i="11" s="1"/>
  <c r="AC26" i="11" s="1"/>
  <c r="AB21" i="11"/>
  <c r="AB25" i="11"/>
  <c r="AB25" i="10"/>
  <c r="BL20" i="10"/>
  <c r="BL28" i="10"/>
  <c r="BL22" i="10"/>
  <c r="BK24" i="10"/>
  <c r="DH27" i="10"/>
  <c r="BI27" i="10" s="1"/>
  <c r="BK27" i="10" s="1"/>
  <c r="T27" i="10"/>
  <c r="BK17" i="10"/>
  <c r="U23" i="10"/>
  <c r="V23" i="10" s="1"/>
  <c r="U28" i="10"/>
  <c r="V28" i="10" s="1"/>
  <c r="U24" i="10"/>
  <c r="V24" i="10" s="1"/>
  <c r="AU26" i="10"/>
  <c r="O26" i="10"/>
  <c r="AG26" i="10"/>
  <c r="J26" i="10" s="1"/>
  <c r="I26" i="10" s="1"/>
  <c r="L26" i="10"/>
  <c r="AF26" i="10"/>
  <c r="K26" i="10" s="1"/>
  <c r="BJ26" i="10" s="1"/>
  <c r="BL26" i="10" s="1"/>
  <c r="BR26" i="10"/>
  <c r="BT26" i="10"/>
  <c r="BS26" i="10"/>
  <c r="BW26" i="10" s="1"/>
  <c r="BX26" i="10" s="1"/>
  <c r="R29" i="10"/>
  <c r="P29" i="10" s="1"/>
  <c r="S29" i="10" s="1"/>
  <c r="M29" i="10" s="1"/>
  <c r="N29" i="10" s="1"/>
  <c r="AB29" i="10"/>
  <c r="U17" i="10"/>
  <c r="V17" i="10" s="1"/>
  <c r="BL21" i="10"/>
  <c r="U19" i="10"/>
  <c r="V19" i="10" s="1"/>
  <c r="BL23" i="10"/>
  <c r="BT27" i="10"/>
  <c r="BS27" i="10"/>
  <c r="BW27" i="10" s="1"/>
  <c r="BX27" i="10" s="1"/>
  <c r="BR27" i="10"/>
  <c r="U21" i="10"/>
  <c r="V21" i="10" s="1"/>
  <c r="U26" i="10"/>
  <c r="V26" i="10" s="1"/>
  <c r="U29" i="10"/>
  <c r="V29" i="10" s="1"/>
  <c r="U18" i="10"/>
  <c r="V18" i="10" s="1"/>
  <c r="U20" i="10"/>
  <c r="V20" i="10" s="1"/>
  <c r="U22" i="10"/>
  <c r="V22" i="10" s="1"/>
  <c r="AU28" i="10"/>
  <c r="O28" i="10"/>
  <c r="AG28" i="10"/>
  <c r="J28" i="10" s="1"/>
  <c r="I28" i="10" s="1"/>
  <c r="BK29" i="10"/>
  <c r="L28" i="10"/>
  <c r="R17" i="10"/>
  <c r="P17" i="10" s="1"/>
  <c r="S17" i="10" s="1"/>
  <c r="M17" i="10" s="1"/>
  <c r="N17" i="10" s="1"/>
  <c r="R19" i="10"/>
  <c r="P19" i="10" s="1"/>
  <c r="S19" i="10" s="1"/>
  <c r="M19" i="10" s="1"/>
  <c r="N19" i="10" s="1"/>
  <c r="R21" i="10"/>
  <c r="P21" i="10" s="1"/>
  <c r="S21" i="10" s="1"/>
  <c r="M21" i="10" s="1"/>
  <c r="N21" i="10" s="1"/>
  <c r="R23" i="10"/>
  <c r="P23" i="10" s="1"/>
  <c r="S23" i="10" s="1"/>
  <c r="M23" i="10" s="1"/>
  <c r="N23" i="10" s="1"/>
  <c r="AU24" i="10"/>
  <c r="O24" i="10"/>
  <c r="AG24" i="10"/>
  <c r="J24" i="10" s="1"/>
  <c r="I24" i="10" s="1"/>
  <c r="AU18" i="10"/>
  <c r="O18" i="10"/>
  <c r="AU20" i="10"/>
  <c r="O20" i="10"/>
  <c r="AU22" i="10"/>
  <c r="O22" i="10"/>
  <c r="L18" i="10"/>
  <c r="L20" i="10"/>
  <c r="L22" i="10"/>
  <c r="L24" i="10"/>
  <c r="T25" i="10"/>
  <c r="AD24" i="9"/>
  <c r="AC24" i="9"/>
  <c r="W24" i="9"/>
  <c r="AA24" i="9" s="1"/>
  <c r="W25" i="9"/>
  <c r="AA25" i="9" s="1"/>
  <c r="AC25" i="9"/>
  <c r="AD25" i="9"/>
  <c r="R29" i="9"/>
  <c r="P29" i="9" s="1"/>
  <c r="S29" i="9" s="1"/>
  <c r="M29" i="9" s="1"/>
  <c r="N29" i="9" s="1"/>
  <c r="AB29" i="9"/>
  <c r="W20" i="9"/>
  <c r="AA20" i="9" s="1"/>
  <c r="AD20" i="9"/>
  <c r="AE20" i="9" s="1"/>
  <c r="AC20" i="9"/>
  <c r="BK22" i="9"/>
  <c r="U21" i="9"/>
  <c r="V21" i="9" s="1"/>
  <c r="R25" i="9"/>
  <c r="P25" i="9" s="1"/>
  <c r="S25" i="9" s="1"/>
  <c r="M25" i="9" s="1"/>
  <c r="N25" i="9" s="1"/>
  <c r="AB25" i="9"/>
  <c r="R17" i="9"/>
  <c r="P17" i="9" s="1"/>
  <c r="S17" i="9" s="1"/>
  <c r="M17" i="9" s="1"/>
  <c r="N17" i="9" s="1"/>
  <c r="AB17" i="9"/>
  <c r="BL23" i="9"/>
  <c r="AD18" i="9"/>
  <c r="AE18" i="9" s="1"/>
  <c r="AC18" i="9"/>
  <c r="W18" i="9"/>
  <c r="AA18" i="9" s="1"/>
  <c r="AB19" i="9"/>
  <c r="W29" i="9"/>
  <c r="AA29" i="9" s="1"/>
  <c r="AD29" i="9"/>
  <c r="AC29" i="9"/>
  <c r="W17" i="9"/>
  <c r="AA17" i="9" s="1"/>
  <c r="AC17" i="9"/>
  <c r="AD17" i="9"/>
  <c r="AD26" i="9"/>
  <c r="AE26" i="9" s="1"/>
  <c r="AC26" i="9"/>
  <c r="W26" i="9"/>
  <c r="AA26" i="9" s="1"/>
  <c r="AB27" i="9"/>
  <c r="R21" i="9"/>
  <c r="P21" i="9" s="1"/>
  <c r="S21" i="9" s="1"/>
  <c r="M21" i="9" s="1"/>
  <c r="N21" i="9" s="1"/>
  <c r="AB21" i="9"/>
  <c r="BL27" i="9"/>
  <c r="AD22" i="9"/>
  <c r="AC22" i="9"/>
  <c r="W22" i="9"/>
  <c r="AA22" i="9" s="1"/>
  <c r="AB23" i="9"/>
  <c r="W28" i="9"/>
  <c r="AA28" i="9" s="1"/>
  <c r="AD28" i="9"/>
  <c r="AC28" i="9"/>
  <c r="AB22" i="9"/>
  <c r="R22" i="9"/>
  <c r="P22" i="9" s="1"/>
  <c r="S22" i="9" s="1"/>
  <c r="M22" i="9" s="1"/>
  <c r="N22" i="9" s="1"/>
  <c r="BK23" i="9"/>
  <c r="AB20" i="9"/>
  <c r="R20" i="9"/>
  <c r="P20" i="9" s="1"/>
  <c r="S20" i="9" s="1"/>
  <c r="M20" i="9" s="1"/>
  <c r="N20" i="9" s="1"/>
  <c r="BS24" i="9"/>
  <c r="BW24" i="9" s="1"/>
  <c r="BX24" i="9" s="1"/>
  <c r="AB28" i="9"/>
  <c r="AE28" i="9" s="1"/>
  <c r="R28" i="9"/>
  <c r="P28" i="9" s="1"/>
  <c r="S28" i="9" s="1"/>
  <c r="M28" i="9" s="1"/>
  <c r="N28" i="9" s="1"/>
  <c r="T23" i="9"/>
  <c r="BS23" i="9"/>
  <c r="BW23" i="9" s="1"/>
  <c r="BX23" i="9" s="1"/>
  <c r="BT24" i="9"/>
  <c r="BK29" i="9"/>
  <c r="BK21" i="9"/>
  <c r="BT23" i="9"/>
  <c r="AB18" i="9"/>
  <c r="R18" i="9"/>
  <c r="P18" i="9" s="1"/>
  <c r="S18" i="9" s="1"/>
  <c r="M18" i="9" s="1"/>
  <c r="N18" i="9" s="1"/>
  <c r="AB26" i="9"/>
  <c r="R26" i="9"/>
  <c r="P26" i="9" s="1"/>
  <c r="S26" i="9" s="1"/>
  <c r="M26" i="9" s="1"/>
  <c r="N26" i="9" s="1"/>
  <c r="BK19" i="9"/>
  <c r="BK27" i="9"/>
  <c r="BS20" i="9"/>
  <c r="BW20" i="9" s="1"/>
  <c r="BX20" i="9" s="1"/>
  <c r="AB24" i="9"/>
  <c r="R24" i="9"/>
  <c r="P24" i="9" s="1"/>
  <c r="S24" i="9" s="1"/>
  <c r="M24" i="9" s="1"/>
  <c r="N24" i="9" s="1"/>
  <c r="BS28" i="9"/>
  <c r="BW28" i="9" s="1"/>
  <c r="BX28" i="9" s="1"/>
  <c r="T19" i="9"/>
  <c r="BS19" i="9"/>
  <c r="BW19" i="9" s="1"/>
  <c r="BX19" i="9" s="1"/>
  <c r="BT20" i="9"/>
  <c r="T27" i="9"/>
  <c r="BS27" i="9"/>
  <c r="BW27" i="9" s="1"/>
  <c r="BX27" i="9" s="1"/>
  <c r="BT28" i="9"/>
  <c r="BK17" i="9"/>
  <c r="BT19" i="9"/>
  <c r="BK25" i="9"/>
  <c r="BT27" i="9"/>
  <c r="AD29" i="8"/>
  <c r="AC29" i="8"/>
  <c r="W29" i="8"/>
  <c r="AA29" i="8" s="1"/>
  <c r="AB28" i="8"/>
  <c r="R28" i="8"/>
  <c r="P28" i="8" s="1"/>
  <c r="S28" i="8" s="1"/>
  <c r="BR25" i="8"/>
  <c r="BT25" i="8"/>
  <c r="BS25" i="8"/>
  <c r="BW25" i="8" s="1"/>
  <c r="BX25" i="8" s="1"/>
  <c r="AB22" i="8"/>
  <c r="BL18" i="8"/>
  <c r="BK21" i="8"/>
  <c r="BR19" i="8"/>
  <c r="BT19" i="8"/>
  <c r="BS19" i="8"/>
  <c r="BW19" i="8" s="1"/>
  <c r="BX19" i="8" s="1"/>
  <c r="BT29" i="8"/>
  <c r="BS29" i="8"/>
  <c r="BW29" i="8" s="1"/>
  <c r="BX29" i="8" s="1"/>
  <c r="BR29" i="8"/>
  <c r="AD27" i="8"/>
  <c r="AC27" i="8"/>
  <c r="AE27" i="8" s="1"/>
  <c r="W27" i="8"/>
  <c r="AA27" i="8" s="1"/>
  <c r="AB26" i="8"/>
  <c r="BK17" i="8"/>
  <c r="BL17" i="8"/>
  <c r="AB20" i="8"/>
  <c r="R20" i="8"/>
  <c r="P20" i="8" s="1"/>
  <c r="S20" i="8" s="1"/>
  <c r="M20" i="8" s="1"/>
  <c r="N20" i="8" s="1"/>
  <c r="BL28" i="8"/>
  <c r="AB18" i="8"/>
  <c r="AB24" i="8"/>
  <c r="R24" i="8"/>
  <c r="P24" i="8" s="1"/>
  <c r="S24" i="8" s="1"/>
  <c r="AC20" i="8"/>
  <c r="BS23" i="8"/>
  <c r="BW23" i="8" s="1"/>
  <c r="BX23" i="8" s="1"/>
  <c r="BR23" i="8"/>
  <c r="BT23" i="8"/>
  <c r="BT17" i="8"/>
  <c r="BS17" i="8"/>
  <c r="BW17" i="8" s="1"/>
  <c r="BX17" i="8" s="1"/>
  <c r="BR17" i="8"/>
  <c r="AD17" i="8"/>
  <c r="AC17" i="8"/>
  <c r="W17" i="8"/>
  <c r="AA17" i="8" s="1"/>
  <c r="U21" i="8"/>
  <c r="V21" i="8" s="1"/>
  <c r="U20" i="8"/>
  <c r="V20" i="8" s="1"/>
  <c r="U23" i="8"/>
  <c r="V23" i="8" s="1"/>
  <c r="BS18" i="8"/>
  <c r="BW18" i="8" s="1"/>
  <c r="BX18" i="8" s="1"/>
  <c r="BS22" i="8"/>
  <c r="BW22" i="8" s="1"/>
  <c r="BX22" i="8" s="1"/>
  <c r="O18" i="8"/>
  <c r="BT18" i="8"/>
  <c r="R21" i="8"/>
  <c r="P21" i="8" s="1"/>
  <c r="S21" i="8" s="1"/>
  <c r="M21" i="8" s="1"/>
  <c r="N21" i="8" s="1"/>
  <c r="U26" i="8"/>
  <c r="V26" i="8" s="1"/>
  <c r="BS28" i="8"/>
  <c r="BW28" i="8" s="1"/>
  <c r="BX28" i="8" s="1"/>
  <c r="BT28" i="8"/>
  <c r="R23" i="8"/>
  <c r="P23" i="8" s="1"/>
  <c r="S23" i="8" s="1"/>
  <c r="M23" i="8" s="1"/>
  <c r="N23" i="8" s="1"/>
  <c r="BT20" i="8"/>
  <c r="U24" i="8"/>
  <c r="V24" i="8" s="1"/>
  <c r="BR27" i="8"/>
  <c r="BT27" i="8"/>
  <c r="BS27" i="8"/>
  <c r="BW27" i="8" s="1"/>
  <c r="BX27" i="8" s="1"/>
  <c r="DH24" i="8"/>
  <c r="BI24" i="8" s="1"/>
  <c r="BL24" i="8" s="1"/>
  <c r="L26" i="8"/>
  <c r="BT26" i="8"/>
  <c r="BK18" i="8"/>
  <c r="R25" i="8"/>
  <c r="P25" i="8" s="1"/>
  <c r="S25" i="8" s="1"/>
  <c r="M25" i="8" s="1"/>
  <c r="N25" i="8" s="1"/>
  <c r="L22" i="8"/>
  <c r="O22" i="8"/>
  <c r="BK28" i="8"/>
  <c r="DH26" i="8"/>
  <c r="BI26" i="8" s="1"/>
  <c r="BK26" i="8" s="1"/>
  <c r="L28" i="8"/>
  <c r="AE17" i="8"/>
  <c r="U18" i="8"/>
  <c r="V18" i="8" s="1"/>
  <c r="U22" i="8"/>
  <c r="V22" i="8" s="1"/>
  <c r="BK24" i="8"/>
  <c r="U25" i="8"/>
  <c r="V25" i="8" s="1"/>
  <c r="R27" i="8"/>
  <c r="P27" i="8" s="1"/>
  <c r="S27" i="8" s="1"/>
  <c r="M27" i="8" s="1"/>
  <c r="N27" i="8" s="1"/>
  <c r="O28" i="8"/>
  <c r="BR21" i="8"/>
  <c r="BT21" i="8"/>
  <c r="BS21" i="8"/>
  <c r="BW21" i="8" s="1"/>
  <c r="BX21" i="8" s="1"/>
  <c r="U28" i="8"/>
  <c r="V28" i="8" s="1"/>
  <c r="BS20" i="8"/>
  <c r="BW20" i="8" s="1"/>
  <c r="BX20" i="8" s="1"/>
  <c r="DH28" i="8"/>
  <c r="BI28" i="8" s="1"/>
  <c r="R29" i="8"/>
  <c r="P29" i="8" s="1"/>
  <c r="S29" i="8" s="1"/>
  <c r="M29" i="8" s="1"/>
  <c r="N29" i="8" s="1"/>
  <c r="AU18" i="8"/>
  <c r="BS26" i="8"/>
  <c r="BW26" i="8" s="1"/>
  <c r="BX26" i="8" s="1"/>
  <c r="U19" i="8"/>
  <c r="V19" i="8" s="1"/>
  <c r="DH20" i="8"/>
  <c r="BI20" i="8" s="1"/>
  <c r="BL20" i="8" s="1"/>
  <c r="O26" i="8"/>
  <c r="R17" i="8"/>
  <c r="P17" i="8" s="1"/>
  <c r="S17" i="8" s="1"/>
  <c r="M17" i="8" s="1"/>
  <c r="N17" i="8" s="1"/>
  <c r="BT22" i="8"/>
  <c r="AE29" i="8"/>
  <c r="L24" i="8"/>
  <c r="AF26" i="8"/>
  <c r="K26" i="8" s="1"/>
  <c r="BJ26" i="8" s="1"/>
  <c r="BL26" i="8" s="1"/>
  <c r="AB23" i="7"/>
  <c r="BT27" i="7"/>
  <c r="BS27" i="7"/>
  <c r="BW27" i="7" s="1"/>
  <c r="BX27" i="7" s="1"/>
  <c r="BR27" i="7"/>
  <c r="BT21" i="7"/>
  <c r="BS21" i="7"/>
  <c r="BW21" i="7" s="1"/>
  <c r="BX21" i="7" s="1"/>
  <c r="BR21" i="7"/>
  <c r="BT17" i="7"/>
  <c r="BS17" i="7"/>
  <c r="BW17" i="7" s="1"/>
  <c r="BX17" i="7" s="1"/>
  <c r="BR17" i="7"/>
  <c r="BL23" i="7"/>
  <c r="BT25" i="7"/>
  <c r="BS25" i="7"/>
  <c r="BW25" i="7" s="1"/>
  <c r="BX25" i="7" s="1"/>
  <c r="BR25" i="7"/>
  <c r="BL26" i="7"/>
  <c r="R19" i="7"/>
  <c r="P19" i="7" s="1"/>
  <c r="S19" i="7" s="1"/>
  <c r="M19" i="7" s="1"/>
  <c r="N19" i="7" s="1"/>
  <c r="AB19" i="7"/>
  <c r="BS19" i="7"/>
  <c r="BW19" i="7" s="1"/>
  <c r="BX19" i="7" s="1"/>
  <c r="BR19" i="7"/>
  <c r="DH24" i="7"/>
  <c r="BI24" i="7" s="1"/>
  <c r="BL20" i="7"/>
  <c r="BT19" i="7"/>
  <c r="AC24" i="7"/>
  <c r="R25" i="7"/>
  <c r="P25" i="7" s="1"/>
  <c r="S25" i="7" s="1"/>
  <c r="M25" i="7" s="1"/>
  <c r="N25" i="7" s="1"/>
  <c r="BK25" i="7"/>
  <c r="U26" i="7"/>
  <c r="V26" i="7" s="1"/>
  <c r="AF18" i="7"/>
  <c r="K18" i="7" s="1"/>
  <c r="BJ18" i="7" s="1"/>
  <c r="BL18" i="7" s="1"/>
  <c r="BT23" i="7"/>
  <c r="BS23" i="7"/>
  <c r="BW23" i="7" s="1"/>
  <c r="BX23" i="7" s="1"/>
  <c r="BR23" i="7"/>
  <c r="AD24" i="7"/>
  <c r="AE24" i="7" s="1"/>
  <c r="AG18" i="7"/>
  <c r="J18" i="7" s="1"/>
  <c r="I18" i="7" s="1"/>
  <c r="BK23" i="7"/>
  <c r="U17" i="7"/>
  <c r="V17" i="7" s="1"/>
  <c r="U19" i="7"/>
  <c r="V19" i="7" s="1"/>
  <c r="BT29" i="7"/>
  <c r="BS29" i="7"/>
  <c r="BW29" i="7" s="1"/>
  <c r="BX29" i="7" s="1"/>
  <c r="BR29" i="7"/>
  <c r="AU18" i="7"/>
  <c r="BK20" i="7"/>
  <c r="W21" i="7"/>
  <c r="AA21" i="7" s="1"/>
  <c r="AB20" i="7"/>
  <c r="R20" i="7"/>
  <c r="P20" i="7" s="1"/>
  <c r="S20" i="7" s="1"/>
  <c r="M20" i="7" s="1"/>
  <c r="N20" i="7" s="1"/>
  <c r="BR18" i="7"/>
  <c r="BT18" i="7"/>
  <c r="BS18" i="7"/>
  <c r="BW18" i="7" s="1"/>
  <c r="BX18" i="7" s="1"/>
  <c r="BK18" i="7"/>
  <c r="L22" i="7"/>
  <c r="AG22" i="7"/>
  <c r="J22" i="7" s="1"/>
  <c r="I22" i="7" s="1"/>
  <c r="AF22" i="7"/>
  <c r="K22" i="7" s="1"/>
  <c r="BJ22" i="7" s="1"/>
  <c r="BL22" i="7" s="1"/>
  <c r="AU22" i="7"/>
  <c r="BK24" i="7"/>
  <c r="AC25" i="7"/>
  <c r="L18" i="7"/>
  <c r="U23" i="7"/>
  <c r="V23" i="7" s="1"/>
  <c r="AB24" i="7"/>
  <c r="R24" i="7"/>
  <c r="P24" i="7" s="1"/>
  <c r="S24" i="7" s="1"/>
  <c r="M24" i="7" s="1"/>
  <c r="N24" i="7" s="1"/>
  <c r="AD25" i="7"/>
  <c r="AE25" i="7" s="1"/>
  <c r="U27" i="7"/>
  <c r="V27" i="7" s="1"/>
  <c r="L28" i="7"/>
  <c r="AG28" i="7"/>
  <c r="J28" i="7" s="1"/>
  <c r="I28" i="7" s="1"/>
  <c r="U28" i="7" s="1"/>
  <c r="V28" i="7" s="1"/>
  <c r="AF28" i="7"/>
  <c r="K28" i="7" s="1"/>
  <c r="BJ28" i="7" s="1"/>
  <c r="BL28" i="7" s="1"/>
  <c r="AC21" i="7"/>
  <c r="AE21" i="7" s="1"/>
  <c r="BR22" i="7"/>
  <c r="BT22" i="7"/>
  <c r="BS22" i="7"/>
  <c r="BW22" i="7" s="1"/>
  <c r="BX22" i="7" s="1"/>
  <c r="AU28" i="7"/>
  <c r="U29" i="7"/>
  <c r="V29" i="7" s="1"/>
  <c r="BL24" i="7"/>
  <c r="BL25" i="7"/>
  <c r="BK26" i="7"/>
  <c r="U20" i="7"/>
  <c r="V20" i="7" s="1"/>
  <c r="BR28" i="7"/>
  <c r="BT28" i="7"/>
  <c r="BS28" i="7"/>
  <c r="BW28" i="7" s="1"/>
  <c r="BX28" i="7" s="1"/>
  <c r="O24" i="7"/>
  <c r="R21" i="7"/>
  <c r="P21" i="7" s="1"/>
  <c r="S21" i="7" s="1"/>
  <c r="M21" i="7" s="1"/>
  <c r="N21" i="7" s="1"/>
  <c r="O20" i="7"/>
  <c r="R27" i="7"/>
  <c r="P27" i="7" s="1"/>
  <c r="S27" i="7" s="1"/>
  <c r="M27" i="7" s="1"/>
  <c r="N27" i="7" s="1"/>
  <c r="R17" i="7"/>
  <c r="P17" i="7" s="1"/>
  <c r="S17" i="7" s="1"/>
  <c r="M17" i="7" s="1"/>
  <c r="N17" i="7" s="1"/>
  <c r="BS24" i="7"/>
  <c r="BW24" i="7" s="1"/>
  <c r="BX24" i="7" s="1"/>
  <c r="O26" i="7"/>
  <c r="BT24" i="7"/>
  <c r="T26" i="6"/>
  <c r="DH26" i="6"/>
  <c r="BI26" i="6" s="1"/>
  <c r="BL26" i="6" s="1"/>
  <c r="AD19" i="6"/>
  <c r="W19" i="6"/>
  <c r="AA19" i="6" s="1"/>
  <c r="AC19" i="6"/>
  <c r="BT21" i="6"/>
  <c r="BR21" i="6"/>
  <c r="BS21" i="6"/>
  <c r="BW21" i="6" s="1"/>
  <c r="BX21" i="6" s="1"/>
  <c r="BL24" i="6"/>
  <c r="AB24" i="6"/>
  <c r="AF18" i="6"/>
  <c r="K18" i="6" s="1"/>
  <c r="BJ18" i="6" s="1"/>
  <c r="BL18" i="6" s="1"/>
  <c r="O18" i="6"/>
  <c r="AG18" i="6"/>
  <c r="J18" i="6" s="1"/>
  <c r="I18" i="6" s="1"/>
  <c r="BR17" i="6"/>
  <c r="BT17" i="6"/>
  <c r="BS17" i="6"/>
  <c r="BW17" i="6" s="1"/>
  <c r="BX17" i="6" s="1"/>
  <c r="AB29" i="6"/>
  <c r="AB26" i="6"/>
  <c r="BT27" i="6"/>
  <c r="BS27" i="6"/>
  <c r="BW27" i="6" s="1"/>
  <c r="BX27" i="6" s="1"/>
  <c r="BR27" i="6"/>
  <c r="BT29" i="6"/>
  <c r="BR29" i="6"/>
  <c r="BS29" i="6"/>
  <c r="BW29" i="6" s="1"/>
  <c r="BX29" i="6" s="1"/>
  <c r="U21" i="6"/>
  <c r="V21" i="6" s="1"/>
  <c r="AC22" i="6"/>
  <c r="BK23" i="6"/>
  <c r="L20" i="6"/>
  <c r="AU20" i="6"/>
  <c r="AG20" i="6"/>
  <c r="J20" i="6" s="1"/>
  <c r="I20" i="6" s="1"/>
  <c r="U20" i="6" s="1"/>
  <c r="V20" i="6" s="1"/>
  <c r="AF20" i="6"/>
  <c r="K20" i="6" s="1"/>
  <c r="BJ20" i="6" s="1"/>
  <c r="BL20" i="6" s="1"/>
  <c r="O20" i="6"/>
  <c r="BR20" i="6"/>
  <c r="BS20" i="6"/>
  <c r="BW20" i="6" s="1"/>
  <c r="BX20" i="6" s="1"/>
  <c r="BT20" i="6"/>
  <c r="BT23" i="6"/>
  <c r="BR23" i="6"/>
  <c r="BS23" i="6"/>
  <c r="BW23" i="6" s="1"/>
  <c r="BX23" i="6" s="1"/>
  <c r="BT19" i="6"/>
  <c r="BS19" i="6"/>
  <c r="BW19" i="6" s="1"/>
  <c r="BX19" i="6" s="1"/>
  <c r="BR19" i="6"/>
  <c r="AB22" i="6"/>
  <c r="R22" i="6"/>
  <c r="P22" i="6" s="1"/>
  <c r="S22" i="6" s="1"/>
  <c r="BT25" i="6"/>
  <c r="BS25" i="6"/>
  <c r="BW25" i="6" s="1"/>
  <c r="BX25" i="6" s="1"/>
  <c r="AB28" i="6"/>
  <c r="BK20" i="6"/>
  <c r="BK18" i="6"/>
  <c r="U24" i="6"/>
  <c r="V24" i="6" s="1"/>
  <c r="R24" i="6" s="1"/>
  <c r="P24" i="6" s="1"/>
  <c r="S24" i="6" s="1"/>
  <c r="M24" i="6" s="1"/>
  <c r="N24" i="6" s="1"/>
  <c r="DH24" i="6"/>
  <c r="BI24" i="6" s="1"/>
  <c r="BS18" i="6"/>
  <c r="BW18" i="6" s="1"/>
  <c r="BX18" i="6" s="1"/>
  <c r="AU28" i="6"/>
  <c r="DH20" i="6"/>
  <c r="BI20" i="6" s="1"/>
  <c r="R23" i="6"/>
  <c r="P23" i="6" s="1"/>
  <c r="S23" i="6" s="1"/>
  <c r="M23" i="6" s="1"/>
  <c r="N23" i="6" s="1"/>
  <c r="BT28" i="6"/>
  <c r="BS26" i="6"/>
  <c r="BW26" i="6" s="1"/>
  <c r="BX26" i="6" s="1"/>
  <c r="R19" i="6"/>
  <c r="P19" i="6" s="1"/>
  <c r="S19" i="6" s="1"/>
  <c r="M19" i="6" s="1"/>
  <c r="N19" i="6" s="1"/>
  <c r="BT26" i="6"/>
  <c r="L22" i="6"/>
  <c r="O24" i="6"/>
  <c r="BS24" i="6"/>
  <c r="BW24" i="6" s="1"/>
  <c r="BX24" i="6" s="1"/>
  <c r="T28" i="6"/>
  <c r="DH22" i="6"/>
  <c r="BI22" i="6" s="1"/>
  <c r="BK22" i="6" s="1"/>
  <c r="AE19" i="6"/>
  <c r="U17" i="6"/>
  <c r="V17" i="6" s="1"/>
  <c r="BT18" i="6"/>
  <c r="U22" i="6"/>
  <c r="V22" i="6" s="1"/>
  <c r="L28" i="6"/>
  <c r="AU26" i="6"/>
  <c r="U29" i="6"/>
  <c r="V29" i="6" s="1"/>
  <c r="R29" i="6" s="1"/>
  <c r="P29" i="6" s="1"/>
  <c r="S29" i="6" s="1"/>
  <c r="M29" i="6" s="1"/>
  <c r="N29" i="6" s="1"/>
  <c r="L26" i="6"/>
  <c r="BS28" i="6"/>
  <c r="BW28" i="6" s="1"/>
  <c r="BX28" i="6" s="1"/>
  <c r="AU24" i="6"/>
  <c r="BK26" i="6"/>
  <c r="U27" i="6"/>
  <c r="V27" i="6" s="1"/>
  <c r="R21" i="6"/>
  <c r="P21" i="6" s="1"/>
  <c r="S21" i="6" s="1"/>
  <c r="M21" i="6" s="1"/>
  <c r="N21" i="6" s="1"/>
  <c r="R17" i="6"/>
  <c r="P17" i="6" s="1"/>
  <c r="S17" i="6" s="1"/>
  <c r="M17" i="6" s="1"/>
  <c r="N17" i="6" s="1"/>
  <c r="AU22" i="6"/>
  <c r="BK24" i="6"/>
  <c r="U25" i="6"/>
  <c r="V25" i="6" s="1"/>
  <c r="U23" i="6"/>
  <c r="V23" i="6" s="1"/>
  <c r="BT24" i="6"/>
  <c r="AB27" i="6"/>
  <c r="BS25" i="4"/>
  <c r="BW25" i="4" s="1"/>
  <c r="BX25" i="4" s="1"/>
  <c r="BR25" i="4"/>
  <c r="BT25" i="4"/>
  <c r="AB22" i="4"/>
  <c r="R22" i="4"/>
  <c r="P22" i="4" s="1"/>
  <c r="S22" i="4" s="1"/>
  <c r="BL20" i="4"/>
  <c r="BS21" i="4"/>
  <c r="BW21" i="4" s="1"/>
  <c r="BX21" i="4" s="1"/>
  <c r="BT21" i="4"/>
  <c r="BR21" i="4"/>
  <c r="BT19" i="4"/>
  <c r="BS19" i="4"/>
  <c r="BW19" i="4" s="1"/>
  <c r="BX19" i="4" s="1"/>
  <c r="BR19" i="4"/>
  <c r="BK19" i="4"/>
  <c r="BK17" i="4"/>
  <c r="BS23" i="4"/>
  <c r="BW23" i="4" s="1"/>
  <c r="BX23" i="4" s="1"/>
  <c r="BR23" i="4"/>
  <c r="BT23" i="4"/>
  <c r="AB20" i="4"/>
  <c r="R20" i="4"/>
  <c r="P20" i="4" s="1"/>
  <c r="S20" i="4" s="1"/>
  <c r="M20" i="4" s="1"/>
  <c r="N20" i="4" s="1"/>
  <c r="AB24" i="4"/>
  <c r="AB18" i="4"/>
  <c r="R18" i="4"/>
  <c r="P18" i="4" s="1"/>
  <c r="S18" i="4" s="1"/>
  <c r="M18" i="4" s="1"/>
  <c r="N18" i="4" s="1"/>
  <c r="BK23" i="4"/>
  <c r="BR17" i="4"/>
  <c r="BT17" i="4"/>
  <c r="BS17" i="4"/>
  <c r="BW17" i="4" s="1"/>
  <c r="BX17" i="4" s="1"/>
  <c r="DH28" i="4"/>
  <c r="BI28" i="4" s="1"/>
  <c r="U24" i="4"/>
  <c r="V24" i="4" s="1"/>
  <c r="DH24" i="4"/>
  <c r="BI24" i="4" s="1"/>
  <c r="BK26" i="4"/>
  <c r="U27" i="4"/>
  <c r="V27" i="4" s="1"/>
  <c r="L26" i="4"/>
  <c r="BT27" i="4"/>
  <c r="BS27" i="4"/>
  <c r="BW27" i="4" s="1"/>
  <c r="BX27" i="4" s="1"/>
  <c r="BR27" i="4"/>
  <c r="R29" i="4"/>
  <c r="P29" i="4" s="1"/>
  <c r="S29" i="4" s="1"/>
  <c r="M29" i="4" s="1"/>
  <c r="N29" i="4" s="1"/>
  <c r="U23" i="4"/>
  <c r="V23" i="4" s="1"/>
  <c r="BS26" i="4"/>
  <c r="BW26" i="4" s="1"/>
  <c r="BX26" i="4" s="1"/>
  <c r="AF28" i="4"/>
  <c r="K28" i="4" s="1"/>
  <c r="BJ28" i="4" s="1"/>
  <c r="L22" i="4"/>
  <c r="R25" i="4"/>
  <c r="P25" i="4" s="1"/>
  <c r="S25" i="4" s="1"/>
  <c r="M25" i="4" s="1"/>
  <c r="N25" i="4" s="1"/>
  <c r="BT26" i="4"/>
  <c r="AG28" i="4"/>
  <c r="J28" i="4" s="1"/>
  <c r="I28" i="4" s="1"/>
  <c r="BK18" i="4"/>
  <c r="L20" i="4"/>
  <c r="BS22" i="4"/>
  <c r="BW22" i="4" s="1"/>
  <c r="BX22" i="4" s="1"/>
  <c r="AF24" i="4"/>
  <c r="K24" i="4" s="1"/>
  <c r="BJ24" i="4" s="1"/>
  <c r="O26" i="4"/>
  <c r="AU21" i="4"/>
  <c r="AF21" i="4"/>
  <c r="K21" i="4" s="1"/>
  <c r="BJ21" i="4" s="1"/>
  <c r="BL21" i="4" s="1"/>
  <c r="L21" i="4"/>
  <c r="O21" i="4"/>
  <c r="AG21" i="4"/>
  <c r="J21" i="4" s="1"/>
  <c r="I21" i="4" s="1"/>
  <c r="U21" i="4" s="1"/>
  <c r="V21" i="4" s="1"/>
  <c r="U26" i="4"/>
  <c r="V26" i="4" s="1"/>
  <c r="BK28" i="4"/>
  <c r="U29" i="4"/>
  <c r="V29" i="4" s="1"/>
  <c r="U22" i="4"/>
  <c r="V22" i="4" s="1"/>
  <c r="BR29" i="4"/>
  <c r="BT29" i="4"/>
  <c r="BS29" i="4"/>
  <c r="BW29" i="4" s="1"/>
  <c r="BX29" i="4" s="1"/>
  <c r="U20" i="4"/>
  <c r="V20" i="4" s="1"/>
  <c r="DH22" i="4"/>
  <c r="BI22" i="4" s="1"/>
  <c r="BK22" i="4" s="1"/>
  <c r="BK24" i="4"/>
  <c r="BS28" i="4"/>
  <c r="BW28" i="4" s="1"/>
  <c r="BX28" i="4" s="1"/>
  <c r="L24" i="4"/>
  <c r="R27" i="4"/>
  <c r="P27" i="4" s="1"/>
  <c r="S27" i="4" s="1"/>
  <c r="M27" i="4" s="1"/>
  <c r="N27" i="4" s="1"/>
  <c r="AF26" i="4"/>
  <c r="K26" i="4" s="1"/>
  <c r="BJ26" i="4" s="1"/>
  <c r="O28" i="4"/>
  <c r="BT24" i="4"/>
  <c r="AG26" i="4"/>
  <c r="J26" i="4" s="1"/>
  <c r="I26" i="4" s="1"/>
  <c r="L19" i="4"/>
  <c r="AU19" i="4"/>
  <c r="AG19" i="4"/>
  <c r="J19" i="4" s="1"/>
  <c r="I19" i="4" s="1"/>
  <c r="U19" i="4" s="1"/>
  <c r="V19" i="4" s="1"/>
  <c r="AF19" i="4"/>
  <c r="K19" i="4" s="1"/>
  <c r="BJ19" i="4" s="1"/>
  <c r="BL19" i="4" s="1"/>
  <c r="O19" i="4"/>
  <c r="AF17" i="4"/>
  <c r="K17" i="4" s="1"/>
  <c r="BJ17" i="4" s="1"/>
  <c r="BL17" i="4" s="1"/>
  <c r="AU17" i="4"/>
  <c r="L17" i="4"/>
  <c r="O17" i="4"/>
  <c r="AG17" i="4"/>
  <c r="J17" i="4" s="1"/>
  <c r="I17" i="4" s="1"/>
  <c r="U17" i="4" s="1"/>
  <c r="V17" i="4" s="1"/>
  <c r="DH26" i="4"/>
  <c r="BI26" i="4" s="1"/>
  <c r="L28" i="4"/>
  <c r="U25" i="4"/>
  <c r="V25" i="4" s="1"/>
  <c r="U18" i="4"/>
  <c r="V18" i="4" s="1"/>
  <c r="DH20" i="4"/>
  <c r="BI20" i="4" s="1"/>
  <c r="BK20" i="4" s="1"/>
  <c r="BT28" i="4"/>
  <c r="DH18" i="4"/>
  <c r="BI18" i="4" s="1"/>
  <c r="BL18" i="4" s="1"/>
  <c r="BS24" i="4"/>
  <c r="BW24" i="4" s="1"/>
  <c r="BX24" i="4" s="1"/>
  <c r="AF22" i="4"/>
  <c r="K22" i="4" s="1"/>
  <c r="BJ22" i="4" s="1"/>
  <c r="O24" i="4"/>
  <c r="AB22" i="3"/>
  <c r="AC23" i="3"/>
  <c r="AD23" i="3"/>
  <c r="AE23" i="3" s="1"/>
  <c r="W23" i="3"/>
  <c r="AA23" i="3" s="1"/>
  <c r="AD21" i="3"/>
  <c r="AC21" i="3"/>
  <c r="W21" i="3"/>
  <c r="AA21" i="3" s="1"/>
  <c r="AB20" i="3"/>
  <c r="R20" i="3"/>
  <c r="P20" i="3" s="1"/>
  <c r="S20" i="3" s="1"/>
  <c r="M20" i="3" s="1"/>
  <c r="N20" i="3" s="1"/>
  <c r="BK19" i="3"/>
  <c r="BL22" i="3"/>
  <c r="BS17" i="3"/>
  <c r="BW17" i="3" s="1"/>
  <c r="BX17" i="3" s="1"/>
  <c r="BT17" i="3"/>
  <c r="BR17" i="3"/>
  <c r="AB24" i="3"/>
  <c r="R24" i="3"/>
  <c r="P24" i="3" s="1"/>
  <c r="S24" i="3" s="1"/>
  <c r="M24" i="3" s="1"/>
  <c r="N24" i="3" s="1"/>
  <c r="BK24" i="3"/>
  <c r="AB28" i="3"/>
  <c r="U20" i="3"/>
  <c r="V20" i="3" s="1"/>
  <c r="AB26" i="3"/>
  <c r="BS24" i="3"/>
  <c r="BW24" i="3" s="1"/>
  <c r="BX24" i="3" s="1"/>
  <c r="BS26" i="3"/>
  <c r="BW26" i="3" s="1"/>
  <c r="BX26" i="3" s="1"/>
  <c r="BL17" i="3"/>
  <c r="BT19" i="3"/>
  <c r="BS19" i="3"/>
  <c r="BW19" i="3" s="1"/>
  <c r="BX19" i="3" s="1"/>
  <c r="BR19" i="3"/>
  <c r="BT24" i="3"/>
  <c r="BT26" i="3"/>
  <c r="R21" i="3"/>
  <c r="P21" i="3" s="1"/>
  <c r="S21" i="3" s="1"/>
  <c r="M21" i="3" s="1"/>
  <c r="N21" i="3" s="1"/>
  <c r="U22" i="3"/>
  <c r="V22" i="3" s="1"/>
  <c r="U17" i="3"/>
  <c r="V17" i="3" s="1"/>
  <c r="BL19" i="3"/>
  <c r="BS21" i="3"/>
  <c r="BW21" i="3" s="1"/>
  <c r="BX21" i="3" s="1"/>
  <c r="BT21" i="3"/>
  <c r="BR21" i="3"/>
  <c r="R23" i="3"/>
  <c r="P23" i="3" s="1"/>
  <c r="S23" i="3" s="1"/>
  <c r="M23" i="3" s="1"/>
  <c r="N23" i="3" s="1"/>
  <c r="U24" i="3"/>
  <c r="V24" i="3" s="1"/>
  <c r="BL21" i="3"/>
  <c r="BS23" i="3"/>
  <c r="BW23" i="3" s="1"/>
  <c r="BX23" i="3" s="1"/>
  <c r="BT23" i="3"/>
  <c r="BR23" i="3"/>
  <c r="R27" i="3"/>
  <c r="P27" i="3" s="1"/>
  <c r="S27" i="3" s="1"/>
  <c r="M27" i="3" s="1"/>
  <c r="N27" i="3" s="1"/>
  <c r="R25" i="3"/>
  <c r="P25" i="3" s="1"/>
  <c r="S25" i="3" s="1"/>
  <c r="M25" i="3" s="1"/>
  <c r="N25" i="3" s="1"/>
  <c r="BT27" i="3"/>
  <c r="BR27" i="3"/>
  <c r="BS27" i="3"/>
  <c r="BW27" i="3" s="1"/>
  <c r="BX27" i="3" s="1"/>
  <c r="BK18" i="3"/>
  <c r="BL23" i="3"/>
  <c r="BL29" i="3"/>
  <c r="BL27" i="3"/>
  <c r="BT18" i="3"/>
  <c r="BL25" i="3"/>
  <c r="BL20" i="3"/>
  <c r="BS20" i="3"/>
  <c r="BW20" i="3" s="1"/>
  <c r="BX20" i="3" s="1"/>
  <c r="BT20" i="3"/>
  <c r="U27" i="3"/>
  <c r="V27" i="3" s="1"/>
  <c r="R29" i="3"/>
  <c r="P29" i="3" s="1"/>
  <c r="S29" i="3" s="1"/>
  <c r="M29" i="3" s="1"/>
  <c r="N29" i="3" s="1"/>
  <c r="U19" i="3"/>
  <c r="V19" i="3" s="1"/>
  <c r="BR29" i="3"/>
  <c r="BT29" i="3"/>
  <c r="BS29" i="3"/>
  <c r="BW29" i="3" s="1"/>
  <c r="BX29" i="3" s="1"/>
  <c r="AB18" i="3"/>
  <c r="R18" i="3"/>
  <c r="P18" i="3" s="1"/>
  <c r="S18" i="3" s="1"/>
  <c r="M18" i="3" s="1"/>
  <c r="N18" i="3" s="1"/>
  <c r="AE21" i="3"/>
  <c r="BS25" i="3"/>
  <c r="BW25" i="3" s="1"/>
  <c r="BX25" i="3" s="1"/>
  <c r="BR25" i="3"/>
  <c r="BT25" i="3"/>
  <c r="BL18" i="3"/>
  <c r="BS18" i="3"/>
  <c r="BW18" i="3" s="1"/>
  <c r="BX18" i="3" s="1"/>
  <c r="U29" i="3"/>
  <c r="V29" i="3" s="1"/>
  <c r="U18" i="3"/>
  <c r="V18" i="3" s="1"/>
  <c r="U25" i="3"/>
  <c r="V25" i="3" s="1"/>
  <c r="DH24" i="3"/>
  <c r="BI24" i="3" s="1"/>
  <c r="BL24" i="3" s="1"/>
  <c r="T28" i="3"/>
  <c r="DH20" i="3"/>
  <c r="BI20" i="3" s="1"/>
  <c r="BK20" i="3" s="1"/>
  <c r="DH22" i="3"/>
  <c r="BI22" i="3" s="1"/>
  <c r="BK22" i="3" s="1"/>
  <c r="T26" i="3"/>
  <c r="DH18" i="3"/>
  <c r="BI18" i="3" s="1"/>
  <c r="AB20" i="2"/>
  <c r="AB24" i="2"/>
  <c r="BK27" i="2"/>
  <c r="BL27" i="2"/>
  <c r="AB28" i="2"/>
  <c r="BL26" i="2"/>
  <c r="BK19" i="2"/>
  <c r="BR23" i="2"/>
  <c r="BT23" i="2"/>
  <c r="BS23" i="2"/>
  <c r="BW23" i="2" s="1"/>
  <c r="BX23" i="2" s="1"/>
  <c r="BL22" i="2"/>
  <c r="AB22" i="2"/>
  <c r="AB18" i="2"/>
  <c r="R18" i="2"/>
  <c r="P18" i="2" s="1"/>
  <c r="S18" i="2" s="1"/>
  <c r="M18" i="2" s="1"/>
  <c r="N18" i="2" s="1"/>
  <c r="U19" i="2"/>
  <c r="V19" i="2" s="1"/>
  <c r="BT19" i="2"/>
  <c r="BR19" i="2"/>
  <c r="BS19" i="2"/>
  <c r="BW19" i="2" s="1"/>
  <c r="BX19" i="2" s="1"/>
  <c r="R27" i="2"/>
  <c r="P27" i="2" s="1"/>
  <c r="S27" i="2" s="1"/>
  <c r="M27" i="2" s="1"/>
  <c r="N27" i="2" s="1"/>
  <c r="BR27" i="2"/>
  <c r="BT27" i="2"/>
  <c r="BS27" i="2"/>
  <c r="BW27" i="2" s="1"/>
  <c r="BX27" i="2" s="1"/>
  <c r="BS18" i="2"/>
  <c r="BW18" i="2" s="1"/>
  <c r="BX18" i="2" s="1"/>
  <c r="T28" i="2"/>
  <c r="DH28" i="2"/>
  <c r="BI28" i="2" s="1"/>
  <c r="BK28" i="2" s="1"/>
  <c r="BT18" i="2"/>
  <c r="U25" i="2"/>
  <c r="V25" i="2" s="1"/>
  <c r="R17" i="2"/>
  <c r="P17" i="2" s="1"/>
  <c r="S17" i="2" s="1"/>
  <c r="M17" i="2" s="1"/>
  <c r="N17" i="2" s="1"/>
  <c r="U22" i="2"/>
  <c r="V22" i="2" s="1"/>
  <c r="DH22" i="2"/>
  <c r="BI22" i="2" s="1"/>
  <c r="L24" i="2"/>
  <c r="R29" i="2"/>
  <c r="P29" i="2" s="1"/>
  <c r="S29" i="2" s="1"/>
  <c r="M29" i="2" s="1"/>
  <c r="N29" i="2" s="1"/>
  <c r="BS24" i="2"/>
  <c r="BW24" i="2" s="1"/>
  <c r="BX24" i="2" s="1"/>
  <c r="BT29" i="2"/>
  <c r="BS29" i="2"/>
  <c r="BW29" i="2" s="1"/>
  <c r="BX29" i="2" s="1"/>
  <c r="BR29" i="2"/>
  <c r="DH18" i="2"/>
  <c r="BI18" i="2" s="1"/>
  <c r="BL18" i="2" s="1"/>
  <c r="BK26" i="2"/>
  <c r="BS20" i="2"/>
  <c r="BW20" i="2" s="1"/>
  <c r="BX20" i="2" s="1"/>
  <c r="BS26" i="2"/>
  <c r="BW26" i="2" s="1"/>
  <c r="BX26" i="2" s="1"/>
  <c r="U17" i="2"/>
  <c r="V17" i="2" s="1"/>
  <c r="BR17" i="2"/>
  <c r="BT17" i="2"/>
  <c r="BS17" i="2"/>
  <c r="BW17" i="2" s="1"/>
  <c r="BX17" i="2" s="1"/>
  <c r="R19" i="2"/>
  <c r="P19" i="2" s="1"/>
  <c r="S19" i="2" s="1"/>
  <c r="M19" i="2" s="1"/>
  <c r="N19" i="2" s="1"/>
  <c r="T24" i="2"/>
  <c r="DH24" i="2"/>
  <c r="BI24" i="2" s="1"/>
  <c r="BK24" i="2" s="1"/>
  <c r="BT26" i="2"/>
  <c r="U29" i="2"/>
  <c r="V29" i="2" s="1"/>
  <c r="BK22" i="2"/>
  <c r="U23" i="2"/>
  <c r="V23" i="2" s="1"/>
  <c r="BT25" i="2"/>
  <c r="BS25" i="2"/>
  <c r="BW25" i="2" s="1"/>
  <c r="BX25" i="2" s="1"/>
  <c r="BR25" i="2"/>
  <c r="BS28" i="2"/>
  <c r="BW28" i="2" s="1"/>
  <c r="BX28" i="2" s="1"/>
  <c r="U18" i="2"/>
  <c r="V18" i="2" s="1"/>
  <c r="U21" i="2"/>
  <c r="V21" i="2" s="1"/>
  <c r="BT21" i="2"/>
  <c r="BS21" i="2"/>
  <c r="BW21" i="2" s="1"/>
  <c r="BX21" i="2" s="1"/>
  <c r="BR21" i="2"/>
  <c r="AB26" i="2"/>
  <c r="U27" i="2"/>
  <c r="V27" i="2" s="1"/>
  <c r="BT20" i="2"/>
  <c r="R25" i="2"/>
  <c r="P25" i="2" s="1"/>
  <c r="S25" i="2" s="1"/>
  <c r="M25" i="2" s="1"/>
  <c r="N25" i="2" s="1"/>
  <c r="U20" i="2"/>
  <c r="V20" i="2" s="1"/>
  <c r="DH20" i="2"/>
  <c r="BI20" i="2" s="1"/>
  <c r="BL20" i="2" s="1"/>
  <c r="L22" i="2"/>
  <c r="AF24" i="2"/>
  <c r="K24" i="2" s="1"/>
  <c r="BJ24" i="2" s="1"/>
  <c r="BL24" i="2" s="1"/>
  <c r="T26" i="2"/>
  <c r="DH26" i="2"/>
  <c r="BI26" i="2" s="1"/>
  <c r="BT28" i="2"/>
  <c r="U18" i="1"/>
  <c r="V18" i="1" s="1"/>
  <c r="AB27" i="1"/>
  <c r="BT27" i="1"/>
  <c r="BS27" i="1"/>
  <c r="BW27" i="1" s="1"/>
  <c r="BX27" i="1" s="1"/>
  <c r="BR27" i="1"/>
  <c r="BL21" i="1"/>
  <c r="AG18" i="1"/>
  <c r="J18" i="1" s="1"/>
  <c r="I18" i="1" s="1"/>
  <c r="AF18" i="1"/>
  <c r="K18" i="1" s="1"/>
  <c r="BJ18" i="1" s="1"/>
  <c r="BL18" i="1" s="1"/>
  <c r="O18" i="1"/>
  <c r="L18" i="1"/>
  <c r="AU18" i="1"/>
  <c r="BT20" i="1"/>
  <c r="BS20" i="1"/>
  <c r="BW20" i="1" s="1"/>
  <c r="BX20" i="1" s="1"/>
  <c r="BR20" i="1"/>
  <c r="BL19" i="1"/>
  <c r="BT22" i="1"/>
  <c r="BS22" i="1"/>
  <c r="BW22" i="1" s="1"/>
  <c r="BX22" i="1" s="1"/>
  <c r="AF23" i="1"/>
  <c r="K23" i="1" s="1"/>
  <c r="BJ23" i="1" s="1"/>
  <c r="O23" i="1"/>
  <c r="AU23" i="1"/>
  <c r="BS19" i="1"/>
  <c r="BW19" i="1" s="1"/>
  <c r="BX19" i="1" s="1"/>
  <c r="BR19" i="1"/>
  <c r="BT28" i="1"/>
  <c r="BS28" i="1"/>
  <c r="BW28" i="1" s="1"/>
  <c r="BX28" i="1" s="1"/>
  <c r="BR28" i="1"/>
  <c r="BR17" i="1"/>
  <c r="BS25" i="1"/>
  <c r="BW25" i="1" s="1"/>
  <c r="BX25" i="1" s="1"/>
  <c r="U28" i="1"/>
  <c r="V28" i="1" s="1"/>
  <c r="BS17" i="1"/>
  <c r="BW17" i="1" s="1"/>
  <c r="BX17" i="1" s="1"/>
  <c r="BT25" i="1"/>
  <c r="BK26" i="1"/>
  <c r="AC22" i="1"/>
  <c r="BT23" i="1"/>
  <c r="BS23" i="1"/>
  <c r="BW23" i="1" s="1"/>
  <c r="BX23" i="1" s="1"/>
  <c r="BR23" i="1"/>
  <c r="U20" i="1"/>
  <c r="V20" i="1" s="1"/>
  <c r="BR29" i="1"/>
  <c r="BT24" i="1"/>
  <c r="BS24" i="1"/>
  <c r="BW24" i="1" s="1"/>
  <c r="BX24" i="1" s="1"/>
  <c r="BR24" i="1"/>
  <c r="AU22" i="1"/>
  <c r="AG22" i="1"/>
  <c r="J22" i="1" s="1"/>
  <c r="I22" i="1" s="1"/>
  <c r="L22" i="1"/>
  <c r="AF22" i="1"/>
  <c r="K22" i="1" s="1"/>
  <c r="BJ22" i="1" s="1"/>
  <c r="BL22" i="1" s="1"/>
  <c r="AU19" i="1"/>
  <c r="L19" i="1"/>
  <c r="AG19" i="1"/>
  <c r="J19" i="1" s="1"/>
  <c r="I19" i="1" s="1"/>
  <c r="BK22" i="1"/>
  <c r="AG23" i="1"/>
  <c r="J23" i="1" s="1"/>
  <c r="I23" i="1" s="1"/>
  <c r="U23" i="1" s="1"/>
  <c r="V23" i="1" s="1"/>
  <c r="AG20" i="1"/>
  <c r="J20" i="1" s="1"/>
  <c r="I20" i="1" s="1"/>
  <c r="AF20" i="1"/>
  <c r="K20" i="1" s="1"/>
  <c r="BJ20" i="1" s="1"/>
  <c r="BR22" i="1"/>
  <c r="AU20" i="1"/>
  <c r="O26" i="1"/>
  <c r="AG26" i="1"/>
  <c r="J26" i="1" s="1"/>
  <c r="I26" i="1" s="1"/>
  <c r="AF26" i="1"/>
  <c r="K26" i="1" s="1"/>
  <c r="BJ26" i="1" s="1"/>
  <c r="R29" i="1"/>
  <c r="P29" i="1" s="1"/>
  <c r="S29" i="1" s="1"/>
  <c r="M29" i="1" s="1"/>
  <c r="N29" i="1" s="1"/>
  <c r="BT19" i="1"/>
  <c r="L23" i="1"/>
  <c r="BT26" i="1"/>
  <c r="BS26" i="1"/>
  <c r="BW26" i="1" s="1"/>
  <c r="BX26" i="1" s="1"/>
  <c r="BR26" i="1"/>
  <c r="L20" i="1"/>
  <c r="DH23" i="1"/>
  <c r="BI23" i="1" s="1"/>
  <c r="BK23" i="1" s="1"/>
  <c r="L26" i="1"/>
  <c r="BS29" i="1"/>
  <c r="BW29" i="1" s="1"/>
  <c r="BX29" i="1" s="1"/>
  <c r="BT18" i="1"/>
  <c r="BS18" i="1"/>
  <c r="BW18" i="1" s="1"/>
  <c r="BX18" i="1" s="1"/>
  <c r="BR18" i="1"/>
  <c r="AF17" i="1"/>
  <c r="K17" i="1" s="1"/>
  <c r="BJ17" i="1" s="1"/>
  <c r="L17" i="1"/>
  <c r="AG17" i="1"/>
  <c r="J17" i="1" s="1"/>
  <c r="I17" i="1" s="1"/>
  <c r="BT21" i="1"/>
  <c r="BS21" i="1"/>
  <c r="BW21" i="1" s="1"/>
  <c r="BX21" i="1" s="1"/>
  <c r="BR21" i="1"/>
  <c r="U24" i="1"/>
  <c r="V24" i="1" s="1"/>
  <c r="DH24" i="1"/>
  <c r="BI24" i="1" s="1"/>
  <c r="BL24" i="1" s="1"/>
  <c r="T27" i="1"/>
  <c r="DH27" i="1"/>
  <c r="BI27" i="1" s="1"/>
  <c r="BK27" i="1" s="1"/>
  <c r="AB29" i="1"/>
  <c r="DH19" i="1"/>
  <c r="BI19" i="1" s="1"/>
  <c r="BK19" i="1" s="1"/>
  <c r="U22" i="1"/>
  <c r="V22" i="1" s="1"/>
  <c r="AU24" i="1"/>
  <c r="U25" i="1"/>
  <c r="V25" i="1" s="1"/>
  <c r="DH25" i="1"/>
  <c r="BI25" i="1" s="1"/>
  <c r="BK25" i="1" s="1"/>
  <c r="DH26" i="1"/>
  <c r="BI26" i="1" s="1"/>
  <c r="DH20" i="1"/>
  <c r="BI20" i="1" s="1"/>
  <c r="BK20" i="1" s="1"/>
  <c r="AU27" i="1"/>
  <c r="AU21" i="1"/>
  <c r="U29" i="1"/>
  <c r="V29" i="1" s="1"/>
  <c r="T17" i="1"/>
  <c r="DH29" i="1"/>
  <c r="BI29" i="1" s="1"/>
  <c r="BK29" i="1" s="1"/>
  <c r="DH17" i="1"/>
  <c r="BI17" i="1" s="1"/>
  <c r="BK17" i="1" s="1"/>
  <c r="O28" i="1"/>
  <c r="U21" i="1"/>
  <c r="V21" i="1" s="1"/>
  <c r="AC20" i="1"/>
  <c r="DH21" i="1"/>
  <c r="BI21" i="1" s="1"/>
  <c r="BK21" i="1" s="1"/>
  <c r="L28" i="1"/>
  <c r="W28" i="11" l="1"/>
  <c r="AA28" i="11" s="1"/>
  <c r="AD28" i="11"/>
  <c r="AC28" i="11"/>
  <c r="W20" i="11"/>
  <c r="AA20" i="11" s="1"/>
  <c r="AD20" i="11"/>
  <c r="AC20" i="11"/>
  <c r="AD17" i="11"/>
  <c r="AC17" i="11"/>
  <c r="W17" i="11"/>
  <c r="AA17" i="11" s="1"/>
  <c r="AB24" i="11"/>
  <c r="R17" i="11"/>
  <c r="P17" i="11" s="1"/>
  <c r="S17" i="11" s="1"/>
  <c r="M17" i="11" s="1"/>
  <c r="N17" i="11" s="1"/>
  <c r="U24" i="11"/>
  <c r="V24" i="11" s="1"/>
  <c r="R24" i="11" s="1"/>
  <c r="P24" i="11" s="1"/>
  <c r="S24" i="11" s="1"/>
  <c r="M24" i="11" s="1"/>
  <c r="N24" i="11" s="1"/>
  <c r="W18" i="11"/>
  <c r="AA18" i="11" s="1"/>
  <c r="AD18" i="11"/>
  <c r="AE18" i="11" s="1"/>
  <c r="AD21" i="11"/>
  <c r="AC21" i="11"/>
  <c r="W21" i="11"/>
  <c r="AA21" i="11" s="1"/>
  <c r="AD29" i="11"/>
  <c r="AC29" i="11"/>
  <c r="W29" i="11"/>
  <c r="AA29" i="11" s="1"/>
  <c r="AC23" i="11"/>
  <c r="AD23" i="11"/>
  <c r="AE23" i="11" s="1"/>
  <c r="W23" i="11"/>
  <c r="AA23" i="11" s="1"/>
  <c r="AB22" i="11"/>
  <c r="R22" i="11"/>
  <c r="P22" i="11" s="1"/>
  <c r="S22" i="11" s="1"/>
  <c r="M22" i="11" s="1"/>
  <c r="N22" i="11" s="1"/>
  <c r="AB28" i="11"/>
  <c r="R28" i="11"/>
  <c r="P28" i="11" s="1"/>
  <c r="S28" i="11" s="1"/>
  <c r="M28" i="11" s="1"/>
  <c r="N28" i="11" s="1"/>
  <c r="AD19" i="11"/>
  <c r="AC19" i="11"/>
  <c r="W19" i="11"/>
  <c r="AA19" i="11" s="1"/>
  <c r="R21" i="11"/>
  <c r="P21" i="11" s="1"/>
  <c r="S21" i="11" s="1"/>
  <c r="M21" i="11" s="1"/>
  <c r="N21" i="11" s="1"/>
  <c r="AB18" i="11"/>
  <c r="R18" i="11"/>
  <c r="P18" i="11" s="1"/>
  <c r="S18" i="11" s="1"/>
  <c r="M18" i="11" s="1"/>
  <c r="N18" i="11" s="1"/>
  <c r="AD25" i="11"/>
  <c r="AC25" i="11"/>
  <c r="W25" i="11"/>
  <c r="AA25" i="11" s="1"/>
  <c r="W22" i="11"/>
  <c r="AA22" i="11" s="1"/>
  <c r="AD22" i="11"/>
  <c r="W26" i="11"/>
  <c r="AA26" i="11" s="1"/>
  <c r="AD26" i="11"/>
  <c r="AB20" i="11"/>
  <c r="R20" i="11"/>
  <c r="P20" i="11" s="1"/>
  <c r="S20" i="11" s="1"/>
  <c r="M20" i="11" s="1"/>
  <c r="N20" i="11" s="1"/>
  <c r="R23" i="11"/>
  <c r="P23" i="11" s="1"/>
  <c r="S23" i="11" s="1"/>
  <c r="M23" i="11" s="1"/>
  <c r="N23" i="11" s="1"/>
  <c r="AD27" i="11"/>
  <c r="AC27" i="11"/>
  <c r="W27" i="11"/>
  <c r="AA27" i="11" s="1"/>
  <c r="AB26" i="11"/>
  <c r="R26" i="11"/>
  <c r="P26" i="11" s="1"/>
  <c r="S26" i="11" s="1"/>
  <c r="M26" i="11" s="1"/>
  <c r="N26" i="11" s="1"/>
  <c r="AC22" i="11"/>
  <c r="W20" i="10"/>
  <c r="AA20" i="10" s="1"/>
  <c r="AD20" i="10"/>
  <c r="AC20" i="10"/>
  <c r="W24" i="10"/>
  <c r="AA24" i="10" s="1"/>
  <c r="AD24" i="10"/>
  <c r="AC24" i="10"/>
  <c r="W23" i="10"/>
  <c r="AA23" i="10" s="1"/>
  <c r="AD23" i="10"/>
  <c r="AC23" i="10"/>
  <c r="U25" i="10"/>
  <c r="V25" i="10" s="1"/>
  <c r="W17" i="10"/>
  <c r="AA17" i="10" s="1"/>
  <c r="AC17" i="10"/>
  <c r="AD17" i="10"/>
  <c r="AE17" i="10" s="1"/>
  <c r="R20" i="10"/>
  <c r="P20" i="10" s="1"/>
  <c r="S20" i="10" s="1"/>
  <c r="M20" i="10" s="1"/>
  <c r="N20" i="10" s="1"/>
  <c r="AC28" i="10"/>
  <c r="W28" i="10"/>
  <c r="AA28" i="10" s="1"/>
  <c r="AD28" i="10"/>
  <c r="AE28" i="10" s="1"/>
  <c r="W19" i="10"/>
  <c r="AA19" i="10" s="1"/>
  <c r="AD19" i="10"/>
  <c r="AE19" i="10" s="1"/>
  <c r="AC19" i="10"/>
  <c r="AB28" i="10"/>
  <c r="R28" i="10"/>
  <c r="P28" i="10" s="1"/>
  <c r="S28" i="10" s="1"/>
  <c r="M28" i="10" s="1"/>
  <c r="N28" i="10" s="1"/>
  <c r="U27" i="10"/>
  <c r="V27" i="10" s="1"/>
  <c r="W22" i="10"/>
  <c r="AA22" i="10" s="1"/>
  <c r="AD22" i="10"/>
  <c r="AC22" i="10"/>
  <c r="W18" i="10"/>
  <c r="AA18" i="10" s="1"/>
  <c r="AD18" i="10"/>
  <c r="AC18" i="10"/>
  <c r="R18" i="10"/>
  <c r="P18" i="10" s="1"/>
  <c r="S18" i="10" s="1"/>
  <c r="M18" i="10" s="1"/>
  <c r="N18" i="10" s="1"/>
  <c r="W29" i="10"/>
  <c r="AA29" i="10" s="1"/>
  <c r="AD29" i="10"/>
  <c r="AC29" i="10"/>
  <c r="R22" i="10"/>
  <c r="P22" i="10" s="1"/>
  <c r="S22" i="10" s="1"/>
  <c r="M22" i="10" s="1"/>
  <c r="N22" i="10" s="1"/>
  <c r="AD26" i="10"/>
  <c r="AC26" i="10"/>
  <c r="W26" i="10"/>
  <c r="AA26" i="10" s="1"/>
  <c r="BL27" i="10"/>
  <c r="AB24" i="10"/>
  <c r="R24" i="10"/>
  <c r="P24" i="10" s="1"/>
  <c r="S24" i="10" s="1"/>
  <c r="M24" i="10" s="1"/>
  <c r="N24" i="10" s="1"/>
  <c r="W21" i="10"/>
  <c r="AA21" i="10" s="1"/>
  <c r="AD21" i="10"/>
  <c r="AC21" i="10"/>
  <c r="AB26" i="10"/>
  <c r="R26" i="10"/>
  <c r="P26" i="10" s="1"/>
  <c r="S26" i="10" s="1"/>
  <c r="M26" i="10" s="1"/>
  <c r="N26" i="10" s="1"/>
  <c r="U19" i="9"/>
  <c r="V19" i="9" s="1"/>
  <c r="W21" i="9"/>
  <c r="AA21" i="9" s="1"/>
  <c r="AC21" i="9"/>
  <c r="AD21" i="9"/>
  <c r="AE21" i="9" s="1"/>
  <c r="AE25" i="9"/>
  <c r="AE22" i="9"/>
  <c r="U23" i="9"/>
  <c r="V23" i="9" s="1"/>
  <c r="U27" i="9"/>
  <c r="V27" i="9" s="1"/>
  <c r="AE17" i="9"/>
  <c r="AE29" i="9"/>
  <c r="AE24" i="9"/>
  <c r="W22" i="8"/>
  <c r="AA22" i="8" s="1"/>
  <c r="AD22" i="8"/>
  <c r="AC22" i="8"/>
  <c r="W18" i="8"/>
  <c r="AA18" i="8" s="1"/>
  <c r="AD18" i="8"/>
  <c r="W26" i="8"/>
  <c r="AA26" i="8" s="1"/>
  <c r="AD26" i="8"/>
  <c r="AC26" i="8"/>
  <c r="M24" i="8"/>
  <c r="N24" i="8" s="1"/>
  <c r="R18" i="8"/>
  <c r="P18" i="8" s="1"/>
  <c r="S18" i="8" s="1"/>
  <c r="M18" i="8" s="1"/>
  <c r="N18" i="8" s="1"/>
  <c r="W28" i="8"/>
  <c r="AA28" i="8" s="1"/>
  <c r="AD28" i="8"/>
  <c r="AC28" i="8"/>
  <c r="AC18" i="8"/>
  <c r="W20" i="8"/>
  <c r="AA20" i="8" s="1"/>
  <c r="AD20" i="8"/>
  <c r="AE20" i="8" s="1"/>
  <c r="AD21" i="8"/>
  <c r="AC21" i="8"/>
  <c r="W21" i="8"/>
  <c r="AA21" i="8" s="1"/>
  <c r="BK20" i="8"/>
  <c r="M28" i="8"/>
  <c r="N28" i="8" s="1"/>
  <c r="AD19" i="8"/>
  <c r="AC19" i="8"/>
  <c r="W19" i="8"/>
  <c r="AA19" i="8" s="1"/>
  <c r="AD23" i="8"/>
  <c r="AC23" i="8"/>
  <c r="W23" i="8"/>
  <c r="AA23" i="8" s="1"/>
  <c r="R22" i="8"/>
  <c r="P22" i="8" s="1"/>
  <c r="S22" i="8" s="1"/>
  <c r="M22" i="8" s="1"/>
  <c r="N22" i="8" s="1"/>
  <c r="R19" i="8"/>
  <c r="P19" i="8" s="1"/>
  <c r="S19" i="8" s="1"/>
  <c r="M19" i="8" s="1"/>
  <c r="N19" i="8" s="1"/>
  <c r="R26" i="8"/>
  <c r="P26" i="8" s="1"/>
  <c r="S26" i="8" s="1"/>
  <c r="M26" i="8" s="1"/>
  <c r="N26" i="8" s="1"/>
  <c r="W24" i="8"/>
  <c r="AA24" i="8" s="1"/>
  <c r="AD24" i="8"/>
  <c r="AC24" i="8"/>
  <c r="AC25" i="8"/>
  <c r="AD25" i="8"/>
  <c r="AE25" i="8" s="1"/>
  <c r="W25" i="8"/>
  <c r="AA25" i="8" s="1"/>
  <c r="W28" i="7"/>
  <c r="AA28" i="7" s="1"/>
  <c r="AD28" i="7"/>
  <c r="AC28" i="7"/>
  <c r="AB18" i="7"/>
  <c r="U18" i="7"/>
  <c r="V18" i="7" s="1"/>
  <c r="AD27" i="7"/>
  <c r="AC27" i="7"/>
  <c r="W27" i="7"/>
  <c r="AA27" i="7" s="1"/>
  <c r="AD26" i="7"/>
  <c r="AC26" i="7"/>
  <c r="W26" i="7"/>
  <c r="AA26" i="7" s="1"/>
  <c r="R26" i="7"/>
  <c r="P26" i="7" s="1"/>
  <c r="S26" i="7" s="1"/>
  <c r="M26" i="7" s="1"/>
  <c r="N26" i="7" s="1"/>
  <c r="AD23" i="7"/>
  <c r="AC23" i="7"/>
  <c r="W23" i="7"/>
  <c r="AA23" i="7" s="1"/>
  <c r="AB28" i="7"/>
  <c r="R28" i="7"/>
  <c r="P28" i="7" s="1"/>
  <c r="S28" i="7" s="1"/>
  <c r="M28" i="7" s="1"/>
  <c r="N28" i="7" s="1"/>
  <c r="W20" i="7"/>
  <c r="AA20" i="7" s="1"/>
  <c r="AD20" i="7"/>
  <c r="AE20" i="7" s="1"/>
  <c r="AC20" i="7"/>
  <c r="W19" i="7"/>
  <c r="AA19" i="7" s="1"/>
  <c r="AD19" i="7"/>
  <c r="AC19" i="7"/>
  <c r="AD29" i="7"/>
  <c r="AC29" i="7"/>
  <c r="W29" i="7"/>
  <c r="AA29" i="7" s="1"/>
  <c r="AD17" i="7"/>
  <c r="AC17" i="7"/>
  <c r="W17" i="7"/>
  <c r="AA17" i="7" s="1"/>
  <c r="AB22" i="7"/>
  <c r="R29" i="7"/>
  <c r="P29" i="7" s="1"/>
  <c r="S29" i="7" s="1"/>
  <c r="M29" i="7" s="1"/>
  <c r="N29" i="7" s="1"/>
  <c r="U22" i="7"/>
  <c r="V22" i="7" s="1"/>
  <c r="R23" i="7"/>
  <c r="P23" i="7" s="1"/>
  <c r="S23" i="7" s="1"/>
  <c r="M23" i="7" s="1"/>
  <c r="N23" i="7" s="1"/>
  <c r="W20" i="6"/>
  <c r="AA20" i="6" s="1"/>
  <c r="AD20" i="6"/>
  <c r="AC20" i="6"/>
  <c r="AD17" i="6"/>
  <c r="AC17" i="6"/>
  <c r="W17" i="6"/>
  <c r="AA17" i="6" s="1"/>
  <c r="AB18" i="6"/>
  <c r="AD27" i="6"/>
  <c r="W27" i="6"/>
  <c r="AA27" i="6" s="1"/>
  <c r="AC27" i="6"/>
  <c r="U28" i="6"/>
  <c r="V28" i="6" s="1"/>
  <c r="AD21" i="6"/>
  <c r="AC21" i="6"/>
  <c r="W21" i="6"/>
  <c r="AA21" i="6" s="1"/>
  <c r="M22" i="6"/>
  <c r="N22" i="6" s="1"/>
  <c r="W24" i="6"/>
  <c r="AA24" i="6" s="1"/>
  <c r="AD24" i="6"/>
  <c r="AC24" i="6"/>
  <c r="AD23" i="6"/>
  <c r="AC23" i="6"/>
  <c r="W23" i="6"/>
  <c r="AA23" i="6" s="1"/>
  <c r="R27" i="6"/>
  <c r="P27" i="6" s="1"/>
  <c r="S27" i="6" s="1"/>
  <c r="M27" i="6" s="1"/>
  <c r="N27" i="6" s="1"/>
  <c r="AB20" i="6"/>
  <c r="R20" i="6"/>
  <c r="P20" i="6" s="1"/>
  <c r="S20" i="6" s="1"/>
  <c r="M20" i="6" s="1"/>
  <c r="N20" i="6" s="1"/>
  <c r="AD29" i="6"/>
  <c r="W29" i="6"/>
  <c r="AA29" i="6" s="1"/>
  <c r="AC29" i="6"/>
  <c r="BL22" i="6"/>
  <c r="U18" i="6"/>
  <c r="V18" i="6" s="1"/>
  <c r="AD25" i="6"/>
  <c r="AC25" i="6"/>
  <c r="W25" i="6"/>
  <c r="AA25" i="6" s="1"/>
  <c r="R25" i="6"/>
  <c r="P25" i="6" s="1"/>
  <c r="S25" i="6" s="1"/>
  <c r="M25" i="6" s="1"/>
  <c r="N25" i="6" s="1"/>
  <c r="U26" i="6"/>
  <c r="V26" i="6" s="1"/>
  <c r="W22" i="6"/>
  <c r="AA22" i="6" s="1"/>
  <c r="AD22" i="6"/>
  <c r="AE22" i="6" s="1"/>
  <c r="AC19" i="4"/>
  <c r="AD19" i="4"/>
  <c r="W19" i="4"/>
  <c r="AA19" i="4" s="1"/>
  <c r="AD21" i="4"/>
  <c r="AC21" i="4"/>
  <c r="W21" i="4"/>
  <c r="AA21" i="4" s="1"/>
  <c r="AD17" i="4"/>
  <c r="AC17" i="4"/>
  <c r="W17" i="4"/>
  <c r="AA17" i="4" s="1"/>
  <c r="W24" i="4"/>
  <c r="AA24" i="4" s="1"/>
  <c r="AD24" i="4"/>
  <c r="AC24" i="4"/>
  <c r="W22" i="4"/>
  <c r="AA22" i="4" s="1"/>
  <c r="AD22" i="4"/>
  <c r="AC22" i="4"/>
  <c r="AD29" i="4"/>
  <c r="AC29" i="4"/>
  <c r="W29" i="4"/>
  <c r="AA29" i="4" s="1"/>
  <c r="BL28" i="4"/>
  <c r="AB28" i="4"/>
  <c r="W20" i="4"/>
  <c r="AA20" i="4" s="1"/>
  <c r="AC20" i="4"/>
  <c r="AD20" i="4"/>
  <c r="AE20" i="4" s="1"/>
  <c r="R19" i="4"/>
  <c r="P19" i="4" s="1"/>
  <c r="S19" i="4" s="1"/>
  <c r="M19" i="4" s="1"/>
  <c r="N19" i="4" s="1"/>
  <c r="AB19" i="4"/>
  <c r="BL22" i="4"/>
  <c r="AD23" i="4"/>
  <c r="AC23" i="4"/>
  <c r="W23" i="4"/>
  <c r="AA23" i="4" s="1"/>
  <c r="AB26" i="4"/>
  <c r="R26" i="4"/>
  <c r="P26" i="4" s="1"/>
  <c r="S26" i="4" s="1"/>
  <c r="M26" i="4" s="1"/>
  <c r="N26" i="4" s="1"/>
  <c r="R21" i="4"/>
  <c r="P21" i="4" s="1"/>
  <c r="S21" i="4" s="1"/>
  <c r="M21" i="4" s="1"/>
  <c r="N21" i="4" s="1"/>
  <c r="AB21" i="4"/>
  <c r="M22" i="4"/>
  <c r="N22" i="4" s="1"/>
  <c r="W18" i="4"/>
  <c r="AA18" i="4" s="1"/>
  <c r="AD18" i="4"/>
  <c r="AC18" i="4"/>
  <c r="AD25" i="4"/>
  <c r="AC25" i="4"/>
  <c r="W25" i="4"/>
  <c r="AA25" i="4" s="1"/>
  <c r="BL24" i="4"/>
  <c r="R24" i="4"/>
  <c r="P24" i="4" s="1"/>
  <c r="S24" i="4" s="1"/>
  <c r="M24" i="4" s="1"/>
  <c r="N24" i="4" s="1"/>
  <c r="R17" i="4"/>
  <c r="P17" i="4" s="1"/>
  <c r="S17" i="4" s="1"/>
  <c r="M17" i="4" s="1"/>
  <c r="N17" i="4" s="1"/>
  <c r="AB17" i="4"/>
  <c r="U28" i="4"/>
  <c r="V28" i="4" s="1"/>
  <c r="W26" i="4"/>
  <c r="AA26" i="4" s="1"/>
  <c r="AD26" i="4"/>
  <c r="AC26" i="4"/>
  <c r="R23" i="4"/>
  <c r="P23" i="4" s="1"/>
  <c r="S23" i="4" s="1"/>
  <c r="M23" i="4" s="1"/>
  <c r="N23" i="4" s="1"/>
  <c r="BL26" i="4"/>
  <c r="AC27" i="4"/>
  <c r="AD27" i="4"/>
  <c r="AE27" i="4" s="1"/>
  <c r="W27" i="4"/>
  <c r="AA27" i="4" s="1"/>
  <c r="U26" i="3"/>
  <c r="V26" i="3" s="1"/>
  <c r="AD25" i="3"/>
  <c r="AC25" i="3"/>
  <c r="W25" i="3"/>
  <c r="AA25" i="3" s="1"/>
  <c r="W18" i="3"/>
  <c r="AA18" i="3" s="1"/>
  <c r="AD18" i="3"/>
  <c r="AC18" i="3"/>
  <c r="W24" i="3"/>
  <c r="AA24" i="3" s="1"/>
  <c r="AC24" i="3"/>
  <c r="AD24" i="3"/>
  <c r="AE24" i="3" s="1"/>
  <c r="U28" i="3"/>
  <c r="V28" i="3" s="1"/>
  <c r="AD19" i="3"/>
  <c r="AC19" i="3"/>
  <c r="W19" i="3"/>
  <c r="AA19" i="3" s="1"/>
  <c r="AD29" i="3"/>
  <c r="AC29" i="3"/>
  <c r="W29" i="3"/>
  <c r="AA29" i="3" s="1"/>
  <c r="AD17" i="3"/>
  <c r="AE17" i="3" s="1"/>
  <c r="AC17" i="3"/>
  <c r="W17" i="3"/>
  <c r="AA17" i="3" s="1"/>
  <c r="W22" i="3"/>
  <c r="AA22" i="3" s="1"/>
  <c r="AD22" i="3"/>
  <c r="AC22" i="3"/>
  <c r="W27" i="3"/>
  <c r="AA27" i="3" s="1"/>
  <c r="AD27" i="3"/>
  <c r="AC27" i="3"/>
  <c r="R17" i="3"/>
  <c r="P17" i="3" s="1"/>
  <c r="S17" i="3" s="1"/>
  <c r="M17" i="3" s="1"/>
  <c r="N17" i="3" s="1"/>
  <c r="W20" i="3"/>
  <c r="AA20" i="3" s="1"/>
  <c r="AD20" i="3"/>
  <c r="AE20" i="3" s="1"/>
  <c r="AC20" i="3"/>
  <c r="R22" i="3"/>
  <c r="P22" i="3" s="1"/>
  <c r="S22" i="3" s="1"/>
  <c r="M22" i="3" s="1"/>
  <c r="N22" i="3" s="1"/>
  <c r="R19" i="3"/>
  <c r="P19" i="3" s="1"/>
  <c r="S19" i="3" s="1"/>
  <c r="M19" i="3" s="1"/>
  <c r="N19" i="3" s="1"/>
  <c r="U26" i="2"/>
  <c r="V26" i="2" s="1"/>
  <c r="W22" i="2"/>
  <c r="AA22" i="2" s="1"/>
  <c r="AD22" i="2"/>
  <c r="AC22" i="2"/>
  <c r="U24" i="2"/>
  <c r="V24" i="2" s="1"/>
  <c r="AD25" i="2"/>
  <c r="AC25" i="2"/>
  <c r="W25" i="2"/>
  <c r="AA25" i="2" s="1"/>
  <c r="BL28" i="2"/>
  <c r="AD21" i="2"/>
  <c r="AC21" i="2"/>
  <c r="W21" i="2"/>
  <c r="AA21" i="2" s="1"/>
  <c r="R22" i="2"/>
  <c r="P22" i="2" s="1"/>
  <c r="S22" i="2" s="1"/>
  <c r="M22" i="2" s="1"/>
  <c r="N22" i="2" s="1"/>
  <c r="BK20" i="2"/>
  <c r="U28" i="2"/>
  <c r="V28" i="2" s="1"/>
  <c r="W18" i="2"/>
  <c r="AA18" i="2" s="1"/>
  <c r="AD18" i="2"/>
  <c r="AE18" i="2" s="1"/>
  <c r="AC18" i="2"/>
  <c r="AC17" i="2"/>
  <c r="AD17" i="2"/>
  <c r="AE17" i="2" s="1"/>
  <c r="W17" i="2"/>
  <c r="AA17" i="2" s="1"/>
  <c r="R21" i="2"/>
  <c r="P21" i="2" s="1"/>
  <c r="S21" i="2" s="1"/>
  <c r="M21" i="2" s="1"/>
  <c r="N21" i="2" s="1"/>
  <c r="W20" i="2"/>
  <c r="AA20" i="2" s="1"/>
  <c r="AD20" i="2"/>
  <c r="AC20" i="2"/>
  <c r="AD23" i="2"/>
  <c r="AC23" i="2"/>
  <c r="W23" i="2"/>
  <c r="AA23" i="2" s="1"/>
  <c r="AD27" i="2"/>
  <c r="AC27" i="2"/>
  <c r="W27" i="2"/>
  <c r="AA27" i="2" s="1"/>
  <c r="AC19" i="2"/>
  <c r="AD19" i="2"/>
  <c r="AE19" i="2" s="1"/>
  <c r="W19" i="2"/>
  <c r="AA19" i="2" s="1"/>
  <c r="AD29" i="2"/>
  <c r="AC29" i="2"/>
  <c r="W29" i="2"/>
  <c r="AA29" i="2" s="1"/>
  <c r="BK18" i="2"/>
  <c r="R20" i="2"/>
  <c r="P20" i="2" s="1"/>
  <c r="S20" i="2" s="1"/>
  <c r="M20" i="2" s="1"/>
  <c r="N20" i="2" s="1"/>
  <c r="R23" i="2"/>
  <c r="P23" i="2" s="1"/>
  <c r="S23" i="2" s="1"/>
  <c r="M23" i="2" s="1"/>
  <c r="N23" i="2" s="1"/>
  <c r="AD23" i="1"/>
  <c r="AC23" i="1"/>
  <c r="W23" i="1"/>
  <c r="AA23" i="1" s="1"/>
  <c r="AC21" i="1"/>
  <c r="AD21" i="1"/>
  <c r="AE21" i="1" s="1"/>
  <c r="W21" i="1"/>
  <c r="AA21" i="1" s="1"/>
  <c r="U27" i="1"/>
  <c r="V27" i="1" s="1"/>
  <c r="AB19" i="1"/>
  <c r="R19" i="1"/>
  <c r="P19" i="1" s="1"/>
  <c r="S19" i="1" s="1"/>
  <c r="M19" i="1" s="1"/>
  <c r="N19" i="1" s="1"/>
  <c r="AD24" i="1"/>
  <c r="AE24" i="1" s="1"/>
  <c r="W24" i="1"/>
  <c r="AA24" i="1" s="1"/>
  <c r="BK24" i="1"/>
  <c r="AD28" i="1"/>
  <c r="W28" i="1"/>
  <c r="AA28" i="1" s="1"/>
  <c r="R28" i="1"/>
  <c r="P28" i="1" s="1"/>
  <c r="S28" i="1" s="1"/>
  <c r="M28" i="1" s="1"/>
  <c r="N28" i="1" s="1"/>
  <c r="U17" i="1"/>
  <c r="V17" i="1" s="1"/>
  <c r="AD29" i="1"/>
  <c r="AE29" i="1" s="1"/>
  <c r="W29" i="1"/>
  <c r="AA29" i="1" s="1"/>
  <c r="AC29" i="1"/>
  <c r="AB22" i="1"/>
  <c r="R22" i="1"/>
  <c r="P22" i="1" s="1"/>
  <c r="S22" i="1" s="1"/>
  <c r="M22" i="1" s="1"/>
  <c r="N22" i="1" s="1"/>
  <c r="AB18" i="1"/>
  <c r="R18" i="1"/>
  <c r="P18" i="1" s="1"/>
  <c r="S18" i="1" s="1"/>
  <c r="M18" i="1" s="1"/>
  <c r="N18" i="1" s="1"/>
  <c r="R21" i="1"/>
  <c r="P21" i="1" s="1"/>
  <c r="S21" i="1" s="1"/>
  <c r="M21" i="1" s="1"/>
  <c r="N21" i="1" s="1"/>
  <c r="AB17" i="1"/>
  <c r="BL26" i="1"/>
  <c r="AC28" i="1"/>
  <c r="AB26" i="1"/>
  <c r="AD22" i="1"/>
  <c r="W22" i="1"/>
  <c r="AA22" i="1" s="1"/>
  <c r="AD18" i="1"/>
  <c r="W18" i="1"/>
  <c r="AA18" i="1" s="1"/>
  <c r="BL25" i="1"/>
  <c r="AB23" i="1"/>
  <c r="R23" i="1"/>
  <c r="P23" i="1" s="1"/>
  <c r="S23" i="1" s="1"/>
  <c r="M23" i="1" s="1"/>
  <c r="N23" i="1" s="1"/>
  <c r="BL17" i="1"/>
  <c r="W25" i="1"/>
  <c r="AA25" i="1" s="1"/>
  <c r="AC25" i="1"/>
  <c r="AD25" i="1"/>
  <c r="AE25" i="1" s="1"/>
  <c r="AC24" i="1"/>
  <c r="U26" i="1"/>
  <c r="V26" i="1" s="1"/>
  <c r="R26" i="1" s="1"/>
  <c r="P26" i="1" s="1"/>
  <c r="S26" i="1" s="1"/>
  <c r="M26" i="1" s="1"/>
  <c r="N26" i="1" s="1"/>
  <c r="BL29" i="1"/>
  <c r="R25" i="1"/>
  <c r="P25" i="1" s="1"/>
  <c r="S25" i="1" s="1"/>
  <c r="M25" i="1" s="1"/>
  <c r="N25" i="1" s="1"/>
  <c r="AD20" i="1"/>
  <c r="AE20" i="1" s="1"/>
  <c r="W20" i="1"/>
  <c r="AA20" i="1" s="1"/>
  <c r="BL27" i="1"/>
  <c r="AC18" i="1"/>
  <c r="BL20" i="1"/>
  <c r="BL23" i="1"/>
  <c r="R20" i="1"/>
  <c r="P20" i="1" s="1"/>
  <c r="S20" i="1" s="1"/>
  <c r="M20" i="1" s="1"/>
  <c r="N20" i="1" s="1"/>
  <c r="AB20" i="1"/>
  <c r="U19" i="1"/>
  <c r="V19" i="1" s="1"/>
  <c r="R24" i="1"/>
  <c r="P24" i="1" s="1"/>
  <c r="S24" i="1" s="1"/>
  <c r="M24" i="1" s="1"/>
  <c r="N24" i="1" s="1"/>
  <c r="AE21" i="11" l="1"/>
  <c r="AE25" i="11"/>
  <c r="AE19" i="11"/>
  <c r="AE17" i="11"/>
  <c r="AE22" i="11"/>
  <c r="AE29" i="11"/>
  <c r="W24" i="11"/>
  <c r="AA24" i="11" s="1"/>
  <c r="AD24" i="11"/>
  <c r="AC24" i="11"/>
  <c r="AE27" i="11"/>
  <c r="AE20" i="11"/>
  <c r="AE28" i="11"/>
  <c r="AE26" i="11"/>
  <c r="W25" i="10"/>
  <c r="AA25" i="10" s="1"/>
  <c r="AD25" i="10"/>
  <c r="AE25" i="10" s="1"/>
  <c r="AC25" i="10"/>
  <c r="R25" i="10"/>
  <c r="P25" i="10" s="1"/>
  <c r="S25" i="10" s="1"/>
  <c r="M25" i="10" s="1"/>
  <c r="N25" i="10" s="1"/>
  <c r="AE26" i="10"/>
  <c r="AE29" i="10"/>
  <c r="AE18" i="10"/>
  <c r="AE23" i="10"/>
  <c r="AE22" i="10"/>
  <c r="AE24" i="10"/>
  <c r="AE21" i="10"/>
  <c r="W27" i="10"/>
  <c r="AA27" i="10" s="1"/>
  <c r="AD27" i="10"/>
  <c r="AC27" i="10"/>
  <c r="R27" i="10"/>
  <c r="P27" i="10" s="1"/>
  <c r="S27" i="10" s="1"/>
  <c r="M27" i="10" s="1"/>
  <c r="N27" i="10" s="1"/>
  <c r="AE20" i="10"/>
  <c r="W23" i="9"/>
  <c r="AA23" i="9" s="1"/>
  <c r="AD23" i="9"/>
  <c r="AC23" i="9"/>
  <c r="R23" i="9"/>
  <c r="P23" i="9" s="1"/>
  <c r="S23" i="9" s="1"/>
  <c r="M23" i="9" s="1"/>
  <c r="N23" i="9" s="1"/>
  <c r="W27" i="9"/>
  <c r="AA27" i="9" s="1"/>
  <c r="AD27" i="9"/>
  <c r="AC27" i="9"/>
  <c r="R27" i="9"/>
  <c r="P27" i="9" s="1"/>
  <c r="S27" i="9" s="1"/>
  <c r="M27" i="9" s="1"/>
  <c r="N27" i="9" s="1"/>
  <c r="W19" i="9"/>
  <c r="AA19" i="9" s="1"/>
  <c r="AD19" i="9"/>
  <c r="AE19" i="9" s="1"/>
  <c r="AC19" i="9"/>
  <c r="R19" i="9"/>
  <c r="P19" i="9" s="1"/>
  <c r="S19" i="9" s="1"/>
  <c r="M19" i="9" s="1"/>
  <c r="N19" i="9" s="1"/>
  <c r="AE21" i="8"/>
  <c r="AE24" i="8"/>
  <c r="AE28" i="8"/>
  <c r="AE26" i="8"/>
  <c r="AE23" i="8"/>
  <c r="AE18" i="8"/>
  <c r="AE19" i="8"/>
  <c r="AE22" i="8"/>
  <c r="AD22" i="7"/>
  <c r="W22" i="7"/>
  <c r="AA22" i="7" s="1"/>
  <c r="AC22" i="7"/>
  <c r="AE23" i="7"/>
  <c r="R22" i="7"/>
  <c r="P22" i="7" s="1"/>
  <c r="S22" i="7" s="1"/>
  <c r="M22" i="7" s="1"/>
  <c r="N22" i="7" s="1"/>
  <c r="AE26" i="7"/>
  <c r="AE17" i="7"/>
  <c r="AE27" i="7"/>
  <c r="AD18" i="7"/>
  <c r="AE18" i="7" s="1"/>
  <c r="W18" i="7"/>
  <c r="AA18" i="7" s="1"/>
  <c r="AC18" i="7"/>
  <c r="AE29" i="7"/>
  <c r="R18" i="7"/>
  <c r="P18" i="7" s="1"/>
  <c r="S18" i="7" s="1"/>
  <c r="M18" i="7" s="1"/>
  <c r="N18" i="7" s="1"/>
  <c r="AE19" i="7"/>
  <c r="AE28" i="7"/>
  <c r="W18" i="6"/>
  <c r="AA18" i="6" s="1"/>
  <c r="AD18" i="6"/>
  <c r="AC18" i="6"/>
  <c r="AE17" i="6"/>
  <c r="AE24" i="6"/>
  <c r="AE27" i="6"/>
  <c r="R18" i="6"/>
  <c r="P18" i="6" s="1"/>
  <c r="S18" i="6" s="1"/>
  <c r="M18" i="6" s="1"/>
  <c r="N18" i="6" s="1"/>
  <c r="AE29" i="6"/>
  <c r="W26" i="6"/>
  <c r="AA26" i="6" s="1"/>
  <c r="AC26" i="6"/>
  <c r="AD26" i="6"/>
  <c r="AE26" i="6" s="1"/>
  <c r="R26" i="6"/>
  <c r="P26" i="6" s="1"/>
  <c r="S26" i="6" s="1"/>
  <c r="M26" i="6" s="1"/>
  <c r="N26" i="6" s="1"/>
  <c r="AE21" i="6"/>
  <c r="AE25" i="6"/>
  <c r="W28" i="6"/>
  <c r="AA28" i="6" s="1"/>
  <c r="AD28" i="6"/>
  <c r="AC28" i="6"/>
  <c r="R28" i="6"/>
  <c r="P28" i="6" s="1"/>
  <c r="S28" i="6" s="1"/>
  <c r="M28" i="6" s="1"/>
  <c r="N28" i="6" s="1"/>
  <c r="AE20" i="6"/>
  <c r="AE23" i="6"/>
  <c r="AE25" i="4"/>
  <c r="AE22" i="4"/>
  <c r="AE23" i="4"/>
  <c r="AE17" i="4"/>
  <c r="AE18" i="4"/>
  <c r="AE29" i="4"/>
  <c r="AE24" i="4"/>
  <c r="AE21" i="4"/>
  <c r="AE26" i="4"/>
  <c r="W28" i="4"/>
  <c r="AA28" i="4" s="1"/>
  <c r="AD28" i="4"/>
  <c r="AC28" i="4"/>
  <c r="AE19" i="4"/>
  <c r="R28" i="4"/>
  <c r="P28" i="4" s="1"/>
  <c r="S28" i="4" s="1"/>
  <c r="M28" i="4" s="1"/>
  <c r="N28" i="4" s="1"/>
  <c r="W28" i="3"/>
  <c r="AA28" i="3" s="1"/>
  <c r="AD28" i="3"/>
  <c r="AC28" i="3"/>
  <c r="R28" i="3"/>
  <c r="P28" i="3" s="1"/>
  <c r="S28" i="3" s="1"/>
  <c r="M28" i="3" s="1"/>
  <c r="N28" i="3" s="1"/>
  <c r="AE29" i="3"/>
  <c r="AE19" i="3"/>
  <c r="AE27" i="3"/>
  <c r="AE18" i="3"/>
  <c r="AE22" i="3"/>
  <c r="AE25" i="3"/>
  <c r="W26" i="3"/>
  <c r="AA26" i="3" s="1"/>
  <c r="AD26" i="3"/>
  <c r="AC26" i="3"/>
  <c r="R26" i="3"/>
  <c r="P26" i="3" s="1"/>
  <c r="S26" i="3" s="1"/>
  <c r="M26" i="3" s="1"/>
  <c r="N26" i="3" s="1"/>
  <c r="AE27" i="2"/>
  <c r="AE21" i="2"/>
  <c r="AE20" i="2"/>
  <c r="W24" i="2"/>
  <c r="AA24" i="2" s="1"/>
  <c r="AD24" i="2"/>
  <c r="AC24" i="2"/>
  <c r="R24" i="2"/>
  <c r="P24" i="2" s="1"/>
  <c r="S24" i="2" s="1"/>
  <c r="M24" i="2" s="1"/>
  <c r="N24" i="2" s="1"/>
  <c r="AE29" i="2"/>
  <c r="W28" i="2"/>
  <c r="AA28" i="2" s="1"/>
  <c r="AD28" i="2"/>
  <c r="AC28" i="2"/>
  <c r="R28" i="2"/>
  <c r="P28" i="2" s="1"/>
  <c r="S28" i="2" s="1"/>
  <c r="M28" i="2" s="1"/>
  <c r="N28" i="2" s="1"/>
  <c r="AE23" i="2"/>
  <c r="AE25" i="2"/>
  <c r="AE22" i="2"/>
  <c r="W26" i="2"/>
  <c r="AA26" i="2" s="1"/>
  <c r="AD26" i="2"/>
  <c r="AC26" i="2"/>
  <c r="R26" i="2"/>
  <c r="P26" i="2" s="1"/>
  <c r="S26" i="2" s="1"/>
  <c r="M26" i="2" s="1"/>
  <c r="N26" i="2" s="1"/>
  <c r="AD17" i="1"/>
  <c r="W17" i="1"/>
  <c r="AA17" i="1" s="1"/>
  <c r="AC17" i="1"/>
  <c r="W19" i="1"/>
  <c r="AA19" i="1" s="1"/>
  <c r="AD19" i="1"/>
  <c r="AC19" i="1"/>
  <c r="AE18" i="1"/>
  <c r="AE28" i="1"/>
  <c r="AE22" i="1"/>
  <c r="AD27" i="1"/>
  <c r="AC27" i="1"/>
  <c r="W27" i="1"/>
  <c r="AA27" i="1" s="1"/>
  <c r="R27" i="1"/>
  <c r="P27" i="1" s="1"/>
  <c r="S27" i="1" s="1"/>
  <c r="M27" i="1" s="1"/>
  <c r="N27" i="1" s="1"/>
  <c r="AD26" i="1"/>
  <c r="W26" i="1"/>
  <c r="AA26" i="1" s="1"/>
  <c r="AC26" i="1"/>
  <c r="R17" i="1"/>
  <c r="P17" i="1" s="1"/>
  <c r="S17" i="1" s="1"/>
  <c r="M17" i="1" s="1"/>
  <c r="N17" i="1" s="1"/>
  <c r="AE23" i="1"/>
  <c r="AE24" i="11" l="1"/>
  <c r="AE27" i="10"/>
  <c r="AE27" i="9"/>
  <c r="AE23" i="9"/>
  <c r="AE22" i="7"/>
  <c r="AE28" i="6"/>
  <c r="AE18" i="6"/>
  <c r="AE28" i="4"/>
  <c r="AE26" i="3"/>
  <c r="AE28" i="3"/>
  <c r="AE26" i="2"/>
  <c r="AE28" i="2"/>
  <c r="AE24" i="2"/>
  <c r="AE26" i="1"/>
  <c r="AE27" i="1"/>
  <c r="AE19" i="1"/>
  <c r="AE17" i="1"/>
</calcChain>
</file>

<file path=xl/sharedStrings.xml><?xml version="1.0" encoding="utf-8"?>
<sst xmlns="http://schemas.openxmlformats.org/spreadsheetml/2006/main" count="11441" uniqueCount="1000">
  <si>
    <t>SysConst</t>
  </si>
  <si>
    <t>AvgTime</t>
  </si>
  <si>
    <t>Oxygen</t>
  </si>
  <si>
    <t>0.5</t>
  </si>
  <si>
    <t>21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</si>
  <si>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</si>
  <si>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</si>
  <si>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</si>
  <si>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</si>
  <si>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</si>
  <si>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</si>
  <si>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</si>
  <si>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</si>
  <si>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</si>
  <si>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</si>
  <si>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</si>
  <si>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6800-01A</t>
  </si>
  <si>
    <t>6 cm²</t>
  </si>
  <si>
    <t>LTConst</t>
  </si>
  <si>
    <t>deltaTw</t>
  </si>
  <si>
    <t>fT1</t>
  </si>
  <si>
    <t>fT2</t>
  </si>
  <si>
    <t>fTeb</t>
  </si>
  <si>
    <t>LQConst</t>
  </si>
  <si>
    <t>Leaf</t>
  </si>
  <si>
    <t>Ambient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</si>
  <si>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</si>
  <si>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</si>
  <si>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</si>
  <si>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</si>
  <si>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</si>
  <si>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</si>
  <si>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</si>
  <si>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</si>
  <si>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</si>
  <si>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</si>
  <si>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</si>
  <si>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</si>
  <si>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</si>
  <si>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</si>
  <si>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standard</t>
  </si>
  <si>
    <t>Sun+Sky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</si>
  <si>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</si>
  <si>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</si>
  <si>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</si>
  <si>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</si>
  <si>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</si>
  <si>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</si>
  <si>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</si>
  <si>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</si>
  <si>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</si>
  <si>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</si>
  <si>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</si>
  <si>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</si>
  <si>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Fs_true</t>
  </si>
  <si>
    <t>leak_wt</t>
  </si>
  <si>
    <t>9.80706 226.333 384.122 630.263 897.627 1100.16 1258.69 1386.43</t>
  </si>
  <si>
    <t>0.252918 221.676 377.36 592.559 805.939 1004.51 1201.26 1401.74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</si>
  <si>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</si>
  <si>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</si>
  <si>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</si>
  <si>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</si>
  <si>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</si>
  <si>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</si>
  <si>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</si>
  <si>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</si>
  <si>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</si>
  <si>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</si>
  <si>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</si>
  <si>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</si>
  <si>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</si>
  <si>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</si>
  <si>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</si>
  <si>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</si>
  <si>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</si>
  <si>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</si>
  <si>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</si>
  <si>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</si>
  <si>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</si>
  <si>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</si>
  <si>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</si>
  <si>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</si>
  <si>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</si>
  <si>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</si>
  <si>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</si>
  <si>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</si>
  <si>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newDef_0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</si>
  <si>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</si>
  <si>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</si>
  <si>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</si>
  <si>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</si>
  <si>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</si>
  <si>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</si>
  <si>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</si>
  <si>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</si>
  <si>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</si>
  <si>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</si>
  <si>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</si>
  <si>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</si>
  <si>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</si>
  <si>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</si>
  <si>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</si>
  <si>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</si>
  <si>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</si>
  <si>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</si>
  <si>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</si>
  <si>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</si>
  <si>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</si>
  <si>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</si>
  <si>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</si>
  <si>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</si>
  <si>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</si>
  <si>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</si>
  <si>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</si>
  <si>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</si>
  <si>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</si>
  <si>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</si>
  <si>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</si>
  <si>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</si>
  <si>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</si>
  <si>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</si>
  <si>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</si>
  <si>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</si>
  <si>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</si>
  <si>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</si>
  <si>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</si>
  <si>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</si>
  <si>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</si>
  <si>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</si>
  <si>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</si>
  <si>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</si>
  <si>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</si>
  <si>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</si>
  <si>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</si>
  <si>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</si>
  <si>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</si>
  <si>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</si>
  <si>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</si>
  <si>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</si>
  <si>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</si>
  <si>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</si>
  <si>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</si>
  <si>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</si>
  <si>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</si>
  <si>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</si>
  <si>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</si>
  <si>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</si>
  <si>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</si>
  <si>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</si>
  <si>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</si>
  <si>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</si>
  <si>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</si>
  <si>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</si>
  <si>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</si>
  <si>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</si>
  <si>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</si>
  <si>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</si>
  <si>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</si>
  <si>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</si>
  <si>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</si>
  <si>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</si>
  <si>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</si>
  <si>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</si>
  <si>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</si>
  <si>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</si>
  <si>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</si>
  <si>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</si>
  <si>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</si>
  <si>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</si>
  <si>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</si>
  <si>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</si>
  <si>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</si>
  <si>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</si>
  <si>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</si>
  <si>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</si>
  <si>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</si>
  <si>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</si>
  <si>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</si>
  <si>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</si>
  <si>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</si>
  <si>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</si>
  <si>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</si>
  <si>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</si>
  <si>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</si>
  <si>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</si>
  <si>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</si>
  <si>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</si>
  <si>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</si>
  <si>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</si>
  <si>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</si>
  <si>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</si>
  <si>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</si>
  <si>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</si>
  <si>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</si>
  <si>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</si>
  <si>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</si>
  <si>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</si>
  <si>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</si>
  <si>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</si>
  <si>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</si>
  <si>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</si>
  <si>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</si>
  <si>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</si>
  <si>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</si>
  <si>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</si>
  <si>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</si>
  <si>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</si>
  <si>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</si>
  <si>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</si>
  <si>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</si>
  <si>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</si>
  <si>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</si>
  <si>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</si>
  <si>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</si>
  <si>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</si>
  <si>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</si>
  <si>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</si>
  <si>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</si>
  <si>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</si>
  <si>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</si>
  <si>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</si>
  <si>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</si>
  <si>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</si>
  <si>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</si>
  <si>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</si>
  <si>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</si>
  <si>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</si>
  <si>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</si>
  <si>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</si>
  <si>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</si>
  <si>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</si>
  <si>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</si>
  <si>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</si>
  <si>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</si>
  <si>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</si>
  <si>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</si>
  <si>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</si>
  <si>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</si>
  <si>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</si>
  <si>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</si>
  <si>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</si>
  <si>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</si>
  <si>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</si>
  <si>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</si>
  <si>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</si>
  <si>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</si>
  <si>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</si>
  <si>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</si>
  <si>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</si>
  <si>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</si>
  <si>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</si>
  <si>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</si>
  <si>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</si>
  <si>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</si>
  <si>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</si>
  <si>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</si>
  <si>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</si>
  <si>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</si>
  <si>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</si>
  <si>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</si>
  <si>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</si>
  <si>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</si>
  <si>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</si>
  <si>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</si>
  <si>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</si>
  <si>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</si>
  <si>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</si>
  <si>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</si>
  <si>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</si>
  <si>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</si>
  <si>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</si>
  <si>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</si>
  <si>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</si>
  <si>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</si>
  <si>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</si>
  <si>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</si>
  <si>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</si>
  <si>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</si>
  <si>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</si>
  <si>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</si>
  <si>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</si>
  <si>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</si>
  <si>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</si>
  <si>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</si>
  <si>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</si>
  <si>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</si>
  <si>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</si>
  <si>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</si>
  <si>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</si>
  <si>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</si>
  <si>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</si>
  <si>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</si>
  <si>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</si>
  <si>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</si>
  <si>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</si>
  <si>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</si>
  <si>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</si>
  <si>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</si>
  <si>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</si>
  <si>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</si>
  <si>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</si>
  <si>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</si>
  <si>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</si>
  <si>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</si>
  <si>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</si>
  <si>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</si>
  <si>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</si>
  <si>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</si>
  <si>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</si>
  <si>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</si>
  <si>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</si>
  <si>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</si>
  <si>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</si>
  <si>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</si>
  <si>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</si>
  <si>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</si>
  <si>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</si>
  <si>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</si>
  <si>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</si>
  <si>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</si>
  <si>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</si>
  <si>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</si>
  <si>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</si>
  <si>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</si>
  <si>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</si>
  <si>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</si>
  <si>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</si>
  <si>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</si>
  <si>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</si>
  <si>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</si>
  <si>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</si>
  <si>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</si>
  <si>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</si>
  <si>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</si>
  <si>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</si>
  <si>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</si>
  <si>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</si>
  <si>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</si>
  <si>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</si>
  <si>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</si>
  <si>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</si>
  <si>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</si>
  <si>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</si>
  <si>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</si>
  <si>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</si>
  <si>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</si>
  <si>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</si>
  <si>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</si>
  <si>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</si>
  <si>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</si>
  <si>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</si>
  <si>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</si>
  <si>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</si>
  <si>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</si>
  <si>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</si>
  <si>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</si>
  <si>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</si>
  <si>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</si>
  <si>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</si>
  <si>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</si>
  <si>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</si>
  <si>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</si>
  <si>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</si>
  <si>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</si>
  <si>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</si>
  <si>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</si>
  <si>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</si>
  <si>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</si>
  <si>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</si>
  <si>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</si>
  <si>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</si>
  <si>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</si>
  <si>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</si>
  <si>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</si>
  <si>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</si>
  <si>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</si>
  <si>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</si>
  <si>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</si>
  <si>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</si>
  <si>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</si>
  <si>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</si>
  <si>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</si>
  <si>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</si>
  <si>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</si>
  <si>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</si>
  <si>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</si>
  <si>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</si>
  <si>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</si>
  <si>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</si>
  <si>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</si>
  <si>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</si>
  <si>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</si>
  <si>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</si>
  <si>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</si>
  <si>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</si>
  <si>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</si>
  <si>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</si>
  <si>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</si>
  <si>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</si>
  <si>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</si>
  <si>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</si>
  <si>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</si>
  <si>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</si>
  <si>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</si>
  <si>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20260720 12:14:09</t>
  </si>
  <si>
    <t>12:14:09</t>
  </si>
  <si>
    <t>RECT-4382-20260720-11_49_06</t>
  </si>
  <si>
    <t>RECT-4383-20260720-12_13_53</t>
  </si>
  <si>
    <t>-</t>
  </si>
  <si>
    <t>0: Broadleaf</t>
  </si>
  <si>
    <t>12:12:09</t>
  </si>
  <si>
    <t>1/2</t>
  </si>
  <si>
    <t>00000000</t>
  </si>
  <si>
    <t>iiiiiiii</t>
  </si>
  <si>
    <t>off</t>
  </si>
  <si>
    <t>on</t>
  </si>
  <si>
    <t>20260720 12:17:11</t>
  </si>
  <si>
    <t>12:17:11</t>
  </si>
  <si>
    <t>RECT-4384-20260720-12_16_56</t>
  </si>
  <si>
    <t>12:16:29</t>
  </si>
  <si>
    <t>20260720 12:20:14</t>
  </si>
  <si>
    <t>12:20:14</t>
  </si>
  <si>
    <t>RECT-4385-20260720-12_19_58</t>
  </si>
  <si>
    <t>12:18:50</t>
  </si>
  <si>
    <t>2/2</t>
  </si>
  <si>
    <t>20260720 12:23:16</t>
  </si>
  <si>
    <t>12:23:16</t>
  </si>
  <si>
    <t>RECT-4386-20260720-12_23_01</t>
  </si>
  <si>
    <t>12:22:06</t>
  </si>
  <si>
    <t>20260720 12:26:19</t>
  </si>
  <si>
    <t>12:26:19</t>
  </si>
  <si>
    <t>RECT-4387-20260720-12_26_03</t>
  </si>
  <si>
    <t>12:25:30</t>
  </si>
  <si>
    <t>20260720 12:29:21</t>
  </si>
  <si>
    <t>12:29:21</t>
  </si>
  <si>
    <t>RECT-4388-20260720-12_29_06</t>
  </si>
  <si>
    <t>12:28:13</t>
  </si>
  <si>
    <t>20260720 12:32:24</t>
  </si>
  <si>
    <t>12:32:24</t>
  </si>
  <si>
    <t>RECT-4389-20260720-12_32_09</t>
  </si>
  <si>
    <t>12:31:01</t>
  </si>
  <si>
    <t>20260720 12:35:26</t>
  </si>
  <si>
    <t>12:35:26</t>
  </si>
  <si>
    <t>RECT-4390-20260720-12_35_11</t>
  </si>
  <si>
    <t>12:35:54</t>
  </si>
  <si>
    <t>20260720 12:38:55</t>
  </si>
  <si>
    <t>12:38:55</t>
  </si>
  <si>
    <t>RECT-4391-20260720-12_38_40</t>
  </si>
  <si>
    <t>12:39:18</t>
  </si>
  <si>
    <t>20260720 12:42:19</t>
  </si>
  <si>
    <t>12:42:19</t>
  </si>
  <si>
    <t>RECT-4392-20260720-12_42_04</t>
  </si>
  <si>
    <t>12:42:40</t>
  </si>
  <si>
    <t>20260720 12:45:41</t>
  </si>
  <si>
    <t>12:45:41</t>
  </si>
  <si>
    <t>RECT-4393-20260720-12_45_26</t>
  </si>
  <si>
    <t>12:44:28</t>
  </si>
  <si>
    <t>20260720 12:48:43</t>
  </si>
  <si>
    <t>12:48:43</t>
  </si>
  <si>
    <t>RECT-4394-20260720-12_48_28</t>
  </si>
  <si>
    <t>12:47:27</t>
  </si>
  <si>
    <t>20260720 12:51:46</t>
  </si>
  <si>
    <t>12:51:46</t>
  </si>
  <si>
    <t>RECT-4395-20260720-12_51_31</t>
  </si>
  <si>
    <t>12:51:03</t>
  </si>
  <si>
    <t>20260720 11:11:00</t>
  </si>
  <si>
    <t>11:11:00</t>
  </si>
  <si>
    <t>RECT-4369-20260720-10_37_22</t>
  </si>
  <si>
    <t>RECT-4370-20260720-11_10_44</t>
  </si>
  <si>
    <t>11:11:33</t>
  </si>
  <si>
    <t>20260720 11:14:34</t>
  </si>
  <si>
    <t>11:14:34</t>
  </si>
  <si>
    <t>RECT-4371-20260720-11_14_18</t>
  </si>
  <si>
    <t>11:12:44</t>
  </si>
  <si>
    <t>20260720 11:17:36</t>
  </si>
  <si>
    <t>11:17:36</t>
  </si>
  <si>
    <t>RECT-4372-20260720-11_17_21</t>
  </si>
  <si>
    <t>11:15:36</t>
  </si>
  <si>
    <t>20260720 11:20:39</t>
  </si>
  <si>
    <t>11:20:39</t>
  </si>
  <si>
    <t>RECT-4373-20260720-11_20_23</t>
  </si>
  <si>
    <t>11:19:05</t>
  </si>
  <si>
    <t>20260720 11:23:41</t>
  </si>
  <si>
    <t>11:23:41</t>
  </si>
  <si>
    <t>RECT-4374-20260720-11_23_26</t>
  </si>
  <si>
    <t>11:22:34</t>
  </si>
  <si>
    <t>20260720 11:26:44</t>
  </si>
  <si>
    <t>11:26:44</t>
  </si>
  <si>
    <t>RECT-4375-20260720-11_26_28</t>
  </si>
  <si>
    <t>11:25:47</t>
  </si>
  <si>
    <t>20260720 11:29:46</t>
  </si>
  <si>
    <t>11:29:46</t>
  </si>
  <si>
    <t>RECT-4376-20260720-11_29_31</t>
  </si>
  <si>
    <t>11:30:10</t>
  </si>
  <si>
    <t>20260720 11:33:11</t>
  </si>
  <si>
    <t>11:33:11</t>
  </si>
  <si>
    <t>RECT-4377-20260720-11_32_56</t>
  </si>
  <si>
    <t>11:33:30</t>
  </si>
  <si>
    <t>20260720 11:36:31</t>
  </si>
  <si>
    <t>11:36:31</t>
  </si>
  <si>
    <t>RECT-4378-20260720-11_36_16</t>
  </si>
  <si>
    <t>11:36:52</t>
  </si>
  <si>
    <t>20260720 11:39:53</t>
  </si>
  <si>
    <t>11:39:53</t>
  </si>
  <si>
    <t>RECT-4379-20260720-11_39_37</t>
  </si>
  <si>
    <t>11:40:16</t>
  </si>
  <si>
    <t>20260720 11:43:17</t>
  </si>
  <si>
    <t>11:43:17</t>
  </si>
  <si>
    <t>RECT-4380-20260720-11_43_01</t>
  </si>
  <si>
    <t>11:41:27</t>
  </si>
  <si>
    <t>20260720 11:46:19</t>
  </si>
  <si>
    <t>11:46:19</t>
  </si>
  <si>
    <t>RECT-4381-20260720-11_46_04</t>
  </si>
  <si>
    <t>11:45:24</t>
  </si>
  <si>
    <t>20260720 11:49:22</t>
  </si>
  <si>
    <t>11:49:22</t>
  </si>
  <si>
    <t>11:49:40</t>
  </si>
  <si>
    <t>20260720 10:00:43</t>
  </si>
  <si>
    <t>10:00:43</t>
  </si>
  <si>
    <t>RECT-4356-20260719-13_57_49</t>
  </si>
  <si>
    <t>RECT-4357-20260720-10_00_28</t>
  </si>
  <si>
    <t>09:59:04</t>
  </si>
  <si>
    <t>20260720 10:03:46</t>
  </si>
  <si>
    <t>10:03:46</t>
  </si>
  <si>
    <t>RECT-4358-20260720-10_03_30</t>
  </si>
  <si>
    <t>10:02:15</t>
  </si>
  <si>
    <t>20260720 10:06:48</t>
  </si>
  <si>
    <t>10:06:48</t>
  </si>
  <si>
    <t>RECT-4359-20260720-10_06_33</t>
  </si>
  <si>
    <t>10:04:50</t>
  </si>
  <si>
    <t>20260720 10:09:51</t>
  </si>
  <si>
    <t>10:09:51</t>
  </si>
  <si>
    <t>RECT-4360-20260720-10_09_35</t>
  </si>
  <si>
    <t>10:07:57</t>
  </si>
  <si>
    <t>20260720 10:12:53</t>
  </si>
  <si>
    <t>10:12:53</t>
  </si>
  <si>
    <t>RECT-4361-20260720-10_12_38</t>
  </si>
  <si>
    <t>10:12:19</t>
  </si>
  <si>
    <t>20260720 10:15:56</t>
  </si>
  <si>
    <t>10:15:56</t>
  </si>
  <si>
    <t>RECT-4362-20260720-10_15_41</t>
  </si>
  <si>
    <t>10:15:08</t>
  </si>
  <si>
    <t>20260720 10:18:59</t>
  </si>
  <si>
    <t>10:18:59</t>
  </si>
  <si>
    <t>RECT-4363-20260720-10_18_43</t>
  </si>
  <si>
    <t>10:19:24</t>
  </si>
  <si>
    <t>20260720 10:22:25</t>
  </si>
  <si>
    <t>10:22:25</t>
  </si>
  <si>
    <t>RECT-4364-20260720-10_22_09</t>
  </si>
  <si>
    <t>10:21:46</t>
  </si>
  <si>
    <t>20260720 10:25:27</t>
  </si>
  <si>
    <t>10:25:27</t>
  </si>
  <si>
    <t>RECT-4365-20260720-10_25_12</t>
  </si>
  <si>
    <t>10:24:13</t>
  </si>
  <si>
    <t>20260720 10:28:30</t>
  </si>
  <si>
    <t>10:28:30</t>
  </si>
  <si>
    <t>RECT-4366-20260720-10_28_14</t>
  </si>
  <si>
    <t>10:27:15</t>
  </si>
  <si>
    <t>20260720 10:31:32</t>
  </si>
  <si>
    <t>10:31:32</t>
  </si>
  <si>
    <t>RECT-4367-20260720-10_31_17</t>
  </si>
  <si>
    <t>10:30:22</t>
  </si>
  <si>
    <t>20260720 10:34:35</t>
  </si>
  <si>
    <t>10:34:35</t>
  </si>
  <si>
    <t>RECT-4368-20260720-10_34_19</t>
  </si>
  <si>
    <t>10:33:14</t>
  </si>
  <si>
    <t>20260720 10:37:37</t>
  </si>
  <si>
    <t>10:37:37</t>
  </si>
  <si>
    <t>10:36:51</t>
  </si>
  <si>
    <t>20260719 13:19:46</t>
  </si>
  <si>
    <t>13:19:46</t>
  </si>
  <si>
    <t>RECT-4343-20260719-12_51_40</t>
  </si>
  <si>
    <t>RECT-4344-20260719-13_19_32</t>
  </si>
  <si>
    <t>13:17:42</t>
  </si>
  <si>
    <t>20260719 13:22:49</t>
  </si>
  <si>
    <t>13:22:49</t>
  </si>
  <si>
    <t>RECT-4345-20260719-13_22_34</t>
  </si>
  <si>
    <t>13:23:14</t>
  </si>
  <si>
    <t>20260719 13:26:15</t>
  </si>
  <si>
    <t>13:26:15</t>
  </si>
  <si>
    <t>RECT-4346-20260719-13_26_01</t>
  </si>
  <si>
    <t>13:24:39</t>
  </si>
  <si>
    <t>20260719 13:29:18</t>
  </si>
  <si>
    <t>13:29:18</t>
  </si>
  <si>
    <t>RECT-4347-20260719-13_29_04</t>
  </si>
  <si>
    <t>13:27:22</t>
  </si>
  <si>
    <t>20260719 13:32:20</t>
  </si>
  <si>
    <t>13:32:20</t>
  </si>
  <si>
    <t>RECT-4348-20260719-13_32_06</t>
  </si>
  <si>
    <t>13:32:47</t>
  </si>
  <si>
    <t>20260719 13:35:48</t>
  </si>
  <si>
    <t>13:35:48</t>
  </si>
  <si>
    <t>RECT-4349-20260719-13_35_33</t>
  </si>
  <si>
    <t>13:34:14</t>
  </si>
  <si>
    <t>20260719 13:38:50</t>
  </si>
  <si>
    <t>13:38:50</t>
  </si>
  <si>
    <t>RECT-4350-20260719-13_38_36</t>
  </si>
  <si>
    <t>13:39:13</t>
  </si>
  <si>
    <t>20260719 13:42:14</t>
  </si>
  <si>
    <t>13:42:14</t>
  </si>
  <si>
    <t>RECT-4351-20260719-13_42_00</t>
  </si>
  <si>
    <t>13:40:17</t>
  </si>
  <si>
    <t>20260719 13:45:17</t>
  </si>
  <si>
    <t>13:45:17</t>
  </si>
  <si>
    <t>RECT-4352-20260719-13_45_03</t>
  </si>
  <si>
    <t>13:45:37</t>
  </si>
  <si>
    <t>20260719 13:48:38</t>
  </si>
  <si>
    <t>13:48:38</t>
  </si>
  <si>
    <t>RECT-4353-20260719-13_48_24</t>
  </si>
  <si>
    <t>13:47:35</t>
  </si>
  <si>
    <t>20260719 13:51:40</t>
  </si>
  <si>
    <t>13:51:40</t>
  </si>
  <si>
    <t>RECT-4354-20260719-13_51_26</t>
  </si>
  <si>
    <t>13:52:00</t>
  </si>
  <si>
    <t>20260719 13:55:01</t>
  </si>
  <si>
    <t>13:55:01</t>
  </si>
  <si>
    <t>RECT-4355-20260719-13_54_47</t>
  </si>
  <si>
    <t>13:53:08</t>
  </si>
  <si>
    <t>20260719 13:58:03</t>
  </si>
  <si>
    <t>13:58:03</t>
  </si>
  <si>
    <t>13:58:23</t>
  </si>
  <si>
    <t>20260719 10:58:12</t>
  </si>
  <si>
    <t>10:58:12</t>
  </si>
  <si>
    <t>RECT-4313-20260713-12_02_51</t>
  </si>
  <si>
    <t>RECT-4314-20260719-10_57_58</t>
  </si>
  <si>
    <t>10:58:42</t>
  </si>
  <si>
    <t>20260719 11:01:43</t>
  </si>
  <si>
    <t>11:01:43</t>
  </si>
  <si>
    <t>RECT-4315-20260719-11_01_28</t>
  </si>
  <si>
    <t>10:59:47</t>
  </si>
  <si>
    <t>20260719 11:04:45</t>
  </si>
  <si>
    <t>11:04:45</t>
  </si>
  <si>
    <t>RECT-4316-20260719-11_04_30</t>
  </si>
  <si>
    <t>11:02:52</t>
  </si>
  <si>
    <t>20260719 11:07:47</t>
  </si>
  <si>
    <t>11:07:47</t>
  </si>
  <si>
    <t>RECT-4317-20260719-11_07_32</t>
  </si>
  <si>
    <t>11:06:03</t>
  </si>
  <si>
    <t>20260719 11:13:25</t>
  </si>
  <si>
    <t>11:13:25</t>
  </si>
  <si>
    <t>RECT-4318-20260719-11_13_11</t>
  </si>
  <si>
    <t>11:11:51</t>
  </si>
  <si>
    <t>20260719 11:16:28</t>
  </si>
  <si>
    <t>11:16:28</t>
  </si>
  <si>
    <t>RECT-4319-20260719-11_16_13</t>
  </si>
  <si>
    <t>11:14:30</t>
  </si>
  <si>
    <t>20260719 11:19:31</t>
  </si>
  <si>
    <t>11:19:31</t>
  </si>
  <si>
    <t>RECT-4320-20260719-11_19_16</t>
  </si>
  <si>
    <t>11:17:35</t>
  </si>
  <si>
    <t>20260719 11:22:33</t>
  </si>
  <si>
    <t>11:22:33</t>
  </si>
  <si>
    <t>RECT-4321-20260719-11_22_19</t>
  </si>
  <si>
    <t>11:20:42</t>
  </si>
  <si>
    <t>20260719 11:25:36</t>
  </si>
  <si>
    <t>11:25:36</t>
  </si>
  <si>
    <t>RECT-4322-20260719-11_25_21</t>
  </si>
  <si>
    <t>11:25:58</t>
  </si>
  <si>
    <t>20260719 11:28:59</t>
  </si>
  <si>
    <t>11:28:59</t>
  </si>
  <si>
    <t>RECT-4323-20260719-11_28_44</t>
  </si>
  <si>
    <t>11:29:22</t>
  </si>
  <si>
    <t>20260719 11:32:23</t>
  </si>
  <si>
    <t>11:32:23</t>
  </si>
  <si>
    <t>RECT-4324-20260719-11_32_08</t>
  </si>
  <si>
    <t>11:30:57</t>
  </si>
  <si>
    <t>20260719 11:35:25</t>
  </si>
  <si>
    <t>11:35:25</t>
  </si>
  <si>
    <t>RECT-4325-20260719-11_35_11</t>
  </si>
  <si>
    <t>11:35:46</t>
  </si>
  <si>
    <t>20260719 11:38:47</t>
  </si>
  <si>
    <t>11:38:47</t>
  </si>
  <si>
    <t>RECT-4326-20260719-11_38_32</t>
  </si>
  <si>
    <t>11:37:31</t>
  </si>
  <si>
    <t>20260719 11:41:49</t>
  </si>
  <si>
    <t>11:41:49</t>
  </si>
  <si>
    <t>RECT-4327-20260719-11_41_35</t>
  </si>
  <si>
    <t>11:41:09</t>
  </si>
  <si>
    <t>20260719 11:44:52</t>
  </si>
  <si>
    <t>11:44:52</t>
  </si>
  <si>
    <t>RECT-4328-20260719-11_44_37</t>
  </si>
  <si>
    <t>11:43:43</t>
  </si>
  <si>
    <t>20260719 11:47:54</t>
  </si>
  <si>
    <t>11:47:54</t>
  </si>
  <si>
    <t>RECT-4329-20260719-11_47_40</t>
  </si>
  <si>
    <t>11:46:43</t>
  </si>
  <si>
    <t>20260719 11:50:57</t>
  </si>
  <si>
    <t>11:50:57</t>
  </si>
  <si>
    <t>RECT-4330-20260719-11_50_42</t>
  </si>
  <si>
    <t>11:51:13</t>
  </si>
  <si>
    <t>20260719 12:14:08</t>
  </si>
  <si>
    <t>12:14:08</t>
  </si>
  <si>
    <t>RECT-4331-20260719-12_13_53</t>
  </si>
  <si>
    <t>12:13:15</t>
  </si>
  <si>
    <t>20260719 12:17:11</t>
  </si>
  <si>
    <t>RECT-4332-20260719-12_16_56</t>
  </si>
  <si>
    <t>12:15:25</t>
  </si>
  <si>
    <t>20260719 12:20:13</t>
  </si>
  <si>
    <t>12:20:13</t>
  </si>
  <si>
    <t>RECT-4333-20260719-12_19_59</t>
  </si>
  <si>
    <t>12:18:17</t>
  </si>
  <si>
    <t>20260719 12:23:16</t>
  </si>
  <si>
    <t>RECT-4334-20260719-12_23_01</t>
  </si>
  <si>
    <t>12:21:47</t>
  </si>
  <si>
    <t>20260719 12:26:18</t>
  </si>
  <si>
    <t>12:26:18</t>
  </si>
  <si>
    <t>RECT-4335-20260719-12_26_04</t>
  </si>
  <si>
    <t>12:26:45</t>
  </si>
  <si>
    <t>20260719 12:29:46</t>
  </si>
  <si>
    <t>12:29:46</t>
  </si>
  <si>
    <t>RECT-4336-20260719-12_29_32</t>
  </si>
  <si>
    <t>12:28:15</t>
  </si>
  <si>
    <t>20260719 12:32:49</t>
  </si>
  <si>
    <t>12:32:49</t>
  </si>
  <si>
    <t>RECT-4337-20260719-12_32_34</t>
  </si>
  <si>
    <t>12:32:01</t>
  </si>
  <si>
    <t>20260719 12:35:51</t>
  </si>
  <si>
    <t>12:35:51</t>
  </si>
  <si>
    <t>RECT-4338-20260719-12_35_37</t>
  </si>
  <si>
    <t>12:36:14</t>
  </si>
  <si>
    <t>0/2</t>
  </si>
  <si>
    <t>20260719 12:39:15</t>
  </si>
  <si>
    <t>12:39:15</t>
  </si>
  <si>
    <t>RECT-4339-20260719-12_39_01</t>
  </si>
  <si>
    <t>12:37:43</t>
  </si>
  <si>
    <t>20260719 12:42:18</t>
  </si>
  <si>
    <t>12:42:18</t>
  </si>
  <si>
    <t>RECT-4340-20260719-12_42_03</t>
  </si>
  <si>
    <t>12:42:34</t>
  </si>
  <si>
    <t>20260719 12:45:35</t>
  </si>
  <si>
    <t>12:45:35</t>
  </si>
  <si>
    <t>RECT-4341-20260719-12_45_21</t>
  </si>
  <si>
    <t>12:45:51</t>
  </si>
  <si>
    <t>20260719 12:48:52</t>
  </si>
  <si>
    <t>12:48:52</t>
  </si>
  <si>
    <t>RECT-4342-20260719-12_48_38</t>
  </si>
  <si>
    <t>12:46:48</t>
  </si>
  <si>
    <t>20260719 12:51:54</t>
  </si>
  <si>
    <t>12:51:54</t>
  </si>
  <si>
    <t>12:52:11</t>
  </si>
  <si>
    <t>20260721 09:37:39</t>
  </si>
  <si>
    <t>09:37:39</t>
  </si>
  <si>
    <t>RECT-4396-20260721-09_37_22</t>
  </si>
  <si>
    <t>09:38:04</t>
  </si>
  <si>
    <t>20260721 09:41:05</t>
  </si>
  <si>
    <t>09:41:05</t>
  </si>
  <si>
    <t>RECT-4397-20260721-09_40_48</t>
  </si>
  <si>
    <t>09:39:21</t>
  </si>
  <si>
    <t>20260721 09:44:08</t>
  </si>
  <si>
    <t>09:44:08</t>
  </si>
  <si>
    <t>RECT-4398-20260721-09_43_50</t>
  </si>
  <si>
    <t>09:42:28</t>
  </si>
  <si>
    <t>20260721 09:47:10</t>
  </si>
  <si>
    <t>09:47:10</t>
  </si>
  <si>
    <t>RECT-4399-20260721-09_46_53</t>
  </si>
  <si>
    <t>09:45:22</t>
  </si>
  <si>
    <t>20260721 09:50:13</t>
  </si>
  <si>
    <t>09:50:13</t>
  </si>
  <si>
    <t>RECT-4400-20260721-09_49_55</t>
  </si>
  <si>
    <t>09:49:39</t>
  </si>
  <si>
    <t>20260721 09:53:15</t>
  </si>
  <si>
    <t>09:53:15</t>
  </si>
  <si>
    <t>RECT-4401-20260721-09_52_58</t>
  </si>
  <si>
    <t>09:51:24</t>
  </si>
  <si>
    <t>20260721 09:56:18</t>
  </si>
  <si>
    <t>09:56:18</t>
  </si>
  <si>
    <t>RECT-4402-20260721-09_56_00</t>
  </si>
  <si>
    <t>09:55:11</t>
  </si>
  <si>
    <t>20260721 09:59:21</t>
  </si>
  <si>
    <t>09:59:21</t>
  </si>
  <si>
    <t>RECT-4403-20260721-09_59_03</t>
  </si>
  <si>
    <t>09:59:43</t>
  </si>
  <si>
    <t>20260721 10:02:44</t>
  </si>
  <si>
    <t>10:02:44</t>
  </si>
  <si>
    <t>RECT-4404-20260721-10_02_27</t>
  </si>
  <si>
    <t>10:03:06</t>
  </si>
  <si>
    <t>20260721 10:06:07</t>
  </si>
  <si>
    <t>10:06:07</t>
  </si>
  <si>
    <t>RECT-4405-20260721-10_05_50</t>
  </si>
  <si>
    <t>10:06:26</t>
  </si>
  <si>
    <t>20260721 10:09:27</t>
  </si>
  <si>
    <t>10:09:27</t>
  </si>
  <si>
    <t>RECT-4406-20260721-10_09_10</t>
  </si>
  <si>
    <t>20260721 10:12:52</t>
  </si>
  <si>
    <t>10:12:52</t>
  </si>
  <si>
    <t>RECT-4407-20260721-10_12_35</t>
  </si>
  <si>
    <t>10:10:44</t>
  </si>
  <si>
    <t>20260721 10:15:55</t>
  </si>
  <si>
    <t>10:15:55</t>
  </si>
  <si>
    <t>RECT-4408-20260721-10_15_37</t>
  </si>
  <si>
    <t>10:14:50</t>
  </si>
  <si>
    <t>20260721 10:47:56</t>
  </si>
  <si>
    <t>10:47:56</t>
  </si>
  <si>
    <t>RECT-4409-20260721-10_47_39</t>
  </si>
  <si>
    <t>10:48:27</t>
  </si>
  <si>
    <t>20260721 10:51:28</t>
  </si>
  <si>
    <t>10:51:28</t>
  </si>
  <si>
    <t>RECT-4410-20260721-10_51_11</t>
  </si>
  <si>
    <t>10:49:55</t>
  </si>
  <si>
    <t>20260721 10:54:31</t>
  </si>
  <si>
    <t>10:54:31</t>
  </si>
  <si>
    <t>RECT-4411-20260721-10_54_13</t>
  </si>
  <si>
    <t>10:52:33</t>
  </si>
  <si>
    <t>20260721 10:57:34</t>
  </si>
  <si>
    <t>10:57:34</t>
  </si>
  <si>
    <t>RECT-4412-20260721-10_57_16</t>
  </si>
  <si>
    <t>10:55:38</t>
  </si>
  <si>
    <t>20260721 11:00:36</t>
  </si>
  <si>
    <t>11:00:36</t>
  </si>
  <si>
    <t>RECT-4413-20260721-11_00_19</t>
  </si>
  <si>
    <t>10:59:50</t>
  </si>
  <si>
    <t>20260721 11:03:39</t>
  </si>
  <si>
    <t>11:03:39</t>
  </si>
  <si>
    <t>RECT-4414-20260721-11_03_21</t>
  </si>
  <si>
    <t>11:02:08</t>
  </si>
  <si>
    <t>20260721 11:06:41</t>
  </si>
  <si>
    <t>11:06:41</t>
  </si>
  <si>
    <t>RECT-4415-20260721-11_06_24</t>
  </si>
  <si>
    <t>11:07:02</t>
  </si>
  <si>
    <t>20260721 11:10:03</t>
  </si>
  <si>
    <t>11:10:03</t>
  </si>
  <si>
    <t>RECT-4416-20260721-11_09_46</t>
  </si>
  <si>
    <t>11:10:20</t>
  </si>
  <si>
    <t>20260721 11:13:21</t>
  </si>
  <si>
    <t>11:13:21</t>
  </si>
  <si>
    <t>RECT-4417-20260721-11_13_04</t>
  </si>
  <si>
    <t>11:11:45</t>
  </si>
  <si>
    <t>20260721 11:16:24</t>
  </si>
  <si>
    <t>11:16:24</t>
  </si>
  <si>
    <t>RECT-4418-20260721-11_16_06</t>
  </si>
  <si>
    <t>11:16:45</t>
  </si>
  <si>
    <t>20260721 11:19:46</t>
  </si>
  <si>
    <t>11:19:46</t>
  </si>
  <si>
    <t>RECT-4419-20260721-11_19_28</t>
  </si>
  <si>
    <t>11:20:03</t>
  </si>
  <si>
    <t>20260721 11:23:04</t>
  </si>
  <si>
    <t>11:23:04</t>
  </si>
  <si>
    <t>RECT-4420-20260721-11_22_47</t>
  </si>
  <si>
    <t>11:21:10</t>
  </si>
  <si>
    <t>20260721 11:26:07</t>
  </si>
  <si>
    <t>11:26:07</t>
  </si>
  <si>
    <t>RECT-4421-20260721-11_25_49</t>
  </si>
  <si>
    <t>11:25:14</t>
  </si>
  <si>
    <t>20260721 11:53:11</t>
  </si>
  <si>
    <t>11:53:11</t>
  </si>
  <si>
    <t>RECT-4422-20260721-11_52_54</t>
  </si>
  <si>
    <t>11:53:33</t>
  </si>
  <si>
    <t>20260721 11:56:35</t>
  </si>
  <si>
    <t>11:56:35</t>
  </si>
  <si>
    <t>RECT-4423-20260721-11_56_17</t>
  </si>
  <si>
    <t>11:55:24</t>
  </si>
  <si>
    <t>20260721 11:59:37</t>
  </si>
  <si>
    <t>11:59:37</t>
  </si>
  <si>
    <t>RECT-4424-20260721-11_59_20</t>
  </si>
  <si>
    <t>11:57:47</t>
  </si>
  <si>
    <t>20260721 12:02:40</t>
  </si>
  <si>
    <t>12:02:40</t>
  </si>
  <si>
    <t>RECT-4425-20260721-12_02_23</t>
  </si>
  <si>
    <t>12:01:20</t>
  </si>
  <si>
    <t>20260721 12:05:42</t>
  </si>
  <si>
    <t>12:05:42</t>
  </si>
  <si>
    <t>RECT-4426-20260721-12_05_25</t>
  </si>
  <si>
    <t>12:04:29</t>
  </si>
  <si>
    <t>20260721 12:08:44</t>
  </si>
  <si>
    <t>12:08:44</t>
  </si>
  <si>
    <t>RECT-4427-20260721-12_08_27</t>
  </si>
  <si>
    <t>12:09:14</t>
  </si>
  <si>
    <t>20260721 12:12:15</t>
  </si>
  <si>
    <t>12:12:15</t>
  </si>
  <si>
    <t>RECT-4428-20260721-12_11_58</t>
  </si>
  <si>
    <t>12:10:25</t>
  </si>
  <si>
    <t>20260721 12:15:17</t>
  </si>
  <si>
    <t>12:15:17</t>
  </si>
  <si>
    <t>RECT-4429-20260721-12_15_00</t>
  </si>
  <si>
    <t>12:15:42</t>
  </si>
  <si>
    <t>20260721 12:18:43</t>
  </si>
  <si>
    <t>12:18:43</t>
  </si>
  <si>
    <t>RECT-4430-20260721-12_18_25</t>
  </si>
  <si>
    <t>12:17:23</t>
  </si>
  <si>
    <t>20260721 12:21:45</t>
  </si>
  <si>
    <t>12:21:45</t>
  </si>
  <si>
    <t>RECT-4431-20260721-12_21_28</t>
  </si>
  <si>
    <t>12:20:35</t>
  </si>
  <si>
    <t>20260721 12:24:48</t>
  </si>
  <si>
    <t>12:24:48</t>
  </si>
  <si>
    <t>RECT-4432-20260721-12_24_31</t>
  </si>
  <si>
    <t>12:23:33</t>
  </si>
  <si>
    <t>20260721 12:27:50</t>
  </si>
  <si>
    <t>12:27:50</t>
  </si>
  <si>
    <t>RECT-4433-20260721-12_27_33</t>
  </si>
  <si>
    <t>12:26:32</t>
  </si>
  <si>
    <t>20260721 12:30:53</t>
  </si>
  <si>
    <t>12:30:53</t>
  </si>
  <si>
    <t>RECT-4434-20260721-12_30_36</t>
  </si>
  <si>
    <t>12:29:55</t>
  </si>
  <si>
    <t>20260722 11:40:56</t>
  </si>
  <si>
    <t>11:40:56</t>
  </si>
  <si>
    <t>RECT-4460-20260722-11_18_45</t>
  </si>
  <si>
    <t>RECT-4461-20260722-11_40_38</t>
  </si>
  <si>
    <t>11:39:19</t>
  </si>
  <si>
    <t>20260722 11:43:59</t>
  </si>
  <si>
    <t>11:43:59</t>
  </si>
  <si>
    <t>RECT-4462-20260722-11_43_40</t>
  </si>
  <si>
    <t>11:42:42</t>
  </si>
  <si>
    <t>20260722 11:47:02</t>
  </si>
  <si>
    <t>11:47:02</t>
  </si>
  <si>
    <t>RECT-4463-20260722-11_46_43</t>
  </si>
  <si>
    <t>11:47:26</t>
  </si>
  <si>
    <t>20260722 11:50:27</t>
  </si>
  <si>
    <t>11:50:27</t>
  </si>
  <si>
    <t>RECT-4464-20260722-11_50_08</t>
  </si>
  <si>
    <t>11:49:02</t>
  </si>
  <si>
    <t>20260722 11:53:29</t>
  </si>
  <si>
    <t>11:53:29</t>
  </si>
  <si>
    <t>RECT-4465-20260722-11_53_11</t>
  </si>
  <si>
    <t>11:52:32</t>
  </si>
  <si>
    <t>20260722 11:56:32</t>
  </si>
  <si>
    <t>11:56:32</t>
  </si>
  <si>
    <t>RECT-4466-20260722-11_56_13</t>
  </si>
  <si>
    <t>11:55:02</t>
  </si>
  <si>
    <t>20260722 11:59:34</t>
  </si>
  <si>
    <t>11:59:34</t>
  </si>
  <si>
    <t>RECT-4467-20260722-11_59_16</t>
  </si>
  <si>
    <t>11:58:13</t>
  </si>
  <si>
    <t>20260722 12:02:37</t>
  </si>
  <si>
    <t>12:02:37</t>
  </si>
  <si>
    <t>RECT-4468-20260722-12_02_18</t>
  </si>
  <si>
    <t>12:01:47</t>
  </si>
  <si>
    <t>20260722 12:05:39</t>
  </si>
  <si>
    <t>12:05:39</t>
  </si>
  <si>
    <t>RECT-4469-20260722-12_05_21</t>
  </si>
  <si>
    <t>12:04:26</t>
  </si>
  <si>
    <t>20260722 12:08:42</t>
  </si>
  <si>
    <t>12:08:42</t>
  </si>
  <si>
    <t>RECT-4470-20260722-12_08_23</t>
  </si>
  <si>
    <t>12:07:25</t>
  </si>
  <si>
    <t>20260722 12:11:44</t>
  </si>
  <si>
    <t>12:11:44</t>
  </si>
  <si>
    <t>RECT-4471-20260722-12_11_26</t>
  </si>
  <si>
    <t>12:10:30</t>
  </si>
  <si>
    <t>20260722 12:14:47</t>
  </si>
  <si>
    <t>12:14:47</t>
  </si>
  <si>
    <t>RECT-4472-20260722-12_14_28</t>
  </si>
  <si>
    <t>12:13:34</t>
  </si>
  <si>
    <t>20260722 12:17:49</t>
  </si>
  <si>
    <t>12:17:49</t>
  </si>
  <si>
    <t>RECT-4473-20260722-12_17_31</t>
  </si>
  <si>
    <t>12:18:06</t>
  </si>
  <si>
    <t>20260722 12:50:00</t>
  </si>
  <si>
    <t>12:50:00</t>
  </si>
  <si>
    <t>RECT-4474-20260722-12_49_42</t>
  </si>
  <si>
    <t>12:47:58</t>
  </si>
  <si>
    <t>20260722 12:53:02</t>
  </si>
  <si>
    <t>12:53:02</t>
  </si>
  <si>
    <t>RECT-4475-20260722-12_52_44</t>
  </si>
  <si>
    <t>12:50:59</t>
  </si>
  <si>
    <t>20260722 12:56:05</t>
  </si>
  <si>
    <t>12:56:05</t>
  </si>
  <si>
    <t>RECT-4476-20260722-12_55_47</t>
  </si>
  <si>
    <t>12:54:02</t>
  </si>
  <si>
    <t>20260722 12:59:07</t>
  </si>
  <si>
    <t>12:59:07</t>
  </si>
  <si>
    <t>RECT-4477-20260722-12_58_49</t>
  </si>
  <si>
    <t>12:58:13</t>
  </si>
  <si>
    <t>20260722 13:02:10</t>
  </si>
  <si>
    <t>13:02:10</t>
  </si>
  <si>
    <t>RECT-4478-20260722-13_01_52</t>
  </si>
  <si>
    <t>13:00:41</t>
  </si>
  <si>
    <t>20260722 13:05:12</t>
  </si>
  <si>
    <t>13:05:12</t>
  </si>
  <si>
    <t>RECT-4479-20260722-13_04_54</t>
  </si>
  <si>
    <t>13:05:31</t>
  </si>
  <si>
    <t>20260722 13:08:32</t>
  </si>
  <si>
    <t>13:08:32</t>
  </si>
  <si>
    <t>RECT-4480-20260722-13_08_14</t>
  </si>
  <si>
    <t>13:06:42</t>
  </si>
  <si>
    <t>20260722 13:11:35</t>
  </si>
  <si>
    <t>13:11:35</t>
  </si>
  <si>
    <t>RECT-4481-20260722-13_11_17</t>
  </si>
  <si>
    <t>13:10:30</t>
  </si>
  <si>
    <t>20260722 13:14:37</t>
  </si>
  <si>
    <t>13:14:37</t>
  </si>
  <si>
    <t>RECT-4482-20260722-13_14_19</t>
  </si>
  <si>
    <t>13:14:53</t>
  </si>
  <si>
    <t>20260722 13:17:54</t>
  </si>
  <si>
    <t>13:17:54</t>
  </si>
  <si>
    <t>RECT-4483-20260722-13_17_36</t>
  </si>
  <si>
    <t>13:18:09</t>
  </si>
  <si>
    <t>20260722 13:21:10</t>
  </si>
  <si>
    <t>13:21:10</t>
  </si>
  <si>
    <t>RECT-4484-20260722-13_20_52</t>
  </si>
  <si>
    <t>13:20:14</t>
  </si>
  <si>
    <t>20260722 13:24:13</t>
  </si>
  <si>
    <t>13:24:13</t>
  </si>
  <si>
    <t>RECT-4485-20260722-13_23_55</t>
  </si>
  <si>
    <t>13:23:00</t>
  </si>
  <si>
    <t>20260722 13:27:15</t>
  </si>
  <si>
    <t>13:27:15</t>
  </si>
  <si>
    <t>RECT-4486-20260722-13_26_57</t>
  </si>
  <si>
    <t>13:27:31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</si>
</sst>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J29"/>
  <sheetViews>
    <sheetView workbookViewId="0">
      <selection activeCell="F31" sqref="F31"/>
    </sheetView>
  </sheetViews>
  <sheetFormatPr defaultRowHeight="14.4" x14ac:dyDescent="0.3"/>
  <cols>
    <col min="3" max="3" width="11.6640625" customWidth="1"/>
    <col min="4" max="4" width="16.6640625" bestFit="1" customWidth="1"/>
    <col min="5" max="5" width="14.33203125" customWidth="1"/>
  </cols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1784567649</v>
      </c>
      <c r="C17">
        <v>0</v>
      </c>
      <c r="D17" t="s">
        <v>404</v>
      </c>
      <c r="E17" t="s">
        <v>405</v>
      </c>
      <c r="F17">
        <v>15</v>
      </c>
      <c r="H17">
        <v>1784567641.25</v>
      </c>
      <c r="I17">
        <f t="shared" ref="I17:I29" si="0">(J17)/1000</f>
        <v>5.5333673396131978E-3</v>
      </c>
      <c r="J17">
        <f t="shared" ref="J17:J29" si="1">IF(DO17, AM17, AG17)</f>
        <v>5.5333673396131982</v>
      </c>
      <c r="K17">
        <f t="shared" ref="K17:K29" si="2">IF(DO17, AH17, AF17)</f>
        <v>52.001413290514201</v>
      </c>
      <c r="L17">
        <f t="shared" ref="L17:L29" si="3">DQ17 - IF(AT17&gt;1, K17*DK17*100/(AV17), 0)</f>
        <v>420.06676666666658</v>
      </c>
      <c r="M17">
        <f t="shared" ref="M17:M29" si="4">((S17-I17/2)*L17-K17)/(S17+I17/2)</f>
        <v>110.70464018256591</v>
      </c>
      <c r="N17">
        <f t="shared" ref="N17:N29" si="5">M17*(DX17+DY17)/1000</f>
        <v>10.792572456644878</v>
      </c>
      <c r="O17">
        <f t="shared" ref="O17:O29" si="6">(DQ17 - IF(AT17&gt;1, K17*DK17*100/(AV17), 0))*(DX17+DY17)/1000</f>
        <v>40.952222132713295</v>
      </c>
      <c r="P17">
        <f t="shared" ref="P17:P29" si="7">2/((1/R17-1/Q17)+SIGN(R17)*SQRT((1/R17-1/Q17)*(1/R17-1/Q17) + 4*DL17/((DL17+1)*(DL17+1))*(2*1/R17*1/Q17-1/Q17*1/Q17)))</f>
        <v>0.28971023457572581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2.8836719690305022</v>
      </c>
      <c r="R17">
        <f t="shared" ref="R17:R29" si="9">I17*(1000-(1000*0.61365*EXP(17.502*V17/(240.97+V17))/(DX17+DY17)+DS17)/2)/(1000*0.61365*EXP(17.502*V17/(240.97+V17))/(DX17+DY17)-DS17)</f>
        <v>0.27445708118216816</v>
      </c>
      <c r="S17">
        <f t="shared" ref="S17:S29" si="10">1/((DL17+1)/(P17/1.6)+1/(Q17/1.37)) + DL17/((DL17+1)/(P17/1.6) + DL17/(Q17/1.37))</f>
        <v>0.17283915934354771</v>
      </c>
      <c r="T17">
        <f t="shared" ref="T17:T29" si="11">(DG17*DJ17)</f>
        <v>319.7733728908504</v>
      </c>
      <c r="U17">
        <f t="shared" ref="U17:U29" si="12">(DZ17+(T17+2*0.95*0.0000000567*(((DZ17+$B$7)+273)^4-(DZ17+273)^4)-44100*I17)/(1.84*29.3*Q17+8*0.95*0.0000000567*(DZ17+273)^3))</f>
        <v>31.399142123335533</v>
      </c>
      <c r="V17">
        <f t="shared" ref="V17:V29" si="13">($C$7*EA17+$D$7*EB17+$E$7*U17)</f>
        <v>31.147856666666669</v>
      </c>
      <c r="W17">
        <f t="shared" ref="W17:W29" si="14">0.61365*EXP(17.502*V17/(240.97+V17))</f>
        <v>4.5495510825441228</v>
      </c>
      <c r="X17">
        <f t="shared" ref="X17:X29" si="15">(Y17/Z17*100)</f>
        <v>59.06666546529874</v>
      </c>
      <c r="Y17">
        <f t="shared" ref="Y17:Y29" si="16">DS17*(DX17+DY17)/1000</f>
        <v>2.656688824893906</v>
      </c>
      <c r="Z17">
        <f t="shared" ref="Z17:Z29" si="17">0.61365*EXP(17.502*DZ17/(240.97+DZ17))</f>
        <v>4.4977802690668094</v>
      </c>
      <c r="AA17">
        <f t="shared" ref="AA17:AA29" si="18">(W17-DS17*(DX17+DY17)/1000)</f>
        <v>1.8928622576502168</v>
      </c>
      <c r="AB17">
        <f t="shared" ref="AB17:AB29" si="19">(-I17*44100)</f>
        <v>-244.02149967694203</v>
      </c>
      <c r="AC17">
        <f t="shared" ref="AC17:AC29" si="20">2*29.3*Q17*0.92*(DZ17-V17)</f>
        <v>-31.215721612197697</v>
      </c>
      <c r="AD17">
        <f t="shared" ref="AD17:AD29" si="21">2*0.95*0.0000000567*(((DZ17+$B$7)+273)^4-(V17+273)^4)</f>
        <v>-2.4319963816096966</v>
      </c>
      <c r="AE17">
        <f t="shared" ref="AE17:AE29" si="22">T17+AD17+AB17+AC17</f>
        <v>42.104155220100992</v>
      </c>
      <c r="AF17">
        <f t="shared" ref="AF17:AF29" si="23">DW17*AT17*(DR17-DQ17*(1000-AT17*DT17)/(1000-AT17*DS17))/(100*DK17)</f>
        <v>52.001413290514201</v>
      </c>
      <c r="AG17">
        <f t="shared" ref="AG17:AG29" si="24">1000*DW17*AT17*(DS17-DT17)/(100*DK17*(1000-AT17*DS17))</f>
        <v>5.5333673396131982</v>
      </c>
      <c r="AH17">
        <f t="shared" ref="AH17:AH29" si="25">(AI17 - AJ17 - DX17*1000/(8.314*(DZ17+273.15)) * AL17/DW17 * AK17) * DW17/(100*DK17) * (1000 - DT17)/1000</f>
        <v>51.983989919890838</v>
      </c>
      <c r="AI17">
        <v>495.5643623203859</v>
      </c>
      <c r="AJ17">
        <v>431.89421212121192</v>
      </c>
      <c r="AK17">
        <v>-5.6853917015933014E-3</v>
      </c>
      <c r="AL17">
        <v>66.963706069988604</v>
      </c>
      <c r="AM17">
        <f t="shared" ref="AM17:AM29" si="26">(AO17 - AN17 + DX17*1000/(8.314*(DZ17+273.15)) * AQ17/DW17 * AP17) * DW17/(100*DK17) * 1000/(1000 - AO17)</f>
        <v>5.5743252721355008</v>
      </c>
      <c r="AN17">
        <v>20.866737791089509</v>
      </c>
      <c r="AO17">
        <v>27.322467878787869</v>
      </c>
      <c r="AP17">
        <v>8.3216473064277804E-3</v>
      </c>
      <c r="AQ17">
        <v>78.104768177663829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50838.188536750604</v>
      </c>
      <c r="AW17" t="s">
        <v>406</v>
      </c>
      <c r="AX17">
        <v>5079.1099999999997</v>
      </c>
      <c r="AY17">
        <v>610.81764705882347</v>
      </c>
      <c r="AZ17">
        <v>2513.0700000000002</v>
      </c>
      <c r="BA17">
        <f t="shared" ref="BA17:BA29" si="30">1-AY17/AZ17</f>
        <v>0.75694363982745272</v>
      </c>
      <c r="BB17">
        <v>-3.1371646480539188</v>
      </c>
      <c r="BC17" t="s">
        <v>407</v>
      </c>
      <c r="BD17">
        <v>5061.26</v>
      </c>
      <c r="BE17">
        <v>853.82441176470581</v>
      </c>
      <c r="BF17">
        <v>1018.33</v>
      </c>
      <c r="BG17">
        <f t="shared" ref="BG17:BG29" si="31">1-BE17/BF17</f>
        <v>0.1615444779543902</v>
      </c>
      <c r="BH17">
        <v>0.5</v>
      </c>
      <c r="BI17">
        <f t="shared" ref="BI17:BI29" si="32">DH17</f>
        <v>1680.2758798398188</v>
      </c>
      <c r="BJ17">
        <f t="shared" ref="BJ17:BJ29" si="33">K17</f>
        <v>52.001413290514201</v>
      </c>
      <c r="BK17">
        <f t="shared" ref="BK17:BK29" si="34">BG17*BH17*BI17</f>
        <v>135.71964491403861</v>
      </c>
      <c r="BL17">
        <f t="shared" ref="BL17:BL29" si="35">(BJ17-BB17)/BI17</f>
        <v>3.2815193385876906E-2</v>
      </c>
      <c r="BM17">
        <f t="shared" ref="BM17:BM29" si="36">(AZ17-BF17)/BF17</f>
        <v>1.4678345919299247</v>
      </c>
      <c r="BN17">
        <f t="shared" ref="BN17:BN29" si="37">AY17/(BA17+AY17/BF17)</f>
        <v>450.2009978059678</v>
      </c>
      <c r="BO17" t="s">
        <v>408</v>
      </c>
      <c r="BP17">
        <v>0</v>
      </c>
      <c r="BQ17">
        <f t="shared" ref="BQ17:BQ29" si="38">IF(BP17&lt;&gt;0, BP17, BN17)</f>
        <v>450.2009978059678</v>
      </c>
      <c r="BR17">
        <f t="shared" ref="BR17:BR29" si="39">1-BQ17/BF17</f>
        <v>0.55790264668038081</v>
      </c>
      <c r="BS17">
        <f t="shared" ref="BS17:BS29" si="40">(BF17-BE17)/(BF17-BQ17)</f>
        <v>0.28955675137160292</v>
      </c>
      <c r="BT17">
        <f t="shared" ref="BT17:BT29" si="41">(AZ17-BF17)/(AZ17-BQ17)</f>
        <v>0.72459278723477849</v>
      </c>
      <c r="BU17">
        <f t="shared" ref="BU17:BU29" si="42">(BF17-BE17)/(BF17-AY17)</f>
        <v>0.40368245783960371</v>
      </c>
      <c r="BV17">
        <f t="shared" ref="BV17:BV29" si="43">(AZ17-BF17)/(AZ17-AY17)</f>
        <v>0.78577376849548941</v>
      </c>
      <c r="BW17">
        <f t="shared" ref="BW17:BW29" si="44">(BS17*BQ17/BE17)</f>
        <v>0.15267628401432262</v>
      </c>
      <c r="BX17">
        <f t="shared" ref="BX17:BX29" si="45">(1-BW17)</f>
        <v>0.84732371598567735</v>
      </c>
      <c r="DG17">
        <f t="shared" ref="DG17:DG29" si="46">$B$11*EF17+$C$11*EG17+$F$11*ER17*(1-EU17)</f>
        <v>1999.972</v>
      </c>
      <c r="DH17">
        <f t="shared" ref="DH17:DH29" si="47">DG17*DI17</f>
        <v>1680.2758798398188</v>
      </c>
      <c r="DI17">
        <f t="shared" ref="DI17:DI29" si="48">($B$11*$D$9+$C$11*$D$9+$F$11*((FE17+EW17)/MAX(FE17+EW17+FF17, 0.1)*$I$9+FF17/MAX(FE17+EW17+FF17, 0.1)*$J$9))/($B$11+$C$11+$F$11)</f>
        <v>0.84014970201573758</v>
      </c>
      <c r="DJ17">
        <f t="shared" ref="DJ17:DJ29" si="49">($B$11*$K$9+$C$11*$K$9+$F$11*((FE17+EW17)/MAX(FE17+EW17+FF17, 0.1)*$P$9+FF17/MAX(FE17+EW17+FF17, 0.1)*$Q$9))/($B$11+$C$11+$F$11)</f>
        <v>0.15988892489037365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1784567641.25</v>
      </c>
      <c r="DQ17">
        <v>420.06676666666658</v>
      </c>
      <c r="DR17">
        <v>485.25169999999991</v>
      </c>
      <c r="DS17">
        <v>27.250943333333328</v>
      </c>
      <c r="DT17">
        <v>20.79244666666667</v>
      </c>
      <c r="DU17">
        <v>427.02806666666669</v>
      </c>
      <c r="DV17">
        <v>27.92476666666666</v>
      </c>
      <c r="DW17">
        <v>500.0462</v>
      </c>
      <c r="DX17">
        <v>97.438476666666659</v>
      </c>
      <c r="DY17">
        <v>5.1316343333333327E-2</v>
      </c>
      <c r="DZ17">
        <v>30.947066666666672</v>
      </c>
      <c r="EA17">
        <v>31.147856666666669</v>
      </c>
      <c r="EB17">
        <v>999.9000000000002</v>
      </c>
      <c r="EC17">
        <v>0</v>
      </c>
      <c r="ED17">
        <v>0</v>
      </c>
      <c r="EE17">
        <v>9996.8333333333339</v>
      </c>
      <c r="EF17">
        <v>0</v>
      </c>
      <c r="EG17">
        <v>1999.7096666666671</v>
      </c>
      <c r="EH17">
        <v>-65.184879999999993</v>
      </c>
      <c r="EI17">
        <v>431.83473333333342</v>
      </c>
      <c r="EJ17">
        <v>495.55553333333341</v>
      </c>
      <c r="EK17">
        <v>6.4584903333333328</v>
      </c>
      <c r="EL17">
        <v>485.25169999999991</v>
      </c>
      <c r="EM17">
        <v>20.79244666666667</v>
      </c>
      <c r="EN17">
        <v>2.6552899999999999</v>
      </c>
      <c r="EO17">
        <v>2.0259853333333329</v>
      </c>
      <c r="EP17">
        <v>22.011009999999999</v>
      </c>
      <c r="EQ17">
        <v>17.648700000000002</v>
      </c>
      <c r="ER17">
        <v>1999.972</v>
      </c>
      <c r="ES17">
        <v>0.99499740000000014</v>
      </c>
      <c r="ET17">
        <v>5.0027140000000001E-3</v>
      </c>
      <c r="EU17">
        <v>0</v>
      </c>
      <c r="EV17">
        <v>853.91060000000004</v>
      </c>
      <c r="EW17">
        <v>5.0010700000000003</v>
      </c>
      <c r="EX17">
        <v>21805.21</v>
      </c>
      <c r="EY17">
        <v>18241.35666666667</v>
      </c>
      <c r="EZ17">
        <v>48.125</v>
      </c>
      <c r="FA17">
        <v>50.360299999999988</v>
      </c>
      <c r="FB17">
        <v>48.936999999999983</v>
      </c>
      <c r="FC17">
        <v>49.368699999999997</v>
      </c>
      <c r="FD17">
        <v>49.129133333333343</v>
      </c>
      <c r="FE17">
        <v>1984.992</v>
      </c>
      <c r="FF17">
        <v>9.9800000000000022</v>
      </c>
      <c r="FG17">
        <v>0</v>
      </c>
      <c r="FH17">
        <v>1486.1000001430509</v>
      </c>
      <c r="FI17">
        <v>0</v>
      </c>
      <c r="FJ17">
        <v>853.82441176470581</v>
      </c>
      <c r="FK17">
        <v>0.55612744010262072</v>
      </c>
      <c r="FL17">
        <v>36.053921527209972</v>
      </c>
      <c r="FM17">
        <v>21806.75882352941</v>
      </c>
      <c r="FN17">
        <v>10</v>
      </c>
      <c r="FO17">
        <v>1784567529</v>
      </c>
      <c r="FP17" t="s">
        <v>410</v>
      </c>
      <c r="FQ17">
        <v>1784567521</v>
      </c>
      <c r="FR17">
        <v>1784567529</v>
      </c>
      <c r="FS17">
        <v>28</v>
      </c>
      <c r="FT17">
        <v>0.41</v>
      </c>
      <c r="FU17">
        <v>0.108</v>
      </c>
      <c r="FV17">
        <v>-7.2</v>
      </c>
      <c r="FW17">
        <v>-0.84799999999999998</v>
      </c>
      <c r="FX17">
        <v>485</v>
      </c>
      <c r="FY17">
        <v>21</v>
      </c>
      <c r="FZ17">
        <v>0.12</v>
      </c>
      <c r="GA17">
        <v>0.05</v>
      </c>
      <c r="GB17">
        <v>420.06422580645147</v>
      </c>
      <c r="GC17">
        <v>0.66987096774103094</v>
      </c>
      <c r="GD17">
        <v>9.9414644756647866E-2</v>
      </c>
      <c r="GE17">
        <v>-1</v>
      </c>
      <c r="GF17">
        <v>853.90944117647052</v>
      </c>
      <c r="GG17">
        <v>-0.80912146380994843</v>
      </c>
      <c r="GH17">
        <v>0.2447992203919295</v>
      </c>
      <c r="GI17">
        <v>1</v>
      </c>
      <c r="GJ17">
        <v>6.482192926829268</v>
      </c>
      <c r="GK17">
        <v>-0.70556529616723251</v>
      </c>
      <c r="GL17">
        <v>8.6391541174791059E-2</v>
      </c>
      <c r="GM17">
        <v>0</v>
      </c>
      <c r="GN17">
        <v>1</v>
      </c>
      <c r="GO17">
        <v>2</v>
      </c>
      <c r="GP17" t="s">
        <v>411</v>
      </c>
      <c r="GQ17">
        <v>3.1307399999999999</v>
      </c>
      <c r="GR17">
        <v>2.7284899999999999</v>
      </c>
      <c r="GS17">
        <v>8.9719499999999994E-2</v>
      </c>
      <c r="GT17">
        <v>9.94641E-2</v>
      </c>
      <c r="GU17">
        <v>0.12225999999999999</v>
      </c>
      <c r="GV17">
        <v>0.10016600000000001</v>
      </c>
      <c r="GW17">
        <v>22519.4</v>
      </c>
      <c r="GX17">
        <v>29887.3</v>
      </c>
      <c r="GY17">
        <v>26869.599999999999</v>
      </c>
      <c r="GZ17">
        <v>34179</v>
      </c>
      <c r="HA17">
        <v>34582</v>
      </c>
      <c r="HB17">
        <v>38959.4</v>
      </c>
      <c r="HC17">
        <v>39680.699999999997</v>
      </c>
      <c r="HD17">
        <v>43362.5</v>
      </c>
      <c r="HE17">
        <v>1.8962000000000001</v>
      </c>
      <c r="HF17">
        <v>1.5638000000000001</v>
      </c>
      <c r="HG17">
        <v>-9.3996499999999997E-2</v>
      </c>
      <c r="HH17">
        <v>0</v>
      </c>
      <c r="HI17">
        <v>32.631599999999999</v>
      </c>
      <c r="HJ17">
        <v>999.9</v>
      </c>
      <c r="HK17">
        <v>44.2</v>
      </c>
      <c r="HL17">
        <v>45.9</v>
      </c>
      <c r="HM17">
        <v>45.790500000000002</v>
      </c>
      <c r="HN17">
        <v>61.240900000000003</v>
      </c>
      <c r="HO17">
        <v>5.5729100000000003</v>
      </c>
      <c r="HP17">
        <v>1</v>
      </c>
      <c r="HQ17">
        <v>1.22817</v>
      </c>
      <c r="HR17">
        <v>9.2810500000000005</v>
      </c>
      <c r="HS17">
        <v>20.0197</v>
      </c>
      <c r="HT17">
        <v>5.2088999999999999</v>
      </c>
      <c r="HU17">
        <v>11.9201</v>
      </c>
      <c r="HV17">
        <v>4.9828000000000001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1.86737</v>
      </c>
      <c r="IC17">
        <v>1.8631</v>
      </c>
      <c r="ID17">
        <v>1.86249</v>
      </c>
      <c r="IE17">
        <v>1.8620300000000001</v>
      </c>
      <c r="IF17">
        <v>1.8620300000000001</v>
      </c>
      <c r="IG17">
        <v>1.8625799999999999</v>
      </c>
      <c r="IH17">
        <v>1.8635600000000001</v>
      </c>
      <c r="II17">
        <v>1.86148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-6.9619999999999997</v>
      </c>
      <c r="IX17">
        <v>-0.67130000000000001</v>
      </c>
      <c r="IY17">
        <v>-4.9697046641659766</v>
      </c>
      <c r="IZ17">
        <v>-5.6215304933332991E-3</v>
      </c>
      <c r="JA17">
        <v>2.3979931213773931E-6</v>
      </c>
      <c r="JB17">
        <v>-3.6297174575716598E-10</v>
      </c>
      <c r="JC17">
        <v>-1.178242533731974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</v>
      </c>
      <c r="JM17">
        <v>1.2084999999999999</v>
      </c>
      <c r="JN17">
        <v>2.5756800000000002</v>
      </c>
      <c r="JO17">
        <v>1.50024</v>
      </c>
      <c r="JP17">
        <v>2.2668499999999998</v>
      </c>
      <c r="JQ17">
        <v>1.4477500000000001</v>
      </c>
      <c r="JR17">
        <v>2.4279799999999998</v>
      </c>
      <c r="JS17">
        <v>48.732599999999998</v>
      </c>
      <c r="JT17">
        <v>15.6556</v>
      </c>
      <c r="JU17">
        <v>18</v>
      </c>
      <c r="JV17">
        <v>551.803</v>
      </c>
      <c r="JW17">
        <v>349.27600000000001</v>
      </c>
      <c r="JX17">
        <v>24.761600000000001</v>
      </c>
      <c r="JY17">
        <v>41.380099999999999</v>
      </c>
      <c r="JZ17">
        <v>29.999500000000001</v>
      </c>
      <c r="KA17">
        <v>41.483800000000002</v>
      </c>
      <c r="KB17">
        <v>41.4923</v>
      </c>
      <c r="KC17">
        <v>24.189</v>
      </c>
      <c r="KD17">
        <v>53.4221</v>
      </c>
      <c r="KE17">
        <v>0</v>
      </c>
      <c r="KF17">
        <v>23.575600000000001</v>
      </c>
      <c r="KG17">
        <v>485.15499999999997</v>
      </c>
      <c r="KH17">
        <v>21.052499999999998</v>
      </c>
      <c r="KI17">
        <v>99.170199999999994</v>
      </c>
      <c r="KJ17">
        <v>97.563699999999997</v>
      </c>
    </row>
    <row r="18" spans="1:296" x14ac:dyDescent="0.3">
      <c r="A18">
        <v>2</v>
      </c>
      <c r="B18">
        <v>1784567831.5</v>
      </c>
      <c r="C18">
        <v>182.5</v>
      </c>
      <c r="D18" t="s">
        <v>416</v>
      </c>
      <c r="E18" t="s">
        <v>417</v>
      </c>
      <c r="F18">
        <v>15</v>
      </c>
      <c r="H18">
        <v>1784567823.75</v>
      </c>
      <c r="I18">
        <f t="shared" si="0"/>
        <v>5.6319719341694106E-3</v>
      </c>
      <c r="J18">
        <f t="shared" si="1"/>
        <v>5.6319719341694103</v>
      </c>
      <c r="K18">
        <f t="shared" si="2"/>
        <v>49.500674940669114</v>
      </c>
      <c r="L18">
        <f t="shared" si="3"/>
        <v>419.6140666666667</v>
      </c>
      <c r="M18">
        <f t="shared" si="4"/>
        <v>142.59561439144656</v>
      </c>
      <c r="N18">
        <f t="shared" si="5"/>
        <v>13.90193638573423</v>
      </c>
      <c r="O18">
        <f t="shared" si="6"/>
        <v>40.909028557817656</v>
      </c>
      <c r="P18">
        <f t="shared" si="7"/>
        <v>0.31007697882791729</v>
      </c>
      <c r="Q18">
        <f t="shared" si="8"/>
        <v>2.8846733694419018</v>
      </c>
      <c r="R18">
        <f t="shared" si="9"/>
        <v>0.29267868166181854</v>
      </c>
      <c r="S18">
        <f t="shared" si="10"/>
        <v>0.18440594514020209</v>
      </c>
      <c r="T18">
        <f t="shared" si="11"/>
        <v>271.90821042973971</v>
      </c>
      <c r="U18">
        <f t="shared" si="12"/>
        <v>30.800766048654285</v>
      </c>
      <c r="V18">
        <f t="shared" si="13"/>
        <v>30.849663333333329</v>
      </c>
      <c r="W18">
        <f t="shared" si="14"/>
        <v>4.4728516017900644</v>
      </c>
      <c r="X18">
        <f t="shared" si="15"/>
        <v>60.241093213708339</v>
      </c>
      <c r="Y18">
        <f t="shared" si="16"/>
        <v>2.6655082340257019</v>
      </c>
      <c r="Z18">
        <f t="shared" si="17"/>
        <v>4.4247341670405547</v>
      </c>
      <c r="AA18">
        <f t="shared" si="18"/>
        <v>1.8073433677643624</v>
      </c>
      <c r="AB18">
        <f t="shared" si="19"/>
        <v>-248.36996229687099</v>
      </c>
      <c r="AC18">
        <f t="shared" si="20"/>
        <v>-29.447948394821214</v>
      </c>
      <c r="AD18">
        <f t="shared" si="21"/>
        <v>-2.2868616797266563</v>
      </c>
      <c r="AE18">
        <f t="shared" si="22"/>
        <v>-8.1965619416791533</v>
      </c>
      <c r="AF18">
        <f t="shared" si="23"/>
        <v>49.500674940669114</v>
      </c>
      <c r="AG18">
        <f t="shared" si="24"/>
        <v>5.6319719341694103</v>
      </c>
      <c r="AH18">
        <f t="shared" si="25"/>
        <v>49.540159922691714</v>
      </c>
      <c r="AI18">
        <v>492.53386702391452</v>
      </c>
      <c r="AJ18">
        <v>431.37041212121221</v>
      </c>
      <c r="AK18">
        <v>8.7179953908818372E-2</v>
      </c>
      <c r="AL18">
        <v>67.032383030487196</v>
      </c>
      <c r="AM18">
        <f t="shared" si="26"/>
        <v>5.6034761006603491</v>
      </c>
      <c r="AN18">
        <v>20.744465896363639</v>
      </c>
      <c r="AO18">
        <v>27.295636363636351</v>
      </c>
      <c r="AP18">
        <v>-1.6745204425170691E-3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50914.361975047723</v>
      </c>
      <c r="AW18" t="s">
        <v>406</v>
      </c>
      <c r="AX18">
        <v>5079.1099999999997</v>
      </c>
      <c r="AY18">
        <v>610.81764705882347</v>
      </c>
      <c r="AZ18">
        <v>2513.0700000000002</v>
      </c>
      <c r="BA18">
        <f t="shared" si="30"/>
        <v>0.75694363982745272</v>
      </c>
      <c r="BB18">
        <v>-3.1371646480539188</v>
      </c>
      <c r="BC18" t="s">
        <v>418</v>
      </c>
      <c r="BD18">
        <v>5062.68</v>
      </c>
      <c r="BE18">
        <v>854.90270588235296</v>
      </c>
      <c r="BF18">
        <v>1071.42</v>
      </c>
      <c r="BG18">
        <f t="shared" si="31"/>
        <v>0.20208442451853348</v>
      </c>
      <c r="BH18">
        <v>0.5</v>
      </c>
      <c r="BI18">
        <f t="shared" si="32"/>
        <v>1428.3045198081545</v>
      </c>
      <c r="BJ18">
        <f t="shared" si="33"/>
        <v>49.500674940669114</v>
      </c>
      <c r="BK18">
        <f t="shared" si="34"/>
        <v>144.31904846132559</v>
      </c>
      <c r="BL18">
        <f t="shared" si="35"/>
        <v>3.6853373253900493E-2</v>
      </c>
      <c r="BM18">
        <f t="shared" si="36"/>
        <v>1.3455507644061153</v>
      </c>
      <c r="BN18">
        <f t="shared" si="37"/>
        <v>460.28416398030049</v>
      </c>
      <c r="BO18" t="s">
        <v>408</v>
      </c>
      <c r="BP18">
        <v>0</v>
      </c>
      <c r="BQ18">
        <f t="shared" si="38"/>
        <v>460.28416398030049</v>
      </c>
      <c r="BR18">
        <f t="shared" si="39"/>
        <v>0.5703980101358006</v>
      </c>
      <c r="BS18">
        <f t="shared" si="40"/>
        <v>0.35428669267345636</v>
      </c>
      <c r="BT18">
        <f t="shared" si="41"/>
        <v>0.70228953001513461</v>
      </c>
      <c r="BU18">
        <f t="shared" si="42"/>
        <v>0.47007422505568153</v>
      </c>
      <c r="BV18">
        <f t="shared" si="43"/>
        <v>0.75786474795049452</v>
      </c>
      <c r="BW18">
        <f t="shared" si="44"/>
        <v>0.19074983974724799</v>
      </c>
      <c r="BX18">
        <f t="shared" si="45"/>
        <v>0.80925016025275198</v>
      </c>
      <c r="DG18">
        <f t="shared" si="46"/>
        <v>1699.9996666666659</v>
      </c>
      <c r="DH18">
        <f t="shared" si="47"/>
        <v>1428.3045198081545</v>
      </c>
      <c r="DI18">
        <f t="shared" si="48"/>
        <v>0.84017929403995284</v>
      </c>
      <c r="DJ18">
        <f t="shared" si="49"/>
        <v>0.15994603749710923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1784567823.75</v>
      </c>
      <c r="DQ18">
        <v>419.6140666666667</v>
      </c>
      <c r="DR18">
        <v>481.85449999999997</v>
      </c>
      <c r="DS18">
        <v>27.340779999999999</v>
      </c>
      <c r="DT18">
        <v>20.7668</v>
      </c>
      <c r="DU18">
        <v>426.54880000000003</v>
      </c>
      <c r="DV18">
        <v>27.998670000000001</v>
      </c>
      <c r="DW18">
        <v>499.97013333333331</v>
      </c>
      <c r="DX18">
        <v>97.440989999999985</v>
      </c>
      <c r="DY18">
        <v>5.1043293333333337E-2</v>
      </c>
      <c r="DZ18">
        <v>30.660309999999999</v>
      </c>
      <c r="EA18">
        <v>30.849663333333329</v>
      </c>
      <c r="EB18">
        <v>999.9000000000002</v>
      </c>
      <c r="EC18">
        <v>0</v>
      </c>
      <c r="ED18">
        <v>0</v>
      </c>
      <c r="EE18">
        <v>10002.33333333333</v>
      </c>
      <c r="EF18">
        <v>0</v>
      </c>
      <c r="EG18">
        <v>2001.181</v>
      </c>
      <c r="EH18">
        <v>-62.240486666666669</v>
      </c>
      <c r="EI18">
        <v>431.40910000000002</v>
      </c>
      <c r="EJ18">
        <v>492.07323333333329</v>
      </c>
      <c r="EK18">
        <v>6.5739649999999994</v>
      </c>
      <c r="EL18">
        <v>481.85449999999997</v>
      </c>
      <c r="EM18">
        <v>20.7668</v>
      </c>
      <c r="EN18">
        <v>2.6641119999999998</v>
      </c>
      <c r="EO18">
        <v>2.023538666666667</v>
      </c>
      <c r="EP18">
        <v>22.065403333333329</v>
      </c>
      <c r="EQ18">
        <v>17.629713333333331</v>
      </c>
      <c r="ER18">
        <v>1699.9996666666659</v>
      </c>
      <c r="ES18">
        <v>0.99400689999999992</v>
      </c>
      <c r="ET18">
        <v>5.9932980000000028E-3</v>
      </c>
      <c r="EU18">
        <v>0</v>
      </c>
      <c r="EV18">
        <v>854.8279666666665</v>
      </c>
      <c r="EW18">
        <v>5.0010700000000003</v>
      </c>
      <c r="EX18">
        <v>19109.193333333329</v>
      </c>
      <c r="EY18">
        <v>15492.53666666667</v>
      </c>
      <c r="EZ18">
        <v>48.186999999999983</v>
      </c>
      <c r="FA18">
        <v>50.75</v>
      </c>
      <c r="FB18">
        <v>49.186999999999983</v>
      </c>
      <c r="FC18">
        <v>49.807866666666641</v>
      </c>
      <c r="FD18">
        <v>49.25</v>
      </c>
      <c r="FE18">
        <v>1684.839666666667</v>
      </c>
      <c r="FF18">
        <v>10.16</v>
      </c>
      <c r="FG18">
        <v>0</v>
      </c>
      <c r="FH18">
        <v>181.80000019073489</v>
      </c>
      <c r="FI18">
        <v>0</v>
      </c>
      <c r="FJ18">
        <v>854.90270588235296</v>
      </c>
      <c r="FK18">
        <v>5.0409313553864861</v>
      </c>
      <c r="FL18">
        <v>216.6911764448659</v>
      </c>
      <c r="FM18">
        <v>19115.017647058819</v>
      </c>
      <c r="FN18">
        <v>10</v>
      </c>
      <c r="FO18">
        <v>1784567789.5</v>
      </c>
      <c r="FP18" t="s">
        <v>419</v>
      </c>
      <c r="FQ18">
        <v>1784567782</v>
      </c>
      <c r="FR18">
        <v>1784567789.5</v>
      </c>
      <c r="FS18">
        <v>29</v>
      </c>
      <c r="FT18">
        <v>2.5000000000000001E-2</v>
      </c>
      <c r="FU18">
        <v>1.4E-2</v>
      </c>
      <c r="FV18">
        <v>-7.165</v>
      </c>
      <c r="FW18">
        <v>-0.85</v>
      </c>
      <c r="FX18">
        <v>483</v>
      </c>
      <c r="FY18">
        <v>20</v>
      </c>
      <c r="FZ18">
        <v>0.16</v>
      </c>
      <c r="GA18">
        <v>0.02</v>
      </c>
      <c r="GB18">
        <v>419.6140666666667</v>
      </c>
      <c r="GC18">
        <v>-2.9748787541721851</v>
      </c>
      <c r="GD18">
        <v>0.25585359528883977</v>
      </c>
      <c r="GE18">
        <v>-1</v>
      </c>
      <c r="GF18">
        <v>854.70291176470596</v>
      </c>
      <c r="GG18">
        <v>2.5007028303439611</v>
      </c>
      <c r="GH18">
        <v>0.34216966617430089</v>
      </c>
      <c r="GI18">
        <v>1</v>
      </c>
      <c r="GJ18">
        <v>6.5101397499999987</v>
      </c>
      <c r="GK18">
        <v>0.86506953095683436</v>
      </c>
      <c r="GL18">
        <v>0.114249255478701</v>
      </c>
      <c r="GM18">
        <v>0</v>
      </c>
      <c r="GN18">
        <v>1</v>
      </c>
      <c r="GO18">
        <v>2</v>
      </c>
      <c r="GP18" t="s">
        <v>411</v>
      </c>
      <c r="GQ18">
        <v>3.1301100000000002</v>
      </c>
      <c r="GR18">
        <v>2.7277</v>
      </c>
      <c r="GS18">
        <v>8.9613100000000001E-2</v>
      </c>
      <c r="GT18">
        <v>9.8974199999999998E-2</v>
      </c>
      <c r="GU18">
        <v>0.12210699999999999</v>
      </c>
      <c r="GV18">
        <v>9.91871E-2</v>
      </c>
      <c r="GW18">
        <v>22522.799999999999</v>
      </c>
      <c r="GX18">
        <v>29903.599999999999</v>
      </c>
      <c r="GY18">
        <v>26870.400000000001</v>
      </c>
      <c r="GZ18">
        <v>34178.9</v>
      </c>
      <c r="HA18">
        <v>34589</v>
      </c>
      <c r="HB18">
        <v>39001.9</v>
      </c>
      <c r="HC18">
        <v>39682.1</v>
      </c>
      <c r="HD18">
        <v>43363</v>
      </c>
      <c r="HE18">
        <v>1.8954</v>
      </c>
      <c r="HF18">
        <v>1.5642</v>
      </c>
      <c r="HG18">
        <v>-0.10967300000000001</v>
      </c>
      <c r="HH18">
        <v>0</v>
      </c>
      <c r="HI18">
        <v>32.628700000000002</v>
      </c>
      <c r="HJ18">
        <v>999.9</v>
      </c>
      <c r="HK18">
        <v>43.8</v>
      </c>
      <c r="HL18">
        <v>45.9</v>
      </c>
      <c r="HM18">
        <v>45.378700000000002</v>
      </c>
      <c r="HN18">
        <v>61.2209</v>
      </c>
      <c r="HO18">
        <v>6.0536899999999996</v>
      </c>
      <c r="HP18">
        <v>1</v>
      </c>
      <c r="HQ18">
        <v>1.21329</v>
      </c>
      <c r="HR18">
        <v>7.5499799999999997</v>
      </c>
      <c r="HS18">
        <v>20.1037</v>
      </c>
      <c r="HT18">
        <v>5.2053099999999999</v>
      </c>
      <c r="HU18">
        <v>11.9201</v>
      </c>
      <c r="HV18">
        <v>4.9820000000000002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1.86734</v>
      </c>
      <c r="IC18">
        <v>1.8631</v>
      </c>
      <c r="ID18">
        <v>1.86249</v>
      </c>
      <c r="IE18">
        <v>1.86212</v>
      </c>
      <c r="IF18">
        <v>1.86212</v>
      </c>
      <c r="IG18">
        <v>1.8626100000000001</v>
      </c>
      <c r="IH18">
        <v>1.8635600000000001</v>
      </c>
      <c r="II18">
        <v>1.86148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-6.9349999999999996</v>
      </c>
      <c r="IX18">
        <v>-0.65900000000000003</v>
      </c>
      <c r="IY18">
        <v>-4.9450390501386607</v>
      </c>
      <c r="IZ18">
        <v>-5.6215304933332991E-3</v>
      </c>
      <c r="JA18">
        <v>2.3979931213773931E-6</v>
      </c>
      <c r="JB18">
        <v>-3.6297174575716598E-10</v>
      </c>
      <c r="JC18">
        <v>-1.164482129079794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0.8</v>
      </c>
      <c r="JL18">
        <v>0.7</v>
      </c>
      <c r="JM18">
        <v>1.2048300000000001</v>
      </c>
      <c r="JN18">
        <v>2.5891099999999998</v>
      </c>
      <c r="JO18">
        <v>1.50024</v>
      </c>
      <c r="JP18">
        <v>2.2656200000000002</v>
      </c>
      <c r="JQ18">
        <v>1.4477500000000001</v>
      </c>
      <c r="JR18">
        <v>2.4206500000000002</v>
      </c>
      <c r="JS18">
        <v>48.701599999999999</v>
      </c>
      <c r="JT18">
        <v>15.6731</v>
      </c>
      <c r="JU18">
        <v>18</v>
      </c>
      <c r="JV18">
        <v>551.36400000000003</v>
      </c>
      <c r="JW18">
        <v>349.65100000000001</v>
      </c>
      <c r="JX18">
        <v>25.183399999999999</v>
      </c>
      <c r="JY18">
        <v>41.363399999999999</v>
      </c>
      <c r="JZ18">
        <v>30.000499999999999</v>
      </c>
      <c r="KA18">
        <v>41.500100000000003</v>
      </c>
      <c r="KB18">
        <v>41.524799999999999</v>
      </c>
      <c r="KC18">
        <v>24.088200000000001</v>
      </c>
      <c r="KD18">
        <v>53.543700000000001</v>
      </c>
      <c r="KE18">
        <v>0</v>
      </c>
      <c r="KF18">
        <v>25.191099999999999</v>
      </c>
      <c r="KG18">
        <v>482.58300000000003</v>
      </c>
      <c r="KH18">
        <v>20.7866</v>
      </c>
      <c r="KI18">
        <v>99.173500000000004</v>
      </c>
      <c r="KJ18">
        <v>97.5642</v>
      </c>
    </row>
    <row r="19" spans="1:296" x14ac:dyDescent="0.3">
      <c r="A19">
        <v>3</v>
      </c>
      <c r="B19">
        <v>1784568014</v>
      </c>
      <c r="C19">
        <v>365</v>
      </c>
      <c r="D19" t="s">
        <v>420</v>
      </c>
      <c r="E19" t="s">
        <v>421</v>
      </c>
      <c r="F19">
        <v>15</v>
      </c>
      <c r="H19">
        <v>1784568006.25</v>
      </c>
      <c r="I19">
        <f t="shared" si="0"/>
        <v>5.1686813530717789E-3</v>
      </c>
      <c r="J19">
        <f t="shared" si="1"/>
        <v>5.1686813530717792</v>
      </c>
      <c r="K19">
        <f t="shared" si="2"/>
        <v>49.426754591933715</v>
      </c>
      <c r="L19">
        <f t="shared" si="3"/>
        <v>419.94466666666659</v>
      </c>
      <c r="M19">
        <f t="shared" si="4"/>
        <v>117.48077242131352</v>
      </c>
      <c r="N19">
        <f t="shared" si="5"/>
        <v>11.453672192962753</v>
      </c>
      <c r="O19">
        <f t="shared" si="6"/>
        <v>40.942091646567953</v>
      </c>
      <c r="P19">
        <f t="shared" si="7"/>
        <v>0.28123235571550509</v>
      </c>
      <c r="Q19">
        <f t="shared" si="8"/>
        <v>2.88432014829979</v>
      </c>
      <c r="R19">
        <f t="shared" si="9"/>
        <v>0.26683808937850673</v>
      </c>
      <c r="S19">
        <f t="shared" si="10"/>
        <v>0.16800565615131982</v>
      </c>
      <c r="T19">
        <f t="shared" si="11"/>
        <v>255.91506642983316</v>
      </c>
      <c r="U19">
        <f t="shared" si="12"/>
        <v>30.90781078115209</v>
      </c>
      <c r="V19">
        <f t="shared" si="13"/>
        <v>30.920296666666658</v>
      </c>
      <c r="W19">
        <f t="shared" si="14"/>
        <v>4.4909169289094661</v>
      </c>
      <c r="X19">
        <f t="shared" si="15"/>
        <v>60.10641113500855</v>
      </c>
      <c r="Y19">
        <f t="shared" si="16"/>
        <v>2.6718192573391986</v>
      </c>
      <c r="Z19">
        <f t="shared" si="17"/>
        <v>4.4451485405406554</v>
      </c>
      <c r="AA19">
        <f t="shared" si="18"/>
        <v>1.8190976715702676</v>
      </c>
      <c r="AB19">
        <f t="shared" si="19"/>
        <v>-227.93884767046546</v>
      </c>
      <c r="AC19">
        <f t="shared" si="20"/>
        <v>-27.901787845217555</v>
      </c>
      <c r="AD19">
        <f t="shared" si="21"/>
        <v>-2.1686739470621186</v>
      </c>
      <c r="AE19">
        <f t="shared" si="22"/>
        <v>-2.0942430329119901</v>
      </c>
      <c r="AF19">
        <f t="shared" si="23"/>
        <v>49.426754591933715</v>
      </c>
      <c r="AG19">
        <f t="shared" si="24"/>
        <v>5.1686813530717792</v>
      </c>
      <c r="AH19">
        <f t="shared" si="25"/>
        <v>49.195795579221496</v>
      </c>
      <c r="AI19">
        <v>492.34264374916938</v>
      </c>
      <c r="AJ19">
        <v>431.88320606060608</v>
      </c>
      <c r="AK19">
        <v>2.6451415286522291E-2</v>
      </c>
      <c r="AL19">
        <v>66.968039076547555</v>
      </c>
      <c r="AM19">
        <f t="shared" si="26"/>
        <v>5.2121456174024026</v>
      </c>
      <c r="AN19">
        <v>21.366301779781509</v>
      </c>
      <c r="AO19">
        <v>27.427713333333319</v>
      </c>
      <c r="AP19">
        <v>3.5634671262276588E-3</v>
      </c>
      <c r="AQ19">
        <v>78.109906870075264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50890.973667640523</v>
      </c>
      <c r="AW19" t="s">
        <v>406</v>
      </c>
      <c r="AX19">
        <v>5079.1099999999997</v>
      </c>
      <c r="AY19">
        <v>610.81764705882347</v>
      </c>
      <c r="AZ19">
        <v>2513.0700000000002</v>
      </c>
      <c r="BA19">
        <f t="shared" si="30"/>
        <v>0.75694363982745272</v>
      </c>
      <c r="BB19">
        <v>-3.1371646480539188</v>
      </c>
      <c r="BC19" t="s">
        <v>422</v>
      </c>
      <c r="BD19">
        <v>5063.08</v>
      </c>
      <c r="BE19">
        <v>858.33323529411769</v>
      </c>
      <c r="BF19">
        <v>1100.08</v>
      </c>
      <c r="BG19">
        <f t="shared" si="31"/>
        <v>0.21975380400142008</v>
      </c>
      <c r="BH19">
        <v>0.5</v>
      </c>
      <c r="BI19">
        <f t="shared" si="32"/>
        <v>1344.2949198082031</v>
      </c>
      <c r="BJ19">
        <f t="shared" si="33"/>
        <v>49.426754591933715</v>
      </c>
      <c r="BK19">
        <f t="shared" si="34"/>
        <v>147.70696116381831</v>
      </c>
      <c r="BL19">
        <f t="shared" si="35"/>
        <v>3.9101478749534499E-2</v>
      </c>
      <c r="BM19">
        <f t="shared" si="36"/>
        <v>1.2844429496036656</v>
      </c>
      <c r="BN19">
        <f t="shared" si="37"/>
        <v>465.49409990399232</v>
      </c>
      <c r="BO19" t="s">
        <v>408</v>
      </c>
      <c r="BP19">
        <v>0</v>
      </c>
      <c r="BQ19">
        <f t="shared" si="38"/>
        <v>465.49409990399232</v>
      </c>
      <c r="BR19">
        <f t="shared" si="39"/>
        <v>0.57685431977311441</v>
      </c>
      <c r="BS19">
        <f t="shared" si="40"/>
        <v>0.38095199510311833</v>
      </c>
      <c r="BT19">
        <f t="shared" si="41"/>
        <v>0.69007942510641351</v>
      </c>
      <c r="BU19">
        <f t="shared" si="42"/>
        <v>0.49410457038567041</v>
      </c>
      <c r="BV19">
        <f t="shared" si="43"/>
        <v>0.74279839781262402</v>
      </c>
      <c r="BW19">
        <f t="shared" si="44"/>
        <v>0.20659913746249345</v>
      </c>
      <c r="BX19">
        <f t="shared" si="45"/>
        <v>0.79340086253750652</v>
      </c>
      <c r="DG19">
        <f t="shared" si="46"/>
        <v>1600.0096666666659</v>
      </c>
      <c r="DH19">
        <f t="shared" si="47"/>
        <v>1344.2949198082031</v>
      </c>
      <c r="DI19">
        <f t="shared" si="48"/>
        <v>0.84017924879716588</v>
      </c>
      <c r="DJ19">
        <f t="shared" si="49"/>
        <v>0.15994595017853014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1784568006.25</v>
      </c>
      <c r="DQ19">
        <v>419.94466666666659</v>
      </c>
      <c r="DR19">
        <v>481.85996666666671</v>
      </c>
      <c r="DS19">
        <v>27.404956666666671</v>
      </c>
      <c r="DT19">
        <v>21.37266</v>
      </c>
      <c r="DU19">
        <v>426.99130000000002</v>
      </c>
      <c r="DV19">
        <v>28.079029999999999</v>
      </c>
      <c r="DW19">
        <v>500.01193333333327</v>
      </c>
      <c r="DX19">
        <v>97.442309999999992</v>
      </c>
      <c r="DY19">
        <v>5.1705036666666683E-2</v>
      </c>
      <c r="DZ19">
        <v>30.74086333333333</v>
      </c>
      <c r="EA19">
        <v>30.920296666666658</v>
      </c>
      <c r="EB19">
        <v>999.9000000000002</v>
      </c>
      <c r="EC19">
        <v>0</v>
      </c>
      <c r="ED19">
        <v>0</v>
      </c>
      <c r="EE19">
        <v>10000.16666666667</v>
      </c>
      <c r="EF19">
        <v>0</v>
      </c>
      <c r="EG19">
        <v>1987.704</v>
      </c>
      <c r="EH19">
        <v>-61.915186666666678</v>
      </c>
      <c r="EI19">
        <v>431.77753333333322</v>
      </c>
      <c r="EJ19">
        <v>492.38339999999999</v>
      </c>
      <c r="EK19">
        <v>6.0322896666666672</v>
      </c>
      <c r="EL19">
        <v>481.85996666666671</v>
      </c>
      <c r="EM19">
        <v>21.37266</v>
      </c>
      <c r="EN19">
        <v>2.670401333333333</v>
      </c>
      <c r="EO19">
        <v>2.0826020000000001</v>
      </c>
      <c r="EP19">
        <v>22.10410666666667</v>
      </c>
      <c r="EQ19">
        <v>18.086739999999999</v>
      </c>
      <c r="ER19">
        <v>1600.0096666666659</v>
      </c>
      <c r="ES19">
        <v>0.99400433333333327</v>
      </c>
      <c r="ET19">
        <v>5.9953159999999997E-3</v>
      </c>
      <c r="EU19">
        <v>0</v>
      </c>
      <c r="EV19">
        <v>858.74440000000004</v>
      </c>
      <c r="EW19">
        <v>5.0010700000000003</v>
      </c>
      <c r="EX19">
        <v>18259.28</v>
      </c>
      <c r="EY19">
        <v>14578.606666666659</v>
      </c>
      <c r="EZ19">
        <v>48.164266666666663</v>
      </c>
      <c r="FA19">
        <v>50.936999999999983</v>
      </c>
      <c r="FB19">
        <v>49.311999999999983</v>
      </c>
      <c r="FC19">
        <v>50</v>
      </c>
      <c r="FD19">
        <v>49.376899999999992</v>
      </c>
      <c r="FE19">
        <v>1585.4496666666671</v>
      </c>
      <c r="FF19">
        <v>9.56</v>
      </c>
      <c r="FG19">
        <v>0</v>
      </c>
      <c r="FH19">
        <v>181.60000014305109</v>
      </c>
      <c r="FI19">
        <v>0</v>
      </c>
      <c r="FJ19">
        <v>858.33323529411769</v>
      </c>
      <c r="FK19">
        <v>1.3529411552406021</v>
      </c>
      <c r="FL19">
        <v>-6.3235297009714708</v>
      </c>
      <c r="FM19">
        <v>18229.21176470588</v>
      </c>
      <c r="FN19">
        <v>10</v>
      </c>
      <c r="FO19">
        <v>1784567930</v>
      </c>
      <c r="FP19" t="s">
        <v>423</v>
      </c>
      <c r="FQ19">
        <v>1784567923</v>
      </c>
      <c r="FR19">
        <v>1784567930</v>
      </c>
      <c r="FS19">
        <v>30</v>
      </c>
      <c r="FT19">
        <v>-0.11</v>
      </c>
      <c r="FU19">
        <v>-1.9E-2</v>
      </c>
      <c r="FV19">
        <v>-7.274</v>
      </c>
      <c r="FW19">
        <v>-0.85</v>
      </c>
      <c r="FX19">
        <v>482</v>
      </c>
      <c r="FY19">
        <v>21</v>
      </c>
      <c r="FZ19">
        <v>0.14000000000000001</v>
      </c>
      <c r="GA19">
        <v>0.05</v>
      </c>
      <c r="GB19">
        <v>419.93979999999999</v>
      </c>
      <c r="GC19">
        <v>0.36072080088963893</v>
      </c>
      <c r="GD19">
        <v>6.9045588804306779E-2</v>
      </c>
      <c r="GE19">
        <v>-1</v>
      </c>
      <c r="GF19">
        <v>858.72641176470574</v>
      </c>
      <c r="GG19">
        <v>-2.3626279587186891</v>
      </c>
      <c r="GH19">
        <v>0.63225879463317558</v>
      </c>
      <c r="GI19">
        <v>1</v>
      </c>
      <c r="GJ19">
        <v>6.0141917500000002</v>
      </c>
      <c r="GK19">
        <v>0.3552539212007545</v>
      </c>
      <c r="GL19">
        <v>3.4720632618624667E-2</v>
      </c>
      <c r="GM19">
        <v>1</v>
      </c>
      <c r="GN19">
        <v>2</v>
      </c>
      <c r="GO19">
        <v>2</v>
      </c>
      <c r="GP19" t="s">
        <v>424</v>
      </c>
      <c r="GQ19">
        <v>3.1313399999999998</v>
      </c>
      <c r="GR19">
        <v>2.7270500000000002</v>
      </c>
      <c r="GS19">
        <v>8.9714500000000003E-2</v>
      </c>
      <c r="GT19">
        <v>9.8908099999999999E-2</v>
      </c>
      <c r="GU19">
        <v>0.122543</v>
      </c>
      <c r="GV19">
        <v>0.101309</v>
      </c>
      <c r="GW19">
        <v>22518</v>
      </c>
      <c r="GX19">
        <v>29902.799999999999</v>
      </c>
      <c r="GY19">
        <v>26867.8</v>
      </c>
      <c r="GZ19">
        <v>34175.4</v>
      </c>
      <c r="HA19">
        <v>34568.800000000003</v>
      </c>
      <c r="HB19">
        <v>38905.5</v>
      </c>
      <c r="HC19">
        <v>39678.300000000003</v>
      </c>
      <c r="HD19">
        <v>43357.2</v>
      </c>
      <c r="HE19">
        <v>1.8972</v>
      </c>
      <c r="HF19">
        <v>1.5640000000000001</v>
      </c>
      <c r="HG19">
        <v>-0.11307</v>
      </c>
      <c r="HH19">
        <v>0</v>
      </c>
      <c r="HI19">
        <v>32.727499999999999</v>
      </c>
      <c r="HJ19">
        <v>999.9</v>
      </c>
      <c r="HK19">
        <v>43.4</v>
      </c>
      <c r="HL19">
        <v>46</v>
      </c>
      <c r="HM19">
        <v>45.193600000000004</v>
      </c>
      <c r="HN19">
        <v>61.190899999999999</v>
      </c>
      <c r="HO19">
        <v>5.4887800000000002</v>
      </c>
      <c r="HP19">
        <v>1</v>
      </c>
      <c r="HQ19">
        <v>1.22817</v>
      </c>
      <c r="HR19">
        <v>9.2810500000000005</v>
      </c>
      <c r="HS19">
        <v>20.025400000000001</v>
      </c>
      <c r="HT19">
        <v>5.2112999999999996</v>
      </c>
      <c r="HU19">
        <v>11.9201</v>
      </c>
      <c r="HV19">
        <v>4.9832000000000001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1.86734</v>
      </c>
      <c r="IC19">
        <v>1.8631</v>
      </c>
      <c r="ID19">
        <v>1.86249</v>
      </c>
      <c r="IE19">
        <v>1.86209</v>
      </c>
      <c r="IF19">
        <v>1.8620300000000001</v>
      </c>
      <c r="IG19">
        <v>1.8625499999999999</v>
      </c>
      <c r="IH19">
        <v>1.8635600000000001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-7.0469999999999997</v>
      </c>
      <c r="IX19">
        <v>-0.67330000000000001</v>
      </c>
      <c r="IY19">
        <v>-5.0552604248259092</v>
      </c>
      <c r="IZ19">
        <v>-5.6215304933332991E-3</v>
      </c>
      <c r="JA19">
        <v>2.3979931213773931E-6</v>
      </c>
      <c r="JB19">
        <v>-3.6297174575716598E-10</v>
      </c>
      <c r="JC19">
        <v>-1.1830329129663331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1.5</v>
      </c>
      <c r="JL19">
        <v>1.4</v>
      </c>
      <c r="JM19">
        <v>1.2036100000000001</v>
      </c>
      <c r="JN19">
        <v>2.5793499999999998</v>
      </c>
      <c r="JO19">
        <v>1.50024</v>
      </c>
      <c r="JP19">
        <v>2.2668499999999998</v>
      </c>
      <c r="JQ19">
        <v>1.4477500000000001</v>
      </c>
      <c r="JR19">
        <v>2.3986800000000001</v>
      </c>
      <c r="JS19">
        <v>48.670699999999997</v>
      </c>
      <c r="JT19">
        <v>15.5505</v>
      </c>
      <c r="JU19">
        <v>18</v>
      </c>
      <c r="JV19">
        <v>552.87599999999998</v>
      </c>
      <c r="JW19">
        <v>349.71300000000002</v>
      </c>
      <c r="JX19">
        <v>24.304400000000001</v>
      </c>
      <c r="JY19">
        <v>41.3675</v>
      </c>
      <c r="JZ19">
        <v>30</v>
      </c>
      <c r="KA19">
        <v>41.532899999999998</v>
      </c>
      <c r="KB19">
        <v>41.561399999999999</v>
      </c>
      <c r="KC19">
        <v>24.0778</v>
      </c>
      <c r="KD19">
        <v>52.251899999999999</v>
      </c>
      <c r="KE19">
        <v>0</v>
      </c>
      <c r="KF19">
        <v>24.119900000000001</v>
      </c>
      <c r="KG19">
        <v>481.86900000000003</v>
      </c>
      <c r="KH19">
        <v>21.316800000000001</v>
      </c>
      <c r="KI19">
        <v>99.163899999999998</v>
      </c>
      <c r="KJ19">
        <v>97.552599999999998</v>
      </c>
    </row>
    <row r="20" spans="1:296" x14ac:dyDescent="0.3">
      <c r="A20">
        <v>4</v>
      </c>
      <c r="B20">
        <v>1784568196.5</v>
      </c>
      <c r="C20">
        <v>547.5</v>
      </c>
      <c r="D20" t="s">
        <v>425</v>
      </c>
      <c r="E20" t="s">
        <v>426</v>
      </c>
      <c r="F20">
        <v>15</v>
      </c>
      <c r="H20">
        <v>1784568188.5</v>
      </c>
      <c r="I20">
        <f t="shared" si="0"/>
        <v>5.1221340397656981E-3</v>
      </c>
      <c r="J20">
        <f t="shared" si="1"/>
        <v>5.1221340397656983</v>
      </c>
      <c r="K20">
        <f t="shared" si="2"/>
        <v>46.756224206343994</v>
      </c>
      <c r="L20">
        <f t="shared" si="3"/>
        <v>419.96374193548382</v>
      </c>
      <c r="M20">
        <f t="shared" si="4"/>
        <v>131.92853674685495</v>
      </c>
      <c r="N20">
        <f t="shared" si="5"/>
        <v>12.861185045614574</v>
      </c>
      <c r="O20">
        <f t="shared" si="6"/>
        <v>40.940584430530677</v>
      </c>
      <c r="P20">
        <f t="shared" si="7"/>
        <v>0.27988122810103994</v>
      </c>
      <c r="Q20">
        <f t="shared" si="8"/>
        <v>2.8848860304019497</v>
      </c>
      <c r="R20">
        <f t="shared" si="9"/>
        <v>0.26562381626806109</v>
      </c>
      <c r="S20">
        <f t="shared" si="10"/>
        <v>0.16723531169830408</v>
      </c>
      <c r="T20">
        <f t="shared" si="11"/>
        <v>224.00270918011068</v>
      </c>
      <c r="U20">
        <f t="shared" si="12"/>
        <v>30.62304268054454</v>
      </c>
      <c r="V20">
        <f t="shared" si="13"/>
        <v>30.820261290322581</v>
      </c>
      <c r="W20">
        <f t="shared" si="14"/>
        <v>4.4653503547239488</v>
      </c>
      <c r="X20">
        <f t="shared" si="15"/>
        <v>60.073297116328384</v>
      </c>
      <c r="Y20">
        <f t="shared" si="16"/>
        <v>2.6541314491915449</v>
      </c>
      <c r="Z20">
        <f t="shared" si="17"/>
        <v>4.4181551148291005</v>
      </c>
      <c r="AA20">
        <f t="shared" si="18"/>
        <v>1.8112189055324039</v>
      </c>
      <c r="AB20">
        <f t="shared" si="19"/>
        <v>-225.88611115366729</v>
      </c>
      <c r="AC20">
        <f t="shared" si="20"/>
        <v>-28.925565217217947</v>
      </c>
      <c r="AD20">
        <f t="shared" si="21"/>
        <v>-2.2455141997110961</v>
      </c>
      <c r="AE20">
        <f t="shared" si="22"/>
        <v>-33.054481390485648</v>
      </c>
      <c r="AF20">
        <f t="shared" si="23"/>
        <v>46.756224206343994</v>
      </c>
      <c r="AG20">
        <f t="shared" si="24"/>
        <v>5.1221340397656983</v>
      </c>
      <c r="AH20">
        <f t="shared" si="25"/>
        <v>46.723530305022074</v>
      </c>
      <c r="AI20">
        <v>489.02901286174108</v>
      </c>
      <c r="AJ20">
        <v>431.71926060606069</v>
      </c>
      <c r="AK20">
        <v>5.3999586911078956E-3</v>
      </c>
      <c r="AL20">
        <v>66.968413389380217</v>
      </c>
      <c r="AM20">
        <f t="shared" si="26"/>
        <v>5.1273037800522063</v>
      </c>
      <c r="AN20">
        <v>21.254707939249851</v>
      </c>
      <c r="AO20">
        <v>27.23267515151516</v>
      </c>
      <c r="AP20">
        <v>1.140521190687537E-3</v>
      </c>
      <c r="AQ20">
        <v>78.110286943456899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50924.564944055513</v>
      </c>
      <c r="AW20" t="s">
        <v>406</v>
      </c>
      <c r="AX20">
        <v>5079.1099999999997</v>
      </c>
      <c r="AY20">
        <v>610.81764705882347</v>
      </c>
      <c r="AZ20">
        <v>2513.0700000000002</v>
      </c>
      <c r="BA20">
        <f t="shared" si="30"/>
        <v>0.75694363982745272</v>
      </c>
      <c r="BB20">
        <v>-3.1371646480539188</v>
      </c>
      <c r="BC20" t="s">
        <v>427</v>
      </c>
      <c r="BD20">
        <v>5064.3100000000004</v>
      </c>
      <c r="BE20">
        <v>860.7191764705882</v>
      </c>
      <c r="BF20">
        <v>1154.67</v>
      </c>
      <c r="BG20">
        <f t="shared" si="31"/>
        <v>0.25457561340418633</v>
      </c>
      <c r="BH20">
        <v>0.5</v>
      </c>
      <c r="BI20">
        <f t="shared" si="32"/>
        <v>1176.2747030015614</v>
      </c>
      <c r="BJ20">
        <f t="shared" si="33"/>
        <v>46.756224206343994</v>
      </c>
      <c r="BK20">
        <f t="shared" si="34"/>
        <v>149.72542702422479</v>
      </c>
      <c r="BL20">
        <f t="shared" si="35"/>
        <v>4.2416442967856363E-2</v>
      </c>
      <c r="BM20">
        <f t="shared" si="36"/>
        <v>1.1764400218244173</v>
      </c>
      <c r="BN20">
        <f t="shared" si="37"/>
        <v>474.996549583758</v>
      </c>
      <c r="BO20" t="s">
        <v>408</v>
      </c>
      <c r="BP20">
        <v>0</v>
      </c>
      <c r="BQ20">
        <f t="shared" si="38"/>
        <v>474.996549583758</v>
      </c>
      <c r="BR20">
        <f t="shared" si="39"/>
        <v>0.58863004184419965</v>
      </c>
      <c r="BS20">
        <f t="shared" si="40"/>
        <v>0.43248831236440388</v>
      </c>
      <c r="BT20">
        <f t="shared" si="41"/>
        <v>0.66651179805250382</v>
      </c>
      <c r="BU20">
        <f t="shared" si="42"/>
        <v>0.54049747498510092</v>
      </c>
      <c r="BV20">
        <f t="shared" si="43"/>
        <v>0.7141008383560169</v>
      </c>
      <c r="BW20">
        <f t="shared" si="44"/>
        <v>0.23867303265017265</v>
      </c>
      <c r="BX20">
        <f t="shared" si="45"/>
        <v>0.7613269673498273</v>
      </c>
      <c r="DG20">
        <f t="shared" si="46"/>
        <v>1399.9777419354839</v>
      </c>
      <c r="DH20">
        <f t="shared" si="47"/>
        <v>1176.2747030015614</v>
      </c>
      <c r="DI20">
        <f t="shared" si="48"/>
        <v>0.84020957460034285</v>
      </c>
      <c r="DJ20">
        <f t="shared" si="49"/>
        <v>0.16000447897866191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1784568188.5</v>
      </c>
      <c r="DQ20">
        <v>419.96374193548382</v>
      </c>
      <c r="DR20">
        <v>478.6489354838709</v>
      </c>
      <c r="DS20">
        <v>27.225770967741941</v>
      </c>
      <c r="DT20">
        <v>21.246922580645151</v>
      </c>
      <c r="DU20">
        <v>426.9826129032258</v>
      </c>
      <c r="DV20">
        <v>27.89027419354839</v>
      </c>
      <c r="DW20">
        <v>500.03074193548377</v>
      </c>
      <c r="DX20">
        <v>97.434783870967735</v>
      </c>
      <c r="DY20">
        <v>5.1213948387096767E-2</v>
      </c>
      <c r="DZ20">
        <v>30.63428064516129</v>
      </c>
      <c r="EA20">
        <v>30.820261290322581</v>
      </c>
      <c r="EB20">
        <v>999.90000000000032</v>
      </c>
      <c r="EC20">
        <v>0</v>
      </c>
      <c r="ED20">
        <v>0</v>
      </c>
      <c r="EE20">
        <v>10004.1935483871</v>
      </c>
      <c r="EF20">
        <v>0</v>
      </c>
      <c r="EG20">
        <v>1998.543548387097</v>
      </c>
      <c r="EH20">
        <v>-58.685161290322583</v>
      </c>
      <c r="EI20">
        <v>431.71758064516132</v>
      </c>
      <c r="EJ20">
        <v>489.03954838709677</v>
      </c>
      <c r="EK20">
        <v>5.9788432258064521</v>
      </c>
      <c r="EL20">
        <v>478.6489354838709</v>
      </c>
      <c r="EM20">
        <v>21.246922580645151</v>
      </c>
      <c r="EN20">
        <v>2.6527370967741941</v>
      </c>
      <c r="EO20">
        <v>2.0701900000000002</v>
      </c>
      <c r="EP20">
        <v>21.995241935483872</v>
      </c>
      <c r="EQ20">
        <v>17.991638709677421</v>
      </c>
      <c r="ER20">
        <v>1399.9777419354839</v>
      </c>
      <c r="ES20">
        <v>0.99299122580645161</v>
      </c>
      <c r="ET20">
        <v>7.009057419354839E-3</v>
      </c>
      <c r="EU20">
        <v>0</v>
      </c>
      <c r="EV20">
        <v>860.71551612903204</v>
      </c>
      <c r="EW20">
        <v>5.0010700000000003</v>
      </c>
      <c r="EX20">
        <v>16436.851612903229</v>
      </c>
      <c r="EY20">
        <v>12745.27741935483</v>
      </c>
      <c r="EZ20">
        <v>47.870935483870959</v>
      </c>
      <c r="FA20">
        <v>50.811999999999969</v>
      </c>
      <c r="FB20">
        <v>49.133000000000003</v>
      </c>
      <c r="FC20">
        <v>49.945129032258038</v>
      </c>
      <c r="FD20">
        <v>49.104677419354843</v>
      </c>
      <c r="FE20">
        <v>1385.1977419354839</v>
      </c>
      <c r="FF20">
        <v>9.779999999999994</v>
      </c>
      <c r="FG20">
        <v>0</v>
      </c>
      <c r="FH20">
        <v>181.80000019073489</v>
      </c>
      <c r="FI20">
        <v>0</v>
      </c>
      <c r="FJ20">
        <v>860.7191764705882</v>
      </c>
      <c r="FK20">
        <v>0.34289216220186308</v>
      </c>
      <c r="FL20">
        <v>5.0490189600784534</v>
      </c>
      <c r="FM20">
        <v>16435.047058823529</v>
      </c>
      <c r="FN20">
        <v>10</v>
      </c>
      <c r="FO20">
        <v>1784568126</v>
      </c>
      <c r="FP20" t="s">
        <v>428</v>
      </c>
      <c r="FQ20">
        <v>1784568115.5</v>
      </c>
      <c r="FR20">
        <v>1784568126</v>
      </c>
      <c r="FS20">
        <v>31</v>
      </c>
      <c r="FT20">
        <v>2.8000000000000001E-2</v>
      </c>
      <c r="FU20">
        <v>1.4999999999999999E-2</v>
      </c>
      <c r="FV20">
        <v>-7.2370000000000001</v>
      </c>
      <c r="FW20">
        <v>-0.85</v>
      </c>
      <c r="FX20">
        <v>480</v>
      </c>
      <c r="FY20">
        <v>20</v>
      </c>
      <c r="FZ20">
        <v>0.17</v>
      </c>
      <c r="GA20">
        <v>0.05</v>
      </c>
      <c r="GB20">
        <v>419.9604333333333</v>
      </c>
      <c r="GC20">
        <v>2.3733036707614341E-2</v>
      </c>
      <c r="GD20">
        <v>6.1142283968535258E-2</v>
      </c>
      <c r="GE20">
        <v>-1</v>
      </c>
      <c r="GF20">
        <v>860.70399999999995</v>
      </c>
      <c r="GG20">
        <v>1.06484339117263</v>
      </c>
      <c r="GH20">
        <v>0.25995734944296622</v>
      </c>
      <c r="GI20">
        <v>1</v>
      </c>
      <c r="GJ20">
        <v>5.9908374999999996</v>
      </c>
      <c r="GK20">
        <v>-0.21636675422139631</v>
      </c>
      <c r="GL20">
        <v>2.5120208772022569E-2</v>
      </c>
      <c r="GM20">
        <v>1</v>
      </c>
      <c r="GN20">
        <v>2</v>
      </c>
      <c r="GO20">
        <v>2</v>
      </c>
      <c r="GP20" t="s">
        <v>424</v>
      </c>
      <c r="GQ20">
        <v>3.1295799999999998</v>
      </c>
      <c r="GR20">
        <v>2.7275700000000001</v>
      </c>
      <c r="GS20">
        <v>8.9693599999999998E-2</v>
      </c>
      <c r="GT20">
        <v>9.8439600000000002E-2</v>
      </c>
      <c r="GU20">
        <v>0.12191299999999999</v>
      </c>
      <c r="GV20">
        <v>0.100911</v>
      </c>
      <c r="GW20">
        <v>22518.799999999999</v>
      </c>
      <c r="GX20">
        <v>29919.599999999999</v>
      </c>
      <c r="GY20">
        <v>26868.2</v>
      </c>
      <c r="GZ20">
        <v>34176.9</v>
      </c>
      <c r="HA20">
        <v>34593.9</v>
      </c>
      <c r="HB20">
        <v>38923.800000000003</v>
      </c>
      <c r="HC20">
        <v>39679.1</v>
      </c>
      <c r="HD20">
        <v>43358.6</v>
      </c>
      <c r="HE20">
        <v>1.8957999999999999</v>
      </c>
      <c r="HF20">
        <v>1.5658000000000001</v>
      </c>
      <c r="HG20">
        <v>-0.11459</v>
      </c>
      <c r="HH20">
        <v>0</v>
      </c>
      <c r="HI20">
        <v>32.686799999999998</v>
      </c>
      <c r="HJ20">
        <v>999.9</v>
      </c>
      <c r="HK20">
        <v>43.1</v>
      </c>
      <c r="HL20">
        <v>46</v>
      </c>
      <c r="HM20">
        <v>44.886000000000003</v>
      </c>
      <c r="HN20">
        <v>61.170999999999999</v>
      </c>
      <c r="HO20">
        <v>5.7692300000000003</v>
      </c>
      <c r="HP20">
        <v>1</v>
      </c>
      <c r="HQ20">
        <v>1.2156100000000001</v>
      </c>
      <c r="HR20">
        <v>7.4643100000000002</v>
      </c>
      <c r="HS20">
        <v>20.1098</v>
      </c>
      <c r="HT20">
        <v>5.2065099999999997</v>
      </c>
      <c r="HU20">
        <v>11.9201</v>
      </c>
      <c r="HV20">
        <v>4.9808000000000003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1.86737</v>
      </c>
      <c r="IC20">
        <v>1.8631</v>
      </c>
      <c r="ID20">
        <v>1.86249</v>
      </c>
      <c r="IE20">
        <v>1.86215</v>
      </c>
      <c r="IF20">
        <v>1.86212</v>
      </c>
      <c r="IG20">
        <v>1.8626100000000001</v>
      </c>
      <c r="IH20">
        <v>1.8635600000000001</v>
      </c>
      <c r="II20">
        <v>1.86148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-7.0190000000000001</v>
      </c>
      <c r="IX20">
        <v>-0.66420000000000001</v>
      </c>
      <c r="IY20">
        <v>-5.027520871621884</v>
      </c>
      <c r="IZ20">
        <v>-5.6215304933332991E-3</v>
      </c>
      <c r="JA20">
        <v>2.3979931213773931E-6</v>
      </c>
      <c r="JB20">
        <v>-3.6297174575716598E-10</v>
      </c>
      <c r="JC20">
        <v>-1.1679048880356711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1.4</v>
      </c>
      <c r="JL20">
        <v>1.2</v>
      </c>
      <c r="JM20">
        <v>1.1975100000000001</v>
      </c>
      <c r="JN20">
        <v>2.5891099999999998</v>
      </c>
      <c r="JO20">
        <v>1.50024</v>
      </c>
      <c r="JP20">
        <v>2.2668499999999998</v>
      </c>
      <c r="JQ20">
        <v>1.4477500000000001</v>
      </c>
      <c r="JR20">
        <v>2.3706100000000001</v>
      </c>
      <c r="JS20">
        <v>48.608800000000002</v>
      </c>
      <c r="JT20">
        <v>15.568</v>
      </c>
      <c r="JU20">
        <v>18</v>
      </c>
      <c r="JV20">
        <v>551.89700000000005</v>
      </c>
      <c r="JW20">
        <v>350.69299999999998</v>
      </c>
      <c r="JX20">
        <v>25.117799999999999</v>
      </c>
      <c r="JY20">
        <v>41.371699999999997</v>
      </c>
      <c r="JZ20">
        <v>29.999600000000001</v>
      </c>
      <c r="KA20">
        <v>41.532899999999998</v>
      </c>
      <c r="KB20">
        <v>41.557299999999998</v>
      </c>
      <c r="KC20">
        <v>23.9527</v>
      </c>
      <c r="KD20">
        <v>51.992800000000003</v>
      </c>
      <c r="KE20">
        <v>0</v>
      </c>
      <c r="KF20">
        <v>25.151199999999999</v>
      </c>
      <c r="KG20">
        <v>478.68700000000001</v>
      </c>
      <c r="KH20">
        <v>21.3337</v>
      </c>
      <c r="KI20">
        <v>99.165599999999998</v>
      </c>
      <c r="KJ20">
        <v>97.556200000000004</v>
      </c>
    </row>
    <row r="21" spans="1:296" x14ac:dyDescent="0.3">
      <c r="A21">
        <v>5</v>
      </c>
      <c r="B21">
        <v>1784568379</v>
      </c>
      <c r="C21">
        <v>730</v>
      </c>
      <c r="D21" t="s">
        <v>429</v>
      </c>
      <c r="E21" t="s">
        <v>430</v>
      </c>
      <c r="F21">
        <v>15</v>
      </c>
      <c r="H21">
        <v>1784568371</v>
      </c>
      <c r="I21">
        <f t="shared" si="0"/>
        <v>4.3398106482252013E-3</v>
      </c>
      <c r="J21">
        <f t="shared" si="1"/>
        <v>4.3398106482252015</v>
      </c>
      <c r="K21">
        <f t="shared" si="2"/>
        <v>41.177117922776773</v>
      </c>
      <c r="L21">
        <f t="shared" si="3"/>
        <v>419.79790322580641</v>
      </c>
      <c r="M21">
        <f t="shared" si="4"/>
        <v>122.27858168842951</v>
      </c>
      <c r="N21">
        <f t="shared" si="5"/>
        <v>11.920810829762816</v>
      </c>
      <c r="O21">
        <f t="shared" si="6"/>
        <v>40.925657805200451</v>
      </c>
      <c r="P21">
        <f t="shared" si="7"/>
        <v>0.2366293190017448</v>
      </c>
      <c r="Q21">
        <f t="shared" si="8"/>
        <v>2.8845418358217358</v>
      </c>
      <c r="R21">
        <f t="shared" si="9"/>
        <v>0.22634988776383219</v>
      </c>
      <c r="S21">
        <f t="shared" si="10"/>
        <v>0.14235503211897324</v>
      </c>
      <c r="T21">
        <f t="shared" si="11"/>
        <v>160.17781253535799</v>
      </c>
      <c r="U21">
        <f t="shared" si="12"/>
        <v>30.504055167402743</v>
      </c>
      <c r="V21">
        <f t="shared" si="13"/>
        <v>30.84741935483871</v>
      </c>
      <c r="W21">
        <f t="shared" si="14"/>
        <v>4.4722787162398792</v>
      </c>
      <c r="X21">
        <f t="shared" si="15"/>
        <v>60.275569867033937</v>
      </c>
      <c r="Y21">
        <f t="shared" si="16"/>
        <v>2.6716061203990962</v>
      </c>
      <c r="Z21">
        <f t="shared" si="17"/>
        <v>4.4323199702509282</v>
      </c>
      <c r="AA21">
        <f t="shared" si="18"/>
        <v>1.800672595840783</v>
      </c>
      <c r="AB21">
        <f t="shared" si="19"/>
        <v>-191.38564958673138</v>
      </c>
      <c r="AC21">
        <f t="shared" si="20"/>
        <v>-24.43686379292021</v>
      </c>
      <c r="AD21">
        <f t="shared" si="21"/>
        <v>-1.898058414235027</v>
      </c>
      <c r="AE21">
        <f t="shared" si="22"/>
        <v>-57.542759258528633</v>
      </c>
      <c r="AF21">
        <f t="shared" si="23"/>
        <v>41.177117922776773</v>
      </c>
      <c r="AG21">
        <f t="shared" si="24"/>
        <v>4.3398106482252015</v>
      </c>
      <c r="AH21">
        <f t="shared" si="25"/>
        <v>41.189432266382696</v>
      </c>
      <c r="AI21">
        <v>482.38885754199538</v>
      </c>
      <c r="AJ21">
        <v>431.76850909090871</v>
      </c>
      <c r="AK21">
        <v>1.243555633515608E-2</v>
      </c>
      <c r="AL21">
        <v>67.035662563614935</v>
      </c>
      <c r="AM21">
        <f t="shared" si="26"/>
        <v>4.3443342138480565</v>
      </c>
      <c r="AN21">
        <v>22.34408726471861</v>
      </c>
      <c r="AO21">
        <v>27.413599393939389</v>
      </c>
      <c r="AP21">
        <v>1.1694083694064729E-4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50905.570231160324</v>
      </c>
      <c r="AW21" t="s">
        <v>406</v>
      </c>
      <c r="AX21">
        <v>5079.1099999999997</v>
      </c>
      <c r="AY21">
        <v>610.81764705882347</v>
      </c>
      <c r="AZ21">
        <v>2513.0700000000002</v>
      </c>
      <c r="BA21">
        <f t="shared" si="30"/>
        <v>0.75694363982745272</v>
      </c>
      <c r="BB21">
        <v>-3.1371646480539188</v>
      </c>
      <c r="BC21" t="s">
        <v>431</v>
      </c>
      <c r="BD21">
        <v>5069.03</v>
      </c>
      <c r="BE21">
        <v>869.11458823529404</v>
      </c>
      <c r="BF21">
        <v>1334.14</v>
      </c>
      <c r="BG21">
        <f t="shared" si="31"/>
        <v>0.34855818112394954</v>
      </c>
      <c r="BH21">
        <v>0.5</v>
      </c>
      <c r="BI21">
        <f t="shared" si="32"/>
        <v>840.30473473167467</v>
      </c>
      <c r="BJ21">
        <f t="shared" si="33"/>
        <v>41.177117922776773</v>
      </c>
      <c r="BK21">
        <f t="shared" si="34"/>
        <v>146.44754496395771</v>
      </c>
      <c r="BL21">
        <f t="shared" si="35"/>
        <v>5.2735966773983595E-2</v>
      </c>
      <c r="BM21">
        <f t="shared" si="36"/>
        <v>0.88366288395520709</v>
      </c>
      <c r="BN21">
        <f t="shared" si="37"/>
        <v>502.82166753545982</v>
      </c>
      <c r="BO21" t="s">
        <v>408</v>
      </c>
      <c r="BP21">
        <v>0</v>
      </c>
      <c r="BQ21">
        <f t="shared" si="38"/>
        <v>502.82166753545982</v>
      </c>
      <c r="BR21">
        <f t="shared" si="39"/>
        <v>0.62311176672953383</v>
      </c>
      <c r="BS21">
        <f t="shared" si="40"/>
        <v>0.5593830829955162</v>
      </c>
      <c r="BT21">
        <f t="shared" si="41"/>
        <v>0.58645988207568667</v>
      </c>
      <c r="BU21">
        <f t="shared" si="42"/>
        <v>0.6429020337527489</v>
      </c>
      <c r="BV21">
        <f t="shared" si="43"/>
        <v>0.61975478604465473</v>
      </c>
      <c r="BW21">
        <f t="shared" si="44"/>
        <v>0.32362813648547822</v>
      </c>
      <c r="BX21">
        <f t="shared" si="45"/>
        <v>0.67637186351452172</v>
      </c>
      <c r="DG21">
        <f t="shared" si="46"/>
        <v>1000.007064516129</v>
      </c>
      <c r="DH21">
        <f t="shared" si="47"/>
        <v>840.30473473167467</v>
      </c>
      <c r="DI21">
        <f t="shared" si="48"/>
        <v>0.84029879842725996</v>
      </c>
      <c r="DJ21">
        <f t="shared" si="49"/>
        <v>0.16017668096461182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1784568371</v>
      </c>
      <c r="DQ21">
        <v>419.79790322580641</v>
      </c>
      <c r="DR21">
        <v>471.39596774193552</v>
      </c>
      <c r="DS21">
        <v>27.404193548387092</v>
      </c>
      <c r="DT21">
        <v>22.33920322580645</v>
      </c>
      <c r="DU21">
        <v>426.71580645161288</v>
      </c>
      <c r="DV21">
        <v>28.115835483870971</v>
      </c>
      <c r="DW21">
        <v>500.00667741935479</v>
      </c>
      <c r="DX21">
        <v>97.437496774193548</v>
      </c>
      <c r="DY21">
        <v>5.1455625806451612E-2</v>
      </c>
      <c r="DZ21">
        <v>30.690280645161291</v>
      </c>
      <c r="EA21">
        <v>30.84741935483871</v>
      </c>
      <c r="EB21">
        <v>999.90000000000032</v>
      </c>
      <c r="EC21">
        <v>0</v>
      </c>
      <c r="ED21">
        <v>0</v>
      </c>
      <c r="EE21">
        <v>10001.93548387097</v>
      </c>
      <c r="EF21">
        <v>0</v>
      </c>
      <c r="EG21">
        <v>1997.7080645161291</v>
      </c>
      <c r="EH21">
        <v>-51.598116129032263</v>
      </c>
      <c r="EI21">
        <v>431.62625806451621</v>
      </c>
      <c r="EJ21">
        <v>482.16712903225812</v>
      </c>
      <c r="EK21">
        <v>5.0649948387096773</v>
      </c>
      <c r="EL21">
        <v>471.39596774193552</v>
      </c>
      <c r="EM21">
        <v>22.33920322580645</v>
      </c>
      <c r="EN21">
        <v>2.670197096774193</v>
      </c>
      <c r="EO21">
        <v>2.176675806451613</v>
      </c>
      <c r="EP21">
        <v>22.10285161290323</v>
      </c>
      <c r="EQ21">
        <v>18.791664516129028</v>
      </c>
      <c r="ER21">
        <v>1000.007064516129</v>
      </c>
      <c r="ES21">
        <v>0.98998677419354875</v>
      </c>
      <c r="ET21">
        <v>1.001292580645162E-2</v>
      </c>
      <c r="EU21">
        <v>0</v>
      </c>
      <c r="EV21">
        <v>869.20351612903232</v>
      </c>
      <c r="EW21">
        <v>5.0010700000000003</v>
      </c>
      <c r="EX21">
        <v>12813.016129032259</v>
      </c>
      <c r="EY21">
        <v>9080.2990322580627</v>
      </c>
      <c r="EZ21">
        <v>47.193096774193521</v>
      </c>
      <c r="FA21">
        <v>50.691064516129003</v>
      </c>
      <c r="FB21">
        <v>48.814032258064493</v>
      </c>
      <c r="FC21">
        <v>49.870935483870959</v>
      </c>
      <c r="FD21">
        <v>48.686999999999969</v>
      </c>
      <c r="FE21">
        <v>985.04419354838717</v>
      </c>
      <c r="FF21">
        <v>9.9599999999999973</v>
      </c>
      <c r="FG21">
        <v>0</v>
      </c>
      <c r="FH21">
        <v>181.60000014305109</v>
      </c>
      <c r="FI21">
        <v>0</v>
      </c>
      <c r="FJ21">
        <v>869.11458823529404</v>
      </c>
      <c r="FK21">
        <v>1.058333295531116</v>
      </c>
      <c r="FL21">
        <v>-150.19607851056159</v>
      </c>
      <c r="FM21">
        <v>12808.694117647059</v>
      </c>
      <c r="FN21">
        <v>10</v>
      </c>
      <c r="FO21">
        <v>1784568330.5</v>
      </c>
      <c r="FP21" t="s">
        <v>432</v>
      </c>
      <c r="FQ21">
        <v>1784568329.5</v>
      </c>
      <c r="FR21">
        <v>1784568330.5</v>
      </c>
      <c r="FS21">
        <v>32</v>
      </c>
      <c r="FT21">
        <v>0.1</v>
      </c>
      <c r="FU21">
        <v>-5.3999999999999999E-2</v>
      </c>
      <c r="FV21">
        <v>-7.1109999999999998</v>
      </c>
      <c r="FW21">
        <v>-0.85799999999999998</v>
      </c>
      <c r="FX21">
        <v>472</v>
      </c>
      <c r="FY21">
        <v>22</v>
      </c>
      <c r="FZ21">
        <v>0.16</v>
      </c>
      <c r="GA21">
        <v>7.0000000000000007E-2</v>
      </c>
      <c r="GB21">
        <v>419.79122580645151</v>
      </c>
      <c r="GC21">
        <v>0.86796774193431803</v>
      </c>
      <c r="GD21">
        <v>9.0569420773175063E-2</v>
      </c>
      <c r="GE21">
        <v>-1</v>
      </c>
      <c r="GF21">
        <v>869.10029411764708</v>
      </c>
      <c r="GG21">
        <v>0.85390374627266918</v>
      </c>
      <c r="GH21">
        <v>0.33338826767632329</v>
      </c>
      <c r="GI21">
        <v>1</v>
      </c>
      <c r="GJ21">
        <v>5.0587243902439027</v>
      </c>
      <c r="GK21">
        <v>6.4400278745639819E-2</v>
      </c>
      <c r="GL21">
        <v>8.4472241215622773E-3</v>
      </c>
      <c r="GM21">
        <v>1</v>
      </c>
      <c r="GN21">
        <v>2</v>
      </c>
      <c r="GO21">
        <v>2</v>
      </c>
      <c r="GP21" t="s">
        <v>424</v>
      </c>
      <c r="GQ21">
        <v>3.1314299999999999</v>
      </c>
      <c r="GR21">
        <v>2.7285499999999998</v>
      </c>
      <c r="GS21">
        <v>8.9657299999999995E-2</v>
      </c>
      <c r="GT21">
        <v>9.7351699999999999E-2</v>
      </c>
      <c r="GU21">
        <v>0.122596</v>
      </c>
      <c r="GV21">
        <v>0.104336</v>
      </c>
      <c r="GW21">
        <v>22518.7</v>
      </c>
      <c r="GX21">
        <v>29954.400000000001</v>
      </c>
      <c r="GY21">
        <v>26866.799999999999</v>
      </c>
      <c r="GZ21">
        <v>34175.1</v>
      </c>
      <c r="HA21">
        <v>34566.1</v>
      </c>
      <c r="HB21">
        <v>38773.699999999997</v>
      </c>
      <c r="HC21">
        <v>39677.699999999997</v>
      </c>
      <c r="HD21">
        <v>43355.6</v>
      </c>
      <c r="HE21">
        <v>1.8952</v>
      </c>
      <c r="HF21">
        <v>1.5680000000000001</v>
      </c>
      <c r="HG21">
        <v>-0.11903</v>
      </c>
      <c r="HH21">
        <v>0</v>
      </c>
      <c r="HI21">
        <v>32.7881</v>
      </c>
      <c r="HJ21">
        <v>999.9</v>
      </c>
      <c r="HK21">
        <v>42.9</v>
      </c>
      <c r="HL21">
        <v>46</v>
      </c>
      <c r="HM21">
        <v>44.677199999999999</v>
      </c>
      <c r="HN21">
        <v>61.231099999999998</v>
      </c>
      <c r="HO21">
        <v>5.5929500000000001</v>
      </c>
      <c r="HP21">
        <v>1</v>
      </c>
      <c r="HQ21">
        <v>1.2112799999999999</v>
      </c>
      <c r="HR21">
        <v>7.2522700000000002</v>
      </c>
      <c r="HS21">
        <v>20.120899999999999</v>
      </c>
      <c r="HT21">
        <v>5.2053099999999999</v>
      </c>
      <c r="HU21">
        <v>11.9201</v>
      </c>
      <c r="HV21">
        <v>4.9820000000000002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1.8631</v>
      </c>
      <c r="ID21">
        <v>1.8625499999999999</v>
      </c>
      <c r="IE21">
        <v>1.86209</v>
      </c>
      <c r="IF21">
        <v>1.86209</v>
      </c>
      <c r="IG21">
        <v>1.8626100000000001</v>
      </c>
      <c r="IH21">
        <v>1.8635600000000001</v>
      </c>
      <c r="II21">
        <v>1.86151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-6.9180000000000001</v>
      </c>
      <c r="IX21">
        <v>-0.71140000000000003</v>
      </c>
      <c r="IY21">
        <v>-4.9275840877970474</v>
      </c>
      <c r="IZ21">
        <v>-5.6215304933332991E-3</v>
      </c>
      <c r="JA21">
        <v>2.3979931213773931E-6</v>
      </c>
      <c r="JB21">
        <v>-3.6297174575716598E-10</v>
      </c>
      <c r="JC21">
        <v>-1.221686552937493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0.8</v>
      </c>
      <c r="JL21">
        <v>0.8</v>
      </c>
      <c r="JM21">
        <v>1.18408</v>
      </c>
      <c r="JN21">
        <v>2.5793499999999998</v>
      </c>
      <c r="JO21">
        <v>1.50024</v>
      </c>
      <c r="JP21">
        <v>2.2668499999999998</v>
      </c>
      <c r="JQ21">
        <v>1.4477500000000001</v>
      </c>
      <c r="JR21">
        <v>2.49512</v>
      </c>
      <c r="JS21">
        <v>48.5779</v>
      </c>
      <c r="JT21">
        <v>15.541700000000001</v>
      </c>
      <c r="JU21">
        <v>18</v>
      </c>
      <c r="JV21">
        <v>551.43799999999999</v>
      </c>
      <c r="JW21">
        <v>351.916</v>
      </c>
      <c r="JX21">
        <v>25.491299999999999</v>
      </c>
      <c r="JY21">
        <v>41.342500000000001</v>
      </c>
      <c r="JZ21">
        <v>29.999700000000001</v>
      </c>
      <c r="KA21">
        <v>41.528799999999997</v>
      </c>
      <c r="KB21">
        <v>41.557299999999998</v>
      </c>
      <c r="KC21">
        <v>23.678100000000001</v>
      </c>
      <c r="KD21">
        <v>50.435600000000001</v>
      </c>
      <c r="KE21">
        <v>0</v>
      </c>
      <c r="KF21">
        <v>25.496200000000002</v>
      </c>
      <c r="KG21">
        <v>471.529</v>
      </c>
      <c r="KH21">
        <v>22.2028</v>
      </c>
      <c r="KI21">
        <v>99.1614</v>
      </c>
      <c r="KJ21">
        <v>97.55</v>
      </c>
    </row>
    <row r="22" spans="1:296" x14ac:dyDescent="0.3">
      <c r="A22">
        <v>6</v>
      </c>
      <c r="B22">
        <v>1784568561.5</v>
      </c>
      <c r="C22">
        <v>912.5</v>
      </c>
      <c r="D22" t="s">
        <v>433</v>
      </c>
      <c r="E22" t="s">
        <v>434</v>
      </c>
      <c r="F22">
        <v>15</v>
      </c>
      <c r="H22">
        <v>1784568553.75</v>
      </c>
      <c r="I22">
        <f t="shared" si="0"/>
        <v>3.9589109768635644E-3</v>
      </c>
      <c r="J22">
        <f t="shared" si="1"/>
        <v>3.9589109768635646</v>
      </c>
      <c r="K22">
        <f t="shared" si="2"/>
        <v>37.075334332145687</v>
      </c>
      <c r="L22">
        <f t="shared" si="3"/>
        <v>420.02696666666662</v>
      </c>
      <c r="M22">
        <f t="shared" si="4"/>
        <v>126.93971435323331</v>
      </c>
      <c r="N22">
        <f t="shared" si="5"/>
        <v>12.374255055503347</v>
      </c>
      <c r="O22">
        <f t="shared" si="6"/>
        <v>40.944796844742129</v>
      </c>
      <c r="P22">
        <f t="shared" si="7"/>
        <v>0.21570169932506786</v>
      </c>
      <c r="Q22">
        <f t="shared" si="8"/>
        <v>2.8834415079224929</v>
      </c>
      <c r="R22">
        <f t="shared" si="9"/>
        <v>0.20712153781691114</v>
      </c>
      <c r="S22">
        <f t="shared" si="10"/>
        <v>0.13019341588447148</v>
      </c>
      <c r="T22">
        <f t="shared" si="11"/>
        <v>128.28018484351216</v>
      </c>
      <c r="U22">
        <f t="shared" si="12"/>
        <v>30.393213840921959</v>
      </c>
      <c r="V22">
        <f t="shared" si="13"/>
        <v>30.82433</v>
      </c>
      <c r="W22">
        <f t="shared" si="14"/>
        <v>4.466387737558307</v>
      </c>
      <c r="X22">
        <f t="shared" si="15"/>
        <v>60.340887358863569</v>
      </c>
      <c r="Y22">
        <f t="shared" si="16"/>
        <v>2.6713490927343182</v>
      </c>
      <c r="Z22">
        <f t="shared" si="17"/>
        <v>4.4270961360695322</v>
      </c>
      <c r="AA22">
        <f t="shared" si="18"/>
        <v>1.7950386448239888</v>
      </c>
      <c r="AB22">
        <f t="shared" si="19"/>
        <v>-174.58797407968319</v>
      </c>
      <c r="AC22">
        <f t="shared" si="20"/>
        <v>-24.04584878126073</v>
      </c>
      <c r="AD22">
        <f t="shared" si="21"/>
        <v>-1.8679968663558606</v>
      </c>
      <c r="AE22">
        <f t="shared" si="22"/>
        <v>-72.22163488378763</v>
      </c>
      <c r="AF22">
        <f t="shared" si="23"/>
        <v>37.075334332145687</v>
      </c>
      <c r="AG22">
        <f t="shared" si="24"/>
        <v>3.9589109768635646</v>
      </c>
      <c r="AH22">
        <f t="shared" si="25"/>
        <v>37.198009278136524</v>
      </c>
      <c r="AI22">
        <v>477.49791765536293</v>
      </c>
      <c r="AJ22">
        <v>431.84775151515169</v>
      </c>
      <c r="AK22">
        <v>-5.8348159592404138E-3</v>
      </c>
      <c r="AL22">
        <v>67.037708243776265</v>
      </c>
      <c r="AM22">
        <f t="shared" si="26"/>
        <v>3.9738955060995891</v>
      </c>
      <c r="AN22">
        <v>22.792013269090919</v>
      </c>
      <c r="AO22">
        <v>27.42726424242424</v>
      </c>
      <c r="AP22">
        <v>4.6855883510613268E-4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50877.992498345455</v>
      </c>
      <c r="AW22" t="s">
        <v>406</v>
      </c>
      <c r="AX22">
        <v>5079.1099999999997</v>
      </c>
      <c r="AY22">
        <v>610.81764705882347</v>
      </c>
      <c r="AZ22">
        <v>2513.0700000000002</v>
      </c>
      <c r="BA22">
        <f t="shared" si="30"/>
        <v>0.75694363982745272</v>
      </c>
      <c r="BB22">
        <v>-3.1371646480539188</v>
      </c>
      <c r="BC22" t="s">
        <v>435</v>
      </c>
      <c r="BD22">
        <v>5071.41</v>
      </c>
      <c r="BE22">
        <v>874.65870588235282</v>
      </c>
      <c r="BF22">
        <v>1485.37</v>
      </c>
      <c r="BG22">
        <f t="shared" si="31"/>
        <v>0.41115095506011778</v>
      </c>
      <c r="BH22">
        <v>0.5</v>
      </c>
      <c r="BI22">
        <f t="shared" si="32"/>
        <v>672.32357312099077</v>
      </c>
      <c r="BJ22">
        <f t="shared" si="33"/>
        <v>37.075334332145687</v>
      </c>
      <c r="BK22">
        <f t="shared" si="34"/>
        <v>138.21323959906314</v>
      </c>
      <c r="BL22">
        <f t="shared" si="35"/>
        <v>5.9811228681941511E-2</v>
      </c>
      <c r="BM22">
        <f t="shared" si="36"/>
        <v>0.6918814840746752</v>
      </c>
      <c r="BN22">
        <f t="shared" si="37"/>
        <v>522.8859126157904</v>
      </c>
      <c r="BO22" t="s">
        <v>408</v>
      </c>
      <c r="BP22">
        <v>0</v>
      </c>
      <c r="BQ22">
        <f t="shared" si="38"/>
        <v>522.8859126157904</v>
      </c>
      <c r="BR22">
        <f t="shared" si="39"/>
        <v>0.64797598402028422</v>
      </c>
      <c r="BS22">
        <f t="shared" si="40"/>
        <v>0.63451573082876345</v>
      </c>
      <c r="BT22">
        <f t="shared" si="41"/>
        <v>0.51638439203418285</v>
      </c>
      <c r="BU22">
        <f t="shared" si="42"/>
        <v>0.69831301929928524</v>
      </c>
      <c r="BV22">
        <f t="shared" si="43"/>
        <v>0.54025429297591188</v>
      </c>
      <c r="BW22">
        <f t="shared" si="44"/>
        <v>0.37932434074245597</v>
      </c>
      <c r="BX22">
        <f t="shared" si="45"/>
        <v>0.62067565925754398</v>
      </c>
      <c r="DG22">
        <f t="shared" si="46"/>
        <v>800.0166333333334</v>
      </c>
      <c r="DH22">
        <f t="shared" si="47"/>
        <v>672.32357312099077</v>
      </c>
      <c r="DI22">
        <f t="shared" si="48"/>
        <v>0.84038699335500155</v>
      </c>
      <c r="DJ22">
        <f t="shared" si="49"/>
        <v>0.16034689717515307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1784568553.75</v>
      </c>
      <c r="DQ22">
        <v>420.02696666666662</v>
      </c>
      <c r="DR22">
        <v>466.51486666666659</v>
      </c>
      <c r="DS22">
        <v>27.403693333333329</v>
      </c>
      <c r="DT22">
        <v>22.782979999999998</v>
      </c>
      <c r="DU22">
        <v>426.84666666666658</v>
      </c>
      <c r="DV22">
        <v>28.111486666666671</v>
      </c>
      <c r="DW22">
        <v>499.97763333333342</v>
      </c>
      <c r="DX22">
        <v>97.430436666666665</v>
      </c>
      <c r="DY22">
        <v>5.0915946666666663E-2</v>
      </c>
      <c r="DZ22">
        <v>30.669646666666669</v>
      </c>
      <c r="EA22">
        <v>30.82433</v>
      </c>
      <c r="EB22">
        <v>999.9000000000002</v>
      </c>
      <c r="EC22">
        <v>0</v>
      </c>
      <c r="ED22">
        <v>0</v>
      </c>
      <c r="EE22">
        <v>9996.3333333333339</v>
      </c>
      <c r="EF22">
        <v>0</v>
      </c>
      <c r="EG22">
        <v>1987.299666666667</v>
      </c>
      <c r="EH22">
        <v>-46.48777333333333</v>
      </c>
      <c r="EI22">
        <v>431.86169999999998</v>
      </c>
      <c r="EJ22">
        <v>477.39120000000003</v>
      </c>
      <c r="EK22">
        <v>4.6207203333333338</v>
      </c>
      <c r="EL22">
        <v>466.51486666666659</v>
      </c>
      <c r="EM22">
        <v>22.782979999999998</v>
      </c>
      <c r="EN22">
        <v>2.669954333333334</v>
      </c>
      <c r="EO22">
        <v>2.2197556666666669</v>
      </c>
      <c r="EP22">
        <v>22.101363333333332</v>
      </c>
      <c r="EQ22">
        <v>19.105599999999999</v>
      </c>
      <c r="ER22">
        <v>800.0166333333334</v>
      </c>
      <c r="ES22">
        <v>0.98701553333333358</v>
      </c>
      <c r="ET22">
        <v>1.298431333333333E-2</v>
      </c>
      <c r="EU22">
        <v>0</v>
      </c>
      <c r="EV22">
        <v>874.54936666666651</v>
      </c>
      <c r="EW22">
        <v>5.0010700000000003</v>
      </c>
      <c r="EX22">
        <v>10848.273333333331</v>
      </c>
      <c r="EY22">
        <v>7246.815333333333</v>
      </c>
      <c r="EZ22">
        <v>46.432866666666648</v>
      </c>
      <c r="FA22">
        <v>50.172533333333327</v>
      </c>
      <c r="FB22">
        <v>48.25</v>
      </c>
      <c r="FC22">
        <v>49.303733333333319</v>
      </c>
      <c r="FD22">
        <v>48.053733333333312</v>
      </c>
      <c r="FE22">
        <v>784.6926666666667</v>
      </c>
      <c r="FF22">
        <v>10.32</v>
      </c>
      <c r="FG22">
        <v>0</v>
      </c>
      <c r="FH22">
        <v>181.80000019073489</v>
      </c>
      <c r="FI22">
        <v>0</v>
      </c>
      <c r="FJ22">
        <v>874.65870588235282</v>
      </c>
      <c r="FK22">
        <v>-1.2965686686732829</v>
      </c>
      <c r="FL22">
        <v>-378.4558808593693</v>
      </c>
      <c r="FM22">
        <v>10845.74705882353</v>
      </c>
      <c r="FN22">
        <v>10</v>
      </c>
      <c r="FO22">
        <v>1784568493.5</v>
      </c>
      <c r="FP22" t="s">
        <v>436</v>
      </c>
      <c r="FQ22">
        <v>1784568483</v>
      </c>
      <c r="FR22">
        <v>1784568493.5</v>
      </c>
      <c r="FS22">
        <v>33</v>
      </c>
      <c r="FT22">
        <v>9.9000000000000005E-2</v>
      </c>
      <c r="FU22">
        <v>4.0000000000000001E-3</v>
      </c>
      <c r="FV22">
        <v>-6.9960000000000004</v>
      </c>
      <c r="FW22">
        <v>-0.85099999999999998</v>
      </c>
      <c r="FX22">
        <v>468</v>
      </c>
      <c r="FY22">
        <v>22</v>
      </c>
      <c r="FZ22">
        <v>0.15</v>
      </c>
      <c r="GA22">
        <v>0.05</v>
      </c>
      <c r="GB22">
        <v>420.02822580645159</v>
      </c>
      <c r="GC22">
        <v>-6.6580645161407007E-2</v>
      </c>
      <c r="GD22">
        <v>5.3290869324698072E-2</v>
      </c>
      <c r="GE22">
        <v>-1</v>
      </c>
      <c r="GF22">
        <v>874.52238235294124</v>
      </c>
      <c r="GG22">
        <v>0.71234529623946208</v>
      </c>
      <c r="GH22">
        <v>0.22990356222528879</v>
      </c>
      <c r="GI22">
        <v>1</v>
      </c>
      <c r="GJ22">
        <v>4.6108724390243907</v>
      </c>
      <c r="GK22">
        <v>0.1880951916376381</v>
      </c>
      <c r="GL22">
        <v>2.0758964067918051E-2</v>
      </c>
      <c r="GM22">
        <v>1</v>
      </c>
      <c r="GN22">
        <v>2</v>
      </c>
      <c r="GO22">
        <v>2</v>
      </c>
      <c r="GP22" t="s">
        <v>424</v>
      </c>
      <c r="GQ22">
        <v>3.1318100000000002</v>
      </c>
      <c r="GR22">
        <v>2.7267899999999998</v>
      </c>
      <c r="GS22">
        <v>8.9679099999999998E-2</v>
      </c>
      <c r="GT22">
        <v>9.6606899999999996E-2</v>
      </c>
      <c r="GU22">
        <v>0.122642</v>
      </c>
      <c r="GV22">
        <v>0.10562000000000001</v>
      </c>
      <c r="GW22">
        <v>22522.5</v>
      </c>
      <c r="GX22">
        <v>29988</v>
      </c>
      <c r="GY22">
        <v>26871.4</v>
      </c>
      <c r="GZ22">
        <v>34184.300000000003</v>
      </c>
      <c r="HA22">
        <v>34569.599999999999</v>
      </c>
      <c r="HB22">
        <v>38727.9</v>
      </c>
      <c r="HC22">
        <v>39684.5</v>
      </c>
      <c r="HD22">
        <v>43366.400000000001</v>
      </c>
      <c r="HE22">
        <v>1.8956</v>
      </c>
      <c r="HF22">
        <v>1.5696000000000001</v>
      </c>
      <c r="HG22">
        <v>-0.11935800000000001</v>
      </c>
      <c r="HH22">
        <v>0</v>
      </c>
      <c r="HI22">
        <v>32.753700000000002</v>
      </c>
      <c r="HJ22">
        <v>999.9</v>
      </c>
      <c r="HK22">
        <v>42.9</v>
      </c>
      <c r="HL22">
        <v>46</v>
      </c>
      <c r="HM22">
        <v>44.678699999999999</v>
      </c>
      <c r="HN22">
        <v>61.181100000000001</v>
      </c>
      <c r="HO22">
        <v>5.3966399999999997</v>
      </c>
      <c r="HP22">
        <v>1</v>
      </c>
      <c r="HQ22">
        <v>1.2003299999999999</v>
      </c>
      <c r="HR22">
        <v>7.0426399999999996</v>
      </c>
      <c r="HS22">
        <v>20.1311</v>
      </c>
      <c r="HT22">
        <v>5.2053099999999999</v>
      </c>
      <c r="HU22">
        <v>11.9177</v>
      </c>
      <c r="HV22">
        <v>4.9816000000000003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1.8631</v>
      </c>
      <c r="ID22">
        <v>1.86249</v>
      </c>
      <c r="IE22">
        <v>1.8621799999999999</v>
      </c>
      <c r="IF22">
        <v>1.86212</v>
      </c>
      <c r="IG22">
        <v>1.8626100000000001</v>
      </c>
      <c r="IH22">
        <v>1.8635600000000001</v>
      </c>
      <c r="II22">
        <v>1.86154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-6.819</v>
      </c>
      <c r="IX22">
        <v>-0.70709999999999995</v>
      </c>
      <c r="IY22">
        <v>-4.8287788987302447</v>
      </c>
      <c r="IZ22">
        <v>-5.6215304933332991E-3</v>
      </c>
      <c r="JA22">
        <v>2.3979931213773931E-6</v>
      </c>
      <c r="JB22">
        <v>-3.6297174575716598E-10</v>
      </c>
      <c r="JC22">
        <v>-1.217701136071619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1.3</v>
      </c>
      <c r="JL22">
        <v>1.1000000000000001</v>
      </c>
      <c r="JM22">
        <v>1.17432</v>
      </c>
      <c r="JN22">
        <v>2.5720200000000002</v>
      </c>
      <c r="JO22">
        <v>1.50024</v>
      </c>
      <c r="JP22">
        <v>2.2668499999999998</v>
      </c>
      <c r="JQ22">
        <v>1.4477500000000001</v>
      </c>
      <c r="JR22">
        <v>2.4682599999999999</v>
      </c>
      <c r="JS22">
        <v>48.546999999999997</v>
      </c>
      <c r="JT22">
        <v>15.497999999999999</v>
      </c>
      <c r="JU22">
        <v>18</v>
      </c>
      <c r="JV22">
        <v>551.13699999999994</v>
      </c>
      <c r="JW22">
        <v>352.43700000000001</v>
      </c>
      <c r="JX22">
        <v>25.425599999999999</v>
      </c>
      <c r="JY22">
        <v>41.217599999999997</v>
      </c>
      <c r="JZ22">
        <v>29.999600000000001</v>
      </c>
      <c r="KA22">
        <v>41.451099999999997</v>
      </c>
      <c r="KB22">
        <v>41.4801</v>
      </c>
      <c r="KC22">
        <v>23.484000000000002</v>
      </c>
      <c r="KD22">
        <v>49.790199999999999</v>
      </c>
      <c r="KE22">
        <v>0</v>
      </c>
      <c r="KF22">
        <v>25.452200000000001</v>
      </c>
      <c r="KG22">
        <v>466.536</v>
      </c>
      <c r="KH22">
        <v>22.590599999999998</v>
      </c>
      <c r="KI22">
        <v>99.178399999999996</v>
      </c>
      <c r="KJ22">
        <v>97.575299999999999</v>
      </c>
    </row>
    <row r="23" spans="1:296" x14ac:dyDescent="0.3">
      <c r="A23">
        <v>7</v>
      </c>
      <c r="B23">
        <v>1784568744.0999999</v>
      </c>
      <c r="C23">
        <v>1095.099999904633</v>
      </c>
      <c r="D23" t="s">
        <v>437</v>
      </c>
      <c r="E23" t="s">
        <v>438</v>
      </c>
      <c r="F23">
        <v>15</v>
      </c>
      <c r="H23">
        <v>1784568736.099999</v>
      </c>
      <c r="I23">
        <f t="shared" si="0"/>
        <v>3.3473808810095557E-3</v>
      </c>
      <c r="J23">
        <f t="shared" si="1"/>
        <v>3.3473808810095558</v>
      </c>
      <c r="K23">
        <f t="shared" si="2"/>
        <v>30.935648646557645</v>
      </c>
      <c r="L23">
        <f t="shared" si="3"/>
        <v>420.09438709677403</v>
      </c>
      <c r="M23">
        <f t="shared" si="4"/>
        <v>126.98203061378818</v>
      </c>
      <c r="N23">
        <f t="shared" si="5"/>
        <v>12.377635726547791</v>
      </c>
      <c r="O23">
        <f t="shared" si="6"/>
        <v>40.948906464302652</v>
      </c>
      <c r="P23">
        <f t="shared" si="7"/>
        <v>0.1789873775751239</v>
      </c>
      <c r="Q23">
        <f t="shared" si="8"/>
        <v>2.883436780614379</v>
      </c>
      <c r="R23">
        <f t="shared" si="9"/>
        <v>0.17303612092842036</v>
      </c>
      <c r="S23">
        <f t="shared" si="10"/>
        <v>0.10866578809329133</v>
      </c>
      <c r="T23">
        <f t="shared" si="11"/>
        <v>96.344712602262277</v>
      </c>
      <c r="U23">
        <f t="shared" si="12"/>
        <v>30.346106142040455</v>
      </c>
      <c r="V23">
        <f t="shared" si="13"/>
        <v>30.861412903225801</v>
      </c>
      <c r="W23">
        <f t="shared" si="14"/>
        <v>4.4758522994508061</v>
      </c>
      <c r="X23">
        <f t="shared" si="15"/>
        <v>60.126512956947266</v>
      </c>
      <c r="Y23">
        <f t="shared" si="16"/>
        <v>2.6592043319113885</v>
      </c>
      <c r="Z23">
        <f t="shared" si="17"/>
        <v>4.4226817773641285</v>
      </c>
      <c r="AA23">
        <f t="shared" si="18"/>
        <v>1.8166479675394176</v>
      </c>
      <c r="AB23">
        <f t="shared" si="19"/>
        <v>-147.61949685252139</v>
      </c>
      <c r="AC23">
        <f t="shared" si="20"/>
        <v>-32.52353445084912</v>
      </c>
      <c r="AD23">
        <f t="shared" si="21"/>
        <v>-2.5268333602542961</v>
      </c>
      <c r="AE23">
        <f t="shared" si="22"/>
        <v>-86.32515206136253</v>
      </c>
      <c r="AF23">
        <f t="shared" si="23"/>
        <v>30.935648646557645</v>
      </c>
      <c r="AG23">
        <f t="shared" si="24"/>
        <v>3.3473808810095558</v>
      </c>
      <c r="AH23">
        <f t="shared" si="25"/>
        <v>31.007886711243138</v>
      </c>
      <c r="AI23">
        <v>469.79663637800951</v>
      </c>
      <c r="AJ23">
        <v>431.80690909090868</v>
      </c>
      <c r="AK23">
        <v>-2.1647641897787621E-2</v>
      </c>
      <c r="AL23">
        <v>67.03906282690366</v>
      </c>
      <c r="AM23">
        <f t="shared" si="26"/>
        <v>3.4322180794371979</v>
      </c>
      <c r="AN23">
        <v>23.370504441731601</v>
      </c>
      <c r="AO23">
        <v>27.32033333333333</v>
      </c>
      <c r="AP23">
        <v>9.3217142857154184E-3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50880.653483218906</v>
      </c>
      <c r="AW23" t="s">
        <v>406</v>
      </c>
      <c r="AX23">
        <v>5079.1099999999997</v>
      </c>
      <c r="AY23">
        <v>610.81764705882347</v>
      </c>
      <c r="AZ23">
        <v>2513.0700000000002</v>
      </c>
      <c r="BA23">
        <f t="shared" si="30"/>
        <v>0.75694363982745272</v>
      </c>
      <c r="BB23">
        <v>-3.1371646480539188</v>
      </c>
      <c r="BC23" t="s">
        <v>439</v>
      </c>
      <c r="BD23">
        <v>5074.83</v>
      </c>
      <c r="BE23">
        <v>863.15882352941185</v>
      </c>
      <c r="BF23">
        <v>1652.07</v>
      </c>
      <c r="BG23">
        <f t="shared" si="31"/>
        <v>0.47752890402379322</v>
      </c>
      <c r="BH23">
        <v>0.5</v>
      </c>
      <c r="BI23">
        <f t="shared" si="32"/>
        <v>504.2970968856784</v>
      </c>
      <c r="BJ23">
        <f t="shared" si="33"/>
        <v>30.935648646557645</v>
      </c>
      <c r="BK23">
        <f t="shared" si="34"/>
        <v>120.40821998909934</v>
      </c>
      <c r="BL23">
        <f t="shared" si="35"/>
        <v>6.756496022886227E-2</v>
      </c>
      <c r="BM23">
        <f t="shared" si="36"/>
        <v>0.52116435744248146</v>
      </c>
      <c r="BN23">
        <f t="shared" si="37"/>
        <v>542.14312420471606</v>
      </c>
      <c r="BO23" t="s">
        <v>408</v>
      </c>
      <c r="BP23">
        <v>0</v>
      </c>
      <c r="BQ23">
        <f t="shared" si="38"/>
        <v>542.14312420471606</v>
      </c>
      <c r="BR23">
        <f t="shared" si="39"/>
        <v>0.6718401010824504</v>
      </c>
      <c r="BS23">
        <f t="shared" si="40"/>
        <v>0.71077761398048689</v>
      </c>
      <c r="BT23">
        <f t="shared" si="41"/>
        <v>0.43685030153773724</v>
      </c>
      <c r="BU23">
        <f t="shared" si="42"/>
        <v>0.75765608043255595</v>
      </c>
      <c r="BV23">
        <f t="shared" si="43"/>
        <v>0.45262133526540838</v>
      </c>
      <c r="BW23">
        <f t="shared" si="44"/>
        <v>0.44643371040628005</v>
      </c>
      <c r="BX23">
        <f t="shared" si="45"/>
        <v>0.5535662895937199</v>
      </c>
      <c r="DG23">
        <f t="shared" si="46"/>
        <v>599.99225806451636</v>
      </c>
      <c r="DH23">
        <f t="shared" si="47"/>
        <v>504.2970968856784</v>
      </c>
      <c r="DI23">
        <f t="shared" si="48"/>
        <v>0.8405060067149267</v>
      </c>
      <c r="DJ23">
        <f t="shared" si="49"/>
        <v>0.16057659295980858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1784568736.099999</v>
      </c>
      <c r="DQ23">
        <v>420.09438709677403</v>
      </c>
      <c r="DR23">
        <v>458.90635483870972</v>
      </c>
      <c r="DS23">
        <v>27.280748387096779</v>
      </c>
      <c r="DT23">
        <v>23.3733</v>
      </c>
      <c r="DU23">
        <v>426.88916129032248</v>
      </c>
      <c r="DV23">
        <v>28.003351612903231</v>
      </c>
      <c r="DW23">
        <v>499.9777096774194</v>
      </c>
      <c r="DX23">
        <v>97.424303225806469</v>
      </c>
      <c r="DY23">
        <v>5.1187335483870972E-2</v>
      </c>
      <c r="DZ23">
        <v>30.6521935483871</v>
      </c>
      <c r="EA23">
        <v>30.861412903225801</v>
      </c>
      <c r="EB23">
        <v>999.90000000000032</v>
      </c>
      <c r="EC23">
        <v>0</v>
      </c>
      <c r="ED23">
        <v>0</v>
      </c>
      <c r="EE23">
        <v>9996.9354838709678</v>
      </c>
      <c r="EF23">
        <v>0</v>
      </c>
      <c r="EG23">
        <v>1995.3329032258059</v>
      </c>
      <c r="EH23">
        <v>-38.81196774193549</v>
      </c>
      <c r="EI23">
        <v>431.87625806451621</v>
      </c>
      <c r="EJ23">
        <v>469.88922580645158</v>
      </c>
      <c r="EK23">
        <v>3.90744064516129</v>
      </c>
      <c r="EL23">
        <v>458.90635483870972</v>
      </c>
      <c r="EM23">
        <v>23.3733</v>
      </c>
      <c r="EN23">
        <v>2.657807096774194</v>
      </c>
      <c r="EO23">
        <v>2.277127419354839</v>
      </c>
      <c r="EP23">
        <v>22.026548387096771</v>
      </c>
      <c r="EQ23">
        <v>19.5155064516129</v>
      </c>
      <c r="ER23">
        <v>599.99225806451636</v>
      </c>
      <c r="ES23">
        <v>0.98299270967741914</v>
      </c>
      <c r="ET23">
        <v>1.7007232258064518E-2</v>
      </c>
      <c r="EU23">
        <v>0</v>
      </c>
      <c r="EV23">
        <v>863.1794193548385</v>
      </c>
      <c r="EW23">
        <v>5.0010700000000003</v>
      </c>
      <c r="EX23">
        <v>9030.0006451612917</v>
      </c>
      <c r="EY23">
        <v>5415.0254838709661</v>
      </c>
      <c r="EZ23">
        <v>45.686999999999969</v>
      </c>
      <c r="FA23">
        <v>49.646999999999998</v>
      </c>
      <c r="FB23">
        <v>47.639000000000003</v>
      </c>
      <c r="FC23">
        <v>48.870935483870973</v>
      </c>
      <c r="FD23">
        <v>47.443096774193521</v>
      </c>
      <c r="FE23">
        <v>584.8709677419356</v>
      </c>
      <c r="FF23">
        <v>10.119999999999999</v>
      </c>
      <c r="FG23">
        <v>0</v>
      </c>
      <c r="FH23">
        <v>182.20000004768369</v>
      </c>
      <c r="FI23">
        <v>0</v>
      </c>
      <c r="FJ23">
        <v>863.15882352941185</v>
      </c>
      <c r="FK23">
        <v>0.11151962636062519</v>
      </c>
      <c r="FL23">
        <v>240.75000304785101</v>
      </c>
      <c r="FM23">
        <v>9035.17</v>
      </c>
      <c r="FN23">
        <v>10</v>
      </c>
      <c r="FO23">
        <v>1784568661</v>
      </c>
      <c r="FP23" t="s">
        <v>440</v>
      </c>
      <c r="FQ23">
        <v>1784568654</v>
      </c>
      <c r="FR23">
        <v>1784568661</v>
      </c>
      <c r="FS23">
        <v>34</v>
      </c>
      <c r="FT23">
        <v>2.5000000000000001E-2</v>
      </c>
      <c r="FU23">
        <v>-1.2E-2</v>
      </c>
      <c r="FV23">
        <v>-6.9450000000000003</v>
      </c>
      <c r="FW23">
        <v>-0.85099999999999998</v>
      </c>
      <c r="FX23">
        <v>461</v>
      </c>
      <c r="FY23">
        <v>23</v>
      </c>
      <c r="FZ23">
        <v>0.23</v>
      </c>
      <c r="GA23">
        <v>0.06</v>
      </c>
      <c r="GB23">
        <v>420.09438709677403</v>
      </c>
      <c r="GC23">
        <v>-0.40330645161429762</v>
      </c>
      <c r="GD23">
        <v>7.3536770446495175E-2</v>
      </c>
      <c r="GE23">
        <v>-1</v>
      </c>
      <c r="GF23">
        <v>863.33929411764711</v>
      </c>
      <c r="GG23">
        <v>-2.835110767063632</v>
      </c>
      <c r="GH23">
        <v>0.44723710841328213</v>
      </c>
      <c r="GI23">
        <v>1</v>
      </c>
      <c r="GJ23">
        <v>3.896382682926828</v>
      </c>
      <c r="GK23">
        <v>0.19578000000000609</v>
      </c>
      <c r="GL23">
        <v>3.0473728391356959E-2</v>
      </c>
      <c r="GM23">
        <v>1</v>
      </c>
      <c r="GN23">
        <v>2</v>
      </c>
      <c r="GO23">
        <v>2</v>
      </c>
      <c r="GP23" t="s">
        <v>424</v>
      </c>
      <c r="GQ23">
        <v>3.13076</v>
      </c>
      <c r="GR23">
        <v>2.72403</v>
      </c>
      <c r="GS23">
        <v>8.9693300000000004E-2</v>
      </c>
      <c r="GT23">
        <v>9.54734E-2</v>
      </c>
      <c r="GU23">
        <v>0.12239700000000001</v>
      </c>
      <c r="GV23">
        <v>0.107956</v>
      </c>
      <c r="GW23">
        <v>22524.7</v>
      </c>
      <c r="GX23">
        <v>30028</v>
      </c>
      <c r="GY23">
        <v>26873.9</v>
      </c>
      <c r="GZ23">
        <v>34186.1</v>
      </c>
      <c r="HA23">
        <v>34581.9</v>
      </c>
      <c r="HB23">
        <v>38628.300000000003</v>
      </c>
      <c r="HC23">
        <v>39688.300000000003</v>
      </c>
      <c r="HD23">
        <v>43367.7</v>
      </c>
      <c r="HE23">
        <v>1.8968</v>
      </c>
      <c r="HF23">
        <v>1.573</v>
      </c>
      <c r="HG23">
        <v>-0.123531</v>
      </c>
      <c r="HH23">
        <v>0</v>
      </c>
      <c r="HI23">
        <v>32.844299999999997</v>
      </c>
      <c r="HJ23">
        <v>999.9</v>
      </c>
      <c r="HK23">
        <v>42.9</v>
      </c>
      <c r="HL23">
        <v>45.9</v>
      </c>
      <c r="HM23">
        <v>44.4514</v>
      </c>
      <c r="HN23">
        <v>61.181199999999997</v>
      </c>
      <c r="HO23">
        <v>5.8132999999999999</v>
      </c>
      <c r="HP23">
        <v>1</v>
      </c>
      <c r="HQ23">
        <v>1.1888399999999999</v>
      </c>
      <c r="HR23">
        <v>6.6935900000000004</v>
      </c>
      <c r="HS23">
        <v>20.145299999999999</v>
      </c>
      <c r="HT23">
        <v>5.1873399999999998</v>
      </c>
      <c r="HU23">
        <v>11.9177</v>
      </c>
      <c r="HV23">
        <v>4.9767999999999999</v>
      </c>
      <c r="HW23">
        <v>3.2671999999999999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1.8631</v>
      </c>
      <c r="ID23">
        <v>1.86249</v>
      </c>
      <c r="IE23">
        <v>1.8621799999999999</v>
      </c>
      <c r="IF23">
        <v>1.86212</v>
      </c>
      <c r="IG23">
        <v>1.8626400000000001</v>
      </c>
      <c r="IH23">
        <v>1.8635600000000001</v>
      </c>
      <c r="II23">
        <v>1.8615699999999999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-6.7939999999999996</v>
      </c>
      <c r="IX23">
        <v>-0.72119999999999995</v>
      </c>
      <c r="IY23">
        <v>-4.8038095179797526</v>
      </c>
      <c r="IZ23">
        <v>-5.6215304933332991E-3</v>
      </c>
      <c r="JA23">
        <v>2.3979931213773931E-6</v>
      </c>
      <c r="JB23">
        <v>-3.6297174575716598E-10</v>
      </c>
      <c r="JC23">
        <v>-1.2293335120229061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1.5</v>
      </c>
      <c r="JL23">
        <v>1.4</v>
      </c>
      <c r="JM23">
        <v>1.15845</v>
      </c>
      <c r="JN23">
        <v>2.5720200000000002</v>
      </c>
      <c r="JO23">
        <v>1.50024</v>
      </c>
      <c r="JP23">
        <v>2.2668499999999998</v>
      </c>
      <c r="JQ23">
        <v>1.4477500000000001</v>
      </c>
      <c r="JR23">
        <v>2.4401899999999999</v>
      </c>
      <c r="JS23">
        <v>48.485399999999998</v>
      </c>
      <c r="JT23">
        <v>15.462899999999999</v>
      </c>
      <c r="JU23">
        <v>18</v>
      </c>
      <c r="JV23">
        <v>551.33900000000006</v>
      </c>
      <c r="JW23">
        <v>353.964</v>
      </c>
      <c r="JX23">
        <v>25.340199999999999</v>
      </c>
      <c r="JY23">
        <v>41.11</v>
      </c>
      <c r="JZ23">
        <v>29.9941</v>
      </c>
      <c r="KA23">
        <v>41.365499999999997</v>
      </c>
      <c r="KB23">
        <v>41.403300000000002</v>
      </c>
      <c r="KC23">
        <v>23.1813</v>
      </c>
      <c r="KD23">
        <v>48.583599999999997</v>
      </c>
      <c r="KE23">
        <v>0</v>
      </c>
      <c r="KF23">
        <v>25.445900000000002</v>
      </c>
      <c r="KG23">
        <v>458.87099999999998</v>
      </c>
      <c r="KH23">
        <v>23.294899999999998</v>
      </c>
      <c r="KI23">
        <v>99.187899999999999</v>
      </c>
      <c r="KJ23">
        <v>97.579099999999997</v>
      </c>
    </row>
    <row r="24" spans="1:296" x14ac:dyDescent="0.3">
      <c r="A24">
        <v>8</v>
      </c>
      <c r="B24">
        <v>1784568926.5999999</v>
      </c>
      <c r="C24">
        <v>1277.599999904633</v>
      </c>
      <c r="D24" t="s">
        <v>441</v>
      </c>
      <c r="E24" t="s">
        <v>442</v>
      </c>
      <c r="F24">
        <v>15</v>
      </c>
      <c r="H24">
        <v>1784568918.849999</v>
      </c>
      <c r="I24">
        <f t="shared" si="0"/>
        <v>2.3067549116974101E-3</v>
      </c>
      <c r="J24">
        <f t="shared" si="1"/>
        <v>2.3067549116974102</v>
      </c>
      <c r="K24">
        <f t="shared" si="2"/>
        <v>21.394531477911634</v>
      </c>
      <c r="L24">
        <f t="shared" si="3"/>
        <v>420.03930000000003</v>
      </c>
      <c r="M24">
        <f t="shared" si="4"/>
        <v>121.84422632699591</v>
      </c>
      <c r="N24">
        <f t="shared" si="5"/>
        <v>11.876403658229234</v>
      </c>
      <c r="O24">
        <f t="shared" si="6"/>
        <v>40.942081783441701</v>
      </c>
      <c r="P24">
        <f t="shared" si="7"/>
        <v>0.12049209112117881</v>
      </c>
      <c r="Q24">
        <f t="shared" si="8"/>
        <v>2.8848103224673904</v>
      </c>
      <c r="R24">
        <f t="shared" si="9"/>
        <v>0.11776442837714327</v>
      </c>
      <c r="S24">
        <f t="shared" si="10"/>
        <v>7.3842694480658139E-2</v>
      </c>
      <c r="T24">
        <f t="shared" si="11"/>
        <v>64.41297192620047</v>
      </c>
      <c r="U24">
        <f t="shared" si="12"/>
        <v>30.332493103366687</v>
      </c>
      <c r="V24">
        <f t="shared" si="13"/>
        <v>30.85749666666667</v>
      </c>
      <c r="W24">
        <f t="shared" si="14"/>
        <v>4.4748519453516664</v>
      </c>
      <c r="X24">
        <f t="shared" si="15"/>
        <v>59.915683492189572</v>
      </c>
      <c r="Y24">
        <f t="shared" si="16"/>
        <v>2.6352176439844319</v>
      </c>
      <c r="Z24">
        <f t="shared" si="17"/>
        <v>4.398210101914219</v>
      </c>
      <c r="AA24">
        <f t="shared" si="18"/>
        <v>1.8396343013672345</v>
      </c>
      <c r="AB24">
        <f t="shared" si="19"/>
        <v>-101.72789160585579</v>
      </c>
      <c r="AC24">
        <f t="shared" si="20"/>
        <v>-47.020661984369376</v>
      </c>
      <c r="AD24">
        <f t="shared" si="21"/>
        <v>-3.649592055034085</v>
      </c>
      <c r="AE24">
        <f t="shared" si="22"/>
        <v>-87.985173719058778</v>
      </c>
      <c r="AF24">
        <f t="shared" si="23"/>
        <v>21.394531477911634</v>
      </c>
      <c r="AG24">
        <f t="shared" si="24"/>
        <v>2.3067549116974102</v>
      </c>
      <c r="AH24">
        <f t="shared" si="25"/>
        <v>21.323750697348341</v>
      </c>
      <c r="AI24">
        <v>457.96941811425569</v>
      </c>
      <c r="AJ24">
        <v>431.70860606060592</v>
      </c>
      <c r="AK24">
        <v>6.54119923935822E-3</v>
      </c>
      <c r="AL24">
        <v>66.974642959622145</v>
      </c>
      <c r="AM24">
        <f t="shared" si="26"/>
        <v>2.6889165881196075</v>
      </c>
      <c r="AN24">
        <v>24.34855658454104</v>
      </c>
      <c r="AO24">
        <v>27.31650060606059</v>
      </c>
      <c r="AP24">
        <v>2.830527986390367E-2</v>
      </c>
      <c r="AQ24">
        <v>78.117623489158618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50935.41752392974</v>
      </c>
      <c r="AW24" t="s">
        <v>406</v>
      </c>
      <c r="AX24">
        <v>5079.1099999999997</v>
      </c>
      <c r="AY24">
        <v>610.81764705882347</v>
      </c>
      <c r="AZ24">
        <v>2513.0700000000002</v>
      </c>
      <c r="BA24">
        <f t="shared" si="30"/>
        <v>0.75694363982745272</v>
      </c>
      <c r="BB24">
        <v>-3.1371646480539188</v>
      </c>
      <c r="BC24" t="s">
        <v>443</v>
      </c>
      <c r="BD24">
        <v>5075.99</v>
      </c>
      <c r="BE24">
        <v>830.97829411764712</v>
      </c>
      <c r="BF24">
        <v>1793.18</v>
      </c>
      <c r="BG24">
        <f t="shared" si="31"/>
        <v>0.53658958157148362</v>
      </c>
      <c r="BH24">
        <v>0.5</v>
      </c>
      <c r="BI24">
        <f t="shared" si="32"/>
        <v>336.30124377523333</v>
      </c>
      <c r="BJ24">
        <f t="shared" si="33"/>
        <v>21.394531477911634</v>
      </c>
      <c r="BK24">
        <f t="shared" si="34"/>
        <v>90.227871839660978</v>
      </c>
      <c r="BL24">
        <f t="shared" si="35"/>
        <v>7.2945600350979647E-2</v>
      </c>
      <c r="BM24">
        <f t="shared" si="36"/>
        <v>0.40145997613178824</v>
      </c>
      <c r="BN24">
        <f t="shared" si="37"/>
        <v>556.51441688828947</v>
      </c>
      <c r="BO24" t="s">
        <v>408</v>
      </c>
      <c r="BP24">
        <v>0</v>
      </c>
      <c r="BQ24">
        <f t="shared" si="38"/>
        <v>556.51441688828947</v>
      </c>
      <c r="BR24">
        <f t="shared" si="39"/>
        <v>0.68964944016312391</v>
      </c>
      <c r="BS24">
        <f t="shared" si="40"/>
        <v>0.77806136034064377</v>
      </c>
      <c r="BT24">
        <f t="shared" si="41"/>
        <v>0.36793741318357298</v>
      </c>
      <c r="BU24">
        <f t="shared" si="42"/>
        <v>0.81379595983315545</v>
      </c>
      <c r="BV24">
        <f t="shared" si="43"/>
        <v>0.378440851387009</v>
      </c>
      <c r="BW24">
        <f t="shared" si="44"/>
        <v>0.52107542076421509</v>
      </c>
      <c r="BX24">
        <f t="shared" si="45"/>
        <v>0.47892457923578491</v>
      </c>
      <c r="DG24">
        <f t="shared" si="46"/>
        <v>400.0057666666666</v>
      </c>
      <c r="DH24">
        <f t="shared" si="47"/>
        <v>336.30124377523333</v>
      </c>
      <c r="DI24">
        <f t="shared" si="48"/>
        <v>0.84074098875549563</v>
      </c>
      <c r="DJ24">
        <f t="shared" si="49"/>
        <v>0.16103010829810657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1784568918.849999</v>
      </c>
      <c r="DQ24">
        <v>420.03930000000003</v>
      </c>
      <c r="DR24">
        <v>446.87553333333329</v>
      </c>
      <c r="DS24">
        <v>27.035630000000001</v>
      </c>
      <c r="DT24">
        <v>24.342353333333332</v>
      </c>
      <c r="DU24">
        <v>426.83383333333319</v>
      </c>
      <c r="DV24">
        <v>27.88663</v>
      </c>
      <c r="DW24">
        <v>499.99846666666667</v>
      </c>
      <c r="DX24">
        <v>97.421066666666633</v>
      </c>
      <c r="DY24">
        <v>5.0959839999999992E-2</v>
      </c>
      <c r="DZ24">
        <v>30.55516333333334</v>
      </c>
      <c r="EA24">
        <v>30.85749666666667</v>
      </c>
      <c r="EB24">
        <v>999.9000000000002</v>
      </c>
      <c r="EC24">
        <v>0</v>
      </c>
      <c r="ED24">
        <v>0</v>
      </c>
      <c r="EE24">
        <v>10005.16666666667</v>
      </c>
      <c r="EF24">
        <v>0</v>
      </c>
      <c r="EG24">
        <v>1915.088666666667</v>
      </c>
      <c r="EH24">
        <v>-26.836273333333331</v>
      </c>
      <c r="EI24">
        <v>431.76630000000011</v>
      </c>
      <c r="EJ24">
        <v>458.0250666666667</v>
      </c>
      <c r="EK24">
        <v>2.8182416666666672</v>
      </c>
      <c r="EL24">
        <v>446.87553333333329</v>
      </c>
      <c r="EM24">
        <v>24.342353333333332</v>
      </c>
      <c r="EN24">
        <v>2.6460140000000001</v>
      </c>
      <c r="EO24">
        <v>2.371458333333333</v>
      </c>
      <c r="EP24">
        <v>21.953563333333339</v>
      </c>
      <c r="EQ24">
        <v>20.17018333333333</v>
      </c>
      <c r="ER24">
        <v>400.0057666666666</v>
      </c>
      <c r="ES24">
        <v>0.97498756666666664</v>
      </c>
      <c r="ET24">
        <v>2.5012260000000001E-2</v>
      </c>
      <c r="EU24">
        <v>0</v>
      </c>
      <c r="EV24">
        <v>831.20579999999984</v>
      </c>
      <c r="EW24">
        <v>5.0010700000000003</v>
      </c>
      <c r="EX24">
        <v>7044.9186666666656</v>
      </c>
      <c r="EY24">
        <v>3583.708666666666</v>
      </c>
      <c r="EZ24">
        <v>45.049599999999991</v>
      </c>
      <c r="FA24">
        <v>49.324599999999982</v>
      </c>
      <c r="FB24">
        <v>47.182866666666648</v>
      </c>
      <c r="FC24">
        <v>48.557866666666648</v>
      </c>
      <c r="FD24">
        <v>47.012333333333331</v>
      </c>
      <c r="FE24">
        <v>385.12500000000011</v>
      </c>
      <c r="FF24">
        <v>9.879999999999999</v>
      </c>
      <c r="FG24">
        <v>0</v>
      </c>
      <c r="FH24">
        <v>181.79999995231631</v>
      </c>
      <c r="FI24">
        <v>0</v>
      </c>
      <c r="FJ24">
        <v>830.97829411764712</v>
      </c>
      <c r="FK24">
        <v>-6.6424020170100144</v>
      </c>
      <c r="FL24">
        <v>1314.531863333654</v>
      </c>
      <c r="FM24">
        <v>7070.0670588235298</v>
      </c>
      <c r="FN24">
        <v>10</v>
      </c>
      <c r="FO24">
        <v>1784568954.0999999</v>
      </c>
      <c r="FP24" t="s">
        <v>444</v>
      </c>
      <c r="FQ24">
        <v>1784568654</v>
      </c>
      <c r="FR24">
        <v>1784568954.0999999</v>
      </c>
      <c r="FS24">
        <v>35</v>
      </c>
      <c r="FT24">
        <v>2.5000000000000001E-2</v>
      </c>
      <c r="FU24">
        <v>-4.7E-2</v>
      </c>
      <c r="FV24">
        <v>-6.9450000000000003</v>
      </c>
      <c r="FW24">
        <v>-0.85099999999999998</v>
      </c>
      <c r="FX24">
        <v>461</v>
      </c>
      <c r="FY24">
        <v>24</v>
      </c>
      <c r="FZ24">
        <v>0.23</v>
      </c>
      <c r="GA24">
        <v>0.11</v>
      </c>
      <c r="GB24">
        <v>420.03930000000003</v>
      </c>
      <c r="GC24">
        <v>-1.1718353726351931</v>
      </c>
      <c r="GD24">
        <v>0.1048278429934846</v>
      </c>
      <c r="GE24">
        <v>-1</v>
      </c>
      <c r="GF24">
        <v>831.30661764705894</v>
      </c>
      <c r="GG24">
        <v>-2.353720407865552</v>
      </c>
      <c r="GH24">
        <v>0.58222479056409471</v>
      </c>
      <c r="GI24">
        <v>1</v>
      </c>
      <c r="GJ24">
        <v>2.8260987499999999</v>
      </c>
      <c r="GK24">
        <v>0.33350600375234563</v>
      </c>
      <c r="GL24">
        <v>7.3424807564865274E-2</v>
      </c>
      <c r="GM24">
        <v>1</v>
      </c>
      <c r="GN24">
        <v>2</v>
      </c>
      <c r="GO24">
        <v>2</v>
      </c>
      <c r="GP24" t="s">
        <v>424</v>
      </c>
      <c r="GQ24">
        <v>3.1307299999999998</v>
      </c>
      <c r="GR24">
        <v>2.7236899999999999</v>
      </c>
      <c r="GS24">
        <v>8.9660599999999993E-2</v>
      </c>
      <c r="GT24">
        <v>9.35888E-2</v>
      </c>
      <c r="GU24">
        <v>0.122374</v>
      </c>
      <c r="GV24">
        <v>0.11111600000000001</v>
      </c>
      <c r="GW24">
        <v>22524.3</v>
      </c>
      <c r="GX24">
        <v>30089.200000000001</v>
      </c>
      <c r="GY24">
        <v>26872.6</v>
      </c>
      <c r="GZ24">
        <v>34184.5</v>
      </c>
      <c r="HA24">
        <v>34580.9</v>
      </c>
      <c r="HB24">
        <v>38491.599999999999</v>
      </c>
      <c r="HC24">
        <v>39685.9</v>
      </c>
      <c r="HD24">
        <v>43366.9</v>
      </c>
      <c r="HE24">
        <v>1.8939999999999999</v>
      </c>
      <c r="HF24">
        <v>1.5742</v>
      </c>
      <c r="HG24">
        <v>-0.12382899999999999</v>
      </c>
      <c r="HH24">
        <v>0</v>
      </c>
      <c r="HI24">
        <v>32.891100000000002</v>
      </c>
      <c r="HJ24">
        <v>999.9</v>
      </c>
      <c r="HK24">
        <v>42.8</v>
      </c>
      <c r="HL24">
        <v>45.8</v>
      </c>
      <c r="HM24">
        <v>44.127499999999998</v>
      </c>
      <c r="HN24">
        <v>61.041200000000003</v>
      </c>
      <c r="HO24">
        <v>5.6810900000000002</v>
      </c>
      <c r="HP24">
        <v>1</v>
      </c>
      <c r="HQ24">
        <v>1.19207</v>
      </c>
      <c r="HR24">
        <v>7.0462300000000004</v>
      </c>
      <c r="HS24">
        <v>20.137</v>
      </c>
      <c r="HT24">
        <v>5.2065099999999997</v>
      </c>
      <c r="HU24">
        <v>11.9201</v>
      </c>
      <c r="HV24">
        <v>4.9783999999999997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1.8631</v>
      </c>
      <c r="ID24">
        <v>1.86249</v>
      </c>
      <c r="IE24">
        <v>1.86215</v>
      </c>
      <c r="IF24">
        <v>1.86209</v>
      </c>
      <c r="IG24">
        <v>1.8626400000000001</v>
      </c>
      <c r="IH24">
        <v>1.8635900000000001</v>
      </c>
      <c r="II24">
        <v>1.86151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-6.7939999999999996</v>
      </c>
      <c r="IX24">
        <v>-0.85099999999999998</v>
      </c>
      <c r="IY24">
        <v>-4.8038095179797526</v>
      </c>
      <c r="IZ24">
        <v>-5.6215304933332991E-3</v>
      </c>
      <c r="JA24">
        <v>2.3979931213773931E-6</v>
      </c>
      <c r="JB24">
        <v>-3.6297174575716598E-10</v>
      </c>
      <c r="JC24">
        <v>-1.2293335120229061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4.5</v>
      </c>
      <c r="JL24">
        <v>4.4000000000000004</v>
      </c>
      <c r="JM24">
        <v>1.1364700000000001</v>
      </c>
      <c r="JN24">
        <v>2.5793499999999998</v>
      </c>
      <c r="JO24">
        <v>1.50024</v>
      </c>
      <c r="JP24">
        <v>2.2656200000000002</v>
      </c>
      <c r="JQ24">
        <v>1.4477500000000001</v>
      </c>
      <c r="JR24">
        <v>2.50122</v>
      </c>
      <c r="JS24">
        <v>48.4238</v>
      </c>
      <c r="JT24">
        <v>15.4016</v>
      </c>
      <c r="JU24">
        <v>18</v>
      </c>
      <c r="JV24">
        <v>549.34799999999996</v>
      </c>
      <c r="JW24">
        <v>354.59699999999998</v>
      </c>
      <c r="JX24">
        <v>25.375399999999999</v>
      </c>
      <c r="JY24">
        <v>41.143000000000001</v>
      </c>
      <c r="JZ24">
        <v>29.9984</v>
      </c>
      <c r="KA24">
        <v>41.361499999999999</v>
      </c>
      <c r="KB24">
        <v>41.395200000000003</v>
      </c>
      <c r="KC24">
        <v>22.726500000000001</v>
      </c>
      <c r="KD24">
        <v>46.876800000000003</v>
      </c>
      <c r="KE24">
        <v>0</v>
      </c>
      <c r="KF24">
        <v>25.3475</v>
      </c>
      <c r="KG24">
        <v>447.10599999999999</v>
      </c>
      <c r="KH24">
        <v>24.2485</v>
      </c>
      <c r="KI24">
        <v>99.182400000000001</v>
      </c>
      <c r="KJ24">
        <v>97.5762</v>
      </c>
    </row>
    <row r="25" spans="1:296" x14ac:dyDescent="0.3">
      <c r="A25">
        <v>9</v>
      </c>
      <c r="B25">
        <v>1784569135.0999999</v>
      </c>
      <c r="C25">
        <v>1486.099999904633</v>
      </c>
      <c r="D25" t="s">
        <v>445</v>
      </c>
      <c r="E25" t="s">
        <v>446</v>
      </c>
      <c r="F25">
        <v>15</v>
      </c>
      <c r="H25">
        <v>1784569127.099999</v>
      </c>
      <c r="I25">
        <f t="shared" si="0"/>
        <v>1.7292119995656026E-3</v>
      </c>
      <c r="J25">
        <f t="shared" si="1"/>
        <v>1.7292119995656026</v>
      </c>
      <c r="K25">
        <f t="shared" si="2"/>
        <v>15.352239060403283</v>
      </c>
      <c r="L25">
        <f t="shared" si="3"/>
        <v>420.11774193548388</v>
      </c>
      <c r="M25">
        <f t="shared" si="4"/>
        <v>132.40295871240042</v>
      </c>
      <c r="N25">
        <f t="shared" si="5"/>
        <v>12.905627742359844</v>
      </c>
      <c r="O25">
        <f t="shared" si="6"/>
        <v>40.949864248557454</v>
      </c>
      <c r="P25">
        <f t="shared" si="7"/>
        <v>8.9326944046228429E-2</v>
      </c>
      <c r="Q25">
        <f t="shared" si="8"/>
        <v>2.8838664467507651</v>
      </c>
      <c r="R25">
        <f t="shared" si="9"/>
        <v>8.7817811852373667E-2</v>
      </c>
      <c r="S25">
        <f t="shared" si="10"/>
        <v>5.5019598214088569E-2</v>
      </c>
      <c r="T25">
        <f t="shared" si="11"/>
        <v>48.444358533660527</v>
      </c>
      <c r="U25">
        <f t="shared" si="12"/>
        <v>30.314150099096732</v>
      </c>
      <c r="V25">
        <f t="shared" si="13"/>
        <v>30.84421935483871</v>
      </c>
      <c r="W25">
        <f t="shared" si="14"/>
        <v>4.4714618698847612</v>
      </c>
      <c r="X25">
        <f t="shared" si="15"/>
        <v>59.871055310614793</v>
      </c>
      <c r="Y25">
        <f t="shared" si="16"/>
        <v>2.6219814178778216</v>
      </c>
      <c r="Z25">
        <f t="shared" si="17"/>
        <v>4.3793806611138173</v>
      </c>
      <c r="AA25">
        <f t="shared" si="18"/>
        <v>1.8494804520069397</v>
      </c>
      <c r="AB25">
        <f t="shared" si="19"/>
        <v>-76.25824918084308</v>
      </c>
      <c r="AC25">
        <f t="shared" si="20"/>
        <v>-56.598419722429476</v>
      </c>
      <c r="AD25">
        <f t="shared" si="21"/>
        <v>-4.3925097531593202</v>
      </c>
      <c r="AE25">
        <f t="shared" si="22"/>
        <v>-88.804820122771361</v>
      </c>
      <c r="AF25">
        <f t="shared" si="23"/>
        <v>15.352239060403283</v>
      </c>
      <c r="AG25">
        <f t="shared" si="24"/>
        <v>1.7292119995656026</v>
      </c>
      <c r="AH25">
        <f t="shared" si="25"/>
        <v>15.250802001829227</v>
      </c>
      <c r="AI25">
        <v>450.69306875947802</v>
      </c>
      <c r="AJ25">
        <v>431.77626666666652</v>
      </c>
      <c r="AK25">
        <v>2.8913729812487059E-2</v>
      </c>
      <c r="AL25">
        <v>67.039950732286869</v>
      </c>
      <c r="AM25">
        <f t="shared" si="26"/>
        <v>1.791175937468841</v>
      </c>
      <c r="AN25">
        <v>24.876558392987022</v>
      </c>
      <c r="AO25">
        <v>26.967824848484849</v>
      </c>
      <c r="AP25">
        <v>1.6336265884969929E-5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50921.502657287245</v>
      </c>
      <c r="AW25" t="s">
        <v>406</v>
      </c>
      <c r="AX25">
        <v>5079.1099999999997</v>
      </c>
      <c r="AY25">
        <v>610.81764705882347</v>
      </c>
      <c r="AZ25">
        <v>2513.0700000000002</v>
      </c>
      <c r="BA25">
        <f t="shared" si="30"/>
        <v>0.75694363982745272</v>
      </c>
      <c r="BB25">
        <v>-3.1371646480539188</v>
      </c>
      <c r="BC25" t="s">
        <v>447</v>
      </c>
      <c r="BD25">
        <v>5078.2299999999996</v>
      </c>
      <c r="BE25">
        <v>812.3544117647059</v>
      </c>
      <c r="BF25">
        <v>1869.91</v>
      </c>
      <c r="BG25">
        <f t="shared" si="31"/>
        <v>0.56556496742372309</v>
      </c>
      <c r="BH25">
        <v>0.5</v>
      </c>
      <c r="BI25">
        <f t="shared" si="32"/>
        <v>252.29434365608344</v>
      </c>
      <c r="BJ25">
        <f t="shared" si="33"/>
        <v>15.352239060403283</v>
      </c>
      <c r="BK25">
        <f t="shared" si="34"/>
        <v>71.344421125521208</v>
      </c>
      <c r="BL25">
        <f t="shared" si="35"/>
        <v>7.3285050471290566E-2</v>
      </c>
      <c r="BM25">
        <f t="shared" si="36"/>
        <v>0.34395238273499795</v>
      </c>
      <c r="BN25">
        <f t="shared" si="37"/>
        <v>563.69301567144203</v>
      </c>
      <c r="BO25" t="s">
        <v>408</v>
      </c>
      <c r="BP25">
        <v>0</v>
      </c>
      <c r="BQ25">
        <f t="shared" si="38"/>
        <v>563.69301567144203</v>
      </c>
      <c r="BR25">
        <f t="shared" si="39"/>
        <v>0.69854537615637002</v>
      </c>
      <c r="BS25">
        <f t="shared" si="40"/>
        <v>0.8096323971617283</v>
      </c>
      <c r="BT25">
        <f t="shared" si="41"/>
        <v>0.32993105241853954</v>
      </c>
      <c r="BU25">
        <f t="shared" si="42"/>
        <v>0.83993488306469133</v>
      </c>
      <c r="BV25">
        <f t="shared" si="43"/>
        <v>0.33810445759500579</v>
      </c>
      <c r="BW25">
        <f t="shared" si="44"/>
        <v>0.56180420876889692</v>
      </c>
      <c r="BX25">
        <f t="shared" si="45"/>
        <v>0.43819579123110308</v>
      </c>
      <c r="DG25">
        <f t="shared" si="46"/>
        <v>300.00254838709668</v>
      </c>
      <c r="DH25">
        <f t="shared" si="47"/>
        <v>252.29434365608344</v>
      </c>
      <c r="DI25">
        <f t="shared" si="48"/>
        <v>0.84097400176262904</v>
      </c>
      <c r="DJ25">
        <f t="shared" si="49"/>
        <v>0.16147982340187397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1784569127.099999</v>
      </c>
      <c r="DQ25">
        <v>420.11774193548388</v>
      </c>
      <c r="DR25">
        <v>439.41145161290319</v>
      </c>
      <c r="DS25">
        <v>26.899745161290319</v>
      </c>
      <c r="DT25">
        <v>24.8805870967742</v>
      </c>
      <c r="DU25">
        <v>426.91258064516131</v>
      </c>
      <c r="DV25">
        <v>27.750745161290322</v>
      </c>
      <c r="DW25">
        <v>500.01929032258067</v>
      </c>
      <c r="DX25">
        <v>97.421658064516123</v>
      </c>
      <c r="DY25">
        <v>5.0693519354838713E-2</v>
      </c>
      <c r="DZ25">
        <v>30.480183870967739</v>
      </c>
      <c r="EA25">
        <v>30.84421935483871</v>
      </c>
      <c r="EB25">
        <v>999.90000000000032</v>
      </c>
      <c r="EC25">
        <v>0</v>
      </c>
      <c r="ED25">
        <v>0</v>
      </c>
      <c r="EE25">
        <v>9999.677419354839</v>
      </c>
      <c r="EF25">
        <v>0</v>
      </c>
      <c r="EG25">
        <v>1883.3537419354841</v>
      </c>
      <c r="EH25">
        <v>-19.29381290322581</v>
      </c>
      <c r="EI25">
        <v>431.76377419354839</v>
      </c>
      <c r="EJ25">
        <v>450.62325806451611</v>
      </c>
      <c r="EK25">
        <v>2.0927903225806448</v>
      </c>
      <c r="EL25">
        <v>439.41145161290319</v>
      </c>
      <c r="EM25">
        <v>24.8805870967742</v>
      </c>
      <c r="EN25">
        <v>2.627790967741936</v>
      </c>
      <c r="EO25">
        <v>2.4239070967741929</v>
      </c>
      <c r="EP25">
        <v>21.840409677419348</v>
      </c>
      <c r="EQ25">
        <v>20.524403225806459</v>
      </c>
      <c r="ER25">
        <v>300.00254838709668</v>
      </c>
      <c r="ES25">
        <v>0.96697129032258067</v>
      </c>
      <c r="ET25">
        <v>3.30287935483871E-2</v>
      </c>
      <c r="EU25">
        <v>0</v>
      </c>
      <c r="EV25">
        <v>812.42583870967724</v>
      </c>
      <c r="EW25">
        <v>5.0010700000000003</v>
      </c>
      <c r="EX25">
        <v>6079.9609677419357</v>
      </c>
      <c r="EY25">
        <v>2668.0187096774189</v>
      </c>
      <c r="EZ25">
        <v>44.436999999999969</v>
      </c>
      <c r="FA25">
        <v>48.820129032258038</v>
      </c>
      <c r="FB25">
        <v>46.625</v>
      </c>
      <c r="FC25">
        <v>48.151000000000003</v>
      </c>
      <c r="FD25">
        <v>46.387</v>
      </c>
      <c r="FE25">
        <v>285.25838709677419</v>
      </c>
      <c r="FF25">
        <v>9.740000000000002</v>
      </c>
      <c r="FG25">
        <v>0</v>
      </c>
      <c r="FH25">
        <v>208</v>
      </c>
      <c r="FI25">
        <v>0</v>
      </c>
      <c r="FJ25">
        <v>812.3544117647059</v>
      </c>
      <c r="FK25">
        <v>-0.80980392695586001</v>
      </c>
      <c r="FL25">
        <v>128.5735284627269</v>
      </c>
      <c r="FM25">
        <v>6075.5094117647059</v>
      </c>
      <c r="FN25">
        <v>10</v>
      </c>
      <c r="FO25">
        <v>1784569158.0999999</v>
      </c>
      <c r="FP25" t="s">
        <v>448</v>
      </c>
      <c r="FQ25">
        <v>1784568654</v>
      </c>
      <c r="FR25">
        <v>1784569158.0999999</v>
      </c>
      <c r="FS25">
        <v>36</v>
      </c>
      <c r="FT25">
        <v>2.5000000000000001E-2</v>
      </c>
      <c r="FU25">
        <v>-1.4E-2</v>
      </c>
      <c r="FV25">
        <v>-6.9450000000000003</v>
      </c>
      <c r="FW25">
        <v>-0.85099999999999998</v>
      </c>
      <c r="FX25">
        <v>461</v>
      </c>
      <c r="FY25">
        <v>25</v>
      </c>
      <c r="FZ25">
        <v>0.23</v>
      </c>
      <c r="GA25">
        <v>0.18</v>
      </c>
      <c r="GB25">
        <v>420.11720000000003</v>
      </c>
      <c r="GC25">
        <v>-0.40904115683968079</v>
      </c>
      <c r="GD25">
        <v>6.5067349723190018E-2</v>
      </c>
      <c r="GE25">
        <v>-1</v>
      </c>
      <c r="GF25">
        <v>812.39041176470585</v>
      </c>
      <c r="GG25">
        <v>-0.6190679886225251</v>
      </c>
      <c r="GH25">
        <v>0.30398888501807042</v>
      </c>
      <c r="GI25">
        <v>1</v>
      </c>
      <c r="GJ25">
        <v>2.0962697499999998</v>
      </c>
      <c r="GK25">
        <v>-6.8532495309571215E-2</v>
      </c>
      <c r="GL25">
        <v>8.150417316769706E-3</v>
      </c>
      <c r="GM25">
        <v>1</v>
      </c>
      <c r="GN25">
        <v>2</v>
      </c>
      <c r="GO25">
        <v>2</v>
      </c>
      <c r="GP25" t="s">
        <v>424</v>
      </c>
      <c r="GQ25">
        <v>3.1305399999999999</v>
      </c>
      <c r="GR25">
        <v>2.7271000000000001</v>
      </c>
      <c r="GS25">
        <v>8.9702400000000002E-2</v>
      </c>
      <c r="GT25">
        <v>9.2393500000000003E-2</v>
      </c>
      <c r="GU25">
        <v>0.121457</v>
      </c>
      <c r="GV25">
        <v>0.11282300000000001</v>
      </c>
      <c r="GW25">
        <v>22522.6</v>
      </c>
      <c r="GX25">
        <v>30129</v>
      </c>
      <c r="GY25">
        <v>26871.9</v>
      </c>
      <c r="GZ25">
        <v>34184.5</v>
      </c>
      <c r="HA25">
        <v>34616.199999999997</v>
      </c>
      <c r="HB25">
        <v>38419.9</v>
      </c>
      <c r="HC25">
        <v>39685.699999999997</v>
      </c>
      <c r="HD25">
        <v>43369</v>
      </c>
      <c r="HE25">
        <v>1.8928</v>
      </c>
      <c r="HF25">
        <v>1.5778000000000001</v>
      </c>
      <c r="HG25">
        <v>-0.126362</v>
      </c>
      <c r="HH25">
        <v>0</v>
      </c>
      <c r="HI25">
        <v>32.879399999999997</v>
      </c>
      <c r="HJ25">
        <v>999.9</v>
      </c>
      <c r="HK25">
        <v>42.7</v>
      </c>
      <c r="HL25">
        <v>45.7</v>
      </c>
      <c r="HM25">
        <v>43.794699999999999</v>
      </c>
      <c r="HN25">
        <v>61.171300000000002</v>
      </c>
      <c r="HO25">
        <v>5.6129800000000003</v>
      </c>
      <c r="HP25">
        <v>1</v>
      </c>
      <c r="HQ25">
        <v>1.1956899999999999</v>
      </c>
      <c r="HR25">
        <v>7.2916299999999996</v>
      </c>
      <c r="HS25">
        <v>20.126000000000001</v>
      </c>
      <c r="HT25">
        <v>5.2100999999999997</v>
      </c>
      <c r="HU25">
        <v>11.9177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1.8631</v>
      </c>
      <c r="ID25">
        <v>1.8625499999999999</v>
      </c>
      <c r="IE25">
        <v>1.8621799999999999</v>
      </c>
      <c r="IF25">
        <v>1.86215</v>
      </c>
      <c r="IG25">
        <v>1.8626400000000001</v>
      </c>
      <c r="IH25">
        <v>1.8635600000000001</v>
      </c>
      <c r="II25">
        <v>1.86154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-6.7949999999999999</v>
      </c>
      <c r="IX25">
        <v>-0.85099999999999998</v>
      </c>
      <c r="IY25">
        <v>-4.8038095179797526</v>
      </c>
      <c r="IZ25">
        <v>-5.6215304933332991E-3</v>
      </c>
      <c r="JA25">
        <v>2.3979931213773931E-6</v>
      </c>
      <c r="JB25">
        <v>-3.6297174575716598E-10</v>
      </c>
      <c r="JC25">
        <v>-1.2766822056970639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8</v>
      </c>
      <c r="JL25">
        <v>3</v>
      </c>
      <c r="JM25">
        <v>1.1206100000000001</v>
      </c>
      <c r="JN25">
        <v>2.5769000000000002</v>
      </c>
      <c r="JO25">
        <v>1.50024</v>
      </c>
      <c r="JP25">
        <v>2.2656200000000002</v>
      </c>
      <c r="JQ25">
        <v>1.4477500000000001</v>
      </c>
      <c r="JR25">
        <v>2.49268</v>
      </c>
      <c r="JS25">
        <v>48.270299999999999</v>
      </c>
      <c r="JT25">
        <v>15.357900000000001</v>
      </c>
      <c r="JU25">
        <v>18</v>
      </c>
      <c r="JV25">
        <v>548.38599999999997</v>
      </c>
      <c r="JW25">
        <v>356.53500000000003</v>
      </c>
      <c r="JX25">
        <v>25.415800000000001</v>
      </c>
      <c r="JY25">
        <v>41.134799999999998</v>
      </c>
      <c r="JZ25">
        <v>29.999400000000001</v>
      </c>
      <c r="KA25">
        <v>41.345199999999998</v>
      </c>
      <c r="KB25">
        <v>41.378999999999998</v>
      </c>
      <c r="KC25">
        <v>22.4267</v>
      </c>
      <c r="KD25">
        <v>46.097799999999999</v>
      </c>
      <c r="KE25">
        <v>0</v>
      </c>
      <c r="KF25">
        <v>25.428899999999999</v>
      </c>
      <c r="KG25">
        <v>439.35899999999998</v>
      </c>
      <c r="KH25">
        <v>24.916</v>
      </c>
      <c r="KI25">
        <v>99.180999999999997</v>
      </c>
      <c r="KJ25">
        <v>97.578800000000001</v>
      </c>
    </row>
    <row r="26" spans="1:296" x14ac:dyDescent="0.3">
      <c r="A26">
        <v>10</v>
      </c>
      <c r="B26">
        <v>1784569339.0999999</v>
      </c>
      <c r="C26">
        <v>1690.099999904633</v>
      </c>
      <c r="D26" t="s">
        <v>449</v>
      </c>
      <c r="E26" t="s">
        <v>450</v>
      </c>
      <c r="F26">
        <v>15</v>
      </c>
      <c r="H26">
        <v>1784569331.099999</v>
      </c>
      <c r="I26">
        <f t="shared" si="0"/>
        <v>1.0176878473147335E-3</v>
      </c>
      <c r="J26">
        <f t="shared" si="1"/>
        <v>1.0176878473147335</v>
      </c>
      <c r="K26">
        <f t="shared" si="2"/>
        <v>9.4669981100823009</v>
      </c>
      <c r="L26">
        <f t="shared" si="3"/>
        <v>420.17319354838719</v>
      </c>
      <c r="M26">
        <f t="shared" si="4"/>
        <v>113.61286264751021</v>
      </c>
      <c r="N26">
        <f t="shared" si="5"/>
        <v>11.073978229301019</v>
      </c>
      <c r="O26">
        <f t="shared" si="6"/>
        <v>40.954771224512335</v>
      </c>
      <c r="P26">
        <f t="shared" si="7"/>
        <v>5.1257113085240981E-2</v>
      </c>
      <c r="Q26">
        <f t="shared" si="8"/>
        <v>2.8846325865434483</v>
      </c>
      <c r="R26">
        <f t="shared" si="9"/>
        <v>5.0756454136722702E-2</v>
      </c>
      <c r="S26">
        <f t="shared" si="10"/>
        <v>3.1767358394649864E-2</v>
      </c>
      <c r="T26">
        <f t="shared" si="11"/>
        <v>32.485912529444612</v>
      </c>
      <c r="U26">
        <f t="shared" si="12"/>
        <v>30.488691259770299</v>
      </c>
      <c r="V26">
        <f t="shared" si="13"/>
        <v>30.93711290322581</v>
      </c>
      <c r="W26">
        <f t="shared" si="14"/>
        <v>4.4952272392566144</v>
      </c>
      <c r="X26">
        <f t="shared" si="15"/>
        <v>59.36560038709591</v>
      </c>
      <c r="Y26">
        <f t="shared" si="16"/>
        <v>2.6121429915310674</v>
      </c>
      <c r="Z26">
        <f t="shared" si="17"/>
        <v>4.4000952984531088</v>
      </c>
      <c r="AA26">
        <f t="shared" si="18"/>
        <v>1.8830842477255469</v>
      </c>
      <c r="AB26">
        <f t="shared" si="19"/>
        <v>-44.880034066579746</v>
      </c>
      <c r="AC26">
        <f t="shared" si="20"/>
        <v>-58.234337194352392</v>
      </c>
      <c r="AD26">
        <f t="shared" si="21"/>
        <v>-4.5221854266874892</v>
      </c>
      <c r="AE26">
        <f t="shared" si="22"/>
        <v>-75.150644158175012</v>
      </c>
      <c r="AF26">
        <f t="shared" si="23"/>
        <v>9.4669981100823009</v>
      </c>
      <c r="AG26">
        <f t="shared" si="24"/>
        <v>1.0176878473147335</v>
      </c>
      <c r="AH26">
        <f t="shared" si="25"/>
        <v>9.195938204680413</v>
      </c>
      <c r="AI26">
        <v>443.38948421649991</v>
      </c>
      <c r="AJ26">
        <v>431.82132727272722</v>
      </c>
      <c r="AK26">
        <v>4.7168920122422311E-2</v>
      </c>
      <c r="AL26">
        <v>66.977960224596487</v>
      </c>
      <c r="AM26">
        <f t="shared" si="26"/>
        <v>1.0588380772536627</v>
      </c>
      <c r="AN26">
        <v>25.66940116943573</v>
      </c>
      <c r="AO26">
        <v>26.886754545454551</v>
      </c>
      <c r="AP26">
        <v>3.1529633034138452E-3</v>
      </c>
      <c r="AQ26">
        <v>78.121819867299024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50929.158893503183</v>
      </c>
      <c r="AW26" t="s">
        <v>406</v>
      </c>
      <c r="AX26">
        <v>5079.1099999999997</v>
      </c>
      <c r="AY26">
        <v>610.81764705882347</v>
      </c>
      <c r="AZ26">
        <v>2513.0700000000002</v>
      </c>
      <c r="BA26">
        <f t="shared" si="30"/>
        <v>0.75694363982745272</v>
      </c>
      <c r="BB26">
        <v>-3.1371646480539188</v>
      </c>
      <c r="BC26" t="s">
        <v>451</v>
      </c>
      <c r="BD26">
        <v>5080.41</v>
      </c>
      <c r="BE26">
        <v>797.00900000000001</v>
      </c>
      <c r="BF26">
        <v>1964.99</v>
      </c>
      <c r="BG26">
        <f t="shared" si="31"/>
        <v>0.59439539132514674</v>
      </c>
      <c r="BH26">
        <v>0.5</v>
      </c>
      <c r="BI26">
        <f t="shared" si="32"/>
        <v>168.30079198416817</v>
      </c>
      <c r="BJ26">
        <f t="shared" si="33"/>
        <v>9.4669981100823009</v>
      </c>
      <c r="BK26">
        <f t="shared" si="34"/>
        <v>50.018607555880877</v>
      </c>
      <c r="BL26">
        <f t="shared" si="35"/>
        <v>7.4890691894794387E-2</v>
      </c>
      <c r="BM26">
        <f t="shared" si="36"/>
        <v>0.27892253904600028</v>
      </c>
      <c r="BN26">
        <f t="shared" si="37"/>
        <v>572.03702766204583</v>
      </c>
      <c r="BO26" t="s">
        <v>408</v>
      </c>
      <c r="BP26">
        <v>0</v>
      </c>
      <c r="BQ26">
        <f t="shared" si="38"/>
        <v>572.03702766204583</v>
      </c>
      <c r="BR26">
        <f t="shared" si="39"/>
        <v>0.70888552732479759</v>
      </c>
      <c r="BS26">
        <f t="shared" si="40"/>
        <v>0.83849277268825684</v>
      </c>
      <c r="BT26">
        <f t="shared" si="41"/>
        <v>0.28236511579699924</v>
      </c>
      <c r="BU26">
        <f t="shared" si="42"/>
        <v>0.86250542441161149</v>
      </c>
      <c r="BV26">
        <f t="shared" si="43"/>
        <v>0.28812160445094659</v>
      </c>
      <c r="BW26">
        <f t="shared" si="44"/>
        <v>0.6018111632424451</v>
      </c>
      <c r="BX26">
        <f t="shared" si="45"/>
        <v>0.3981888367575549</v>
      </c>
      <c r="DG26">
        <f t="shared" si="46"/>
        <v>200.01</v>
      </c>
      <c r="DH26">
        <f t="shared" si="47"/>
        <v>168.30079198416817</v>
      </c>
      <c r="DI26">
        <f t="shared" si="48"/>
        <v>0.84146188682649958</v>
      </c>
      <c r="DJ26">
        <f t="shared" si="49"/>
        <v>0.16242144157514429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1784569331.099999</v>
      </c>
      <c r="DQ26">
        <v>420.17319354838719</v>
      </c>
      <c r="DR26">
        <v>432.0459032258064</v>
      </c>
      <c r="DS26">
        <v>26.79913548387097</v>
      </c>
      <c r="DT26">
        <v>25.610719354838711</v>
      </c>
      <c r="DU26">
        <v>426.96832258064518</v>
      </c>
      <c r="DV26">
        <v>27.64813548387097</v>
      </c>
      <c r="DW26">
        <v>500.03429032258072</v>
      </c>
      <c r="DX26">
        <v>97.420587096774199</v>
      </c>
      <c r="DY26">
        <v>5.0579206451612901E-2</v>
      </c>
      <c r="DZ26">
        <v>30.56265483870968</v>
      </c>
      <c r="EA26">
        <v>30.93711290322581</v>
      </c>
      <c r="EB26">
        <v>999.90000000000032</v>
      </c>
      <c r="EC26">
        <v>0</v>
      </c>
      <c r="ED26">
        <v>0</v>
      </c>
      <c r="EE26">
        <v>10004.1935483871</v>
      </c>
      <c r="EF26">
        <v>0</v>
      </c>
      <c r="EG26">
        <v>1860.7118064516119</v>
      </c>
      <c r="EH26">
        <v>-11.87275161290323</v>
      </c>
      <c r="EI26">
        <v>431.76770967741942</v>
      </c>
      <c r="EJ26">
        <v>443.40187096774201</v>
      </c>
      <c r="EK26">
        <v>1.2427987096774189</v>
      </c>
      <c r="EL26">
        <v>432.0459032258064</v>
      </c>
      <c r="EM26">
        <v>25.610719354838711</v>
      </c>
      <c r="EN26">
        <v>2.6160861290322579</v>
      </c>
      <c r="EO26">
        <v>2.495012258064516</v>
      </c>
      <c r="EP26">
        <v>21.767329032258061</v>
      </c>
      <c r="EQ26">
        <v>20.99395483870968</v>
      </c>
      <c r="ER26">
        <v>200.01</v>
      </c>
      <c r="ES26">
        <v>0.95002751612903225</v>
      </c>
      <c r="ET26">
        <v>4.9972593548387088E-2</v>
      </c>
      <c r="EU26">
        <v>0</v>
      </c>
      <c r="EV26">
        <v>797.07916129032276</v>
      </c>
      <c r="EW26">
        <v>5.0010700000000003</v>
      </c>
      <c r="EX26">
        <v>5139.8964516129035</v>
      </c>
      <c r="EY26">
        <v>1751.937419354839</v>
      </c>
      <c r="EZ26">
        <v>44.061999999999969</v>
      </c>
      <c r="FA26">
        <v>48.682999999999979</v>
      </c>
      <c r="FB26">
        <v>46.311999999999969</v>
      </c>
      <c r="FC26">
        <v>48.061999999999969</v>
      </c>
      <c r="FD26">
        <v>46.145000000000003</v>
      </c>
      <c r="FE26">
        <v>185.26354838709671</v>
      </c>
      <c r="FF26">
        <v>9.7464516129032273</v>
      </c>
      <c r="FG26">
        <v>0</v>
      </c>
      <c r="FH26">
        <v>203.20000004768369</v>
      </c>
      <c r="FI26">
        <v>0</v>
      </c>
      <c r="FJ26">
        <v>797.00900000000001</v>
      </c>
      <c r="FK26">
        <v>-10.099754862475381</v>
      </c>
      <c r="FL26">
        <v>-1644.0686271592549</v>
      </c>
      <c r="FM26">
        <v>5107.7858823529414</v>
      </c>
      <c r="FN26">
        <v>10</v>
      </c>
      <c r="FO26">
        <v>1784569360.0999999</v>
      </c>
      <c r="FP26" t="s">
        <v>452</v>
      </c>
      <c r="FQ26">
        <v>1784568654</v>
      </c>
      <c r="FR26">
        <v>1784569360.0999999</v>
      </c>
      <c r="FS26">
        <v>37</v>
      </c>
      <c r="FT26">
        <v>2.5000000000000001E-2</v>
      </c>
      <c r="FU26">
        <v>-2.8000000000000001E-2</v>
      </c>
      <c r="FV26">
        <v>-6.9450000000000003</v>
      </c>
      <c r="FW26">
        <v>-0.84899999999999998</v>
      </c>
      <c r="FX26">
        <v>461</v>
      </c>
      <c r="FY26">
        <v>26</v>
      </c>
      <c r="FZ26">
        <v>0.23</v>
      </c>
      <c r="GA26">
        <v>0.31</v>
      </c>
      <c r="GB26">
        <v>420.17387096774212</v>
      </c>
      <c r="GC26">
        <v>-0.44395161290298818</v>
      </c>
      <c r="GD26">
        <v>6.0973681226326383E-2</v>
      </c>
      <c r="GE26">
        <v>-1</v>
      </c>
      <c r="GF26">
        <v>797.08220588235304</v>
      </c>
      <c r="GG26">
        <v>-0.32817417486049277</v>
      </c>
      <c r="GH26">
        <v>0.46904287897626801</v>
      </c>
      <c r="GI26">
        <v>1</v>
      </c>
      <c r="GJ26">
        <v>1.251342682926829</v>
      </c>
      <c r="GK26">
        <v>-0.2404990243902432</v>
      </c>
      <c r="GL26">
        <v>3.4961683976325299E-2</v>
      </c>
      <c r="GM26">
        <v>1</v>
      </c>
      <c r="GN26">
        <v>2</v>
      </c>
      <c r="GO26">
        <v>2</v>
      </c>
      <c r="GP26" t="s">
        <v>424</v>
      </c>
      <c r="GQ26">
        <v>3.1316299999999999</v>
      </c>
      <c r="GR26">
        <v>2.7270500000000002</v>
      </c>
      <c r="GS26">
        <v>8.9700199999999994E-2</v>
      </c>
      <c r="GT26">
        <v>9.11888E-2</v>
      </c>
      <c r="GU26">
        <v>0.121272</v>
      </c>
      <c r="GV26">
        <v>0.115338</v>
      </c>
      <c r="GW26">
        <v>22522.9</v>
      </c>
      <c r="GX26">
        <v>30169.4</v>
      </c>
      <c r="GY26">
        <v>26872</v>
      </c>
      <c r="GZ26">
        <v>34184.6</v>
      </c>
      <c r="HA26">
        <v>34623.599999999999</v>
      </c>
      <c r="HB26">
        <v>38312.400000000001</v>
      </c>
      <c r="HC26">
        <v>39686.199999999997</v>
      </c>
      <c r="HD26">
        <v>43369.9</v>
      </c>
      <c r="HE26">
        <v>1.895</v>
      </c>
      <c r="HF26">
        <v>1.5782</v>
      </c>
      <c r="HG26">
        <v>-0.118256</v>
      </c>
      <c r="HH26">
        <v>0</v>
      </c>
      <c r="HI26">
        <v>32.870600000000003</v>
      </c>
      <c r="HJ26">
        <v>999.9</v>
      </c>
      <c r="HK26">
        <v>42.6</v>
      </c>
      <c r="HL26">
        <v>45.6</v>
      </c>
      <c r="HM26">
        <v>43.4679</v>
      </c>
      <c r="HN26">
        <v>60.961300000000001</v>
      </c>
      <c r="HO26">
        <v>5.3325300000000002</v>
      </c>
      <c r="HP26">
        <v>1</v>
      </c>
      <c r="HQ26">
        <v>1.1979299999999999</v>
      </c>
      <c r="HR26">
        <v>8.1509800000000006</v>
      </c>
      <c r="HS26">
        <v>20.089099999999998</v>
      </c>
      <c r="HT26">
        <v>5.2100999999999997</v>
      </c>
      <c r="HU26">
        <v>11.9201</v>
      </c>
      <c r="HV26">
        <v>4.9812000000000003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1.8631</v>
      </c>
      <c r="ID26">
        <v>1.86249</v>
      </c>
      <c r="IE26">
        <v>1.86212</v>
      </c>
      <c r="IF26">
        <v>1.8620300000000001</v>
      </c>
      <c r="IG26">
        <v>1.86252</v>
      </c>
      <c r="IH26">
        <v>1.8635600000000001</v>
      </c>
      <c r="II26">
        <v>1.86148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-6.7939999999999996</v>
      </c>
      <c r="IX26">
        <v>-0.84899999999999998</v>
      </c>
      <c r="IY26">
        <v>-4.8038095179797526</v>
      </c>
      <c r="IZ26">
        <v>-5.6215304933332991E-3</v>
      </c>
      <c r="JA26">
        <v>2.3979931213773931E-6</v>
      </c>
      <c r="JB26">
        <v>-3.6297174575716598E-10</v>
      </c>
      <c r="JC26">
        <v>-1.290914802538849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11.4</v>
      </c>
      <c r="JL26">
        <v>3</v>
      </c>
      <c r="JM26">
        <v>1.1071800000000001</v>
      </c>
      <c r="JN26">
        <v>2.5720200000000002</v>
      </c>
      <c r="JO26">
        <v>1.50024</v>
      </c>
      <c r="JP26">
        <v>2.2656200000000002</v>
      </c>
      <c r="JQ26">
        <v>1.4477500000000001</v>
      </c>
      <c r="JR26">
        <v>2.4841299999999999</v>
      </c>
      <c r="JS26">
        <v>48.1479</v>
      </c>
      <c r="JT26">
        <v>15.2791</v>
      </c>
      <c r="JU26">
        <v>18</v>
      </c>
      <c r="JV26">
        <v>549.89400000000001</v>
      </c>
      <c r="JW26">
        <v>356.74</v>
      </c>
      <c r="JX26">
        <v>25.405999999999999</v>
      </c>
      <c r="JY26">
        <v>41.114100000000001</v>
      </c>
      <c r="JZ26">
        <v>30.000299999999999</v>
      </c>
      <c r="KA26">
        <v>41.341200000000001</v>
      </c>
      <c r="KB26">
        <v>41.375</v>
      </c>
      <c r="KC26">
        <v>22.138300000000001</v>
      </c>
      <c r="KD26">
        <v>44.343699999999998</v>
      </c>
      <c r="KE26">
        <v>0</v>
      </c>
      <c r="KF26">
        <v>25.3431</v>
      </c>
      <c r="KG26">
        <v>431.85500000000002</v>
      </c>
      <c r="KH26">
        <v>25.783100000000001</v>
      </c>
      <c r="KI26">
        <v>99.181799999999996</v>
      </c>
      <c r="KJ26">
        <v>97.580100000000002</v>
      </c>
    </row>
    <row r="27" spans="1:296" x14ac:dyDescent="0.3">
      <c r="A27">
        <v>11</v>
      </c>
      <c r="B27">
        <v>1784569541.0999999</v>
      </c>
      <c r="C27">
        <v>1892.099999904633</v>
      </c>
      <c r="D27" t="s">
        <v>453</v>
      </c>
      <c r="E27" t="s">
        <v>454</v>
      </c>
      <c r="F27">
        <v>15</v>
      </c>
      <c r="H27">
        <v>1784569533.349999</v>
      </c>
      <c r="I27">
        <f t="shared" si="0"/>
        <v>6.2732546424103589E-4</v>
      </c>
      <c r="J27">
        <f t="shared" si="1"/>
        <v>0.62732546424103586</v>
      </c>
      <c r="K27">
        <f t="shared" si="2"/>
        <v>2.8568239090816241</v>
      </c>
      <c r="L27">
        <f t="shared" si="3"/>
        <v>420.11669999999998</v>
      </c>
      <c r="M27">
        <f t="shared" si="4"/>
        <v>265.85326253344931</v>
      </c>
      <c r="N27">
        <f t="shared" si="5"/>
        <v>25.911581421299097</v>
      </c>
      <c r="O27">
        <f t="shared" si="6"/>
        <v>40.94697945310277</v>
      </c>
      <c r="P27">
        <f t="shared" si="7"/>
        <v>3.2030518979482038E-2</v>
      </c>
      <c r="Q27">
        <f t="shared" si="8"/>
        <v>2.8838182161919259</v>
      </c>
      <c r="R27">
        <f t="shared" si="9"/>
        <v>3.1834181194383013E-2</v>
      </c>
      <c r="S27">
        <f t="shared" si="10"/>
        <v>1.9913902945074592E-2</v>
      </c>
      <c r="T27">
        <f t="shared" si="11"/>
        <v>16.511130296937104</v>
      </c>
      <c r="U27">
        <f t="shared" si="12"/>
        <v>30.412266062569749</v>
      </c>
      <c r="V27">
        <f t="shared" si="13"/>
        <v>30.858853333333329</v>
      </c>
      <c r="W27">
        <f t="shared" si="14"/>
        <v>4.4751984669896361</v>
      </c>
      <c r="X27">
        <f t="shared" si="15"/>
        <v>59.93288644789034</v>
      </c>
      <c r="Y27">
        <f t="shared" si="16"/>
        <v>2.624488861850848</v>
      </c>
      <c r="Z27">
        <f t="shared" si="17"/>
        <v>4.3790463256475292</v>
      </c>
      <c r="AA27">
        <f t="shared" si="18"/>
        <v>1.8507096051387881</v>
      </c>
      <c r="AB27">
        <f t="shared" si="19"/>
        <v>-27.665052973029681</v>
      </c>
      <c r="AC27">
        <f t="shared" si="20"/>
        <v>-59.080033156466854</v>
      </c>
      <c r="AD27">
        <f t="shared" si="21"/>
        <v>-4.5854817453602053</v>
      </c>
      <c r="AE27">
        <f t="shared" si="22"/>
        <v>-74.819437577919643</v>
      </c>
      <c r="AF27">
        <f t="shared" si="23"/>
        <v>2.8568239090816241</v>
      </c>
      <c r="AG27">
        <f t="shared" si="24"/>
        <v>0.62732546424103586</v>
      </c>
      <c r="AH27">
        <f t="shared" si="25"/>
        <v>2.7821674115864892</v>
      </c>
      <c r="AI27">
        <v>435.16872418562531</v>
      </c>
      <c r="AJ27">
        <v>431.71973939393939</v>
      </c>
      <c r="AK27">
        <v>3.9713835764506114E-3</v>
      </c>
      <c r="AL27">
        <v>66.981061792619414</v>
      </c>
      <c r="AM27">
        <f t="shared" si="26"/>
        <v>0.6238817476550379</v>
      </c>
      <c r="AN27">
        <v>26.195687820328661</v>
      </c>
      <c r="AO27">
        <v>26.92438666666666</v>
      </c>
      <c r="AP27">
        <v>-3.1162896148447493E-5</v>
      </c>
      <c r="AQ27">
        <v>78.125698211932786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50920.212358115787</v>
      </c>
      <c r="AW27" t="s">
        <v>406</v>
      </c>
      <c r="AX27">
        <v>5079.1099999999997</v>
      </c>
      <c r="AY27">
        <v>610.81764705882347</v>
      </c>
      <c r="AZ27">
        <v>2513.0700000000002</v>
      </c>
      <c r="BA27">
        <f t="shared" si="30"/>
        <v>0.75694363982745272</v>
      </c>
      <c r="BB27">
        <v>-3.1371646480539188</v>
      </c>
      <c r="BC27" t="s">
        <v>455</v>
      </c>
      <c r="BD27">
        <v>5080.88</v>
      </c>
      <c r="BE27">
        <v>775.63794117647069</v>
      </c>
      <c r="BF27">
        <v>2055.9499999999998</v>
      </c>
      <c r="BG27">
        <f t="shared" si="31"/>
        <v>0.62273501730272107</v>
      </c>
      <c r="BH27">
        <v>0.5</v>
      </c>
      <c r="BI27">
        <f t="shared" si="32"/>
        <v>84.285377985977746</v>
      </c>
      <c r="BJ27">
        <f t="shared" si="33"/>
        <v>2.8568239090816241</v>
      </c>
      <c r="BK27">
        <f t="shared" si="34"/>
        <v>26.24372815923212</v>
      </c>
      <c r="BL27">
        <f t="shared" si="35"/>
        <v>7.1115402224722082E-2</v>
      </c>
      <c r="BM27">
        <f t="shared" si="36"/>
        <v>0.22234003745227285</v>
      </c>
      <c r="BN27">
        <f t="shared" si="37"/>
        <v>579.50075396405236</v>
      </c>
      <c r="BO27" t="s">
        <v>408</v>
      </c>
      <c r="BP27">
        <v>0</v>
      </c>
      <c r="BQ27">
        <f t="shared" si="38"/>
        <v>579.50075396405236</v>
      </c>
      <c r="BR27">
        <f t="shared" si="39"/>
        <v>0.71813480193387369</v>
      </c>
      <c r="BS27">
        <f t="shared" si="40"/>
        <v>0.86715616013281993</v>
      </c>
      <c r="BT27">
        <f t="shared" si="41"/>
        <v>0.23641253135213644</v>
      </c>
      <c r="BU27">
        <f t="shared" si="42"/>
        <v>0.88594795917328961</v>
      </c>
      <c r="BV27">
        <f t="shared" si="43"/>
        <v>0.24030460485078231</v>
      </c>
      <c r="BW27">
        <f t="shared" si="44"/>
        <v>0.6478765696264599</v>
      </c>
      <c r="BX27">
        <f t="shared" si="45"/>
        <v>0.3521234303735401</v>
      </c>
      <c r="DG27">
        <f t="shared" si="46"/>
        <v>99.999759999999995</v>
      </c>
      <c r="DH27">
        <f t="shared" si="47"/>
        <v>84.285377985977746</v>
      </c>
      <c r="DI27">
        <f t="shared" si="48"/>
        <v>0.84285580271370408</v>
      </c>
      <c r="DJ27">
        <f t="shared" si="49"/>
        <v>0.16511169923744923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1784569533.349999</v>
      </c>
      <c r="DQ27">
        <v>420.11669999999998</v>
      </c>
      <c r="DR27">
        <v>423.86120000000011</v>
      </c>
      <c r="DS27">
        <v>26.927299999999999</v>
      </c>
      <c r="DT27">
        <v>26.194769999999998</v>
      </c>
      <c r="DU27">
        <v>426.84733333333332</v>
      </c>
      <c r="DV27">
        <v>27.72587333333334</v>
      </c>
      <c r="DW27">
        <v>499.99313333333328</v>
      </c>
      <c r="DX27">
        <v>97.414189999999991</v>
      </c>
      <c r="DY27">
        <v>5.1536673333333331E-2</v>
      </c>
      <c r="DZ27">
        <v>30.478850000000001</v>
      </c>
      <c r="EA27">
        <v>30.858853333333329</v>
      </c>
      <c r="EB27">
        <v>999.9000000000002</v>
      </c>
      <c r="EC27">
        <v>0</v>
      </c>
      <c r="ED27">
        <v>0</v>
      </c>
      <c r="EE27">
        <v>10000.16666666667</v>
      </c>
      <c r="EF27">
        <v>0</v>
      </c>
      <c r="EG27">
        <v>1969.205666666666</v>
      </c>
      <c r="EH27">
        <v>-3.7446139999999999</v>
      </c>
      <c r="EI27">
        <v>431.74243333333328</v>
      </c>
      <c r="EJ27">
        <v>435.26293333333342</v>
      </c>
      <c r="EK27">
        <v>0.7325092333333334</v>
      </c>
      <c r="EL27">
        <v>423.86120000000011</v>
      </c>
      <c r="EM27">
        <v>26.194769999999998</v>
      </c>
      <c r="EN27">
        <v>2.6230996666666671</v>
      </c>
      <c r="EO27">
        <v>2.551743333333333</v>
      </c>
      <c r="EP27">
        <v>21.81116333333334</v>
      </c>
      <c r="EQ27">
        <v>21.360353333333329</v>
      </c>
      <c r="ER27">
        <v>99.999759999999995</v>
      </c>
      <c r="ES27">
        <v>0.8997638</v>
      </c>
      <c r="ET27">
        <v>0.1002362066666667</v>
      </c>
      <c r="EU27">
        <v>0</v>
      </c>
      <c r="EV27">
        <v>775.57566666666673</v>
      </c>
      <c r="EW27">
        <v>5.0010700000000003</v>
      </c>
      <c r="EX27">
        <v>4172.4073333333326</v>
      </c>
      <c r="EY27">
        <v>836.48969999999997</v>
      </c>
      <c r="EZ27">
        <v>43.766533333333342</v>
      </c>
      <c r="FA27">
        <v>48.620800000000003</v>
      </c>
      <c r="FB27">
        <v>46.120800000000003</v>
      </c>
      <c r="FC27">
        <v>48.061999999999983</v>
      </c>
      <c r="FD27">
        <v>45.875</v>
      </c>
      <c r="FE27">
        <v>85.476333333333315</v>
      </c>
      <c r="FF27">
        <v>9.5189999999999984</v>
      </c>
      <c r="FG27">
        <v>0</v>
      </c>
      <c r="FH27">
        <v>201.20000004768369</v>
      </c>
      <c r="FI27">
        <v>0</v>
      </c>
      <c r="FJ27">
        <v>775.63794117647069</v>
      </c>
      <c r="FK27">
        <v>0.49779407402560921</v>
      </c>
      <c r="FL27">
        <v>-136.20097914714589</v>
      </c>
      <c r="FM27">
        <v>4177.6500000000005</v>
      </c>
      <c r="FN27">
        <v>10</v>
      </c>
      <c r="FO27">
        <v>1784569468.0999999</v>
      </c>
      <c r="FP27" t="s">
        <v>456</v>
      </c>
      <c r="FQ27">
        <v>1784569466.0999999</v>
      </c>
      <c r="FR27">
        <v>1784569468.0999999</v>
      </c>
      <c r="FS27">
        <v>38</v>
      </c>
      <c r="FT27">
        <v>6.4000000000000001E-2</v>
      </c>
      <c r="FU27">
        <v>2.1999999999999999E-2</v>
      </c>
      <c r="FV27">
        <v>-6.7480000000000002</v>
      </c>
      <c r="FW27">
        <v>-0.84599999999999997</v>
      </c>
      <c r="FX27">
        <v>425</v>
      </c>
      <c r="FY27">
        <v>25</v>
      </c>
      <c r="FZ27">
        <v>1.5</v>
      </c>
      <c r="GA27">
        <v>0.21</v>
      </c>
      <c r="GB27">
        <v>420.11863333333332</v>
      </c>
      <c r="GC27">
        <v>-0.73844716351528206</v>
      </c>
      <c r="GD27">
        <v>6.4055956440877221E-2</v>
      </c>
      <c r="GE27">
        <v>-1</v>
      </c>
      <c r="GF27">
        <v>775.5200000000001</v>
      </c>
      <c r="GG27">
        <v>1.0975401020234301</v>
      </c>
      <c r="GH27">
        <v>0.1953551818069369</v>
      </c>
      <c r="GI27">
        <v>1</v>
      </c>
      <c r="GJ27">
        <v>0.7308939000000001</v>
      </c>
      <c r="GK27">
        <v>1.7192037523451682E-2</v>
      </c>
      <c r="GL27">
        <v>4.796686975402923E-3</v>
      </c>
      <c r="GM27">
        <v>1</v>
      </c>
      <c r="GN27">
        <v>2</v>
      </c>
      <c r="GO27">
        <v>2</v>
      </c>
      <c r="GP27" t="s">
        <v>424</v>
      </c>
      <c r="GQ27">
        <v>3.1328299999999998</v>
      </c>
      <c r="GR27">
        <v>2.72709</v>
      </c>
      <c r="GS27">
        <v>8.9694800000000005E-2</v>
      </c>
      <c r="GT27">
        <v>8.99065E-2</v>
      </c>
      <c r="GU27">
        <v>0.121394</v>
      </c>
      <c r="GV27">
        <v>0.116933</v>
      </c>
      <c r="GW27">
        <v>22524.7</v>
      </c>
      <c r="GX27">
        <v>30214.7</v>
      </c>
      <c r="GY27">
        <v>26874</v>
      </c>
      <c r="GZ27">
        <v>34187.599999999999</v>
      </c>
      <c r="HA27">
        <v>34620.699999999997</v>
      </c>
      <c r="HB27">
        <v>38246.9</v>
      </c>
      <c r="HC27">
        <v>39688.300000000003</v>
      </c>
      <c r="HD27">
        <v>43373.599999999999</v>
      </c>
      <c r="HE27">
        <v>1.8939999999999999</v>
      </c>
      <c r="HF27">
        <v>1.5798000000000001</v>
      </c>
      <c r="HG27">
        <v>-0.122517</v>
      </c>
      <c r="HH27">
        <v>0</v>
      </c>
      <c r="HI27">
        <v>32.832599999999999</v>
      </c>
      <c r="HJ27">
        <v>999.9</v>
      </c>
      <c r="HK27">
        <v>42.7</v>
      </c>
      <c r="HL27">
        <v>45.5</v>
      </c>
      <c r="HM27">
        <v>43.354500000000002</v>
      </c>
      <c r="HN27">
        <v>61.131399999999999</v>
      </c>
      <c r="HO27">
        <v>5.1642599999999996</v>
      </c>
      <c r="HP27">
        <v>1</v>
      </c>
      <c r="HQ27">
        <v>1.1854100000000001</v>
      </c>
      <c r="HR27">
        <v>6.6792999999999996</v>
      </c>
      <c r="HS27">
        <v>20.150300000000001</v>
      </c>
      <c r="HT27">
        <v>5.2088999999999999</v>
      </c>
      <c r="HU27">
        <v>11.918900000000001</v>
      </c>
      <c r="HV27">
        <v>4.9816000000000003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1.8631</v>
      </c>
      <c r="ID27">
        <v>1.8626100000000001</v>
      </c>
      <c r="IE27">
        <v>1.8621799999999999</v>
      </c>
      <c r="IF27">
        <v>1.8620300000000001</v>
      </c>
      <c r="IG27">
        <v>1.8626400000000001</v>
      </c>
      <c r="IH27">
        <v>1.8635600000000001</v>
      </c>
      <c r="II27">
        <v>1.86151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-6.7309999999999999</v>
      </c>
      <c r="IX27">
        <v>-0.79859999999999998</v>
      </c>
      <c r="IY27">
        <v>-4.7397384517528574</v>
      </c>
      <c r="IZ27">
        <v>-5.6215304933332991E-3</v>
      </c>
      <c r="JA27">
        <v>2.3979931213773931E-6</v>
      </c>
      <c r="JB27">
        <v>-3.6297174575716598E-10</v>
      </c>
      <c r="JC27">
        <v>-1.297160058833166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1.2</v>
      </c>
      <c r="JL27">
        <v>1.2</v>
      </c>
      <c r="JM27">
        <v>1.09009</v>
      </c>
      <c r="JN27">
        <v>2.5805699999999998</v>
      </c>
      <c r="JO27">
        <v>1.50024</v>
      </c>
      <c r="JP27">
        <v>2.2656200000000002</v>
      </c>
      <c r="JQ27">
        <v>1.4477500000000001</v>
      </c>
      <c r="JR27">
        <v>2.3645</v>
      </c>
      <c r="JS27">
        <v>48.117400000000004</v>
      </c>
      <c r="JT27">
        <v>15.2791</v>
      </c>
      <c r="JU27">
        <v>18</v>
      </c>
      <c r="JV27">
        <v>549.13199999999995</v>
      </c>
      <c r="JW27">
        <v>357.62</v>
      </c>
      <c r="JX27">
        <v>26.011600000000001</v>
      </c>
      <c r="JY27">
        <v>41.105800000000002</v>
      </c>
      <c r="JZ27">
        <v>30</v>
      </c>
      <c r="KA27">
        <v>41.332999999999998</v>
      </c>
      <c r="KB27">
        <v>41.371000000000002</v>
      </c>
      <c r="KC27">
        <v>21.814399999999999</v>
      </c>
      <c r="KD27">
        <v>43.716099999999997</v>
      </c>
      <c r="KE27">
        <v>0</v>
      </c>
      <c r="KF27">
        <v>26.025300000000001</v>
      </c>
      <c r="KG27">
        <v>423.76100000000002</v>
      </c>
      <c r="KH27">
        <v>26.258400000000002</v>
      </c>
      <c r="KI27">
        <v>99.188000000000002</v>
      </c>
      <c r="KJ27">
        <v>97.588399999999993</v>
      </c>
    </row>
    <row r="28" spans="1:296" x14ac:dyDescent="0.3">
      <c r="A28">
        <v>12</v>
      </c>
      <c r="B28">
        <v>1784569723.5999999</v>
      </c>
      <c r="C28">
        <v>2074.599999904633</v>
      </c>
      <c r="D28" t="s">
        <v>457</v>
      </c>
      <c r="E28" t="s">
        <v>458</v>
      </c>
      <c r="F28">
        <v>15</v>
      </c>
      <c r="H28">
        <v>1784569715.849999</v>
      </c>
      <c r="I28">
        <f t="shared" si="0"/>
        <v>3.8006443015496238E-4</v>
      </c>
      <c r="J28">
        <f t="shared" si="1"/>
        <v>0.38006443015496238</v>
      </c>
      <c r="K28">
        <f t="shared" si="2"/>
        <v>1.4565983827067992E-2</v>
      </c>
      <c r="L28">
        <f t="shared" si="3"/>
        <v>420.01633333333342</v>
      </c>
      <c r="M28">
        <f t="shared" si="4"/>
        <v>405.70851903406918</v>
      </c>
      <c r="N28">
        <f t="shared" si="5"/>
        <v>39.543253125599414</v>
      </c>
      <c r="O28">
        <f t="shared" si="6"/>
        <v>40.937795009651801</v>
      </c>
      <c r="P28">
        <f t="shared" si="7"/>
        <v>1.9236959422552512E-2</v>
      </c>
      <c r="Q28">
        <f t="shared" si="8"/>
        <v>2.8839885927395095</v>
      </c>
      <c r="R28">
        <f t="shared" si="9"/>
        <v>1.916595710741547E-2</v>
      </c>
      <c r="S28">
        <f t="shared" si="10"/>
        <v>1.1985080528742234E-2</v>
      </c>
      <c r="T28">
        <f t="shared" si="11"/>
        <v>8.2404330639029162</v>
      </c>
      <c r="U28">
        <f t="shared" si="12"/>
        <v>30.467064501970206</v>
      </c>
      <c r="V28">
        <f t="shared" si="13"/>
        <v>30.902186666666669</v>
      </c>
      <c r="W28">
        <f t="shared" si="14"/>
        <v>4.4862790298784532</v>
      </c>
      <c r="X28">
        <f t="shared" si="15"/>
        <v>59.787575170618133</v>
      </c>
      <c r="Y28">
        <f t="shared" si="16"/>
        <v>2.6239865733643932</v>
      </c>
      <c r="Z28">
        <f t="shared" si="17"/>
        <v>4.3888492983303307</v>
      </c>
      <c r="AA28">
        <f t="shared" si="18"/>
        <v>1.8622924565140599</v>
      </c>
      <c r="AB28">
        <f t="shared" si="19"/>
        <v>-16.760841369833841</v>
      </c>
      <c r="AC28">
        <f t="shared" si="20"/>
        <v>-59.745875202681468</v>
      </c>
      <c r="AD28">
        <f t="shared" si="21"/>
        <v>-4.6387747239431585</v>
      </c>
      <c r="AE28">
        <f t="shared" si="22"/>
        <v>-72.905058232555547</v>
      </c>
      <c r="AF28">
        <f t="shared" si="23"/>
        <v>1.4565983827067992E-2</v>
      </c>
      <c r="AG28">
        <f t="shared" si="24"/>
        <v>0.38006443015496238</v>
      </c>
      <c r="AH28">
        <f t="shared" si="25"/>
        <v>0.12832965199433302</v>
      </c>
      <c r="AI28">
        <v>431.70698439794512</v>
      </c>
      <c r="AJ28">
        <v>431.58010303030301</v>
      </c>
      <c r="AK28">
        <v>-6.0552393964390444E-3</v>
      </c>
      <c r="AL28">
        <v>66.980892522202737</v>
      </c>
      <c r="AM28">
        <f t="shared" si="26"/>
        <v>0.38323631318965123</v>
      </c>
      <c r="AN28">
        <v>26.481046625201721</v>
      </c>
      <c r="AO28">
        <v>26.9290618181818</v>
      </c>
      <c r="AP28">
        <v>-8.7612909594945399E-5</v>
      </c>
      <c r="AQ28">
        <v>78.125622665636101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50918.472116682984</v>
      </c>
      <c r="AW28" t="s">
        <v>406</v>
      </c>
      <c r="AX28">
        <v>5079.1099999999997</v>
      </c>
      <c r="AY28">
        <v>610.81764705882347</v>
      </c>
      <c r="AZ28">
        <v>2513.0700000000002</v>
      </c>
      <c r="BA28">
        <f t="shared" si="30"/>
        <v>0.75694363982745272</v>
      </c>
      <c r="BB28">
        <v>-3.1371646480539188</v>
      </c>
      <c r="BC28" t="s">
        <v>459</v>
      </c>
      <c r="BD28">
        <v>5083.3</v>
      </c>
      <c r="BE28">
        <v>758.20158823529414</v>
      </c>
      <c r="BF28">
        <v>2158.4899999999998</v>
      </c>
      <c r="BG28">
        <f t="shared" si="31"/>
        <v>0.64873518606280589</v>
      </c>
      <c r="BH28">
        <v>0.5</v>
      </c>
      <c r="BI28">
        <f t="shared" si="32"/>
        <v>42.131945529483367</v>
      </c>
      <c r="BJ28">
        <f t="shared" si="33"/>
        <v>1.4565983827067992E-2</v>
      </c>
      <c r="BK28">
        <f t="shared" si="34"/>
        <v>13.666237761128697</v>
      </c>
      <c r="BL28">
        <f t="shared" si="35"/>
        <v>7.4806197346748399E-2</v>
      </c>
      <c r="BM28">
        <f t="shared" si="36"/>
        <v>0.16427224587558914</v>
      </c>
      <c r="BN28">
        <f t="shared" si="37"/>
        <v>587.36565527727237</v>
      </c>
      <c r="BO28" t="s">
        <v>408</v>
      </c>
      <c r="BP28">
        <v>0</v>
      </c>
      <c r="BQ28">
        <f t="shared" si="38"/>
        <v>587.36565527727237</v>
      </c>
      <c r="BR28">
        <f t="shared" si="39"/>
        <v>0.72788122470927719</v>
      </c>
      <c r="BS28">
        <f t="shared" si="40"/>
        <v>0.89126517354794665</v>
      </c>
      <c r="BT28">
        <f t="shared" si="41"/>
        <v>0.1841300306413623</v>
      </c>
      <c r="BU28">
        <f t="shared" si="42"/>
        <v>0.90477057957623641</v>
      </c>
      <c r="BV28">
        <f t="shared" si="43"/>
        <v>0.18640008485297169</v>
      </c>
      <c r="BW28">
        <f t="shared" si="44"/>
        <v>0.69044771312763753</v>
      </c>
      <c r="BX28">
        <f t="shared" si="45"/>
        <v>0.30955228687236247</v>
      </c>
      <c r="DG28">
        <f t="shared" si="46"/>
        <v>49.996046666666658</v>
      </c>
      <c r="DH28">
        <f t="shared" si="47"/>
        <v>42.131945529483367</v>
      </c>
      <c r="DI28">
        <f t="shared" si="48"/>
        <v>0.84270554050773694</v>
      </c>
      <c r="DJ28">
        <f t="shared" si="49"/>
        <v>0.16482169317993245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1784569715.849999</v>
      </c>
      <c r="DQ28">
        <v>420.01633333333342</v>
      </c>
      <c r="DR28">
        <v>420.22536666666679</v>
      </c>
      <c r="DS28">
        <v>26.921753333333339</v>
      </c>
      <c r="DT28">
        <v>26.477966666666671</v>
      </c>
      <c r="DU28">
        <v>426.70926666666662</v>
      </c>
      <c r="DV28">
        <v>27.747123333333331</v>
      </c>
      <c r="DW28">
        <v>500.0138</v>
      </c>
      <c r="DX28">
        <v>97.415616666666665</v>
      </c>
      <c r="DY28">
        <v>5.1533443333333338E-2</v>
      </c>
      <c r="DZ28">
        <v>30.517923333333329</v>
      </c>
      <c r="EA28">
        <v>30.902186666666669</v>
      </c>
      <c r="EB28">
        <v>999.9000000000002</v>
      </c>
      <c r="EC28">
        <v>0</v>
      </c>
      <c r="ED28">
        <v>0</v>
      </c>
      <c r="EE28">
        <v>10001</v>
      </c>
      <c r="EF28">
        <v>0</v>
      </c>
      <c r="EG28">
        <v>1963.3746666666671</v>
      </c>
      <c r="EH28">
        <v>-0.2088765433333333</v>
      </c>
      <c r="EI28">
        <v>431.63690000000003</v>
      </c>
      <c r="EJ28">
        <v>431.65466666666663</v>
      </c>
      <c r="EK28">
        <v>0.4437949333333332</v>
      </c>
      <c r="EL28">
        <v>420.22536666666679</v>
      </c>
      <c r="EM28">
        <v>26.477966666666671</v>
      </c>
      <c r="EN28">
        <v>2.6225996666666669</v>
      </c>
      <c r="EO28">
        <v>2.5793663333333332</v>
      </c>
      <c r="EP28">
        <v>21.80802666666666</v>
      </c>
      <c r="EQ28">
        <v>21.536159999999999</v>
      </c>
      <c r="ER28">
        <v>49.996046666666658</v>
      </c>
      <c r="ES28">
        <v>0.89981363333333353</v>
      </c>
      <c r="ET28">
        <v>0.10018649333333331</v>
      </c>
      <c r="EU28">
        <v>0</v>
      </c>
      <c r="EV28">
        <v>758.29553333333331</v>
      </c>
      <c r="EW28">
        <v>5.0010700000000003</v>
      </c>
      <c r="EX28">
        <v>3783.563666666666</v>
      </c>
      <c r="EY28">
        <v>396.2009666666666</v>
      </c>
      <c r="EZ28">
        <v>43.774799999999992</v>
      </c>
      <c r="FA28">
        <v>48.75</v>
      </c>
      <c r="FB28">
        <v>46.133266666666671</v>
      </c>
      <c r="FC28">
        <v>48.266533333333328</v>
      </c>
      <c r="FD28">
        <v>45.934933333333312</v>
      </c>
      <c r="FE28">
        <v>40.487333333333339</v>
      </c>
      <c r="FF28">
        <v>4.5090000000000003</v>
      </c>
      <c r="FG28">
        <v>0</v>
      </c>
      <c r="FH28">
        <v>182</v>
      </c>
      <c r="FI28">
        <v>0</v>
      </c>
      <c r="FJ28">
        <v>758.20158823529414</v>
      </c>
      <c r="FK28">
        <v>-1.7247548679610381</v>
      </c>
      <c r="FL28">
        <v>-86.497548159229083</v>
      </c>
      <c r="FM28">
        <v>3773.4594117647061</v>
      </c>
      <c r="FN28">
        <v>10</v>
      </c>
      <c r="FO28">
        <v>1784569647.5999999</v>
      </c>
      <c r="FP28" t="s">
        <v>460</v>
      </c>
      <c r="FQ28">
        <v>1784569645.0999999</v>
      </c>
      <c r="FR28">
        <v>1784569647.5999999</v>
      </c>
      <c r="FS28">
        <v>39</v>
      </c>
      <c r="FT28">
        <v>3.7999999999999999E-2</v>
      </c>
      <c r="FU28">
        <v>-2.7E-2</v>
      </c>
      <c r="FV28">
        <v>-6.6950000000000003</v>
      </c>
      <c r="FW28">
        <v>-0.84299999999999997</v>
      </c>
      <c r="FX28">
        <v>421</v>
      </c>
      <c r="FY28">
        <v>26</v>
      </c>
      <c r="FZ28">
        <v>1.68</v>
      </c>
      <c r="GA28">
        <v>0.5</v>
      </c>
      <c r="GB28">
        <v>420.0182666666667</v>
      </c>
      <c r="GC28">
        <v>-0.15804226918764661</v>
      </c>
      <c r="GD28">
        <v>5.5903448512194143E-2</v>
      </c>
      <c r="GE28">
        <v>-1</v>
      </c>
      <c r="GF28">
        <v>758.36155882352932</v>
      </c>
      <c r="GG28">
        <v>-1.128357524764398</v>
      </c>
      <c r="GH28">
        <v>0.22774614236760121</v>
      </c>
      <c r="GI28">
        <v>1</v>
      </c>
      <c r="GJ28">
        <v>0.45044992499999997</v>
      </c>
      <c r="GK28">
        <v>-0.101834397748593</v>
      </c>
      <c r="GL28">
        <v>3.596638763928587E-2</v>
      </c>
      <c r="GM28">
        <v>1</v>
      </c>
      <c r="GN28">
        <v>2</v>
      </c>
      <c r="GO28">
        <v>2</v>
      </c>
      <c r="GP28" t="s">
        <v>424</v>
      </c>
      <c r="GQ28">
        <v>3.1312799999999998</v>
      </c>
      <c r="GR28">
        <v>2.7274099999999999</v>
      </c>
      <c r="GS28">
        <v>8.9645900000000001E-2</v>
      </c>
      <c r="GT28">
        <v>8.9280799999999993E-2</v>
      </c>
      <c r="GU28">
        <v>0.12148100000000001</v>
      </c>
      <c r="GV28">
        <v>0.117826</v>
      </c>
      <c r="GW28">
        <v>22521.200000000001</v>
      </c>
      <c r="GX28">
        <v>30227.3</v>
      </c>
      <c r="GY28">
        <v>26868.799999999999</v>
      </c>
      <c r="GZ28">
        <v>34179</v>
      </c>
      <c r="HA28">
        <v>34612.199999999997</v>
      </c>
      <c r="HB28">
        <v>38201.599999999999</v>
      </c>
      <c r="HC28">
        <v>39681.9</v>
      </c>
      <c r="HD28">
        <v>43365.5</v>
      </c>
      <c r="HE28">
        <v>1.8932</v>
      </c>
      <c r="HF28">
        <v>1.5798000000000001</v>
      </c>
      <c r="HG28">
        <v>-0.12576599999999999</v>
      </c>
      <c r="HH28">
        <v>0</v>
      </c>
      <c r="HI28">
        <v>32.929299999999998</v>
      </c>
      <c r="HJ28">
        <v>999.9</v>
      </c>
      <c r="HK28">
        <v>42.7</v>
      </c>
      <c r="HL28">
        <v>45.5</v>
      </c>
      <c r="HM28">
        <v>43.350099999999998</v>
      </c>
      <c r="HN28">
        <v>61.141399999999997</v>
      </c>
      <c r="HO28">
        <v>5.2163500000000003</v>
      </c>
      <c r="HP28">
        <v>1</v>
      </c>
      <c r="HQ28">
        <v>1.20333</v>
      </c>
      <c r="HR28">
        <v>7.5707599999999999</v>
      </c>
      <c r="HS28">
        <v>20.115500000000001</v>
      </c>
      <c r="HT28">
        <v>5.2100999999999997</v>
      </c>
      <c r="HU28">
        <v>11.9201</v>
      </c>
      <c r="HV28">
        <v>4.9816000000000003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1.8631</v>
      </c>
      <c r="ID28">
        <v>1.86249</v>
      </c>
      <c r="IE28">
        <v>1.86206</v>
      </c>
      <c r="IF28">
        <v>1.86209</v>
      </c>
      <c r="IG28">
        <v>1.8626100000000001</v>
      </c>
      <c r="IH28">
        <v>1.8635600000000001</v>
      </c>
      <c r="II28">
        <v>1.86145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-6.6929999999999996</v>
      </c>
      <c r="IX28">
        <v>-0.82509999999999994</v>
      </c>
      <c r="IY28">
        <v>-4.7023347280171706</v>
      </c>
      <c r="IZ28">
        <v>-5.6215304933332991E-3</v>
      </c>
      <c r="JA28">
        <v>2.3979931213773931E-6</v>
      </c>
      <c r="JB28">
        <v>-3.6297174575716598E-10</v>
      </c>
      <c r="JC28">
        <v>-1.324567290522628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1.0827599999999999</v>
      </c>
      <c r="JN28">
        <v>2.5720200000000002</v>
      </c>
      <c r="JO28">
        <v>1.50024</v>
      </c>
      <c r="JP28">
        <v>2.2656200000000002</v>
      </c>
      <c r="JQ28">
        <v>1.4477500000000001</v>
      </c>
      <c r="JR28">
        <v>2.50488</v>
      </c>
      <c r="JS28">
        <v>48.1785</v>
      </c>
      <c r="JT28">
        <v>15.2178</v>
      </c>
      <c r="JU28">
        <v>18</v>
      </c>
      <c r="JV28">
        <v>549.21100000000001</v>
      </c>
      <c r="JW28">
        <v>358.053</v>
      </c>
      <c r="JX28">
        <v>25.671199999999999</v>
      </c>
      <c r="JY28">
        <v>41.209299999999999</v>
      </c>
      <c r="JZ28">
        <v>30.0002</v>
      </c>
      <c r="KA28">
        <v>41.418500000000002</v>
      </c>
      <c r="KB28">
        <v>41.459899999999998</v>
      </c>
      <c r="KC28">
        <v>21.6721</v>
      </c>
      <c r="KD28">
        <v>43.280200000000001</v>
      </c>
      <c r="KE28">
        <v>0</v>
      </c>
      <c r="KF28">
        <v>25.657800000000002</v>
      </c>
      <c r="KG28">
        <v>420.27300000000002</v>
      </c>
      <c r="KH28">
        <v>26.442799999999998</v>
      </c>
      <c r="KI28">
        <v>99.170699999999997</v>
      </c>
      <c r="KJ28">
        <v>97.567499999999995</v>
      </c>
    </row>
    <row r="29" spans="1:296" x14ac:dyDescent="0.3">
      <c r="A29">
        <v>13</v>
      </c>
      <c r="B29">
        <v>1784569906.0999999</v>
      </c>
      <c r="C29">
        <v>2257.099999904633</v>
      </c>
      <c r="D29" t="s">
        <v>461</v>
      </c>
      <c r="E29" t="s">
        <v>462</v>
      </c>
      <c r="F29">
        <v>15</v>
      </c>
      <c r="H29">
        <v>1784569898.349999</v>
      </c>
      <c r="I29">
        <f t="shared" si="0"/>
        <v>5.0197774159931334E-4</v>
      </c>
      <c r="J29">
        <f t="shared" si="1"/>
        <v>0.5019777415993133</v>
      </c>
      <c r="K29">
        <f t="shared" si="2"/>
        <v>-4.0591547578554286</v>
      </c>
      <c r="L29">
        <f t="shared" si="3"/>
        <v>420.07709999999992</v>
      </c>
      <c r="M29">
        <f t="shared" si="4"/>
        <v>659.18512448155559</v>
      </c>
      <c r="N29">
        <f t="shared" si="5"/>
        <v>64.252545063156361</v>
      </c>
      <c r="O29">
        <f t="shared" si="6"/>
        <v>40.946043524538389</v>
      </c>
      <c r="P29">
        <f t="shared" si="7"/>
        <v>2.5455761570126464E-2</v>
      </c>
      <c r="Q29">
        <f t="shared" si="8"/>
        <v>2.8839191873877388</v>
      </c>
      <c r="R29">
        <f t="shared" si="9"/>
        <v>2.5331589704544442E-2</v>
      </c>
      <c r="S29">
        <f t="shared" si="10"/>
        <v>1.5843349293901667E-2</v>
      </c>
      <c r="T29">
        <f t="shared" si="11"/>
        <v>1.5966703903835998E-4</v>
      </c>
      <c r="U29">
        <f t="shared" si="12"/>
        <v>30.368724673616622</v>
      </c>
      <c r="V29">
        <f t="shared" si="13"/>
        <v>30.894586666666669</v>
      </c>
      <c r="W29">
        <f t="shared" si="14"/>
        <v>4.4843339432558009</v>
      </c>
      <c r="X29">
        <f t="shared" si="15"/>
        <v>59.828268998767051</v>
      </c>
      <c r="Y29">
        <f t="shared" si="16"/>
        <v>2.6232109350338715</v>
      </c>
      <c r="Z29">
        <f t="shared" si="17"/>
        <v>4.3845676616315457</v>
      </c>
      <c r="AA29">
        <f t="shared" si="18"/>
        <v>1.8611230082219294</v>
      </c>
      <c r="AB29">
        <f t="shared" si="19"/>
        <v>-22.137218404529719</v>
      </c>
      <c r="AC29">
        <f t="shared" si="20"/>
        <v>-61.214739586453291</v>
      </c>
      <c r="AD29">
        <f t="shared" si="21"/>
        <v>-4.7523556371837818</v>
      </c>
      <c r="AE29">
        <f t="shared" si="22"/>
        <v>-88.10415396112775</v>
      </c>
      <c r="AF29">
        <f t="shared" si="23"/>
        <v>-4.0591547578554286</v>
      </c>
      <c r="AG29">
        <f t="shared" si="24"/>
        <v>0.5019777415993133</v>
      </c>
      <c r="AH29">
        <f t="shared" si="25"/>
        <v>-3.967363136718232</v>
      </c>
      <c r="AI29">
        <v>426.52624248994903</v>
      </c>
      <c r="AJ29">
        <v>431.60686060606048</v>
      </c>
      <c r="AK29">
        <v>-3.6933425491316119E-2</v>
      </c>
      <c r="AL29">
        <v>67.043190377767345</v>
      </c>
      <c r="AM29">
        <f t="shared" si="26"/>
        <v>0.41154355436536205</v>
      </c>
      <c r="AN29">
        <v>26.380144930476199</v>
      </c>
      <c r="AO29">
        <v>26.877874545454532</v>
      </c>
      <c r="AP29">
        <v>-2.8298297258268199E-3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50919.509632224537</v>
      </c>
      <c r="AW29" t="s">
        <v>463</v>
      </c>
      <c r="AX29">
        <v>5075.7299999999996</v>
      </c>
      <c r="AY29">
        <v>610.24117647058824</v>
      </c>
      <c r="AZ29">
        <v>2455.79</v>
      </c>
      <c r="BA29">
        <f t="shared" si="30"/>
        <v>0.75150921843048946</v>
      </c>
      <c r="BB29">
        <v>-4.0591547578554286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-4.0591547578554286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1.3306556665911271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1784569898.349999</v>
      </c>
      <c r="DQ29">
        <v>420.07709999999992</v>
      </c>
      <c r="DR29">
        <v>415.45920000000012</v>
      </c>
      <c r="DS29">
        <v>26.91226666666666</v>
      </c>
      <c r="DT29">
        <v>26.32611</v>
      </c>
      <c r="DU29">
        <v>426.78769999999997</v>
      </c>
      <c r="DV29">
        <v>27.74394666666667</v>
      </c>
      <c r="DW29">
        <v>500.00459999999998</v>
      </c>
      <c r="DX29">
        <v>97.421469999999999</v>
      </c>
      <c r="DY29">
        <v>5.1216619999999997E-2</v>
      </c>
      <c r="DZ29">
        <v>30.50086666666666</v>
      </c>
      <c r="EA29">
        <v>30.894586666666669</v>
      </c>
      <c r="EB29">
        <v>999.9000000000002</v>
      </c>
      <c r="EC29">
        <v>0</v>
      </c>
      <c r="ED29">
        <v>0</v>
      </c>
      <c r="EE29">
        <v>10000</v>
      </c>
      <c r="EF29">
        <v>0</v>
      </c>
      <c r="EG29">
        <v>1946.7676666666671</v>
      </c>
      <c r="EH29">
        <v>4.6178303333333321</v>
      </c>
      <c r="EI29">
        <v>431.69496666666657</v>
      </c>
      <c r="EJ29">
        <v>426.6923666666666</v>
      </c>
      <c r="EK29">
        <v>0.58616550000000012</v>
      </c>
      <c r="EL29">
        <v>415.45920000000012</v>
      </c>
      <c r="EM29">
        <v>26.32611</v>
      </c>
      <c r="EN29">
        <v>2.6218326666666671</v>
      </c>
      <c r="EO29">
        <v>2.5647283333333331</v>
      </c>
      <c r="EP29">
        <v>21.80322666666666</v>
      </c>
      <c r="EQ29">
        <v>21.443180000000002</v>
      </c>
      <c r="ER29">
        <v>1.00021E-2</v>
      </c>
      <c r="ES29">
        <v>0</v>
      </c>
      <c r="ET29">
        <v>0</v>
      </c>
      <c r="EU29">
        <v>0</v>
      </c>
      <c r="EV29">
        <v>610.69166666666672</v>
      </c>
      <c r="EW29">
        <v>1.00021E-2</v>
      </c>
      <c r="EX29">
        <v>3242.81</v>
      </c>
      <c r="EY29">
        <v>2.688333333333333</v>
      </c>
      <c r="EZ29">
        <v>43.686999999999983</v>
      </c>
      <c r="FA29">
        <v>48.811999999999983</v>
      </c>
      <c r="FB29">
        <v>46.164266666666663</v>
      </c>
      <c r="FC29">
        <v>48.218499999999977</v>
      </c>
      <c r="FD29">
        <v>45.686999999999983</v>
      </c>
      <c r="FE29">
        <v>0</v>
      </c>
      <c r="FF29">
        <v>0</v>
      </c>
      <c r="FG29">
        <v>0</v>
      </c>
      <c r="FH29">
        <v>182.0999999046326</v>
      </c>
      <c r="FI29">
        <v>0</v>
      </c>
      <c r="FJ29">
        <v>610.24117647058824</v>
      </c>
      <c r="FK29">
        <v>-7.977941175550189</v>
      </c>
      <c r="FL29">
        <v>401.12745290704441</v>
      </c>
      <c r="FM29">
        <v>3245.3794117647062</v>
      </c>
      <c r="FN29">
        <v>10</v>
      </c>
      <c r="FO29">
        <v>1784569863.0999999</v>
      </c>
      <c r="FP29" t="s">
        <v>464</v>
      </c>
      <c r="FQ29">
        <v>1784569856.5999999</v>
      </c>
      <c r="FR29">
        <v>1784569863.0999999</v>
      </c>
      <c r="FS29">
        <v>40</v>
      </c>
      <c r="FT29">
        <v>-1.7999999999999999E-2</v>
      </c>
      <c r="FU29">
        <v>-6.0000000000000001E-3</v>
      </c>
      <c r="FV29">
        <v>-6.694</v>
      </c>
      <c r="FW29">
        <v>-0.84599999999999997</v>
      </c>
      <c r="FX29">
        <v>416</v>
      </c>
      <c r="FY29">
        <v>26</v>
      </c>
      <c r="FZ29">
        <v>1.54</v>
      </c>
      <c r="GA29">
        <v>0.63</v>
      </c>
      <c r="GB29">
        <v>420.07625806451608</v>
      </c>
      <c r="GC29">
        <v>-3.8225806451541222E-2</v>
      </c>
      <c r="GD29">
        <v>6.0321700873351571E-2</v>
      </c>
      <c r="GE29">
        <v>-1</v>
      </c>
      <c r="GF29">
        <v>609.69264705882358</v>
      </c>
      <c r="GG29">
        <v>0.57677625294483315</v>
      </c>
      <c r="GH29">
        <v>3.8190530923897001</v>
      </c>
      <c r="GI29">
        <v>1</v>
      </c>
      <c r="GJ29">
        <v>0.61671448780487803</v>
      </c>
      <c r="GK29">
        <v>-0.76557865505226452</v>
      </c>
      <c r="GL29">
        <v>7.8944532839364256E-2</v>
      </c>
      <c r="GM29">
        <v>0</v>
      </c>
      <c r="GN29">
        <v>1</v>
      </c>
      <c r="GO29">
        <v>2</v>
      </c>
      <c r="GP29" t="s">
        <v>411</v>
      </c>
      <c r="GQ29">
        <v>3.13158</v>
      </c>
      <c r="GR29">
        <v>2.7282899999999999</v>
      </c>
      <c r="GS29">
        <v>8.9628700000000006E-2</v>
      </c>
      <c r="GT29">
        <v>8.8449299999999995E-2</v>
      </c>
      <c r="GU29">
        <v>0.12128899999999999</v>
      </c>
      <c r="GV29">
        <v>0.117465</v>
      </c>
      <c r="GW29">
        <v>22514.1</v>
      </c>
      <c r="GX29">
        <v>30244.7</v>
      </c>
      <c r="GY29">
        <v>26860.9</v>
      </c>
      <c r="GZ29">
        <v>34169</v>
      </c>
      <c r="HA29">
        <v>34610.400000000001</v>
      </c>
      <c r="HB29">
        <v>38208.1</v>
      </c>
      <c r="HC29">
        <v>39670</v>
      </c>
      <c r="HD29">
        <v>43354.8</v>
      </c>
      <c r="HE29">
        <v>1.891</v>
      </c>
      <c r="HF29">
        <v>1.5771999999999999</v>
      </c>
      <c r="HG29">
        <v>-0.122696</v>
      </c>
      <c r="HH29">
        <v>0</v>
      </c>
      <c r="HI29">
        <v>32.9</v>
      </c>
      <c r="HJ29">
        <v>999.9</v>
      </c>
      <c r="HK29">
        <v>42.6</v>
      </c>
      <c r="HL29">
        <v>45.4</v>
      </c>
      <c r="HM29">
        <v>43.025799999999997</v>
      </c>
      <c r="HN29">
        <v>60.991500000000002</v>
      </c>
      <c r="HO29">
        <v>5.0200300000000002</v>
      </c>
      <c r="HP29">
        <v>1</v>
      </c>
      <c r="HQ29">
        <v>1.2214</v>
      </c>
      <c r="HR29">
        <v>7.2840999999999996</v>
      </c>
      <c r="HS29">
        <v>20.127800000000001</v>
      </c>
      <c r="HT29">
        <v>5.2053099999999999</v>
      </c>
      <c r="HU29">
        <v>11.9201</v>
      </c>
      <c r="HV29">
        <v>4.9820000000000002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1.8631</v>
      </c>
      <c r="ID29">
        <v>1.8625799999999999</v>
      </c>
      <c r="IE29">
        <v>1.86215</v>
      </c>
      <c r="IF29">
        <v>1.86209</v>
      </c>
      <c r="IG29">
        <v>1.8625499999999999</v>
      </c>
      <c r="IH29">
        <v>1.8635600000000001</v>
      </c>
      <c r="II29">
        <v>1.86148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-6.7110000000000003</v>
      </c>
      <c r="IX29">
        <v>-0.83279999999999998</v>
      </c>
      <c r="IY29">
        <v>-4.7200401411608208</v>
      </c>
      <c r="IZ29">
        <v>-5.6215304933332991E-3</v>
      </c>
      <c r="JA29">
        <v>2.3979931213773931E-6</v>
      </c>
      <c r="JB29">
        <v>-3.6297174575716598E-10</v>
      </c>
      <c r="JC29">
        <v>-1.3307722232773089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0.7</v>
      </c>
      <c r="JM29">
        <v>1.073</v>
      </c>
      <c r="JN29">
        <v>2.5744600000000002</v>
      </c>
      <c r="JO29">
        <v>1.50024</v>
      </c>
      <c r="JP29">
        <v>2.2656200000000002</v>
      </c>
      <c r="JQ29">
        <v>1.4477500000000001</v>
      </c>
      <c r="JR29">
        <v>2.4841299999999999</v>
      </c>
      <c r="JS29">
        <v>48.209000000000003</v>
      </c>
      <c r="JT29">
        <v>15.1915</v>
      </c>
      <c r="JU29">
        <v>18</v>
      </c>
      <c r="JV29">
        <v>548.97900000000004</v>
      </c>
      <c r="JW29">
        <v>357.38099999999997</v>
      </c>
      <c r="JX29">
        <v>25.877300000000002</v>
      </c>
      <c r="JY29">
        <v>41.426099999999998</v>
      </c>
      <c r="JZ29">
        <v>30.0014</v>
      </c>
      <c r="KA29">
        <v>41.5944</v>
      </c>
      <c r="KB29">
        <v>41.622500000000002</v>
      </c>
      <c r="KC29">
        <v>21.4709</v>
      </c>
      <c r="KD29">
        <v>43.126300000000001</v>
      </c>
      <c r="KE29">
        <v>0</v>
      </c>
      <c r="KF29">
        <v>25.840800000000002</v>
      </c>
      <c r="KG29">
        <v>415.44099999999997</v>
      </c>
      <c r="KH29">
        <v>26.403300000000002</v>
      </c>
      <c r="KI29">
        <v>99.141199999999998</v>
      </c>
      <c r="KJ29">
        <v>97.541399999999996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B009-166B-444C-A626-564D0E987D42}">
  <dimension ref="A2:KJ29"/>
  <sheetViews>
    <sheetView workbookViewId="0">
      <selection activeCell="J26" sqref="J2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1784563860</v>
      </c>
      <c r="C17">
        <v>0</v>
      </c>
      <c r="D17" t="s">
        <v>465</v>
      </c>
      <c r="E17" t="s">
        <v>466</v>
      </c>
      <c r="F17">
        <v>15</v>
      </c>
      <c r="H17">
        <v>1784563852</v>
      </c>
      <c r="I17">
        <f t="shared" ref="I17:I29" si="0">(J17)/1000</f>
        <v>4.6299811769569951E-3</v>
      </c>
      <c r="J17">
        <f t="shared" ref="J17:J29" si="1">IF(DO17, AM17, AG17)</f>
        <v>4.6299811769569947</v>
      </c>
      <c r="K17">
        <f t="shared" ref="K17:K29" si="2">IF(DO17, AH17, AF17)</f>
        <v>49.257556517866171</v>
      </c>
      <c r="L17">
        <f t="shared" ref="L17:L29" si="3">DQ17 - IF(AT17&gt;1, K17*DK17*100/(AV17), 0)</f>
        <v>418.9482258064516</v>
      </c>
      <c r="M17">
        <f t="shared" ref="M17:M29" si="4">((S17-I17/2)*L17-K17)/(S17+I17/2)</f>
        <v>100.55475133992502</v>
      </c>
      <c r="N17">
        <f t="shared" ref="N17:N29" si="5">M17*(DX17+DY17)/1000</f>
        <v>9.8059889538785825</v>
      </c>
      <c r="O17">
        <f t="shared" ref="O17:O29" si="6">(DQ17 - IF(AT17&gt;1, K17*DK17*100/(AV17), 0))*(DX17+DY17)/1000</f>
        <v>40.855371026848168</v>
      </c>
      <c r="P17">
        <f t="shared" ref="P17:P29" si="7">2/((1/R17-1/Q17)+SIGN(R17)*SQRT((1/R17-1/Q17)*(1/R17-1/Q17) + 4*DL17/((DL17+1)*(DL17+1))*(2*1/R17*1/Q17-1/Q17*1/Q17)))</f>
        <v>0.26460281968718796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2.884247865824511</v>
      </c>
      <c r="R17">
        <f t="shared" ref="R17:R29" si="9">I17*(1000-(1000*0.61365*EXP(17.502*V17/(240.97+V17))/(DX17+DY17)+DS17)/2)/(1000*0.61365*EXP(17.502*V17/(240.97+V17))/(DX17+DY17)-DS17)</f>
        <v>0.2518186499335428</v>
      </c>
      <c r="S17">
        <f t="shared" ref="S17:S29" si="10">1/((DL17+1)/(P17/1.6)+1/(Q17/1.37)) + DL17/((DL17+1)/(P17/1.6) + DL17/(Q17/1.37))</f>
        <v>0.15848377893169285</v>
      </c>
      <c r="T17">
        <f t="shared" ref="T17:T29" si="11">(DG17*DJ17)</f>
        <v>319.7736976269552</v>
      </c>
      <c r="U17">
        <f t="shared" ref="U17:U29" si="12">(DZ17+(T17+2*0.95*0.0000000567*(((DZ17+$B$7)+273)^4-(DZ17+273)^4)-44100*I17)/(1.84*29.3*Q17+8*0.95*0.0000000567*(DZ17+273)^3))</f>
        <v>29.372521127350897</v>
      </c>
      <c r="V17">
        <f t="shared" ref="V17:V29" si="13">($C$7*EA17+$D$7*EB17+$E$7*U17)</f>
        <v>29.302248387096771</v>
      </c>
      <c r="W17">
        <f t="shared" ref="W17:W29" si="14">0.61365*EXP(17.502*V17/(240.97+V17))</f>
        <v>4.0926512430345863</v>
      </c>
      <c r="X17">
        <f t="shared" ref="X17:X29" si="15">(Y17/Z17*100)</f>
        <v>59.746397545884555</v>
      </c>
      <c r="Y17">
        <f t="shared" ref="Y17:Y29" si="16">DS17*(DX17+DY17)/1000</f>
        <v>2.3589621094105944</v>
      </c>
      <c r="Z17">
        <f t="shared" ref="Z17:Z29" si="17">0.61365*EXP(17.502*DZ17/(240.97+DZ17))</f>
        <v>3.9482917904781427</v>
      </c>
      <c r="AA17">
        <f t="shared" ref="AA17:AA29" si="18">(W17-DS17*(DX17+DY17)/1000)</f>
        <v>1.7336891336239919</v>
      </c>
      <c r="AB17">
        <f t="shared" ref="AB17:AB29" si="19">(-I17*44100)</f>
        <v>-204.18216990380347</v>
      </c>
      <c r="AC17">
        <f t="shared" ref="AC17:AC29" si="20">2*29.3*Q17*0.92*(DZ17-V17)</f>
        <v>-96.491020953108219</v>
      </c>
      <c r="AD17">
        <f t="shared" ref="AD17:AD29" si="21">2*0.95*0.0000000567*(((DZ17+$B$7)+273)^4-(V17+273)^4)</f>
        <v>-7.3646517003231118</v>
      </c>
      <c r="AE17">
        <f t="shared" ref="AE17:AE29" si="22">T17+AD17+AB17+AC17</f>
        <v>11.735855069720387</v>
      </c>
      <c r="AF17">
        <f t="shared" ref="AF17:AF29" si="23">DW17*AT17*(DR17-DQ17*(1000-AT17*DT17)/(1000-AT17*DS17))/(100*DK17)</f>
        <v>49.257556517866171</v>
      </c>
      <c r="AG17">
        <f t="shared" ref="AG17:AG29" si="24">1000*DW17*AT17*(DS17-DT17)/(100*DK17*(1000-AT17*DS17))</f>
        <v>4.6299811769569947</v>
      </c>
      <c r="AH17">
        <f t="shared" ref="AH17:AH29" si="25">(AI17 - AJ17 - DX17*1000/(8.314*(DZ17+273.15)) * AL17/DW17 * AK17) * DW17/(100*DK17) * (1000 - DT17)/1000</f>
        <v>48.677967160113987</v>
      </c>
      <c r="AI17">
        <v>489.75314218597629</v>
      </c>
      <c r="AJ17">
        <v>430.18751515151507</v>
      </c>
      <c r="AK17">
        <v>7.1466749238780179E-3</v>
      </c>
      <c r="AL17">
        <v>67.00871850827771</v>
      </c>
      <c r="AM17">
        <f t="shared" ref="AM17:AM29" si="26">(AO17 - AN17 + DX17*1000/(8.314*(DZ17+273.15)) * AQ17/DW17 * AP17) * DW17/(100*DK17) * 1000/(1000 - AO17)</f>
        <v>4.70257411415023</v>
      </c>
      <c r="AN17">
        <v>18.77244041878539</v>
      </c>
      <c r="AO17">
        <v>24.27744181818181</v>
      </c>
      <c r="AP17">
        <v>1.4212671116209949E-4</v>
      </c>
      <c r="AQ17">
        <v>78.168279221328532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51236.678490362741</v>
      </c>
      <c r="AW17" t="s">
        <v>467</v>
      </c>
      <c r="AX17">
        <v>5067.63</v>
      </c>
      <c r="AY17">
        <v>607.05000000000007</v>
      </c>
      <c r="AZ17">
        <v>2484.73</v>
      </c>
      <c r="BA17">
        <f t="shared" ref="BA17:BA29" si="30">1-AY17/AZ17</f>
        <v>0.75568774072031974</v>
      </c>
      <c r="BB17">
        <v>-2.8785972855310362</v>
      </c>
      <c r="BC17" t="s">
        <v>468</v>
      </c>
      <c r="BD17">
        <v>5067.9399999999996</v>
      </c>
      <c r="BE17">
        <v>872.00147058823529</v>
      </c>
      <c r="BF17">
        <v>1030.08</v>
      </c>
      <c r="BG17">
        <f t="shared" ref="BG17:BG29" si="31">1-BE17/BF17</f>
        <v>0.15346238099153919</v>
      </c>
      <c r="BH17">
        <v>0.5</v>
      </c>
      <c r="BI17">
        <f t="shared" ref="BI17:BI29" si="32">DH17</f>
        <v>1680.2830837111085</v>
      </c>
      <c r="BJ17">
        <f t="shared" ref="BJ17:BJ29" si="33">K17</f>
        <v>49.257556517866171</v>
      </c>
      <c r="BK17">
        <f t="shared" ref="BK17:BK29" si="34">BG17*BH17*BI17</f>
        <v>128.93012138305625</v>
      </c>
      <c r="BL17">
        <f t="shared" ref="BL17:BL29" si="35">(BJ17-BB17)/BI17</f>
        <v>3.1028196563312536E-2</v>
      </c>
      <c r="BM17">
        <f t="shared" ref="BM17:BM29" si="36">(AZ17-BF17)/BF17</f>
        <v>1.4121718701460082</v>
      </c>
      <c r="BN17">
        <f t="shared" ref="BN17:BN29" si="37">AY17/(BA17+AY17/BF17)</f>
        <v>451.33463227764349</v>
      </c>
      <c r="BO17" t="s">
        <v>408</v>
      </c>
      <c r="BP17">
        <v>0</v>
      </c>
      <c r="BQ17">
        <f t="shared" ref="BQ17:BQ29" si="38">IF(BP17&lt;&gt;0, BP17, BN17)</f>
        <v>451.33463227764349</v>
      </c>
      <c r="BR17">
        <f t="shared" ref="BR17:BR29" si="39">1-BQ17/BF17</f>
        <v>0.56184506807467038</v>
      </c>
      <c r="BS17">
        <f t="shared" ref="BS17:BS29" si="40">(BF17-BE17)/(BF17-BQ17)</f>
        <v>0.27314003399090742</v>
      </c>
      <c r="BT17">
        <f t="shared" ref="BT17:BT29" si="41">(AZ17-BF17)/(AZ17-BQ17)</f>
        <v>0.71537981402474637</v>
      </c>
      <c r="BU17">
        <f t="shared" ref="BU17:BU29" si="42">(BF17-BE17)/(BF17-AY17)</f>
        <v>0.37368160511492021</v>
      </c>
      <c r="BV17">
        <f t="shared" ref="BV17:BV29" si="43">(AZ17-BF17)/(AZ17-AY17)</f>
        <v>0.77470602019513457</v>
      </c>
      <c r="BW17">
        <f t="shared" ref="BW17:BW29" si="44">(BS17*BQ17/BE17)</f>
        <v>0.14137310653665364</v>
      </c>
      <c r="BX17">
        <f t="shared" ref="BX17:BX29" si="45">(1-BW17)</f>
        <v>0.85862689346334631</v>
      </c>
      <c r="DG17">
        <f t="shared" ref="DG17:DG29" si="46">$B$11*EF17+$C$11*EG17+$F$11*ER17*(1-EU17)</f>
        <v>1999.9812903225809</v>
      </c>
      <c r="DH17">
        <f t="shared" ref="DH17:DH29" si="47">DG17*DI17</f>
        <v>1680.2830837111085</v>
      </c>
      <c r="DI17">
        <f t="shared" ref="DI17:DI29" si="48">($B$11*$D$9+$C$11*$D$9+$F$11*((FE17+EW17)/MAX(FE17+EW17+FF17, 0.1)*$I$9+FF17/MAX(FE17+EW17+FF17, 0.1)*$J$9))/($B$11+$C$11+$F$11)</f>
        <v>0.84014940131769544</v>
      </c>
      <c r="DJ17">
        <f t="shared" ref="DJ17:DJ29" si="49">($B$11*$K$9+$C$11*$K$9+$F$11*((FE17+EW17)/MAX(FE17+EW17+FF17, 0.1)*$P$9+FF17/MAX(FE17+EW17+FF17, 0.1)*$Q$9))/($B$11+$C$11+$F$11)</f>
        <v>0.15988834454315234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1784563852</v>
      </c>
      <c r="DQ17">
        <v>418.9482258064516</v>
      </c>
      <c r="DR17">
        <v>480.3824516129032</v>
      </c>
      <c r="DS17">
        <v>24.189793548387101</v>
      </c>
      <c r="DT17">
        <v>18.76843548387097</v>
      </c>
      <c r="DU17">
        <v>426.53122580645157</v>
      </c>
      <c r="DV17">
        <v>25.0437935483871</v>
      </c>
      <c r="DW17">
        <v>500.02041935483868</v>
      </c>
      <c r="DX17">
        <v>97.460319354838703</v>
      </c>
      <c r="DY17">
        <v>5.8582767741935479E-2</v>
      </c>
      <c r="DZ17">
        <v>28.681709677419349</v>
      </c>
      <c r="EA17">
        <v>29.302248387096771</v>
      </c>
      <c r="EB17">
        <v>999.90000000000032</v>
      </c>
      <c r="EC17">
        <v>0</v>
      </c>
      <c r="ED17">
        <v>0</v>
      </c>
      <c r="EE17">
        <v>9997.9032258064508</v>
      </c>
      <c r="EF17">
        <v>0</v>
      </c>
      <c r="EG17">
        <v>86.441319354838711</v>
      </c>
      <c r="EH17">
        <v>-60.713474193548393</v>
      </c>
      <c r="EI17">
        <v>430.10899999999998</v>
      </c>
      <c r="EJ17">
        <v>489.57087096774188</v>
      </c>
      <c r="EK17">
        <v>5.504680967741935</v>
      </c>
      <c r="EL17">
        <v>480.3824516129032</v>
      </c>
      <c r="EM17">
        <v>18.76843548387097</v>
      </c>
      <c r="EN17">
        <v>2.3656641935483869</v>
      </c>
      <c r="EO17">
        <v>1.829176774193549</v>
      </c>
      <c r="EP17">
        <v>20.13063870967742</v>
      </c>
      <c r="EQ17">
        <v>16.038374193548389</v>
      </c>
      <c r="ER17">
        <v>1999.9812903225809</v>
      </c>
      <c r="ES17">
        <v>0.99500783870967713</v>
      </c>
      <c r="ET17">
        <v>4.9923090322580646E-3</v>
      </c>
      <c r="EU17">
        <v>0</v>
      </c>
      <c r="EV17">
        <v>872.33754838709649</v>
      </c>
      <c r="EW17">
        <v>5.0010700000000003</v>
      </c>
      <c r="EX17">
        <v>22699.4064516129</v>
      </c>
      <c r="EY17">
        <v>18241.52258064516</v>
      </c>
      <c r="EZ17">
        <v>46.721548387096767</v>
      </c>
      <c r="FA17">
        <v>48.311999999999969</v>
      </c>
      <c r="FB17">
        <v>47.45122580645161</v>
      </c>
      <c r="FC17">
        <v>47.763999999999982</v>
      </c>
      <c r="FD17">
        <v>47.580290322580638</v>
      </c>
      <c r="FE17">
        <v>1985.0212903225811</v>
      </c>
      <c r="FF17">
        <v>9.9599999999999973</v>
      </c>
      <c r="FG17">
        <v>0</v>
      </c>
      <c r="FH17">
        <v>2002.099999904633</v>
      </c>
      <c r="FI17">
        <v>0</v>
      </c>
      <c r="FJ17">
        <v>872.00147058823529</v>
      </c>
      <c r="FK17">
        <v>-6.7750000172113118</v>
      </c>
      <c r="FL17">
        <v>-80.392156847704584</v>
      </c>
      <c r="FM17">
        <v>22696.24117647059</v>
      </c>
      <c r="FN17">
        <v>10</v>
      </c>
      <c r="FO17">
        <v>1784563893</v>
      </c>
      <c r="FP17" t="s">
        <v>469</v>
      </c>
      <c r="FQ17">
        <v>1784563879.5</v>
      </c>
      <c r="FR17">
        <v>1784563893</v>
      </c>
      <c r="FS17">
        <v>15</v>
      </c>
      <c r="FT17">
        <v>-0.495</v>
      </c>
      <c r="FU17">
        <v>0.06</v>
      </c>
      <c r="FV17">
        <v>-7.5830000000000002</v>
      </c>
      <c r="FW17">
        <v>-0.85399999999999998</v>
      </c>
      <c r="FX17">
        <v>481</v>
      </c>
      <c r="FY17">
        <v>19</v>
      </c>
      <c r="FZ17">
        <v>0.11</v>
      </c>
      <c r="GA17">
        <v>0.04</v>
      </c>
      <c r="GB17">
        <v>419.66032258064519</v>
      </c>
      <c r="GC17">
        <v>0.19891935483847339</v>
      </c>
      <c r="GD17">
        <v>7.5823388636408001E-2</v>
      </c>
      <c r="GE17">
        <v>-1</v>
      </c>
      <c r="GF17">
        <v>872.56926470588246</v>
      </c>
      <c r="GG17">
        <v>-4.4472268973906894</v>
      </c>
      <c r="GH17">
        <v>0.50378866418974866</v>
      </c>
      <c r="GI17">
        <v>1</v>
      </c>
      <c r="GJ17">
        <v>5.5045941463414634</v>
      </c>
      <c r="GK17">
        <v>1.172404181182519E-3</v>
      </c>
      <c r="GL17">
        <v>4.3275639379587302E-3</v>
      </c>
      <c r="GM17">
        <v>1</v>
      </c>
      <c r="GN17">
        <v>2</v>
      </c>
      <c r="GO17">
        <v>2</v>
      </c>
      <c r="GP17" t="s">
        <v>424</v>
      </c>
      <c r="GQ17">
        <v>3.12982</v>
      </c>
      <c r="GR17">
        <v>2.7358500000000001</v>
      </c>
      <c r="GS17">
        <v>8.9838600000000005E-2</v>
      </c>
      <c r="GT17">
        <v>9.9015900000000004E-2</v>
      </c>
      <c r="GU17">
        <v>0.113305</v>
      </c>
      <c r="GV17">
        <v>9.2560500000000004E-2</v>
      </c>
      <c r="GW17">
        <v>22573.9</v>
      </c>
      <c r="GX17">
        <v>29946.2</v>
      </c>
      <c r="GY17">
        <v>26934.400000000001</v>
      </c>
      <c r="GZ17">
        <v>34223.5</v>
      </c>
      <c r="HA17">
        <v>35023.9</v>
      </c>
      <c r="HB17">
        <v>39317.800000000003</v>
      </c>
      <c r="HC17">
        <v>39793</v>
      </c>
      <c r="HD17">
        <v>43398.400000000001</v>
      </c>
      <c r="HE17">
        <v>1.9092</v>
      </c>
      <c r="HF17">
        <v>1.591</v>
      </c>
      <c r="HG17">
        <v>-0.117421</v>
      </c>
      <c r="HH17">
        <v>0</v>
      </c>
      <c r="HI17">
        <v>31.204699999999999</v>
      </c>
      <c r="HJ17">
        <v>999.9</v>
      </c>
      <c r="HK17">
        <v>48.2</v>
      </c>
      <c r="HL17">
        <v>42.5</v>
      </c>
      <c r="HM17">
        <v>41.855600000000003</v>
      </c>
      <c r="HN17">
        <v>61.793500000000002</v>
      </c>
      <c r="HO17">
        <v>5.1522399999999999</v>
      </c>
      <c r="HP17">
        <v>1</v>
      </c>
      <c r="HQ17">
        <v>1.1394500000000001</v>
      </c>
      <c r="HR17">
        <v>9.2810500000000005</v>
      </c>
      <c r="HS17">
        <v>19.988900000000001</v>
      </c>
      <c r="HT17">
        <v>5.2100999999999997</v>
      </c>
      <c r="HU17">
        <v>11.9201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1.8677999999999999</v>
      </c>
      <c r="IC17">
        <v>1.8635600000000001</v>
      </c>
      <c r="ID17">
        <v>1.8629500000000001</v>
      </c>
      <c r="IE17">
        <v>1.8625799999999999</v>
      </c>
      <c r="IF17">
        <v>1.86249</v>
      </c>
      <c r="IG17">
        <v>1.86304</v>
      </c>
      <c r="IH17">
        <v>1.86398</v>
      </c>
      <c r="II17">
        <v>1.86188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-7.5830000000000002</v>
      </c>
      <c r="IX17">
        <v>-0.85399999999999998</v>
      </c>
      <c r="IY17">
        <v>-4.8725944709148266</v>
      </c>
      <c r="IZ17">
        <v>-5.6215304933332991E-3</v>
      </c>
      <c r="JA17">
        <v>2.3979931213773931E-6</v>
      </c>
      <c r="JB17">
        <v>-3.6297174575716598E-10</v>
      </c>
      <c r="JC17">
        <v>-1.1920059610704581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34.1</v>
      </c>
      <c r="JL17">
        <v>34.200000000000003</v>
      </c>
      <c r="JM17">
        <v>1.1938500000000001</v>
      </c>
      <c r="JN17">
        <v>2.5573700000000001</v>
      </c>
      <c r="JO17">
        <v>1.50024</v>
      </c>
      <c r="JP17">
        <v>2.2729499999999998</v>
      </c>
      <c r="JQ17">
        <v>1.4477500000000001</v>
      </c>
      <c r="JR17">
        <v>2.3803700000000001</v>
      </c>
      <c r="JS17">
        <v>48.639699999999998</v>
      </c>
      <c r="JT17">
        <v>23.745999999999999</v>
      </c>
      <c r="JU17">
        <v>18</v>
      </c>
      <c r="JV17">
        <v>553.33600000000001</v>
      </c>
      <c r="JW17">
        <v>359.46600000000001</v>
      </c>
      <c r="JX17">
        <v>22.6402</v>
      </c>
      <c r="JY17">
        <v>40.502000000000002</v>
      </c>
      <c r="JZ17">
        <v>30.0002</v>
      </c>
      <c r="KA17">
        <v>40.479100000000003</v>
      </c>
      <c r="KB17">
        <v>40.468299999999999</v>
      </c>
      <c r="KC17">
        <v>23.887</v>
      </c>
      <c r="KD17">
        <v>54.303199999999997</v>
      </c>
      <c r="KE17">
        <v>0</v>
      </c>
      <c r="KF17">
        <v>20.634599999999999</v>
      </c>
      <c r="KG17">
        <v>480.70699999999999</v>
      </c>
      <c r="KH17">
        <v>18.747900000000001</v>
      </c>
      <c r="KI17">
        <v>99.434100000000001</v>
      </c>
      <c r="KJ17">
        <v>97.6648</v>
      </c>
    </row>
    <row r="18" spans="1:296" x14ac:dyDescent="0.3">
      <c r="A18">
        <v>2</v>
      </c>
      <c r="B18">
        <v>1784564074</v>
      </c>
      <c r="C18">
        <v>214</v>
      </c>
      <c r="D18" t="s">
        <v>470</v>
      </c>
      <c r="E18" t="s">
        <v>471</v>
      </c>
      <c r="F18">
        <v>15</v>
      </c>
      <c r="H18">
        <v>1784564066</v>
      </c>
      <c r="I18">
        <f t="shared" si="0"/>
        <v>4.4984769780388083E-3</v>
      </c>
      <c r="J18">
        <f t="shared" si="1"/>
        <v>4.4984769780388083</v>
      </c>
      <c r="K18">
        <f t="shared" si="2"/>
        <v>47.185662358737751</v>
      </c>
      <c r="L18">
        <f t="shared" si="3"/>
        <v>420.08322580645159</v>
      </c>
      <c r="M18">
        <f t="shared" si="4"/>
        <v>108.61187482720807</v>
      </c>
      <c r="N18">
        <f t="shared" si="5"/>
        <v>10.591560614736963</v>
      </c>
      <c r="O18">
        <f t="shared" si="6"/>
        <v>40.9654741384565</v>
      </c>
      <c r="P18">
        <f t="shared" si="7"/>
        <v>0.25907964497410257</v>
      </c>
      <c r="Q18">
        <f t="shared" si="8"/>
        <v>2.8843864944726345</v>
      </c>
      <c r="R18">
        <f t="shared" si="9"/>
        <v>0.24681086912559697</v>
      </c>
      <c r="S18">
        <f t="shared" si="10"/>
        <v>0.15531066846421665</v>
      </c>
      <c r="T18">
        <f t="shared" si="11"/>
        <v>271.90873966163349</v>
      </c>
      <c r="U18">
        <f t="shared" si="12"/>
        <v>29.136592825528549</v>
      </c>
      <c r="V18">
        <f t="shared" si="13"/>
        <v>29.243067741935491</v>
      </c>
      <c r="W18">
        <f t="shared" si="14"/>
        <v>4.0786880296720005</v>
      </c>
      <c r="X18">
        <f t="shared" si="15"/>
        <v>59.718242783164378</v>
      </c>
      <c r="Y18">
        <f t="shared" si="16"/>
        <v>2.3599702125953468</v>
      </c>
      <c r="Z18">
        <f t="shared" si="17"/>
        <v>3.9518413513343762</v>
      </c>
      <c r="AA18">
        <f t="shared" si="18"/>
        <v>1.7187178170766537</v>
      </c>
      <c r="AB18">
        <f t="shared" si="19"/>
        <v>-198.38283473151145</v>
      </c>
      <c r="AC18">
        <f t="shared" si="20"/>
        <v>-84.883594246304057</v>
      </c>
      <c r="AD18">
        <f t="shared" si="21"/>
        <v>-6.4769993192176125</v>
      </c>
      <c r="AE18">
        <f t="shared" si="22"/>
        <v>-17.83468863539963</v>
      </c>
      <c r="AF18">
        <f t="shared" si="23"/>
        <v>47.185662358737751</v>
      </c>
      <c r="AG18">
        <f t="shared" si="24"/>
        <v>4.4984769780388083</v>
      </c>
      <c r="AH18">
        <f t="shared" si="25"/>
        <v>46.937573636703604</v>
      </c>
      <c r="AI18">
        <v>488.12399318574887</v>
      </c>
      <c r="AJ18">
        <v>430.54730303030288</v>
      </c>
      <c r="AK18">
        <v>3.2340733800816562E-2</v>
      </c>
      <c r="AL18">
        <v>66.982836521481957</v>
      </c>
      <c r="AM18">
        <f t="shared" si="26"/>
        <v>4.490792156495119</v>
      </c>
      <c r="AN18">
        <v>18.93314777794247</v>
      </c>
      <c r="AO18">
        <v>24.195078181818179</v>
      </c>
      <c r="AP18">
        <v>-6.09670462901307E-4</v>
      </c>
      <c r="AQ18">
        <v>78.128049615127068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51237.92880843849</v>
      </c>
      <c r="AW18" t="s">
        <v>467</v>
      </c>
      <c r="AX18">
        <v>5067.63</v>
      </c>
      <c r="AY18">
        <v>607.05000000000007</v>
      </c>
      <c r="AZ18">
        <v>2484.73</v>
      </c>
      <c r="BA18">
        <f t="shared" si="30"/>
        <v>0.75568774072031974</v>
      </c>
      <c r="BB18">
        <v>-2.8785972855310362</v>
      </c>
      <c r="BC18" t="s">
        <v>472</v>
      </c>
      <c r="BD18">
        <v>5067.05</v>
      </c>
      <c r="BE18">
        <v>855.62352941176459</v>
      </c>
      <c r="BF18">
        <v>1055.57</v>
      </c>
      <c r="BG18">
        <f t="shared" si="31"/>
        <v>0.1894203800678641</v>
      </c>
      <c r="BH18">
        <v>0.5</v>
      </c>
      <c r="BI18">
        <f t="shared" si="32"/>
        <v>1428.304557872483</v>
      </c>
      <c r="BJ18">
        <f t="shared" si="33"/>
        <v>47.185662358737751</v>
      </c>
      <c r="BK18">
        <f t="shared" si="34"/>
        <v>135.27499610243416</v>
      </c>
      <c r="BL18">
        <f t="shared" si="35"/>
        <v>3.5051529709351006E-2</v>
      </c>
      <c r="BM18">
        <f t="shared" si="36"/>
        <v>1.353922525270707</v>
      </c>
      <c r="BN18">
        <f t="shared" si="37"/>
        <v>456.161092612755</v>
      </c>
      <c r="BO18" t="s">
        <v>408</v>
      </c>
      <c r="BP18">
        <v>0</v>
      </c>
      <c r="BQ18">
        <f t="shared" si="38"/>
        <v>456.161092612755</v>
      </c>
      <c r="BR18">
        <f t="shared" si="39"/>
        <v>0.56785329953223851</v>
      </c>
      <c r="BS18">
        <f t="shared" si="40"/>
        <v>0.3335727382827513</v>
      </c>
      <c r="BT18">
        <f t="shared" si="41"/>
        <v>0.70451636855694921</v>
      </c>
      <c r="BU18">
        <f t="shared" si="42"/>
        <v>0.44579164939854499</v>
      </c>
      <c r="BV18">
        <f t="shared" si="43"/>
        <v>0.76113075710451206</v>
      </c>
      <c r="BW18">
        <f t="shared" si="44"/>
        <v>0.17783861655312283</v>
      </c>
      <c r="BX18">
        <f t="shared" si="45"/>
        <v>0.82216138344687717</v>
      </c>
      <c r="DG18">
        <f t="shared" si="46"/>
        <v>1699.9993548387099</v>
      </c>
      <c r="DH18">
        <f t="shared" si="47"/>
        <v>1428.304557872483</v>
      </c>
      <c r="DI18">
        <f t="shared" si="48"/>
        <v>0.84017947054338471</v>
      </c>
      <c r="DJ18">
        <f t="shared" si="49"/>
        <v>0.15994637814873244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1784564066</v>
      </c>
      <c r="DQ18">
        <v>420.08322580645159</v>
      </c>
      <c r="DR18">
        <v>478.96996774193548</v>
      </c>
      <c r="DS18">
        <v>24.200474193548391</v>
      </c>
      <c r="DT18">
        <v>18.933274193548389</v>
      </c>
      <c r="DU18">
        <v>427.52390322580652</v>
      </c>
      <c r="DV18">
        <v>24.91695806451613</v>
      </c>
      <c r="DW18">
        <v>500.03170967741943</v>
      </c>
      <c r="DX18">
        <v>97.458654838709649</v>
      </c>
      <c r="DY18">
        <v>5.8864600000000003E-2</v>
      </c>
      <c r="DZ18">
        <v>28.697203225806451</v>
      </c>
      <c r="EA18">
        <v>29.243067741935491</v>
      </c>
      <c r="EB18">
        <v>999.90000000000032</v>
      </c>
      <c r="EC18">
        <v>0</v>
      </c>
      <c r="ED18">
        <v>0</v>
      </c>
      <c r="EE18">
        <v>9998.8709677419356</v>
      </c>
      <c r="EF18">
        <v>0</v>
      </c>
      <c r="EG18">
        <v>114.95723225806449</v>
      </c>
      <c r="EH18">
        <v>-58.886738709677417</v>
      </c>
      <c r="EI18">
        <v>430.50164516129041</v>
      </c>
      <c r="EJ18">
        <v>488.21345161290333</v>
      </c>
      <c r="EK18">
        <v>5.2671932258064507</v>
      </c>
      <c r="EL18">
        <v>478.96996774193548</v>
      </c>
      <c r="EM18">
        <v>18.933274193548389</v>
      </c>
      <c r="EN18">
        <v>2.3585445161290322</v>
      </c>
      <c r="EO18">
        <v>1.8452116129032261</v>
      </c>
      <c r="EP18">
        <v>20.081929032258071</v>
      </c>
      <c r="EQ18">
        <v>16.175151612903228</v>
      </c>
      <c r="ER18">
        <v>1699.9993548387099</v>
      </c>
      <c r="ES18">
        <v>0.99399951612903215</v>
      </c>
      <c r="ET18">
        <v>6.0000222580645184E-3</v>
      </c>
      <c r="EU18">
        <v>0</v>
      </c>
      <c r="EV18">
        <v>855.66270967741934</v>
      </c>
      <c r="EW18">
        <v>5.0010700000000003</v>
      </c>
      <c r="EX18">
        <v>19523.232258064509</v>
      </c>
      <c r="EY18">
        <v>15492.503225806449</v>
      </c>
      <c r="EZ18">
        <v>47.225612903225809</v>
      </c>
      <c r="FA18">
        <v>48.96748387096774</v>
      </c>
      <c r="FB18">
        <v>48.186999999999969</v>
      </c>
      <c r="FC18">
        <v>48.338419354838713</v>
      </c>
      <c r="FD18">
        <v>48.138999999999982</v>
      </c>
      <c r="FE18">
        <v>1684.8293548387101</v>
      </c>
      <c r="FF18">
        <v>10.17</v>
      </c>
      <c r="FG18">
        <v>0</v>
      </c>
      <c r="FH18">
        <v>213.4000000953674</v>
      </c>
      <c r="FI18">
        <v>0</v>
      </c>
      <c r="FJ18">
        <v>855.62352941176459</v>
      </c>
      <c r="FK18">
        <v>0.88725490635690707</v>
      </c>
      <c r="FL18">
        <v>6.7156874984567283</v>
      </c>
      <c r="FM18">
        <v>19521</v>
      </c>
      <c r="FN18">
        <v>10</v>
      </c>
      <c r="FO18">
        <v>1784563964.5</v>
      </c>
      <c r="FP18" t="s">
        <v>473</v>
      </c>
      <c r="FQ18">
        <v>1784563960.5</v>
      </c>
      <c r="FR18">
        <v>1784563964.5</v>
      </c>
      <c r="FS18">
        <v>16</v>
      </c>
      <c r="FT18">
        <v>-7.9000000000000001E-2</v>
      </c>
      <c r="FU18">
        <v>-2E-3</v>
      </c>
      <c r="FV18">
        <v>-7.66</v>
      </c>
      <c r="FW18">
        <v>-0.85399999999999998</v>
      </c>
      <c r="FX18">
        <v>480</v>
      </c>
      <c r="FY18">
        <v>19</v>
      </c>
      <c r="FZ18">
        <v>0.15</v>
      </c>
      <c r="GA18">
        <v>0.05</v>
      </c>
      <c r="GB18">
        <v>420.08273333333341</v>
      </c>
      <c r="GC18">
        <v>-0.10032480533961489</v>
      </c>
      <c r="GD18">
        <v>6.2394942815013968E-2</v>
      </c>
      <c r="GE18">
        <v>-1</v>
      </c>
      <c r="GF18">
        <v>855.63197058823528</v>
      </c>
      <c r="GG18">
        <v>0.39112299637381059</v>
      </c>
      <c r="GH18">
        <v>0.21727408622915739</v>
      </c>
      <c r="GI18">
        <v>1</v>
      </c>
      <c r="GJ18">
        <v>5.2687267499999999</v>
      </c>
      <c r="GK18">
        <v>-2.928056285178816E-2</v>
      </c>
      <c r="GL18">
        <v>5.2533633928655331E-3</v>
      </c>
      <c r="GM18">
        <v>1</v>
      </c>
      <c r="GN18">
        <v>2</v>
      </c>
      <c r="GO18">
        <v>2</v>
      </c>
      <c r="GP18" t="s">
        <v>424</v>
      </c>
      <c r="GQ18">
        <v>3.1301000000000001</v>
      </c>
      <c r="GR18">
        <v>2.7352699999999999</v>
      </c>
      <c r="GS18">
        <v>8.9964000000000002E-2</v>
      </c>
      <c r="GT18">
        <v>9.8736699999999997E-2</v>
      </c>
      <c r="GU18">
        <v>0.112845</v>
      </c>
      <c r="GV18">
        <v>9.3124600000000002E-2</v>
      </c>
      <c r="GW18">
        <v>22565.200000000001</v>
      </c>
      <c r="GX18">
        <v>29950.3</v>
      </c>
      <c r="GY18">
        <v>26928.2</v>
      </c>
      <c r="GZ18">
        <v>34218.400000000001</v>
      </c>
      <c r="HA18">
        <v>35034.699999999997</v>
      </c>
      <c r="HB18">
        <v>39287.9</v>
      </c>
      <c r="HC18">
        <v>39784.5</v>
      </c>
      <c r="HD18">
        <v>43392.1</v>
      </c>
      <c r="HE18">
        <v>1.9086000000000001</v>
      </c>
      <c r="HF18">
        <v>1.5866</v>
      </c>
      <c r="HG18">
        <v>-0.124127</v>
      </c>
      <c r="HH18">
        <v>0</v>
      </c>
      <c r="HI18">
        <v>31.2485</v>
      </c>
      <c r="HJ18">
        <v>999.9</v>
      </c>
      <c r="HK18">
        <v>47.6</v>
      </c>
      <c r="HL18">
        <v>42.8</v>
      </c>
      <c r="HM18">
        <v>41.986899999999999</v>
      </c>
      <c r="HN18">
        <v>61.753500000000003</v>
      </c>
      <c r="HO18">
        <v>5.2844499999999996</v>
      </c>
      <c r="HP18">
        <v>1</v>
      </c>
      <c r="HQ18">
        <v>1.1503000000000001</v>
      </c>
      <c r="HR18">
        <v>9.2810500000000005</v>
      </c>
      <c r="HS18">
        <v>19.991</v>
      </c>
      <c r="HT18">
        <v>5.2088999999999999</v>
      </c>
      <c r="HU18">
        <v>11.9201</v>
      </c>
      <c r="HV18">
        <v>4.9816000000000003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1.8677999999999999</v>
      </c>
      <c r="IC18">
        <v>1.8635600000000001</v>
      </c>
      <c r="ID18">
        <v>1.8630100000000001</v>
      </c>
      <c r="IE18">
        <v>1.86249</v>
      </c>
      <c r="IF18">
        <v>1.86249</v>
      </c>
      <c r="IG18">
        <v>1.8629800000000001</v>
      </c>
      <c r="IH18">
        <v>1.8640099999999999</v>
      </c>
      <c r="II18">
        <v>1.86191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-7.44</v>
      </c>
      <c r="IX18">
        <v>-0.71650000000000003</v>
      </c>
      <c r="IY18">
        <v>-5.4472369650892274</v>
      </c>
      <c r="IZ18">
        <v>-5.6215304933332991E-3</v>
      </c>
      <c r="JA18">
        <v>2.3979931213773931E-6</v>
      </c>
      <c r="JB18">
        <v>-3.6297174575716598E-10</v>
      </c>
      <c r="JC18">
        <v>-1.134237767576967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1.9</v>
      </c>
      <c r="JL18">
        <v>1.8</v>
      </c>
      <c r="JM18">
        <v>1.1914100000000001</v>
      </c>
      <c r="JN18">
        <v>2.5756800000000002</v>
      </c>
      <c r="JO18">
        <v>1.50024</v>
      </c>
      <c r="JP18">
        <v>2.2717299999999998</v>
      </c>
      <c r="JQ18">
        <v>1.4477500000000001</v>
      </c>
      <c r="JR18">
        <v>2.3278799999999999</v>
      </c>
      <c r="JS18">
        <v>48.950299999999999</v>
      </c>
      <c r="JT18">
        <v>23.737300000000001</v>
      </c>
      <c r="JU18">
        <v>18</v>
      </c>
      <c r="JV18">
        <v>553.755</v>
      </c>
      <c r="JW18">
        <v>357.57900000000001</v>
      </c>
      <c r="JX18">
        <v>22.735299999999999</v>
      </c>
      <c r="JY18">
        <v>40.615099999999998</v>
      </c>
      <c r="JZ18">
        <v>30.000599999999999</v>
      </c>
      <c r="KA18">
        <v>40.589100000000002</v>
      </c>
      <c r="KB18">
        <v>40.5852</v>
      </c>
      <c r="KC18">
        <v>23.822299999999998</v>
      </c>
      <c r="KD18">
        <v>54.029200000000003</v>
      </c>
      <c r="KE18">
        <v>0</v>
      </c>
      <c r="KF18">
        <v>20.5853</v>
      </c>
      <c r="KG18">
        <v>478.928</v>
      </c>
      <c r="KH18">
        <v>18.9316</v>
      </c>
      <c r="KI18">
        <v>99.412099999999995</v>
      </c>
      <c r="KJ18">
        <v>97.650400000000005</v>
      </c>
    </row>
    <row r="19" spans="1:296" x14ac:dyDescent="0.3">
      <c r="A19">
        <v>3</v>
      </c>
      <c r="B19">
        <v>1784564256.5</v>
      </c>
      <c r="C19">
        <v>396.5</v>
      </c>
      <c r="D19" t="s">
        <v>474</v>
      </c>
      <c r="E19" t="s">
        <v>475</v>
      </c>
      <c r="F19">
        <v>15</v>
      </c>
      <c r="H19">
        <v>1784564248.75</v>
      </c>
      <c r="I19">
        <f t="shared" si="0"/>
        <v>4.4869498838478218E-3</v>
      </c>
      <c r="J19">
        <f t="shared" si="1"/>
        <v>4.4869498838478217</v>
      </c>
      <c r="K19">
        <f t="shared" si="2"/>
        <v>46.602272148979559</v>
      </c>
      <c r="L19">
        <f t="shared" si="3"/>
        <v>420.31706666666668</v>
      </c>
      <c r="M19">
        <f t="shared" si="4"/>
        <v>109.14876980176085</v>
      </c>
      <c r="N19">
        <f t="shared" si="5"/>
        <v>10.643900602699443</v>
      </c>
      <c r="O19">
        <f t="shared" si="6"/>
        <v>40.988213493781601</v>
      </c>
      <c r="P19">
        <f t="shared" si="7"/>
        <v>0.25607505385875212</v>
      </c>
      <c r="Q19">
        <f t="shared" si="8"/>
        <v>2.8847731917760644</v>
      </c>
      <c r="R19">
        <f t="shared" si="9"/>
        <v>0.24408364330263724</v>
      </c>
      <c r="S19">
        <f t="shared" si="10"/>
        <v>0.1535828552175719</v>
      </c>
      <c r="T19">
        <f t="shared" si="11"/>
        <v>255.91580502944626</v>
      </c>
      <c r="U19">
        <f t="shared" si="12"/>
        <v>29.291423688963832</v>
      </c>
      <c r="V19">
        <f t="shared" si="13"/>
        <v>29.469863333333329</v>
      </c>
      <c r="W19">
        <f t="shared" si="14"/>
        <v>4.1324251079254921</v>
      </c>
      <c r="X19">
        <f t="shared" si="15"/>
        <v>59.862078027342001</v>
      </c>
      <c r="Y19">
        <f t="shared" si="16"/>
        <v>2.399819828224615</v>
      </c>
      <c r="Z19">
        <f t="shared" si="17"/>
        <v>4.0089150048023683</v>
      </c>
      <c r="AA19">
        <f t="shared" si="18"/>
        <v>1.7326052797008771</v>
      </c>
      <c r="AB19">
        <f t="shared" si="19"/>
        <v>-197.87448987768894</v>
      </c>
      <c r="AC19">
        <f t="shared" si="20"/>
        <v>-81.679593004929345</v>
      </c>
      <c r="AD19">
        <f t="shared" si="21"/>
        <v>-6.2463762890922236</v>
      </c>
      <c r="AE19">
        <f t="shared" si="22"/>
        <v>-29.884654142264239</v>
      </c>
      <c r="AF19">
        <f t="shared" si="23"/>
        <v>46.602272148979559</v>
      </c>
      <c r="AG19">
        <f t="shared" si="24"/>
        <v>4.4869498838478217</v>
      </c>
      <c r="AH19">
        <f t="shared" si="25"/>
        <v>46.640810751514877</v>
      </c>
      <c r="AI19">
        <v>487.86926923410931</v>
      </c>
      <c r="AJ19">
        <v>430.83411515151511</v>
      </c>
      <c r="AK19">
        <v>-7.6170346303492901E-3</v>
      </c>
      <c r="AL19">
        <v>67.043594496216215</v>
      </c>
      <c r="AM19">
        <f t="shared" si="26"/>
        <v>4.5619225503785694</v>
      </c>
      <c r="AN19">
        <v>19.243441540086579</v>
      </c>
      <c r="AO19">
        <v>24.585982424242431</v>
      </c>
      <c r="AP19">
        <v>-4.4771327896836081E-4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51206.838378947919</v>
      </c>
      <c r="AW19" t="s">
        <v>467</v>
      </c>
      <c r="AX19">
        <v>5067.63</v>
      </c>
      <c r="AY19">
        <v>607.05000000000007</v>
      </c>
      <c r="AZ19">
        <v>2484.73</v>
      </c>
      <c r="BA19">
        <f t="shared" si="30"/>
        <v>0.75568774072031974</v>
      </c>
      <c r="BB19">
        <v>-2.8785972855310362</v>
      </c>
      <c r="BC19" t="s">
        <v>476</v>
      </c>
      <c r="BD19">
        <v>5066.6099999999997</v>
      </c>
      <c r="BE19">
        <v>854.56388235294128</v>
      </c>
      <c r="BF19">
        <v>1078.75</v>
      </c>
      <c r="BG19">
        <f t="shared" si="31"/>
        <v>0.20782027128348435</v>
      </c>
      <c r="BH19">
        <v>0.5</v>
      </c>
      <c r="BI19">
        <f t="shared" si="32"/>
        <v>1344.2960598080028</v>
      </c>
      <c r="BJ19">
        <f t="shared" si="33"/>
        <v>46.602272148979559</v>
      </c>
      <c r="BK19">
        <f t="shared" si="34"/>
        <v>139.68598591730913</v>
      </c>
      <c r="BL19">
        <f t="shared" si="35"/>
        <v>3.6808014926100155E-2</v>
      </c>
      <c r="BM19">
        <f t="shared" si="36"/>
        <v>1.3033418308227114</v>
      </c>
      <c r="BN19">
        <f t="shared" si="37"/>
        <v>460.43665963701727</v>
      </c>
      <c r="BO19" t="s">
        <v>408</v>
      </c>
      <c r="BP19">
        <v>0</v>
      </c>
      <c r="BQ19">
        <f t="shared" si="38"/>
        <v>460.43665963701727</v>
      </c>
      <c r="BR19">
        <f t="shared" si="39"/>
        <v>0.57317575004679744</v>
      </c>
      <c r="BS19">
        <f t="shared" si="40"/>
        <v>0.36257687326534083</v>
      </c>
      <c r="BT19">
        <f t="shared" si="41"/>
        <v>0.69455348785956539</v>
      </c>
      <c r="BU19">
        <f t="shared" si="42"/>
        <v>0.47527266832109127</v>
      </c>
      <c r="BV19">
        <f t="shared" si="43"/>
        <v>0.74878573558859873</v>
      </c>
      <c r="BW19">
        <f t="shared" si="44"/>
        <v>0.19535541793349356</v>
      </c>
      <c r="BX19">
        <f t="shared" si="45"/>
        <v>0.80464458206650646</v>
      </c>
      <c r="DG19">
        <f t="shared" si="46"/>
        <v>1600.0106666666661</v>
      </c>
      <c r="DH19">
        <f t="shared" si="47"/>
        <v>1344.2960598080028</v>
      </c>
      <c r="DI19">
        <f t="shared" si="48"/>
        <v>0.84017943618376079</v>
      </c>
      <c r="DJ19">
        <f t="shared" si="49"/>
        <v>0.15994631183465841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1784564248.75</v>
      </c>
      <c r="DQ19">
        <v>420.31706666666668</v>
      </c>
      <c r="DR19">
        <v>478.5039666666666</v>
      </c>
      <c r="DS19">
        <v>24.609153333333339</v>
      </c>
      <c r="DT19">
        <v>19.35722333333333</v>
      </c>
      <c r="DU19">
        <v>427.67596666666668</v>
      </c>
      <c r="DV19">
        <v>25.32811666666667</v>
      </c>
      <c r="DW19">
        <v>499.99103333333329</v>
      </c>
      <c r="DX19">
        <v>97.457949999999997</v>
      </c>
      <c r="DY19">
        <v>5.9416636666666668E-2</v>
      </c>
      <c r="DZ19">
        <v>28.944673333333341</v>
      </c>
      <c r="EA19">
        <v>29.469863333333329</v>
      </c>
      <c r="EB19">
        <v>999.9000000000002</v>
      </c>
      <c r="EC19">
        <v>0</v>
      </c>
      <c r="ED19">
        <v>0</v>
      </c>
      <c r="EE19">
        <v>10001.16666666667</v>
      </c>
      <c r="EF19">
        <v>0</v>
      </c>
      <c r="EG19">
        <v>365.7448</v>
      </c>
      <c r="EH19">
        <v>-58.186940000000007</v>
      </c>
      <c r="EI19">
        <v>430.92163333333338</v>
      </c>
      <c r="EJ19">
        <v>487.94926666666657</v>
      </c>
      <c r="EK19">
        <v>5.2519343333333337</v>
      </c>
      <c r="EL19">
        <v>478.5039666666666</v>
      </c>
      <c r="EM19">
        <v>19.35722333333333</v>
      </c>
      <c r="EN19">
        <v>2.3983573333333341</v>
      </c>
      <c r="EO19">
        <v>1.8865149999999999</v>
      </c>
      <c r="EP19">
        <v>20.35269666666667</v>
      </c>
      <c r="EQ19">
        <v>16.522576666666669</v>
      </c>
      <c r="ER19">
        <v>1600.0106666666661</v>
      </c>
      <c r="ES19">
        <v>0.99399889999999969</v>
      </c>
      <c r="ET19">
        <v>6.0014126666666648E-3</v>
      </c>
      <c r="EU19">
        <v>0</v>
      </c>
      <c r="EV19">
        <v>854.63186666666661</v>
      </c>
      <c r="EW19">
        <v>5.0010700000000003</v>
      </c>
      <c r="EX19">
        <v>18532.923333333329</v>
      </c>
      <c r="EY19">
        <v>14578.58333333333</v>
      </c>
      <c r="EZ19">
        <v>47.210099999999997</v>
      </c>
      <c r="FA19">
        <v>48.951699999999981</v>
      </c>
      <c r="FB19">
        <v>48.197499999999991</v>
      </c>
      <c r="FC19">
        <v>48.436999999999983</v>
      </c>
      <c r="FD19">
        <v>48.186999999999983</v>
      </c>
      <c r="FE19">
        <v>1585.4406666666659</v>
      </c>
      <c r="FF19">
        <v>9.5699999999999985</v>
      </c>
      <c r="FG19">
        <v>0</v>
      </c>
      <c r="FH19">
        <v>181.5999999046326</v>
      </c>
      <c r="FI19">
        <v>0</v>
      </c>
      <c r="FJ19">
        <v>854.56388235294128</v>
      </c>
      <c r="FK19">
        <v>-4.791176454093212</v>
      </c>
      <c r="FL19">
        <v>133.82352881991631</v>
      </c>
      <c r="FM19">
        <v>18537.870588235299</v>
      </c>
      <c r="FN19">
        <v>10</v>
      </c>
      <c r="FO19">
        <v>1784564136.5</v>
      </c>
      <c r="FP19" t="s">
        <v>477</v>
      </c>
      <c r="FQ19">
        <v>1784564131.5</v>
      </c>
      <c r="FR19">
        <v>1784564136.5</v>
      </c>
      <c r="FS19">
        <v>17</v>
      </c>
      <c r="FT19">
        <v>8.2000000000000003E-2</v>
      </c>
      <c r="FU19">
        <v>-1.4E-2</v>
      </c>
      <c r="FV19">
        <v>-7.5750000000000002</v>
      </c>
      <c r="FW19">
        <v>-0.86</v>
      </c>
      <c r="FX19">
        <v>479</v>
      </c>
      <c r="FY19">
        <v>19</v>
      </c>
      <c r="FZ19">
        <v>0.17</v>
      </c>
      <c r="GA19">
        <v>0.04</v>
      </c>
      <c r="GB19">
        <v>420.31706666666668</v>
      </c>
      <c r="GC19">
        <v>-1.037526140155161</v>
      </c>
      <c r="GD19">
        <v>0.1094117401785078</v>
      </c>
      <c r="GE19">
        <v>-1</v>
      </c>
      <c r="GF19">
        <v>854.75282352941178</v>
      </c>
      <c r="GG19">
        <v>-2.9323147475242659</v>
      </c>
      <c r="GH19">
        <v>0.37697304245858421</v>
      </c>
      <c r="GI19">
        <v>1</v>
      </c>
      <c r="GJ19">
        <v>5.2303012500000001</v>
      </c>
      <c r="GK19">
        <v>0.67207080675420738</v>
      </c>
      <c r="GL19">
        <v>7.3671889455459869E-2</v>
      </c>
      <c r="GM19">
        <v>0</v>
      </c>
      <c r="GN19">
        <v>1</v>
      </c>
      <c r="GO19">
        <v>2</v>
      </c>
      <c r="GP19" t="s">
        <v>411</v>
      </c>
      <c r="GQ19">
        <v>3.1300699999999999</v>
      </c>
      <c r="GR19">
        <v>2.7356199999999999</v>
      </c>
      <c r="GS19">
        <v>8.99866E-2</v>
      </c>
      <c r="GT19">
        <v>9.8679900000000001E-2</v>
      </c>
      <c r="GU19">
        <v>0.114069</v>
      </c>
      <c r="GV19">
        <v>9.4185199999999997E-2</v>
      </c>
      <c r="GW19">
        <v>22566</v>
      </c>
      <c r="GX19">
        <v>29950.1</v>
      </c>
      <c r="GY19">
        <v>26929.9</v>
      </c>
      <c r="GZ19">
        <v>34216</v>
      </c>
      <c r="HA19">
        <v>34989.199999999997</v>
      </c>
      <c r="HB19">
        <v>39240.1</v>
      </c>
      <c r="HC19">
        <v>39786.800000000003</v>
      </c>
      <c r="HD19">
        <v>43389.7</v>
      </c>
      <c r="HE19">
        <v>1.9074</v>
      </c>
      <c r="HF19">
        <v>1.5858000000000001</v>
      </c>
      <c r="HG19">
        <v>-0.116676</v>
      </c>
      <c r="HH19">
        <v>0</v>
      </c>
      <c r="HI19">
        <v>31.4023</v>
      </c>
      <c r="HJ19">
        <v>999.9</v>
      </c>
      <c r="HK19">
        <v>47.2</v>
      </c>
      <c r="HL19">
        <v>43</v>
      </c>
      <c r="HM19">
        <v>42.075000000000003</v>
      </c>
      <c r="HN19">
        <v>61.643599999999999</v>
      </c>
      <c r="HO19">
        <v>5.5769200000000003</v>
      </c>
      <c r="HP19">
        <v>1</v>
      </c>
      <c r="HQ19">
        <v>1.15106</v>
      </c>
      <c r="HR19">
        <v>9.2810500000000005</v>
      </c>
      <c r="HS19">
        <v>19.9925</v>
      </c>
      <c r="HT19">
        <v>5.2077099999999996</v>
      </c>
      <c r="HU19">
        <v>11.9201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1.86774</v>
      </c>
      <c r="IC19">
        <v>1.8635299999999999</v>
      </c>
      <c r="ID19">
        <v>1.8629500000000001</v>
      </c>
      <c r="IE19">
        <v>1.86252</v>
      </c>
      <c r="IF19">
        <v>1.86252</v>
      </c>
      <c r="IG19">
        <v>1.8629500000000001</v>
      </c>
      <c r="IH19">
        <v>1.8640099999999999</v>
      </c>
      <c r="II19">
        <v>1.86191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-7.359</v>
      </c>
      <c r="IX19">
        <v>-0.71970000000000001</v>
      </c>
      <c r="IY19">
        <v>-5.3650250601757108</v>
      </c>
      <c r="IZ19">
        <v>-5.6215304933332991E-3</v>
      </c>
      <c r="JA19">
        <v>2.3979931213773931E-6</v>
      </c>
      <c r="JB19">
        <v>-3.6297174575716598E-10</v>
      </c>
      <c r="JC19">
        <v>-1.1483269020090761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</v>
      </c>
      <c r="JM19">
        <v>1.1914100000000001</v>
      </c>
      <c r="JN19">
        <v>2.5769000000000002</v>
      </c>
      <c r="JO19">
        <v>1.50024</v>
      </c>
      <c r="JP19">
        <v>2.2717299999999998</v>
      </c>
      <c r="JQ19">
        <v>1.4477500000000001</v>
      </c>
      <c r="JR19">
        <v>2.4011200000000001</v>
      </c>
      <c r="JS19">
        <v>49.1066</v>
      </c>
      <c r="JT19">
        <v>23.737300000000001</v>
      </c>
      <c r="JU19">
        <v>18</v>
      </c>
      <c r="JV19">
        <v>553.18200000000002</v>
      </c>
      <c r="JW19">
        <v>357.30500000000001</v>
      </c>
      <c r="JX19">
        <v>22.934100000000001</v>
      </c>
      <c r="JY19">
        <v>40.631300000000003</v>
      </c>
      <c r="JZ19">
        <v>30.000399999999999</v>
      </c>
      <c r="KA19">
        <v>40.624600000000001</v>
      </c>
      <c r="KB19">
        <v>40.6203</v>
      </c>
      <c r="KC19">
        <v>23.813700000000001</v>
      </c>
      <c r="KD19">
        <v>53.763199999999998</v>
      </c>
      <c r="KE19">
        <v>0</v>
      </c>
      <c r="KF19">
        <v>20.858699999999999</v>
      </c>
      <c r="KG19">
        <v>478.29899999999998</v>
      </c>
      <c r="KH19">
        <v>19.3462</v>
      </c>
      <c r="KI19">
        <v>99.418099999999995</v>
      </c>
      <c r="KJ19">
        <v>97.644400000000005</v>
      </c>
    </row>
    <row r="20" spans="1:296" x14ac:dyDescent="0.3">
      <c r="A20">
        <v>4</v>
      </c>
      <c r="B20">
        <v>1784564439</v>
      </c>
      <c r="C20">
        <v>579</v>
      </c>
      <c r="D20" t="s">
        <v>478</v>
      </c>
      <c r="E20" t="s">
        <v>479</v>
      </c>
      <c r="F20">
        <v>15</v>
      </c>
      <c r="H20">
        <v>1784564431</v>
      </c>
      <c r="I20">
        <f t="shared" si="0"/>
        <v>4.1616302375394841E-3</v>
      </c>
      <c r="J20">
        <f t="shared" si="1"/>
        <v>4.1616302375394838</v>
      </c>
      <c r="K20">
        <f t="shared" si="2"/>
        <v>45.323533568769022</v>
      </c>
      <c r="L20">
        <f t="shared" si="3"/>
        <v>419.87858064516121</v>
      </c>
      <c r="M20">
        <f t="shared" si="4"/>
        <v>98.052784616589364</v>
      </c>
      <c r="N20">
        <f t="shared" si="5"/>
        <v>9.5609234232541702</v>
      </c>
      <c r="O20">
        <f t="shared" si="6"/>
        <v>40.941488528963646</v>
      </c>
      <c r="P20">
        <f t="shared" si="7"/>
        <v>0.23978483130479505</v>
      </c>
      <c r="Q20">
        <f t="shared" si="8"/>
        <v>2.8843760054491554</v>
      </c>
      <c r="R20">
        <f t="shared" si="9"/>
        <v>0.22923540564667777</v>
      </c>
      <c r="S20">
        <f t="shared" si="10"/>
        <v>0.14418127308841083</v>
      </c>
      <c r="T20">
        <f t="shared" si="11"/>
        <v>224.00220779434392</v>
      </c>
      <c r="U20">
        <f t="shared" si="12"/>
        <v>29.086926913399633</v>
      </c>
      <c r="V20">
        <f t="shared" si="13"/>
        <v>29.35709032258065</v>
      </c>
      <c r="W20">
        <f t="shared" si="14"/>
        <v>4.1056279576128336</v>
      </c>
      <c r="X20">
        <f t="shared" si="15"/>
        <v>60.073188079423765</v>
      </c>
      <c r="Y20">
        <f t="shared" si="16"/>
        <v>2.3944328786932667</v>
      </c>
      <c r="Z20">
        <f t="shared" si="17"/>
        <v>3.9858595077849821</v>
      </c>
      <c r="AA20">
        <f t="shared" si="18"/>
        <v>1.7111950789195669</v>
      </c>
      <c r="AB20">
        <f t="shared" si="19"/>
        <v>-183.52789347549125</v>
      </c>
      <c r="AC20">
        <f t="shared" si="20"/>
        <v>-79.619275836959815</v>
      </c>
      <c r="AD20">
        <f t="shared" si="21"/>
        <v>-6.0832367533766822</v>
      </c>
      <c r="AE20">
        <f t="shared" si="22"/>
        <v>-45.228198271483848</v>
      </c>
      <c r="AF20">
        <f t="shared" si="23"/>
        <v>45.323533568769022</v>
      </c>
      <c r="AG20">
        <f t="shared" si="24"/>
        <v>4.1616302375394838</v>
      </c>
      <c r="AH20">
        <f t="shared" si="25"/>
        <v>45.303740771084861</v>
      </c>
      <c r="AI20">
        <v>485.91028521158762</v>
      </c>
      <c r="AJ20">
        <v>430.43241212121183</v>
      </c>
      <c r="AK20">
        <v>4.1250201478709612E-3</v>
      </c>
      <c r="AL20">
        <v>66.979715023621679</v>
      </c>
      <c r="AM20">
        <f t="shared" si="26"/>
        <v>4.163312668483929</v>
      </c>
      <c r="AN20">
        <v>19.685042864757051</v>
      </c>
      <c r="AO20">
        <v>24.558062424242419</v>
      </c>
      <c r="AP20">
        <v>4.7709203402282939E-5</v>
      </c>
      <c r="AQ20">
        <v>78.124048110369245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51212.315928432938</v>
      </c>
      <c r="AW20" t="s">
        <v>467</v>
      </c>
      <c r="AX20">
        <v>5067.63</v>
      </c>
      <c r="AY20">
        <v>607.05000000000007</v>
      </c>
      <c r="AZ20">
        <v>2484.73</v>
      </c>
      <c r="BA20">
        <f t="shared" si="30"/>
        <v>0.75568774072031974</v>
      </c>
      <c r="BB20">
        <v>-2.8785972855310362</v>
      </c>
      <c r="BC20" t="s">
        <v>480</v>
      </c>
      <c r="BD20">
        <v>5068.82</v>
      </c>
      <c r="BE20">
        <v>851.04182352941189</v>
      </c>
      <c r="BF20">
        <v>1129.1300000000001</v>
      </c>
      <c r="BG20">
        <f t="shared" si="31"/>
        <v>0.24628534931370893</v>
      </c>
      <c r="BH20">
        <v>0.5</v>
      </c>
      <c r="BI20">
        <f t="shared" si="32"/>
        <v>1176.2803062280573</v>
      </c>
      <c r="BJ20">
        <f t="shared" si="33"/>
        <v>45.323533568769022</v>
      </c>
      <c r="BK20">
        <f t="shared" si="34"/>
        <v>144.85030305510679</v>
      </c>
      <c r="BL20">
        <f t="shared" si="35"/>
        <v>4.0978439066848261E-2</v>
      </c>
      <c r="BM20">
        <f t="shared" si="36"/>
        <v>1.2005703506239316</v>
      </c>
      <c r="BN20">
        <f t="shared" si="37"/>
        <v>469.37555325713555</v>
      </c>
      <c r="BO20" t="s">
        <v>408</v>
      </c>
      <c r="BP20">
        <v>0</v>
      </c>
      <c r="BQ20">
        <f t="shared" si="38"/>
        <v>469.37555325713555</v>
      </c>
      <c r="BR20">
        <f t="shared" si="39"/>
        <v>0.584303354567556</v>
      </c>
      <c r="BS20">
        <f t="shared" si="40"/>
        <v>0.42150254211014282</v>
      </c>
      <c r="BT20">
        <f t="shared" si="41"/>
        <v>0.67263602300372849</v>
      </c>
      <c r="BU20">
        <f t="shared" si="42"/>
        <v>0.53265433740152501</v>
      </c>
      <c r="BV20">
        <f t="shared" si="43"/>
        <v>0.72195475267351206</v>
      </c>
      <c r="BW20">
        <f t="shared" si="44"/>
        <v>0.23247152305834934</v>
      </c>
      <c r="BX20">
        <f t="shared" si="45"/>
        <v>0.76752847694165061</v>
      </c>
      <c r="DG20">
        <f t="shared" si="46"/>
        <v>1399.985483870968</v>
      </c>
      <c r="DH20">
        <f t="shared" si="47"/>
        <v>1176.2803062280573</v>
      </c>
      <c r="DI20">
        <f t="shared" si="48"/>
        <v>0.84020893057807677</v>
      </c>
      <c r="DJ20">
        <f t="shared" si="49"/>
        <v>0.16000323601568819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1784564431</v>
      </c>
      <c r="DQ20">
        <v>419.87858064516121</v>
      </c>
      <c r="DR20">
        <v>476.36396774193548</v>
      </c>
      <c r="DS20">
        <v>24.55629032258064</v>
      </c>
      <c r="DT20">
        <v>19.68494193548387</v>
      </c>
      <c r="DU20">
        <v>427.22241935483868</v>
      </c>
      <c r="DV20">
        <v>25.290606451612899</v>
      </c>
      <c r="DW20">
        <v>499.9974193548386</v>
      </c>
      <c r="DX20">
        <v>97.448635483870973</v>
      </c>
      <c r="DY20">
        <v>5.9288035483870967E-2</v>
      </c>
      <c r="DZ20">
        <v>28.84507741935484</v>
      </c>
      <c r="EA20">
        <v>29.35709032258065</v>
      </c>
      <c r="EB20">
        <v>999.90000000000032</v>
      </c>
      <c r="EC20">
        <v>0</v>
      </c>
      <c r="ED20">
        <v>0</v>
      </c>
      <c r="EE20">
        <v>9999.8387096774186</v>
      </c>
      <c r="EF20">
        <v>0</v>
      </c>
      <c r="EG20">
        <v>83.478561290322588</v>
      </c>
      <c r="EH20">
        <v>-56.485461290322583</v>
      </c>
      <c r="EI20">
        <v>430.44880645161282</v>
      </c>
      <c r="EJ20">
        <v>485.92948387096777</v>
      </c>
      <c r="EK20">
        <v>4.871340322580644</v>
      </c>
      <c r="EL20">
        <v>476.36396774193548</v>
      </c>
      <c r="EM20">
        <v>19.68494193548387</v>
      </c>
      <c r="EN20">
        <v>2.392976451612904</v>
      </c>
      <c r="EO20">
        <v>1.918270645161291</v>
      </c>
      <c r="EP20">
        <v>20.316329032258061</v>
      </c>
      <c r="EQ20">
        <v>16.785399999999999</v>
      </c>
      <c r="ER20">
        <v>1399.985483870968</v>
      </c>
      <c r="ES20">
        <v>0.99301019354838671</v>
      </c>
      <c r="ET20">
        <v>6.9900470967741964E-3</v>
      </c>
      <c r="EU20">
        <v>0</v>
      </c>
      <c r="EV20">
        <v>850.95216129032258</v>
      </c>
      <c r="EW20">
        <v>5.0010700000000003</v>
      </c>
      <c r="EX20">
        <v>16567.364516129041</v>
      </c>
      <c r="EY20">
        <v>12745.425806451611</v>
      </c>
      <c r="EZ20">
        <v>47.125</v>
      </c>
      <c r="FA20">
        <v>49.195129032258038</v>
      </c>
      <c r="FB20">
        <v>48.320129032258038</v>
      </c>
      <c r="FC20">
        <v>48.625</v>
      </c>
      <c r="FD20">
        <v>48.203258064516113</v>
      </c>
      <c r="FE20">
        <v>1385.235483870968</v>
      </c>
      <c r="FF20">
        <v>9.75</v>
      </c>
      <c r="FG20">
        <v>0</v>
      </c>
      <c r="FH20">
        <v>181.79999995231631</v>
      </c>
      <c r="FI20">
        <v>0</v>
      </c>
      <c r="FJ20">
        <v>851.04182352941189</v>
      </c>
      <c r="FK20">
        <v>2.499754959367388</v>
      </c>
      <c r="FL20">
        <v>-25.955882489311399</v>
      </c>
      <c r="FM20">
        <v>16569.49411764706</v>
      </c>
      <c r="FN20">
        <v>10</v>
      </c>
      <c r="FO20">
        <v>1784564345.5</v>
      </c>
      <c r="FP20" t="s">
        <v>481</v>
      </c>
      <c r="FQ20">
        <v>1784564339.5</v>
      </c>
      <c r="FR20">
        <v>1784564345.5</v>
      </c>
      <c r="FS20">
        <v>18</v>
      </c>
      <c r="FT20">
        <v>1.2999999999999999E-2</v>
      </c>
      <c r="FU20">
        <v>-1.4E-2</v>
      </c>
      <c r="FV20">
        <v>-7.5549999999999997</v>
      </c>
      <c r="FW20">
        <v>-0.86299999999999999</v>
      </c>
      <c r="FX20">
        <v>477</v>
      </c>
      <c r="FY20">
        <v>20</v>
      </c>
      <c r="FZ20">
        <v>0.14000000000000001</v>
      </c>
      <c r="GA20">
        <v>7.0000000000000007E-2</v>
      </c>
      <c r="GB20">
        <v>419.87748387096758</v>
      </c>
      <c r="GC20">
        <v>-0.31587096774203222</v>
      </c>
      <c r="GD20">
        <v>6.2855631291198769E-2</v>
      </c>
      <c r="GE20">
        <v>-1</v>
      </c>
      <c r="GF20">
        <v>850.97344117647049</v>
      </c>
      <c r="GG20">
        <v>0.51173416112685344</v>
      </c>
      <c r="GH20">
        <v>0.22828776875541271</v>
      </c>
      <c r="GI20">
        <v>1</v>
      </c>
      <c r="GJ20">
        <v>4.8730090243902433</v>
      </c>
      <c r="GK20">
        <v>-2.6554494773507541E-2</v>
      </c>
      <c r="GL20">
        <v>4.708918266789896E-3</v>
      </c>
      <c r="GM20">
        <v>1</v>
      </c>
      <c r="GN20">
        <v>2</v>
      </c>
      <c r="GO20">
        <v>2</v>
      </c>
      <c r="GP20" t="s">
        <v>424</v>
      </c>
      <c r="GQ20">
        <v>3.1299600000000001</v>
      </c>
      <c r="GR20">
        <v>2.7359900000000001</v>
      </c>
      <c r="GS20">
        <v>8.9877700000000005E-2</v>
      </c>
      <c r="GT20">
        <v>9.8346900000000001E-2</v>
      </c>
      <c r="GU20">
        <v>0.113998</v>
      </c>
      <c r="GV20">
        <v>9.5756800000000003E-2</v>
      </c>
      <c r="GW20">
        <v>22562</v>
      </c>
      <c r="GX20">
        <v>29955.200000000001</v>
      </c>
      <c r="GY20">
        <v>26922.5</v>
      </c>
      <c r="GZ20">
        <v>34210.1</v>
      </c>
      <c r="HA20">
        <v>34983.9</v>
      </c>
      <c r="HB20">
        <v>39167.300000000003</v>
      </c>
      <c r="HC20">
        <v>39777</v>
      </c>
      <c r="HD20">
        <v>43383.9</v>
      </c>
      <c r="HE20">
        <v>1.9066000000000001</v>
      </c>
      <c r="HF20">
        <v>1.5811999999999999</v>
      </c>
      <c r="HG20">
        <v>-0.13113</v>
      </c>
      <c r="HH20">
        <v>0</v>
      </c>
      <c r="HI20">
        <v>31.482299999999999</v>
      </c>
      <c r="HJ20">
        <v>999.9</v>
      </c>
      <c r="HK20">
        <v>47</v>
      </c>
      <c r="HL20">
        <v>43.2</v>
      </c>
      <c r="HM20">
        <v>42.343000000000004</v>
      </c>
      <c r="HN20">
        <v>61.733600000000003</v>
      </c>
      <c r="HO20">
        <v>5.4807699999999997</v>
      </c>
      <c r="HP20">
        <v>1</v>
      </c>
      <c r="HQ20">
        <v>1.1646300000000001</v>
      </c>
      <c r="HR20">
        <v>9.2810500000000005</v>
      </c>
      <c r="HS20">
        <v>19.993300000000001</v>
      </c>
      <c r="HT20">
        <v>5.2053099999999999</v>
      </c>
      <c r="HU20">
        <v>11.9201</v>
      </c>
      <c r="HV20">
        <v>4.9836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1.86771</v>
      </c>
      <c r="IC20">
        <v>1.8635600000000001</v>
      </c>
      <c r="ID20">
        <v>1.8629800000000001</v>
      </c>
      <c r="IE20">
        <v>1.86252</v>
      </c>
      <c r="IF20">
        <v>1.86249</v>
      </c>
      <c r="IG20">
        <v>1.8629800000000001</v>
      </c>
      <c r="IH20">
        <v>1.86392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-7.343</v>
      </c>
      <c r="IX20">
        <v>-0.73419999999999996</v>
      </c>
      <c r="IY20">
        <v>-5.3516278003540272</v>
      </c>
      <c r="IZ20">
        <v>-5.6215304933332991E-3</v>
      </c>
      <c r="JA20">
        <v>2.3979931213773931E-6</v>
      </c>
      <c r="JB20">
        <v>-3.6297174575716598E-10</v>
      </c>
      <c r="JC20">
        <v>-1.1626198060165289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1.7</v>
      </c>
      <c r="JL20">
        <v>1.6</v>
      </c>
      <c r="JM20">
        <v>1.18774</v>
      </c>
      <c r="JN20">
        <v>2.5720200000000002</v>
      </c>
      <c r="JO20">
        <v>1.50024</v>
      </c>
      <c r="JP20">
        <v>2.2717299999999998</v>
      </c>
      <c r="JQ20">
        <v>1.4477500000000001</v>
      </c>
      <c r="JR20">
        <v>2.3754900000000001</v>
      </c>
      <c r="JS20">
        <v>49.294899999999998</v>
      </c>
      <c r="JT20">
        <v>23.7285</v>
      </c>
      <c r="JU20">
        <v>18</v>
      </c>
      <c r="JV20">
        <v>553.524</v>
      </c>
      <c r="JW20">
        <v>355.33100000000002</v>
      </c>
      <c r="JX20">
        <v>22.972200000000001</v>
      </c>
      <c r="JY20">
        <v>40.769399999999997</v>
      </c>
      <c r="JZ20">
        <v>30.000399999999999</v>
      </c>
      <c r="KA20">
        <v>40.743200000000002</v>
      </c>
      <c r="KB20">
        <v>40.741799999999998</v>
      </c>
      <c r="KC20">
        <v>23.756599999999999</v>
      </c>
      <c r="KD20">
        <v>52.898800000000001</v>
      </c>
      <c r="KE20">
        <v>0</v>
      </c>
      <c r="KF20">
        <v>20.8184</v>
      </c>
      <c r="KG20">
        <v>476.601</v>
      </c>
      <c r="KH20">
        <v>19.6875</v>
      </c>
      <c r="KI20">
        <v>99.392499999999998</v>
      </c>
      <c r="KJ20">
        <v>97.6297</v>
      </c>
    </row>
    <row r="21" spans="1:296" x14ac:dyDescent="0.3">
      <c r="A21">
        <v>5</v>
      </c>
      <c r="B21">
        <v>1784564621.5</v>
      </c>
      <c r="C21">
        <v>761.5</v>
      </c>
      <c r="D21" t="s">
        <v>482</v>
      </c>
      <c r="E21" t="s">
        <v>483</v>
      </c>
      <c r="F21">
        <v>15</v>
      </c>
      <c r="H21">
        <v>1784564613.75</v>
      </c>
      <c r="I21">
        <f t="shared" si="0"/>
        <v>3.6800444160191865E-3</v>
      </c>
      <c r="J21">
        <f t="shared" si="1"/>
        <v>3.6800444160191863</v>
      </c>
      <c r="K21">
        <f t="shared" si="2"/>
        <v>40.781948653206847</v>
      </c>
      <c r="L21">
        <f t="shared" si="3"/>
        <v>419.99149999999997</v>
      </c>
      <c r="M21">
        <f t="shared" si="4"/>
        <v>95.411832759403481</v>
      </c>
      <c r="N21">
        <f t="shared" si="5"/>
        <v>9.3028303503223562</v>
      </c>
      <c r="O21">
        <f t="shared" si="6"/>
        <v>40.949948869862148</v>
      </c>
      <c r="P21">
        <f t="shared" si="7"/>
        <v>0.21291105859178613</v>
      </c>
      <c r="Q21">
        <f t="shared" si="8"/>
        <v>2.8843190179282123</v>
      </c>
      <c r="R21">
        <f t="shared" si="9"/>
        <v>0.20454928062027336</v>
      </c>
      <c r="S21">
        <f t="shared" si="10"/>
        <v>0.12856720997447291</v>
      </c>
      <c r="T21">
        <f t="shared" si="11"/>
        <v>160.17405103436258</v>
      </c>
      <c r="U21">
        <f t="shared" si="12"/>
        <v>28.698318551078703</v>
      </c>
      <c r="V21">
        <f t="shared" si="13"/>
        <v>29.19943</v>
      </c>
      <c r="W21">
        <f t="shared" si="14"/>
        <v>4.0684186656090864</v>
      </c>
      <c r="X21">
        <f t="shared" si="15"/>
        <v>59.979836967097256</v>
      </c>
      <c r="Y21">
        <f t="shared" si="16"/>
        <v>2.3722002219429261</v>
      </c>
      <c r="Z21">
        <f t="shared" si="17"/>
        <v>3.9549961151848887</v>
      </c>
      <c r="AA21">
        <f t="shared" si="18"/>
        <v>1.6962184436661603</v>
      </c>
      <c r="AB21">
        <f t="shared" si="19"/>
        <v>-162.28995874644613</v>
      </c>
      <c r="AC21">
        <f t="shared" si="20"/>
        <v>-75.956276954423146</v>
      </c>
      <c r="AD21">
        <f t="shared" si="21"/>
        <v>-5.7950794237259071</v>
      </c>
      <c r="AE21">
        <f t="shared" si="22"/>
        <v>-83.867264090232595</v>
      </c>
      <c r="AF21">
        <f t="shared" si="23"/>
        <v>40.781948653206847</v>
      </c>
      <c r="AG21">
        <f t="shared" si="24"/>
        <v>3.6800444160191863</v>
      </c>
      <c r="AH21">
        <f t="shared" si="25"/>
        <v>40.825838421310088</v>
      </c>
      <c r="AI21">
        <v>480.46103042293868</v>
      </c>
      <c r="AJ21">
        <v>430.49619999999987</v>
      </c>
      <c r="AK21">
        <v>-4.9602573150195253E-3</v>
      </c>
      <c r="AL21">
        <v>67.040144697747195</v>
      </c>
      <c r="AM21">
        <f t="shared" si="26"/>
        <v>3.6770124781623492</v>
      </c>
      <c r="AN21">
        <v>20.022493235281392</v>
      </c>
      <c r="AO21">
        <v>24.327216969696959</v>
      </c>
      <c r="AP21">
        <v>3.9554730983385497E-5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51233.332922616166</v>
      </c>
      <c r="AW21" t="s">
        <v>467</v>
      </c>
      <c r="AX21">
        <v>5067.63</v>
      </c>
      <c r="AY21">
        <v>607.05000000000007</v>
      </c>
      <c r="AZ21">
        <v>2484.73</v>
      </c>
      <c r="BA21">
        <f t="shared" si="30"/>
        <v>0.75568774072031974</v>
      </c>
      <c r="BB21">
        <v>-2.8785972855310362</v>
      </c>
      <c r="BC21" t="s">
        <v>484</v>
      </c>
      <c r="BD21">
        <v>5071.99</v>
      </c>
      <c r="BE21">
        <v>847.79376470588238</v>
      </c>
      <c r="BF21">
        <v>1297.25</v>
      </c>
      <c r="BG21">
        <f t="shared" si="31"/>
        <v>0.34646847970253813</v>
      </c>
      <c r="BH21">
        <v>0.5</v>
      </c>
      <c r="BI21">
        <f t="shared" si="32"/>
        <v>840.29044331314117</v>
      </c>
      <c r="BJ21">
        <f t="shared" si="33"/>
        <v>40.781948653206847</v>
      </c>
      <c r="BK21">
        <f t="shared" si="34"/>
        <v>145.56707620163792</v>
      </c>
      <c r="BL21">
        <f t="shared" si="35"/>
        <v>5.1958874798802658E-2</v>
      </c>
      <c r="BM21">
        <f t="shared" si="36"/>
        <v>0.91538253998843711</v>
      </c>
      <c r="BN21">
        <f t="shared" si="37"/>
        <v>496.10212853864971</v>
      </c>
      <c r="BO21" t="s">
        <v>408</v>
      </c>
      <c r="BP21">
        <v>0</v>
      </c>
      <c r="BQ21">
        <f t="shared" si="38"/>
        <v>496.10212853864971</v>
      </c>
      <c r="BR21">
        <f t="shared" si="39"/>
        <v>0.61757399997020646</v>
      </c>
      <c r="BS21">
        <f t="shared" si="40"/>
        <v>0.56101532726321512</v>
      </c>
      <c r="BT21">
        <f t="shared" si="41"/>
        <v>0.59713534997745754</v>
      </c>
      <c r="BU21">
        <f t="shared" si="42"/>
        <v>0.65119709547104854</v>
      </c>
      <c r="BV21">
        <f t="shared" si="43"/>
        <v>0.63241872949597377</v>
      </c>
      <c r="BW21">
        <f t="shared" si="44"/>
        <v>0.32828844653586664</v>
      </c>
      <c r="BX21">
        <f t="shared" si="45"/>
        <v>0.67171155346413336</v>
      </c>
      <c r="DG21">
        <f t="shared" si="46"/>
        <v>999.99076666666667</v>
      </c>
      <c r="DH21">
        <f t="shared" si="47"/>
        <v>840.29044331314117</v>
      </c>
      <c r="DI21">
        <f t="shared" si="48"/>
        <v>0.84029820206654027</v>
      </c>
      <c r="DJ21">
        <f t="shared" si="49"/>
        <v>0.1601755299884228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1784564613.75</v>
      </c>
      <c r="DQ21">
        <v>419.99149999999997</v>
      </c>
      <c r="DR21">
        <v>470.78326666666658</v>
      </c>
      <c r="DS21">
        <v>24.32979666666666</v>
      </c>
      <c r="DT21">
        <v>20.02129333333334</v>
      </c>
      <c r="DU21">
        <v>427.43616666666668</v>
      </c>
      <c r="DV21">
        <v>25.078993333333329</v>
      </c>
      <c r="DW21">
        <v>500.01256666666671</v>
      </c>
      <c r="DX21">
        <v>97.442246666666705</v>
      </c>
      <c r="DY21">
        <v>5.9604846666666662E-2</v>
      </c>
      <c r="DZ21">
        <v>28.710963333333329</v>
      </c>
      <c r="EA21">
        <v>29.19943</v>
      </c>
      <c r="EB21">
        <v>999.9000000000002</v>
      </c>
      <c r="EC21">
        <v>0</v>
      </c>
      <c r="ED21">
        <v>0</v>
      </c>
      <c r="EE21">
        <v>10000.16666666667</v>
      </c>
      <c r="EF21">
        <v>0</v>
      </c>
      <c r="EG21">
        <v>87.199300000000008</v>
      </c>
      <c r="EH21">
        <v>-50.791710000000002</v>
      </c>
      <c r="EI21">
        <v>430.46463333333332</v>
      </c>
      <c r="EJ21">
        <v>480.40140000000002</v>
      </c>
      <c r="EK21">
        <v>4.3085070000000014</v>
      </c>
      <c r="EL21">
        <v>470.78326666666658</v>
      </c>
      <c r="EM21">
        <v>20.02129333333334</v>
      </c>
      <c r="EN21">
        <v>2.3707500000000001</v>
      </c>
      <c r="EO21">
        <v>1.950919333333333</v>
      </c>
      <c r="EP21">
        <v>20.165356666666671</v>
      </c>
      <c r="EQ21">
        <v>17.051526666666671</v>
      </c>
      <c r="ER21">
        <v>999.99076666666667</v>
      </c>
      <c r="ES21">
        <v>0.99001369999999989</v>
      </c>
      <c r="ET21">
        <v>9.9859673333333367E-3</v>
      </c>
      <c r="EU21">
        <v>0</v>
      </c>
      <c r="EV21">
        <v>847.73486666666633</v>
      </c>
      <c r="EW21">
        <v>5.0010700000000003</v>
      </c>
      <c r="EX21">
        <v>12823.64</v>
      </c>
      <c r="EY21">
        <v>9080.2466666666678</v>
      </c>
      <c r="EZ21">
        <v>46.627066666666657</v>
      </c>
      <c r="FA21">
        <v>49.186999999999983</v>
      </c>
      <c r="FB21">
        <v>48.168399999999991</v>
      </c>
      <c r="FC21">
        <v>48.686999999999983</v>
      </c>
      <c r="FD21">
        <v>47.924599999999977</v>
      </c>
      <c r="FE21">
        <v>985.05200000000002</v>
      </c>
      <c r="FF21">
        <v>9.94</v>
      </c>
      <c r="FG21">
        <v>0</v>
      </c>
      <c r="FH21">
        <v>181.5999999046326</v>
      </c>
      <c r="FI21">
        <v>0</v>
      </c>
      <c r="FJ21">
        <v>847.79376470588238</v>
      </c>
      <c r="FK21">
        <v>-1.8926470629213801</v>
      </c>
      <c r="FL21">
        <v>202.42647087833771</v>
      </c>
      <c r="FM21">
        <v>12825.32352941176</v>
      </c>
      <c r="FN21">
        <v>10</v>
      </c>
      <c r="FO21">
        <v>1784564554.5</v>
      </c>
      <c r="FP21" t="s">
        <v>485</v>
      </c>
      <c r="FQ21">
        <v>1784564554.5</v>
      </c>
      <c r="FR21">
        <v>1784564545.5</v>
      </c>
      <c r="FS21">
        <v>19</v>
      </c>
      <c r="FT21">
        <v>-0.1</v>
      </c>
      <c r="FU21">
        <v>-8.9999999999999993E-3</v>
      </c>
      <c r="FV21">
        <v>-7.6379999999999999</v>
      </c>
      <c r="FW21">
        <v>-0.87</v>
      </c>
      <c r="FX21">
        <v>473</v>
      </c>
      <c r="FY21">
        <v>20</v>
      </c>
      <c r="FZ21">
        <v>0.2</v>
      </c>
      <c r="GA21">
        <v>7.0000000000000007E-2</v>
      </c>
      <c r="GB21">
        <v>419.99048387096781</v>
      </c>
      <c r="GC21">
        <v>-4.5048387098066092E-2</v>
      </c>
      <c r="GD21">
        <v>7.5123498736649169E-2</v>
      </c>
      <c r="GE21">
        <v>-1</v>
      </c>
      <c r="GF21">
        <v>847.65947058823531</v>
      </c>
      <c r="GG21">
        <v>1.1366233778267709</v>
      </c>
      <c r="GH21">
        <v>0.28778670975467152</v>
      </c>
      <c r="GI21">
        <v>1</v>
      </c>
      <c r="GJ21">
        <v>4.3113199999999994</v>
      </c>
      <c r="GK21">
        <v>-4.9900975609739183E-2</v>
      </c>
      <c r="GL21">
        <v>6.3746276792280496E-3</v>
      </c>
      <c r="GM21">
        <v>1</v>
      </c>
      <c r="GN21">
        <v>2</v>
      </c>
      <c r="GO21">
        <v>2</v>
      </c>
      <c r="GP21" t="s">
        <v>424</v>
      </c>
      <c r="GQ21">
        <v>3.1307</v>
      </c>
      <c r="GR21">
        <v>2.7350500000000002</v>
      </c>
      <c r="GS21">
        <v>8.9875899999999995E-2</v>
      </c>
      <c r="GT21">
        <v>9.7379499999999994E-2</v>
      </c>
      <c r="GU21">
        <v>0.113256</v>
      </c>
      <c r="GV21">
        <v>9.6867499999999995E-2</v>
      </c>
      <c r="GW21">
        <v>22555</v>
      </c>
      <c r="GX21">
        <v>29976.6</v>
      </c>
      <c r="GY21">
        <v>26914.799999999999</v>
      </c>
      <c r="GZ21">
        <v>34198.800000000003</v>
      </c>
      <c r="HA21">
        <v>35004.1</v>
      </c>
      <c r="HB21">
        <v>39108.400000000001</v>
      </c>
      <c r="HC21">
        <v>39766.300000000003</v>
      </c>
      <c r="HD21">
        <v>43371.4</v>
      </c>
      <c r="HE21">
        <v>1.9046000000000001</v>
      </c>
      <c r="HF21">
        <v>1.5786</v>
      </c>
      <c r="HG21">
        <v>-0.13858100000000001</v>
      </c>
      <c r="HH21">
        <v>0</v>
      </c>
      <c r="HI21">
        <v>31.449100000000001</v>
      </c>
      <c r="HJ21">
        <v>999.9</v>
      </c>
      <c r="HK21">
        <v>46.6</v>
      </c>
      <c r="HL21">
        <v>43.4</v>
      </c>
      <c r="HM21">
        <v>42.4208</v>
      </c>
      <c r="HN21">
        <v>61.683700000000002</v>
      </c>
      <c r="HO21">
        <v>5.2283600000000003</v>
      </c>
      <c r="HP21">
        <v>1</v>
      </c>
      <c r="HQ21">
        <v>1.1797200000000001</v>
      </c>
      <c r="HR21">
        <v>9.2810500000000005</v>
      </c>
      <c r="HS21">
        <v>19.996600000000001</v>
      </c>
      <c r="HT21">
        <v>5.2088999999999999</v>
      </c>
      <c r="HU21">
        <v>11.9201</v>
      </c>
      <c r="HV21">
        <v>4.9820000000000002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1.8678300000000001</v>
      </c>
      <c r="IC21">
        <v>1.8635600000000001</v>
      </c>
      <c r="ID21">
        <v>1.8630100000000001</v>
      </c>
      <c r="IE21">
        <v>1.86252</v>
      </c>
      <c r="IF21">
        <v>1.86249</v>
      </c>
      <c r="IG21">
        <v>1.8629800000000001</v>
      </c>
      <c r="IH21">
        <v>1.8640099999999999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-7.4450000000000003</v>
      </c>
      <c r="IX21">
        <v>-0.74929999999999997</v>
      </c>
      <c r="IY21">
        <v>-5.4515347250726984</v>
      </c>
      <c r="IZ21">
        <v>-5.6215304933332991E-3</v>
      </c>
      <c r="JA21">
        <v>2.3979931213773931E-6</v>
      </c>
      <c r="JB21">
        <v>-3.6297174575716598E-10</v>
      </c>
      <c r="JC21">
        <v>-1.1715108300043531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1.1000000000000001</v>
      </c>
      <c r="JL21">
        <v>1.3</v>
      </c>
      <c r="JM21">
        <v>1.17676</v>
      </c>
      <c r="JN21">
        <v>2.5634800000000002</v>
      </c>
      <c r="JO21">
        <v>1.50024</v>
      </c>
      <c r="JP21">
        <v>2.2717299999999998</v>
      </c>
      <c r="JQ21">
        <v>1.4477500000000001</v>
      </c>
      <c r="JR21">
        <v>2.4279799999999998</v>
      </c>
      <c r="JS21">
        <v>49.484200000000001</v>
      </c>
      <c r="JT21">
        <v>23.745999999999999</v>
      </c>
      <c r="JU21">
        <v>18</v>
      </c>
      <c r="JV21">
        <v>553.26599999999996</v>
      </c>
      <c r="JW21">
        <v>354.59300000000002</v>
      </c>
      <c r="JX21">
        <v>22.984400000000001</v>
      </c>
      <c r="JY21">
        <v>40.928899999999999</v>
      </c>
      <c r="JZ21">
        <v>30.000399999999999</v>
      </c>
      <c r="KA21">
        <v>40.894300000000001</v>
      </c>
      <c r="KB21">
        <v>40.887700000000002</v>
      </c>
      <c r="KC21">
        <v>23.540500000000002</v>
      </c>
      <c r="KD21">
        <v>52.4634</v>
      </c>
      <c r="KE21">
        <v>0</v>
      </c>
      <c r="KF21">
        <v>20.669</v>
      </c>
      <c r="KG21">
        <v>470.82900000000001</v>
      </c>
      <c r="KH21">
        <v>20.041399999999999</v>
      </c>
      <c r="KI21">
        <v>99.365099999999998</v>
      </c>
      <c r="KJ21">
        <v>97.599900000000005</v>
      </c>
    </row>
    <row r="22" spans="1:296" x14ac:dyDescent="0.3">
      <c r="A22">
        <v>6</v>
      </c>
      <c r="B22">
        <v>1784564804</v>
      </c>
      <c r="C22">
        <v>944</v>
      </c>
      <c r="D22" t="s">
        <v>486</v>
      </c>
      <c r="E22" t="s">
        <v>487</v>
      </c>
      <c r="F22">
        <v>15</v>
      </c>
      <c r="H22">
        <v>1784564796.25</v>
      </c>
      <c r="I22">
        <f t="shared" si="0"/>
        <v>3.3337631840847795E-3</v>
      </c>
      <c r="J22">
        <f t="shared" si="1"/>
        <v>3.3337631840847797</v>
      </c>
      <c r="K22">
        <f t="shared" si="2"/>
        <v>36.55104055284167</v>
      </c>
      <c r="L22">
        <f t="shared" si="3"/>
        <v>420.18183333333332</v>
      </c>
      <c r="M22">
        <f t="shared" si="4"/>
        <v>99.580543666805113</v>
      </c>
      <c r="N22">
        <f t="shared" si="5"/>
        <v>9.7091621304738851</v>
      </c>
      <c r="O22">
        <f t="shared" si="6"/>
        <v>40.967978220358091</v>
      </c>
      <c r="P22">
        <f t="shared" si="7"/>
        <v>0.19265391309093696</v>
      </c>
      <c r="Q22">
        <f t="shared" si="8"/>
        <v>2.8847299624808533</v>
      </c>
      <c r="R22">
        <f t="shared" si="9"/>
        <v>0.18578089477390625</v>
      </c>
      <c r="S22">
        <f t="shared" si="10"/>
        <v>0.11671014464794868</v>
      </c>
      <c r="T22">
        <f t="shared" si="11"/>
        <v>128.27638876211515</v>
      </c>
      <c r="U22">
        <f t="shared" si="12"/>
        <v>28.519678624304724</v>
      </c>
      <c r="V22">
        <f t="shared" si="13"/>
        <v>29.123100000000001</v>
      </c>
      <c r="W22">
        <f t="shared" si="14"/>
        <v>4.0505099579601245</v>
      </c>
      <c r="X22">
        <f t="shared" si="15"/>
        <v>59.905886386449772</v>
      </c>
      <c r="Y22">
        <f t="shared" si="16"/>
        <v>2.3584038362615298</v>
      </c>
      <c r="Z22">
        <f t="shared" si="17"/>
        <v>3.9368482440065886</v>
      </c>
      <c r="AA22">
        <f t="shared" si="18"/>
        <v>1.6921061216985946</v>
      </c>
      <c r="AB22">
        <f t="shared" si="19"/>
        <v>-147.01895641813877</v>
      </c>
      <c r="AC22">
        <f t="shared" si="20"/>
        <v>-76.426924274133398</v>
      </c>
      <c r="AD22">
        <f t="shared" si="21"/>
        <v>-5.8256510128001331</v>
      </c>
      <c r="AE22">
        <f t="shared" si="22"/>
        <v>-100.99514294295716</v>
      </c>
      <c r="AF22">
        <f t="shared" si="23"/>
        <v>36.55104055284167</v>
      </c>
      <c r="AG22">
        <f t="shared" si="24"/>
        <v>3.3337631840847797</v>
      </c>
      <c r="AH22">
        <f t="shared" si="25"/>
        <v>36.558096106871915</v>
      </c>
      <c r="AI22">
        <v>475.24907370337871</v>
      </c>
      <c r="AJ22">
        <v>430.52693939393907</v>
      </c>
      <c r="AK22">
        <v>-1.055454529872471E-2</v>
      </c>
      <c r="AL22">
        <v>67.039242692018291</v>
      </c>
      <c r="AM22">
        <f t="shared" si="26"/>
        <v>3.2963544128232338</v>
      </c>
      <c r="AN22">
        <v>20.31026543701299</v>
      </c>
      <c r="AO22">
        <v>24.17108666666665</v>
      </c>
      <c r="AP22">
        <v>-1.4571428571562959E-4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51258.38602845584</v>
      </c>
      <c r="AW22" t="s">
        <v>467</v>
      </c>
      <c r="AX22">
        <v>5067.63</v>
      </c>
      <c r="AY22">
        <v>607.05000000000007</v>
      </c>
      <c r="AZ22">
        <v>2484.73</v>
      </c>
      <c r="BA22">
        <f t="shared" si="30"/>
        <v>0.75568774072031974</v>
      </c>
      <c r="BB22">
        <v>-2.8785972855310362</v>
      </c>
      <c r="BC22" t="s">
        <v>488</v>
      </c>
      <c r="BD22">
        <v>5074.66</v>
      </c>
      <c r="BE22">
        <v>844.72352941176473</v>
      </c>
      <c r="BF22">
        <v>1432.65</v>
      </c>
      <c r="BG22">
        <f t="shared" si="31"/>
        <v>0.41037690335269283</v>
      </c>
      <c r="BH22">
        <v>0.5</v>
      </c>
      <c r="BI22">
        <f t="shared" si="32"/>
        <v>672.30085606327202</v>
      </c>
      <c r="BJ22">
        <f t="shared" si="33"/>
        <v>36.55104055284167</v>
      </c>
      <c r="BK22">
        <f t="shared" si="34"/>
        <v>137.94837171630502</v>
      </c>
      <c r="BL22">
        <f t="shared" si="35"/>
        <v>5.8648799094585528E-2</v>
      </c>
      <c r="BM22">
        <f t="shared" si="36"/>
        <v>0.73435940390186005</v>
      </c>
      <c r="BN22">
        <f t="shared" si="37"/>
        <v>514.70519434657012</v>
      </c>
      <c r="BO22" t="s">
        <v>408</v>
      </c>
      <c r="BP22">
        <v>0</v>
      </c>
      <c r="BQ22">
        <f t="shared" si="38"/>
        <v>514.70519434657012</v>
      </c>
      <c r="BR22">
        <f t="shared" si="39"/>
        <v>0.64073207388645503</v>
      </c>
      <c r="BS22">
        <f t="shared" si="40"/>
        <v>0.64048128707447249</v>
      </c>
      <c r="BT22">
        <f t="shared" si="41"/>
        <v>0.53404403689781943</v>
      </c>
      <c r="BU22">
        <f t="shared" si="42"/>
        <v>0.71212024053807577</v>
      </c>
      <c r="BV22">
        <f t="shared" si="43"/>
        <v>0.56030846576626481</v>
      </c>
      <c r="BW22">
        <f t="shared" si="44"/>
        <v>0.39025673354756735</v>
      </c>
      <c r="BX22">
        <f t="shared" si="45"/>
        <v>0.60974326645243271</v>
      </c>
      <c r="DG22">
        <f t="shared" si="46"/>
        <v>799.98923333333323</v>
      </c>
      <c r="DH22">
        <f t="shared" si="47"/>
        <v>672.30085606327202</v>
      </c>
      <c r="DI22">
        <f t="shared" si="48"/>
        <v>0.8403873802925832</v>
      </c>
      <c r="DJ22">
        <f t="shared" si="49"/>
        <v>0.16034764396468565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1784564796.25</v>
      </c>
      <c r="DQ22">
        <v>420.18183333333332</v>
      </c>
      <c r="DR22">
        <v>465.72306666666663</v>
      </c>
      <c r="DS22">
        <v>24.188610000000001</v>
      </c>
      <c r="DT22">
        <v>20.284943333333331</v>
      </c>
      <c r="DU22">
        <v>427.58433333333329</v>
      </c>
      <c r="DV22">
        <v>24.955290000000002</v>
      </c>
      <c r="DW22">
        <v>500.01053333333329</v>
      </c>
      <c r="DX22">
        <v>97.440913333333341</v>
      </c>
      <c r="DY22">
        <v>5.9680386666666661E-2</v>
      </c>
      <c r="DZ22">
        <v>28.631676666666671</v>
      </c>
      <c r="EA22">
        <v>29.123100000000001</v>
      </c>
      <c r="EB22">
        <v>999.9000000000002</v>
      </c>
      <c r="EC22">
        <v>0</v>
      </c>
      <c r="ED22">
        <v>0</v>
      </c>
      <c r="EE22">
        <v>10002.66666666667</v>
      </c>
      <c r="EF22">
        <v>0</v>
      </c>
      <c r="EG22">
        <v>88.57596333333332</v>
      </c>
      <c r="EH22">
        <v>-45.541306666666671</v>
      </c>
      <c r="EI22">
        <v>430.59726666666671</v>
      </c>
      <c r="EJ22">
        <v>475.36576666666667</v>
      </c>
      <c r="EK22">
        <v>3.9036749999999989</v>
      </c>
      <c r="EL22">
        <v>465.72306666666663</v>
      </c>
      <c r="EM22">
        <v>20.284943333333331</v>
      </c>
      <c r="EN22">
        <v>2.356961666666666</v>
      </c>
      <c r="EO22">
        <v>1.976583666666667</v>
      </c>
      <c r="EP22">
        <v>20.07107666666667</v>
      </c>
      <c r="EQ22">
        <v>17.25798</v>
      </c>
      <c r="ER22">
        <v>799.98923333333323</v>
      </c>
      <c r="ES22">
        <v>0.98700699999999997</v>
      </c>
      <c r="ET22">
        <v>1.299326666666667E-2</v>
      </c>
      <c r="EU22">
        <v>0</v>
      </c>
      <c r="EV22">
        <v>844.8193</v>
      </c>
      <c r="EW22">
        <v>5.0010700000000003</v>
      </c>
      <c r="EX22">
        <v>10945.71333333333</v>
      </c>
      <c r="EY22">
        <v>7246.5416666666679</v>
      </c>
      <c r="EZ22">
        <v>46.129133333333343</v>
      </c>
      <c r="FA22">
        <v>49</v>
      </c>
      <c r="FB22">
        <v>47.837199999999982</v>
      </c>
      <c r="FC22">
        <v>48.520666666666664</v>
      </c>
      <c r="FD22">
        <v>47.524800000000013</v>
      </c>
      <c r="FE22">
        <v>784.65800000000013</v>
      </c>
      <c r="FF22">
        <v>10.33</v>
      </c>
      <c r="FG22">
        <v>0</v>
      </c>
      <c r="FH22">
        <v>181.79999995231631</v>
      </c>
      <c r="FI22">
        <v>0</v>
      </c>
      <c r="FJ22">
        <v>844.72352941176473</v>
      </c>
      <c r="FK22">
        <v>-4.5262255202740569</v>
      </c>
      <c r="FL22">
        <v>49.264706452471422</v>
      </c>
      <c r="FM22">
        <v>10946.00588235294</v>
      </c>
      <c r="FN22">
        <v>10</v>
      </c>
      <c r="FO22">
        <v>1784564747</v>
      </c>
      <c r="FP22" t="s">
        <v>489</v>
      </c>
      <c r="FQ22">
        <v>1784564739.5</v>
      </c>
      <c r="FR22">
        <v>1784564747</v>
      </c>
      <c r="FS22">
        <v>20</v>
      </c>
      <c r="FT22">
        <v>4.2999999999999997E-2</v>
      </c>
      <c r="FU22">
        <v>-1.4E-2</v>
      </c>
      <c r="FV22">
        <v>-7.5750000000000002</v>
      </c>
      <c r="FW22">
        <v>-0.871</v>
      </c>
      <c r="FX22">
        <v>467</v>
      </c>
      <c r="FY22">
        <v>20</v>
      </c>
      <c r="FZ22">
        <v>0.18</v>
      </c>
      <c r="GA22">
        <v>7.0000000000000007E-2</v>
      </c>
      <c r="GB22">
        <v>420.17983870967743</v>
      </c>
      <c r="GC22">
        <v>-0.14608064516160421</v>
      </c>
      <c r="GD22">
        <v>5.8163338843569723E-2</v>
      </c>
      <c r="GE22">
        <v>-1</v>
      </c>
      <c r="GF22">
        <v>844.9164411764707</v>
      </c>
      <c r="GG22">
        <v>-2.1814973286323132</v>
      </c>
      <c r="GH22">
        <v>0.32107385912026409</v>
      </c>
      <c r="GI22">
        <v>1</v>
      </c>
      <c r="GJ22">
        <v>3.926295365853659</v>
      </c>
      <c r="GK22">
        <v>-0.49574153310103491</v>
      </c>
      <c r="GL22">
        <v>5.0166779509248617E-2</v>
      </c>
      <c r="GM22">
        <v>1</v>
      </c>
      <c r="GN22">
        <v>2</v>
      </c>
      <c r="GO22">
        <v>2</v>
      </c>
      <c r="GP22" t="s">
        <v>424</v>
      </c>
      <c r="GQ22">
        <v>3.13083</v>
      </c>
      <c r="GR22">
        <v>2.7359100000000001</v>
      </c>
      <c r="GS22">
        <v>8.9891700000000005E-2</v>
      </c>
      <c r="GT22">
        <v>9.6568100000000004E-2</v>
      </c>
      <c r="GU22">
        <v>0.112793</v>
      </c>
      <c r="GV22">
        <v>9.7825200000000001E-2</v>
      </c>
      <c r="GW22">
        <v>22551.599999999999</v>
      </c>
      <c r="GX22">
        <v>30000</v>
      </c>
      <c r="GY22">
        <v>26911.7</v>
      </c>
      <c r="GZ22">
        <v>34195.4</v>
      </c>
      <c r="HA22">
        <v>35018.5</v>
      </c>
      <c r="HB22">
        <v>39063.800000000003</v>
      </c>
      <c r="HC22">
        <v>39761.699999999997</v>
      </c>
      <c r="HD22">
        <v>43367.5</v>
      </c>
      <c r="HE22">
        <v>1.9024000000000001</v>
      </c>
      <c r="HF22">
        <v>1.5762</v>
      </c>
      <c r="HG22">
        <v>-0.14540600000000001</v>
      </c>
      <c r="HH22">
        <v>0</v>
      </c>
      <c r="HI22">
        <v>31.4712</v>
      </c>
      <c r="HJ22">
        <v>999.9</v>
      </c>
      <c r="HK22">
        <v>46.3</v>
      </c>
      <c r="HL22">
        <v>43.6</v>
      </c>
      <c r="HM22">
        <v>42.592500000000001</v>
      </c>
      <c r="HN22">
        <v>61.683700000000002</v>
      </c>
      <c r="HO22">
        <v>5.3726000000000003</v>
      </c>
      <c r="HP22">
        <v>1</v>
      </c>
      <c r="HQ22">
        <v>1.1876800000000001</v>
      </c>
      <c r="HR22">
        <v>9.2810500000000005</v>
      </c>
      <c r="HS22">
        <v>19.998000000000001</v>
      </c>
      <c r="HT22">
        <v>5.2100999999999997</v>
      </c>
      <c r="HU22">
        <v>11.9201</v>
      </c>
      <c r="HV22">
        <v>4.9828000000000001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1.86774</v>
      </c>
      <c r="IC22">
        <v>1.8635600000000001</v>
      </c>
      <c r="ID22">
        <v>1.8629500000000001</v>
      </c>
      <c r="IE22">
        <v>1.8625799999999999</v>
      </c>
      <c r="IF22">
        <v>1.86249</v>
      </c>
      <c r="IG22">
        <v>1.8629500000000001</v>
      </c>
      <c r="IH22">
        <v>1.86398</v>
      </c>
      <c r="II22">
        <v>1.86191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-7.4029999999999996</v>
      </c>
      <c r="IX22">
        <v>-0.7671</v>
      </c>
      <c r="IY22">
        <v>-5.4089770541048887</v>
      </c>
      <c r="IZ22">
        <v>-5.6215304933332991E-3</v>
      </c>
      <c r="JA22">
        <v>2.3979931213773931E-6</v>
      </c>
      <c r="JB22">
        <v>-3.6297174575716598E-10</v>
      </c>
      <c r="JC22">
        <v>-1.185488550006385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1.1000000000000001</v>
      </c>
      <c r="JL22">
        <v>0.9</v>
      </c>
      <c r="JM22">
        <v>1.16699</v>
      </c>
      <c r="JN22">
        <v>2.5671400000000002</v>
      </c>
      <c r="JO22">
        <v>1.50024</v>
      </c>
      <c r="JP22">
        <v>2.2717299999999998</v>
      </c>
      <c r="JQ22">
        <v>1.4477500000000001</v>
      </c>
      <c r="JR22">
        <v>2.4584999999999999</v>
      </c>
      <c r="JS22">
        <v>49.7699</v>
      </c>
      <c r="JT22">
        <v>23.745999999999999</v>
      </c>
      <c r="JU22">
        <v>18</v>
      </c>
      <c r="JV22">
        <v>552.50800000000004</v>
      </c>
      <c r="JW22">
        <v>353.76</v>
      </c>
      <c r="JX22">
        <v>23.042200000000001</v>
      </c>
      <c r="JY22">
        <v>41.027500000000003</v>
      </c>
      <c r="JZ22">
        <v>30.000499999999999</v>
      </c>
      <c r="KA22">
        <v>40.998199999999997</v>
      </c>
      <c r="KB22">
        <v>40.9923</v>
      </c>
      <c r="KC22">
        <v>23.334800000000001</v>
      </c>
      <c r="KD22">
        <v>51.9848</v>
      </c>
      <c r="KE22">
        <v>0</v>
      </c>
      <c r="KF22">
        <v>20.589099999999998</v>
      </c>
      <c r="KG22">
        <v>465.45</v>
      </c>
      <c r="KH22">
        <v>20.392600000000002</v>
      </c>
      <c r="KI22">
        <v>99.3536</v>
      </c>
      <c r="KJ22">
        <v>97.590599999999995</v>
      </c>
    </row>
    <row r="23" spans="1:296" x14ac:dyDescent="0.3">
      <c r="A23">
        <v>7</v>
      </c>
      <c r="B23">
        <v>1784564986.5</v>
      </c>
      <c r="C23">
        <v>1126.5</v>
      </c>
      <c r="D23" t="s">
        <v>490</v>
      </c>
      <c r="E23" t="s">
        <v>491</v>
      </c>
      <c r="F23">
        <v>15</v>
      </c>
      <c r="H23">
        <v>1784564978.75</v>
      </c>
      <c r="I23">
        <f t="shared" si="0"/>
        <v>2.676939892563358E-3</v>
      </c>
      <c r="J23">
        <f t="shared" si="1"/>
        <v>2.6769398925633578</v>
      </c>
      <c r="K23">
        <f t="shared" si="2"/>
        <v>30.39975149648922</v>
      </c>
      <c r="L23">
        <f t="shared" si="3"/>
        <v>420.22643333333338</v>
      </c>
      <c r="M23">
        <f t="shared" si="4"/>
        <v>86.917908398132226</v>
      </c>
      <c r="N23">
        <f t="shared" si="5"/>
        <v>8.4747297875968588</v>
      </c>
      <c r="O23">
        <f t="shared" si="6"/>
        <v>40.973207222070172</v>
      </c>
      <c r="P23">
        <f t="shared" si="7"/>
        <v>0.15294408935346879</v>
      </c>
      <c r="Q23">
        <f t="shared" si="8"/>
        <v>2.8841324730507809</v>
      </c>
      <c r="R23">
        <f t="shared" si="9"/>
        <v>0.14857696740067475</v>
      </c>
      <c r="S23">
        <f t="shared" si="10"/>
        <v>9.3242586466594571E-2</v>
      </c>
      <c r="T23">
        <f t="shared" si="11"/>
        <v>96.351865150348075</v>
      </c>
      <c r="U23">
        <f t="shared" si="12"/>
        <v>28.495796927281678</v>
      </c>
      <c r="V23">
        <f t="shared" si="13"/>
        <v>29.115159999999999</v>
      </c>
      <c r="W23">
        <f t="shared" si="14"/>
        <v>4.0486510111005147</v>
      </c>
      <c r="X23">
        <f t="shared" si="15"/>
        <v>59.702769564635041</v>
      </c>
      <c r="Y23">
        <f t="shared" si="16"/>
        <v>2.3495651970522617</v>
      </c>
      <c r="Z23">
        <f t="shared" si="17"/>
        <v>3.9354375252367317</v>
      </c>
      <c r="AA23">
        <f t="shared" si="18"/>
        <v>1.699085814048253</v>
      </c>
      <c r="AB23">
        <f t="shared" si="19"/>
        <v>-118.05304926204408</v>
      </c>
      <c r="AC23">
        <f t="shared" si="20"/>
        <v>-76.13691506572421</v>
      </c>
      <c r="AD23">
        <f t="shared" si="21"/>
        <v>-5.8043401272669719</v>
      </c>
      <c r="AE23">
        <f t="shared" si="22"/>
        <v>-103.64243930468719</v>
      </c>
      <c r="AF23">
        <f t="shared" si="23"/>
        <v>30.39975149648922</v>
      </c>
      <c r="AG23">
        <f t="shared" si="24"/>
        <v>2.6769398925633578</v>
      </c>
      <c r="AH23">
        <f t="shared" si="25"/>
        <v>30.423021369653718</v>
      </c>
      <c r="AI23">
        <v>467.65132756538969</v>
      </c>
      <c r="AJ23">
        <v>430.5931696969696</v>
      </c>
      <c r="AK23">
        <v>-4.3749466928430542E-2</v>
      </c>
      <c r="AL23">
        <v>67.039242692018291</v>
      </c>
      <c r="AM23">
        <f t="shared" si="26"/>
        <v>2.766852762686971</v>
      </c>
      <c r="AN23">
        <v>20.963001657619049</v>
      </c>
      <c r="AO23">
        <v>24.20298727272727</v>
      </c>
      <c r="AP23">
        <v>-6.7760409287723425E-5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51242.597034661958</v>
      </c>
      <c r="AW23" t="s">
        <v>467</v>
      </c>
      <c r="AX23">
        <v>5067.63</v>
      </c>
      <c r="AY23">
        <v>607.05000000000007</v>
      </c>
      <c r="AZ23">
        <v>2484.73</v>
      </c>
      <c r="BA23">
        <f t="shared" si="30"/>
        <v>0.75568774072031974</v>
      </c>
      <c r="BB23">
        <v>-2.8785972855310362</v>
      </c>
      <c r="BC23" t="s">
        <v>492</v>
      </c>
      <c r="BD23">
        <v>5076.57</v>
      </c>
      <c r="BE23">
        <v>829.28023529411769</v>
      </c>
      <c r="BF23">
        <v>1579.3</v>
      </c>
      <c r="BG23">
        <f t="shared" si="31"/>
        <v>0.47490645520539621</v>
      </c>
      <c r="BH23">
        <v>0.5</v>
      </c>
      <c r="BI23">
        <f t="shared" si="32"/>
        <v>504.33453473075025</v>
      </c>
      <c r="BJ23">
        <f t="shared" si="33"/>
        <v>30.39975149648922</v>
      </c>
      <c r="BK23">
        <f t="shared" si="34"/>
        <v>119.75586306332168</v>
      </c>
      <c r="BL23">
        <f t="shared" si="35"/>
        <v>6.5984671860289348E-2</v>
      </c>
      <c r="BM23">
        <f t="shared" si="36"/>
        <v>0.57331096055214337</v>
      </c>
      <c r="BN23">
        <f t="shared" si="37"/>
        <v>532.46875434007666</v>
      </c>
      <c r="BO23" t="s">
        <v>408</v>
      </c>
      <c r="BP23">
        <v>0</v>
      </c>
      <c r="BQ23">
        <f t="shared" si="38"/>
        <v>532.46875434007666</v>
      </c>
      <c r="BR23">
        <f t="shared" si="39"/>
        <v>0.66284508684855525</v>
      </c>
      <c r="BS23">
        <f t="shared" si="40"/>
        <v>0.71646673503050551</v>
      </c>
      <c r="BT23">
        <f t="shared" si="41"/>
        <v>0.46378526542636833</v>
      </c>
      <c r="BU23">
        <f t="shared" si="42"/>
        <v>0.77142686007290551</v>
      </c>
      <c r="BV23">
        <f t="shared" si="43"/>
        <v>0.48220676579608884</v>
      </c>
      <c r="BW23">
        <f t="shared" si="44"/>
        <v>0.46003284980316844</v>
      </c>
      <c r="BX23">
        <f t="shared" si="45"/>
        <v>0.5399671501968315</v>
      </c>
      <c r="DG23">
        <f t="shared" si="46"/>
        <v>600.03679999999997</v>
      </c>
      <c r="DH23">
        <f t="shared" si="47"/>
        <v>504.33453473075025</v>
      </c>
      <c r="DI23">
        <f t="shared" si="48"/>
        <v>0.84050600684949706</v>
      </c>
      <c r="DJ23">
        <f t="shared" si="49"/>
        <v>0.16057659321952933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1784564978.75</v>
      </c>
      <c r="DQ23">
        <v>420.22643333333338</v>
      </c>
      <c r="DR23">
        <v>458.05263333333329</v>
      </c>
      <c r="DS23">
        <v>24.097439999999999</v>
      </c>
      <c r="DT23">
        <v>20.96280333333333</v>
      </c>
      <c r="DU23">
        <v>427.62920000000008</v>
      </c>
      <c r="DV23">
        <v>24.977440000000001</v>
      </c>
      <c r="DW23">
        <v>500.04503333333332</v>
      </c>
      <c r="DX23">
        <v>97.443163333333317</v>
      </c>
      <c r="DY23">
        <v>5.9525626666666671E-2</v>
      </c>
      <c r="DZ23">
        <v>28.625499999999999</v>
      </c>
      <c r="EA23">
        <v>29.115159999999999</v>
      </c>
      <c r="EB23">
        <v>999.9000000000002</v>
      </c>
      <c r="EC23">
        <v>0</v>
      </c>
      <c r="ED23">
        <v>0</v>
      </c>
      <c r="EE23">
        <v>9999</v>
      </c>
      <c r="EF23">
        <v>0</v>
      </c>
      <c r="EG23">
        <v>74.397166666666664</v>
      </c>
      <c r="EH23">
        <v>-37.826239999999999</v>
      </c>
      <c r="EI23">
        <v>430.65306666666658</v>
      </c>
      <c r="EJ23">
        <v>467.86036666666672</v>
      </c>
      <c r="EK23">
        <v>3.2486039999999998</v>
      </c>
      <c r="EL23">
        <v>458.05263333333329</v>
      </c>
      <c r="EM23">
        <v>20.96280333333333</v>
      </c>
      <c r="EN23">
        <v>2.3592369999999998</v>
      </c>
      <c r="EO23">
        <v>2.0426816666666672</v>
      </c>
      <c r="EP23">
        <v>20.08665666666667</v>
      </c>
      <c r="EQ23">
        <v>17.779119999999999</v>
      </c>
      <c r="ER23">
        <v>600.03679999999997</v>
      </c>
      <c r="ES23">
        <v>0.98298413333333345</v>
      </c>
      <c r="ET23">
        <v>1.7015599999999999E-2</v>
      </c>
      <c r="EU23">
        <v>0</v>
      </c>
      <c r="EV23">
        <v>829.33373333333304</v>
      </c>
      <c r="EW23">
        <v>5.0010700000000003</v>
      </c>
      <c r="EX23">
        <v>8985.0670000000009</v>
      </c>
      <c r="EY23">
        <v>5415.4129999999996</v>
      </c>
      <c r="EZ23">
        <v>45.65186666666667</v>
      </c>
      <c r="FA23">
        <v>48.858199999999989</v>
      </c>
      <c r="FB23">
        <v>47.557866666666641</v>
      </c>
      <c r="FC23">
        <v>48.375</v>
      </c>
      <c r="FD23">
        <v>47.186999999999983</v>
      </c>
      <c r="FE23">
        <v>584.90966666666668</v>
      </c>
      <c r="FF23">
        <v>10.12066666666667</v>
      </c>
      <c r="FG23">
        <v>0</v>
      </c>
      <c r="FH23">
        <v>181.5999999046326</v>
      </c>
      <c r="FI23">
        <v>0</v>
      </c>
      <c r="FJ23">
        <v>829.28023529411769</v>
      </c>
      <c r="FK23">
        <v>-4.6583333217340606</v>
      </c>
      <c r="FL23">
        <v>-12.22794234707454</v>
      </c>
      <c r="FM23">
        <v>8979.4088235294112</v>
      </c>
      <c r="FN23">
        <v>10</v>
      </c>
      <c r="FO23">
        <v>1784565010.5</v>
      </c>
      <c r="FP23" t="s">
        <v>493</v>
      </c>
      <c r="FQ23">
        <v>1784564739.5</v>
      </c>
      <c r="FR23">
        <v>1784565010.5</v>
      </c>
      <c r="FS23">
        <v>21</v>
      </c>
      <c r="FT23">
        <v>4.2999999999999997E-2</v>
      </c>
      <c r="FU23">
        <v>-2.9000000000000001E-2</v>
      </c>
      <c r="FV23">
        <v>-7.5750000000000002</v>
      </c>
      <c r="FW23">
        <v>-0.88</v>
      </c>
      <c r="FX23">
        <v>467</v>
      </c>
      <c r="FY23">
        <v>21</v>
      </c>
      <c r="FZ23">
        <v>0.18</v>
      </c>
      <c r="GA23">
        <v>0.1</v>
      </c>
      <c r="GB23">
        <v>420.22643333333338</v>
      </c>
      <c r="GC23">
        <v>0.30575305895509108</v>
      </c>
      <c r="GD23">
        <v>5.8954040479756761E-2</v>
      </c>
      <c r="GE23">
        <v>-1</v>
      </c>
      <c r="GF23">
        <v>829.42197058823524</v>
      </c>
      <c r="GG23">
        <v>-2.2985637880239631</v>
      </c>
      <c r="GH23">
        <v>0.32665150392627929</v>
      </c>
      <c r="GI23">
        <v>1</v>
      </c>
      <c r="GJ23">
        <v>3.2504170000000001</v>
      </c>
      <c r="GK23">
        <v>-5.0305215759859703E-2</v>
      </c>
      <c r="GL23">
        <v>5.9074720481776481E-3</v>
      </c>
      <c r="GM23">
        <v>1</v>
      </c>
      <c r="GN23">
        <v>2</v>
      </c>
      <c r="GO23">
        <v>2</v>
      </c>
      <c r="GP23" t="s">
        <v>424</v>
      </c>
      <c r="GQ23">
        <v>3.1306500000000002</v>
      </c>
      <c r="GR23">
        <v>2.7358699999999998</v>
      </c>
      <c r="GS23">
        <v>8.98452E-2</v>
      </c>
      <c r="GT23">
        <v>9.5373100000000002E-2</v>
      </c>
      <c r="GU23">
        <v>0.112867</v>
      </c>
      <c r="GV23">
        <v>0.100041</v>
      </c>
      <c r="GW23">
        <v>22547.1</v>
      </c>
      <c r="GX23">
        <v>30029.200000000001</v>
      </c>
      <c r="GY23">
        <v>26905.7</v>
      </c>
      <c r="GZ23">
        <v>34184.199999999997</v>
      </c>
      <c r="HA23">
        <v>35008.9</v>
      </c>
      <c r="HB23">
        <v>38958</v>
      </c>
      <c r="HC23">
        <v>39753.4</v>
      </c>
      <c r="HD23">
        <v>43355.7</v>
      </c>
      <c r="HE23">
        <v>1.9019999999999999</v>
      </c>
      <c r="HF23">
        <v>1.5738000000000001</v>
      </c>
      <c r="HG23">
        <v>-0.14632899999999999</v>
      </c>
      <c r="HH23">
        <v>0</v>
      </c>
      <c r="HI23">
        <v>31.482299999999999</v>
      </c>
      <c r="HJ23">
        <v>999.9</v>
      </c>
      <c r="HK23">
        <v>46</v>
      </c>
      <c r="HL23">
        <v>43.9</v>
      </c>
      <c r="HM23">
        <v>42.984499999999997</v>
      </c>
      <c r="HN23">
        <v>61.693800000000003</v>
      </c>
      <c r="HO23">
        <v>5.1722799999999998</v>
      </c>
      <c r="HP23">
        <v>1</v>
      </c>
      <c r="HQ23">
        <v>1.2015</v>
      </c>
      <c r="HR23">
        <v>9.2810500000000005</v>
      </c>
      <c r="HS23">
        <v>19.998799999999999</v>
      </c>
      <c r="HT23">
        <v>5.2053099999999999</v>
      </c>
      <c r="HU23">
        <v>11.9201</v>
      </c>
      <c r="HV23">
        <v>4.9820000000000002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1.86774</v>
      </c>
      <c r="IC23">
        <v>1.8635600000000001</v>
      </c>
      <c r="ID23">
        <v>1.8629500000000001</v>
      </c>
      <c r="IE23">
        <v>1.8625799999999999</v>
      </c>
      <c r="IF23">
        <v>1.86252</v>
      </c>
      <c r="IG23">
        <v>1.8629500000000001</v>
      </c>
      <c r="IH23">
        <v>1.86395</v>
      </c>
      <c r="II23">
        <v>1.86191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-7.4029999999999996</v>
      </c>
      <c r="IX23">
        <v>-0.88</v>
      </c>
      <c r="IY23">
        <v>-5.4089770541048887</v>
      </c>
      <c r="IZ23">
        <v>-5.6215304933332991E-3</v>
      </c>
      <c r="JA23">
        <v>2.3979931213773931E-6</v>
      </c>
      <c r="JB23">
        <v>-3.6297174575716598E-10</v>
      </c>
      <c r="JC23">
        <v>-1.185488550006385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4.0999999999999996</v>
      </c>
      <c r="JL23">
        <v>4</v>
      </c>
      <c r="JM23">
        <v>1.1511199999999999</v>
      </c>
      <c r="JN23">
        <v>2.5769000000000002</v>
      </c>
      <c r="JO23">
        <v>1.50024</v>
      </c>
      <c r="JP23">
        <v>2.2705099999999998</v>
      </c>
      <c r="JQ23">
        <v>1.4477500000000001</v>
      </c>
      <c r="JR23">
        <v>2.3706100000000001</v>
      </c>
      <c r="JS23">
        <v>49.993600000000001</v>
      </c>
      <c r="JT23">
        <v>23.745999999999999</v>
      </c>
      <c r="JU23">
        <v>18</v>
      </c>
      <c r="JV23">
        <v>553.28800000000001</v>
      </c>
      <c r="JW23">
        <v>353.09399999999999</v>
      </c>
      <c r="JX23">
        <v>23.0701</v>
      </c>
      <c r="JY23">
        <v>41.1678</v>
      </c>
      <c r="JZ23">
        <v>30.000399999999999</v>
      </c>
      <c r="KA23">
        <v>41.138800000000003</v>
      </c>
      <c r="KB23">
        <v>41.130099999999999</v>
      </c>
      <c r="KC23">
        <v>23.032699999999998</v>
      </c>
      <c r="KD23">
        <v>51.090899999999998</v>
      </c>
      <c r="KE23">
        <v>0</v>
      </c>
      <c r="KF23">
        <v>20.591100000000001</v>
      </c>
      <c r="KG23">
        <v>457.92399999999998</v>
      </c>
      <c r="KH23">
        <v>20.944900000000001</v>
      </c>
      <c r="KI23">
        <v>99.332300000000004</v>
      </c>
      <c r="KJ23">
        <v>97.561700000000002</v>
      </c>
    </row>
    <row r="24" spans="1:296" x14ac:dyDescent="0.3">
      <c r="A24">
        <v>8</v>
      </c>
      <c r="B24">
        <v>1784565191.5</v>
      </c>
      <c r="C24">
        <v>1331.5</v>
      </c>
      <c r="D24" t="s">
        <v>494</v>
      </c>
      <c r="E24" t="s">
        <v>495</v>
      </c>
      <c r="F24">
        <v>15</v>
      </c>
      <c r="H24">
        <v>1784565183.5</v>
      </c>
      <c r="I24">
        <f t="shared" si="0"/>
        <v>1.8206791876389209E-3</v>
      </c>
      <c r="J24">
        <f t="shared" si="1"/>
        <v>1.8206791876389208</v>
      </c>
      <c r="K24">
        <f t="shared" si="2"/>
        <v>21.08708222396935</v>
      </c>
      <c r="L24">
        <f t="shared" si="3"/>
        <v>420.02764516129031</v>
      </c>
      <c r="M24">
        <f t="shared" si="4"/>
        <v>78.278987715864432</v>
      </c>
      <c r="N24">
        <f t="shared" si="5"/>
        <v>7.6326239623680809</v>
      </c>
      <c r="O24">
        <f t="shared" si="6"/>
        <v>40.954963303202945</v>
      </c>
      <c r="P24">
        <f t="shared" si="7"/>
        <v>0.10255295103570189</v>
      </c>
      <c r="Q24">
        <f t="shared" si="8"/>
        <v>2.8840739055858085</v>
      </c>
      <c r="R24">
        <f t="shared" si="9"/>
        <v>0.10056933031986093</v>
      </c>
      <c r="S24">
        <f t="shared" si="10"/>
        <v>6.303085619342963E-2</v>
      </c>
      <c r="T24">
        <f t="shared" si="11"/>
        <v>64.411249907539656</v>
      </c>
      <c r="U24">
        <f t="shared" si="12"/>
        <v>28.437854074681134</v>
      </c>
      <c r="V24">
        <f t="shared" si="13"/>
        <v>29.08862580645161</v>
      </c>
      <c r="W24">
        <f t="shared" si="14"/>
        <v>4.042444107504819</v>
      </c>
      <c r="X24">
        <f t="shared" si="15"/>
        <v>59.651867443109161</v>
      </c>
      <c r="Y24">
        <f t="shared" si="16"/>
        <v>2.3349608559856581</v>
      </c>
      <c r="Z24">
        <f t="shared" si="17"/>
        <v>3.9143130903865559</v>
      </c>
      <c r="AA24">
        <f t="shared" si="18"/>
        <v>1.7074832515191609</v>
      </c>
      <c r="AB24">
        <f t="shared" si="19"/>
        <v>-80.291952174876414</v>
      </c>
      <c r="AC24">
        <f t="shared" si="20"/>
        <v>-86.426749260215828</v>
      </c>
      <c r="AD24">
        <f t="shared" si="21"/>
        <v>-6.5850226645700571</v>
      </c>
      <c r="AE24">
        <f t="shared" si="22"/>
        <v>-108.89247419212265</v>
      </c>
      <c r="AF24">
        <f t="shared" si="23"/>
        <v>21.08708222396935</v>
      </c>
      <c r="AG24">
        <f t="shared" si="24"/>
        <v>1.8206791876389208</v>
      </c>
      <c r="AH24">
        <f t="shared" si="25"/>
        <v>21.024734552494426</v>
      </c>
      <c r="AI24">
        <v>456.2268150135543</v>
      </c>
      <c r="AJ24">
        <v>430.41052121212113</v>
      </c>
      <c r="AK24">
        <v>4.3485777245487736E-3</v>
      </c>
      <c r="AL24">
        <v>66.952653933531892</v>
      </c>
      <c r="AM24">
        <f t="shared" si="26"/>
        <v>1.9338705462178873</v>
      </c>
      <c r="AN24">
        <v>21.79290041649352</v>
      </c>
      <c r="AO24">
        <v>24.052323636363639</v>
      </c>
      <c r="AP24">
        <v>9.0477922078168393E-4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51256.756446683539</v>
      </c>
      <c r="AW24" t="s">
        <v>467</v>
      </c>
      <c r="AX24">
        <v>5067.63</v>
      </c>
      <c r="AY24">
        <v>607.05000000000007</v>
      </c>
      <c r="AZ24">
        <v>2484.73</v>
      </c>
      <c r="BA24">
        <f t="shared" si="30"/>
        <v>0.75568774072031974</v>
      </c>
      <c r="BB24">
        <v>-2.8785972855310362</v>
      </c>
      <c r="BC24" t="s">
        <v>496</v>
      </c>
      <c r="BD24">
        <v>5079.0200000000004</v>
      </c>
      <c r="BE24">
        <v>803.48352941176472</v>
      </c>
      <c r="BF24">
        <v>1706.87</v>
      </c>
      <c r="BG24">
        <f t="shared" si="31"/>
        <v>0.52926495315298483</v>
      </c>
      <c r="BH24">
        <v>0.5</v>
      </c>
      <c r="BI24">
        <f t="shared" si="32"/>
        <v>336.28946180734965</v>
      </c>
      <c r="BJ24">
        <f t="shared" si="33"/>
        <v>21.08708222396935</v>
      </c>
      <c r="BK24">
        <f t="shared" si="34"/>
        <v>88.993113124654698</v>
      </c>
      <c r="BL24">
        <f t="shared" si="35"/>
        <v>7.126503275095078E-2</v>
      </c>
      <c r="BM24">
        <f t="shared" si="36"/>
        <v>0.45572304862116048</v>
      </c>
      <c r="BN24">
        <f t="shared" si="37"/>
        <v>546.2331014982816</v>
      </c>
      <c r="BO24" t="s">
        <v>408</v>
      </c>
      <c r="BP24">
        <v>0</v>
      </c>
      <c r="BQ24">
        <f t="shared" si="38"/>
        <v>546.2331014982816</v>
      </c>
      <c r="BR24">
        <f t="shared" si="39"/>
        <v>0.67997966951303757</v>
      </c>
      <c r="BS24">
        <f t="shared" si="40"/>
        <v>0.77835408451551791</v>
      </c>
      <c r="BT24">
        <f t="shared" si="41"/>
        <v>0.40126966445043838</v>
      </c>
      <c r="BU24">
        <f t="shared" si="42"/>
        <v>0.82139483787186574</v>
      </c>
      <c r="BV24">
        <f t="shared" si="43"/>
        <v>0.41426654168974492</v>
      </c>
      <c r="BW24">
        <f t="shared" si="44"/>
        <v>0.52914932302349893</v>
      </c>
      <c r="BX24">
        <f t="shared" si="45"/>
        <v>0.47085067697650107</v>
      </c>
      <c r="DG24">
        <f t="shared" si="46"/>
        <v>399.99138709677419</v>
      </c>
      <c r="DH24">
        <f t="shared" si="47"/>
        <v>336.28946180734965</v>
      </c>
      <c r="DI24">
        <f t="shared" si="48"/>
        <v>0.84074175758686409</v>
      </c>
      <c r="DJ24">
        <f t="shared" si="49"/>
        <v>0.1610315921426477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1784565183.5</v>
      </c>
      <c r="DQ24">
        <v>420.02764516129031</v>
      </c>
      <c r="DR24">
        <v>446.25119354838711</v>
      </c>
      <c r="DS24">
        <v>23.94699032258065</v>
      </c>
      <c r="DT24">
        <v>21.814383870967731</v>
      </c>
      <c r="DU24">
        <v>427.4296129032258</v>
      </c>
      <c r="DV24">
        <v>24.828990322580651</v>
      </c>
      <c r="DW24">
        <v>499.973935483871</v>
      </c>
      <c r="DX24">
        <v>97.445854838709678</v>
      </c>
      <c r="DY24">
        <v>5.9544567741935478E-2</v>
      </c>
      <c r="DZ24">
        <v>28.532777419354829</v>
      </c>
      <c r="EA24">
        <v>29.08862580645161</v>
      </c>
      <c r="EB24">
        <v>999.90000000000032</v>
      </c>
      <c r="EC24">
        <v>0</v>
      </c>
      <c r="ED24">
        <v>0</v>
      </c>
      <c r="EE24">
        <v>9998.3870967741932</v>
      </c>
      <c r="EF24">
        <v>0</v>
      </c>
      <c r="EG24">
        <v>150.79572258064519</v>
      </c>
      <c r="EH24">
        <v>-26.223512903225799</v>
      </c>
      <c r="EI24">
        <v>430.36948387096783</v>
      </c>
      <c r="EJ24">
        <v>456.20290322580638</v>
      </c>
      <c r="EK24">
        <v>2.2156574193548382</v>
      </c>
      <c r="EL24">
        <v>446.25119354838711</v>
      </c>
      <c r="EM24">
        <v>21.814383870967731</v>
      </c>
      <c r="EN24">
        <v>2.34162870967742</v>
      </c>
      <c r="EO24">
        <v>2.1257216129032259</v>
      </c>
      <c r="EP24">
        <v>19.965661290322579</v>
      </c>
      <c r="EQ24">
        <v>18.413229032258059</v>
      </c>
      <c r="ER24">
        <v>399.99138709677419</v>
      </c>
      <c r="ES24">
        <v>0.97497151612903199</v>
      </c>
      <c r="ET24">
        <v>2.5028283870967741E-2</v>
      </c>
      <c r="EU24">
        <v>0</v>
      </c>
      <c r="EV24">
        <v>803.80583870967735</v>
      </c>
      <c r="EW24">
        <v>5.0010700000000003</v>
      </c>
      <c r="EX24">
        <v>7071.4322580645148</v>
      </c>
      <c r="EY24">
        <v>3583.5554838709681</v>
      </c>
      <c r="EZ24">
        <v>45.022000000000013</v>
      </c>
      <c r="FA24">
        <v>48.483741935483842</v>
      </c>
      <c r="FB24">
        <v>47.088419354838692</v>
      </c>
      <c r="FC24">
        <v>48.04999999999999</v>
      </c>
      <c r="FD24">
        <v>46.686999999999969</v>
      </c>
      <c r="FE24">
        <v>385.10483870967738</v>
      </c>
      <c r="FF24">
        <v>9.889999999999997</v>
      </c>
      <c r="FG24">
        <v>0</v>
      </c>
      <c r="FH24">
        <v>204.5999999046326</v>
      </c>
      <c r="FI24">
        <v>0</v>
      </c>
      <c r="FJ24">
        <v>803.48352941176472</v>
      </c>
      <c r="FK24">
        <v>-3.3348039525915891</v>
      </c>
      <c r="FL24">
        <v>-97.698528436787583</v>
      </c>
      <c r="FM24">
        <v>7064.104117647058</v>
      </c>
      <c r="FN24">
        <v>10</v>
      </c>
      <c r="FO24">
        <v>1784565210.5</v>
      </c>
      <c r="FP24" t="s">
        <v>497</v>
      </c>
      <c r="FQ24">
        <v>1784564739.5</v>
      </c>
      <c r="FR24">
        <v>1784565210.5</v>
      </c>
      <c r="FS24">
        <v>22</v>
      </c>
      <c r="FT24">
        <v>4.2999999999999997E-2</v>
      </c>
      <c r="FU24">
        <v>-2.1999999999999999E-2</v>
      </c>
      <c r="FV24">
        <v>-7.5750000000000002</v>
      </c>
      <c r="FW24">
        <v>-0.88200000000000001</v>
      </c>
      <c r="FX24">
        <v>467</v>
      </c>
      <c r="FY24">
        <v>22</v>
      </c>
      <c r="FZ24">
        <v>0.18</v>
      </c>
      <c r="GA24">
        <v>0.15</v>
      </c>
      <c r="GB24">
        <v>420.02748387096779</v>
      </c>
      <c r="GC24">
        <v>-0.11075806451699929</v>
      </c>
      <c r="GD24">
        <v>6.7637015523207916E-2</v>
      </c>
      <c r="GE24">
        <v>-1</v>
      </c>
      <c r="GF24">
        <v>804.12297058823526</v>
      </c>
      <c r="GG24">
        <v>-6.3291825855698853</v>
      </c>
      <c r="GH24">
        <v>0.67347782553539681</v>
      </c>
      <c r="GI24">
        <v>1</v>
      </c>
      <c r="GJ24">
        <v>2.199826829268293</v>
      </c>
      <c r="GK24">
        <v>0.32381958188153698</v>
      </c>
      <c r="GL24">
        <v>3.7026772017609337E-2</v>
      </c>
      <c r="GM24">
        <v>1</v>
      </c>
      <c r="GN24">
        <v>2</v>
      </c>
      <c r="GO24">
        <v>2</v>
      </c>
      <c r="GP24" t="s">
        <v>424</v>
      </c>
      <c r="GQ24">
        <v>3.1305000000000001</v>
      </c>
      <c r="GR24">
        <v>2.7366700000000002</v>
      </c>
      <c r="GS24">
        <v>8.9832499999999996E-2</v>
      </c>
      <c r="GT24">
        <v>9.3539600000000001E-2</v>
      </c>
      <c r="GU24">
        <v>0.112457</v>
      </c>
      <c r="GV24">
        <v>0.102645</v>
      </c>
      <c r="GW24">
        <v>22545.599999999999</v>
      </c>
      <c r="GX24">
        <v>30089.3</v>
      </c>
      <c r="GY24">
        <v>26903.599999999999</v>
      </c>
      <c r="GZ24">
        <v>34183.5</v>
      </c>
      <c r="HA24">
        <v>35022.199999999997</v>
      </c>
      <c r="HB24">
        <v>38844.800000000003</v>
      </c>
      <c r="HC24">
        <v>39750.400000000001</v>
      </c>
      <c r="HD24">
        <v>43354.400000000001</v>
      </c>
      <c r="HE24">
        <v>1.9</v>
      </c>
      <c r="HF24">
        <v>1.5716000000000001</v>
      </c>
      <c r="HG24">
        <v>-0.14603099999999999</v>
      </c>
      <c r="HH24">
        <v>0</v>
      </c>
      <c r="HI24">
        <v>31.465699999999998</v>
      </c>
      <c r="HJ24">
        <v>999.9</v>
      </c>
      <c r="HK24">
        <v>45.6</v>
      </c>
      <c r="HL24">
        <v>44.1</v>
      </c>
      <c r="HM24">
        <v>43.05</v>
      </c>
      <c r="HN24">
        <v>61.743899999999996</v>
      </c>
      <c r="HO24">
        <v>5.6129800000000003</v>
      </c>
      <c r="HP24">
        <v>1</v>
      </c>
      <c r="HQ24">
        <v>1.2037800000000001</v>
      </c>
      <c r="HR24">
        <v>9.2810500000000005</v>
      </c>
      <c r="HS24">
        <v>20.0014</v>
      </c>
      <c r="HT24">
        <v>5.2053099999999999</v>
      </c>
      <c r="HU24">
        <v>11.9201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1.8634299999999999</v>
      </c>
      <c r="ID24">
        <v>1.8629500000000001</v>
      </c>
      <c r="IE24">
        <v>1.86249</v>
      </c>
      <c r="IF24">
        <v>1.86249</v>
      </c>
      <c r="IG24">
        <v>1.8629500000000001</v>
      </c>
      <c r="IH24">
        <v>1.8638600000000001</v>
      </c>
      <c r="II24">
        <v>1.86182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-7.4029999999999996</v>
      </c>
      <c r="IX24">
        <v>-0.88200000000000001</v>
      </c>
      <c r="IY24">
        <v>-5.4089770541048887</v>
      </c>
      <c r="IZ24">
        <v>-5.6215304933332991E-3</v>
      </c>
      <c r="JA24">
        <v>2.3979931213773931E-6</v>
      </c>
      <c r="JB24">
        <v>-3.6297174575716598E-10</v>
      </c>
      <c r="JC24">
        <v>-1.214233647089046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7.5</v>
      </c>
      <c r="JL24">
        <v>3</v>
      </c>
      <c r="JM24">
        <v>1.1291500000000001</v>
      </c>
      <c r="JN24">
        <v>2.5756800000000002</v>
      </c>
      <c r="JO24">
        <v>1.50024</v>
      </c>
      <c r="JP24">
        <v>2.2705099999999998</v>
      </c>
      <c r="JQ24">
        <v>1.4477500000000001</v>
      </c>
      <c r="JR24">
        <v>2.4462899999999999</v>
      </c>
      <c r="JS24">
        <v>50.154200000000003</v>
      </c>
      <c r="JT24">
        <v>23.833600000000001</v>
      </c>
      <c r="JU24">
        <v>18</v>
      </c>
      <c r="JV24">
        <v>552.36900000000003</v>
      </c>
      <c r="JW24">
        <v>352.21699999999998</v>
      </c>
      <c r="JX24">
        <v>23.044</v>
      </c>
      <c r="JY24">
        <v>41.205199999999998</v>
      </c>
      <c r="JZ24">
        <v>30</v>
      </c>
      <c r="KA24">
        <v>41.203400000000002</v>
      </c>
      <c r="KB24">
        <v>41.202100000000002</v>
      </c>
      <c r="KC24">
        <v>22.580200000000001</v>
      </c>
      <c r="KD24">
        <v>50.107300000000002</v>
      </c>
      <c r="KE24">
        <v>0</v>
      </c>
      <c r="KF24">
        <v>20.481400000000001</v>
      </c>
      <c r="KG24">
        <v>446.154</v>
      </c>
      <c r="KH24">
        <v>21.718699999999998</v>
      </c>
      <c r="KI24">
        <v>99.324600000000004</v>
      </c>
      <c r="KJ24">
        <v>97.559200000000004</v>
      </c>
    </row>
    <row r="25" spans="1:296" x14ac:dyDescent="0.3">
      <c r="A25">
        <v>9</v>
      </c>
      <c r="B25">
        <v>1784565391.5</v>
      </c>
      <c r="C25">
        <v>1531.5</v>
      </c>
      <c r="D25" t="s">
        <v>498</v>
      </c>
      <c r="E25" t="s">
        <v>499</v>
      </c>
      <c r="F25">
        <v>15</v>
      </c>
      <c r="H25">
        <v>1784565383.5</v>
      </c>
      <c r="I25">
        <f t="shared" si="0"/>
        <v>1.4277561689337878E-3</v>
      </c>
      <c r="J25">
        <f t="shared" si="1"/>
        <v>1.4277561689337879</v>
      </c>
      <c r="K25">
        <f t="shared" si="2"/>
        <v>16.03264406082997</v>
      </c>
      <c r="L25">
        <f t="shared" si="3"/>
        <v>419.92912903225812</v>
      </c>
      <c r="M25">
        <f t="shared" si="4"/>
        <v>90.882667146457749</v>
      </c>
      <c r="N25">
        <f t="shared" si="5"/>
        <v>8.8622914954858398</v>
      </c>
      <c r="O25">
        <f t="shared" si="6"/>
        <v>40.948780067513766</v>
      </c>
      <c r="P25">
        <f t="shared" si="7"/>
        <v>8.0793316195444151E-2</v>
      </c>
      <c r="Q25">
        <f t="shared" si="8"/>
        <v>2.8855061865668805</v>
      </c>
      <c r="R25">
        <f t="shared" si="9"/>
        <v>7.9557292548999209E-2</v>
      </c>
      <c r="S25">
        <f t="shared" si="10"/>
        <v>4.9832784444587067E-2</v>
      </c>
      <c r="T25">
        <f t="shared" si="11"/>
        <v>48.444006326754256</v>
      </c>
      <c r="U25">
        <f t="shared" si="12"/>
        <v>28.249795861635739</v>
      </c>
      <c r="V25">
        <f t="shared" si="13"/>
        <v>28.949738709677419</v>
      </c>
      <c r="W25">
        <f t="shared" si="14"/>
        <v>4.0100906919177408</v>
      </c>
      <c r="X25">
        <f t="shared" si="15"/>
        <v>59.868165358042106</v>
      </c>
      <c r="Y25">
        <f t="shared" si="16"/>
        <v>2.316859347603017</v>
      </c>
      <c r="Z25">
        <f t="shared" si="17"/>
        <v>3.869935438554061</v>
      </c>
      <c r="AA25">
        <f t="shared" si="18"/>
        <v>1.6932313443147238</v>
      </c>
      <c r="AB25">
        <f t="shared" si="19"/>
        <v>-62.964047049980046</v>
      </c>
      <c r="AC25">
        <f t="shared" si="20"/>
        <v>-95.388471819214047</v>
      </c>
      <c r="AD25">
        <f t="shared" si="21"/>
        <v>-7.2521358866766317</v>
      </c>
      <c r="AE25">
        <f t="shared" si="22"/>
        <v>-117.16064842911646</v>
      </c>
      <c r="AF25">
        <f t="shared" si="23"/>
        <v>16.03264406082997</v>
      </c>
      <c r="AG25">
        <f t="shared" si="24"/>
        <v>1.4277561689337879</v>
      </c>
      <c r="AH25">
        <f t="shared" si="25"/>
        <v>15.921398696133668</v>
      </c>
      <c r="AI25">
        <v>449.81018612478539</v>
      </c>
      <c r="AJ25">
        <v>430.24490909090912</v>
      </c>
      <c r="AK25">
        <v>5.4536919584474118E-3</v>
      </c>
      <c r="AL25">
        <v>67.03580804004568</v>
      </c>
      <c r="AM25">
        <f t="shared" si="26"/>
        <v>1.4796327918752044</v>
      </c>
      <c r="AN25">
        <v>22.09154531541127</v>
      </c>
      <c r="AO25">
        <v>23.823949090909089</v>
      </c>
      <c r="AP25">
        <v>1.3496103896108689E-4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51330.82835408672</v>
      </c>
      <c r="AW25" t="s">
        <v>467</v>
      </c>
      <c r="AX25">
        <v>5067.63</v>
      </c>
      <c r="AY25">
        <v>607.05000000000007</v>
      </c>
      <c r="AZ25">
        <v>2484.73</v>
      </c>
      <c r="BA25">
        <f t="shared" si="30"/>
        <v>0.75568774072031974</v>
      </c>
      <c r="BB25">
        <v>-2.8785972855310362</v>
      </c>
      <c r="BC25" t="s">
        <v>500</v>
      </c>
      <c r="BD25">
        <v>5080.2</v>
      </c>
      <c r="BE25">
        <v>791.54335294117641</v>
      </c>
      <c r="BF25">
        <v>1789.9</v>
      </c>
      <c r="BG25">
        <f t="shared" si="31"/>
        <v>0.55777230407219602</v>
      </c>
      <c r="BH25">
        <v>0.5</v>
      </c>
      <c r="BI25">
        <f t="shared" si="32"/>
        <v>252.28978833577438</v>
      </c>
      <c r="BJ25">
        <f t="shared" si="33"/>
        <v>16.03264406082997</v>
      </c>
      <c r="BK25">
        <f t="shared" si="34"/>
        <v>70.360128266965759</v>
      </c>
      <c r="BL25">
        <f t="shared" si="35"/>
        <v>7.4958409815588309E-2</v>
      </c>
      <c r="BM25">
        <f t="shared" si="36"/>
        <v>0.38819487122185592</v>
      </c>
      <c r="BN25">
        <f t="shared" si="37"/>
        <v>554.4641913561361</v>
      </c>
      <c r="BO25" t="s">
        <v>408</v>
      </c>
      <c r="BP25">
        <v>0</v>
      </c>
      <c r="BQ25">
        <f t="shared" si="38"/>
        <v>554.4641913561361</v>
      </c>
      <c r="BR25">
        <f t="shared" si="39"/>
        <v>0.69022616271515946</v>
      </c>
      <c r="BS25">
        <f t="shared" si="40"/>
        <v>0.80810078522389461</v>
      </c>
      <c r="BT25">
        <f t="shared" si="41"/>
        <v>0.35996596784158075</v>
      </c>
      <c r="BU25">
        <f t="shared" si="42"/>
        <v>0.84402641675514545</v>
      </c>
      <c r="BV25">
        <f t="shared" si="43"/>
        <v>0.37004707937454728</v>
      </c>
      <c r="BW25">
        <f t="shared" si="44"/>
        <v>0.56606242317434141</v>
      </c>
      <c r="BX25">
        <f t="shared" si="45"/>
        <v>0.43393757682565859</v>
      </c>
      <c r="DG25">
        <f t="shared" si="46"/>
        <v>299.99677419354839</v>
      </c>
      <c r="DH25">
        <f t="shared" si="47"/>
        <v>252.28978833577438</v>
      </c>
      <c r="DI25">
        <f t="shared" si="48"/>
        <v>0.84097500386122492</v>
      </c>
      <c r="DJ25">
        <f t="shared" si="49"/>
        <v>0.1614817574521642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1784565383.5</v>
      </c>
      <c r="DQ25">
        <v>419.92912903225812</v>
      </c>
      <c r="DR25">
        <v>439.8874193548387</v>
      </c>
      <c r="DS25">
        <v>23.759358064516132</v>
      </c>
      <c r="DT25">
        <v>22.086787096774199</v>
      </c>
      <c r="DU25">
        <v>427.33070967741929</v>
      </c>
      <c r="DV25">
        <v>24.643358064516129</v>
      </c>
      <c r="DW25">
        <v>500.00877419354839</v>
      </c>
      <c r="DX25">
        <v>97.453816129032276</v>
      </c>
      <c r="DY25">
        <v>5.9733745161290319E-2</v>
      </c>
      <c r="DZ25">
        <v>28.336558064516129</v>
      </c>
      <c r="EA25">
        <v>28.949738709677419</v>
      </c>
      <c r="EB25">
        <v>999.90000000000032</v>
      </c>
      <c r="EC25">
        <v>0</v>
      </c>
      <c r="ED25">
        <v>0</v>
      </c>
      <c r="EE25">
        <v>10005.8064516129</v>
      </c>
      <c r="EF25">
        <v>0</v>
      </c>
      <c r="EG25">
        <v>88.574612903225812</v>
      </c>
      <c r="EH25">
        <v>-19.958316129032259</v>
      </c>
      <c r="EI25">
        <v>430.17467741935479</v>
      </c>
      <c r="EJ25">
        <v>449.8224838709678</v>
      </c>
      <c r="EK25">
        <v>1.730522580645161</v>
      </c>
      <c r="EL25">
        <v>439.8874193548387</v>
      </c>
      <c r="EM25">
        <v>22.086787096774199</v>
      </c>
      <c r="EN25">
        <v>2.321089032258064</v>
      </c>
      <c r="EO25">
        <v>2.152442580645161</v>
      </c>
      <c r="EP25">
        <v>19.823509677419349</v>
      </c>
      <c r="EQ25">
        <v>18.612667741935489</v>
      </c>
      <c r="ER25">
        <v>299.99677419354839</v>
      </c>
      <c r="ES25">
        <v>0.96695638709677445</v>
      </c>
      <c r="ET25">
        <v>3.3043903225806463E-2</v>
      </c>
      <c r="EU25">
        <v>0</v>
      </c>
      <c r="EV25">
        <v>791.64948387096786</v>
      </c>
      <c r="EW25">
        <v>5.0010700000000003</v>
      </c>
      <c r="EX25">
        <v>6121.9741935483862</v>
      </c>
      <c r="EY25">
        <v>2667.95</v>
      </c>
      <c r="EZ25">
        <v>44.625</v>
      </c>
      <c r="FA25">
        <v>48.245935483870973</v>
      </c>
      <c r="FB25">
        <v>46.75</v>
      </c>
      <c r="FC25">
        <v>47.875</v>
      </c>
      <c r="FD25">
        <v>46.311999999999969</v>
      </c>
      <c r="FE25">
        <v>285.24774193548387</v>
      </c>
      <c r="FF25">
        <v>9.75</v>
      </c>
      <c r="FG25">
        <v>0</v>
      </c>
      <c r="FH25">
        <v>199.20000004768369</v>
      </c>
      <c r="FI25">
        <v>0</v>
      </c>
      <c r="FJ25">
        <v>791.54335294117641</v>
      </c>
      <c r="FK25">
        <v>-0.1235294097611094</v>
      </c>
      <c r="FL25">
        <v>-40.617647171729743</v>
      </c>
      <c r="FM25">
        <v>6133.71</v>
      </c>
      <c r="FN25">
        <v>10</v>
      </c>
      <c r="FO25">
        <v>1784565412</v>
      </c>
      <c r="FP25" t="s">
        <v>501</v>
      </c>
      <c r="FQ25">
        <v>1784564739.5</v>
      </c>
      <c r="FR25">
        <v>1784565412</v>
      </c>
      <c r="FS25">
        <v>23</v>
      </c>
      <c r="FT25">
        <v>4.2999999999999997E-2</v>
      </c>
      <c r="FU25">
        <v>-1.2E-2</v>
      </c>
      <c r="FV25">
        <v>-7.5750000000000002</v>
      </c>
      <c r="FW25">
        <v>-0.88400000000000001</v>
      </c>
      <c r="FX25">
        <v>467</v>
      </c>
      <c r="FY25">
        <v>22</v>
      </c>
      <c r="FZ25">
        <v>0.18</v>
      </c>
      <c r="GA25">
        <v>0.18</v>
      </c>
      <c r="GB25">
        <v>419.92436666666669</v>
      </c>
      <c r="GC25">
        <v>0.48808898776421039</v>
      </c>
      <c r="GD25">
        <v>6.6947981464882483E-2</v>
      </c>
      <c r="GE25">
        <v>-1</v>
      </c>
      <c r="GF25">
        <v>791.74888235294111</v>
      </c>
      <c r="GG25">
        <v>-1.3614362137254901</v>
      </c>
      <c r="GH25">
        <v>0.25062014433681751</v>
      </c>
      <c r="GI25">
        <v>1</v>
      </c>
      <c r="GJ25">
        <v>1.73226075</v>
      </c>
      <c r="GK25">
        <v>-3.297624765478837E-2</v>
      </c>
      <c r="GL25">
        <v>4.9562951826439819E-3</v>
      </c>
      <c r="GM25">
        <v>1</v>
      </c>
      <c r="GN25">
        <v>2</v>
      </c>
      <c r="GO25">
        <v>2</v>
      </c>
      <c r="GP25" t="s">
        <v>424</v>
      </c>
      <c r="GQ25">
        <v>3.1308799999999999</v>
      </c>
      <c r="GR25">
        <v>2.7355200000000002</v>
      </c>
      <c r="GS25">
        <v>8.97868E-2</v>
      </c>
      <c r="GT25">
        <v>9.2482900000000007E-2</v>
      </c>
      <c r="GU25">
        <v>0.111794</v>
      </c>
      <c r="GV25">
        <v>0.10381799999999999</v>
      </c>
      <c r="GW25">
        <v>22541.599999999999</v>
      </c>
      <c r="GX25">
        <v>30119</v>
      </c>
      <c r="GY25">
        <v>26898</v>
      </c>
      <c r="GZ25">
        <v>34177.9</v>
      </c>
      <c r="HA25">
        <v>35042.1</v>
      </c>
      <c r="HB25">
        <v>38788.5</v>
      </c>
      <c r="HC25">
        <v>39743.300000000003</v>
      </c>
      <c r="HD25">
        <v>43347.8</v>
      </c>
      <c r="HE25">
        <v>1.8984000000000001</v>
      </c>
      <c r="HF25">
        <v>1.5693999999999999</v>
      </c>
      <c r="HG25">
        <v>-0.152588</v>
      </c>
      <c r="HH25">
        <v>0</v>
      </c>
      <c r="HI25">
        <v>31.4602</v>
      </c>
      <c r="HJ25">
        <v>999.9</v>
      </c>
      <c r="HK25">
        <v>45.3</v>
      </c>
      <c r="HL25">
        <v>44.3</v>
      </c>
      <c r="HM25">
        <v>43.210799999999999</v>
      </c>
      <c r="HN25">
        <v>61.573900000000002</v>
      </c>
      <c r="HO25">
        <v>5.50481</v>
      </c>
      <c r="HP25">
        <v>1</v>
      </c>
      <c r="HQ25">
        <v>1.2138599999999999</v>
      </c>
      <c r="HR25">
        <v>9.2810500000000005</v>
      </c>
      <c r="HS25">
        <v>20.0031</v>
      </c>
      <c r="HT25">
        <v>5.2088999999999999</v>
      </c>
      <c r="HU25">
        <v>11.9201</v>
      </c>
      <c r="HV25">
        <v>4.9824000000000002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1.86768</v>
      </c>
      <c r="IC25">
        <v>1.8633999999999999</v>
      </c>
      <c r="ID25">
        <v>1.8628499999999999</v>
      </c>
      <c r="IE25">
        <v>1.86249</v>
      </c>
      <c r="IF25">
        <v>1.86243</v>
      </c>
      <c r="IG25">
        <v>1.8628899999999999</v>
      </c>
      <c r="IH25">
        <v>1.8638600000000001</v>
      </c>
      <c r="II25">
        <v>1.86178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-7.4009999999999998</v>
      </c>
      <c r="IX25">
        <v>-0.88400000000000001</v>
      </c>
      <c r="IY25">
        <v>-5.4089770541048887</v>
      </c>
      <c r="IZ25">
        <v>-5.6215304933332991E-3</v>
      </c>
      <c r="JA25">
        <v>2.3979931213773931E-6</v>
      </c>
      <c r="JB25">
        <v>-3.6297174575716598E-10</v>
      </c>
      <c r="JC25">
        <v>-1.2361153825028861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10.9</v>
      </c>
      <c r="JL25">
        <v>3</v>
      </c>
      <c r="JM25">
        <v>1.11694</v>
      </c>
      <c r="JN25">
        <v>2.5671400000000002</v>
      </c>
      <c r="JO25">
        <v>1.50024</v>
      </c>
      <c r="JP25">
        <v>2.2705099999999998</v>
      </c>
      <c r="JQ25">
        <v>1.4477500000000001</v>
      </c>
      <c r="JR25">
        <v>2.48291</v>
      </c>
      <c r="JS25">
        <v>50.154200000000003</v>
      </c>
      <c r="JT25">
        <v>23.842300000000002</v>
      </c>
      <c r="JU25">
        <v>18</v>
      </c>
      <c r="JV25">
        <v>551.97699999999998</v>
      </c>
      <c r="JW25">
        <v>351.51400000000001</v>
      </c>
      <c r="JX25">
        <v>23.105399999999999</v>
      </c>
      <c r="JY25">
        <v>41.304900000000004</v>
      </c>
      <c r="JZ25">
        <v>30.000399999999999</v>
      </c>
      <c r="KA25">
        <v>41.3005</v>
      </c>
      <c r="KB25">
        <v>41.310499999999998</v>
      </c>
      <c r="KC25">
        <v>22.3355</v>
      </c>
      <c r="KD25">
        <v>49.721499999999999</v>
      </c>
      <c r="KE25">
        <v>0</v>
      </c>
      <c r="KF25">
        <v>20.326899999999998</v>
      </c>
      <c r="KG25">
        <v>439.87200000000001</v>
      </c>
      <c r="KH25">
        <v>22.047599999999999</v>
      </c>
      <c r="KI25">
        <v>99.305700000000002</v>
      </c>
      <c r="KJ25">
        <v>97.543800000000005</v>
      </c>
    </row>
    <row r="26" spans="1:296" x14ac:dyDescent="0.3">
      <c r="A26">
        <v>10</v>
      </c>
      <c r="B26">
        <v>1784565593.0999999</v>
      </c>
      <c r="C26">
        <v>1733.099999904633</v>
      </c>
      <c r="D26" t="s">
        <v>502</v>
      </c>
      <c r="E26" t="s">
        <v>503</v>
      </c>
      <c r="F26">
        <v>15</v>
      </c>
      <c r="H26">
        <v>1784565585.099999</v>
      </c>
      <c r="I26">
        <f t="shared" si="0"/>
        <v>7.6881509173946905E-4</v>
      </c>
      <c r="J26">
        <f t="shared" si="1"/>
        <v>0.76881509173946905</v>
      </c>
      <c r="K26">
        <f t="shared" si="2"/>
        <v>8.2836115988422403</v>
      </c>
      <c r="L26">
        <f t="shared" si="3"/>
        <v>420.09945161290318</v>
      </c>
      <c r="M26">
        <f t="shared" si="4"/>
        <v>106.2352846329932</v>
      </c>
      <c r="N26">
        <f t="shared" si="5"/>
        <v>10.359707158684325</v>
      </c>
      <c r="O26">
        <f t="shared" si="6"/>
        <v>40.966683633113078</v>
      </c>
      <c r="P26">
        <f t="shared" si="7"/>
        <v>4.3569890458848591E-2</v>
      </c>
      <c r="Q26">
        <f t="shared" si="8"/>
        <v>2.8838169167571528</v>
      </c>
      <c r="R26">
        <f t="shared" si="9"/>
        <v>4.3207467819094694E-2</v>
      </c>
      <c r="S26">
        <f t="shared" si="10"/>
        <v>2.7036978208639192E-2</v>
      </c>
      <c r="T26">
        <f t="shared" si="11"/>
        <v>32.486133011210192</v>
      </c>
      <c r="U26">
        <f t="shared" si="12"/>
        <v>28.234163292579002</v>
      </c>
      <c r="V26">
        <f t="shared" si="13"/>
        <v>28.839429032258071</v>
      </c>
      <c r="W26">
        <f t="shared" si="14"/>
        <v>3.984555432381276</v>
      </c>
      <c r="X26">
        <f t="shared" si="15"/>
        <v>59.896993599853666</v>
      </c>
      <c r="Y26">
        <f t="shared" si="16"/>
        <v>2.3053463431542278</v>
      </c>
      <c r="Z26">
        <f t="shared" si="17"/>
        <v>3.8488515109043133</v>
      </c>
      <c r="AA26">
        <f t="shared" si="18"/>
        <v>1.6792090892270481</v>
      </c>
      <c r="AB26">
        <f t="shared" si="19"/>
        <v>-33.904745545710583</v>
      </c>
      <c r="AC26">
        <f t="shared" si="20"/>
        <v>-92.783383471007951</v>
      </c>
      <c r="AD26">
        <f t="shared" si="21"/>
        <v>-7.051044021539866</v>
      </c>
      <c r="AE26">
        <f t="shared" si="22"/>
        <v>-101.2530400270482</v>
      </c>
      <c r="AF26">
        <f t="shared" si="23"/>
        <v>8.2836115988422403</v>
      </c>
      <c r="AG26">
        <f t="shared" si="24"/>
        <v>0.76881509173946905</v>
      </c>
      <c r="AH26">
        <f t="shared" si="25"/>
        <v>8.3458323404769814</v>
      </c>
      <c r="AI26">
        <v>440.5986388446459</v>
      </c>
      <c r="AJ26">
        <v>430.28498181818179</v>
      </c>
      <c r="AK26">
        <v>1.255449494278992E-2</v>
      </c>
      <c r="AL26">
        <v>66.97003396614393</v>
      </c>
      <c r="AM26">
        <f t="shared" si="26"/>
        <v>0.81319005809036837</v>
      </c>
      <c r="AN26">
        <v>22.74556317784991</v>
      </c>
      <c r="AO26">
        <v>23.69412909090909</v>
      </c>
      <c r="AP26">
        <v>6.848287919533002E-4</v>
      </c>
      <c r="AQ26">
        <v>78.112194814340043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51299.08171231045</v>
      </c>
      <c r="AW26" t="s">
        <v>467</v>
      </c>
      <c r="AX26">
        <v>5067.63</v>
      </c>
      <c r="AY26">
        <v>607.05000000000007</v>
      </c>
      <c r="AZ26">
        <v>2484.73</v>
      </c>
      <c r="BA26">
        <f t="shared" si="30"/>
        <v>0.75568774072031974</v>
      </c>
      <c r="BB26">
        <v>-2.8785972855310362</v>
      </c>
      <c r="BC26" t="s">
        <v>504</v>
      </c>
      <c r="BD26">
        <v>5082.45</v>
      </c>
      <c r="BE26">
        <v>790.75794117647058</v>
      </c>
      <c r="BF26">
        <v>1874.2</v>
      </c>
      <c r="BG26">
        <f t="shared" si="31"/>
        <v>0.57808241320218201</v>
      </c>
      <c r="BH26">
        <v>0.5</v>
      </c>
      <c r="BI26">
        <f t="shared" si="32"/>
        <v>168.30095508185724</v>
      </c>
      <c r="BJ26">
        <f t="shared" si="33"/>
        <v>8.2836115988422403</v>
      </c>
      <c r="BK26">
        <f t="shared" si="34"/>
        <v>48.645911128976039</v>
      </c>
      <c r="BL26">
        <f t="shared" si="35"/>
        <v>6.6322908737768402E-2</v>
      </c>
      <c r="BM26">
        <f t="shared" si="36"/>
        <v>0.32575498879521925</v>
      </c>
      <c r="BN26">
        <f t="shared" si="37"/>
        <v>562.29891390313844</v>
      </c>
      <c r="BO26" t="s">
        <v>408</v>
      </c>
      <c r="BP26">
        <v>0</v>
      </c>
      <c r="BQ26">
        <f t="shared" si="38"/>
        <v>562.29891390313844</v>
      </c>
      <c r="BR26">
        <f t="shared" si="39"/>
        <v>0.69997923705947152</v>
      </c>
      <c r="BS26">
        <f t="shared" si="40"/>
        <v>0.82585651487412193</v>
      </c>
      <c r="BT26">
        <f t="shared" si="41"/>
        <v>0.31758225530963891</v>
      </c>
      <c r="BU26">
        <f t="shared" si="42"/>
        <v>0.85502273513280136</v>
      </c>
      <c r="BV26">
        <f t="shared" si="43"/>
        <v>0.32515125047931492</v>
      </c>
      <c r="BW26">
        <f t="shared" si="44"/>
        <v>0.58725710760825134</v>
      </c>
      <c r="BX26">
        <f t="shared" si="45"/>
        <v>0.41274289239174866</v>
      </c>
      <c r="DG26">
        <f t="shared" si="46"/>
        <v>200.01006451612909</v>
      </c>
      <c r="DH26">
        <f t="shared" si="47"/>
        <v>168.30095508185724</v>
      </c>
      <c r="DI26">
        <f t="shared" si="48"/>
        <v>0.84146243084824968</v>
      </c>
      <c r="DJ26">
        <f t="shared" si="49"/>
        <v>0.16242249153712193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1784565585.099999</v>
      </c>
      <c r="DQ26">
        <v>420.09945161290318</v>
      </c>
      <c r="DR26">
        <v>430.4275806451613</v>
      </c>
      <c r="DS26">
        <v>23.640545161290319</v>
      </c>
      <c r="DT26">
        <v>22.739758064516131</v>
      </c>
      <c r="DU26">
        <v>427.5017096774194</v>
      </c>
      <c r="DV26">
        <v>24.523545161290318</v>
      </c>
      <c r="DW26">
        <v>499.98932258064519</v>
      </c>
      <c r="DX26">
        <v>97.456609677419351</v>
      </c>
      <c r="DY26">
        <v>6.0022338709677429E-2</v>
      </c>
      <c r="DZ26">
        <v>28.242645161290319</v>
      </c>
      <c r="EA26">
        <v>28.839429032258071</v>
      </c>
      <c r="EB26">
        <v>999.90000000000032</v>
      </c>
      <c r="EC26">
        <v>0</v>
      </c>
      <c r="ED26">
        <v>0</v>
      </c>
      <c r="EE26">
        <v>9995.8064516129034</v>
      </c>
      <c r="EF26">
        <v>0</v>
      </c>
      <c r="EG26">
        <v>89.592580645161291</v>
      </c>
      <c r="EH26">
        <v>-10.32816064516129</v>
      </c>
      <c r="EI26">
        <v>430.28941935483869</v>
      </c>
      <c r="EJ26">
        <v>440.44312903225801</v>
      </c>
      <c r="EK26">
        <v>0.94205590322580646</v>
      </c>
      <c r="EL26">
        <v>430.4275806451613</v>
      </c>
      <c r="EM26">
        <v>22.739758064516131</v>
      </c>
      <c r="EN26">
        <v>2.3079487096774201</v>
      </c>
      <c r="EO26">
        <v>2.216139677419354</v>
      </c>
      <c r="EP26">
        <v>19.731987096774191</v>
      </c>
      <c r="EQ26">
        <v>19.07945161290322</v>
      </c>
      <c r="ER26">
        <v>200.01006451612909</v>
      </c>
      <c r="ES26">
        <v>0.94999309677419363</v>
      </c>
      <c r="ET26">
        <v>5.0007041935483859E-2</v>
      </c>
      <c r="EU26">
        <v>0</v>
      </c>
      <c r="EV26">
        <v>790.59958064516127</v>
      </c>
      <c r="EW26">
        <v>5.0010700000000003</v>
      </c>
      <c r="EX26">
        <v>5250.4699999999993</v>
      </c>
      <c r="EY26">
        <v>1751.9125806451609</v>
      </c>
      <c r="EZ26">
        <v>44.133000000000003</v>
      </c>
      <c r="FA26">
        <v>47.953258064516113</v>
      </c>
      <c r="FB26">
        <v>46.387</v>
      </c>
      <c r="FC26">
        <v>47.54199999999998</v>
      </c>
      <c r="FD26">
        <v>45.945129032258038</v>
      </c>
      <c r="FE26">
        <v>185.2583870967743</v>
      </c>
      <c r="FF26">
        <v>9.75</v>
      </c>
      <c r="FG26">
        <v>0</v>
      </c>
      <c r="FH26">
        <v>201.20000004768369</v>
      </c>
      <c r="FI26">
        <v>0</v>
      </c>
      <c r="FJ26">
        <v>790.75794117647058</v>
      </c>
      <c r="FK26">
        <v>4.9441176320454652</v>
      </c>
      <c r="FL26">
        <v>-73.333333224186774</v>
      </c>
      <c r="FM26">
        <v>5250.7029411764706</v>
      </c>
      <c r="FN26">
        <v>10</v>
      </c>
      <c r="FO26">
        <v>1784565616.0999999</v>
      </c>
      <c r="FP26" t="s">
        <v>505</v>
      </c>
      <c r="FQ26">
        <v>1784564739.5</v>
      </c>
      <c r="FR26">
        <v>1784565616.0999999</v>
      </c>
      <c r="FS26">
        <v>24</v>
      </c>
      <c r="FT26">
        <v>4.2999999999999997E-2</v>
      </c>
      <c r="FU26">
        <v>-1.7000000000000001E-2</v>
      </c>
      <c r="FV26">
        <v>-7.5750000000000002</v>
      </c>
      <c r="FW26">
        <v>-0.88300000000000001</v>
      </c>
      <c r="FX26">
        <v>467</v>
      </c>
      <c r="FY26">
        <v>23</v>
      </c>
      <c r="FZ26">
        <v>0.18</v>
      </c>
      <c r="GA26">
        <v>0.4</v>
      </c>
      <c r="GB26">
        <v>420.09945161290318</v>
      </c>
      <c r="GC26">
        <v>-0.72077419354941519</v>
      </c>
      <c r="GD26">
        <v>8.5277474509324921E-2</v>
      </c>
      <c r="GE26">
        <v>-1</v>
      </c>
      <c r="GF26">
        <v>790.58317647058811</v>
      </c>
      <c r="GG26">
        <v>1.815187165137971</v>
      </c>
      <c r="GH26">
        <v>0.30474130500438951</v>
      </c>
      <c r="GI26">
        <v>1</v>
      </c>
      <c r="GJ26">
        <v>0.93688190243902414</v>
      </c>
      <c r="GK26">
        <v>0.1009735818815317</v>
      </c>
      <c r="GL26">
        <v>1.111408610685026E-2</v>
      </c>
      <c r="GM26">
        <v>1</v>
      </c>
      <c r="GN26">
        <v>2</v>
      </c>
      <c r="GO26">
        <v>2</v>
      </c>
      <c r="GP26" t="s">
        <v>424</v>
      </c>
      <c r="GQ26">
        <v>3.1302400000000001</v>
      </c>
      <c r="GR26">
        <v>2.7373599999999998</v>
      </c>
      <c r="GS26">
        <v>8.9785699999999996E-2</v>
      </c>
      <c r="GT26">
        <v>9.0939300000000001E-2</v>
      </c>
      <c r="GU26">
        <v>0.111411</v>
      </c>
      <c r="GV26">
        <v>0.10595300000000001</v>
      </c>
      <c r="GW26">
        <v>22536.799999999999</v>
      </c>
      <c r="GX26">
        <v>30162.1</v>
      </c>
      <c r="GY26">
        <v>26892.799999999999</v>
      </c>
      <c r="GZ26">
        <v>34169.4</v>
      </c>
      <c r="HA26">
        <v>35050.699999999997</v>
      </c>
      <c r="HB26">
        <v>38689.9</v>
      </c>
      <c r="HC26">
        <v>39735.599999999999</v>
      </c>
      <c r="HD26">
        <v>43340.2</v>
      </c>
      <c r="HE26">
        <v>1.897</v>
      </c>
      <c r="HF26">
        <v>1.5686</v>
      </c>
      <c r="HG26">
        <v>-0.14796899999999999</v>
      </c>
      <c r="HH26">
        <v>0</v>
      </c>
      <c r="HI26">
        <v>31.2392</v>
      </c>
      <c r="HJ26">
        <v>999.9</v>
      </c>
      <c r="HK26">
        <v>45</v>
      </c>
      <c r="HL26">
        <v>44.6</v>
      </c>
      <c r="HM26">
        <v>43.596200000000003</v>
      </c>
      <c r="HN26">
        <v>61.400399999999998</v>
      </c>
      <c r="HO26">
        <v>5.5248400000000002</v>
      </c>
      <c r="HP26">
        <v>1</v>
      </c>
      <c r="HQ26">
        <v>1.2264999999999999</v>
      </c>
      <c r="HR26">
        <v>9.2810500000000005</v>
      </c>
      <c r="HS26">
        <v>20.003</v>
      </c>
      <c r="HT26">
        <v>5.2100999999999997</v>
      </c>
      <c r="HU26">
        <v>11.9201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1.8634299999999999</v>
      </c>
      <c r="ID26">
        <v>1.8629500000000001</v>
      </c>
      <c r="IE26">
        <v>1.86249</v>
      </c>
      <c r="IF26">
        <v>1.86249</v>
      </c>
      <c r="IG26">
        <v>1.8629199999999999</v>
      </c>
      <c r="IH26">
        <v>1.8638600000000001</v>
      </c>
      <c r="II26">
        <v>1.86178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-7.4020000000000001</v>
      </c>
      <c r="IX26">
        <v>-0.88300000000000001</v>
      </c>
      <c r="IY26">
        <v>-5.4089770541048887</v>
      </c>
      <c r="IZ26">
        <v>-5.6215304933332991E-3</v>
      </c>
      <c r="JA26">
        <v>2.3979931213773931E-6</v>
      </c>
      <c r="JB26">
        <v>-3.6297174575716598E-10</v>
      </c>
      <c r="JC26">
        <v>-1.248463428999111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14.2</v>
      </c>
      <c r="JL26">
        <v>3</v>
      </c>
      <c r="JM26">
        <v>1.09741</v>
      </c>
      <c r="JN26">
        <v>2.5708000000000002</v>
      </c>
      <c r="JO26">
        <v>1.50024</v>
      </c>
      <c r="JP26">
        <v>2.2705099999999998</v>
      </c>
      <c r="JQ26">
        <v>1.4477500000000001</v>
      </c>
      <c r="JR26">
        <v>2.4096700000000002</v>
      </c>
      <c r="JS26">
        <v>50.186399999999999</v>
      </c>
      <c r="JT26">
        <v>23.833600000000001</v>
      </c>
      <c r="JU26">
        <v>18</v>
      </c>
      <c r="JV26">
        <v>552.03</v>
      </c>
      <c r="JW26">
        <v>351.68700000000001</v>
      </c>
      <c r="JX26">
        <v>22.951799999999999</v>
      </c>
      <c r="JY26">
        <v>41.426099999999998</v>
      </c>
      <c r="JZ26">
        <v>30.0002</v>
      </c>
      <c r="KA26">
        <v>41.438899999999997</v>
      </c>
      <c r="KB26">
        <v>41.439599999999999</v>
      </c>
      <c r="KC26">
        <v>21.962700000000002</v>
      </c>
      <c r="KD26">
        <v>48.609000000000002</v>
      </c>
      <c r="KE26">
        <v>0</v>
      </c>
      <c r="KF26">
        <v>20.2407</v>
      </c>
      <c r="KG26">
        <v>430.37900000000002</v>
      </c>
      <c r="KH26">
        <v>22.8352</v>
      </c>
      <c r="KI26">
        <v>99.286600000000007</v>
      </c>
      <c r="KJ26">
        <v>97.523600000000002</v>
      </c>
    </row>
    <row r="27" spans="1:296" x14ac:dyDescent="0.3">
      <c r="A27">
        <v>11</v>
      </c>
      <c r="B27">
        <v>1784565797.0999999</v>
      </c>
      <c r="C27">
        <v>1937.099999904633</v>
      </c>
      <c r="D27" t="s">
        <v>506</v>
      </c>
      <c r="E27" t="s">
        <v>507</v>
      </c>
      <c r="F27">
        <v>15</v>
      </c>
      <c r="H27">
        <v>1784565789.349999</v>
      </c>
      <c r="I27">
        <f t="shared" si="0"/>
        <v>5.2352692762966065E-4</v>
      </c>
      <c r="J27">
        <f t="shared" si="1"/>
        <v>0.52352692762966069</v>
      </c>
      <c r="K27">
        <f t="shared" si="2"/>
        <v>3.2407760350694401</v>
      </c>
      <c r="L27">
        <f t="shared" si="3"/>
        <v>420.06636666666668</v>
      </c>
      <c r="M27">
        <f t="shared" si="4"/>
        <v>232.91893928699011</v>
      </c>
      <c r="N27">
        <f t="shared" si="5"/>
        <v>22.714157432225416</v>
      </c>
      <c r="O27">
        <f t="shared" si="6"/>
        <v>40.964696188544508</v>
      </c>
      <c r="P27">
        <f t="shared" si="7"/>
        <v>2.930895883635018E-2</v>
      </c>
      <c r="Q27">
        <f t="shared" si="8"/>
        <v>2.8849466684180398</v>
      </c>
      <c r="R27">
        <f t="shared" si="9"/>
        <v>2.9144539821156223E-2</v>
      </c>
      <c r="S27">
        <f t="shared" si="10"/>
        <v>1.8230032751957313E-2</v>
      </c>
      <c r="T27">
        <f t="shared" si="11"/>
        <v>16.511004837911511</v>
      </c>
      <c r="U27">
        <f t="shared" si="12"/>
        <v>28.14257162324024</v>
      </c>
      <c r="V27">
        <f t="shared" si="13"/>
        <v>28.835693333333339</v>
      </c>
      <c r="W27">
        <f t="shared" si="14"/>
        <v>3.9836931546528338</v>
      </c>
      <c r="X27">
        <f t="shared" si="15"/>
        <v>59.663942025465111</v>
      </c>
      <c r="Y27">
        <f t="shared" si="16"/>
        <v>2.2882690192001149</v>
      </c>
      <c r="Z27">
        <f t="shared" si="17"/>
        <v>3.8352628765686672</v>
      </c>
      <c r="AA27">
        <f t="shared" si="18"/>
        <v>1.6954241354527189</v>
      </c>
      <c r="AB27">
        <f t="shared" si="19"/>
        <v>-23.087537508468035</v>
      </c>
      <c r="AC27">
        <f t="shared" si="20"/>
        <v>-101.68970921883289</v>
      </c>
      <c r="AD27">
        <f t="shared" si="21"/>
        <v>-7.7223744044373728</v>
      </c>
      <c r="AE27">
        <f t="shared" si="22"/>
        <v>-115.98861629382678</v>
      </c>
      <c r="AF27">
        <f t="shared" si="23"/>
        <v>3.2407760350694401</v>
      </c>
      <c r="AG27">
        <f t="shared" si="24"/>
        <v>0.52352692762966069</v>
      </c>
      <c r="AH27">
        <f t="shared" si="25"/>
        <v>3.2432861001092519</v>
      </c>
      <c r="AI27">
        <v>434.15141599708352</v>
      </c>
      <c r="AJ27">
        <v>430.17689090909062</v>
      </c>
      <c r="AK27">
        <v>-1.6007862046748839E-3</v>
      </c>
      <c r="AL27">
        <v>66.968903481119568</v>
      </c>
      <c r="AM27">
        <f t="shared" si="26"/>
        <v>0.54260133833239443</v>
      </c>
      <c r="AN27">
        <v>22.868809013972442</v>
      </c>
      <c r="AO27">
        <v>23.49721515151515</v>
      </c>
      <c r="AP27">
        <v>1.217847224224443E-3</v>
      </c>
      <c r="AQ27">
        <v>78.110814267592033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51341.473652373083</v>
      </c>
      <c r="AW27" t="s">
        <v>467</v>
      </c>
      <c r="AX27">
        <v>5067.63</v>
      </c>
      <c r="AY27">
        <v>607.05000000000007</v>
      </c>
      <c r="AZ27">
        <v>2484.73</v>
      </c>
      <c r="BA27">
        <f t="shared" si="30"/>
        <v>0.75568774072031974</v>
      </c>
      <c r="BB27">
        <v>-2.8785972855310362</v>
      </c>
      <c r="BC27" t="s">
        <v>508</v>
      </c>
      <c r="BD27">
        <v>5083.84</v>
      </c>
      <c r="BE27">
        <v>793.4318823529411</v>
      </c>
      <c r="BF27">
        <v>2122.2399999999998</v>
      </c>
      <c r="BG27">
        <f t="shared" si="31"/>
        <v>0.62613470561626339</v>
      </c>
      <c r="BH27">
        <v>0.5</v>
      </c>
      <c r="BI27">
        <f t="shared" si="32"/>
        <v>84.290086531560334</v>
      </c>
      <c r="BJ27">
        <f t="shared" si="33"/>
        <v>3.2407760350694401</v>
      </c>
      <c r="BK27">
        <f t="shared" si="34"/>
        <v>26.388474258403949</v>
      </c>
      <c r="BL27">
        <f t="shared" si="35"/>
        <v>7.2598968305830708E-2</v>
      </c>
      <c r="BM27">
        <f t="shared" si="36"/>
        <v>0.17080537545235236</v>
      </c>
      <c r="BN27">
        <f t="shared" si="37"/>
        <v>582.73265534905568</v>
      </c>
      <c r="BO27" t="s">
        <v>408</v>
      </c>
      <c r="BP27">
        <v>0</v>
      </c>
      <c r="BQ27">
        <f t="shared" si="38"/>
        <v>582.73265534905568</v>
      </c>
      <c r="BR27">
        <f t="shared" si="39"/>
        <v>0.72541623221263585</v>
      </c>
      <c r="BS27">
        <f t="shared" si="40"/>
        <v>0.86313853731457335</v>
      </c>
      <c r="BT27">
        <f t="shared" si="41"/>
        <v>0.19058386228532018</v>
      </c>
      <c r="BU27">
        <f t="shared" si="42"/>
        <v>0.87699108207357435</v>
      </c>
      <c r="BV27">
        <f t="shared" si="43"/>
        <v>0.19305206424949953</v>
      </c>
      <c r="BW27">
        <f t="shared" si="44"/>
        <v>0.63392841020179969</v>
      </c>
      <c r="BX27">
        <f t="shared" si="45"/>
        <v>0.36607158979820031</v>
      </c>
      <c r="DG27">
        <f t="shared" si="46"/>
        <v>100.0060633333333</v>
      </c>
      <c r="DH27">
        <f t="shared" si="47"/>
        <v>84.290086531560334</v>
      </c>
      <c r="DI27">
        <f t="shared" si="48"/>
        <v>0.84284976052512384</v>
      </c>
      <c r="DJ27">
        <f t="shared" si="49"/>
        <v>0.16510003781348906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1784565789.349999</v>
      </c>
      <c r="DQ27">
        <v>420.06636666666668</v>
      </c>
      <c r="DR27">
        <v>424.21909999999991</v>
      </c>
      <c r="DS27">
        <v>23.464713333333329</v>
      </c>
      <c r="DT27">
        <v>22.851236666666669</v>
      </c>
      <c r="DU27">
        <v>427.37743333333327</v>
      </c>
      <c r="DV27">
        <v>24.327803333333339</v>
      </c>
      <c r="DW27">
        <v>500.01170000000002</v>
      </c>
      <c r="DX27">
        <v>97.459550000000007</v>
      </c>
      <c r="DY27">
        <v>6.0031283333333331E-2</v>
      </c>
      <c r="DZ27">
        <v>28.181879999999989</v>
      </c>
      <c r="EA27">
        <v>28.835693333333339</v>
      </c>
      <c r="EB27">
        <v>999.9000000000002</v>
      </c>
      <c r="EC27">
        <v>0</v>
      </c>
      <c r="ED27">
        <v>0</v>
      </c>
      <c r="EE27">
        <v>10002</v>
      </c>
      <c r="EF27">
        <v>0</v>
      </c>
      <c r="EG27">
        <v>98.151613333333344</v>
      </c>
      <c r="EH27">
        <v>-4.152911333333333</v>
      </c>
      <c r="EI27">
        <v>430.15986666666669</v>
      </c>
      <c r="EJ27">
        <v>434.13979999999992</v>
      </c>
      <c r="EK27">
        <v>0.61346813333333328</v>
      </c>
      <c r="EL27">
        <v>424.21909999999991</v>
      </c>
      <c r="EM27">
        <v>22.851236666666669</v>
      </c>
      <c r="EN27">
        <v>2.2868599999999999</v>
      </c>
      <c r="EO27">
        <v>2.227071333333333</v>
      </c>
      <c r="EP27">
        <v>19.584130000000009</v>
      </c>
      <c r="EQ27">
        <v>19.15838333333333</v>
      </c>
      <c r="ER27">
        <v>100.0060633333333</v>
      </c>
      <c r="ES27">
        <v>0.90003333333333368</v>
      </c>
      <c r="ET27">
        <v>9.9966816666666694E-2</v>
      </c>
      <c r="EU27">
        <v>0</v>
      </c>
      <c r="EV27">
        <v>793.11806666666655</v>
      </c>
      <c r="EW27">
        <v>5.0010700000000003</v>
      </c>
      <c r="EX27">
        <v>4362.927333333334</v>
      </c>
      <c r="EY27">
        <v>836.63656666666645</v>
      </c>
      <c r="EZ27">
        <v>43.811999999999983</v>
      </c>
      <c r="FA27">
        <v>47.75</v>
      </c>
      <c r="FB27">
        <v>46.125</v>
      </c>
      <c r="FC27">
        <v>47.428733333333319</v>
      </c>
      <c r="FD27">
        <v>45.645666666666671</v>
      </c>
      <c r="FE27">
        <v>85.507333333333321</v>
      </c>
      <c r="FF27">
        <v>9.5</v>
      </c>
      <c r="FG27">
        <v>0</v>
      </c>
      <c r="FH27">
        <v>203.4000000953674</v>
      </c>
      <c r="FI27">
        <v>0</v>
      </c>
      <c r="FJ27">
        <v>793.4318823529411</v>
      </c>
      <c r="FK27">
        <v>5.9411764851370288</v>
      </c>
      <c r="FL27">
        <v>-54.487745198159729</v>
      </c>
      <c r="FM27">
        <v>4361.6752941176474</v>
      </c>
      <c r="FN27">
        <v>10</v>
      </c>
      <c r="FO27">
        <v>1784565687.0999999</v>
      </c>
      <c r="FP27" t="s">
        <v>509</v>
      </c>
      <c r="FQ27">
        <v>1784565678.0999999</v>
      </c>
      <c r="FR27">
        <v>1784565687.0999999</v>
      </c>
      <c r="FS27">
        <v>25</v>
      </c>
      <c r="FT27">
        <v>9.0999999999999998E-2</v>
      </c>
      <c r="FU27">
        <v>1E-3</v>
      </c>
      <c r="FV27">
        <v>-7.3520000000000003</v>
      </c>
      <c r="FW27">
        <v>-0.88400000000000001</v>
      </c>
      <c r="FX27">
        <v>431</v>
      </c>
      <c r="FY27">
        <v>23</v>
      </c>
      <c r="FZ27">
        <v>0.82</v>
      </c>
      <c r="GA27">
        <v>0.19</v>
      </c>
      <c r="GB27">
        <v>420.0685666666667</v>
      </c>
      <c r="GC27">
        <v>0.13158620689666459</v>
      </c>
      <c r="GD27">
        <v>5.1591784445030382E-2</v>
      </c>
      <c r="GE27">
        <v>-1</v>
      </c>
      <c r="GF27">
        <v>792.67126470588232</v>
      </c>
      <c r="GG27">
        <v>7.357509555695728</v>
      </c>
      <c r="GH27">
        <v>0.75035910261152361</v>
      </c>
      <c r="GI27">
        <v>1</v>
      </c>
      <c r="GJ27">
        <v>0.66357807499999999</v>
      </c>
      <c r="GK27">
        <v>-0.66255373733583733</v>
      </c>
      <c r="GL27">
        <v>8.3562932541105667E-2</v>
      </c>
      <c r="GM27">
        <v>0</v>
      </c>
      <c r="GN27">
        <v>1</v>
      </c>
      <c r="GO27">
        <v>2</v>
      </c>
      <c r="GP27" t="s">
        <v>411</v>
      </c>
      <c r="GQ27">
        <v>3.1306099999999999</v>
      </c>
      <c r="GR27">
        <v>2.7353700000000001</v>
      </c>
      <c r="GS27">
        <v>8.9740600000000004E-2</v>
      </c>
      <c r="GT27">
        <v>8.9887499999999995E-2</v>
      </c>
      <c r="GU27">
        <v>0.11079600000000001</v>
      </c>
      <c r="GV27">
        <v>0.10633099999999999</v>
      </c>
      <c r="GW27">
        <v>22532.2</v>
      </c>
      <c r="GX27">
        <v>30187.9</v>
      </c>
      <c r="GY27">
        <v>26886.6</v>
      </c>
      <c r="GZ27">
        <v>34159.9</v>
      </c>
      <c r="HA27">
        <v>35068.1</v>
      </c>
      <c r="HB27">
        <v>38665.4</v>
      </c>
      <c r="HC27">
        <v>39727.699999999997</v>
      </c>
      <c r="HD27">
        <v>43330.7</v>
      </c>
      <c r="HE27">
        <v>1.8957999999999999</v>
      </c>
      <c r="HF27">
        <v>1.5656000000000001</v>
      </c>
      <c r="HG27">
        <v>-0.15124699999999999</v>
      </c>
      <c r="HH27">
        <v>0</v>
      </c>
      <c r="HI27">
        <v>31.308800000000002</v>
      </c>
      <c r="HJ27">
        <v>999.9</v>
      </c>
      <c r="HK27">
        <v>44.8</v>
      </c>
      <c r="HL27">
        <v>44.8</v>
      </c>
      <c r="HM27">
        <v>43.849499999999999</v>
      </c>
      <c r="HN27">
        <v>61.220500000000001</v>
      </c>
      <c r="HO27">
        <v>5.6650600000000004</v>
      </c>
      <c r="HP27">
        <v>1</v>
      </c>
      <c r="HQ27">
        <v>1.24028</v>
      </c>
      <c r="HR27">
        <v>9.2810500000000005</v>
      </c>
      <c r="HS27">
        <v>20.004100000000001</v>
      </c>
      <c r="HT27">
        <v>5.2100999999999997</v>
      </c>
      <c r="HU27">
        <v>11.9201</v>
      </c>
      <c r="HV27">
        <v>4.9828000000000001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1.86768</v>
      </c>
      <c r="IC27">
        <v>1.8633999999999999</v>
      </c>
      <c r="ID27">
        <v>1.8628899999999999</v>
      </c>
      <c r="IE27">
        <v>1.86246</v>
      </c>
      <c r="IF27">
        <v>1.8624000000000001</v>
      </c>
      <c r="IG27">
        <v>1.8629199999999999</v>
      </c>
      <c r="IH27">
        <v>1.8638600000000001</v>
      </c>
      <c r="II27">
        <v>1.86175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-7.3109999999999999</v>
      </c>
      <c r="IX27">
        <v>-0.86219999999999997</v>
      </c>
      <c r="IY27">
        <v>-5.3183157876803504</v>
      </c>
      <c r="IZ27">
        <v>-5.6215304933332991E-3</v>
      </c>
      <c r="JA27">
        <v>2.3979931213773931E-6</v>
      </c>
      <c r="JB27">
        <v>-3.6297174575716598E-10</v>
      </c>
      <c r="JC27">
        <v>-1.2643515631442981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2</v>
      </c>
      <c r="JL27">
        <v>1.8</v>
      </c>
      <c r="JM27">
        <v>1.08521</v>
      </c>
      <c r="JN27">
        <v>2.5769000000000002</v>
      </c>
      <c r="JO27">
        <v>1.50024</v>
      </c>
      <c r="JP27">
        <v>2.2692899999999998</v>
      </c>
      <c r="JQ27">
        <v>1.4477500000000001</v>
      </c>
      <c r="JR27">
        <v>2.34009</v>
      </c>
      <c r="JS27">
        <v>50.218699999999998</v>
      </c>
      <c r="JT27">
        <v>23.833600000000001</v>
      </c>
      <c r="JU27">
        <v>18</v>
      </c>
      <c r="JV27">
        <v>552.22699999999998</v>
      </c>
      <c r="JW27">
        <v>350.72500000000002</v>
      </c>
      <c r="JX27">
        <v>23.0383</v>
      </c>
      <c r="JY27">
        <v>41.564599999999999</v>
      </c>
      <c r="JZ27">
        <v>30.000699999999998</v>
      </c>
      <c r="KA27">
        <v>41.578000000000003</v>
      </c>
      <c r="KB27">
        <v>41.588200000000001</v>
      </c>
      <c r="KC27">
        <v>21.716100000000001</v>
      </c>
      <c r="KD27">
        <v>48.658900000000003</v>
      </c>
      <c r="KE27">
        <v>0</v>
      </c>
      <c r="KF27">
        <v>20.104900000000001</v>
      </c>
      <c r="KG27">
        <v>424.15600000000001</v>
      </c>
      <c r="KH27">
        <v>22.821200000000001</v>
      </c>
      <c r="KI27">
        <v>99.265500000000003</v>
      </c>
      <c r="KJ27">
        <v>97.499799999999993</v>
      </c>
    </row>
    <row r="28" spans="1:296" x14ac:dyDescent="0.3">
      <c r="A28">
        <v>12</v>
      </c>
      <c r="B28">
        <v>1784565979.5999999</v>
      </c>
      <c r="C28">
        <v>2119.599999904633</v>
      </c>
      <c r="D28" t="s">
        <v>510</v>
      </c>
      <c r="E28" t="s">
        <v>511</v>
      </c>
      <c r="F28">
        <v>15</v>
      </c>
      <c r="H28">
        <v>1784565971.849999</v>
      </c>
      <c r="I28">
        <f t="shared" si="0"/>
        <v>4.4170064981845881E-4</v>
      </c>
      <c r="J28">
        <f t="shared" si="1"/>
        <v>0.4417006498184588</v>
      </c>
      <c r="K28">
        <f t="shared" si="2"/>
        <v>0.67357689888984174</v>
      </c>
      <c r="L28">
        <f t="shared" si="3"/>
        <v>419.98989999999998</v>
      </c>
      <c r="M28">
        <f t="shared" si="4"/>
        <v>364.49210253903186</v>
      </c>
      <c r="N28">
        <f t="shared" si="5"/>
        <v>35.545902787432283</v>
      </c>
      <c r="O28">
        <f t="shared" si="6"/>
        <v>40.958144368861142</v>
      </c>
      <c r="P28">
        <f t="shared" si="7"/>
        <v>2.4512700656351874E-2</v>
      </c>
      <c r="Q28">
        <f t="shared" si="8"/>
        <v>2.8858835654522244</v>
      </c>
      <c r="R28">
        <f t="shared" si="9"/>
        <v>2.4397614298057597E-2</v>
      </c>
      <c r="S28">
        <f t="shared" si="10"/>
        <v>1.5258803822468987E-2</v>
      </c>
      <c r="T28">
        <f t="shared" si="11"/>
        <v>8.2429061532544381</v>
      </c>
      <c r="U28">
        <f t="shared" si="12"/>
        <v>28.174067515504643</v>
      </c>
      <c r="V28">
        <f t="shared" si="13"/>
        <v>28.93069333333333</v>
      </c>
      <c r="W28">
        <f t="shared" si="14"/>
        <v>4.0056717695666348</v>
      </c>
      <c r="X28">
        <f t="shared" si="15"/>
        <v>59.689498366744253</v>
      </c>
      <c r="Y28">
        <f t="shared" si="16"/>
        <v>2.2971674132926676</v>
      </c>
      <c r="Z28">
        <f t="shared" si="17"/>
        <v>3.8485285957312123</v>
      </c>
      <c r="AA28">
        <f t="shared" si="18"/>
        <v>1.7085043562739672</v>
      </c>
      <c r="AB28">
        <f t="shared" si="19"/>
        <v>-19.478998656994033</v>
      </c>
      <c r="AC28">
        <f t="shared" si="20"/>
        <v>-107.27344308371738</v>
      </c>
      <c r="AD28">
        <f t="shared" si="21"/>
        <v>-8.1500167020364795</v>
      </c>
      <c r="AE28">
        <f t="shared" si="22"/>
        <v>-126.65955228949346</v>
      </c>
      <c r="AF28">
        <f t="shared" si="23"/>
        <v>0.67357689888984174</v>
      </c>
      <c r="AG28">
        <f t="shared" si="24"/>
        <v>0.4417006498184588</v>
      </c>
      <c r="AH28">
        <f t="shared" si="25"/>
        <v>0.88228538211482344</v>
      </c>
      <c r="AI28">
        <v>431.00232940135112</v>
      </c>
      <c r="AJ28">
        <v>430.02750909090901</v>
      </c>
      <c r="AK28">
        <v>-2.087563147219805E-2</v>
      </c>
      <c r="AL28">
        <v>67.031362298909542</v>
      </c>
      <c r="AM28">
        <f t="shared" si="26"/>
        <v>0.43101037426526917</v>
      </c>
      <c r="AN28">
        <v>23.04314804822511</v>
      </c>
      <c r="AO28">
        <v>23.54909151515151</v>
      </c>
      <c r="AP28">
        <v>-1.5207679277306121E-4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51357.930144932485</v>
      </c>
      <c r="AW28" t="s">
        <v>467</v>
      </c>
      <c r="AX28">
        <v>5067.63</v>
      </c>
      <c r="AY28">
        <v>607.05000000000007</v>
      </c>
      <c r="AZ28">
        <v>2484.73</v>
      </c>
      <c r="BA28">
        <f t="shared" si="30"/>
        <v>0.75568774072031974</v>
      </c>
      <c r="BB28">
        <v>-2.8785972855310362</v>
      </c>
      <c r="BC28" t="s">
        <v>512</v>
      </c>
      <c r="BD28">
        <v>5079.34</v>
      </c>
      <c r="BE28">
        <v>771.97799999999995</v>
      </c>
      <c r="BF28">
        <v>2170.71</v>
      </c>
      <c r="BG28">
        <f t="shared" si="31"/>
        <v>0.64436612905454904</v>
      </c>
      <c r="BH28">
        <v>0.5</v>
      </c>
      <c r="BI28">
        <f t="shared" si="32"/>
        <v>42.147320381997112</v>
      </c>
      <c r="BJ28">
        <f t="shared" si="33"/>
        <v>0.67357689888984174</v>
      </c>
      <c r="BK28">
        <f t="shared" si="34"/>
        <v>13.579152842284689</v>
      </c>
      <c r="BL28">
        <f t="shared" si="35"/>
        <v>8.4279953084233569E-2</v>
      </c>
      <c r="BM28">
        <f t="shared" si="36"/>
        <v>0.14466234549985948</v>
      </c>
      <c r="BN28">
        <f t="shared" si="37"/>
        <v>586.32755171571512</v>
      </c>
      <c r="BO28" t="s">
        <v>408</v>
      </c>
      <c r="BP28">
        <v>0</v>
      </c>
      <c r="BQ28">
        <f t="shared" si="38"/>
        <v>586.32755171571512</v>
      </c>
      <c r="BR28">
        <f t="shared" si="39"/>
        <v>0.72989134812309564</v>
      </c>
      <c r="BS28">
        <f t="shared" si="40"/>
        <v>0.88282472550404456</v>
      </c>
      <c r="BT28">
        <f t="shared" si="41"/>
        <v>0.16541276602534999</v>
      </c>
      <c r="BU28">
        <f t="shared" si="42"/>
        <v>0.89452438509650445</v>
      </c>
      <c r="BV28">
        <f t="shared" si="43"/>
        <v>0.16723829406501642</v>
      </c>
      <c r="BW28">
        <f t="shared" si="44"/>
        <v>0.6705171130509997</v>
      </c>
      <c r="BX28">
        <f t="shared" si="45"/>
        <v>0.3294828869490003</v>
      </c>
      <c r="DG28">
        <f t="shared" si="46"/>
        <v>50.01465666666666</v>
      </c>
      <c r="DH28">
        <f t="shared" si="47"/>
        <v>42.147320381997112</v>
      </c>
      <c r="DI28">
        <f t="shared" si="48"/>
        <v>0.84269938436040681</v>
      </c>
      <c r="DJ28">
        <f t="shared" si="49"/>
        <v>0.16480981181558524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1784565971.849999</v>
      </c>
      <c r="DQ28">
        <v>419.98989999999998</v>
      </c>
      <c r="DR28">
        <v>421.02076666666659</v>
      </c>
      <c r="DS28">
        <v>23.55543999999999</v>
      </c>
      <c r="DT28">
        <v>23.037903333333329</v>
      </c>
      <c r="DU28">
        <v>427.38389999999998</v>
      </c>
      <c r="DV28">
        <v>24.432713333333339</v>
      </c>
      <c r="DW28">
        <v>500.01813333333331</v>
      </c>
      <c r="DX28">
        <v>97.461709999999997</v>
      </c>
      <c r="DY28">
        <v>6.002652E-2</v>
      </c>
      <c r="DZ28">
        <v>28.241203333333331</v>
      </c>
      <c r="EA28">
        <v>28.93069333333333</v>
      </c>
      <c r="EB28">
        <v>999.9000000000002</v>
      </c>
      <c r="EC28">
        <v>0</v>
      </c>
      <c r="ED28">
        <v>0</v>
      </c>
      <c r="EE28">
        <v>10007.16666666667</v>
      </c>
      <c r="EF28">
        <v>0</v>
      </c>
      <c r="EG28">
        <v>91.329310000000021</v>
      </c>
      <c r="EH28">
        <v>-1.0308021999999999</v>
      </c>
      <c r="EI28">
        <v>430.12163333333342</v>
      </c>
      <c r="EJ28">
        <v>430.94883333333331</v>
      </c>
      <c r="EK28">
        <v>0.51752976666666661</v>
      </c>
      <c r="EL28">
        <v>421.02076666666659</v>
      </c>
      <c r="EM28">
        <v>23.037903333333329</v>
      </c>
      <c r="EN28">
        <v>2.2957533333333329</v>
      </c>
      <c r="EO28">
        <v>2.2453133333333342</v>
      </c>
      <c r="EP28">
        <v>19.646629999999998</v>
      </c>
      <c r="EQ28">
        <v>19.289353333333342</v>
      </c>
      <c r="ER28">
        <v>50.01465666666666</v>
      </c>
      <c r="ES28">
        <v>0.89996076666666691</v>
      </c>
      <c r="ET28">
        <v>0.10003940666666659</v>
      </c>
      <c r="EU28">
        <v>0</v>
      </c>
      <c r="EV28">
        <v>771.97606666666638</v>
      </c>
      <c r="EW28">
        <v>5.0010700000000003</v>
      </c>
      <c r="EX28">
        <v>3921.0970000000002</v>
      </c>
      <c r="EY28">
        <v>396.38833333333332</v>
      </c>
      <c r="EZ28">
        <v>43.686999999999983</v>
      </c>
      <c r="FA28">
        <v>47.686999999999983</v>
      </c>
      <c r="FB28">
        <v>46</v>
      </c>
      <c r="FC28">
        <v>47.428733333333312</v>
      </c>
      <c r="FD28">
        <v>45.557866666666648</v>
      </c>
      <c r="FE28">
        <v>40.510333333333321</v>
      </c>
      <c r="FF28">
        <v>4.5</v>
      </c>
      <c r="FG28">
        <v>0</v>
      </c>
      <c r="FH28">
        <v>182.20000004768369</v>
      </c>
      <c r="FI28">
        <v>0</v>
      </c>
      <c r="FJ28">
        <v>771.97799999999995</v>
      </c>
      <c r="FK28">
        <v>-0.86421571363161065</v>
      </c>
      <c r="FL28">
        <v>-19.735294271028511</v>
      </c>
      <c r="FM28">
        <v>3922.395882352941</v>
      </c>
      <c r="FN28">
        <v>10</v>
      </c>
      <c r="FO28">
        <v>1784565924.5999999</v>
      </c>
      <c r="FP28" t="s">
        <v>513</v>
      </c>
      <c r="FQ28">
        <v>1784565923.5999999</v>
      </c>
      <c r="FR28">
        <v>1784565924.5999999</v>
      </c>
      <c r="FS28">
        <v>26</v>
      </c>
      <c r="FT28">
        <v>-8.3000000000000004E-2</v>
      </c>
      <c r="FU28">
        <v>-1.7000000000000001E-2</v>
      </c>
      <c r="FV28">
        <v>-7.3979999999999997</v>
      </c>
      <c r="FW28">
        <v>-0.88900000000000001</v>
      </c>
      <c r="FX28">
        <v>421</v>
      </c>
      <c r="FY28">
        <v>23</v>
      </c>
      <c r="FZ28">
        <v>1.27</v>
      </c>
      <c r="GA28">
        <v>0.49</v>
      </c>
      <c r="GB28">
        <v>419.98989999999998</v>
      </c>
      <c r="GC28">
        <v>-0.55328142380586975</v>
      </c>
      <c r="GD28">
        <v>6.1759398744914172E-2</v>
      </c>
      <c r="GE28">
        <v>-1</v>
      </c>
      <c r="GF28">
        <v>771.93461764705876</v>
      </c>
      <c r="GG28">
        <v>0.82397249606772838</v>
      </c>
      <c r="GH28">
        <v>0.20720833714572931</v>
      </c>
      <c r="GI28">
        <v>1</v>
      </c>
      <c r="GJ28">
        <v>0.52445215000000001</v>
      </c>
      <c r="GK28">
        <v>-0.15377871669793691</v>
      </c>
      <c r="GL28">
        <v>1.550587583232562E-2</v>
      </c>
      <c r="GM28">
        <v>1</v>
      </c>
      <c r="GN28">
        <v>2</v>
      </c>
      <c r="GO28">
        <v>2</v>
      </c>
      <c r="GP28" t="s">
        <v>424</v>
      </c>
      <c r="GQ28">
        <v>3.1317699999999999</v>
      </c>
      <c r="GR28">
        <v>2.7356600000000002</v>
      </c>
      <c r="GS28">
        <v>8.9692999999999995E-2</v>
      </c>
      <c r="GT28">
        <v>8.9326600000000006E-2</v>
      </c>
      <c r="GU28">
        <v>0.11097</v>
      </c>
      <c r="GV28">
        <v>0.10688599999999999</v>
      </c>
      <c r="GW28">
        <v>22525.4</v>
      </c>
      <c r="GX28">
        <v>30195.1</v>
      </c>
      <c r="GY28">
        <v>26877.9</v>
      </c>
      <c r="GZ28">
        <v>34148.400000000001</v>
      </c>
      <c r="HA28">
        <v>35050.9</v>
      </c>
      <c r="HB28">
        <v>38630.300000000003</v>
      </c>
      <c r="HC28">
        <v>39714.9</v>
      </c>
      <c r="HD28">
        <v>43317.8</v>
      </c>
      <c r="HE28">
        <v>1.8946000000000001</v>
      </c>
      <c r="HF28">
        <v>1.5608</v>
      </c>
      <c r="HG28">
        <v>-0.15512100000000001</v>
      </c>
      <c r="HH28">
        <v>0</v>
      </c>
      <c r="HI28">
        <v>31.446400000000001</v>
      </c>
      <c r="HJ28">
        <v>999.9</v>
      </c>
      <c r="HK28">
        <v>44.7</v>
      </c>
      <c r="HL28">
        <v>44.9</v>
      </c>
      <c r="HM28">
        <v>43.976900000000001</v>
      </c>
      <c r="HN28">
        <v>61.110500000000002</v>
      </c>
      <c r="HO28">
        <v>5.1522399999999999</v>
      </c>
      <c r="HP28">
        <v>1</v>
      </c>
      <c r="HQ28">
        <v>1.2581500000000001</v>
      </c>
      <c r="HR28">
        <v>9.2810500000000005</v>
      </c>
      <c r="HS28">
        <v>20.0045</v>
      </c>
      <c r="HT28">
        <v>5.2100999999999997</v>
      </c>
      <c r="HU28">
        <v>11.9201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1.86768</v>
      </c>
      <c r="IC28">
        <v>1.8633999999999999</v>
      </c>
      <c r="ID28">
        <v>1.8628899999999999</v>
      </c>
      <c r="IE28">
        <v>1.86249</v>
      </c>
      <c r="IF28">
        <v>1.86243</v>
      </c>
      <c r="IG28">
        <v>1.8629500000000001</v>
      </c>
      <c r="IH28">
        <v>1.8638600000000001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-7.3940000000000001</v>
      </c>
      <c r="IX28">
        <v>-0.87749999999999995</v>
      </c>
      <c r="IY28">
        <v>-5.4011184905231504</v>
      </c>
      <c r="IZ28">
        <v>-5.6215304933332991E-3</v>
      </c>
      <c r="JA28">
        <v>2.3979931213773931E-6</v>
      </c>
      <c r="JB28">
        <v>-3.6297174575716598E-10</v>
      </c>
      <c r="JC28">
        <v>-1.281460037416305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0.9</v>
      </c>
      <c r="JL28">
        <v>0.9</v>
      </c>
      <c r="JM28">
        <v>1.0790999999999999</v>
      </c>
      <c r="JN28">
        <v>2.5695800000000002</v>
      </c>
      <c r="JO28">
        <v>1.50024</v>
      </c>
      <c r="JP28">
        <v>2.2692899999999998</v>
      </c>
      <c r="JQ28">
        <v>1.4477500000000001</v>
      </c>
      <c r="JR28">
        <v>2.47681</v>
      </c>
      <c r="JS28">
        <v>50.347900000000003</v>
      </c>
      <c r="JT28">
        <v>23.842300000000002</v>
      </c>
      <c r="JU28">
        <v>18</v>
      </c>
      <c r="JV28">
        <v>552.76900000000001</v>
      </c>
      <c r="JW28">
        <v>348.92500000000001</v>
      </c>
      <c r="JX28">
        <v>23.175999999999998</v>
      </c>
      <c r="JY28">
        <v>41.7592</v>
      </c>
      <c r="JZ28">
        <v>30.000599999999999</v>
      </c>
      <c r="KA28">
        <v>41.763399999999997</v>
      </c>
      <c r="KB28">
        <v>41.7697</v>
      </c>
      <c r="KC28">
        <v>21.593499999999999</v>
      </c>
      <c r="KD28">
        <v>48.659700000000001</v>
      </c>
      <c r="KE28">
        <v>0</v>
      </c>
      <c r="KF28">
        <v>20.156300000000002</v>
      </c>
      <c r="KG28">
        <v>421.029</v>
      </c>
      <c r="KH28">
        <v>23.0898</v>
      </c>
      <c r="KI28">
        <v>99.233599999999996</v>
      </c>
      <c r="KJ28">
        <v>97.468900000000005</v>
      </c>
    </row>
    <row r="29" spans="1:296" x14ac:dyDescent="0.3">
      <c r="A29">
        <v>13</v>
      </c>
      <c r="B29">
        <v>1784566162.0999999</v>
      </c>
      <c r="C29">
        <v>2302.099999904633</v>
      </c>
      <c r="D29" t="s">
        <v>514</v>
      </c>
      <c r="E29" t="s">
        <v>515</v>
      </c>
      <c r="F29">
        <v>15</v>
      </c>
      <c r="H29">
        <v>1784566154.349999</v>
      </c>
      <c r="I29">
        <f t="shared" si="0"/>
        <v>2.9975945671756852E-4</v>
      </c>
      <c r="J29">
        <f t="shared" si="1"/>
        <v>0.29975945671756854</v>
      </c>
      <c r="K29">
        <f t="shared" si="2"/>
        <v>-3.1371646480539193</v>
      </c>
      <c r="L29">
        <f t="shared" si="3"/>
        <v>420.09303333333332</v>
      </c>
      <c r="M29">
        <f t="shared" si="4"/>
        <v>702.85384364846084</v>
      </c>
      <c r="N29">
        <f t="shared" si="5"/>
        <v>68.542359595835947</v>
      </c>
      <c r="O29">
        <f t="shared" si="6"/>
        <v>40.967504147050676</v>
      </c>
      <c r="P29">
        <f t="shared" si="7"/>
        <v>1.6845897817549929E-2</v>
      </c>
      <c r="Q29">
        <f t="shared" si="8"/>
        <v>2.8858578018470347</v>
      </c>
      <c r="R29">
        <f t="shared" si="9"/>
        <v>1.6791457240397989E-2</v>
      </c>
      <c r="S29">
        <f t="shared" si="10"/>
        <v>1.0499537301020778E-2</v>
      </c>
      <c r="T29">
        <f t="shared" si="11"/>
        <v>1.5966703903835998E-4</v>
      </c>
      <c r="U29">
        <f t="shared" si="12"/>
        <v>28.158694041722629</v>
      </c>
      <c r="V29">
        <f t="shared" si="13"/>
        <v>28.906333333333329</v>
      </c>
      <c r="W29">
        <f t="shared" si="14"/>
        <v>4.0000259335579198</v>
      </c>
      <c r="X29">
        <f t="shared" si="15"/>
        <v>60.177641802935597</v>
      </c>
      <c r="Y29">
        <f t="shared" si="16"/>
        <v>2.3154789546997194</v>
      </c>
      <c r="Z29">
        <f t="shared" si="17"/>
        <v>3.847739601166567</v>
      </c>
      <c r="AA29">
        <f t="shared" si="18"/>
        <v>1.6845469788582004</v>
      </c>
      <c r="AB29">
        <f t="shared" si="19"/>
        <v>-13.219392041244772</v>
      </c>
      <c r="AC29">
        <f t="shared" si="20"/>
        <v>-104.03066750886624</v>
      </c>
      <c r="AD29">
        <f t="shared" si="21"/>
        <v>-7.9026232221931592</v>
      </c>
      <c r="AE29">
        <f t="shared" si="22"/>
        <v>-125.15252310526515</v>
      </c>
      <c r="AF29">
        <f t="shared" si="23"/>
        <v>-3.1371646480539193</v>
      </c>
      <c r="AG29">
        <f t="shared" si="24"/>
        <v>0.29975945671756854</v>
      </c>
      <c r="AH29">
        <f t="shared" si="25"/>
        <v>-3.1280452640036982</v>
      </c>
      <c r="AI29">
        <v>426.40131228850441</v>
      </c>
      <c r="AJ29">
        <v>430.26406060606058</v>
      </c>
      <c r="AK29">
        <v>-3.7784856105178089E-3</v>
      </c>
      <c r="AL29">
        <v>67.031362298909542</v>
      </c>
      <c r="AM29">
        <f t="shared" si="26"/>
        <v>0.30437878214868608</v>
      </c>
      <c r="AN29">
        <v>23.410505979653689</v>
      </c>
      <c r="AO29">
        <v>23.766856363636361</v>
      </c>
      <c r="AP29">
        <v>2.8694236366443911E-5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51357.77025653961</v>
      </c>
      <c r="AW29" t="s">
        <v>406</v>
      </c>
      <c r="AX29">
        <v>5079.1099999999997</v>
      </c>
      <c r="AY29">
        <v>610.81764705882347</v>
      </c>
      <c r="AZ29">
        <v>2513.0700000000002</v>
      </c>
      <c r="BA29">
        <f t="shared" si="30"/>
        <v>0.75694363982745272</v>
      </c>
      <c r="BB29">
        <v>-3.1371646480539188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-3.1371646480539193</v>
      </c>
      <c r="BK29" t="e">
        <f t="shared" si="34"/>
        <v>#DIV/0!</v>
      </c>
      <c r="BL29">
        <f t="shared" si="35"/>
        <v>-5.2845565609343049E-13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1.3211023217368636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1784566154.349999</v>
      </c>
      <c r="DQ29">
        <v>420.09303333333332</v>
      </c>
      <c r="DR29">
        <v>416.48003333333338</v>
      </c>
      <c r="DS29">
        <v>23.743613333333329</v>
      </c>
      <c r="DT29">
        <v>23.392489999999999</v>
      </c>
      <c r="DU29">
        <v>427.4520333333333</v>
      </c>
      <c r="DV29">
        <v>24.635613333333328</v>
      </c>
      <c r="DW29">
        <v>500.06716666666659</v>
      </c>
      <c r="DX29">
        <v>97.460266666666669</v>
      </c>
      <c r="DY29">
        <v>5.9808403333333329E-2</v>
      </c>
      <c r="DZ29">
        <v>28.237680000000001</v>
      </c>
      <c r="EA29">
        <v>28.906333333333329</v>
      </c>
      <c r="EB29">
        <v>999.9000000000002</v>
      </c>
      <c r="EC29">
        <v>0</v>
      </c>
      <c r="ED29">
        <v>0</v>
      </c>
      <c r="EE29">
        <v>10007.16666666667</v>
      </c>
      <c r="EF29">
        <v>0</v>
      </c>
      <c r="EG29">
        <v>87.829233333333335</v>
      </c>
      <c r="EH29">
        <v>3.5777183333333342</v>
      </c>
      <c r="EI29">
        <v>430.28296666666671</v>
      </c>
      <c r="EJ29">
        <v>426.45593333333329</v>
      </c>
      <c r="EK29">
        <v>0.37150836666666659</v>
      </c>
      <c r="EL29">
        <v>416.48003333333338</v>
      </c>
      <c r="EM29">
        <v>23.392489999999999</v>
      </c>
      <c r="EN29">
        <v>2.3160449999999999</v>
      </c>
      <c r="EO29">
        <v>2.279837666666666</v>
      </c>
      <c r="EP29">
        <v>19.788440000000001</v>
      </c>
      <c r="EQ29">
        <v>19.534626666666671</v>
      </c>
      <c r="ER29">
        <v>1.00021E-2</v>
      </c>
      <c r="ES29">
        <v>0</v>
      </c>
      <c r="ET29">
        <v>0</v>
      </c>
      <c r="EU29">
        <v>0</v>
      </c>
      <c r="EV29">
        <v>610.58333333333326</v>
      </c>
      <c r="EW29">
        <v>1.00021E-2</v>
      </c>
      <c r="EX29">
        <v>3513.268333333333</v>
      </c>
      <c r="EY29">
        <v>2.5716666666666659</v>
      </c>
      <c r="EZ29">
        <v>43.375</v>
      </c>
      <c r="FA29">
        <v>47.487399999999987</v>
      </c>
      <c r="FB29">
        <v>45.75</v>
      </c>
      <c r="FC29">
        <v>47.061999999999983</v>
      </c>
      <c r="FD29">
        <v>45.074599999999982</v>
      </c>
      <c r="FE29">
        <v>0</v>
      </c>
      <c r="FF29">
        <v>0</v>
      </c>
      <c r="FG29">
        <v>0</v>
      </c>
      <c r="FH29">
        <v>181.9000000953674</v>
      </c>
      <c r="FI29">
        <v>0</v>
      </c>
      <c r="FJ29">
        <v>610.81764705882347</v>
      </c>
      <c r="FK29">
        <v>-25.686274580882529</v>
      </c>
      <c r="FL29">
        <v>71.605392771289473</v>
      </c>
      <c r="FM29">
        <v>3513.8441176470592</v>
      </c>
      <c r="FN29">
        <v>10</v>
      </c>
      <c r="FO29">
        <v>1784566180.5999999</v>
      </c>
      <c r="FP29" t="s">
        <v>516</v>
      </c>
      <c r="FQ29">
        <v>1784566176.0999999</v>
      </c>
      <c r="FR29">
        <v>1784566180.5999999</v>
      </c>
      <c r="FS29">
        <v>27</v>
      </c>
      <c r="FT29">
        <v>2.1000000000000001E-2</v>
      </c>
      <c r="FU29">
        <v>-5.0000000000000001E-3</v>
      </c>
      <c r="FV29">
        <v>-7.359</v>
      </c>
      <c r="FW29">
        <v>-0.89200000000000002</v>
      </c>
      <c r="FX29">
        <v>417</v>
      </c>
      <c r="FY29">
        <v>23</v>
      </c>
      <c r="FZ29">
        <v>2.08</v>
      </c>
      <c r="GA29">
        <v>0.69</v>
      </c>
      <c r="GB29">
        <v>420.05919999999992</v>
      </c>
      <c r="GC29">
        <v>-8.0088987871044658E-4</v>
      </c>
      <c r="GD29">
        <v>6.7603451588407734E-2</v>
      </c>
      <c r="GE29">
        <v>-1</v>
      </c>
      <c r="GF29">
        <v>612.08529411764698</v>
      </c>
      <c r="GG29">
        <v>-6.7868602534601052</v>
      </c>
      <c r="GH29">
        <v>5.2648463668407253</v>
      </c>
      <c r="GI29">
        <v>1</v>
      </c>
      <c r="GJ29">
        <v>0.36415847499999998</v>
      </c>
      <c r="GK29">
        <v>7.4868371482176468E-2</v>
      </c>
      <c r="GL29">
        <v>2.2659926327095039E-2</v>
      </c>
      <c r="GM29">
        <v>1</v>
      </c>
      <c r="GN29">
        <v>2</v>
      </c>
      <c r="GO29">
        <v>2</v>
      </c>
      <c r="GP29" t="s">
        <v>424</v>
      </c>
      <c r="GQ29">
        <v>3.1307700000000001</v>
      </c>
      <c r="GR29">
        <v>2.7359200000000001</v>
      </c>
      <c r="GS29">
        <v>8.9675900000000003E-2</v>
      </c>
      <c r="GT29">
        <v>8.8604299999999997E-2</v>
      </c>
      <c r="GU29">
        <v>0.11160200000000001</v>
      </c>
      <c r="GV29">
        <v>0.10738200000000001</v>
      </c>
      <c r="GW29">
        <v>22522.6</v>
      </c>
      <c r="GX29">
        <v>30213.5</v>
      </c>
      <c r="GY29">
        <v>26874.6</v>
      </c>
      <c r="GZ29">
        <v>34142.800000000003</v>
      </c>
      <c r="HA29">
        <v>35023.1</v>
      </c>
      <c r="HB29">
        <v>38603.4</v>
      </c>
      <c r="HC29">
        <v>39710.699999999997</v>
      </c>
      <c r="HD29">
        <v>43311.3</v>
      </c>
      <c r="HE29">
        <v>1.8926000000000001</v>
      </c>
      <c r="HF29">
        <v>1.5589999999999999</v>
      </c>
      <c r="HG29">
        <v>-0.15476300000000001</v>
      </c>
      <c r="HH29">
        <v>0</v>
      </c>
      <c r="HI29">
        <v>31.435300000000002</v>
      </c>
      <c r="HJ29">
        <v>999.9</v>
      </c>
      <c r="HK29">
        <v>44.5</v>
      </c>
      <c r="HL29">
        <v>45.1</v>
      </c>
      <c r="HM29">
        <v>44.234900000000003</v>
      </c>
      <c r="HN29">
        <v>61.290599999999998</v>
      </c>
      <c r="HO29">
        <v>5.2484000000000002</v>
      </c>
      <c r="HP29">
        <v>1</v>
      </c>
      <c r="HQ29">
        <v>1.2665</v>
      </c>
      <c r="HR29">
        <v>9.2810500000000005</v>
      </c>
      <c r="HS29">
        <v>20.004999999999999</v>
      </c>
      <c r="HT29">
        <v>5.2077099999999996</v>
      </c>
      <c r="HU29">
        <v>11.9201</v>
      </c>
      <c r="HV29">
        <v>4.9812000000000003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1.8629500000000001</v>
      </c>
      <c r="IE29">
        <v>1.86249</v>
      </c>
      <c r="IF29">
        <v>1.86249</v>
      </c>
      <c r="IG29">
        <v>1.8629500000000001</v>
      </c>
      <c r="IH29">
        <v>1.8638600000000001</v>
      </c>
      <c r="II29">
        <v>1.86182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-7.359</v>
      </c>
      <c r="IX29">
        <v>-0.89200000000000002</v>
      </c>
      <c r="IY29">
        <v>-5.4011184905231504</v>
      </c>
      <c r="IZ29">
        <v>-5.6215304933332991E-3</v>
      </c>
      <c r="JA29">
        <v>2.3979931213773931E-6</v>
      </c>
      <c r="JB29">
        <v>-3.6297174575716598E-10</v>
      </c>
      <c r="JC29">
        <v>-1.281460037416305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</v>
      </c>
      <c r="JL29">
        <v>4</v>
      </c>
      <c r="JM29">
        <v>1.06934</v>
      </c>
      <c r="JN29">
        <v>2.5671400000000002</v>
      </c>
      <c r="JO29">
        <v>1.50024</v>
      </c>
      <c r="JP29">
        <v>2.2692899999999998</v>
      </c>
      <c r="JQ29">
        <v>1.4477500000000001</v>
      </c>
      <c r="JR29">
        <v>2.4426299999999999</v>
      </c>
      <c r="JS29">
        <v>50.542499999999997</v>
      </c>
      <c r="JT29">
        <v>23.842300000000002</v>
      </c>
      <c r="JU29">
        <v>18</v>
      </c>
      <c r="JV29">
        <v>552.255</v>
      </c>
      <c r="JW29">
        <v>348.488</v>
      </c>
      <c r="JX29">
        <v>23.148</v>
      </c>
      <c r="JY29">
        <v>41.865499999999997</v>
      </c>
      <c r="JZ29">
        <v>30.000699999999998</v>
      </c>
      <c r="KA29">
        <v>41.883600000000001</v>
      </c>
      <c r="KB29">
        <v>41.889000000000003</v>
      </c>
      <c r="KC29">
        <v>21.405799999999999</v>
      </c>
      <c r="KD29">
        <v>48.658999999999999</v>
      </c>
      <c r="KE29">
        <v>0</v>
      </c>
      <c r="KF29">
        <v>20.290400000000002</v>
      </c>
      <c r="KG29">
        <v>416.48899999999998</v>
      </c>
      <c r="KH29">
        <v>23.276499999999999</v>
      </c>
      <c r="KI29">
        <v>99.222399999999993</v>
      </c>
      <c r="KJ29">
        <v>97.453699999999998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6CF3-EC62-4B69-9FC4-B16DBABD7360}">
  <dimension ref="A2:KJ29"/>
  <sheetViews>
    <sheetView workbookViewId="0">
      <selection activeCell="L28" sqref="L28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1784559643.5999999</v>
      </c>
      <c r="C17">
        <v>0</v>
      </c>
      <c r="D17" t="s">
        <v>517</v>
      </c>
      <c r="E17" t="s">
        <v>518</v>
      </c>
      <c r="F17">
        <v>15</v>
      </c>
      <c r="H17">
        <v>1784559635.849999</v>
      </c>
      <c r="I17">
        <f t="shared" ref="I17:I29" si="0">(J17)/1000</f>
        <v>4.1353867434471116E-3</v>
      </c>
      <c r="J17">
        <f t="shared" ref="J17:J29" si="1">IF(DO17, AM17, AG17)</f>
        <v>4.1353867434471114</v>
      </c>
      <c r="K17">
        <f t="shared" ref="K17:K29" si="2">IF(DO17, AH17, AF17)</f>
        <v>44.121549458858183</v>
      </c>
      <c r="L17">
        <f t="shared" ref="L17:L29" si="3">DQ17 - IF(AT17&gt;1, K17*DK17*100/(AV17), 0)</f>
        <v>419.31226666666669</v>
      </c>
      <c r="M17">
        <f t="shared" ref="M17:M29" si="4">((S17-I17/2)*L17-K17)/(S17+I17/2)</f>
        <v>109.69598757185565</v>
      </c>
      <c r="N17">
        <f t="shared" ref="N17:N29" si="5">M17*(DX17+DY17)/1000</f>
        <v>10.700795645368807</v>
      </c>
      <c r="O17">
        <f t="shared" ref="O17:O29" si="6">(DQ17 - IF(AT17&gt;1, K17*DK17*100/(AV17), 0))*(DX17+DY17)/1000</f>
        <v>40.90372835430491</v>
      </c>
      <c r="P17">
        <f t="shared" ref="P17:P29" si="7">2/((1/R17-1/Q17)+SIGN(R17)*SQRT((1/R17-1/Q17)*(1/R17-1/Q17) + 4*DL17/((DL17+1)*(DL17+1))*(2*1/R17*1/Q17-1/Q17*1/Q17)))</f>
        <v>0.24299170418339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2.8849563183620575</v>
      </c>
      <c r="R17">
        <f t="shared" ref="R17:R29" si="9">I17*(1000-(1000*0.61365*EXP(17.502*V17/(240.97+V17))/(DX17+DY17)+DS17)/2)/(1000*0.61365*EXP(17.502*V17/(240.97+V17))/(DX17+DY17)-DS17)</f>
        <v>0.23216713739506728</v>
      </c>
      <c r="S17">
        <f t="shared" ref="S17:S29" si="10">1/((DL17+1)/(P17/1.6)+1/(Q17/1.37)) + DL17/((DL17+1)/(P17/1.6) + DL17/(Q17/1.37))</f>
        <v>0.14603681838669832</v>
      </c>
      <c r="T17">
        <f t="shared" ref="T17:T29" si="11">(DG17*DJ17)</f>
        <v>319.78039529085714</v>
      </c>
      <c r="U17">
        <f t="shared" ref="U17:U29" si="12">(DZ17+(T17+2*0.95*0.0000000567*(((DZ17+$B$7)+273)^4-(DZ17+273)^4)-44100*I17)/(1.84*29.3*Q17+8*0.95*0.0000000567*(DZ17+273)^3))</f>
        <v>28.842857581968598</v>
      </c>
      <c r="V17">
        <f t="shared" ref="V17:V29" si="13">($C$7*EA17+$D$7*EB17+$E$7*U17)</f>
        <v>28.74213</v>
      </c>
      <c r="W17">
        <f t="shared" ref="W17:W29" si="14">0.61365*EXP(17.502*V17/(240.97+V17))</f>
        <v>3.9621497831399117</v>
      </c>
      <c r="X17">
        <f t="shared" ref="X17:X29" si="15">(Y17/Z17*100)</f>
        <v>60.011233930763964</v>
      </c>
      <c r="Y17">
        <f t="shared" ref="Y17:Y29" si="16">DS17*(DX17+DY17)/1000</f>
        <v>2.2801807135481469</v>
      </c>
      <c r="Z17">
        <f t="shared" ref="Z17:Z29" si="17">0.61365*EXP(17.502*DZ17/(240.97+DZ17))</f>
        <v>3.7995897837708728</v>
      </c>
      <c r="AA17">
        <f t="shared" ref="AA17:AA29" si="18">(W17-DS17*(DX17+DY17)/1000)</f>
        <v>1.6819690695917648</v>
      </c>
      <c r="AB17">
        <f t="shared" ref="AB17:AB29" si="19">(-I17*44100)</f>
        <v>-182.37055538601763</v>
      </c>
      <c r="AC17">
        <f t="shared" ref="AC17:AC29" si="20">2*29.3*Q17*0.92*(DZ17-V17)</f>
        <v>-112.08851844815894</v>
      </c>
      <c r="AD17">
        <f t="shared" ref="AD17:AD29" si="21">2*0.95*0.0000000567*(((DZ17+$B$7)+273)^4-(V17+273)^4)</f>
        <v>-8.5012886269063426</v>
      </c>
      <c r="AE17">
        <f t="shared" ref="AE17:AE29" si="22">T17+AD17+AB17+AC17</f>
        <v>16.820032829774249</v>
      </c>
      <c r="AF17">
        <f t="shared" ref="AF17:AF29" si="23">DW17*AT17*(DR17-DQ17*(1000-AT17*DT17)/(1000-AT17*DS17))/(100*DK17)</f>
        <v>44.121549458858183</v>
      </c>
      <c r="AG17">
        <f t="shared" ref="AG17:AG29" si="24">1000*DW17*AT17*(DS17-DT17)/(100*DK17*(1000-AT17*DS17))</f>
        <v>4.1353867434471114</v>
      </c>
      <c r="AH17">
        <f t="shared" ref="AH17:AH29" si="25">(AI17 - AJ17 - DX17*1000/(8.314*(DZ17+273.15)) * AL17/DW17 * AK17) * DW17/(100*DK17) * (1000 - DT17)/1000</f>
        <v>43.82595501119183</v>
      </c>
      <c r="AI17">
        <v>483.32619129985358</v>
      </c>
      <c r="AJ17">
        <v>429.52399393939362</v>
      </c>
      <c r="AK17">
        <v>4.1597204058453741E-2</v>
      </c>
      <c r="AL17">
        <v>67.029614562263077</v>
      </c>
      <c r="AM17">
        <f t="shared" ref="AM17:AM29" si="26">(AO17 - AN17 + DX17*1000/(8.314*(DZ17+273.15)) * AQ17/DW17 * AP17) * DW17/(100*DK17) * 1000/(1000 - AO17)</f>
        <v>4.1749185662721979</v>
      </c>
      <c r="AN17">
        <v>18.491115433030139</v>
      </c>
      <c r="AO17">
        <v>23.381643636363631</v>
      </c>
      <c r="AP17">
        <v>3.8446088013490191E-4</v>
      </c>
      <c r="AQ17">
        <v>78.05138029814313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51369.784494623105</v>
      </c>
      <c r="AW17" t="s">
        <v>519</v>
      </c>
      <c r="AX17">
        <v>5084.9399999999996</v>
      </c>
      <c r="AY17">
        <v>617.86176470588248</v>
      </c>
      <c r="AZ17">
        <v>2384.65</v>
      </c>
      <c r="BA17">
        <f t="shared" ref="BA17:BA29" si="30">1-AY17/AZ17</f>
        <v>0.74090044043952674</v>
      </c>
      <c r="BB17">
        <v>-3.3473499592976261</v>
      </c>
      <c r="BC17" t="s">
        <v>520</v>
      </c>
      <c r="BD17">
        <v>5059.97</v>
      </c>
      <c r="BE17">
        <v>888.5774705882352</v>
      </c>
      <c r="BF17">
        <v>1025.17</v>
      </c>
      <c r="BG17">
        <f t="shared" ref="BG17:BG29" si="31">1-BE17/BF17</f>
        <v>0.13323890614411737</v>
      </c>
      <c r="BH17">
        <v>0.5</v>
      </c>
      <c r="BI17">
        <f t="shared" ref="BI17:BI29" si="32">DH17</f>
        <v>1680.3128398398223</v>
      </c>
      <c r="BJ17">
        <f t="shared" ref="BJ17:BJ29" si="33">K17</f>
        <v>44.121549458858183</v>
      </c>
      <c r="BK17">
        <f t="shared" ref="BK17:BK29" si="34">BG17*BH17*BI17</f>
        <v>111.94152238008671</v>
      </c>
      <c r="BL17">
        <f t="shared" ref="BL17:BL29" si="35">(BJ17-BB17)/BI17</f>
        <v>2.8250036714996971E-2</v>
      </c>
      <c r="BM17">
        <f t="shared" ref="BM17:BM29" si="36">(AZ17-BF17)/BF17</f>
        <v>1.3261020123491714</v>
      </c>
      <c r="BN17">
        <f t="shared" ref="BN17:BN29" si="37">AY17/(BA17+AY17/BF17)</f>
        <v>459.85802162911608</v>
      </c>
      <c r="BO17" t="s">
        <v>408</v>
      </c>
      <c r="BP17">
        <v>0</v>
      </c>
      <c r="BQ17">
        <f t="shared" ref="BQ17:BQ29" si="38">IF(BP17&lt;&gt;0, BP17, BN17)</f>
        <v>459.85802162911608</v>
      </c>
      <c r="BR17">
        <f t="shared" ref="BR17:BR29" si="39">1-BQ17/BF17</f>
        <v>0.55143242425244976</v>
      </c>
      <c r="BS17">
        <f t="shared" ref="BS17:BS29" si="40">(BF17-BE17)/(BF17-BQ17)</f>
        <v>0.24162327111022347</v>
      </c>
      <c r="BT17">
        <f t="shared" ref="BT17:BT29" si="41">(AZ17-BF17)/(AZ17-BQ17)</f>
        <v>0.70629970161796096</v>
      </c>
      <c r="BU17">
        <f t="shared" ref="BU17:BU29" si="42">(BF17-BE17)/(BF17-AY17)</f>
        <v>0.33535420493801532</v>
      </c>
      <c r="BV17">
        <f t="shared" ref="BV17:BV29" si="43">(AZ17-BF17)/(AZ17-AY17)</f>
        <v>0.76946403244171879</v>
      </c>
      <c r="BW17">
        <f t="shared" ref="BW17:BW29" si="44">(BS17*BQ17/BE17)</f>
        <v>0.12504525841595657</v>
      </c>
      <c r="BX17">
        <f t="shared" ref="BX17:BX29" si="45">(1-BW17)</f>
        <v>0.87495474158404341</v>
      </c>
      <c r="DG17">
        <f t="shared" ref="DG17:DG29" si="46">$B$11*EF17+$C$11*EG17+$F$11*ER17*(1-EU17)</f>
        <v>2000.0160000000001</v>
      </c>
      <c r="DH17">
        <f t="shared" ref="DH17:DH29" si="47">DG17*DI17</f>
        <v>1680.3128398398223</v>
      </c>
      <c r="DI17">
        <f t="shared" ref="DI17:DI29" si="48">($B$11*$D$9+$C$11*$D$9+$F$11*((FE17+EW17)/MAX(FE17+EW17+FF17, 0.1)*$I$9+FF17/MAX(FE17+EW17+FF17, 0.1)*$J$9))/($B$11+$C$11+$F$11)</f>
        <v>0.84014969872232137</v>
      </c>
      <c r="DJ17">
        <f t="shared" ref="DJ17:DJ29" si="49">($B$11*$K$9+$C$11*$K$9+$F$11*((FE17+EW17)/MAX(FE17+EW17+FF17, 0.1)*$P$9+FF17/MAX(FE17+EW17+FF17, 0.1)*$Q$9))/($B$11+$C$11+$F$11)</f>
        <v>0.1598889185340803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1784559635.849999</v>
      </c>
      <c r="DQ17">
        <v>419.31226666666669</v>
      </c>
      <c r="DR17">
        <v>474.34010000000001</v>
      </c>
      <c r="DS17">
        <v>23.374586666666669</v>
      </c>
      <c r="DT17">
        <v>18.528016666666669</v>
      </c>
      <c r="DU17">
        <v>426.14576666666659</v>
      </c>
      <c r="DV17">
        <v>24.04628000000001</v>
      </c>
      <c r="DW17">
        <v>499.98953333333338</v>
      </c>
      <c r="DX17">
        <v>97.49095666666669</v>
      </c>
      <c r="DY17">
        <v>5.8606286666666667E-2</v>
      </c>
      <c r="DZ17">
        <v>28.021460000000001</v>
      </c>
      <c r="EA17">
        <v>28.74213</v>
      </c>
      <c r="EB17">
        <v>999.9000000000002</v>
      </c>
      <c r="EC17">
        <v>0</v>
      </c>
      <c r="ED17">
        <v>0</v>
      </c>
      <c r="EE17">
        <v>9998.8333333333339</v>
      </c>
      <c r="EF17">
        <v>0</v>
      </c>
      <c r="EG17">
        <v>489.7960666666666</v>
      </c>
      <c r="EH17">
        <v>-55.027853333333333</v>
      </c>
      <c r="EI17">
        <v>429.34813333333341</v>
      </c>
      <c r="EJ17">
        <v>483.29456666666658</v>
      </c>
      <c r="EK17">
        <v>4.8465583333333333</v>
      </c>
      <c r="EL17">
        <v>474.34010000000001</v>
      </c>
      <c r="EM17">
        <v>18.528016666666669</v>
      </c>
      <c r="EN17">
        <v>2.2788110000000001</v>
      </c>
      <c r="EO17">
        <v>1.8063153333333331</v>
      </c>
      <c r="EP17">
        <v>19.527393333333329</v>
      </c>
      <c r="EQ17">
        <v>15.84151333333333</v>
      </c>
      <c r="ER17">
        <v>2000.0160000000001</v>
      </c>
      <c r="ES17">
        <v>0.99499916666666666</v>
      </c>
      <c r="ET17">
        <v>5.0006560000000018E-3</v>
      </c>
      <c r="EU17">
        <v>0</v>
      </c>
      <c r="EV17">
        <v>888.44296666666673</v>
      </c>
      <c r="EW17">
        <v>5.0010700000000003</v>
      </c>
      <c r="EX17">
        <v>24114.73</v>
      </c>
      <c r="EY17">
        <v>18241.78666666666</v>
      </c>
      <c r="EZ17">
        <v>44.095599999999997</v>
      </c>
      <c r="FA17">
        <v>45.625</v>
      </c>
      <c r="FB17">
        <v>44.75</v>
      </c>
      <c r="FC17">
        <v>45.375</v>
      </c>
      <c r="FD17">
        <v>45.129133333333328</v>
      </c>
      <c r="FE17">
        <v>1985.0360000000001</v>
      </c>
      <c r="FF17">
        <v>9.9800000000000022</v>
      </c>
      <c r="FG17">
        <v>0</v>
      </c>
      <c r="FH17">
        <v>1784559644.5999999</v>
      </c>
      <c r="FI17">
        <v>0</v>
      </c>
      <c r="FJ17">
        <v>888.5774705882352</v>
      </c>
      <c r="FK17">
        <v>4.1674020075414973</v>
      </c>
      <c r="FL17">
        <v>-76.740198184541242</v>
      </c>
      <c r="FM17">
        <v>24111.452941176471</v>
      </c>
      <c r="FN17">
        <v>10</v>
      </c>
      <c r="FO17">
        <v>1784559544.5999999</v>
      </c>
      <c r="FP17" t="s">
        <v>521</v>
      </c>
      <c r="FQ17">
        <v>1784559544.5999999</v>
      </c>
      <c r="FR17">
        <v>1784559544.5999999</v>
      </c>
      <c r="FS17">
        <v>2</v>
      </c>
      <c r="FT17">
        <v>-0.40799999999999997</v>
      </c>
      <c r="FU17">
        <v>-0.58099999999999996</v>
      </c>
      <c r="FV17">
        <v>-7.0110000000000001</v>
      </c>
      <c r="FW17">
        <v>-0.77500000000000002</v>
      </c>
      <c r="FX17">
        <v>467</v>
      </c>
      <c r="FY17">
        <v>19</v>
      </c>
      <c r="FZ17">
        <v>0.17</v>
      </c>
      <c r="GA17">
        <v>0.06</v>
      </c>
      <c r="GB17">
        <v>419.31226666666669</v>
      </c>
      <c r="GC17">
        <v>1.1092324805336951</v>
      </c>
      <c r="GD17">
        <v>0.1013334210525965</v>
      </c>
      <c r="GE17">
        <v>-1</v>
      </c>
      <c r="GF17">
        <v>888.34885294117646</v>
      </c>
      <c r="GG17">
        <v>2.7379526391133959</v>
      </c>
      <c r="GH17">
        <v>0.38546481737317079</v>
      </c>
      <c r="GI17">
        <v>1</v>
      </c>
      <c r="GJ17">
        <v>4.8273337500000002</v>
      </c>
      <c r="GK17">
        <v>0.51922390243901484</v>
      </c>
      <c r="GL17">
        <v>5.2621785777731862E-2</v>
      </c>
      <c r="GM17">
        <v>0</v>
      </c>
      <c r="GN17">
        <v>1</v>
      </c>
      <c r="GO17">
        <v>2</v>
      </c>
      <c r="GP17" t="s">
        <v>411</v>
      </c>
      <c r="GQ17">
        <v>3.1305900000000002</v>
      </c>
      <c r="GR17">
        <v>2.73529</v>
      </c>
      <c r="GS17">
        <v>9.0355699999999997E-2</v>
      </c>
      <c r="GT17">
        <v>9.8622899999999999E-2</v>
      </c>
      <c r="GU17">
        <v>0.11074000000000001</v>
      </c>
      <c r="GV17">
        <v>9.2052999999999996E-2</v>
      </c>
      <c r="GW17">
        <v>22670.6</v>
      </c>
      <c r="GX17">
        <v>30097.599999999999</v>
      </c>
      <c r="GY17">
        <v>27052.7</v>
      </c>
      <c r="GZ17">
        <v>34362.9</v>
      </c>
      <c r="HA17">
        <v>35252.5</v>
      </c>
      <c r="HB17">
        <v>39464.5</v>
      </c>
      <c r="HC17">
        <v>39951.4</v>
      </c>
      <c r="HD17">
        <v>43539.8</v>
      </c>
      <c r="HE17">
        <v>1.9338</v>
      </c>
      <c r="HF17">
        <v>1.6876</v>
      </c>
      <c r="HG17">
        <v>-0.101537</v>
      </c>
      <c r="HH17">
        <v>0</v>
      </c>
      <c r="HI17">
        <v>30.3748</v>
      </c>
      <c r="HJ17">
        <v>999.9</v>
      </c>
      <c r="HK17">
        <v>64.2</v>
      </c>
      <c r="HL17">
        <v>33.4</v>
      </c>
      <c r="HM17">
        <v>34.026299999999999</v>
      </c>
      <c r="HN17">
        <v>62.063200000000002</v>
      </c>
      <c r="HO17">
        <v>4.9679500000000001</v>
      </c>
      <c r="HP17">
        <v>1</v>
      </c>
      <c r="HQ17">
        <v>0.89262200000000003</v>
      </c>
      <c r="HR17">
        <v>8.1715499999999999</v>
      </c>
      <c r="HS17">
        <v>20.078800000000001</v>
      </c>
      <c r="HT17">
        <v>5.2112999999999996</v>
      </c>
      <c r="HU17">
        <v>11.914099999999999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1.8627899999999999</v>
      </c>
      <c r="ID17">
        <v>1.8621799999999999</v>
      </c>
      <c r="IE17">
        <v>1.8616900000000001</v>
      </c>
      <c r="IF17">
        <v>1.86172</v>
      </c>
      <c r="IG17">
        <v>1.8623400000000001</v>
      </c>
      <c r="IH17">
        <v>1.8632500000000001</v>
      </c>
      <c r="II17">
        <v>1.86127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-6.8339999999999996</v>
      </c>
      <c r="IX17">
        <v>-0.6714</v>
      </c>
      <c r="IY17">
        <v>-4.845310175592827</v>
      </c>
      <c r="IZ17">
        <v>-5.6215304933332991E-3</v>
      </c>
      <c r="JA17">
        <v>2.3979931213773931E-6</v>
      </c>
      <c r="JB17">
        <v>-3.6297174575716598E-10</v>
      </c>
      <c r="JC17">
        <v>-1.065139035295892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1.6</v>
      </c>
      <c r="JL17">
        <v>1.6</v>
      </c>
      <c r="JM17">
        <v>1.17798</v>
      </c>
      <c r="JN17">
        <v>2.51709</v>
      </c>
      <c r="JO17">
        <v>1.50024</v>
      </c>
      <c r="JP17">
        <v>2.2802699999999998</v>
      </c>
      <c r="JQ17">
        <v>1.4477500000000001</v>
      </c>
      <c r="JR17">
        <v>2.4316399999999998</v>
      </c>
      <c r="JS17">
        <v>39.994199999999999</v>
      </c>
      <c r="JT17">
        <v>14.9201</v>
      </c>
      <c r="JU17">
        <v>18</v>
      </c>
      <c r="JV17">
        <v>549.98</v>
      </c>
      <c r="JW17">
        <v>401.33100000000002</v>
      </c>
      <c r="JX17">
        <v>22.122199999999999</v>
      </c>
      <c r="JY17">
        <v>37.760800000000003</v>
      </c>
      <c r="JZ17">
        <v>30.000299999999999</v>
      </c>
      <c r="KA17">
        <v>37.980600000000003</v>
      </c>
      <c r="KB17">
        <v>38.214700000000001</v>
      </c>
      <c r="KC17">
        <v>23.553000000000001</v>
      </c>
      <c r="KD17">
        <v>48.542299999999997</v>
      </c>
      <c r="KE17">
        <v>0</v>
      </c>
      <c r="KF17">
        <v>22.127099999999999</v>
      </c>
      <c r="KG17">
        <v>474.82100000000003</v>
      </c>
      <c r="KH17">
        <v>18.488800000000001</v>
      </c>
      <c r="KI17">
        <v>99.846400000000003</v>
      </c>
      <c r="KJ17">
        <v>98.018100000000004</v>
      </c>
    </row>
    <row r="18" spans="1:296" x14ac:dyDescent="0.3">
      <c r="A18">
        <v>2</v>
      </c>
      <c r="B18">
        <v>1784559826.0999999</v>
      </c>
      <c r="C18">
        <v>182.5</v>
      </c>
      <c r="D18" t="s">
        <v>522</v>
      </c>
      <c r="E18" t="s">
        <v>523</v>
      </c>
      <c r="F18">
        <v>15</v>
      </c>
      <c r="H18">
        <v>1784559818.349999</v>
      </c>
      <c r="I18">
        <f t="shared" si="0"/>
        <v>4.1197620516951246E-3</v>
      </c>
      <c r="J18">
        <f t="shared" si="1"/>
        <v>4.1197620516951243</v>
      </c>
      <c r="K18">
        <f t="shared" si="2"/>
        <v>42.717858111693516</v>
      </c>
      <c r="L18">
        <f t="shared" si="3"/>
        <v>419.97043333333329</v>
      </c>
      <c r="M18">
        <f t="shared" si="4"/>
        <v>121.7641883444772</v>
      </c>
      <c r="N18">
        <f t="shared" si="5"/>
        <v>11.877440346828223</v>
      </c>
      <c r="O18">
        <f t="shared" si="6"/>
        <v>40.965852416610893</v>
      </c>
      <c r="P18">
        <f t="shared" si="7"/>
        <v>0.24464426487868632</v>
      </c>
      <c r="Q18">
        <f t="shared" si="8"/>
        <v>2.884816231658264</v>
      </c>
      <c r="R18">
        <f t="shared" si="9"/>
        <v>0.23367502883653732</v>
      </c>
      <c r="S18">
        <f t="shared" si="10"/>
        <v>0.1469914454057473</v>
      </c>
      <c r="T18">
        <f t="shared" si="11"/>
        <v>271.90865182879088</v>
      </c>
      <c r="U18">
        <f t="shared" si="12"/>
        <v>28.643162536985081</v>
      </c>
      <c r="V18">
        <f t="shared" si="13"/>
        <v>28.710673333333329</v>
      </c>
      <c r="W18">
        <f t="shared" si="14"/>
        <v>3.9549296045720022</v>
      </c>
      <c r="X18">
        <f t="shared" si="15"/>
        <v>59.987429290737403</v>
      </c>
      <c r="Y18">
        <f t="shared" si="16"/>
        <v>2.2902404848433546</v>
      </c>
      <c r="Z18">
        <f t="shared" si="17"/>
        <v>3.8178673630826658</v>
      </c>
      <c r="AA18">
        <f t="shared" si="18"/>
        <v>1.6646891197286475</v>
      </c>
      <c r="AB18">
        <f t="shared" si="19"/>
        <v>-181.681506479755</v>
      </c>
      <c r="AC18">
        <f t="shared" si="20"/>
        <v>-94.382119006978726</v>
      </c>
      <c r="AD18">
        <f t="shared" si="21"/>
        <v>-7.1605153591484658</v>
      </c>
      <c r="AE18">
        <f t="shared" si="22"/>
        <v>-11.315489017091309</v>
      </c>
      <c r="AF18">
        <f t="shared" si="23"/>
        <v>42.717858111693516</v>
      </c>
      <c r="AG18">
        <f t="shared" si="24"/>
        <v>4.1197620516951243</v>
      </c>
      <c r="AH18">
        <f t="shared" si="25"/>
        <v>42.908559032580904</v>
      </c>
      <c r="AI18">
        <v>482.32015600226009</v>
      </c>
      <c r="AJ18">
        <v>430.01693333333321</v>
      </c>
      <c r="AK18">
        <v>-3.1407451811529381E-2</v>
      </c>
      <c r="AL18">
        <v>67.075040188002546</v>
      </c>
      <c r="AM18">
        <f t="shared" si="26"/>
        <v>4.1062470300508114</v>
      </c>
      <c r="AN18">
        <v>18.603999917705629</v>
      </c>
      <c r="AO18">
        <v>23.45892666666666</v>
      </c>
      <c r="AP18">
        <v>-7.0617142857083296E-3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51351.632981942879</v>
      </c>
      <c r="AW18" t="s">
        <v>519</v>
      </c>
      <c r="AX18">
        <v>5084.9399999999996</v>
      </c>
      <c r="AY18">
        <v>617.86176470588248</v>
      </c>
      <c r="AZ18">
        <v>2384.65</v>
      </c>
      <c r="BA18">
        <f t="shared" si="30"/>
        <v>0.74090044043952674</v>
      </c>
      <c r="BB18">
        <v>-3.3473499592976261</v>
      </c>
      <c r="BC18" t="s">
        <v>524</v>
      </c>
      <c r="BD18">
        <v>5059.2</v>
      </c>
      <c r="BE18">
        <v>878.1374117647058</v>
      </c>
      <c r="BF18">
        <v>1060.46</v>
      </c>
      <c r="BG18">
        <f t="shared" si="31"/>
        <v>0.17192783154036384</v>
      </c>
      <c r="BH18">
        <v>0.5</v>
      </c>
      <c r="BI18">
        <f t="shared" si="32"/>
        <v>1428.2996998076635</v>
      </c>
      <c r="BJ18">
        <f t="shared" si="33"/>
        <v>42.717858111693516</v>
      </c>
      <c r="BK18">
        <f t="shared" si="34"/>
        <v>122.7822350888421</v>
      </c>
      <c r="BL18">
        <f t="shared" si="35"/>
        <v>3.2251780265160269E-2</v>
      </c>
      <c r="BM18">
        <f t="shared" si="36"/>
        <v>1.2486939629971898</v>
      </c>
      <c r="BN18">
        <f t="shared" si="37"/>
        <v>466.82654543513593</v>
      </c>
      <c r="BO18" t="s">
        <v>408</v>
      </c>
      <c r="BP18">
        <v>0</v>
      </c>
      <c r="BQ18">
        <f t="shared" si="38"/>
        <v>466.82654543513593</v>
      </c>
      <c r="BR18">
        <f t="shared" si="39"/>
        <v>0.55978863376729349</v>
      </c>
      <c r="BS18">
        <f t="shared" si="40"/>
        <v>0.30712990791419847</v>
      </c>
      <c r="BT18">
        <f t="shared" si="41"/>
        <v>0.69046501483132927</v>
      </c>
      <c r="BU18">
        <f t="shared" si="42"/>
        <v>0.41193699770207248</v>
      </c>
      <c r="BV18">
        <f t="shared" si="43"/>
        <v>0.7494899352097858</v>
      </c>
      <c r="BW18">
        <f t="shared" si="44"/>
        <v>0.16327330095556156</v>
      </c>
      <c r="BX18">
        <f t="shared" si="45"/>
        <v>0.83672669904443842</v>
      </c>
      <c r="DG18">
        <f t="shared" si="46"/>
        <v>1699.9929999999999</v>
      </c>
      <c r="DH18">
        <f t="shared" si="47"/>
        <v>1428.2996998076635</v>
      </c>
      <c r="DI18">
        <f t="shared" si="48"/>
        <v>0.84017975356819918</v>
      </c>
      <c r="DJ18">
        <f t="shared" si="49"/>
        <v>0.15994692438662447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1784559818.349999</v>
      </c>
      <c r="DQ18">
        <v>419.97043333333329</v>
      </c>
      <c r="DR18">
        <v>473.30636666666669</v>
      </c>
      <c r="DS18">
        <v>23.478903333333339</v>
      </c>
      <c r="DT18">
        <v>18.65141666666667</v>
      </c>
      <c r="DU18">
        <v>426.85063333333329</v>
      </c>
      <c r="DV18">
        <v>24.122246666666669</v>
      </c>
      <c r="DW18">
        <v>500.01603333333338</v>
      </c>
      <c r="DX18">
        <v>97.484729999999999</v>
      </c>
      <c r="DY18">
        <v>5.9880679999999999E-2</v>
      </c>
      <c r="DZ18">
        <v>28.10381666666667</v>
      </c>
      <c r="EA18">
        <v>28.710673333333329</v>
      </c>
      <c r="EB18">
        <v>999.9000000000002</v>
      </c>
      <c r="EC18">
        <v>0</v>
      </c>
      <c r="ED18">
        <v>0</v>
      </c>
      <c r="EE18">
        <v>9998.6666666666661</v>
      </c>
      <c r="EF18">
        <v>0</v>
      </c>
      <c r="EG18">
        <v>508.74470000000002</v>
      </c>
      <c r="EH18">
        <v>-53.335803333333338</v>
      </c>
      <c r="EI18">
        <v>430.06803333333329</v>
      </c>
      <c r="EJ18">
        <v>482.3019333333333</v>
      </c>
      <c r="EK18">
        <v>4.8274790000000003</v>
      </c>
      <c r="EL18">
        <v>473.30636666666669</v>
      </c>
      <c r="EM18">
        <v>18.65141666666667</v>
      </c>
      <c r="EN18">
        <v>2.288834333333333</v>
      </c>
      <c r="EO18">
        <v>1.8182286666666669</v>
      </c>
      <c r="EP18">
        <v>19.598026666666669</v>
      </c>
      <c r="EQ18">
        <v>15.94436</v>
      </c>
      <c r="ER18">
        <v>1699.9929999999999</v>
      </c>
      <c r="ES18">
        <v>0.99399169999999992</v>
      </c>
      <c r="ET18">
        <v>6.0079599999999971E-3</v>
      </c>
      <c r="EU18">
        <v>0</v>
      </c>
      <c r="EV18">
        <v>878.23333333333358</v>
      </c>
      <c r="EW18">
        <v>5.0010700000000003</v>
      </c>
      <c r="EX18">
        <v>21047.87</v>
      </c>
      <c r="EY18">
        <v>15492.393333333341</v>
      </c>
      <c r="EZ18">
        <v>44.468499999999999</v>
      </c>
      <c r="FA18">
        <v>46.151866666666663</v>
      </c>
      <c r="FB18">
        <v>45.360300000000009</v>
      </c>
      <c r="FC18">
        <v>45.697499999999991</v>
      </c>
      <c r="FD18">
        <v>45.495800000000003</v>
      </c>
      <c r="FE18">
        <v>1684.807</v>
      </c>
      <c r="FF18">
        <v>10.186</v>
      </c>
      <c r="FG18">
        <v>0</v>
      </c>
      <c r="FH18">
        <v>181.5999999046326</v>
      </c>
      <c r="FI18">
        <v>0</v>
      </c>
      <c r="FJ18">
        <v>878.1374117647058</v>
      </c>
      <c r="FK18">
        <v>-3.3656862819984998</v>
      </c>
      <c r="FL18">
        <v>116.37254817844909</v>
      </c>
      <c r="FM18">
        <v>21042.894117647051</v>
      </c>
      <c r="FN18">
        <v>10</v>
      </c>
      <c r="FO18">
        <v>1784559735.0999999</v>
      </c>
      <c r="FP18" t="s">
        <v>525</v>
      </c>
      <c r="FQ18">
        <v>1784559729.0999999</v>
      </c>
      <c r="FR18">
        <v>1784559735.0999999</v>
      </c>
      <c r="FS18">
        <v>3</v>
      </c>
      <c r="FT18">
        <v>-4.3999999999999997E-2</v>
      </c>
      <c r="FU18">
        <v>2.5999999999999999E-2</v>
      </c>
      <c r="FV18">
        <v>-7.0810000000000004</v>
      </c>
      <c r="FW18">
        <v>-0.78200000000000003</v>
      </c>
      <c r="FX18">
        <v>475</v>
      </c>
      <c r="FY18">
        <v>18</v>
      </c>
      <c r="FZ18">
        <v>0.17</v>
      </c>
      <c r="GA18">
        <v>0.06</v>
      </c>
      <c r="GB18">
        <v>419.96966666666663</v>
      </c>
      <c r="GC18">
        <v>4.2714126817358297E-3</v>
      </c>
      <c r="GD18">
        <v>7.9157367874942527E-2</v>
      </c>
      <c r="GE18">
        <v>-1</v>
      </c>
      <c r="GF18">
        <v>878.36147058823531</v>
      </c>
      <c r="GG18">
        <v>-2.6280825019029219</v>
      </c>
      <c r="GH18">
        <v>0.35838323517235332</v>
      </c>
      <c r="GI18">
        <v>1</v>
      </c>
      <c r="GJ18">
        <v>4.8147692500000003</v>
      </c>
      <c r="GK18">
        <v>0.34107433395871062</v>
      </c>
      <c r="GL18">
        <v>3.7385921841483302E-2</v>
      </c>
      <c r="GM18">
        <v>1</v>
      </c>
      <c r="GN18">
        <v>2</v>
      </c>
      <c r="GO18">
        <v>2</v>
      </c>
      <c r="GP18" t="s">
        <v>424</v>
      </c>
      <c r="GQ18">
        <v>3.13043</v>
      </c>
      <c r="GR18">
        <v>2.73577</v>
      </c>
      <c r="GS18">
        <v>9.0432100000000001E-2</v>
      </c>
      <c r="GT18">
        <v>9.8379900000000006E-2</v>
      </c>
      <c r="GU18">
        <v>0.110834</v>
      </c>
      <c r="GV18">
        <v>9.2415800000000006E-2</v>
      </c>
      <c r="GW18">
        <v>22662.6</v>
      </c>
      <c r="GX18">
        <v>30100.400000000001</v>
      </c>
      <c r="GY18">
        <v>27045.9</v>
      </c>
      <c r="GZ18">
        <v>34357.599999999999</v>
      </c>
      <c r="HA18">
        <v>35241.5</v>
      </c>
      <c r="HB18">
        <v>39445.4</v>
      </c>
      <c r="HC18">
        <v>39942.699999999997</v>
      </c>
      <c r="HD18">
        <v>43535.9</v>
      </c>
      <c r="HE18">
        <v>1.9323999999999999</v>
      </c>
      <c r="HF18">
        <v>1.6830000000000001</v>
      </c>
      <c r="HG18">
        <v>-0.10252</v>
      </c>
      <c r="HH18">
        <v>0</v>
      </c>
      <c r="HI18">
        <v>30.378</v>
      </c>
      <c r="HJ18">
        <v>999.9</v>
      </c>
      <c r="HK18">
        <v>63.2</v>
      </c>
      <c r="HL18">
        <v>33.9</v>
      </c>
      <c r="HM18">
        <v>34.447099999999999</v>
      </c>
      <c r="HN18">
        <v>61.943300000000001</v>
      </c>
      <c r="HO18">
        <v>4.8677900000000003</v>
      </c>
      <c r="HP18">
        <v>1</v>
      </c>
      <c r="HQ18">
        <v>0.89819099999999996</v>
      </c>
      <c r="HR18">
        <v>7.20214</v>
      </c>
      <c r="HS18">
        <v>20.119299999999999</v>
      </c>
      <c r="HT18">
        <v>5.2065099999999997</v>
      </c>
      <c r="HU18">
        <v>11.914099999999999</v>
      </c>
      <c r="HV18">
        <v>4.9832000000000001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1.86713</v>
      </c>
      <c r="IC18">
        <v>1.8627899999999999</v>
      </c>
      <c r="ID18">
        <v>1.8621799999999999</v>
      </c>
      <c r="IE18">
        <v>1.86172</v>
      </c>
      <c r="IF18">
        <v>1.86172</v>
      </c>
      <c r="IG18">
        <v>1.8623700000000001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-6.88</v>
      </c>
      <c r="IX18">
        <v>-0.64410000000000001</v>
      </c>
      <c r="IY18">
        <v>-4.8893168893816137</v>
      </c>
      <c r="IZ18">
        <v>-5.6215304933332991E-3</v>
      </c>
      <c r="JA18">
        <v>2.3979931213773931E-6</v>
      </c>
      <c r="JB18">
        <v>-3.6297174575716598E-10</v>
      </c>
      <c r="JC18">
        <v>-1.038897053776479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1.6</v>
      </c>
      <c r="JL18">
        <v>1.5</v>
      </c>
      <c r="JM18">
        <v>1.17554</v>
      </c>
      <c r="JN18">
        <v>2.5134300000000001</v>
      </c>
      <c r="JO18">
        <v>1.50024</v>
      </c>
      <c r="JP18">
        <v>2.2802699999999998</v>
      </c>
      <c r="JQ18">
        <v>1.4477500000000001</v>
      </c>
      <c r="JR18">
        <v>2.4658199999999999</v>
      </c>
      <c r="JS18">
        <v>40.1967</v>
      </c>
      <c r="JT18">
        <v>14.928800000000001</v>
      </c>
      <c r="JU18">
        <v>18</v>
      </c>
      <c r="JV18">
        <v>550.18399999999997</v>
      </c>
      <c r="JW18">
        <v>399.56200000000001</v>
      </c>
      <c r="JX18">
        <v>22.923500000000001</v>
      </c>
      <c r="JY18">
        <v>37.868699999999997</v>
      </c>
      <c r="JZ18">
        <v>30.002700000000001</v>
      </c>
      <c r="KA18">
        <v>38.128500000000003</v>
      </c>
      <c r="KB18">
        <v>38.382300000000001</v>
      </c>
      <c r="KC18">
        <v>23.504999999999999</v>
      </c>
      <c r="KD18">
        <v>48.540500000000002</v>
      </c>
      <c r="KE18">
        <v>0</v>
      </c>
      <c r="KF18">
        <v>22.885300000000001</v>
      </c>
      <c r="KG18">
        <v>473.28</v>
      </c>
      <c r="KH18">
        <v>18.573</v>
      </c>
      <c r="KI18">
        <v>99.8232</v>
      </c>
      <c r="KJ18">
        <v>98.006600000000006</v>
      </c>
    </row>
    <row r="19" spans="1:296" x14ac:dyDescent="0.3">
      <c r="A19">
        <v>3</v>
      </c>
      <c r="B19">
        <v>1784560008.5999999</v>
      </c>
      <c r="C19">
        <v>365</v>
      </c>
      <c r="D19" t="s">
        <v>526</v>
      </c>
      <c r="E19" t="s">
        <v>527</v>
      </c>
      <c r="F19">
        <v>15</v>
      </c>
      <c r="H19">
        <v>1784560000.849999</v>
      </c>
      <c r="I19">
        <f t="shared" si="0"/>
        <v>4.0289820731033701E-3</v>
      </c>
      <c r="J19">
        <f t="shared" si="1"/>
        <v>4.0289820731033705</v>
      </c>
      <c r="K19">
        <f t="shared" si="2"/>
        <v>42.666429340378421</v>
      </c>
      <c r="L19">
        <f t="shared" si="3"/>
        <v>420.07130000000001</v>
      </c>
      <c r="M19">
        <f t="shared" si="4"/>
        <v>117.51977230874033</v>
      </c>
      <c r="N19">
        <f t="shared" si="5"/>
        <v>11.462985823869436</v>
      </c>
      <c r="O19">
        <f t="shared" si="6"/>
        <v>40.974137903058875</v>
      </c>
      <c r="P19">
        <f t="shared" si="7"/>
        <v>0.24050917842224306</v>
      </c>
      <c r="Q19">
        <f t="shared" si="8"/>
        <v>2.8850017345745478</v>
      </c>
      <c r="R19">
        <f t="shared" si="9"/>
        <v>0.22989962908087219</v>
      </c>
      <c r="S19">
        <f t="shared" si="10"/>
        <v>0.14460149010227077</v>
      </c>
      <c r="T19">
        <f t="shared" si="11"/>
        <v>255.9106045214024</v>
      </c>
      <c r="U19">
        <f t="shared" si="12"/>
        <v>28.602847855687401</v>
      </c>
      <c r="V19">
        <f t="shared" si="13"/>
        <v>28.692666666666661</v>
      </c>
      <c r="W19">
        <f t="shared" si="14"/>
        <v>3.9508017408558964</v>
      </c>
      <c r="X19">
        <f t="shared" si="15"/>
        <v>60.031972486673077</v>
      </c>
      <c r="Y19">
        <f t="shared" si="16"/>
        <v>2.2961397406480746</v>
      </c>
      <c r="Z19">
        <f t="shared" si="17"/>
        <v>3.8248613955801813</v>
      </c>
      <c r="AA19">
        <f t="shared" si="18"/>
        <v>1.6546620002078218</v>
      </c>
      <c r="AB19">
        <f t="shared" si="19"/>
        <v>-177.67810942385861</v>
      </c>
      <c r="AC19">
        <f t="shared" si="20"/>
        <v>-86.700033045276584</v>
      </c>
      <c r="AD19">
        <f t="shared" si="21"/>
        <v>-6.5777115282039764</v>
      </c>
      <c r="AE19">
        <f t="shared" si="22"/>
        <v>-15.045249475936757</v>
      </c>
      <c r="AF19">
        <f t="shared" si="23"/>
        <v>42.666429340378421</v>
      </c>
      <c r="AG19">
        <f t="shared" si="24"/>
        <v>4.0289820731033705</v>
      </c>
      <c r="AH19">
        <f t="shared" si="25"/>
        <v>42.542671508403338</v>
      </c>
      <c r="AI19">
        <v>482.29681697117502</v>
      </c>
      <c r="AJ19">
        <v>430.2566545454543</v>
      </c>
      <c r="AK19">
        <v>2.7556679539037861E-3</v>
      </c>
      <c r="AL19">
        <v>67.077322797080356</v>
      </c>
      <c r="AM19">
        <f t="shared" si="26"/>
        <v>4.02889452208953</v>
      </c>
      <c r="AN19">
        <v>18.822043972987021</v>
      </c>
      <c r="AO19">
        <v>23.54173272727272</v>
      </c>
      <c r="AP19">
        <v>1.224040404048006E-4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51351.436121634695</v>
      </c>
      <c r="AW19" t="s">
        <v>519</v>
      </c>
      <c r="AX19">
        <v>5084.9399999999996</v>
      </c>
      <c r="AY19">
        <v>617.86176470588248</v>
      </c>
      <c r="AZ19">
        <v>2384.65</v>
      </c>
      <c r="BA19">
        <f t="shared" si="30"/>
        <v>0.74090044043952674</v>
      </c>
      <c r="BB19">
        <v>-3.3473499592976261</v>
      </c>
      <c r="BC19" t="s">
        <v>528</v>
      </c>
      <c r="BD19">
        <v>5058.1899999999996</v>
      </c>
      <c r="BE19">
        <v>875.31047058823526</v>
      </c>
      <c r="BF19">
        <v>1078.73</v>
      </c>
      <c r="BG19">
        <f t="shared" si="31"/>
        <v>0.18857316419471482</v>
      </c>
      <c r="BH19">
        <v>0.5</v>
      </c>
      <c r="BI19">
        <f t="shared" si="32"/>
        <v>1344.2741801665295</v>
      </c>
      <c r="BJ19">
        <f t="shared" si="33"/>
        <v>42.666429340378421</v>
      </c>
      <c r="BK19">
        <f t="shared" si="34"/>
        <v>126.7470178496293</v>
      </c>
      <c r="BL19">
        <f t="shared" si="35"/>
        <v>3.4229460015348823E-2</v>
      </c>
      <c r="BM19">
        <f t="shared" si="36"/>
        <v>1.2106087714256579</v>
      </c>
      <c r="BN19">
        <f t="shared" si="37"/>
        <v>470.33319749395866</v>
      </c>
      <c r="BO19" t="s">
        <v>408</v>
      </c>
      <c r="BP19">
        <v>0</v>
      </c>
      <c r="BQ19">
        <f t="shared" si="38"/>
        <v>470.33319749395866</v>
      </c>
      <c r="BR19">
        <f t="shared" si="39"/>
        <v>0.56399358737222594</v>
      </c>
      <c r="BS19">
        <f t="shared" si="40"/>
        <v>0.33435338347253202</v>
      </c>
      <c r="BT19">
        <f t="shared" si="41"/>
        <v>0.68218593614725309</v>
      </c>
      <c r="BU19">
        <f t="shared" si="42"/>
        <v>0.44138327147225975</v>
      </c>
      <c r="BV19">
        <f t="shared" si="43"/>
        <v>0.73914913735125887</v>
      </c>
      <c r="BW19">
        <f t="shared" si="44"/>
        <v>0.17965910522683209</v>
      </c>
      <c r="BX19">
        <f t="shared" si="45"/>
        <v>0.82034089477316785</v>
      </c>
      <c r="DG19">
        <f t="shared" si="46"/>
        <v>1599.9853333333331</v>
      </c>
      <c r="DH19">
        <f t="shared" si="47"/>
        <v>1344.2741801665295</v>
      </c>
      <c r="DI19">
        <f t="shared" si="48"/>
        <v>0.84017906424550337</v>
      </c>
      <c r="DJ19">
        <f t="shared" si="49"/>
        <v>0.15994559399382147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1784560000.849999</v>
      </c>
      <c r="DQ19">
        <v>420.07130000000001</v>
      </c>
      <c r="DR19">
        <v>473.29723333333328</v>
      </c>
      <c r="DS19">
        <v>23.540273333333339</v>
      </c>
      <c r="DT19">
        <v>18.819726666666661</v>
      </c>
      <c r="DU19">
        <v>426.91823333333332</v>
      </c>
      <c r="DV19">
        <v>24.206203333333331</v>
      </c>
      <c r="DW19">
        <v>500.04446666666672</v>
      </c>
      <c r="DX19">
        <v>97.480503333333317</v>
      </c>
      <c r="DY19">
        <v>6.0409133333333337E-2</v>
      </c>
      <c r="DZ19">
        <v>28.13524</v>
      </c>
      <c r="EA19">
        <v>28.692666666666661</v>
      </c>
      <c r="EB19">
        <v>999.9000000000002</v>
      </c>
      <c r="EC19">
        <v>0</v>
      </c>
      <c r="ED19">
        <v>0</v>
      </c>
      <c r="EE19">
        <v>10000.16666666667</v>
      </c>
      <c r="EF19">
        <v>0</v>
      </c>
      <c r="EG19">
        <v>528.72136666666665</v>
      </c>
      <c r="EH19">
        <v>-53.22594999999999</v>
      </c>
      <c r="EI19">
        <v>430.19833333333321</v>
      </c>
      <c r="EJ19">
        <v>482.37549999999999</v>
      </c>
      <c r="EK19">
        <v>4.7205439999999994</v>
      </c>
      <c r="EL19">
        <v>473.29723333333328</v>
      </c>
      <c r="EM19">
        <v>18.819726666666661</v>
      </c>
      <c r="EN19">
        <v>2.2947186666666668</v>
      </c>
      <c r="EO19">
        <v>1.8345566666666671</v>
      </c>
      <c r="EP19">
        <v>19.639356666666671</v>
      </c>
      <c r="EQ19">
        <v>16.084383333333331</v>
      </c>
      <c r="ER19">
        <v>1599.9853333333331</v>
      </c>
      <c r="ES19">
        <v>0.99401006666666647</v>
      </c>
      <c r="ET19">
        <v>5.9900253333333344E-3</v>
      </c>
      <c r="EU19">
        <v>0</v>
      </c>
      <c r="EV19">
        <v>875.36479999999995</v>
      </c>
      <c r="EW19">
        <v>5.0010700000000003</v>
      </c>
      <c r="EX19">
        <v>19980.226666666669</v>
      </c>
      <c r="EY19">
        <v>14578.40333333333</v>
      </c>
      <c r="EZ19">
        <v>44.754133333333328</v>
      </c>
      <c r="FA19">
        <v>46.631199999999993</v>
      </c>
      <c r="FB19">
        <v>45.793399999999977</v>
      </c>
      <c r="FC19">
        <v>46.125</v>
      </c>
      <c r="FD19">
        <v>45.818299999999986</v>
      </c>
      <c r="FE19">
        <v>1585.4333333333341</v>
      </c>
      <c r="FF19">
        <v>9.5500000000000025</v>
      </c>
      <c r="FG19">
        <v>0</v>
      </c>
      <c r="FH19">
        <v>182</v>
      </c>
      <c r="FI19">
        <v>0</v>
      </c>
      <c r="FJ19">
        <v>875.31047058823526</v>
      </c>
      <c r="FK19">
        <v>-2.5580882529266029</v>
      </c>
      <c r="FL19">
        <v>213.62745063290339</v>
      </c>
      <c r="FM19">
        <v>19973.705882352941</v>
      </c>
      <c r="FN19">
        <v>10</v>
      </c>
      <c r="FO19">
        <v>1784559890.5999999</v>
      </c>
      <c r="FP19" t="s">
        <v>529</v>
      </c>
      <c r="FQ19">
        <v>1784559889.5999999</v>
      </c>
      <c r="FR19">
        <v>1784559890.5999999</v>
      </c>
      <c r="FS19">
        <v>4</v>
      </c>
      <c r="FT19">
        <v>3.3000000000000002E-2</v>
      </c>
      <c r="FU19">
        <v>-2.5000000000000001E-2</v>
      </c>
      <c r="FV19">
        <v>-7.0430000000000001</v>
      </c>
      <c r="FW19">
        <v>-0.78600000000000003</v>
      </c>
      <c r="FX19">
        <v>473</v>
      </c>
      <c r="FY19">
        <v>19</v>
      </c>
      <c r="FZ19">
        <v>0.13</v>
      </c>
      <c r="GA19">
        <v>0.08</v>
      </c>
      <c r="GB19">
        <v>420.07089999999999</v>
      </c>
      <c r="GC19">
        <v>0.34227363737514171</v>
      </c>
      <c r="GD19">
        <v>6.3187736151878462E-2</v>
      </c>
      <c r="GE19">
        <v>-1</v>
      </c>
      <c r="GF19">
        <v>875.42373529411759</v>
      </c>
      <c r="GG19">
        <v>-1.037845689986608</v>
      </c>
      <c r="GH19">
        <v>0.24530189189261059</v>
      </c>
      <c r="GI19">
        <v>1</v>
      </c>
      <c r="GJ19">
        <v>4.7228302499999986</v>
      </c>
      <c r="GK19">
        <v>-2.7594709193252839E-2</v>
      </c>
      <c r="GL19">
        <v>4.6162823177855576E-3</v>
      </c>
      <c r="GM19">
        <v>1</v>
      </c>
      <c r="GN19">
        <v>2</v>
      </c>
      <c r="GO19">
        <v>2</v>
      </c>
      <c r="GP19" t="s">
        <v>424</v>
      </c>
      <c r="GQ19">
        <v>3.13009</v>
      </c>
      <c r="GR19">
        <v>2.7362799999999998</v>
      </c>
      <c r="GS19">
        <v>9.0394199999999994E-2</v>
      </c>
      <c r="GT19">
        <v>9.83242E-2</v>
      </c>
      <c r="GU19">
        <v>0.111151</v>
      </c>
      <c r="GV19">
        <v>9.3182799999999996E-2</v>
      </c>
      <c r="GW19">
        <v>22652.2</v>
      </c>
      <c r="GX19">
        <v>30087.4</v>
      </c>
      <c r="GY19">
        <v>27033.5</v>
      </c>
      <c r="GZ19">
        <v>34342.1</v>
      </c>
      <c r="HA19">
        <v>35215.199999999997</v>
      </c>
      <c r="HB19">
        <v>39396.6</v>
      </c>
      <c r="HC19">
        <v>39925.800000000003</v>
      </c>
      <c r="HD19">
        <v>43518.3</v>
      </c>
      <c r="HE19">
        <v>1.93</v>
      </c>
      <c r="HF19">
        <v>1.6768000000000001</v>
      </c>
      <c r="HG19">
        <v>-0.103295</v>
      </c>
      <c r="HH19">
        <v>0</v>
      </c>
      <c r="HI19">
        <v>30.370100000000001</v>
      </c>
      <c r="HJ19">
        <v>999.9</v>
      </c>
      <c r="HK19">
        <v>62.2</v>
      </c>
      <c r="HL19">
        <v>34.299999999999997</v>
      </c>
      <c r="HM19">
        <v>34.668999999999997</v>
      </c>
      <c r="HN19">
        <v>61.923400000000001</v>
      </c>
      <c r="HO19">
        <v>4.8597799999999998</v>
      </c>
      <c r="HP19">
        <v>1</v>
      </c>
      <c r="HQ19">
        <v>0.91975600000000002</v>
      </c>
      <c r="HR19">
        <v>6.6877800000000001</v>
      </c>
      <c r="HS19">
        <v>20.1081</v>
      </c>
      <c r="HT19">
        <v>5.2100999999999997</v>
      </c>
      <c r="HU19">
        <v>11.914099999999999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1.8675200000000001</v>
      </c>
      <c r="IC19">
        <v>1.8631</v>
      </c>
      <c r="ID19">
        <v>1.8626400000000001</v>
      </c>
      <c r="IE19">
        <v>1.86209</v>
      </c>
      <c r="IF19">
        <v>1.86215</v>
      </c>
      <c r="IG19">
        <v>1.8627899999999999</v>
      </c>
      <c r="IH19">
        <v>1.86371</v>
      </c>
      <c r="II19">
        <v>1.8616600000000001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-6.8470000000000004</v>
      </c>
      <c r="IX19">
        <v>-0.66569999999999996</v>
      </c>
      <c r="IY19">
        <v>-4.8558191974811802</v>
      </c>
      <c r="IZ19">
        <v>-5.6215304933332991E-3</v>
      </c>
      <c r="JA19">
        <v>2.3979931213773931E-6</v>
      </c>
      <c r="JB19">
        <v>-3.6297174575716598E-10</v>
      </c>
      <c r="JC19">
        <v>-1.0638162439653669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</v>
      </c>
      <c r="JM19">
        <v>1.17432</v>
      </c>
      <c r="JN19">
        <v>2.5122100000000001</v>
      </c>
      <c r="JO19">
        <v>1.50024</v>
      </c>
      <c r="JP19">
        <v>2.2802699999999998</v>
      </c>
      <c r="JQ19">
        <v>1.4477500000000001</v>
      </c>
      <c r="JR19">
        <v>2.4560499999999998</v>
      </c>
      <c r="JS19">
        <v>40.604199999999999</v>
      </c>
      <c r="JT19">
        <v>23.877400000000002</v>
      </c>
      <c r="JU19">
        <v>18</v>
      </c>
      <c r="JV19">
        <v>550.46100000000001</v>
      </c>
      <c r="JW19">
        <v>397.274</v>
      </c>
      <c r="JX19">
        <v>23.001100000000001</v>
      </c>
      <c r="JY19">
        <v>38.103000000000002</v>
      </c>
      <c r="JZ19">
        <v>30.000599999999999</v>
      </c>
      <c r="KA19">
        <v>38.3735</v>
      </c>
      <c r="KB19">
        <v>38.626199999999997</v>
      </c>
      <c r="KC19">
        <v>23.497599999999998</v>
      </c>
      <c r="KD19">
        <v>48.220799999999997</v>
      </c>
      <c r="KE19">
        <v>0</v>
      </c>
      <c r="KF19">
        <v>23.018000000000001</v>
      </c>
      <c r="KG19">
        <v>473.07799999999997</v>
      </c>
      <c r="KH19">
        <v>18.785599999999999</v>
      </c>
      <c r="KI19">
        <v>99.779600000000002</v>
      </c>
      <c r="KJ19">
        <v>97.965100000000007</v>
      </c>
    </row>
    <row r="20" spans="1:296" x14ac:dyDescent="0.3">
      <c r="A20">
        <v>4</v>
      </c>
      <c r="B20">
        <v>1784560191.0999999</v>
      </c>
      <c r="C20">
        <v>547.5</v>
      </c>
      <c r="D20" t="s">
        <v>530</v>
      </c>
      <c r="E20" t="s">
        <v>531</v>
      </c>
      <c r="F20">
        <v>15</v>
      </c>
      <c r="H20">
        <v>1784560183.349999</v>
      </c>
      <c r="I20">
        <f t="shared" si="0"/>
        <v>4.0484601651945475E-3</v>
      </c>
      <c r="J20">
        <f t="shared" si="1"/>
        <v>4.0484601651945473</v>
      </c>
      <c r="K20">
        <f t="shared" si="2"/>
        <v>42.996727969912762</v>
      </c>
      <c r="L20">
        <f t="shared" si="3"/>
        <v>419.86206666666658</v>
      </c>
      <c r="M20">
        <f t="shared" si="4"/>
        <v>116.51105468049712</v>
      </c>
      <c r="N20">
        <f t="shared" si="5"/>
        <v>11.365170099723013</v>
      </c>
      <c r="O20">
        <f t="shared" si="6"/>
        <v>40.955803028076652</v>
      </c>
      <c r="P20">
        <f t="shared" si="7"/>
        <v>0.24174732301597018</v>
      </c>
      <c r="Q20">
        <f t="shared" si="8"/>
        <v>2.8854298231158255</v>
      </c>
      <c r="R20">
        <f t="shared" si="9"/>
        <v>0.23103238638896931</v>
      </c>
      <c r="S20">
        <f t="shared" si="10"/>
        <v>0.14531835674129917</v>
      </c>
      <c r="T20">
        <f t="shared" si="11"/>
        <v>224.00621456765802</v>
      </c>
      <c r="U20">
        <f t="shared" si="12"/>
        <v>28.468350206990671</v>
      </c>
      <c r="V20">
        <f t="shared" si="13"/>
        <v>28.707166666666659</v>
      </c>
      <c r="W20">
        <f t="shared" si="14"/>
        <v>3.9541254385065598</v>
      </c>
      <c r="X20">
        <f t="shared" si="15"/>
        <v>59.907653563904617</v>
      </c>
      <c r="Y20">
        <f t="shared" si="16"/>
        <v>2.2995888359301135</v>
      </c>
      <c r="Z20">
        <f t="shared" si="17"/>
        <v>3.8385560093371023</v>
      </c>
      <c r="AA20">
        <f t="shared" si="18"/>
        <v>1.6545366025764463</v>
      </c>
      <c r="AB20">
        <f t="shared" si="19"/>
        <v>-178.53709328507955</v>
      </c>
      <c r="AC20">
        <f t="shared" si="20"/>
        <v>-79.419759787139753</v>
      </c>
      <c r="AD20">
        <f t="shared" si="21"/>
        <v>-6.0267562512163293</v>
      </c>
      <c r="AE20">
        <f t="shared" si="22"/>
        <v>-39.977394755777624</v>
      </c>
      <c r="AF20">
        <f t="shared" si="23"/>
        <v>42.996727969912762</v>
      </c>
      <c r="AG20">
        <f t="shared" si="24"/>
        <v>4.0484601651945473</v>
      </c>
      <c r="AH20">
        <f t="shared" si="25"/>
        <v>42.824444517966811</v>
      </c>
      <c r="AI20">
        <v>482.67063943986147</v>
      </c>
      <c r="AJ20">
        <v>430.0834848484846</v>
      </c>
      <c r="AK20">
        <v>4.0348267965630687E-2</v>
      </c>
      <c r="AL20">
        <v>67.071076647282538</v>
      </c>
      <c r="AM20">
        <f t="shared" si="26"/>
        <v>4.1208201570090264</v>
      </c>
      <c r="AN20">
        <v>18.829270449653691</v>
      </c>
      <c r="AO20">
        <v>23.614432727272721</v>
      </c>
      <c r="AP20">
        <v>7.0566580086619361E-3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51353.187558969883</v>
      </c>
      <c r="AW20" t="s">
        <v>519</v>
      </c>
      <c r="AX20">
        <v>5084.9399999999996</v>
      </c>
      <c r="AY20">
        <v>617.86176470588248</v>
      </c>
      <c r="AZ20">
        <v>2384.65</v>
      </c>
      <c r="BA20">
        <f t="shared" si="30"/>
        <v>0.74090044043952674</v>
      </c>
      <c r="BB20">
        <v>-3.3473499592976261</v>
      </c>
      <c r="BC20" t="s">
        <v>532</v>
      </c>
      <c r="BD20">
        <v>5058.87</v>
      </c>
      <c r="BE20">
        <v>878.50747058823526</v>
      </c>
      <c r="BF20">
        <v>1137.3599999999999</v>
      </c>
      <c r="BG20">
        <f t="shared" si="31"/>
        <v>0.22759067437905733</v>
      </c>
      <c r="BH20">
        <v>0.5</v>
      </c>
      <c r="BI20">
        <f t="shared" si="32"/>
        <v>1176.295899775989</v>
      </c>
      <c r="BJ20">
        <f t="shared" si="33"/>
        <v>42.996727969912762</v>
      </c>
      <c r="BK20">
        <f t="shared" si="34"/>
        <v>133.8569885496687</v>
      </c>
      <c r="BL20">
        <f t="shared" si="35"/>
        <v>3.9398316306327383E-2</v>
      </c>
      <c r="BM20">
        <f t="shared" si="36"/>
        <v>1.0966536540761063</v>
      </c>
      <c r="BN20">
        <f t="shared" si="37"/>
        <v>481.14736092351859</v>
      </c>
      <c r="BO20" t="s">
        <v>408</v>
      </c>
      <c r="BP20">
        <v>0</v>
      </c>
      <c r="BQ20">
        <f t="shared" si="38"/>
        <v>481.14736092351859</v>
      </c>
      <c r="BR20">
        <f t="shared" si="39"/>
        <v>0.57696124276964311</v>
      </c>
      <c r="BS20">
        <f t="shared" si="40"/>
        <v>0.39446440680578765</v>
      </c>
      <c r="BT20">
        <f t="shared" si="41"/>
        <v>0.65526045217628137</v>
      </c>
      <c r="BU20">
        <f t="shared" si="42"/>
        <v>0.49827412650442121</v>
      </c>
      <c r="BV20">
        <f t="shared" si="43"/>
        <v>0.70596462840514873</v>
      </c>
      <c r="BW20">
        <f t="shared" si="44"/>
        <v>0.21604313528009247</v>
      </c>
      <c r="BX20">
        <f t="shared" si="45"/>
        <v>0.78395686471990755</v>
      </c>
      <c r="DG20">
        <f t="shared" si="46"/>
        <v>1400.003333333334</v>
      </c>
      <c r="DH20">
        <f t="shared" si="47"/>
        <v>1176.295899775989</v>
      </c>
      <c r="DI20">
        <f t="shared" si="48"/>
        <v>0.84020935648438111</v>
      </c>
      <c r="DJ20">
        <f t="shared" si="49"/>
        <v>0.16000405801485562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1784560183.349999</v>
      </c>
      <c r="DQ20">
        <v>419.86206666666658</v>
      </c>
      <c r="DR20">
        <v>473.49886666666669</v>
      </c>
      <c r="DS20">
        <v>23.574439999999999</v>
      </c>
      <c r="DT20">
        <v>18.830729999999999</v>
      </c>
      <c r="DU20">
        <v>426.77793333333341</v>
      </c>
      <c r="DV20">
        <v>24.238753333333339</v>
      </c>
      <c r="DW20">
        <v>499.99093333333337</v>
      </c>
      <c r="DX20">
        <v>97.484999999999999</v>
      </c>
      <c r="DY20">
        <v>6.0852029999999988E-2</v>
      </c>
      <c r="DZ20">
        <v>28.196623333333331</v>
      </c>
      <c r="EA20">
        <v>28.707166666666659</v>
      </c>
      <c r="EB20">
        <v>999.9000000000002</v>
      </c>
      <c r="EC20">
        <v>0</v>
      </c>
      <c r="ED20">
        <v>0</v>
      </c>
      <c r="EE20">
        <v>10002.16666666667</v>
      </c>
      <c r="EF20">
        <v>0</v>
      </c>
      <c r="EG20">
        <v>548.58319999999992</v>
      </c>
      <c r="EH20">
        <v>-53.636780000000002</v>
      </c>
      <c r="EI20">
        <v>429.9991333333333</v>
      </c>
      <c r="EJ20">
        <v>482.58636666666672</v>
      </c>
      <c r="EK20">
        <v>4.7437199999999988</v>
      </c>
      <c r="EL20">
        <v>473.49886666666669</v>
      </c>
      <c r="EM20">
        <v>18.830729999999999</v>
      </c>
      <c r="EN20">
        <v>2.2981549999999999</v>
      </c>
      <c r="EO20">
        <v>1.835713666666666</v>
      </c>
      <c r="EP20">
        <v>19.663463333333329</v>
      </c>
      <c r="EQ20">
        <v>16.094259999999998</v>
      </c>
      <c r="ER20">
        <v>1400.003333333334</v>
      </c>
      <c r="ES20">
        <v>0.99299833333333332</v>
      </c>
      <c r="ET20">
        <v>7.0016673333333319E-3</v>
      </c>
      <c r="EU20">
        <v>0</v>
      </c>
      <c r="EV20">
        <v>878.42773333333332</v>
      </c>
      <c r="EW20">
        <v>5.0010700000000003</v>
      </c>
      <c r="EX20">
        <v>18215.990000000002</v>
      </c>
      <c r="EY20">
        <v>12745.52</v>
      </c>
      <c r="EZ20">
        <v>44.75</v>
      </c>
      <c r="FA20">
        <v>46.912199999999991</v>
      </c>
      <c r="FB20">
        <v>45.978999999999999</v>
      </c>
      <c r="FC20">
        <v>46.366599999999991</v>
      </c>
      <c r="FD20">
        <v>45.936999999999983</v>
      </c>
      <c r="FE20">
        <v>1385.2333333333329</v>
      </c>
      <c r="FF20">
        <v>9.77</v>
      </c>
      <c r="FG20">
        <v>0</v>
      </c>
      <c r="FH20">
        <v>181.5999999046326</v>
      </c>
      <c r="FI20">
        <v>0</v>
      </c>
      <c r="FJ20">
        <v>878.50747058823526</v>
      </c>
      <c r="FK20">
        <v>-0.90955882816742184</v>
      </c>
      <c r="FL20">
        <v>-189.77941290286651</v>
      </c>
      <c r="FM20">
        <v>18216.482352941181</v>
      </c>
      <c r="FN20">
        <v>10</v>
      </c>
      <c r="FO20">
        <v>1784560077.0999999</v>
      </c>
      <c r="FP20" t="s">
        <v>533</v>
      </c>
      <c r="FQ20">
        <v>1784560073.0999999</v>
      </c>
      <c r="FR20">
        <v>1784560077.0999999</v>
      </c>
      <c r="FS20">
        <v>5</v>
      </c>
      <c r="FT20">
        <v>-7.0000000000000007E-2</v>
      </c>
      <c r="FU20">
        <v>1E-3</v>
      </c>
      <c r="FV20">
        <v>-7.1109999999999998</v>
      </c>
      <c r="FW20">
        <v>-0.78800000000000003</v>
      </c>
      <c r="FX20">
        <v>473</v>
      </c>
      <c r="FY20">
        <v>19</v>
      </c>
      <c r="FZ20">
        <v>0.14000000000000001</v>
      </c>
      <c r="GA20">
        <v>0.05</v>
      </c>
      <c r="GB20">
        <v>419.8716774193548</v>
      </c>
      <c r="GC20">
        <v>-0.38138709677574439</v>
      </c>
      <c r="GD20">
        <v>7.1919931777559357E-2</v>
      </c>
      <c r="GE20">
        <v>-1</v>
      </c>
      <c r="GF20">
        <v>878.25158823529398</v>
      </c>
      <c r="GG20">
        <v>2.410970201698158</v>
      </c>
      <c r="GH20">
        <v>0.34936632701196729</v>
      </c>
      <c r="GI20">
        <v>1</v>
      </c>
      <c r="GJ20">
        <v>4.7356336585365861</v>
      </c>
      <c r="GK20">
        <v>0.15325818815331571</v>
      </c>
      <c r="GL20">
        <v>1.808944777381145E-2</v>
      </c>
      <c r="GM20">
        <v>1</v>
      </c>
      <c r="GN20">
        <v>2</v>
      </c>
      <c r="GO20">
        <v>2</v>
      </c>
      <c r="GP20" t="s">
        <v>424</v>
      </c>
      <c r="GQ20">
        <v>3.1303800000000002</v>
      </c>
      <c r="GR20">
        <v>2.7376999999999998</v>
      </c>
      <c r="GS20">
        <v>9.0311500000000003E-2</v>
      </c>
      <c r="GT20">
        <v>9.8350099999999996E-2</v>
      </c>
      <c r="GU20">
        <v>0.111319</v>
      </c>
      <c r="GV20">
        <v>9.3157400000000001E-2</v>
      </c>
      <c r="GW20">
        <v>22644.5</v>
      </c>
      <c r="GX20">
        <v>30074.9</v>
      </c>
      <c r="GY20">
        <v>27022.7</v>
      </c>
      <c r="GZ20">
        <v>34330.199999999997</v>
      </c>
      <c r="HA20">
        <v>35196.1</v>
      </c>
      <c r="HB20">
        <v>39388.300000000003</v>
      </c>
      <c r="HC20">
        <v>39910.800000000003</v>
      </c>
      <c r="HD20">
        <v>43507.7</v>
      </c>
      <c r="HE20">
        <v>1.9292</v>
      </c>
      <c r="HF20">
        <v>1.6696</v>
      </c>
      <c r="HG20">
        <v>-0.104755</v>
      </c>
      <c r="HH20">
        <v>0</v>
      </c>
      <c r="HI20">
        <v>30.4176</v>
      </c>
      <c r="HJ20">
        <v>999.9</v>
      </c>
      <c r="HK20">
        <v>61.2</v>
      </c>
      <c r="HL20">
        <v>34.799999999999997</v>
      </c>
      <c r="HM20">
        <v>35.070399999999999</v>
      </c>
      <c r="HN20">
        <v>61.983400000000003</v>
      </c>
      <c r="HO20">
        <v>5.1482400000000004</v>
      </c>
      <c r="HP20">
        <v>1</v>
      </c>
      <c r="HQ20">
        <v>0.93723599999999996</v>
      </c>
      <c r="HR20">
        <v>6.6078000000000001</v>
      </c>
      <c r="HS20">
        <v>20.1113</v>
      </c>
      <c r="HT20">
        <v>5.2100999999999997</v>
      </c>
      <c r="HU20">
        <v>11.914099999999999</v>
      </c>
      <c r="HV20">
        <v>4.9836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1.8632500000000001</v>
      </c>
      <c r="ID20">
        <v>1.86276</v>
      </c>
      <c r="IE20">
        <v>1.8622099999999999</v>
      </c>
      <c r="IF20">
        <v>1.8623099999999999</v>
      </c>
      <c r="IG20">
        <v>1.8629199999999999</v>
      </c>
      <c r="IH20">
        <v>1.8637699999999999</v>
      </c>
      <c r="II20">
        <v>1.86172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-6.9160000000000004</v>
      </c>
      <c r="IX20">
        <v>-0.66320000000000001</v>
      </c>
      <c r="IY20">
        <v>-4.9253078972193984</v>
      </c>
      <c r="IZ20">
        <v>-5.6215304933332991E-3</v>
      </c>
      <c r="JA20">
        <v>2.3979931213773931E-6</v>
      </c>
      <c r="JB20">
        <v>-3.6297174575716598E-10</v>
      </c>
      <c r="JC20">
        <v>-1.0630912116691069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</v>
      </c>
      <c r="JL20">
        <v>1.9</v>
      </c>
      <c r="JM20">
        <v>1.17554</v>
      </c>
      <c r="JN20">
        <v>2.5280800000000001</v>
      </c>
      <c r="JO20">
        <v>1.50024</v>
      </c>
      <c r="JP20">
        <v>2.2790499999999998</v>
      </c>
      <c r="JQ20">
        <v>1.4477500000000001</v>
      </c>
      <c r="JR20">
        <v>2.3168899999999999</v>
      </c>
      <c r="JS20">
        <v>41.586599999999997</v>
      </c>
      <c r="JT20">
        <v>23.8598</v>
      </c>
      <c r="JU20">
        <v>18</v>
      </c>
      <c r="JV20">
        <v>551.65099999999995</v>
      </c>
      <c r="JW20">
        <v>394.29899999999998</v>
      </c>
      <c r="JX20">
        <v>23.088999999999999</v>
      </c>
      <c r="JY20">
        <v>38.298400000000001</v>
      </c>
      <c r="JZ20">
        <v>30</v>
      </c>
      <c r="KA20">
        <v>38.595799999999997</v>
      </c>
      <c r="KB20">
        <v>38.853299999999997</v>
      </c>
      <c r="KC20">
        <v>23.509499999999999</v>
      </c>
      <c r="KD20">
        <v>48.5792</v>
      </c>
      <c r="KE20">
        <v>0</v>
      </c>
      <c r="KF20">
        <v>23.085599999999999</v>
      </c>
      <c r="KG20">
        <v>473.63400000000001</v>
      </c>
      <c r="KH20">
        <v>18.8002</v>
      </c>
      <c r="KI20">
        <v>99.741100000000003</v>
      </c>
      <c r="KJ20">
        <v>97.936700000000002</v>
      </c>
    </row>
    <row r="21" spans="1:296" x14ac:dyDescent="0.3">
      <c r="A21">
        <v>5</v>
      </c>
      <c r="B21">
        <v>1784560373.5999999</v>
      </c>
      <c r="C21">
        <v>730</v>
      </c>
      <c r="D21" t="s">
        <v>534</v>
      </c>
      <c r="E21" t="s">
        <v>535</v>
      </c>
      <c r="F21">
        <v>15</v>
      </c>
      <c r="H21">
        <v>1784560365.849999</v>
      </c>
      <c r="I21">
        <f t="shared" si="0"/>
        <v>3.635279142996363E-3</v>
      </c>
      <c r="J21">
        <f t="shared" si="1"/>
        <v>3.6352791429963629</v>
      </c>
      <c r="K21">
        <f t="shared" si="2"/>
        <v>38.557103798066009</v>
      </c>
      <c r="L21">
        <f t="shared" si="3"/>
        <v>420.12450000000001</v>
      </c>
      <c r="M21">
        <f t="shared" si="4"/>
        <v>119.79275641406811</v>
      </c>
      <c r="N21">
        <f t="shared" si="5"/>
        <v>11.685933036897438</v>
      </c>
      <c r="O21">
        <f t="shared" si="6"/>
        <v>40.983669807129132</v>
      </c>
      <c r="P21">
        <f t="shared" si="7"/>
        <v>0.21819555560771642</v>
      </c>
      <c r="Q21">
        <f t="shared" si="8"/>
        <v>2.8851595579916252</v>
      </c>
      <c r="R21">
        <f t="shared" si="9"/>
        <v>0.20942518613252933</v>
      </c>
      <c r="S21">
        <f t="shared" si="10"/>
        <v>0.13164934980423099</v>
      </c>
      <c r="T21">
        <f t="shared" si="11"/>
        <v>160.18017523974925</v>
      </c>
      <c r="U21">
        <f t="shared" si="12"/>
        <v>28.24693939375215</v>
      </c>
      <c r="V21">
        <f t="shared" si="13"/>
        <v>28.712643333333329</v>
      </c>
      <c r="W21">
        <f t="shared" si="14"/>
        <v>3.9553814372400691</v>
      </c>
      <c r="X21">
        <f t="shared" si="15"/>
        <v>60.168540127031434</v>
      </c>
      <c r="Y21">
        <f t="shared" si="16"/>
        <v>2.3164857819819797</v>
      </c>
      <c r="Z21">
        <f t="shared" si="17"/>
        <v>3.849994992551383</v>
      </c>
      <c r="AA21">
        <f t="shared" si="18"/>
        <v>1.6388956552580893</v>
      </c>
      <c r="AB21">
        <f t="shared" si="19"/>
        <v>-160.31581020613962</v>
      </c>
      <c r="AC21">
        <f t="shared" si="20"/>
        <v>-72.311704335031379</v>
      </c>
      <c r="AD21">
        <f t="shared" si="21"/>
        <v>-5.4894217334791708</v>
      </c>
      <c r="AE21">
        <f t="shared" si="22"/>
        <v>-77.936761034900911</v>
      </c>
      <c r="AF21">
        <f t="shared" si="23"/>
        <v>38.557103798066009</v>
      </c>
      <c r="AG21">
        <f t="shared" si="24"/>
        <v>3.6352791429963629</v>
      </c>
      <c r="AH21">
        <f t="shared" si="25"/>
        <v>38.480227806277952</v>
      </c>
      <c r="AI21">
        <v>476.98507762073302</v>
      </c>
      <c r="AJ21">
        <v>430.04876969696971</v>
      </c>
      <c r="AK21">
        <v>-2.985266805227824E-2</v>
      </c>
      <c r="AL21">
        <v>67.067331369050962</v>
      </c>
      <c r="AM21">
        <f t="shared" si="26"/>
        <v>3.6386492313649219</v>
      </c>
      <c r="AN21">
        <v>19.491459632640691</v>
      </c>
      <c r="AO21">
        <v>23.753216363636351</v>
      </c>
      <c r="AP21">
        <v>1.196340236345506E-4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51336.950143633665</v>
      </c>
      <c r="AW21" t="s">
        <v>519</v>
      </c>
      <c r="AX21">
        <v>5084.9399999999996</v>
      </c>
      <c r="AY21">
        <v>617.86176470588248</v>
      </c>
      <c r="AZ21">
        <v>2384.65</v>
      </c>
      <c r="BA21">
        <f t="shared" si="30"/>
        <v>0.74090044043952674</v>
      </c>
      <c r="BB21">
        <v>-3.3473499592976261</v>
      </c>
      <c r="BC21" t="s">
        <v>536</v>
      </c>
      <c r="BD21">
        <v>5062.29</v>
      </c>
      <c r="BE21">
        <v>877.42947058823529</v>
      </c>
      <c r="BF21">
        <v>1289.21</v>
      </c>
      <c r="BG21">
        <f t="shared" si="31"/>
        <v>0.31940531752915724</v>
      </c>
      <c r="BH21">
        <v>0.5</v>
      </c>
      <c r="BI21">
        <f t="shared" si="32"/>
        <v>840.31992022784937</v>
      </c>
      <c r="BJ21">
        <f t="shared" si="33"/>
        <v>38.557103798066009</v>
      </c>
      <c r="BK21">
        <f t="shared" si="34"/>
        <v>134.20132547322615</v>
      </c>
      <c r="BL21">
        <f t="shared" si="35"/>
        <v>4.9867262156538437E-2</v>
      </c>
      <c r="BM21">
        <f t="shared" si="36"/>
        <v>0.84969865266325895</v>
      </c>
      <c r="BN21">
        <f t="shared" si="37"/>
        <v>506.37909241652073</v>
      </c>
      <c r="BO21" t="s">
        <v>408</v>
      </c>
      <c r="BP21">
        <v>0</v>
      </c>
      <c r="BQ21">
        <f t="shared" si="38"/>
        <v>506.37909241652073</v>
      </c>
      <c r="BR21">
        <f t="shared" si="39"/>
        <v>0.60721752668958451</v>
      </c>
      <c r="BS21">
        <f t="shared" si="40"/>
        <v>0.52601465453489826</v>
      </c>
      <c r="BT21">
        <f t="shared" si="41"/>
        <v>0.58321725347349207</v>
      </c>
      <c r="BU21">
        <f t="shared" si="42"/>
        <v>0.61336353886647776</v>
      </c>
      <c r="BV21">
        <f t="shared" si="43"/>
        <v>0.62001771243266279</v>
      </c>
      <c r="BW21">
        <f t="shared" si="44"/>
        <v>0.30357177675215291</v>
      </c>
      <c r="BX21">
        <f t="shared" si="45"/>
        <v>0.69642822324784714</v>
      </c>
      <c r="DG21">
        <f t="shared" si="46"/>
        <v>1000.0255</v>
      </c>
      <c r="DH21">
        <f t="shared" si="47"/>
        <v>840.31992022784937</v>
      </c>
      <c r="DI21">
        <f t="shared" si="48"/>
        <v>0.84029849261628764</v>
      </c>
      <c r="DJ21">
        <f t="shared" si="49"/>
        <v>0.16017609074943515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1784560365.849999</v>
      </c>
      <c r="DQ21">
        <v>420.12450000000001</v>
      </c>
      <c r="DR21">
        <v>468.22376666666668</v>
      </c>
      <c r="DS21">
        <v>23.746346666666671</v>
      </c>
      <c r="DT21">
        <v>19.487776666666669</v>
      </c>
      <c r="DU21">
        <v>426.97099999999989</v>
      </c>
      <c r="DV21">
        <v>24.42246333333334</v>
      </c>
      <c r="DW21">
        <v>500.0206</v>
      </c>
      <c r="DX21">
        <v>97.490973333333329</v>
      </c>
      <c r="DY21">
        <v>6.0275896666666662E-2</v>
      </c>
      <c r="DZ21">
        <v>28.247750000000011</v>
      </c>
      <c r="EA21">
        <v>28.712643333333329</v>
      </c>
      <c r="EB21">
        <v>999.9000000000002</v>
      </c>
      <c r="EC21">
        <v>0</v>
      </c>
      <c r="ED21">
        <v>0</v>
      </c>
      <c r="EE21">
        <v>10000</v>
      </c>
      <c r="EF21">
        <v>0</v>
      </c>
      <c r="EG21">
        <v>568.82853333333333</v>
      </c>
      <c r="EH21">
        <v>-48.099333333333327</v>
      </c>
      <c r="EI21">
        <v>430.34350000000001</v>
      </c>
      <c r="EJ21">
        <v>477.52960000000002</v>
      </c>
      <c r="EK21">
        <v>4.2585813333333338</v>
      </c>
      <c r="EL21">
        <v>468.22376666666668</v>
      </c>
      <c r="EM21">
        <v>19.487776666666669</v>
      </c>
      <c r="EN21">
        <v>2.3150559999999998</v>
      </c>
      <c r="EO21">
        <v>1.8998820000000001</v>
      </c>
      <c r="EP21">
        <v>19.781543333333339</v>
      </c>
      <c r="EQ21">
        <v>16.633746666666671</v>
      </c>
      <c r="ER21">
        <v>1000.0255</v>
      </c>
      <c r="ES21">
        <v>0.98999830000000011</v>
      </c>
      <c r="ET21">
        <v>1.0001411E-2</v>
      </c>
      <c r="EU21">
        <v>0</v>
      </c>
      <c r="EV21">
        <v>877.41870000000006</v>
      </c>
      <c r="EW21">
        <v>5.0010700000000003</v>
      </c>
      <c r="EX21">
        <v>14418.78</v>
      </c>
      <c r="EY21">
        <v>9080.510000000002</v>
      </c>
      <c r="EZ21">
        <v>44.25</v>
      </c>
      <c r="FA21">
        <v>46.936999999999983</v>
      </c>
      <c r="FB21">
        <v>45.816199999999967</v>
      </c>
      <c r="FC21">
        <v>46.375</v>
      </c>
      <c r="FD21">
        <v>45.625</v>
      </c>
      <c r="FE21">
        <v>985.07366666666655</v>
      </c>
      <c r="FF21">
        <v>9.9499999999999975</v>
      </c>
      <c r="FG21">
        <v>0</v>
      </c>
      <c r="FH21">
        <v>181.9000000953674</v>
      </c>
      <c r="FI21">
        <v>0</v>
      </c>
      <c r="FJ21">
        <v>877.42947058823529</v>
      </c>
      <c r="FK21">
        <v>-2.3450980548626661</v>
      </c>
      <c r="FL21">
        <v>-96.764705844767718</v>
      </c>
      <c r="FM21">
        <v>14417.78823529412</v>
      </c>
      <c r="FN21">
        <v>10</v>
      </c>
      <c r="FO21">
        <v>1784560339.5999999</v>
      </c>
      <c r="FP21" t="s">
        <v>537</v>
      </c>
      <c r="FQ21">
        <v>1784560334.0999999</v>
      </c>
      <c r="FR21">
        <v>1784560339.5999999</v>
      </c>
      <c r="FS21">
        <v>6</v>
      </c>
      <c r="FT21">
        <v>7.0000000000000007E-2</v>
      </c>
      <c r="FU21">
        <v>-1.7000000000000001E-2</v>
      </c>
      <c r="FV21">
        <v>-7.0270000000000001</v>
      </c>
      <c r="FW21">
        <v>-0.79300000000000004</v>
      </c>
      <c r="FX21">
        <v>469</v>
      </c>
      <c r="FY21">
        <v>19</v>
      </c>
      <c r="FZ21">
        <v>0.21</v>
      </c>
      <c r="GA21">
        <v>0.06</v>
      </c>
      <c r="GB21">
        <v>420.10113333333339</v>
      </c>
      <c r="GC21">
        <v>0.27486540600521531</v>
      </c>
      <c r="GD21">
        <v>0.26185947036955498</v>
      </c>
      <c r="GE21">
        <v>-1</v>
      </c>
      <c r="GF21">
        <v>877.29285294117653</v>
      </c>
      <c r="GG21">
        <v>1.439587471490813</v>
      </c>
      <c r="GH21">
        <v>0.29243783978549659</v>
      </c>
      <c r="GI21">
        <v>1</v>
      </c>
      <c r="GJ21">
        <v>4.2704817500000001</v>
      </c>
      <c r="GK21">
        <v>-0.20202855534709949</v>
      </c>
      <c r="GL21">
        <v>4.1052585721699633E-2</v>
      </c>
      <c r="GM21">
        <v>1</v>
      </c>
      <c r="GN21">
        <v>2</v>
      </c>
      <c r="GO21">
        <v>2</v>
      </c>
      <c r="GP21" t="s">
        <v>424</v>
      </c>
      <c r="GQ21">
        <v>3.13008</v>
      </c>
      <c r="GR21">
        <v>2.7363400000000002</v>
      </c>
      <c r="GS21">
        <v>9.0257199999999996E-2</v>
      </c>
      <c r="GT21">
        <v>9.7365300000000002E-2</v>
      </c>
      <c r="GU21">
        <v>0.111766</v>
      </c>
      <c r="GV21">
        <v>9.5451499999999995E-2</v>
      </c>
      <c r="GW21">
        <v>22638.2</v>
      </c>
      <c r="GX21">
        <v>30097.5</v>
      </c>
      <c r="GY21">
        <v>27014.2</v>
      </c>
      <c r="GZ21">
        <v>34319.5</v>
      </c>
      <c r="HA21">
        <v>35169.4</v>
      </c>
      <c r="HB21">
        <v>39279</v>
      </c>
      <c r="HC21">
        <v>39899.699999999997</v>
      </c>
      <c r="HD21">
        <v>43496.4</v>
      </c>
      <c r="HE21">
        <v>1.9259999999999999</v>
      </c>
      <c r="HF21">
        <v>1.6656</v>
      </c>
      <c r="HG21">
        <v>-0.107706</v>
      </c>
      <c r="HH21">
        <v>0</v>
      </c>
      <c r="HI21">
        <v>30.459900000000001</v>
      </c>
      <c r="HJ21">
        <v>999.9</v>
      </c>
      <c r="HK21">
        <v>60.2</v>
      </c>
      <c r="HL21">
        <v>35.200000000000003</v>
      </c>
      <c r="HM21">
        <v>35.264899999999997</v>
      </c>
      <c r="HN21">
        <v>61.903500000000001</v>
      </c>
      <c r="HO21">
        <v>4.8477600000000001</v>
      </c>
      <c r="HP21">
        <v>1</v>
      </c>
      <c r="HQ21">
        <v>0.95101599999999997</v>
      </c>
      <c r="HR21">
        <v>6.5139399999999998</v>
      </c>
      <c r="HS21">
        <v>20.116599999999998</v>
      </c>
      <c r="HT21">
        <v>5.2112999999999996</v>
      </c>
      <c r="HU21">
        <v>11.914099999999999</v>
      </c>
      <c r="HV21">
        <v>4.9832000000000001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1.86328</v>
      </c>
      <c r="ID21">
        <v>1.8627899999999999</v>
      </c>
      <c r="IE21">
        <v>1.8622799999999999</v>
      </c>
      <c r="IF21">
        <v>1.8623400000000001</v>
      </c>
      <c r="IG21">
        <v>1.8629500000000001</v>
      </c>
      <c r="IH21">
        <v>1.8638300000000001</v>
      </c>
      <c r="II21">
        <v>1.86178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-6.8449999999999998</v>
      </c>
      <c r="IX21">
        <v>-0.67600000000000005</v>
      </c>
      <c r="IY21">
        <v>-4.8553324084557294</v>
      </c>
      <c r="IZ21">
        <v>-5.6215304933332991E-3</v>
      </c>
      <c r="JA21">
        <v>2.3979931213773931E-6</v>
      </c>
      <c r="JB21">
        <v>-3.6297174575716598E-10</v>
      </c>
      <c r="JC21">
        <v>-1.079995262945237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0.7</v>
      </c>
      <c r="JL21">
        <v>0.6</v>
      </c>
      <c r="JM21">
        <v>1.16455</v>
      </c>
      <c r="JN21">
        <v>2.51831</v>
      </c>
      <c r="JO21">
        <v>1.50024</v>
      </c>
      <c r="JP21">
        <v>2.2790499999999998</v>
      </c>
      <c r="JQ21">
        <v>1.4477500000000001</v>
      </c>
      <c r="JR21">
        <v>2.4438499999999999</v>
      </c>
      <c r="JS21">
        <v>42.271000000000001</v>
      </c>
      <c r="JT21">
        <v>23.8598</v>
      </c>
      <c r="JU21">
        <v>18</v>
      </c>
      <c r="JV21">
        <v>550.91</v>
      </c>
      <c r="JW21">
        <v>393.00900000000001</v>
      </c>
      <c r="JX21">
        <v>23.4175</v>
      </c>
      <c r="JY21">
        <v>38.459099999999999</v>
      </c>
      <c r="JZ21">
        <v>30.000399999999999</v>
      </c>
      <c r="KA21">
        <v>38.783900000000003</v>
      </c>
      <c r="KB21">
        <v>39.043599999999998</v>
      </c>
      <c r="KC21">
        <v>23.291699999999999</v>
      </c>
      <c r="KD21">
        <v>47.429200000000002</v>
      </c>
      <c r="KE21">
        <v>0</v>
      </c>
      <c r="KF21">
        <v>23.408100000000001</v>
      </c>
      <c r="KG21">
        <v>467.96699999999998</v>
      </c>
      <c r="KH21">
        <v>19.403400000000001</v>
      </c>
      <c r="KI21">
        <v>99.712000000000003</v>
      </c>
      <c r="KJ21">
        <v>97.909000000000006</v>
      </c>
    </row>
    <row r="22" spans="1:296" x14ac:dyDescent="0.3">
      <c r="A22">
        <v>6</v>
      </c>
      <c r="B22">
        <v>1784560556.5</v>
      </c>
      <c r="C22">
        <v>912.90000009536743</v>
      </c>
      <c r="D22" t="s">
        <v>538</v>
      </c>
      <c r="E22" t="s">
        <v>539</v>
      </c>
      <c r="F22">
        <v>15</v>
      </c>
      <c r="H22">
        <v>1784560548.75</v>
      </c>
      <c r="I22">
        <f t="shared" si="0"/>
        <v>3.4590296897636015E-3</v>
      </c>
      <c r="J22">
        <f t="shared" si="1"/>
        <v>3.4590296897636015</v>
      </c>
      <c r="K22">
        <f t="shared" si="2"/>
        <v>34.37694916209616</v>
      </c>
      <c r="L22">
        <f t="shared" si="3"/>
        <v>419.90766666666673</v>
      </c>
      <c r="M22">
        <f t="shared" si="4"/>
        <v>137.70499665391529</v>
      </c>
      <c r="N22">
        <f t="shared" si="5"/>
        <v>13.433782030982423</v>
      </c>
      <c r="O22">
        <f t="shared" si="6"/>
        <v>40.964004242456355</v>
      </c>
      <c r="P22">
        <f t="shared" si="7"/>
        <v>0.20719989575952272</v>
      </c>
      <c r="Q22">
        <f t="shared" si="8"/>
        <v>2.8857672451940153</v>
      </c>
      <c r="R22">
        <f t="shared" si="9"/>
        <v>0.19927552875226762</v>
      </c>
      <c r="S22">
        <f t="shared" si="10"/>
        <v>0.12523392687746815</v>
      </c>
      <c r="T22">
        <f t="shared" si="11"/>
        <v>128.27394188098845</v>
      </c>
      <c r="U22">
        <f t="shared" si="12"/>
        <v>28.071966208253411</v>
      </c>
      <c r="V22">
        <f t="shared" si="13"/>
        <v>28.712076666666661</v>
      </c>
      <c r="W22">
        <f t="shared" si="14"/>
        <v>3.9552514638402672</v>
      </c>
      <c r="X22">
        <f t="shared" si="15"/>
        <v>60.272159129988601</v>
      </c>
      <c r="Y22">
        <f t="shared" si="16"/>
        <v>2.3163240243422125</v>
      </c>
      <c r="Z22">
        <f t="shared" si="17"/>
        <v>3.8431077594990595</v>
      </c>
      <c r="AA22">
        <f t="shared" si="18"/>
        <v>1.6389274394980546</v>
      </c>
      <c r="AB22">
        <f t="shared" si="19"/>
        <v>-152.54320931857481</v>
      </c>
      <c r="AC22">
        <f t="shared" si="20"/>
        <v>-77.025375007982291</v>
      </c>
      <c r="AD22">
        <f t="shared" si="21"/>
        <v>-5.8451099504821196</v>
      </c>
      <c r="AE22">
        <f t="shared" si="22"/>
        <v>-107.13975239605078</v>
      </c>
      <c r="AF22">
        <f t="shared" si="23"/>
        <v>34.37694916209616</v>
      </c>
      <c r="AG22">
        <f t="shared" si="24"/>
        <v>3.4590296897636015</v>
      </c>
      <c r="AH22">
        <f t="shared" si="25"/>
        <v>34.229654572784312</v>
      </c>
      <c r="AI22">
        <v>472.15812249178231</v>
      </c>
      <c r="AJ22">
        <v>430.20455757575769</v>
      </c>
      <c r="AK22">
        <v>1.018866155306096E-2</v>
      </c>
      <c r="AL22">
        <v>67.080496411882862</v>
      </c>
      <c r="AM22">
        <f t="shared" si="26"/>
        <v>3.4120456738181382</v>
      </c>
      <c r="AN22">
        <v>19.628718665800879</v>
      </c>
      <c r="AO22">
        <v>23.67472424242424</v>
      </c>
      <c r="AP22">
        <v>-7.9364155844077119E-3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51359.467355999113</v>
      </c>
      <c r="AW22" t="s">
        <v>519</v>
      </c>
      <c r="AX22">
        <v>5084.9399999999996</v>
      </c>
      <c r="AY22">
        <v>617.86176470588248</v>
      </c>
      <c r="AZ22">
        <v>2384.65</v>
      </c>
      <c r="BA22">
        <f t="shared" si="30"/>
        <v>0.74090044043952674</v>
      </c>
      <c r="BB22">
        <v>-3.3473499592976261</v>
      </c>
      <c r="BC22" t="s">
        <v>540</v>
      </c>
      <c r="BD22">
        <v>5063.47</v>
      </c>
      <c r="BE22">
        <v>868.49094117647064</v>
      </c>
      <c r="BF22">
        <v>1392.63</v>
      </c>
      <c r="BG22">
        <f t="shared" si="31"/>
        <v>0.37636634197419949</v>
      </c>
      <c r="BH22">
        <v>0.5</v>
      </c>
      <c r="BI22">
        <f t="shared" si="32"/>
        <v>672.29320163781779</v>
      </c>
      <c r="BJ22">
        <f t="shared" si="33"/>
        <v>34.37694916209616</v>
      </c>
      <c r="BK22">
        <f t="shared" si="34"/>
        <v>126.51426651727419</v>
      </c>
      <c r="BL22">
        <f t="shared" si="35"/>
        <v>5.6112867167912944E-2</v>
      </c>
      <c r="BM22">
        <f t="shared" si="36"/>
        <v>0.71233565268592514</v>
      </c>
      <c r="BN22">
        <f t="shared" si="37"/>
        <v>521.59342824819748</v>
      </c>
      <c r="BO22" t="s">
        <v>408</v>
      </c>
      <c r="BP22">
        <v>0</v>
      </c>
      <c r="BQ22">
        <f t="shared" si="38"/>
        <v>521.59342824819748</v>
      </c>
      <c r="BR22">
        <f t="shared" si="39"/>
        <v>0.62546158832698029</v>
      </c>
      <c r="BS22">
        <f t="shared" si="40"/>
        <v>0.60174173602079273</v>
      </c>
      <c r="BT22">
        <f t="shared" si="41"/>
        <v>0.53246906993662535</v>
      </c>
      <c r="BU22">
        <f t="shared" si="42"/>
        <v>0.67651077437958684</v>
      </c>
      <c r="BV22">
        <f t="shared" si="43"/>
        <v>0.56148211776770074</v>
      </c>
      <c r="BW22">
        <f t="shared" si="44"/>
        <v>0.36139068369088756</v>
      </c>
      <c r="BX22">
        <f t="shared" si="45"/>
        <v>0.63860931630911244</v>
      </c>
      <c r="DG22">
        <f t="shared" si="46"/>
        <v>799.98079999999993</v>
      </c>
      <c r="DH22">
        <f t="shared" si="47"/>
        <v>672.29320163781779</v>
      </c>
      <c r="DI22">
        <f t="shared" si="48"/>
        <v>0.84038667132738409</v>
      </c>
      <c r="DJ22">
        <f t="shared" si="49"/>
        <v>0.16034627566185145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1784560548.75</v>
      </c>
      <c r="DQ22">
        <v>419.90766666666673</v>
      </c>
      <c r="DR22">
        <v>462.90266666666668</v>
      </c>
      <c r="DS22">
        <v>23.743826666666671</v>
      </c>
      <c r="DT22">
        <v>19.69157666666667</v>
      </c>
      <c r="DU22">
        <v>426.77703333333341</v>
      </c>
      <c r="DV22">
        <v>24.432353333333339</v>
      </c>
      <c r="DW22">
        <v>500.0035666666667</v>
      </c>
      <c r="DX22">
        <v>97.494163333333304</v>
      </c>
      <c r="DY22">
        <v>6.0626669999999987E-2</v>
      </c>
      <c r="DZ22">
        <v>28.216983333333332</v>
      </c>
      <c r="EA22">
        <v>28.712076666666661</v>
      </c>
      <c r="EB22">
        <v>999.9000000000002</v>
      </c>
      <c r="EC22">
        <v>0</v>
      </c>
      <c r="ED22">
        <v>0</v>
      </c>
      <c r="EE22">
        <v>10003.16666666667</v>
      </c>
      <c r="EF22">
        <v>0</v>
      </c>
      <c r="EG22">
        <v>588.93973333333338</v>
      </c>
      <c r="EH22">
        <v>-42.995040000000003</v>
      </c>
      <c r="EI22">
        <v>430.1203999999999</v>
      </c>
      <c r="EJ22">
        <v>472.20116666666672</v>
      </c>
      <c r="EK22">
        <v>4.0522696666666658</v>
      </c>
      <c r="EL22">
        <v>462.90266666666668</v>
      </c>
      <c r="EM22">
        <v>19.69157666666667</v>
      </c>
      <c r="EN22">
        <v>2.314886</v>
      </c>
      <c r="EO22">
        <v>1.919814333333334</v>
      </c>
      <c r="EP22">
        <v>19.78033666666666</v>
      </c>
      <c r="EQ22">
        <v>16.797943333333329</v>
      </c>
      <c r="ER22">
        <v>799.98079999999993</v>
      </c>
      <c r="ES22">
        <v>0.98703119999999989</v>
      </c>
      <c r="ET22">
        <v>1.296870333333333E-2</v>
      </c>
      <c r="EU22">
        <v>0</v>
      </c>
      <c r="EV22">
        <v>868.68876666666665</v>
      </c>
      <c r="EW22">
        <v>5.0010700000000003</v>
      </c>
      <c r="EX22">
        <v>12412.61666666667</v>
      </c>
      <c r="EY22">
        <v>7246.5340000000006</v>
      </c>
      <c r="EZ22">
        <v>43.883266666666671</v>
      </c>
      <c r="FA22">
        <v>46.936999999999983</v>
      </c>
      <c r="FB22">
        <v>45.625</v>
      </c>
      <c r="FC22">
        <v>46.436999999999983</v>
      </c>
      <c r="FD22">
        <v>45.3874</v>
      </c>
      <c r="FE22">
        <v>784.66966666666679</v>
      </c>
      <c r="FF22">
        <v>10.311</v>
      </c>
      <c r="FG22">
        <v>0</v>
      </c>
      <c r="FH22">
        <v>182.19999980926511</v>
      </c>
      <c r="FI22">
        <v>0</v>
      </c>
      <c r="FJ22">
        <v>868.49094117647064</v>
      </c>
      <c r="FK22">
        <v>-1.8019608060567509</v>
      </c>
      <c r="FL22">
        <v>-51.568627546031763</v>
      </c>
      <c r="FM22">
        <v>12412.076470588239</v>
      </c>
      <c r="FN22">
        <v>10</v>
      </c>
      <c r="FO22">
        <v>1784560508.5</v>
      </c>
      <c r="FP22" t="s">
        <v>541</v>
      </c>
      <c r="FQ22">
        <v>1784560502</v>
      </c>
      <c r="FR22">
        <v>1784560508.5</v>
      </c>
      <c r="FS22">
        <v>7</v>
      </c>
      <c r="FT22">
        <v>-2.3E-2</v>
      </c>
      <c r="FU22">
        <v>-1.2999999999999999E-2</v>
      </c>
      <c r="FV22">
        <v>-7.0309999999999997</v>
      </c>
      <c r="FW22">
        <v>-0.79400000000000004</v>
      </c>
      <c r="FX22">
        <v>464</v>
      </c>
      <c r="FY22">
        <v>20</v>
      </c>
      <c r="FZ22">
        <v>0.22</v>
      </c>
      <c r="GA22">
        <v>7.0000000000000007E-2</v>
      </c>
      <c r="GB22">
        <v>419.9015</v>
      </c>
      <c r="GC22">
        <v>0.47789098998928009</v>
      </c>
      <c r="GD22">
        <v>7.6469928730187348E-2</v>
      </c>
      <c r="GE22">
        <v>-1</v>
      </c>
      <c r="GF22">
        <v>868.90688235294124</v>
      </c>
      <c r="GG22">
        <v>-3.9198166500703162</v>
      </c>
      <c r="GH22">
        <v>0.42029427818708448</v>
      </c>
      <c r="GI22">
        <v>1</v>
      </c>
      <c r="GJ22">
        <v>4.0208114999999998</v>
      </c>
      <c r="GK22">
        <v>0.61136645403376411</v>
      </c>
      <c r="GL22">
        <v>7.3931488066655379E-2</v>
      </c>
      <c r="GM22">
        <v>0</v>
      </c>
      <c r="GN22">
        <v>1</v>
      </c>
      <c r="GO22">
        <v>2</v>
      </c>
      <c r="GP22" t="s">
        <v>411</v>
      </c>
      <c r="GQ22">
        <v>3.1303999999999998</v>
      </c>
      <c r="GR22">
        <v>2.7370800000000002</v>
      </c>
      <c r="GS22">
        <v>9.0257299999999999E-2</v>
      </c>
      <c r="GT22">
        <v>9.6577700000000002E-2</v>
      </c>
      <c r="GU22">
        <v>0.111511</v>
      </c>
      <c r="GV22">
        <v>9.6142599999999995E-2</v>
      </c>
      <c r="GW22">
        <v>22631.9</v>
      </c>
      <c r="GX22">
        <v>30114.1</v>
      </c>
      <c r="GY22">
        <v>27007.599999999999</v>
      </c>
      <c r="GZ22">
        <v>34309.699999999997</v>
      </c>
      <c r="HA22">
        <v>35172.199999999997</v>
      </c>
      <c r="HB22">
        <v>39239.800000000003</v>
      </c>
      <c r="HC22">
        <v>39890.699999999997</v>
      </c>
      <c r="HD22">
        <v>43486</v>
      </c>
      <c r="HE22">
        <v>1.9244000000000001</v>
      </c>
      <c r="HF22">
        <v>1.6604000000000001</v>
      </c>
      <c r="HG22">
        <v>-0.114977</v>
      </c>
      <c r="HH22">
        <v>0</v>
      </c>
      <c r="HI22">
        <v>30.582000000000001</v>
      </c>
      <c r="HJ22">
        <v>999.9</v>
      </c>
      <c r="HK22">
        <v>59.1</v>
      </c>
      <c r="HL22">
        <v>35.6</v>
      </c>
      <c r="HM22">
        <v>35.3949</v>
      </c>
      <c r="HN22">
        <v>61.903500000000001</v>
      </c>
      <c r="HO22">
        <v>5.0320499999999999</v>
      </c>
      <c r="HP22">
        <v>1</v>
      </c>
      <c r="HQ22">
        <v>0.96652400000000005</v>
      </c>
      <c r="HR22">
        <v>6.6527500000000002</v>
      </c>
      <c r="HS22">
        <v>20.112200000000001</v>
      </c>
      <c r="HT22">
        <v>5.2112999999999996</v>
      </c>
      <c r="HU22">
        <v>11.914099999999999</v>
      </c>
      <c r="HV22">
        <v>4.9824000000000002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1.86768</v>
      </c>
      <c r="IC22">
        <v>1.86334</v>
      </c>
      <c r="ID22">
        <v>1.8627899999999999</v>
      </c>
      <c r="IE22">
        <v>1.8623099999999999</v>
      </c>
      <c r="IF22">
        <v>1.8623400000000001</v>
      </c>
      <c r="IG22">
        <v>1.8629500000000001</v>
      </c>
      <c r="IH22">
        <v>1.8638600000000001</v>
      </c>
      <c r="II22">
        <v>1.86185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-6.87</v>
      </c>
      <c r="IX22">
        <v>-0.69040000000000001</v>
      </c>
      <c r="IY22">
        <v>-4.8788289148504562</v>
      </c>
      <c r="IZ22">
        <v>-5.6215304933332991E-3</v>
      </c>
      <c r="JA22">
        <v>2.3979931213773931E-6</v>
      </c>
      <c r="JB22">
        <v>-3.6297174575716598E-10</v>
      </c>
      <c r="JC22">
        <v>-1.092675448255529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0.9</v>
      </c>
      <c r="JL22">
        <v>0.8</v>
      </c>
      <c r="JM22">
        <v>1.15479</v>
      </c>
      <c r="JN22">
        <v>2.5280800000000001</v>
      </c>
      <c r="JO22">
        <v>1.50024</v>
      </c>
      <c r="JP22">
        <v>2.2778299999999998</v>
      </c>
      <c r="JQ22">
        <v>1.4477500000000001</v>
      </c>
      <c r="JR22">
        <v>2.33887</v>
      </c>
      <c r="JS22">
        <v>42.8583</v>
      </c>
      <c r="JT22">
        <v>23.851099999999999</v>
      </c>
      <c r="JU22">
        <v>18</v>
      </c>
      <c r="JV22">
        <v>551.16899999999998</v>
      </c>
      <c r="JW22">
        <v>390.95299999999997</v>
      </c>
      <c r="JX22">
        <v>23.450700000000001</v>
      </c>
      <c r="JY22">
        <v>38.633600000000001</v>
      </c>
      <c r="JZ22">
        <v>30.000900000000001</v>
      </c>
      <c r="KA22">
        <v>38.958799999999997</v>
      </c>
      <c r="KB22">
        <v>39.224499999999999</v>
      </c>
      <c r="KC22">
        <v>23.0991</v>
      </c>
      <c r="KD22">
        <v>47.268900000000002</v>
      </c>
      <c r="KE22">
        <v>0</v>
      </c>
      <c r="KF22">
        <v>23.4392</v>
      </c>
      <c r="KG22">
        <v>462.86599999999999</v>
      </c>
      <c r="KH22">
        <v>19.762799999999999</v>
      </c>
      <c r="KI22">
        <v>99.688599999999994</v>
      </c>
      <c r="KJ22">
        <v>97.883499999999998</v>
      </c>
    </row>
    <row r="23" spans="1:296" x14ac:dyDescent="0.3">
      <c r="A23">
        <v>7</v>
      </c>
      <c r="B23">
        <v>1784560739</v>
      </c>
      <c r="C23">
        <v>1095.400000095367</v>
      </c>
      <c r="D23" t="s">
        <v>542</v>
      </c>
      <c r="E23" t="s">
        <v>543</v>
      </c>
      <c r="F23">
        <v>15</v>
      </c>
      <c r="H23">
        <v>1784560731.25</v>
      </c>
      <c r="I23">
        <f t="shared" si="0"/>
        <v>2.8436279020585746E-3</v>
      </c>
      <c r="J23">
        <f t="shared" si="1"/>
        <v>2.8436279020585746</v>
      </c>
      <c r="K23">
        <f t="shared" si="2"/>
        <v>28.382314962629039</v>
      </c>
      <c r="L23">
        <f t="shared" si="3"/>
        <v>420.03699999999998</v>
      </c>
      <c r="M23">
        <f t="shared" si="4"/>
        <v>131.4171084040984</v>
      </c>
      <c r="N23">
        <f t="shared" si="5"/>
        <v>12.819880896912297</v>
      </c>
      <c r="O23">
        <f t="shared" si="6"/>
        <v>40.975063122971726</v>
      </c>
      <c r="P23">
        <f t="shared" si="7"/>
        <v>0.16610643604419492</v>
      </c>
      <c r="Q23">
        <f t="shared" si="8"/>
        <v>2.8849207240864683</v>
      </c>
      <c r="R23">
        <f t="shared" si="9"/>
        <v>0.1609702504522178</v>
      </c>
      <c r="S23">
        <f t="shared" si="10"/>
        <v>0.10105464299787911</v>
      </c>
      <c r="T23">
        <f t="shared" si="11"/>
        <v>96.345848749804873</v>
      </c>
      <c r="U23">
        <f t="shared" si="12"/>
        <v>28.094943314589802</v>
      </c>
      <c r="V23">
        <f t="shared" si="13"/>
        <v>28.740323333333329</v>
      </c>
      <c r="W23">
        <f t="shared" si="14"/>
        <v>3.9617347920377095</v>
      </c>
      <c r="X23">
        <f t="shared" si="15"/>
        <v>59.504259905052137</v>
      </c>
      <c r="Y23">
        <f t="shared" si="16"/>
        <v>2.2936941637157053</v>
      </c>
      <c r="Z23">
        <f t="shared" si="17"/>
        <v>3.8546721988906913</v>
      </c>
      <c r="AA23">
        <f t="shared" si="18"/>
        <v>1.6680406283220042</v>
      </c>
      <c r="AB23">
        <f t="shared" si="19"/>
        <v>-125.40399048078314</v>
      </c>
      <c r="AC23">
        <f t="shared" si="20"/>
        <v>-73.365408673469801</v>
      </c>
      <c r="AD23">
        <f t="shared" si="21"/>
        <v>-5.5712185670536796</v>
      </c>
      <c r="AE23">
        <f t="shared" si="22"/>
        <v>-107.99476897150174</v>
      </c>
      <c r="AF23">
        <f t="shared" si="23"/>
        <v>28.382314962629039</v>
      </c>
      <c r="AG23">
        <f t="shared" si="24"/>
        <v>2.8436279020585746</v>
      </c>
      <c r="AH23">
        <f t="shared" si="25"/>
        <v>28.301248659526156</v>
      </c>
      <c r="AI23">
        <v>464.80148217827832</v>
      </c>
      <c r="AJ23">
        <v>430.12915757575757</v>
      </c>
      <c r="AK23">
        <v>2.6699368328832319E-3</v>
      </c>
      <c r="AL23">
        <v>67.080496411882862</v>
      </c>
      <c r="AM23">
        <f t="shared" si="26"/>
        <v>2.9256887387049777</v>
      </c>
      <c r="AN23">
        <v>20.184604916666672</v>
      </c>
      <c r="AO23">
        <v>23.612420606060599</v>
      </c>
      <c r="AP23">
        <v>-2.375335233836105E-5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51326.626009394553</v>
      </c>
      <c r="AW23" t="s">
        <v>519</v>
      </c>
      <c r="AX23">
        <v>5084.9399999999996</v>
      </c>
      <c r="AY23">
        <v>617.86176470588248</v>
      </c>
      <c r="AZ23">
        <v>2384.65</v>
      </c>
      <c r="BA23">
        <f t="shared" si="30"/>
        <v>0.74090044043952674</v>
      </c>
      <c r="BB23">
        <v>-3.3473499592976261</v>
      </c>
      <c r="BC23" t="s">
        <v>544</v>
      </c>
      <c r="BD23">
        <v>5065.53</v>
      </c>
      <c r="BE23">
        <v>848.10011764705882</v>
      </c>
      <c r="BF23">
        <v>1501.89</v>
      </c>
      <c r="BG23">
        <f t="shared" si="31"/>
        <v>0.43531142916787602</v>
      </c>
      <c r="BH23">
        <v>0.5</v>
      </c>
      <c r="BI23">
        <f t="shared" si="32"/>
        <v>504.30854679264496</v>
      </c>
      <c r="BJ23">
        <f t="shared" si="33"/>
        <v>28.382314962629039</v>
      </c>
      <c r="BK23">
        <f t="shared" si="34"/>
        <v>109.76563712294048</v>
      </c>
      <c r="BL23">
        <f t="shared" si="35"/>
        <v>6.2917166730019472E-2</v>
      </c>
      <c r="BM23">
        <f t="shared" si="36"/>
        <v>0.58776608140409747</v>
      </c>
      <c r="BN23">
        <f t="shared" si="37"/>
        <v>536.20338693381302</v>
      </c>
      <c r="BO23" t="s">
        <v>408</v>
      </c>
      <c r="BP23">
        <v>0</v>
      </c>
      <c r="BQ23">
        <f t="shared" si="38"/>
        <v>536.20338693381302</v>
      </c>
      <c r="BR23">
        <f t="shared" si="39"/>
        <v>0.64298091941899016</v>
      </c>
      <c r="BS23">
        <f t="shared" si="40"/>
        <v>0.67702075756965185</v>
      </c>
      <c r="BT23">
        <f t="shared" si="41"/>
        <v>0.47756856690369076</v>
      </c>
      <c r="BU23">
        <f t="shared" si="42"/>
        <v>0.73955769312665032</v>
      </c>
      <c r="BV23">
        <f t="shared" si="43"/>
        <v>0.49964109018025399</v>
      </c>
      <c r="BW23">
        <f t="shared" si="44"/>
        <v>0.42804005762963027</v>
      </c>
      <c r="BX23">
        <f t="shared" si="45"/>
        <v>0.57195994237036973</v>
      </c>
      <c r="DG23">
        <f t="shared" si="46"/>
        <v>600.00659999999993</v>
      </c>
      <c r="DH23">
        <f t="shared" si="47"/>
        <v>504.30854679264496</v>
      </c>
      <c r="DI23">
        <f t="shared" si="48"/>
        <v>0.84050499909941823</v>
      </c>
      <c r="DJ23">
        <f t="shared" si="49"/>
        <v>0.16057464826187726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1784560731.25</v>
      </c>
      <c r="DQ23">
        <v>420.03699999999998</v>
      </c>
      <c r="DR23">
        <v>455.52643333333339</v>
      </c>
      <c r="DS23">
        <v>23.51275</v>
      </c>
      <c r="DT23">
        <v>20.180879999999998</v>
      </c>
      <c r="DU23">
        <v>426.90683333333328</v>
      </c>
      <c r="DV23">
        <v>24.310750000000009</v>
      </c>
      <c r="DW23">
        <v>500.03746666666672</v>
      </c>
      <c r="DX23">
        <v>97.490586666666701</v>
      </c>
      <c r="DY23">
        <v>6.0493650000000003E-2</v>
      </c>
      <c r="DZ23">
        <v>28.26861666666667</v>
      </c>
      <c r="EA23">
        <v>28.740323333333329</v>
      </c>
      <c r="EB23">
        <v>999.9000000000002</v>
      </c>
      <c r="EC23">
        <v>0</v>
      </c>
      <c r="ED23">
        <v>0</v>
      </c>
      <c r="EE23">
        <v>9998.6666666666661</v>
      </c>
      <c r="EF23">
        <v>0</v>
      </c>
      <c r="EG23">
        <v>610.47889999999995</v>
      </c>
      <c r="EH23">
        <v>-35.489396666666671</v>
      </c>
      <c r="EI23">
        <v>430.19770000000011</v>
      </c>
      <c r="EJ23">
        <v>464.90863333333328</v>
      </c>
      <c r="EK23">
        <v>3.4379720000000011</v>
      </c>
      <c r="EL23">
        <v>455.52643333333339</v>
      </c>
      <c r="EM23">
        <v>20.180879999999998</v>
      </c>
      <c r="EN23">
        <v>2.3026170000000001</v>
      </c>
      <c r="EO23">
        <v>1.967446</v>
      </c>
      <c r="EP23">
        <v>19.694710000000001</v>
      </c>
      <c r="EQ23">
        <v>17.18475333333333</v>
      </c>
      <c r="ER23">
        <v>600.00659999999993</v>
      </c>
      <c r="ES23">
        <v>0.98301706666666655</v>
      </c>
      <c r="ET23">
        <v>1.6982609999999999E-2</v>
      </c>
      <c r="EU23">
        <v>0</v>
      </c>
      <c r="EV23">
        <v>848.28880000000015</v>
      </c>
      <c r="EW23">
        <v>5.0010700000000003</v>
      </c>
      <c r="EX23">
        <v>10393.040000000001</v>
      </c>
      <c r="EY23">
        <v>5415.208333333333</v>
      </c>
      <c r="EZ23">
        <v>43.460099999999983</v>
      </c>
      <c r="FA23">
        <v>46.772733333333328</v>
      </c>
      <c r="FB23">
        <v>45.375</v>
      </c>
      <c r="FC23">
        <v>46.307866666666648</v>
      </c>
      <c r="FD23">
        <v>45.11869999999999</v>
      </c>
      <c r="FE23">
        <v>584.9</v>
      </c>
      <c r="FF23">
        <v>10.1</v>
      </c>
      <c r="FG23">
        <v>0</v>
      </c>
      <c r="FH23">
        <v>182</v>
      </c>
      <c r="FI23">
        <v>0</v>
      </c>
      <c r="FJ23">
        <v>848.10011764705882</v>
      </c>
      <c r="FK23">
        <v>-3.612499970117383</v>
      </c>
      <c r="FL23">
        <v>-67.745098042786822</v>
      </c>
      <c r="FM23">
        <v>10391.176470588231</v>
      </c>
      <c r="FN23">
        <v>10</v>
      </c>
      <c r="FO23">
        <v>1784560764</v>
      </c>
      <c r="FP23" t="s">
        <v>545</v>
      </c>
      <c r="FQ23">
        <v>1784560502</v>
      </c>
      <c r="FR23">
        <v>1784560764</v>
      </c>
      <c r="FS23">
        <v>8</v>
      </c>
      <c r="FT23">
        <v>-2.3E-2</v>
      </c>
      <c r="FU23">
        <v>-1.7999999999999999E-2</v>
      </c>
      <c r="FV23">
        <v>-7.0309999999999997</v>
      </c>
      <c r="FW23">
        <v>-0.79800000000000004</v>
      </c>
      <c r="FX23">
        <v>464</v>
      </c>
      <c r="FY23">
        <v>20</v>
      </c>
      <c r="FZ23">
        <v>0.22</v>
      </c>
      <c r="GA23">
        <v>0.08</v>
      </c>
      <c r="GB23">
        <v>420.04700000000003</v>
      </c>
      <c r="GC23">
        <v>-0.81396774193602117</v>
      </c>
      <c r="GD23">
        <v>7.6446903352966125E-2</v>
      </c>
      <c r="GE23">
        <v>-1</v>
      </c>
      <c r="GF23">
        <v>848.60335294117658</v>
      </c>
      <c r="GG23">
        <v>-4.5165164237381701</v>
      </c>
      <c r="GH23">
        <v>0.49481285127355801</v>
      </c>
      <c r="GI23">
        <v>1</v>
      </c>
      <c r="GJ23">
        <v>3.4432863414634149</v>
      </c>
      <c r="GK23">
        <v>-8.5436445993024454E-2</v>
      </c>
      <c r="GL23">
        <v>9.0741605151184457E-3</v>
      </c>
      <c r="GM23">
        <v>1</v>
      </c>
      <c r="GN23">
        <v>2</v>
      </c>
      <c r="GO23">
        <v>2</v>
      </c>
      <c r="GP23" t="s">
        <v>424</v>
      </c>
      <c r="GQ23">
        <v>3.13001</v>
      </c>
      <c r="GR23">
        <v>2.7369599999999998</v>
      </c>
      <c r="GS23">
        <v>9.0226200000000006E-2</v>
      </c>
      <c r="GT23">
        <v>9.5431600000000005E-2</v>
      </c>
      <c r="GU23">
        <v>0.111266</v>
      </c>
      <c r="GV23">
        <v>9.7816600000000004E-2</v>
      </c>
      <c r="GW23">
        <v>22627.599999999999</v>
      </c>
      <c r="GX23">
        <v>30147.599999999999</v>
      </c>
      <c r="GY23">
        <v>27002.1</v>
      </c>
      <c r="GZ23">
        <v>34305</v>
      </c>
      <c r="HA23">
        <v>35175.599999999999</v>
      </c>
      <c r="HB23">
        <v>39164.1</v>
      </c>
      <c r="HC23">
        <v>39883.1</v>
      </c>
      <c r="HD23">
        <v>43482.2</v>
      </c>
      <c r="HE23">
        <v>1.9224000000000001</v>
      </c>
      <c r="HF23">
        <v>1.6564000000000001</v>
      </c>
      <c r="HG23">
        <v>-0.111014</v>
      </c>
      <c r="HH23">
        <v>0</v>
      </c>
      <c r="HI23">
        <v>30.544799999999999</v>
      </c>
      <c r="HJ23">
        <v>999.9</v>
      </c>
      <c r="HK23">
        <v>58.1</v>
      </c>
      <c r="HL23">
        <v>36.1</v>
      </c>
      <c r="HM23">
        <v>35.765999999999998</v>
      </c>
      <c r="HN23">
        <v>61.9636</v>
      </c>
      <c r="HO23">
        <v>5.0440699999999996</v>
      </c>
      <c r="HP23">
        <v>1</v>
      </c>
      <c r="HQ23">
        <v>0.97859799999999997</v>
      </c>
      <c r="HR23">
        <v>6.8615300000000001</v>
      </c>
      <c r="HS23">
        <v>20.105499999999999</v>
      </c>
      <c r="HT23">
        <v>5.2077099999999996</v>
      </c>
      <c r="HU23">
        <v>11.914099999999999</v>
      </c>
      <c r="HV23">
        <v>4.9824000000000002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1.86768</v>
      </c>
      <c r="IC23">
        <v>1.86337</v>
      </c>
      <c r="ID23">
        <v>1.8627899999999999</v>
      </c>
      <c r="IE23">
        <v>1.8623400000000001</v>
      </c>
      <c r="IF23">
        <v>1.8623400000000001</v>
      </c>
      <c r="IG23">
        <v>1.8629500000000001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-6.8689999999999998</v>
      </c>
      <c r="IX23">
        <v>-0.79800000000000004</v>
      </c>
      <c r="IY23">
        <v>-4.8788289148504562</v>
      </c>
      <c r="IZ23">
        <v>-5.6215304933332991E-3</v>
      </c>
      <c r="JA23">
        <v>2.3979931213773931E-6</v>
      </c>
      <c r="JB23">
        <v>-3.6297174575716598E-10</v>
      </c>
      <c r="JC23">
        <v>-1.092675448255529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</v>
      </c>
      <c r="JL23">
        <v>3.8</v>
      </c>
      <c r="JM23">
        <v>1.1401399999999999</v>
      </c>
      <c r="JN23">
        <v>2.52319</v>
      </c>
      <c r="JO23">
        <v>1.50024</v>
      </c>
      <c r="JP23">
        <v>2.2778299999999998</v>
      </c>
      <c r="JQ23">
        <v>1.4477500000000001</v>
      </c>
      <c r="JR23">
        <v>2.4255399999999998</v>
      </c>
      <c r="JS23">
        <v>43.317599999999999</v>
      </c>
      <c r="JT23">
        <v>23.851099999999999</v>
      </c>
      <c r="JU23">
        <v>18</v>
      </c>
      <c r="JV23">
        <v>550.81200000000001</v>
      </c>
      <c r="JW23">
        <v>389.32499999999999</v>
      </c>
      <c r="JX23">
        <v>23.434799999999999</v>
      </c>
      <c r="JY23">
        <v>38.750900000000001</v>
      </c>
      <c r="JZ23">
        <v>30.000299999999999</v>
      </c>
      <c r="KA23">
        <v>39.090800000000002</v>
      </c>
      <c r="KB23">
        <v>39.355699999999999</v>
      </c>
      <c r="KC23">
        <v>22.809799999999999</v>
      </c>
      <c r="KD23">
        <v>46.739199999999997</v>
      </c>
      <c r="KE23">
        <v>0</v>
      </c>
      <c r="KF23">
        <v>23.416899999999998</v>
      </c>
      <c r="KG23">
        <v>455.56900000000002</v>
      </c>
      <c r="KH23">
        <v>20.247599999999998</v>
      </c>
      <c r="KI23">
        <v>99.6691</v>
      </c>
      <c r="KJ23">
        <v>97.872799999999998</v>
      </c>
    </row>
    <row r="24" spans="1:296" x14ac:dyDescent="0.3">
      <c r="A24">
        <v>8</v>
      </c>
      <c r="B24">
        <v>1784560945</v>
      </c>
      <c r="C24">
        <v>1301.400000095367</v>
      </c>
      <c r="D24" t="s">
        <v>546</v>
      </c>
      <c r="E24" t="s">
        <v>547</v>
      </c>
      <c r="F24">
        <v>15</v>
      </c>
      <c r="H24">
        <v>1784560937.25</v>
      </c>
      <c r="I24">
        <f t="shared" si="0"/>
        <v>2.3246460224631473E-3</v>
      </c>
      <c r="J24">
        <f t="shared" si="1"/>
        <v>2.3246460224631473</v>
      </c>
      <c r="K24">
        <f t="shared" si="2"/>
        <v>19.497031545697133</v>
      </c>
      <c r="L24">
        <f t="shared" si="3"/>
        <v>420.05966666666671</v>
      </c>
      <c r="M24">
        <f t="shared" si="4"/>
        <v>176.51104263182381</v>
      </c>
      <c r="N24">
        <f t="shared" si="5"/>
        <v>17.218274679267619</v>
      </c>
      <c r="O24">
        <f t="shared" si="6"/>
        <v>40.97592204151568</v>
      </c>
      <c r="P24">
        <f t="shared" si="7"/>
        <v>0.13560194834951414</v>
      </c>
      <c r="Q24">
        <f t="shared" si="8"/>
        <v>2.8852395000819397</v>
      </c>
      <c r="R24">
        <f t="shared" si="9"/>
        <v>0.13215831785972218</v>
      </c>
      <c r="S24">
        <f t="shared" si="10"/>
        <v>8.2901061293013084E-2</v>
      </c>
      <c r="T24">
        <f t="shared" si="11"/>
        <v>64.412634122649109</v>
      </c>
      <c r="U24">
        <f t="shared" si="12"/>
        <v>27.949682419244208</v>
      </c>
      <c r="V24">
        <f t="shared" si="13"/>
        <v>28.722239999999999</v>
      </c>
      <c r="W24">
        <f t="shared" si="14"/>
        <v>3.9575831407527247</v>
      </c>
      <c r="X24">
        <f t="shared" si="15"/>
        <v>59.900294477196759</v>
      </c>
      <c r="Y24">
        <f t="shared" si="16"/>
        <v>2.296736427213518</v>
      </c>
      <c r="Z24">
        <f t="shared" si="17"/>
        <v>3.8342656697419994</v>
      </c>
      <c r="AA24">
        <f t="shared" si="18"/>
        <v>1.6608467135392067</v>
      </c>
      <c r="AB24">
        <f t="shared" si="19"/>
        <v>-102.5168895906248</v>
      </c>
      <c r="AC24">
        <f t="shared" si="20"/>
        <v>-84.74726056878535</v>
      </c>
      <c r="AD24">
        <f t="shared" si="21"/>
        <v>-6.4313253052507102</v>
      </c>
      <c r="AE24">
        <f t="shared" si="22"/>
        <v>-129.28284134201175</v>
      </c>
      <c r="AF24">
        <f t="shared" si="23"/>
        <v>19.497031545697133</v>
      </c>
      <c r="AG24">
        <f t="shared" si="24"/>
        <v>2.3246460224631473</v>
      </c>
      <c r="AH24">
        <f t="shared" si="25"/>
        <v>19.665742008398105</v>
      </c>
      <c r="AI24">
        <v>454.0618709970725</v>
      </c>
      <c r="AJ24">
        <v>429.9676181818183</v>
      </c>
      <c r="AK24">
        <v>-1.5276438518896261E-3</v>
      </c>
      <c r="AL24">
        <v>67.060510676143494</v>
      </c>
      <c r="AM24">
        <f t="shared" si="26"/>
        <v>2.3069095677631175</v>
      </c>
      <c r="AN24">
        <v>20.823884350909101</v>
      </c>
      <c r="AO24">
        <v>23.531463636363629</v>
      </c>
      <c r="AP24">
        <v>-6.9623427552715199E-4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51351.124339909416</v>
      </c>
      <c r="AW24" t="s">
        <v>519</v>
      </c>
      <c r="AX24">
        <v>5084.9399999999996</v>
      </c>
      <c r="AY24">
        <v>617.86176470588248</v>
      </c>
      <c r="AZ24">
        <v>2384.65</v>
      </c>
      <c r="BA24">
        <f t="shared" si="30"/>
        <v>0.74090044043952674</v>
      </c>
      <c r="BB24">
        <v>-3.3473499592976261</v>
      </c>
      <c r="BC24" t="s">
        <v>548</v>
      </c>
      <c r="BD24">
        <v>5067.6000000000004</v>
      </c>
      <c r="BE24">
        <v>812.93641176470589</v>
      </c>
      <c r="BF24">
        <v>1602.62</v>
      </c>
      <c r="BG24">
        <f t="shared" si="31"/>
        <v>0.49274537210024461</v>
      </c>
      <c r="BH24">
        <v>0.5</v>
      </c>
      <c r="BI24">
        <f t="shared" si="32"/>
        <v>336.30222994955921</v>
      </c>
      <c r="BJ24">
        <f t="shared" si="33"/>
        <v>19.497031545697133</v>
      </c>
      <c r="BK24">
        <f t="shared" si="34"/>
        <v>82.855683717318783</v>
      </c>
      <c r="BL24">
        <f t="shared" si="35"/>
        <v>6.7928129731465378E-2</v>
      </c>
      <c r="BM24">
        <f t="shared" si="36"/>
        <v>0.48796969961687753</v>
      </c>
      <c r="BN24">
        <f t="shared" si="37"/>
        <v>548.51190481204503</v>
      </c>
      <c r="BO24" t="s">
        <v>408</v>
      </c>
      <c r="BP24">
        <v>0</v>
      </c>
      <c r="BQ24">
        <f t="shared" si="38"/>
        <v>548.51190481204503</v>
      </c>
      <c r="BR24">
        <f t="shared" si="39"/>
        <v>0.65774050940831574</v>
      </c>
      <c r="BS24">
        <f t="shared" si="40"/>
        <v>0.74914858527339923</v>
      </c>
      <c r="BT24">
        <f t="shared" si="41"/>
        <v>0.42591023085327806</v>
      </c>
      <c r="BU24">
        <f t="shared" si="42"/>
        <v>0.80190605158984984</v>
      </c>
      <c r="BV24">
        <f t="shared" si="43"/>
        <v>0.44262803225527225</v>
      </c>
      <c r="BW24">
        <f t="shared" si="44"/>
        <v>0.50547239802378985</v>
      </c>
      <c r="BX24">
        <f t="shared" si="45"/>
        <v>0.49452760197621015</v>
      </c>
      <c r="DG24">
        <f t="shared" si="46"/>
        <v>400.0073000000001</v>
      </c>
      <c r="DH24">
        <f t="shared" si="47"/>
        <v>336.30222994955921</v>
      </c>
      <c r="DI24">
        <f t="shared" si="48"/>
        <v>0.84074023136467535</v>
      </c>
      <c r="DJ24">
        <f t="shared" si="49"/>
        <v>0.16102864653382348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1784560937.25</v>
      </c>
      <c r="DQ24">
        <v>420.05966666666671</v>
      </c>
      <c r="DR24">
        <v>444.62946666666659</v>
      </c>
      <c r="DS24">
        <v>23.54471333333333</v>
      </c>
      <c r="DT24">
        <v>20.820643333333329</v>
      </c>
      <c r="DU24">
        <v>426.8812666666667</v>
      </c>
      <c r="DV24">
        <v>24.268023333333339</v>
      </c>
      <c r="DW24">
        <v>499.96796666666671</v>
      </c>
      <c r="DX24">
        <v>97.487329999999986</v>
      </c>
      <c r="DY24">
        <v>6.0531156666666669E-2</v>
      </c>
      <c r="DZ24">
        <v>28.177413333333341</v>
      </c>
      <c r="EA24">
        <v>28.722239999999999</v>
      </c>
      <c r="EB24">
        <v>999.9000000000002</v>
      </c>
      <c r="EC24">
        <v>0</v>
      </c>
      <c r="ED24">
        <v>0</v>
      </c>
      <c r="EE24">
        <v>10000.83333333333</v>
      </c>
      <c r="EF24">
        <v>0</v>
      </c>
      <c r="EG24">
        <v>632.21730000000002</v>
      </c>
      <c r="EH24">
        <v>-24.56977333333333</v>
      </c>
      <c r="EI24">
        <v>430.18836666666658</v>
      </c>
      <c r="EJ24">
        <v>454.08376666666658</v>
      </c>
      <c r="EK24">
        <v>2.7240746666666671</v>
      </c>
      <c r="EL24">
        <v>444.62946666666659</v>
      </c>
      <c r="EM24">
        <v>20.820643333333329</v>
      </c>
      <c r="EN24">
        <v>2.295310333333334</v>
      </c>
      <c r="EO24">
        <v>2.029748333333333</v>
      </c>
      <c r="EP24">
        <v>19.643523333333331</v>
      </c>
      <c r="EQ24">
        <v>17.678326666666671</v>
      </c>
      <c r="ER24">
        <v>400.0073000000001</v>
      </c>
      <c r="ES24">
        <v>0.97502233333333332</v>
      </c>
      <c r="ET24">
        <v>2.4977646666666669E-2</v>
      </c>
      <c r="EU24">
        <v>0</v>
      </c>
      <c r="EV24">
        <v>813.30969999999991</v>
      </c>
      <c r="EW24">
        <v>5.0010700000000003</v>
      </c>
      <c r="EX24">
        <v>8353.6146666666664</v>
      </c>
      <c r="EY24">
        <v>3583.7716666666661</v>
      </c>
      <c r="EZ24">
        <v>42.939099999999968</v>
      </c>
      <c r="FA24">
        <v>46.561999999999983</v>
      </c>
      <c r="FB24">
        <v>45.039266666666663</v>
      </c>
      <c r="FC24">
        <v>46.178733333333312</v>
      </c>
      <c r="FD24">
        <v>44.686999999999983</v>
      </c>
      <c r="FE24">
        <v>385.13900000000001</v>
      </c>
      <c r="FF24">
        <v>9.870000000000001</v>
      </c>
      <c r="FG24">
        <v>0</v>
      </c>
      <c r="FH24">
        <v>205.5999999046326</v>
      </c>
      <c r="FI24">
        <v>0</v>
      </c>
      <c r="FJ24">
        <v>812.93641176470589</v>
      </c>
      <c r="FK24">
        <v>-7.2588235524354259</v>
      </c>
      <c r="FL24">
        <v>-89.45343115156318</v>
      </c>
      <c r="FM24">
        <v>8346.6729411764682</v>
      </c>
      <c r="FN24">
        <v>10</v>
      </c>
      <c r="FO24">
        <v>1784560906</v>
      </c>
      <c r="FP24" t="s">
        <v>549</v>
      </c>
      <c r="FQ24">
        <v>1784560904</v>
      </c>
      <c r="FR24">
        <v>1784560906</v>
      </c>
      <c r="FS24">
        <v>9</v>
      </c>
      <c r="FT24">
        <v>4.8000000000000001E-2</v>
      </c>
      <c r="FU24">
        <v>-1.2999999999999999E-2</v>
      </c>
      <c r="FV24">
        <v>-6.9169999999999998</v>
      </c>
      <c r="FW24">
        <v>-0.79900000000000004</v>
      </c>
      <c r="FX24">
        <v>446</v>
      </c>
      <c r="FY24">
        <v>21</v>
      </c>
      <c r="FZ24">
        <v>0.26</v>
      </c>
      <c r="GA24">
        <v>0.1</v>
      </c>
      <c r="GB24">
        <v>420.06787096774201</v>
      </c>
      <c r="GC24">
        <v>-2.5428387096773069</v>
      </c>
      <c r="GD24">
        <v>0.1999515654151488</v>
      </c>
      <c r="GE24">
        <v>-1</v>
      </c>
      <c r="GF24">
        <v>813.60799999999995</v>
      </c>
      <c r="GG24">
        <v>-7.359908324751216</v>
      </c>
      <c r="GH24">
        <v>0.74916490762950128</v>
      </c>
      <c r="GI24">
        <v>1</v>
      </c>
      <c r="GJ24">
        <v>2.7499056097560972</v>
      </c>
      <c r="GK24">
        <v>-0.46046278745644342</v>
      </c>
      <c r="GL24">
        <v>5.1578821142808748E-2</v>
      </c>
      <c r="GM24">
        <v>1</v>
      </c>
      <c r="GN24">
        <v>2</v>
      </c>
      <c r="GO24">
        <v>2</v>
      </c>
      <c r="GP24" t="s">
        <v>424</v>
      </c>
      <c r="GQ24">
        <v>3.13117</v>
      </c>
      <c r="GR24">
        <v>2.73644</v>
      </c>
      <c r="GS24">
        <v>9.0148900000000004E-2</v>
      </c>
      <c r="GT24">
        <v>9.3663099999999999E-2</v>
      </c>
      <c r="GU24">
        <v>0.111059</v>
      </c>
      <c r="GV24">
        <v>9.9981100000000003E-2</v>
      </c>
      <c r="GW24">
        <v>22620</v>
      </c>
      <c r="GX24">
        <v>30192.7</v>
      </c>
      <c r="GY24">
        <v>26991.599999999999</v>
      </c>
      <c r="GZ24">
        <v>34290.5</v>
      </c>
      <c r="HA24">
        <v>35172.1</v>
      </c>
      <c r="HB24">
        <v>39056.9</v>
      </c>
      <c r="HC24">
        <v>39869</v>
      </c>
      <c r="HD24">
        <v>43466.9</v>
      </c>
      <c r="HE24">
        <v>1.9212</v>
      </c>
      <c r="HF24">
        <v>1.6504000000000001</v>
      </c>
      <c r="HG24">
        <v>-0.116229</v>
      </c>
      <c r="HH24">
        <v>0</v>
      </c>
      <c r="HI24">
        <v>30.6113</v>
      </c>
      <c r="HJ24">
        <v>999.9</v>
      </c>
      <c r="HK24">
        <v>57</v>
      </c>
      <c r="HL24">
        <v>36.6</v>
      </c>
      <c r="HM24">
        <v>36.064399999999999</v>
      </c>
      <c r="HN24">
        <v>61.883600000000001</v>
      </c>
      <c r="HO24">
        <v>5.1722799999999998</v>
      </c>
      <c r="HP24">
        <v>1</v>
      </c>
      <c r="HQ24">
        <v>0.99628000000000005</v>
      </c>
      <c r="HR24">
        <v>6.5977600000000001</v>
      </c>
      <c r="HS24">
        <v>20.116800000000001</v>
      </c>
      <c r="HT24">
        <v>5.2112999999999996</v>
      </c>
      <c r="HU24">
        <v>11.914099999999999</v>
      </c>
      <c r="HV24">
        <v>4.984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1.8633999999999999</v>
      </c>
      <c r="ID24">
        <v>1.8627899999999999</v>
      </c>
      <c r="IE24">
        <v>1.8623400000000001</v>
      </c>
      <c r="IF24">
        <v>1.8623400000000001</v>
      </c>
      <c r="IG24">
        <v>1.8629500000000001</v>
      </c>
      <c r="IH24">
        <v>1.8638600000000001</v>
      </c>
      <c r="II24">
        <v>1.86185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-6.8209999999999997</v>
      </c>
      <c r="IX24">
        <v>-0.72370000000000001</v>
      </c>
      <c r="IY24">
        <v>-4.8306220486656937</v>
      </c>
      <c r="IZ24">
        <v>-5.6215304933332991E-3</v>
      </c>
      <c r="JA24">
        <v>2.3979931213773931E-6</v>
      </c>
      <c r="JB24">
        <v>-3.6297174575716598E-10</v>
      </c>
      <c r="JC24">
        <v>-1.122906733883011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0.7</v>
      </c>
      <c r="JL24">
        <v>0.7</v>
      </c>
      <c r="JM24">
        <v>1.11938</v>
      </c>
      <c r="JN24">
        <v>2.52319</v>
      </c>
      <c r="JO24">
        <v>1.50024</v>
      </c>
      <c r="JP24">
        <v>2.2778299999999998</v>
      </c>
      <c r="JQ24">
        <v>1.4477500000000001</v>
      </c>
      <c r="JR24">
        <v>2.48169</v>
      </c>
      <c r="JS24">
        <v>43.781700000000001</v>
      </c>
      <c r="JT24">
        <v>23.842300000000002</v>
      </c>
      <c r="JU24">
        <v>18</v>
      </c>
      <c r="JV24">
        <v>551.53</v>
      </c>
      <c r="JW24">
        <v>386.91300000000001</v>
      </c>
      <c r="JX24">
        <v>23.6434</v>
      </c>
      <c r="JY24">
        <v>38.961500000000001</v>
      </c>
      <c r="JZ24">
        <v>30.000900000000001</v>
      </c>
      <c r="KA24">
        <v>39.290199999999999</v>
      </c>
      <c r="KB24">
        <v>39.557400000000001</v>
      </c>
      <c r="KC24">
        <v>22.388200000000001</v>
      </c>
      <c r="KD24">
        <v>45.948399999999999</v>
      </c>
      <c r="KE24">
        <v>0</v>
      </c>
      <c r="KF24">
        <v>23.647300000000001</v>
      </c>
      <c r="KG24">
        <v>444.846</v>
      </c>
      <c r="KH24">
        <v>20.829799999999999</v>
      </c>
      <c r="KI24">
        <v>99.632499999999993</v>
      </c>
      <c r="KJ24">
        <v>97.835400000000007</v>
      </c>
    </row>
    <row r="25" spans="1:296" x14ac:dyDescent="0.3">
      <c r="A25">
        <v>9</v>
      </c>
      <c r="B25">
        <v>1784561127.5</v>
      </c>
      <c r="C25">
        <v>1483.900000095367</v>
      </c>
      <c r="D25" t="s">
        <v>550</v>
      </c>
      <c r="E25" t="s">
        <v>551</v>
      </c>
      <c r="F25">
        <v>15</v>
      </c>
      <c r="H25">
        <v>1784561119.75</v>
      </c>
      <c r="I25">
        <f t="shared" si="0"/>
        <v>1.9060519617322379E-3</v>
      </c>
      <c r="J25">
        <f t="shared" si="1"/>
        <v>1.9060519617322378</v>
      </c>
      <c r="K25">
        <f t="shared" si="2"/>
        <v>15.102204779061891</v>
      </c>
      <c r="L25">
        <f t="shared" si="3"/>
        <v>420.01973333333342</v>
      </c>
      <c r="M25">
        <f t="shared" si="4"/>
        <v>187.89833020873874</v>
      </c>
      <c r="N25">
        <f t="shared" si="5"/>
        <v>18.32796762939951</v>
      </c>
      <c r="O25">
        <f t="shared" si="6"/>
        <v>40.969539578613706</v>
      </c>
      <c r="P25">
        <f t="shared" si="7"/>
        <v>0.11005055151913821</v>
      </c>
      <c r="Q25">
        <f t="shared" si="8"/>
        <v>2.8853310065741913</v>
      </c>
      <c r="R25">
        <f t="shared" si="9"/>
        <v>0.10777073249346587</v>
      </c>
      <c r="S25">
        <f t="shared" si="10"/>
        <v>6.7557606824554597E-2</v>
      </c>
      <c r="T25">
        <f t="shared" si="11"/>
        <v>48.443922902768271</v>
      </c>
      <c r="U25">
        <f t="shared" si="12"/>
        <v>27.930492841933596</v>
      </c>
      <c r="V25">
        <f t="shared" si="13"/>
        <v>28.72277333333334</v>
      </c>
      <c r="W25">
        <f t="shared" si="14"/>
        <v>3.9577055314440672</v>
      </c>
      <c r="X25">
        <f t="shared" si="15"/>
        <v>59.785518352362679</v>
      </c>
      <c r="Y25">
        <f t="shared" si="16"/>
        <v>2.2877912513374494</v>
      </c>
      <c r="Z25">
        <f t="shared" si="17"/>
        <v>3.8266645742765193</v>
      </c>
      <c r="AA25">
        <f t="shared" si="18"/>
        <v>1.6699142801066178</v>
      </c>
      <c r="AB25">
        <f t="shared" si="19"/>
        <v>-84.056891512391687</v>
      </c>
      <c r="AC25">
        <f t="shared" si="20"/>
        <v>-90.134189610802707</v>
      </c>
      <c r="AD25">
        <f t="shared" si="21"/>
        <v>-6.8387722802069266</v>
      </c>
      <c r="AE25">
        <f t="shared" si="22"/>
        <v>-132.58593050063305</v>
      </c>
      <c r="AF25">
        <f t="shared" si="23"/>
        <v>15.102204779061891</v>
      </c>
      <c r="AG25">
        <f t="shared" si="24"/>
        <v>1.9060519617322378</v>
      </c>
      <c r="AH25">
        <f t="shared" si="25"/>
        <v>15.254475576267435</v>
      </c>
      <c r="AI25">
        <v>448.49942209112692</v>
      </c>
      <c r="AJ25">
        <v>430.00271515151468</v>
      </c>
      <c r="AK25">
        <v>-3.910812455668599E-2</v>
      </c>
      <c r="AL25">
        <v>67.058979663153622</v>
      </c>
      <c r="AM25">
        <f t="shared" si="26"/>
        <v>1.8813898126782829</v>
      </c>
      <c r="AN25">
        <v>21.22653248748918</v>
      </c>
      <c r="AO25">
        <v>23.434572121212099</v>
      </c>
      <c r="AP25">
        <v>-5.6430659536496684E-4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51359.392335772522</v>
      </c>
      <c r="AW25" t="s">
        <v>519</v>
      </c>
      <c r="AX25">
        <v>5084.9399999999996</v>
      </c>
      <c r="AY25">
        <v>617.86176470588248</v>
      </c>
      <c r="AZ25">
        <v>2384.65</v>
      </c>
      <c r="BA25">
        <f t="shared" si="30"/>
        <v>0.74090044043952674</v>
      </c>
      <c r="BB25">
        <v>-3.3473499592976261</v>
      </c>
      <c r="BC25" t="s">
        <v>552</v>
      </c>
      <c r="BD25">
        <v>5069.43</v>
      </c>
      <c r="BE25">
        <v>792.386705882353</v>
      </c>
      <c r="BF25">
        <v>1682.56</v>
      </c>
      <c r="BG25">
        <f t="shared" si="31"/>
        <v>0.52905887107600735</v>
      </c>
      <c r="BH25">
        <v>0.5</v>
      </c>
      <c r="BI25">
        <f t="shared" si="32"/>
        <v>252.29481335894732</v>
      </c>
      <c r="BJ25">
        <f t="shared" si="33"/>
        <v>15.102204779061891</v>
      </c>
      <c r="BK25">
        <f t="shared" si="34"/>
        <v>66.739404567008322</v>
      </c>
      <c r="BL25">
        <f t="shared" si="35"/>
        <v>7.3126967981346436E-2</v>
      </c>
      <c r="BM25">
        <f t="shared" si="36"/>
        <v>0.41727486686953225</v>
      </c>
      <c r="BN25">
        <f t="shared" si="37"/>
        <v>557.57873083530319</v>
      </c>
      <c r="BO25" t="s">
        <v>408</v>
      </c>
      <c r="BP25">
        <v>0</v>
      </c>
      <c r="BQ25">
        <f t="shared" si="38"/>
        <v>557.57873083530319</v>
      </c>
      <c r="BR25">
        <f t="shared" si="39"/>
        <v>0.66861286917833351</v>
      </c>
      <c r="BS25">
        <f t="shared" si="40"/>
        <v>0.79127832481922511</v>
      </c>
      <c r="BT25">
        <f t="shared" si="41"/>
        <v>0.38427072432756426</v>
      </c>
      <c r="BU25">
        <f t="shared" si="42"/>
        <v>0.83608036963801402</v>
      </c>
      <c r="BV25">
        <f t="shared" si="43"/>
        <v>0.39738208913482098</v>
      </c>
      <c r="BW25">
        <f t="shared" si="44"/>
        <v>0.55679879636407481</v>
      </c>
      <c r="BX25">
        <f t="shared" si="45"/>
        <v>0.44320120363592519</v>
      </c>
      <c r="DG25">
        <f t="shared" si="46"/>
        <v>300.00346666666672</v>
      </c>
      <c r="DH25">
        <f t="shared" si="47"/>
        <v>252.29481335894732</v>
      </c>
      <c r="DI25">
        <f t="shared" si="48"/>
        <v>0.84097299328634623</v>
      </c>
      <c r="DJ25">
        <f t="shared" si="49"/>
        <v>0.16147787704264838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1784561119.75</v>
      </c>
      <c r="DQ25">
        <v>420.01973333333342</v>
      </c>
      <c r="DR25">
        <v>439.10160000000002</v>
      </c>
      <c r="DS25">
        <v>23.45443666666667</v>
      </c>
      <c r="DT25">
        <v>21.220993333333329</v>
      </c>
      <c r="DU25">
        <v>426.82459999999998</v>
      </c>
      <c r="DV25">
        <v>24.192150000000009</v>
      </c>
      <c r="DW25">
        <v>500.03863333333328</v>
      </c>
      <c r="DX25">
        <v>97.48108666666667</v>
      </c>
      <c r="DY25">
        <v>6.0853216666666661E-2</v>
      </c>
      <c r="DZ25">
        <v>28.143333333333331</v>
      </c>
      <c r="EA25">
        <v>28.72277333333334</v>
      </c>
      <c r="EB25">
        <v>999.9000000000002</v>
      </c>
      <c r="EC25">
        <v>0</v>
      </c>
      <c r="ED25">
        <v>0</v>
      </c>
      <c r="EE25">
        <v>10002</v>
      </c>
      <c r="EF25">
        <v>0</v>
      </c>
      <c r="EG25">
        <v>655.19360000000017</v>
      </c>
      <c r="EH25">
        <v>-19.081779999999998</v>
      </c>
      <c r="EI25">
        <v>430.10763333333341</v>
      </c>
      <c r="EJ25">
        <v>448.6217333333334</v>
      </c>
      <c r="EK25">
        <v>2.2334376666666671</v>
      </c>
      <c r="EL25">
        <v>439.10160000000002</v>
      </c>
      <c r="EM25">
        <v>21.220993333333329</v>
      </c>
      <c r="EN25">
        <v>2.2863639999999998</v>
      </c>
      <c r="EO25">
        <v>2.0686463333333331</v>
      </c>
      <c r="EP25">
        <v>19.580643333333331</v>
      </c>
      <c r="EQ25">
        <v>17.97978333333333</v>
      </c>
      <c r="ER25">
        <v>300.00346666666672</v>
      </c>
      <c r="ES25">
        <v>0.96701239999999977</v>
      </c>
      <c r="ET25">
        <v>3.2987966666666667E-2</v>
      </c>
      <c r="EU25">
        <v>0</v>
      </c>
      <c r="EV25">
        <v>792.56666666666683</v>
      </c>
      <c r="EW25">
        <v>5.0010700000000003</v>
      </c>
      <c r="EX25">
        <v>7358.3489999999993</v>
      </c>
      <c r="EY25">
        <v>2668.0716666666658</v>
      </c>
      <c r="EZ25">
        <v>42.566199999999981</v>
      </c>
      <c r="FA25">
        <v>46.370800000000003</v>
      </c>
      <c r="FB25">
        <v>44.75</v>
      </c>
      <c r="FC25">
        <v>45.936999999999983</v>
      </c>
      <c r="FD25">
        <v>44.375</v>
      </c>
      <c r="FE25">
        <v>285.27100000000002</v>
      </c>
      <c r="FF25">
        <v>9.73</v>
      </c>
      <c r="FG25">
        <v>0</v>
      </c>
      <c r="FH25">
        <v>181.79999995231631</v>
      </c>
      <c r="FI25">
        <v>0</v>
      </c>
      <c r="FJ25">
        <v>792.386705882353</v>
      </c>
      <c r="FK25">
        <v>-2.9066176411940798</v>
      </c>
      <c r="FL25">
        <v>-37.306372552520052</v>
      </c>
      <c r="FM25">
        <v>7355.2452941176471</v>
      </c>
      <c r="FN25">
        <v>10</v>
      </c>
      <c r="FO25">
        <v>1784561053.5</v>
      </c>
      <c r="FP25" t="s">
        <v>553</v>
      </c>
      <c r="FQ25">
        <v>1784561053.5</v>
      </c>
      <c r="FR25">
        <v>1784561051.5</v>
      </c>
      <c r="FS25">
        <v>10</v>
      </c>
      <c r="FT25">
        <v>1.6E-2</v>
      </c>
      <c r="FU25">
        <v>-1.2E-2</v>
      </c>
      <c r="FV25">
        <v>-6.8780000000000001</v>
      </c>
      <c r="FW25">
        <v>-0.80500000000000005</v>
      </c>
      <c r="FX25">
        <v>440</v>
      </c>
      <c r="FY25">
        <v>21</v>
      </c>
      <c r="FZ25">
        <v>0.45</v>
      </c>
      <c r="GA25">
        <v>0.13</v>
      </c>
      <c r="GB25">
        <v>420.01973333333342</v>
      </c>
      <c r="GC25">
        <v>-0.1008587319251268</v>
      </c>
      <c r="GD25">
        <v>6.0444428104570312E-2</v>
      </c>
      <c r="GE25">
        <v>-1</v>
      </c>
      <c r="GF25">
        <v>792.73985294117642</v>
      </c>
      <c r="GG25">
        <v>-3.8867990904816851</v>
      </c>
      <c r="GH25">
        <v>0.4268879266307638</v>
      </c>
      <c r="GI25">
        <v>1</v>
      </c>
      <c r="GJ25">
        <v>2.2427732499999999</v>
      </c>
      <c r="GK25">
        <v>-0.21602262664165359</v>
      </c>
      <c r="GL25">
        <v>2.1073843549231829E-2</v>
      </c>
      <c r="GM25">
        <v>1</v>
      </c>
      <c r="GN25">
        <v>2</v>
      </c>
      <c r="GO25">
        <v>2</v>
      </c>
      <c r="GP25" t="s">
        <v>424</v>
      </c>
      <c r="GQ25">
        <v>3.1307299999999998</v>
      </c>
      <c r="GR25">
        <v>2.7368800000000002</v>
      </c>
      <c r="GS25">
        <v>9.0137400000000006E-2</v>
      </c>
      <c r="GT25">
        <v>9.2754500000000004E-2</v>
      </c>
      <c r="GU25">
        <v>0.110751</v>
      </c>
      <c r="GV25">
        <v>0.10131</v>
      </c>
      <c r="GW25">
        <v>22616.2</v>
      </c>
      <c r="GX25">
        <v>30219.1</v>
      </c>
      <c r="GY25">
        <v>26987.3</v>
      </c>
      <c r="GZ25">
        <v>34286.9</v>
      </c>
      <c r="HA25">
        <v>35179.599999999999</v>
      </c>
      <c r="HB25">
        <v>38996.9</v>
      </c>
      <c r="HC25">
        <v>39863.199999999997</v>
      </c>
      <c r="HD25">
        <v>43463.8</v>
      </c>
      <c r="HE25">
        <v>1.9198</v>
      </c>
      <c r="HF25">
        <v>1.6474</v>
      </c>
      <c r="HG25">
        <v>-0.115812</v>
      </c>
      <c r="HH25">
        <v>0</v>
      </c>
      <c r="HI25">
        <v>30.603300000000001</v>
      </c>
      <c r="HJ25">
        <v>999.9</v>
      </c>
      <c r="HK25">
        <v>56.2</v>
      </c>
      <c r="HL25">
        <v>37</v>
      </c>
      <c r="HM25">
        <v>36.348199999999999</v>
      </c>
      <c r="HN25">
        <v>61.863700000000001</v>
      </c>
      <c r="HO25">
        <v>5.0801299999999996</v>
      </c>
      <c r="HP25">
        <v>1</v>
      </c>
      <c r="HQ25">
        <v>1.00512</v>
      </c>
      <c r="HR25">
        <v>6.6998699999999998</v>
      </c>
      <c r="HS25">
        <v>20.113399999999999</v>
      </c>
      <c r="HT25">
        <v>5.2100999999999997</v>
      </c>
      <c r="HU25">
        <v>11.914099999999999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1.86768</v>
      </c>
      <c r="IC25">
        <v>1.8633999999999999</v>
      </c>
      <c r="ID25">
        <v>1.8627899999999999</v>
      </c>
      <c r="IE25">
        <v>1.8623400000000001</v>
      </c>
      <c r="IF25">
        <v>1.8623400000000001</v>
      </c>
      <c r="IG25">
        <v>1.8629500000000001</v>
      </c>
      <c r="IH25">
        <v>1.8638600000000001</v>
      </c>
      <c r="II25">
        <v>1.86185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-6.8049999999999997</v>
      </c>
      <c r="IX25">
        <v>-0.73829999999999996</v>
      </c>
      <c r="IY25">
        <v>-4.8140690710136047</v>
      </c>
      <c r="IZ25">
        <v>-5.6215304933332991E-3</v>
      </c>
      <c r="JA25">
        <v>2.3979931213773931E-6</v>
      </c>
      <c r="JB25">
        <v>-3.6297174575716598E-10</v>
      </c>
      <c r="JC25">
        <v>-1.13520610239078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1.2</v>
      </c>
      <c r="JL25">
        <v>1.3</v>
      </c>
      <c r="JM25">
        <v>1.1084000000000001</v>
      </c>
      <c r="JN25">
        <v>2.5305200000000001</v>
      </c>
      <c r="JO25">
        <v>1.50024</v>
      </c>
      <c r="JP25">
        <v>2.2778299999999998</v>
      </c>
      <c r="JQ25">
        <v>1.4477500000000001</v>
      </c>
      <c r="JR25">
        <v>2.34863</v>
      </c>
      <c r="JS25">
        <v>44.167700000000004</v>
      </c>
      <c r="JT25">
        <v>23.833600000000001</v>
      </c>
      <c r="JU25">
        <v>18</v>
      </c>
      <c r="JV25">
        <v>551.59500000000003</v>
      </c>
      <c r="JW25">
        <v>385.88200000000001</v>
      </c>
      <c r="JX25">
        <v>23.631599999999999</v>
      </c>
      <c r="JY25">
        <v>39.082599999999999</v>
      </c>
      <c r="JZ25">
        <v>30.000599999999999</v>
      </c>
      <c r="KA25">
        <v>39.424100000000003</v>
      </c>
      <c r="KB25">
        <v>39.690399999999997</v>
      </c>
      <c r="KC25">
        <v>22.168399999999998</v>
      </c>
      <c r="KD25">
        <v>45.579099999999997</v>
      </c>
      <c r="KE25">
        <v>0</v>
      </c>
      <c r="KF25">
        <v>23.614000000000001</v>
      </c>
      <c r="KG25">
        <v>439.08300000000003</v>
      </c>
      <c r="KH25">
        <v>21.338100000000001</v>
      </c>
      <c r="KI25">
        <v>99.617500000000007</v>
      </c>
      <c r="KJ25">
        <v>97.826999999999998</v>
      </c>
    </row>
    <row r="26" spans="1:296" x14ac:dyDescent="0.3">
      <c r="A26">
        <v>10</v>
      </c>
      <c r="B26">
        <v>1784561310</v>
      </c>
      <c r="C26">
        <v>1666.400000095367</v>
      </c>
      <c r="D26" t="s">
        <v>554</v>
      </c>
      <c r="E26" t="s">
        <v>555</v>
      </c>
      <c r="F26">
        <v>15</v>
      </c>
      <c r="H26">
        <v>1784561302.25</v>
      </c>
      <c r="I26">
        <f t="shared" si="0"/>
        <v>1.4013635506916105E-3</v>
      </c>
      <c r="J26">
        <f t="shared" si="1"/>
        <v>1.4013635506916104</v>
      </c>
      <c r="K26">
        <f t="shared" si="2"/>
        <v>10.396108740611252</v>
      </c>
      <c r="L26">
        <f t="shared" si="3"/>
        <v>420.00116666666668</v>
      </c>
      <c r="M26">
        <f t="shared" si="4"/>
        <v>201.65170046888977</v>
      </c>
      <c r="N26">
        <f t="shared" si="5"/>
        <v>19.667989420919945</v>
      </c>
      <c r="O26">
        <f t="shared" si="6"/>
        <v>40.964586381201642</v>
      </c>
      <c r="P26">
        <f t="shared" si="7"/>
        <v>8.0422861817927779E-2</v>
      </c>
      <c r="Q26">
        <f t="shared" si="8"/>
        <v>2.8848480770425988</v>
      </c>
      <c r="R26">
        <f t="shared" si="9"/>
        <v>7.9197779582263317E-2</v>
      </c>
      <c r="S26">
        <f t="shared" si="10"/>
        <v>4.9607126428206881E-2</v>
      </c>
      <c r="T26">
        <f t="shared" si="11"/>
        <v>32.487011176649105</v>
      </c>
      <c r="U26">
        <f t="shared" si="12"/>
        <v>27.917266965716411</v>
      </c>
      <c r="V26">
        <f t="shared" si="13"/>
        <v>28.722766666666669</v>
      </c>
      <c r="W26">
        <f t="shared" si="14"/>
        <v>3.9577040015400509</v>
      </c>
      <c r="X26">
        <f t="shared" si="15"/>
        <v>59.945550621270392</v>
      </c>
      <c r="Y26">
        <f t="shared" si="16"/>
        <v>2.2871320099641927</v>
      </c>
      <c r="Z26">
        <f t="shared" si="17"/>
        <v>3.8153490730513915</v>
      </c>
      <c r="AA26">
        <f t="shared" si="18"/>
        <v>1.6705719915758581</v>
      </c>
      <c r="AB26">
        <f t="shared" si="19"/>
        <v>-61.800132585500023</v>
      </c>
      <c r="AC26">
        <f t="shared" si="20"/>
        <v>-98.025624997433411</v>
      </c>
      <c r="AD26">
        <f t="shared" si="21"/>
        <v>-7.4368851483277414</v>
      </c>
      <c r="AE26">
        <f t="shared" si="22"/>
        <v>-134.77563155461206</v>
      </c>
      <c r="AF26">
        <f t="shared" si="23"/>
        <v>10.396108740611252</v>
      </c>
      <c r="AG26">
        <f t="shared" si="24"/>
        <v>1.4013635506916104</v>
      </c>
      <c r="AH26">
        <f t="shared" si="25"/>
        <v>10.389837441389725</v>
      </c>
      <c r="AI26">
        <v>442.75262680950902</v>
      </c>
      <c r="AJ26">
        <v>430.02010303030312</v>
      </c>
      <c r="AK26">
        <v>-2.3027814955886268E-3</v>
      </c>
      <c r="AL26">
        <v>67.07594305993571</v>
      </c>
      <c r="AM26">
        <f t="shared" si="26"/>
        <v>1.3626970997150483</v>
      </c>
      <c r="AN26">
        <v>21.77880400523809</v>
      </c>
      <c r="AO26">
        <v>23.413458181818179</v>
      </c>
      <c r="AP26">
        <v>-6.1921212121215912E-3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51354.225225495509</v>
      </c>
      <c r="AW26" t="s">
        <v>519</v>
      </c>
      <c r="AX26">
        <v>5084.9399999999996</v>
      </c>
      <c r="AY26">
        <v>617.86176470588248</v>
      </c>
      <c r="AZ26">
        <v>2384.65</v>
      </c>
      <c r="BA26">
        <f t="shared" si="30"/>
        <v>0.74090044043952674</v>
      </c>
      <c r="BB26">
        <v>-3.3473499592976261</v>
      </c>
      <c r="BC26" t="s">
        <v>556</v>
      </c>
      <c r="BD26">
        <v>5071.04</v>
      </c>
      <c r="BE26">
        <v>778.52476470588238</v>
      </c>
      <c r="BF26">
        <v>1823.22</v>
      </c>
      <c r="BG26">
        <f t="shared" si="31"/>
        <v>0.5729946113437312</v>
      </c>
      <c r="BH26">
        <v>0.5</v>
      </c>
      <c r="BI26">
        <f t="shared" si="32"/>
        <v>168.30837893090629</v>
      </c>
      <c r="BJ26">
        <f t="shared" si="33"/>
        <v>10.396108740611252</v>
      </c>
      <c r="BK26">
        <f t="shared" si="34"/>
        <v>48.219897085704041</v>
      </c>
      <c r="BL26">
        <f t="shared" si="35"/>
        <v>8.1656414179776649E-2</v>
      </c>
      <c r="BM26">
        <f t="shared" si="36"/>
        <v>0.30793321705553911</v>
      </c>
      <c r="BN26">
        <f t="shared" si="37"/>
        <v>572.2079471269941</v>
      </c>
      <c r="BO26" t="s">
        <v>408</v>
      </c>
      <c r="BP26">
        <v>0</v>
      </c>
      <c r="BQ26">
        <f t="shared" si="38"/>
        <v>572.2079471269941</v>
      </c>
      <c r="BR26">
        <f t="shared" si="39"/>
        <v>0.68615529276390452</v>
      </c>
      <c r="BS26">
        <f t="shared" si="40"/>
        <v>0.83508007208637813</v>
      </c>
      <c r="BT26">
        <f t="shared" si="41"/>
        <v>0.30976438618274449</v>
      </c>
      <c r="BU26">
        <f t="shared" si="42"/>
        <v>0.86670933561855423</v>
      </c>
      <c r="BV26">
        <f t="shared" si="43"/>
        <v>0.31776869960113735</v>
      </c>
      <c r="BW26">
        <f t="shared" si="44"/>
        <v>0.61377553470085289</v>
      </c>
      <c r="BX26">
        <f t="shared" si="45"/>
        <v>0.38622446529914711</v>
      </c>
      <c r="DG26">
        <f t="shared" si="46"/>
        <v>200.01926666666671</v>
      </c>
      <c r="DH26">
        <f t="shared" si="47"/>
        <v>168.30837893090629</v>
      </c>
      <c r="DI26">
        <f t="shared" si="48"/>
        <v>0.84146083392752957</v>
      </c>
      <c r="DJ26">
        <f t="shared" si="49"/>
        <v>0.16241940948013225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1784561302.25</v>
      </c>
      <c r="DQ26">
        <v>420.00116666666668</v>
      </c>
      <c r="DR26">
        <v>433.18153333333328</v>
      </c>
      <c r="DS26">
        <v>23.449476666666669</v>
      </c>
      <c r="DT26">
        <v>21.80743</v>
      </c>
      <c r="DU26">
        <v>426.82670000000002</v>
      </c>
      <c r="DV26">
        <v>24.205336666666671</v>
      </c>
      <c r="DW26">
        <v>500.04753333333338</v>
      </c>
      <c r="DX26">
        <v>97.473516666666669</v>
      </c>
      <c r="DY26">
        <v>6.0941883333333328E-2</v>
      </c>
      <c r="DZ26">
        <v>28.092490000000009</v>
      </c>
      <c r="EA26">
        <v>28.722766666666669</v>
      </c>
      <c r="EB26">
        <v>999.9000000000002</v>
      </c>
      <c r="EC26">
        <v>0</v>
      </c>
      <c r="ED26">
        <v>0</v>
      </c>
      <c r="EE26">
        <v>10000</v>
      </c>
      <c r="EF26">
        <v>0</v>
      </c>
      <c r="EG26">
        <v>675.91833333333329</v>
      </c>
      <c r="EH26">
        <v>-13.18041333333333</v>
      </c>
      <c r="EI26">
        <v>430.08650000000011</v>
      </c>
      <c r="EJ26">
        <v>442.83873333333332</v>
      </c>
      <c r="EK26">
        <v>1.642044333333333</v>
      </c>
      <c r="EL26">
        <v>433.18153333333328</v>
      </c>
      <c r="EM26">
        <v>21.80743</v>
      </c>
      <c r="EN26">
        <v>2.285702666666666</v>
      </c>
      <c r="EO26">
        <v>2.1256460000000001</v>
      </c>
      <c r="EP26">
        <v>19.575980000000001</v>
      </c>
      <c r="EQ26">
        <v>18.41263</v>
      </c>
      <c r="ER26">
        <v>200.01926666666671</v>
      </c>
      <c r="ES26">
        <v>0.95007119999999989</v>
      </c>
      <c r="ET26">
        <v>4.9928510000000002E-2</v>
      </c>
      <c r="EU26">
        <v>0</v>
      </c>
      <c r="EV26">
        <v>778.74623333333329</v>
      </c>
      <c r="EW26">
        <v>5.0010700000000003</v>
      </c>
      <c r="EX26">
        <v>6411.3089999999993</v>
      </c>
      <c r="EY26">
        <v>1752.050333333334</v>
      </c>
      <c r="EZ26">
        <v>42.311999999999983</v>
      </c>
      <c r="FA26">
        <v>46.25</v>
      </c>
      <c r="FB26">
        <v>44.561999999999983</v>
      </c>
      <c r="FC26">
        <v>45.883266666666671</v>
      </c>
      <c r="FD26">
        <v>44.186999999999983</v>
      </c>
      <c r="FE26">
        <v>185.28166666666669</v>
      </c>
      <c r="FF26">
        <v>9.740000000000002</v>
      </c>
      <c r="FG26">
        <v>0</v>
      </c>
      <c r="FH26">
        <v>182.19999980926511</v>
      </c>
      <c r="FI26">
        <v>0</v>
      </c>
      <c r="FJ26">
        <v>778.52476470588238</v>
      </c>
      <c r="FK26">
        <v>-3.945343101926897</v>
      </c>
      <c r="FL26">
        <v>-52.436274287219781</v>
      </c>
      <c r="FM26">
        <v>6411.3635294117639</v>
      </c>
      <c r="FN26">
        <v>10</v>
      </c>
      <c r="FO26">
        <v>1784561235</v>
      </c>
      <c r="FP26" t="s">
        <v>557</v>
      </c>
      <c r="FQ26">
        <v>1784561235</v>
      </c>
      <c r="FR26">
        <v>1784561228.5</v>
      </c>
      <c r="FS26">
        <v>11</v>
      </c>
      <c r="FT26">
        <v>-2.1000000000000001E-2</v>
      </c>
      <c r="FU26">
        <v>-1.9E-2</v>
      </c>
      <c r="FV26">
        <v>-6.8760000000000003</v>
      </c>
      <c r="FW26">
        <v>-0.80600000000000005</v>
      </c>
      <c r="FX26">
        <v>433</v>
      </c>
      <c r="FY26">
        <v>22</v>
      </c>
      <c r="FZ26">
        <v>0.63</v>
      </c>
      <c r="GA26">
        <v>0.2</v>
      </c>
      <c r="GB26">
        <v>420.00510000000003</v>
      </c>
      <c r="GC26">
        <v>-0.30030700778599589</v>
      </c>
      <c r="GD26">
        <v>6.0964661895227833E-2</v>
      </c>
      <c r="GE26">
        <v>-1</v>
      </c>
      <c r="GF26">
        <v>778.9083823529412</v>
      </c>
      <c r="GG26">
        <v>-3.4440183213409248</v>
      </c>
      <c r="GH26">
        <v>0.40038371409450441</v>
      </c>
      <c r="GI26">
        <v>1</v>
      </c>
      <c r="GJ26">
        <v>1.6088745</v>
      </c>
      <c r="GK26">
        <v>0.54341718574108577</v>
      </c>
      <c r="GL26">
        <v>6.7104188317496261E-2</v>
      </c>
      <c r="GM26">
        <v>0</v>
      </c>
      <c r="GN26">
        <v>1</v>
      </c>
      <c r="GO26">
        <v>2</v>
      </c>
      <c r="GP26" t="s">
        <v>411</v>
      </c>
      <c r="GQ26">
        <v>3.1311599999999999</v>
      </c>
      <c r="GR26">
        <v>2.7366700000000002</v>
      </c>
      <c r="GS26">
        <v>9.0060899999999999E-2</v>
      </c>
      <c r="GT26">
        <v>9.1773300000000002E-2</v>
      </c>
      <c r="GU26">
        <v>0.110692</v>
      </c>
      <c r="GV26">
        <v>0.10310900000000001</v>
      </c>
      <c r="GW26">
        <v>22609.599999999999</v>
      </c>
      <c r="GX26">
        <v>30240.2</v>
      </c>
      <c r="GY26">
        <v>26978.1</v>
      </c>
      <c r="GZ26">
        <v>34274.9</v>
      </c>
      <c r="HA26">
        <v>35171.800000000003</v>
      </c>
      <c r="HB26">
        <v>38907.599999999999</v>
      </c>
      <c r="HC26">
        <v>39850.9</v>
      </c>
      <c r="HD26">
        <v>43450.6</v>
      </c>
      <c r="HE26">
        <v>1.9179999999999999</v>
      </c>
      <c r="HF26">
        <v>1.6426000000000001</v>
      </c>
      <c r="HG26">
        <v>-0.11980499999999999</v>
      </c>
      <c r="HH26">
        <v>0</v>
      </c>
      <c r="HI26">
        <v>30.680700000000002</v>
      </c>
      <c r="HJ26">
        <v>999.9</v>
      </c>
      <c r="HK26">
        <v>55.5</v>
      </c>
      <c r="HL26">
        <v>37.4</v>
      </c>
      <c r="HM26">
        <v>36.689700000000002</v>
      </c>
      <c r="HN26">
        <v>61.863799999999998</v>
      </c>
      <c r="HO26">
        <v>5.0200300000000002</v>
      </c>
      <c r="HP26">
        <v>1</v>
      </c>
      <c r="HQ26">
        <v>1.0243500000000001</v>
      </c>
      <c r="HR26">
        <v>6.8453999999999997</v>
      </c>
      <c r="HS26">
        <v>20.108599999999999</v>
      </c>
      <c r="HT26">
        <v>5.2100999999999997</v>
      </c>
      <c r="HU26">
        <v>11.914099999999999</v>
      </c>
      <c r="HV26">
        <v>4.9836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1.8633999999999999</v>
      </c>
      <c r="ID26">
        <v>1.8628199999999999</v>
      </c>
      <c r="IE26">
        <v>1.8623400000000001</v>
      </c>
      <c r="IF26">
        <v>1.8623400000000001</v>
      </c>
      <c r="IG26">
        <v>1.8629500000000001</v>
      </c>
      <c r="IH26">
        <v>1.8638600000000001</v>
      </c>
      <c r="II26">
        <v>1.86185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-6.8250000000000002</v>
      </c>
      <c r="IX26">
        <v>-0.75690000000000002</v>
      </c>
      <c r="IY26">
        <v>-4.834780832877362</v>
      </c>
      <c r="IZ26">
        <v>-5.6215304933332991E-3</v>
      </c>
      <c r="JA26">
        <v>2.3979931213773931E-6</v>
      </c>
      <c r="JB26">
        <v>-3.6297174575716598E-10</v>
      </c>
      <c r="JC26">
        <v>-1.1537143429659971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1.4</v>
      </c>
      <c r="JM26">
        <v>1.09619</v>
      </c>
      <c r="JN26">
        <v>2.52441</v>
      </c>
      <c r="JO26">
        <v>1.50024</v>
      </c>
      <c r="JP26">
        <v>2.2766099999999998</v>
      </c>
      <c r="JQ26">
        <v>1.4477500000000001</v>
      </c>
      <c r="JR26">
        <v>2.4194300000000002</v>
      </c>
      <c r="JS26">
        <v>44.529299999999999</v>
      </c>
      <c r="JT26">
        <v>23.833600000000001</v>
      </c>
      <c r="JU26">
        <v>18</v>
      </c>
      <c r="JV26">
        <v>551.67399999999998</v>
      </c>
      <c r="JW26">
        <v>384.02</v>
      </c>
      <c r="JX26">
        <v>23.555099999999999</v>
      </c>
      <c r="JY26">
        <v>39.269399999999997</v>
      </c>
      <c r="JZ26">
        <v>30.000599999999999</v>
      </c>
      <c r="KA26">
        <v>39.596299999999999</v>
      </c>
      <c r="KB26">
        <v>39.865099999999998</v>
      </c>
      <c r="KC26">
        <v>21.936299999999999</v>
      </c>
      <c r="KD26">
        <v>45.078299999999999</v>
      </c>
      <c r="KE26">
        <v>0</v>
      </c>
      <c r="KF26">
        <v>23.542999999999999</v>
      </c>
      <c r="KG26">
        <v>433.37099999999998</v>
      </c>
      <c r="KH26">
        <v>21.891300000000001</v>
      </c>
      <c r="KI26">
        <v>99.585400000000007</v>
      </c>
      <c r="KJ26">
        <v>97.795299999999997</v>
      </c>
    </row>
    <row r="27" spans="1:296" x14ac:dyDescent="0.3">
      <c r="A27">
        <v>11</v>
      </c>
      <c r="B27">
        <v>1784561492.5</v>
      </c>
      <c r="C27">
        <v>1848.900000095367</v>
      </c>
      <c r="D27" t="s">
        <v>558</v>
      </c>
      <c r="E27" t="s">
        <v>559</v>
      </c>
      <c r="F27">
        <v>15</v>
      </c>
      <c r="H27">
        <v>1784561484.75</v>
      </c>
      <c r="I27">
        <f t="shared" si="0"/>
        <v>9.1284079274285221E-4</v>
      </c>
      <c r="J27">
        <f t="shared" si="1"/>
        <v>0.91284079274285224</v>
      </c>
      <c r="K27">
        <f t="shared" si="2"/>
        <v>5.1900214540485292</v>
      </c>
      <c r="L27">
        <f t="shared" si="3"/>
        <v>419.98876666666672</v>
      </c>
      <c r="M27">
        <f t="shared" si="4"/>
        <v>249.34067396904754</v>
      </c>
      <c r="N27">
        <f t="shared" si="5"/>
        <v>24.318938002461227</v>
      </c>
      <c r="O27">
        <f t="shared" si="6"/>
        <v>40.962754354168148</v>
      </c>
      <c r="P27">
        <f t="shared" si="7"/>
        <v>5.1967588073980775E-2</v>
      </c>
      <c r="Q27">
        <f t="shared" si="8"/>
        <v>2.8830571707483665</v>
      </c>
      <c r="R27">
        <f t="shared" si="9"/>
        <v>5.1452750654645128E-2</v>
      </c>
      <c r="S27">
        <f t="shared" si="10"/>
        <v>3.2203800088081609E-2</v>
      </c>
      <c r="T27">
        <f t="shared" si="11"/>
        <v>16.510365445203899</v>
      </c>
      <c r="U27">
        <f t="shared" si="12"/>
        <v>27.925867930488177</v>
      </c>
      <c r="V27">
        <f t="shared" si="13"/>
        <v>28.718440000000001</v>
      </c>
      <c r="W27">
        <f t="shared" si="14"/>
        <v>3.956711202616372</v>
      </c>
      <c r="X27">
        <f t="shared" si="15"/>
        <v>59.888513053688378</v>
      </c>
      <c r="Y27">
        <f t="shared" si="16"/>
        <v>2.2816841678157771</v>
      </c>
      <c r="Z27">
        <f t="shared" si="17"/>
        <v>3.8098861559149264</v>
      </c>
      <c r="AA27">
        <f t="shared" si="18"/>
        <v>1.6750270348005949</v>
      </c>
      <c r="AB27">
        <f t="shared" si="19"/>
        <v>-40.256278959959779</v>
      </c>
      <c r="AC27">
        <f t="shared" si="20"/>
        <v>-101.11484687191681</v>
      </c>
      <c r="AD27">
        <f t="shared" si="21"/>
        <v>-7.674915444856544</v>
      </c>
      <c r="AE27">
        <f t="shared" si="22"/>
        <v>-132.53567583152923</v>
      </c>
      <c r="AF27">
        <f t="shared" si="23"/>
        <v>5.1900214540485292</v>
      </c>
      <c r="AG27">
        <f t="shared" si="24"/>
        <v>0.91284079274285224</v>
      </c>
      <c r="AH27">
        <f t="shared" si="25"/>
        <v>5.1925291987074607</v>
      </c>
      <c r="AI27">
        <v>436.47245547195621</v>
      </c>
      <c r="AJ27">
        <v>430.06561212121221</v>
      </c>
      <c r="AK27">
        <v>6.3696944178317713E-3</v>
      </c>
      <c r="AL27">
        <v>67.013941610230916</v>
      </c>
      <c r="AM27">
        <f t="shared" si="26"/>
        <v>0.94732549306879565</v>
      </c>
      <c r="AN27">
        <v>22.282909976878202</v>
      </c>
      <c r="AO27">
        <v>23.397210909090902</v>
      </c>
      <c r="AP27">
        <v>-6.6642496885655541E-4</v>
      </c>
      <c r="AQ27">
        <v>78.17826158547544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51307.683311194247</v>
      </c>
      <c r="AW27" t="s">
        <v>519</v>
      </c>
      <c r="AX27">
        <v>5084.9399999999996</v>
      </c>
      <c r="AY27">
        <v>617.86176470588248</v>
      </c>
      <c r="AZ27">
        <v>2384.65</v>
      </c>
      <c r="BA27">
        <f t="shared" si="30"/>
        <v>0.74090044043952674</v>
      </c>
      <c r="BB27">
        <v>-3.3473499592976261</v>
      </c>
      <c r="BC27" t="s">
        <v>560</v>
      </c>
      <c r="BD27">
        <v>5073.1400000000003</v>
      </c>
      <c r="BE27">
        <v>767.26376470588241</v>
      </c>
      <c r="BF27">
        <v>2088.92</v>
      </c>
      <c r="BG27">
        <f t="shared" si="31"/>
        <v>0.63269834904836841</v>
      </c>
      <c r="BH27">
        <v>0.5</v>
      </c>
      <c r="BI27">
        <f t="shared" si="32"/>
        <v>84.289318527048678</v>
      </c>
      <c r="BJ27">
        <f t="shared" si="33"/>
        <v>5.1900214540485292</v>
      </c>
      <c r="BK27">
        <f t="shared" si="34"/>
        <v>26.664856337237875</v>
      </c>
      <c r="BL27">
        <f t="shared" si="35"/>
        <v>0.10128651604421846</v>
      </c>
      <c r="BM27">
        <f t="shared" si="36"/>
        <v>0.1415707638396875</v>
      </c>
      <c r="BN27">
        <f t="shared" si="37"/>
        <v>595.99993716640495</v>
      </c>
      <c r="BO27" t="s">
        <v>408</v>
      </c>
      <c r="BP27">
        <v>0</v>
      </c>
      <c r="BQ27">
        <f t="shared" si="38"/>
        <v>595.99993716640495</v>
      </c>
      <c r="BR27">
        <f t="shared" si="39"/>
        <v>0.71468513051413884</v>
      </c>
      <c r="BS27">
        <f t="shared" si="40"/>
        <v>0.88528265390551797</v>
      </c>
      <c r="BT27">
        <f t="shared" si="41"/>
        <v>0.1653369801868913</v>
      </c>
      <c r="BU27">
        <f t="shared" si="42"/>
        <v>0.89843909886400319</v>
      </c>
      <c r="BV27">
        <f t="shared" si="43"/>
        <v>0.16738282160384083</v>
      </c>
      <c r="BW27">
        <f t="shared" si="44"/>
        <v>0.68767538670935979</v>
      </c>
      <c r="BX27">
        <f t="shared" si="45"/>
        <v>0.31232461329064021</v>
      </c>
      <c r="DG27">
        <f t="shared" si="46"/>
        <v>100.0054866666667</v>
      </c>
      <c r="DH27">
        <f t="shared" si="47"/>
        <v>84.289318527048678</v>
      </c>
      <c r="DI27">
        <f t="shared" si="48"/>
        <v>0.84284694106831992</v>
      </c>
      <c r="DJ27">
        <f t="shared" si="49"/>
        <v>0.16509459626185738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1784561484.75</v>
      </c>
      <c r="DQ27">
        <v>419.98876666666672</v>
      </c>
      <c r="DR27">
        <v>426.67716666666672</v>
      </c>
      <c r="DS27">
        <v>23.393976666666671</v>
      </c>
      <c r="DT27">
        <v>22.324143333333328</v>
      </c>
      <c r="DU27">
        <v>426.79793333333322</v>
      </c>
      <c r="DV27">
        <v>24.166396666666671</v>
      </c>
      <c r="DW27">
        <v>499.97646666666668</v>
      </c>
      <c r="DX27">
        <v>97.472283333333323</v>
      </c>
      <c r="DY27">
        <v>6.0692796666666667E-2</v>
      </c>
      <c r="DZ27">
        <v>28.06789666666667</v>
      </c>
      <c r="EA27">
        <v>28.718440000000001</v>
      </c>
      <c r="EB27">
        <v>999.9000000000002</v>
      </c>
      <c r="EC27">
        <v>0</v>
      </c>
      <c r="ED27">
        <v>0</v>
      </c>
      <c r="EE27">
        <v>9989.8333333333339</v>
      </c>
      <c r="EF27">
        <v>0</v>
      </c>
      <c r="EG27">
        <v>696.32706666666672</v>
      </c>
      <c r="EH27">
        <v>-6.6883909999999993</v>
      </c>
      <c r="EI27">
        <v>430.04926666666671</v>
      </c>
      <c r="EJ27">
        <v>436.41983333333337</v>
      </c>
      <c r="EK27">
        <v>1.0698436666666671</v>
      </c>
      <c r="EL27">
        <v>426.67716666666672</v>
      </c>
      <c r="EM27">
        <v>22.324143333333328</v>
      </c>
      <c r="EN27">
        <v>2.2802646666666671</v>
      </c>
      <c r="EO27">
        <v>2.1759843333333331</v>
      </c>
      <c r="EP27">
        <v>19.537663333333342</v>
      </c>
      <c r="EQ27">
        <v>18.786583333333329</v>
      </c>
      <c r="ER27">
        <v>100.0054866666667</v>
      </c>
      <c r="ES27">
        <v>0.9000750000000004</v>
      </c>
      <c r="ET27">
        <v>9.9925176666666671E-2</v>
      </c>
      <c r="EU27">
        <v>0</v>
      </c>
      <c r="EV27">
        <v>767.37796666666679</v>
      </c>
      <c r="EW27">
        <v>5.0010700000000003</v>
      </c>
      <c r="EX27">
        <v>5473.3853333333327</v>
      </c>
      <c r="EY27">
        <v>836.64446666666686</v>
      </c>
      <c r="EZ27">
        <v>41.96429999999998</v>
      </c>
      <c r="FA27">
        <v>46.061999999999983</v>
      </c>
      <c r="FB27">
        <v>44.311999999999983</v>
      </c>
      <c r="FC27">
        <v>45.731099999999977</v>
      </c>
      <c r="FD27">
        <v>43.932866666666648</v>
      </c>
      <c r="FE27">
        <v>85.510999999999996</v>
      </c>
      <c r="FF27">
        <v>9.490000000000002</v>
      </c>
      <c r="FG27">
        <v>0</v>
      </c>
      <c r="FH27">
        <v>181.79999995231631</v>
      </c>
      <c r="FI27">
        <v>0</v>
      </c>
      <c r="FJ27">
        <v>767.26376470588241</v>
      </c>
      <c r="FK27">
        <v>-1.61568628401324</v>
      </c>
      <c r="FL27">
        <v>-23.612744993350649</v>
      </c>
      <c r="FM27">
        <v>5473.1311764705888</v>
      </c>
      <c r="FN27">
        <v>10</v>
      </c>
      <c r="FO27">
        <v>1784561422.5</v>
      </c>
      <c r="FP27" t="s">
        <v>561</v>
      </c>
      <c r="FQ27">
        <v>1784561422.5</v>
      </c>
      <c r="FR27">
        <v>1784561415.5</v>
      </c>
      <c r="FS27">
        <v>12</v>
      </c>
      <c r="FT27">
        <v>1.6E-2</v>
      </c>
      <c r="FU27">
        <v>-1.4999999999999999E-2</v>
      </c>
      <c r="FV27">
        <v>-6.8330000000000002</v>
      </c>
      <c r="FW27">
        <v>-0.80700000000000005</v>
      </c>
      <c r="FX27">
        <v>426</v>
      </c>
      <c r="FY27">
        <v>22</v>
      </c>
      <c r="FZ27">
        <v>1.48</v>
      </c>
      <c r="GA27">
        <v>0.25</v>
      </c>
      <c r="GB27">
        <v>419.98430000000008</v>
      </c>
      <c r="GC27">
        <v>-0.12405784204693419</v>
      </c>
      <c r="GD27">
        <v>5.0742585665295117E-2</v>
      </c>
      <c r="GE27">
        <v>-1</v>
      </c>
      <c r="GF27">
        <v>767.5651764705882</v>
      </c>
      <c r="GG27">
        <v>-3.1282811299015481</v>
      </c>
      <c r="GH27">
        <v>0.3480358729472125</v>
      </c>
      <c r="GI27">
        <v>1</v>
      </c>
      <c r="GJ27">
        <v>1.0547522499999999</v>
      </c>
      <c r="GK27">
        <v>0.29498510318949062</v>
      </c>
      <c r="GL27">
        <v>3.2808479276514778E-2</v>
      </c>
      <c r="GM27">
        <v>1</v>
      </c>
      <c r="GN27">
        <v>2</v>
      </c>
      <c r="GO27">
        <v>2</v>
      </c>
      <c r="GP27" t="s">
        <v>424</v>
      </c>
      <c r="GQ27">
        <v>3.1309399999999998</v>
      </c>
      <c r="GR27">
        <v>2.7368600000000001</v>
      </c>
      <c r="GS27">
        <v>9.0051000000000006E-2</v>
      </c>
      <c r="GT27">
        <v>9.0665700000000002E-2</v>
      </c>
      <c r="GU27">
        <v>0.110652</v>
      </c>
      <c r="GV27">
        <v>0.104725</v>
      </c>
      <c r="GW27">
        <v>22604.400000000001</v>
      </c>
      <c r="GX27">
        <v>30268.9</v>
      </c>
      <c r="GY27">
        <v>26972.3</v>
      </c>
      <c r="GZ27">
        <v>34266.6</v>
      </c>
      <c r="HA27">
        <v>35167.199999999997</v>
      </c>
      <c r="HB27">
        <v>38830.6</v>
      </c>
      <c r="HC27">
        <v>39843.199999999997</v>
      </c>
      <c r="HD27">
        <v>43442.400000000001</v>
      </c>
      <c r="HE27">
        <v>1.9154</v>
      </c>
      <c r="HF27">
        <v>1.6377999999999999</v>
      </c>
      <c r="HG27">
        <v>-0.117868</v>
      </c>
      <c r="HH27">
        <v>0</v>
      </c>
      <c r="HI27">
        <v>30.6433</v>
      </c>
      <c r="HJ27">
        <v>999.9</v>
      </c>
      <c r="HK27">
        <v>54.8</v>
      </c>
      <c r="HL27">
        <v>37.799999999999997</v>
      </c>
      <c r="HM27">
        <v>37.025500000000001</v>
      </c>
      <c r="HN27">
        <v>61.6038</v>
      </c>
      <c r="HO27">
        <v>5.4567300000000003</v>
      </c>
      <c r="HP27">
        <v>1</v>
      </c>
      <c r="HQ27">
        <v>1.0376799999999999</v>
      </c>
      <c r="HR27">
        <v>6.7995599999999996</v>
      </c>
      <c r="HS27">
        <v>20.111699999999999</v>
      </c>
      <c r="HT27">
        <v>5.2077099999999996</v>
      </c>
      <c r="HU27">
        <v>11.914099999999999</v>
      </c>
      <c r="HV27">
        <v>4.9816000000000003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1.86768</v>
      </c>
      <c r="IC27">
        <v>1.8633999999999999</v>
      </c>
      <c r="ID27">
        <v>1.8628499999999999</v>
      </c>
      <c r="IE27">
        <v>1.86243</v>
      </c>
      <c r="IF27">
        <v>1.8624000000000001</v>
      </c>
      <c r="IG27">
        <v>1.8629500000000001</v>
      </c>
      <c r="IH27">
        <v>1.8638600000000001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-6.81</v>
      </c>
      <c r="IX27">
        <v>-0.77239999999999998</v>
      </c>
      <c r="IY27">
        <v>-4.8184816226791964</v>
      </c>
      <c r="IZ27">
        <v>-5.6215304933332991E-3</v>
      </c>
      <c r="JA27">
        <v>2.3979931213773931E-6</v>
      </c>
      <c r="JB27">
        <v>-3.6297174575716598E-10</v>
      </c>
      <c r="JC27">
        <v>-1.169186202031294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1.2</v>
      </c>
      <c r="JL27">
        <v>1.3</v>
      </c>
      <c r="JM27">
        <v>1.0839799999999999</v>
      </c>
      <c r="JN27">
        <v>2.5280800000000001</v>
      </c>
      <c r="JO27">
        <v>1.50024</v>
      </c>
      <c r="JP27">
        <v>2.2766099999999998</v>
      </c>
      <c r="JQ27">
        <v>1.4477500000000001</v>
      </c>
      <c r="JR27">
        <v>2.4194300000000002</v>
      </c>
      <c r="JS27">
        <v>44.865900000000003</v>
      </c>
      <c r="JT27">
        <v>23.833600000000001</v>
      </c>
      <c r="JU27">
        <v>18</v>
      </c>
      <c r="JV27">
        <v>551.08500000000004</v>
      </c>
      <c r="JW27">
        <v>382.03</v>
      </c>
      <c r="JX27">
        <v>23.5609</v>
      </c>
      <c r="JY27">
        <v>39.4268</v>
      </c>
      <c r="JZ27">
        <v>30.000499999999999</v>
      </c>
      <c r="KA27">
        <v>39.7545</v>
      </c>
      <c r="KB27">
        <v>40.014800000000001</v>
      </c>
      <c r="KC27">
        <v>21.6784</v>
      </c>
      <c r="KD27">
        <v>44.643599999999999</v>
      </c>
      <c r="KE27">
        <v>0</v>
      </c>
      <c r="KF27">
        <v>23.559000000000001</v>
      </c>
      <c r="KG27">
        <v>426.63400000000001</v>
      </c>
      <c r="KH27">
        <v>22.247</v>
      </c>
      <c r="KI27">
        <v>99.565299999999993</v>
      </c>
      <c r="KJ27">
        <v>97.774500000000003</v>
      </c>
    </row>
    <row r="28" spans="1:296" x14ac:dyDescent="0.3">
      <c r="A28">
        <v>12</v>
      </c>
      <c r="B28">
        <v>1784561675</v>
      </c>
      <c r="C28">
        <v>2031.400000095367</v>
      </c>
      <c r="D28" t="s">
        <v>562</v>
      </c>
      <c r="E28" t="s">
        <v>563</v>
      </c>
      <c r="F28">
        <v>15</v>
      </c>
      <c r="H28">
        <v>1784561667</v>
      </c>
      <c r="I28">
        <f t="shared" si="0"/>
        <v>6.747636859604049E-4</v>
      </c>
      <c r="J28">
        <f t="shared" si="1"/>
        <v>0.67476368596040492</v>
      </c>
      <c r="K28">
        <f t="shared" si="2"/>
        <v>1.5113698760161138</v>
      </c>
      <c r="L28">
        <f t="shared" si="3"/>
        <v>420.00900000000001</v>
      </c>
      <c r="M28">
        <f t="shared" si="4"/>
        <v>345.42726087869045</v>
      </c>
      <c r="N28">
        <f t="shared" si="5"/>
        <v>33.688829472207111</v>
      </c>
      <c r="O28">
        <f t="shared" si="6"/>
        <v>40.962637233085644</v>
      </c>
      <c r="P28">
        <f t="shared" si="7"/>
        <v>3.820250522871934E-2</v>
      </c>
      <c r="Q28">
        <f t="shared" si="8"/>
        <v>2.8849087958016177</v>
      </c>
      <c r="R28">
        <f t="shared" si="9"/>
        <v>3.7923672684680484E-2</v>
      </c>
      <c r="S28">
        <f t="shared" si="10"/>
        <v>2.3727177634151296E-2</v>
      </c>
      <c r="T28">
        <f t="shared" si="11"/>
        <v>8.2420528650821669</v>
      </c>
      <c r="U28">
        <f t="shared" si="12"/>
        <v>27.893380822086865</v>
      </c>
      <c r="V28">
        <f t="shared" si="13"/>
        <v>28.707458064516128</v>
      </c>
      <c r="W28">
        <f t="shared" si="14"/>
        <v>3.9541922578630575</v>
      </c>
      <c r="X28">
        <f t="shared" si="15"/>
        <v>59.855098974854016</v>
      </c>
      <c r="Y28">
        <f t="shared" si="16"/>
        <v>2.2743189536921724</v>
      </c>
      <c r="Z28">
        <f t="shared" si="17"/>
        <v>3.799707949104965</v>
      </c>
      <c r="AA28">
        <f t="shared" si="18"/>
        <v>1.6798733041708851</v>
      </c>
      <c r="AB28">
        <f t="shared" si="19"/>
        <v>-29.757078550853855</v>
      </c>
      <c r="AC28">
        <f t="shared" si="20"/>
        <v>-106.61112080685108</v>
      </c>
      <c r="AD28">
        <f t="shared" si="21"/>
        <v>-8.0846168706013106</v>
      </c>
      <c r="AE28">
        <f t="shared" si="22"/>
        <v>-136.21076336322409</v>
      </c>
      <c r="AF28">
        <f t="shared" si="23"/>
        <v>1.5113698760161138</v>
      </c>
      <c r="AG28">
        <f t="shared" si="24"/>
        <v>0.67476368596040492</v>
      </c>
      <c r="AH28">
        <f t="shared" si="25"/>
        <v>1.6797942581726477</v>
      </c>
      <c r="AI28">
        <v>431.93599796803272</v>
      </c>
      <c r="AJ28">
        <v>429.99977575757572</v>
      </c>
      <c r="AK28">
        <v>-2.4099019778546501E-2</v>
      </c>
      <c r="AL28">
        <v>67.050621714170916</v>
      </c>
      <c r="AM28">
        <f t="shared" si="26"/>
        <v>0.58708544566166987</v>
      </c>
      <c r="AN28">
        <v>22.63552978142857</v>
      </c>
      <c r="AO28">
        <v>23.311529696969689</v>
      </c>
      <c r="AP28">
        <v>1.964252044251354E-3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51367.841838849658</v>
      </c>
      <c r="AW28" t="s">
        <v>519</v>
      </c>
      <c r="AX28">
        <v>5084.9399999999996</v>
      </c>
      <c r="AY28">
        <v>617.86176470588248</v>
      </c>
      <c r="AZ28">
        <v>2384.65</v>
      </c>
      <c r="BA28">
        <f t="shared" si="30"/>
        <v>0.74090044043952674</v>
      </c>
      <c r="BB28">
        <v>-3.3473499592976261</v>
      </c>
      <c r="BC28" t="s">
        <v>564</v>
      </c>
      <c r="BD28">
        <v>5069.4799999999996</v>
      </c>
      <c r="BE28">
        <v>730.78176470588232</v>
      </c>
      <c r="BF28">
        <v>2183.4899999999998</v>
      </c>
      <c r="BG28">
        <f t="shared" si="31"/>
        <v>0.66531481036969153</v>
      </c>
      <c r="BH28">
        <v>0.5</v>
      </c>
      <c r="BI28">
        <f t="shared" si="32"/>
        <v>42.142521150218073</v>
      </c>
      <c r="BJ28">
        <f t="shared" si="33"/>
        <v>1.5113698760161138</v>
      </c>
      <c r="BK28">
        <f t="shared" si="34"/>
        <v>14.019021733779025</v>
      </c>
      <c r="BL28">
        <f t="shared" si="35"/>
        <v>0.11529257630303397</v>
      </c>
      <c r="BM28">
        <f t="shared" si="36"/>
        <v>9.2127740452211976E-2</v>
      </c>
      <c r="BN28">
        <f t="shared" si="37"/>
        <v>603.45708892028972</v>
      </c>
      <c r="BO28" t="s">
        <v>408</v>
      </c>
      <c r="BP28">
        <v>0</v>
      </c>
      <c r="BQ28">
        <f t="shared" si="38"/>
        <v>603.45708892028972</v>
      </c>
      <c r="BR28">
        <f t="shared" si="39"/>
        <v>0.7236272715147356</v>
      </c>
      <c r="BS28">
        <f t="shared" si="40"/>
        <v>0.91941644070022199</v>
      </c>
      <c r="BT28">
        <f t="shared" si="41"/>
        <v>0.11293554939990336</v>
      </c>
      <c r="BU28">
        <f t="shared" si="42"/>
        <v>0.92787559814365073</v>
      </c>
      <c r="BV28">
        <f t="shared" si="43"/>
        <v>0.11385631621353487</v>
      </c>
      <c r="BW28">
        <f t="shared" si="44"/>
        <v>0.75922579846216032</v>
      </c>
      <c r="BX28">
        <f t="shared" si="45"/>
        <v>0.24077420153783968</v>
      </c>
      <c r="DG28">
        <f t="shared" si="46"/>
        <v>50.008903225806449</v>
      </c>
      <c r="DH28">
        <f t="shared" si="47"/>
        <v>42.142521150218073</v>
      </c>
      <c r="DI28">
        <f t="shared" si="48"/>
        <v>0.84270036797109693</v>
      </c>
      <c r="DJ28">
        <f t="shared" si="49"/>
        <v>0.164811710184217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1784561667</v>
      </c>
      <c r="DQ28">
        <v>420.00900000000001</v>
      </c>
      <c r="DR28">
        <v>422.16251612903221</v>
      </c>
      <c r="DS28">
        <v>23.319651612903229</v>
      </c>
      <c r="DT28">
        <v>22.528896774193541</v>
      </c>
      <c r="DU28">
        <v>426.80606451612903</v>
      </c>
      <c r="DV28">
        <v>24.10424193548387</v>
      </c>
      <c r="DW28">
        <v>500.05012903225798</v>
      </c>
      <c r="DX28">
        <v>97.467487096774178</v>
      </c>
      <c r="DY28">
        <v>6.051166774193547E-2</v>
      </c>
      <c r="DZ28">
        <v>28.021993548387101</v>
      </c>
      <c r="EA28">
        <v>28.707458064516128</v>
      </c>
      <c r="EB28">
        <v>999.90000000000032</v>
      </c>
      <c r="EC28">
        <v>0</v>
      </c>
      <c r="ED28">
        <v>0</v>
      </c>
      <c r="EE28">
        <v>10000.967741935479</v>
      </c>
      <c r="EF28">
        <v>0</v>
      </c>
      <c r="EG28">
        <v>717.08483870967723</v>
      </c>
      <c r="EH28">
        <v>-2.1535332258064521</v>
      </c>
      <c r="EI28">
        <v>430.03719354838711</v>
      </c>
      <c r="EJ28">
        <v>431.89258064516127</v>
      </c>
      <c r="EK28">
        <v>0.790758870967742</v>
      </c>
      <c r="EL28">
        <v>422.16251612903221</v>
      </c>
      <c r="EM28">
        <v>22.528896774193541</v>
      </c>
      <c r="EN28">
        <v>2.2729083870967739</v>
      </c>
      <c r="EO28">
        <v>2.1958358064516128</v>
      </c>
      <c r="EP28">
        <v>19.48566774193548</v>
      </c>
      <c r="EQ28">
        <v>18.931899999999999</v>
      </c>
      <c r="ER28">
        <v>50.008903225806449</v>
      </c>
      <c r="ES28">
        <v>0.89997380645161307</v>
      </c>
      <c r="ET28">
        <v>0.1000264516129032</v>
      </c>
      <c r="EU28">
        <v>0</v>
      </c>
      <c r="EV28">
        <v>730.97538709677406</v>
      </c>
      <c r="EW28">
        <v>5.0010700000000003</v>
      </c>
      <c r="EX28">
        <v>4964.162903225807</v>
      </c>
      <c r="EY28">
        <v>396.33980645161279</v>
      </c>
      <c r="EZ28">
        <v>41.686999999999983</v>
      </c>
      <c r="FA28">
        <v>45.875</v>
      </c>
      <c r="FB28">
        <v>44.061999999999969</v>
      </c>
      <c r="FC28">
        <v>45.527999999999999</v>
      </c>
      <c r="FD28">
        <v>43.658999999999999</v>
      </c>
      <c r="FE28">
        <v>40.505161290322569</v>
      </c>
      <c r="FF28">
        <v>4.5012903225806449</v>
      </c>
      <c r="FG28">
        <v>0</v>
      </c>
      <c r="FH28">
        <v>181.5999999046326</v>
      </c>
      <c r="FI28">
        <v>0</v>
      </c>
      <c r="FJ28">
        <v>730.78176470588232</v>
      </c>
      <c r="FK28">
        <v>-2.7392156961942971</v>
      </c>
      <c r="FL28">
        <v>-64.607843698947448</v>
      </c>
      <c r="FM28">
        <v>4962.5729411764714</v>
      </c>
      <c r="FN28">
        <v>10</v>
      </c>
      <c r="FO28">
        <v>1784561594.5</v>
      </c>
      <c r="FP28" t="s">
        <v>565</v>
      </c>
      <c r="FQ28">
        <v>1784561590</v>
      </c>
      <c r="FR28">
        <v>1784561594.5</v>
      </c>
      <c r="FS28">
        <v>13</v>
      </c>
      <c r="FT28">
        <v>1.2E-2</v>
      </c>
      <c r="FU28">
        <v>-0.01</v>
      </c>
      <c r="FV28">
        <v>-6.8029999999999999</v>
      </c>
      <c r="FW28">
        <v>-0.80700000000000005</v>
      </c>
      <c r="FX28">
        <v>422</v>
      </c>
      <c r="FY28">
        <v>22</v>
      </c>
      <c r="FZ28">
        <v>1.72</v>
      </c>
      <c r="GA28">
        <v>0.44</v>
      </c>
      <c r="GB28">
        <v>420.00959999999998</v>
      </c>
      <c r="GC28">
        <v>1.3348164627179551E-2</v>
      </c>
      <c r="GD28">
        <v>4.9463521912614723E-2</v>
      </c>
      <c r="GE28">
        <v>-1</v>
      </c>
      <c r="GF28">
        <v>731.14014705882346</v>
      </c>
      <c r="GG28">
        <v>-3.755309397820688</v>
      </c>
      <c r="GH28">
        <v>0.41801401132954452</v>
      </c>
      <c r="GI28">
        <v>1</v>
      </c>
      <c r="GJ28">
        <v>0.79276049999999998</v>
      </c>
      <c r="GK28">
        <v>-0.36878267166979378</v>
      </c>
      <c r="GL28">
        <v>7.4755383136935374E-2</v>
      </c>
      <c r="GM28">
        <v>1</v>
      </c>
      <c r="GN28">
        <v>2</v>
      </c>
      <c r="GO28">
        <v>2</v>
      </c>
      <c r="GP28" t="s">
        <v>424</v>
      </c>
      <c r="GQ28">
        <v>3.1307999999999998</v>
      </c>
      <c r="GR28">
        <v>2.7362700000000002</v>
      </c>
      <c r="GS28">
        <v>8.99948E-2</v>
      </c>
      <c r="GT28">
        <v>8.9891399999999996E-2</v>
      </c>
      <c r="GU28">
        <v>0.11039499999999999</v>
      </c>
      <c r="GV28">
        <v>0.105944</v>
      </c>
      <c r="GW28">
        <v>22601.1</v>
      </c>
      <c r="GX28">
        <v>30288.799999999999</v>
      </c>
      <c r="GY28">
        <v>26967</v>
      </c>
      <c r="GZ28">
        <v>34260.5</v>
      </c>
      <c r="HA28">
        <v>35171.599999999999</v>
      </c>
      <c r="HB28">
        <v>38772.6</v>
      </c>
      <c r="HC28">
        <v>39836.400000000001</v>
      </c>
      <c r="HD28">
        <v>43436.3</v>
      </c>
      <c r="HE28">
        <v>1.913</v>
      </c>
      <c r="HF28">
        <v>1.6344000000000001</v>
      </c>
      <c r="HG28">
        <v>-0.11816599999999999</v>
      </c>
      <c r="HH28">
        <v>0</v>
      </c>
      <c r="HI28">
        <v>30.646000000000001</v>
      </c>
      <c r="HJ28">
        <v>999.9</v>
      </c>
      <c r="HK28">
        <v>54.2</v>
      </c>
      <c r="HL28">
        <v>38.200000000000003</v>
      </c>
      <c r="HM28">
        <v>37.4221</v>
      </c>
      <c r="HN28">
        <v>61.6038</v>
      </c>
      <c r="HO28">
        <v>5.2243599999999999</v>
      </c>
      <c r="HP28">
        <v>1</v>
      </c>
      <c r="HQ28">
        <v>1.0452999999999999</v>
      </c>
      <c r="HR28">
        <v>6.7806100000000002</v>
      </c>
      <c r="HS28">
        <v>20.1126</v>
      </c>
      <c r="HT28">
        <v>5.2100999999999997</v>
      </c>
      <c r="HU28">
        <v>11.914099999999999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1.8634299999999999</v>
      </c>
      <c r="ID28">
        <v>1.8628899999999999</v>
      </c>
      <c r="IE28">
        <v>1.86246</v>
      </c>
      <c r="IF28">
        <v>1.8624000000000001</v>
      </c>
      <c r="IG28">
        <v>1.8629500000000001</v>
      </c>
      <c r="IH28">
        <v>1.8638600000000001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-6.7969999999999997</v>
      </c>
      <c r="IX28">
        <v>-0.78480000000000005</v>
      </c>
      <c r="IY28">
        <v>-4.8064684494101417</v>
      </c>
      <c r="IZ28">
        <v>-5.6215304933332991E-3</v>
      </c>
      <c r="JA28">
        <v>2.3979931213773931E-6</v>
      </c>
      <c r="JB28">
        <v>-3.6297174575716598E-10</v>
      </c>
      <c r="JC28">
        <v>-1.179655683751577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1.4</v>
      </c>
      <c r="JL28">
        <v>1.3</v>
      </c>
      <c r="JM28">
        <v>1.07544</v>
      </c>
      <c r="JN28">
        <v>2.5390600000000001</v>
      </c>
      <c r="JO28">
        <v>1.50024</v>
      </c>
      <c r="JP28">
        <v>2.2766099999999998</v>
      </c>
      <c r="JQ28">
        <v>1.4477500000000001</v>
      </c>
      <c r="JR28">
        <v>2.31812</v>
      </c>
      <c r="JS28">
        <v>45.148400000000002</v>
      </c>
      <c r="JT28">
        <v>23.8248</v>
      </c>
      <c r="JU28">
        <v>18</v>
      </c>
      <c r="JV28">
        <v>550.20399999999995</v>
      </c>
      <c r="JW28">
        <v>380.613</v>
      </c>
      <c r="JX28">
        <v>23.5472</v>
      </c>
      <c r="JY28">
        <v>39.511600000000001</v>
      </c>
      <c r="JZ28">
        <v>30.000499999999999</v>
      </c>
      <c r="KA28">
        <v>39.856900000000003</v>
      </c>
      <c r="KB28">
        <v>40.120199999999997</v>
      </c>
      <c r="KC28">
        <v>21.5061</v>
      </c>
      <c r="KD28">
        <v>44.2151</v>
      </c>
      <c r="KE28">
        <v>0</v>
      </c>
      <c r="KF28">
        <v>23.5474</v>
      </c>
      <c r="KG28">
        <v>422.3</v>
      </c>
      <c r="KH28">
        <v>22.6309</v>
      </c>
      <c r="KI28">
        <v>99.547399999999996</v>
      </c>
      <c r="KJ28">
        <v>97.759100000000004</v>
      </c>
    </row>
    <row r="29" spans="1:296" x14ac:dyDescent="0.3">
      <c r="A29">
        <v>13</v>
      </c>
      <c r="B29">
        <v>1784561857.5</v>
      </c>
      <c r="C29">
        <v>2213.900000095367</v>
      </c>
      <c r="D29" t="s">
        <v>566</v>
      </c>
      <c r="E29" t="s">
        <v>567</v>
      </c>
      <c r="F29">
        <v>15</v>
      </c>
      <c r="H29">
        <v>1784561849.5</v>
      </c>
      <c r="I29">
        <f t="shared" si="0"/>
        <v>4.732124718847094E-4</v>
      </c>
      <c r="J29">
        <f t="shared" si="1"/>
        <v>0.47321247188470938</v>
      </c>
      <c r="K29">
        <f t="shared" si="2"/>
        <v>-2.8785972855310837</v>
      </c>
      <c r="L29">
        <f t="shared" si="3"/>
        <v>420.12019354838708</v>
      </c>
      <c r="M29">
        <f t="shared" si="4"/>
        <v>578.81025118782156</v>
      </c>
      <c r="N29">
        <f t="shared" si="5"/>
        <v>56.446105068223567</v>
      </c>
      <c r="O29">
        <f t="shared" si="6"/>
        <v>40.970505511346815</v>
      </c>
      <c r="P29">
        <f t="shared" si="7"/>
        <v>2.6758073235691543E-2</v>
      </c>
      <c r="Q29">
        <f t="shared" si="8"/>
        <v>2.8843863588420628</v>
      </c>
      <c r="R29">
        <f t="shared" si="9"/>
        <v>2.662093019844268E-2</v>
      </c>
      <c r="S29">
        <f t="shared" si="10"/>
        <v>1.6650344403033517E-2</v>
      </c>
      <c r="T29">
        <f t="shared" si="11"/>
        <v>1.5966703903835998E-4</v>
      </c>
      <c r="U29">
        <f t="shared" si="12"/>
        <v>27.844039268793559</v>
      </c>
      <c r="V29">
        <f t="shared" si="13"/>
        <v>28.70546774193549</v>
      </c>
      <c r="W29">
        <f t="shared" si="14"/>
        <v>3.9537358840053942</v>
      </c>
      <c r="X29">
        <f t="shared" si="15"/>
        <v>60.074102526938802</v>
      </c>
      <c r="Y29">
        <f t="shared" si="16"/>
        <v>2.2755744126598056</v>
      </c>
      <c r="Z29">
        <f t="shared" si="17"/>
        <v>3.7879457485684096</v>
      </c>
      <c r="AA29">
        <f t="shared" si="18"/>
        <v>1.6781614713455886</v>
      </c>
      <c r="AB29">
        <f t="shared" si="19"/>
        <v>-20.868670010115686</v>
      </c>
      <c r="AC29">
        <f t="shared" si="20"/>
        <v>-114.55206491847888</v>
      </c>
      <c r="AD29">
        <f t="shared" si="21"/>
        <v>-8.6859901680146301</v>
      </c>
      <c r="AE29">
        <f t="shared" si="22"/>
        <v>-144.10656542957014</v>
      </c>
      <c r="AF29">
        <f t="shared" si="23"/>
        <v>-2.8785972855310837</v>
      </c>
      <c r="AG29">
        <f t="shared" si="24"/>
        <v>0.47321247188470938</v>
      </c>
      <c r="AH29">
        <f t="shared" si="25"/>
        <v>-2.8830725266058495</v>
      </c>
      <c r="AI29">
        <v>426.57618734018263</v>
      </c>
      <c r="AJ29">
        <v>430.11012121212099</v>
      </c>
      <c r="AK29">
        <v>1.2252246332068229E-3</v>
      </c>
      <c r="AL29">
        <v>67.010001234504372</v>
      </c>
      <c r="AM29">
        <f t="shared" si="26"/>
        <v>0.46545730994105183</v>
      </c>
      <c r="AN29">
        <v>22.784303868270431</v>
      </c>
      <c r="AO29">
        <v>23.329687272727259</v>
      </c>
      <c r="AP29">
        <v>2.1907076324801489E-5</v>
      </c>
      <c r="AQ29">
        <v>78.170421854102656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51361.962226685217</v>
      </c>
      <c r="AW29" t="s">
        <v>467</v>
      </c>
      <c r="AX29">
        <v>5067.63</v>
      </c>
      <c r="AY29">
        <v>607.05000000000007</v>
      </c>
      <c r="AZ29">
        <v>2484.73</v>
      </c>
      <c r="BA29">
        <f t="shared" si="30"/>
        <v>0.75568774072031974</v>
      </c>
      <c r="BB29">
        <v>-2.8785972855310362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-2.8785972855310837</v>
      </c>
      <c r="BK29" t="e">
        <f t="shared" si="34"/>
        <v>#DIV/0!</v>
      </c>
      <c r="BL29">
        <f t="shared" si="35"/>
        <v>-5.6544755201997057E-11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1.3232978995355973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1784561849.5</v>
      </c>
      <c r="DQ29">
        <v>420.12019354838708</v>
      </c>
      <c r="DR29">
        <v>416.90445161290307</v>
      </c>
      <c r="DS29">
        <v>23.334219354838709</v>
      </c>
      <c r="DT29">
        <v>22.779616129032259</v>
      </c>
      <c r="DU29">
        <v>426.9842580645161</v>
      </c>
      <c r="DV29">
        <v>24.130435483870968</v>
      </c>
      <c r="DW29">
        <v>500.00116129032261</v>
      </c>
      <c r="DX29">
        <v>97.460219354838685</v>
      </c>
      <c r="DY29">
        <v>6.0695232258064509E-2</v>
      </c>
      <c r="DZ29">
        <v>27.9688129032258</v>
      </c>
      <c r="EA29">
        <v>28.70546774193549</v>
      </c>
      <c r="EB29">
        <v>999.90000000000032</v>
      </c>
      <c r="EC29">
        <v>0</v>
      </c>
      <c r="ED29">
        <v>0</v>
      </c>
      <c r="EE29">
        <v>9998.7096774193542</v>
      </c>
      <c r="EF29">
        <v>0</v>
      </c>
      <c r="EG29">
        <v>738.25916129032248</v>
      </c>
      <c r="EH29">
        <v>3.2158819354838708</v>
      </c>
      <c r="EI29">
        <v>430.15758064516132</v>
      </c>
      <c r="EJ29">
        <v>426.62270967741938</v>
      </c>
      <c r="EK29">
        <v>0.55458700000000005</v>
      </c>
      <c r="EL29">
        <v>416.90445161290307</v>
      </c>
      <c r="EM29">
        <v>22.779616129032259</v>
      </c>
      <c r="EN29">
        <v>2.2741570967741942</v>
      </c>
      <c r="EO29">
        <v>2.2201067741935492</v>
      </c>
      <c r="EP29">
        <v>19.494509677419359</v>
      </c>
      <c r="EQ29">
        <v>19.108138709677419</v>
      </c>
      <c r="ER29">
        <v>1.00021E-2</v>
      </c>
      <c r="ES29">
        <v>0</v>
      </c>
      <c r="ET29">
        <v>0</v>
      </c>
      <c r="EU29">
        <v>0</v>
      </c>
      <c r="EV29">
        <v>606.42419354838694</v>
      </c>
      <c r="EW29">
        <v>1.00021E-2</v>
      </c>
      <c r="EX29">
        <v>4514.6532258064517</v>
      </c>
      <c r="EY29">
        <v>4.7064516129032246</v>
      </c>
      <c r="EZ29">
        <v>41.436999999999983</v>
      </c>
      <c r="FA29">
        <v>45.75</v>
      </c>
      <c r="FB29">
        <v>43.878999999999998</v>
      </c>
      <c r="FC29">
        <v>45.311999999999969</v>
      </c>
      <c r="FD29">
        <v>43.253999999999998</v>
      </c>
      <c r="FE29">
        <v>0</v>
      </c>
      <c r="FF29">
        <v>0</v>
      </c>
      <c r="FG29">
        <v>0</v>
      </c>
      <c r="FH29">
        <v>182.19999980926511</v>
      </c>
      <c r="FI29">
        <v>0</v>
      </c>
      <c r="FJ29">
        <v>607.05000000000007</v>
      </c>
      <c r="FK29">
        <v>24.509803804506639</v>
      </c>
      <c r="FL29">
        <v>-23.86029377357028</v>
      </c>
      <c r="FM29">
        <v>4512.4205882352944</v>
      </c>
      <c r="FN29">
        <v>10</v>
      </c>
      <c r="FO29">
        <v>1784561811</v>
      </c>
      <c r="FP29" t="s">
        <v>568</v>
      </c>
      <c r="FQ29">
        <v>1784561811</v>
      </c>
      <c r="FR29">
        <v>1784561807.5</v>
      </c>
      <c r="FS29">
        <v>14</v>
      </c>
      <c r="FT29">
        <v>-6.6000000000000003E-2</v>
      </c>
      <c r="FU29">
        <v>-1.2E-2</v>
      </c>
      <c r="FV29">
        <v>-6.8529999999999998</v>
      </c>
      <c r="FW29">
        <v>-0.81</v>
      </c>
      <c r="FX29">
        <v>417</v>
      </c>
      <c r="FY29">
        <v>23</v>
      </c>
      <c r="FZ29">
        <v>1.66</v>
      </c>
      <c r="GA29">
        <v>0.49</v>
      </c>
      <c r="GB29">
        <v>420.1228709677419</v>
      </c>
      <c r="GC29">
        <v>-0.47501612903400808</v>
      </c>
      <c r="GD29">
        <v>6.7927732915681285E-2</v>
      </c>
      <c r="GE29">
        <v>-1</v>
      </c>
      <c r="GF29">
        <v>606.05294117647054</v>
      </c>
      <c r="GG29">
        <v>7.1642475416807798</v>
      </c>
      <c r="GH29">
        <v>4.7909218868555472</v>
      </c>
      <c r="GI29">
        <v>1</v>
      </c>
      <c r="GJ29">
        <v>0.560377975609756</v>
      </c>
      <c r="GK29">
        <v>-0.1058018048780489</v>
      </c>
      <c r="GL29">
        <v>1.100595508313968E-2</v>
      </c>
      <c r="GM29">
        <v>1</v>
      </c>
      <c r="GN29">
        <v>2</v>
      </c>
      <c r="GO29">
        <v>2</v>
      </c>
      <c r="GP29" t="s">
        <v>424</v>
      </c>
      <c r="GQ29">
        <v>3.13104</v>
      </c>
      <c r="GR29">
        <v>2.7366299999999999</v>
      </c>
      <c r="GS29">
        <v>9.0009599999999995E-2</v>
      </c>
      <c r="GT29">
        <v>8.9001999999999998E-2</v>
      </c>
      <c r="GU29">
        <v>0.11044900000000001</v>
      </c>
      <c r="GV29">
        <v>0.10639</v>
      </c>
      <c r="GW29">
        <v>22596.3</v>
      </c>
      <c r="GX29">
        <v>30311.3</v>
      </c>
      <c r="GY29">
        <v>26962.400000000001</v>
      </c>
      <c r="GZ29">
        <v>34253.4</v>
      </c>
      <c r="HA29">
        <v>35163.599999999999</v>
      </c>
      <c r="HB29">
        <v>38746.800000000003</v>
      </c>
      <c r="HC29">
        <v>39829.1</v>
      </c>
      <c r="HD29">
        <v>43428.7</v>
      </c>
      <c r="HE29">
        <v>1.9128000000000001</v>
      </c>
      <c r="HF29">
        <v>1.6302000000000001</v>
      </c>
      <c r="HG29">
        <v>-0.12484199999999999</v>
      </c>
      <c r="HH29">
        <v>0</v>
      </c>
      <c r="HI29">
        <v>30.7181</v>
      </c>
      <c r="HJ29">
        <v>999.9</v>
      </c>
      <c r="HK29">
        <v>53.6</v>
      </c>
      <c r="HL29">
        <v>38.5</v>
      </c>
      <c r="HM29">
        <v>37.619</v>
      </c>
      <c r="HN29">
        <v>61.7639</v>
      </c>
      <c r="HO29">
        <v>5.2043299999999997</v>
      </c>
      <c r="HP29">
        <v>1</v>
      </c>
      <c r="HQ29">
        <v>1.05809</v>
      </c>
      <c r="HR29">
        <v>6.9732200000000004</v>
      </c>
      <c r="HS29">
        <v>20.105599999999999</v>
      </c>
      <c r="HT29">
        <v>5.2112999999999996</v>
      </c>
      <c r="HU29">
        <v>11.914099999999999</v>
      </c>
      <c r="HV29">
        <v>4.9832000000000001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1.8628899999999999</v>
      </c>
      <c r="IE29">
        <v>1.8624000000000001</v>
      </c>
      <c r="IF29">
        <v>1.86243</v>
      </c>
      <c r="IG29">
        <v>1.8629500000000001</v>
      </c>
      <c r="IH29">
        <v>1.8638600000000001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-6.8639999999999999</v>
      </c>
      <c r="IX29">
        <v>-0.79630000000000001</v>
      </c>
      <c r="IY29">
        <v>-4.8725944709148266</v>
      </c>
      <c r="IZ29">
        <v>-5.6215304933332991E-3</v>
      </c>
      <c r="JA29">
        <v>2.3979931213773931E-6</v>
      </c>
      <c r="JB29">
        <v>-3.6297174575716598E-10</v>
      </c>
      <c r="JC29">
        <v>-1.1920059610704581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0.8</v>
      </c>
      <c r="JL29">
        <v>0.8</v>
      </c>
      <c r="JM29">
        <v>1.0644499999999999</v>
      </c>
      <c r="JN29">
        <v>2.5354000000000001</v>
      </c>
      <c r="JO29">
        <v>1.50024</v>
      </c>
      <c r="JP29">
        <v>2.2753899999999998</v>
      </c>
      <c r="JQ29">
        <v>1.4477500000000001</v>
      </c>
      <c r="JR29">
        <v>2.3584000000000001</v>
      </c>
      <c r="JS29">
        <v>45.461399999999998</v>
      </c>
      <c r="JT29">
        <v>23.8248</v>
      </c>
      <c r="JU29">
        <v>18</v>
      </c>
      <c r="JV29">
        <v>551.029</v>
      </c>
      <c r="JW29">
        <v>378.83699999999999</v>
      </c>
      <c r="JX29">
        <v>23.490600000000001</v>
      </c>
      <c r="JY29">
        <v>39.658999999999999</v>
      </c>
      <c r="JZ29">
        <v>30.0001</v>
      </c>
      <c r="KA29">
        <v>39.982500000000002</v>
      </c>
      <c r="KB29">
        <v>40.244900000000001</v>
      </c>
      <c r="KC29">
        <v>21.2943</v>
      </c>
      <c r="KD29">
        <v>44.4101</v>
      </c>
      <c r="KE29">
        <v>0</v>
      </c>
      <c r="KF29">
        <v>23.490100000000002</v>
      </c>
      <c r="KG29">
        <v>416.81900000000002</v>
      </c>
      <c r="KH29">
        <v>22.7624</v>
      </c>
      <c r="KI29">
        <v>99.529499999999999</v>
      </c>
      <c r="KJ29">
        <v>97.740700000000004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1910-00E6-45F8-A64C-92CCE3D6A32A}">
  <dimension ref="A2:KJ29"/>
  <sheetViews>
    <sheetView workbookViewId="0">
      <selection activeCell="L34" sqref="L34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1784485186.5</v>
      </c>
      <c r="C17">
        <v>0</v>
      </c>
      <c r="D17" t="s">
        <v>569</v>
      </c>
      <c r="E17" t="s">
        <v>570</v>
      </c>
      <c r="F17">
        <v>15</v>
      </c>
      <c r="H17">
        <v>1784485178.75</v>
      </c>
      <c r="I17">
        <f t="shared" ref="I17:I29" si="0">(J17)/1000</f>
        <v>3.6600150593266477E-3</v>
      </c>
      <c r="J17">
        <f t="shared" ref="J17:J29" si="1">IF(DO17, AM17, AG17)</f>
        <v>3.6600150593266476</v>
      </c>
      <c r="K17">
        <f t="shared" ref="K17:K29" si="2">IF(DO17, AH17, AF17)</f>
        <v>44.664441186142376</v>
      </c>
      <c r="L17">
        <f t="shared" ref="L17:L29" si="3">DQ17 - IF(AT17&gt;1, K17*DK17*100/(AV17), 0)</f>
        <v>420.16206666666659</v>
      </c>
      <c r="M17">
        <f t="shared" ref="M17:M29" si="4">((S17-I17/2)*L17-K17)/(S17+I17/2)</f>
        <v>89.974718916835528</v>
      </c>
      <c r="N17">
        <f t="shared" ref="N17:N29" si="5">M17*(DX17+DY17)/1000</f>
        <v>8.7957013174495486</v>
      </c>
      <c r="O17">
        <f t="shared" ref="O17:O29" si="6">(DQ17 - IF(AT17&gt;1, K17*DK17*100/(AV17), 0))*(DX17+DY17)/1000</f>
        <v>41.07398264548312</v>
      </c>
      <c r="P17">
        <f t="shared" ref="P17:P29" si="7">2/((1/R17-1/Q17)+SIGN(R17)*SQRT((1/R17-1/Q17)*(1/R17-1/Q17) + 4*DL17/((DL17+1)*(DL17+1))*(2*1/R17*1/Q17-1/Q17*1/Q17)))</f>
        <v>0.22927431222181527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2.8884519888655138</v>
      </c>
      <c r="R17">
        <f t="shared" ref="R17:R29" si="9">I17*(1000-(1000*0.61365*EXP(17.502*V17/(240.97+V17))/(DX17+DY17)+DS17)/2)/(1000*0.61365*EXP(17.502*V17/(240.97+V17))/(DX17+DY17)-DS17)</f>
        <v>0.21962243034475937</v>
      </c>
      <c r="S17">
        <f t="shared" ref="S17:S29" si="10">1/((DL17+1)/(P17/1.6)+1/(Q17/1.37)) + DL17/((DL17+1)/(P17/1.6) + DL17/(Q17/1.37))</f>
        <v>0.13809734278330404</v>
      </c>
      <c r="T17">
        <f t="shared" ref="T17:T29" si="11">(DG17*DJ17)</f>
        <v>319.77647089147405</v>
      </c>
      <c r="U17">
        <f t="shared" ref="U17:U29" si="12">(DZ17+(T17+2*0.95*0.0000000567*(((DZ17+$B$7)+273)^4-(DZ17+273)^4)-44100*I17)/(1.84*29.3*Q17+8*0.95*0.0000000567*(DZ17+273)^3))</f>
        <v>29.160447060330888</v>
      </c>
      <c r="V17">
        <f t="shared" ref="V17:V29" si="13">($C$7*EA17+$D$7*EB17+$E$7*U17)</f>
        <v>28.729526666666668</v>
      </c>
      <c r="W17">
        <f t="shared" ref="W17:W29" si="14">0.61365*EXP(17.502*V17/(240.97+V17))</f>
        <v>3.9592555891299708</v>
      </c>
      <c r="X17">
        <f t="shared" ref="X17:X29" si="15">(Y17/Z17*100)</f>
        <v>62.013686011502024</v>
      </c>
      <c r="Y17">
        <f t="shared" ref="Y17:Y29" si="16">DS17*(DX17+DY17)/1000</f>
        <v>2.3829707467804839</v>
      </c>
      <c r="Z17">
        <f t="shared" ref="Z17:Z29" si="17">0.61365*EXP(17.502*DZ17/(240.97+DZ17))</f>
        <v>3.8426529691179803</v>
      </c>
      <c r="AA17">
        <f t="shared" ref="AA17:AA29" si="18">(W17-DS17*(DX17+DY17)/1000)</f>
        <v>1.5762848423494868</v>
      </c>
      <c r="AB17">
        <f t="shared" ref="AB17:AB29" si="19">(-I17*44100)</f>
        <v>-161.40666411630517</v>
      </c>
      <c r="AC17">
        <f t="shared" ref="AC17:AC29" si="20">2*29.3*Q17*0.92*(DZ17-V17)</f>
        <v>-80.131022758213845</v>
      </c>
      <c r="AD17">
        <f t="shared" ref="AD17:AD29" si="21">2*0.95*0.0000000567*(((DZ17+$B$7)+273)^4-(V17+273)^4)</f>
        <v>-6.0755980383548769</v>
      </c>
      <c r="AE17">
        <f t="shared" ref="AE17:AE29" si="22">T17+AD17+AB17+AC17</f>
        <v>72.163185978600154</v>
      </c>
      <c r="AF17">
        <f t="shared" ref="AF17:AF29" si="23">DW17*AT17*(DR17-DQ17*(1000-AT17*DT17)/(1000-AT17*DS17))/(100*DK17)</f>
        <v>44.664441186142376</v>
      </c>
      <c r="AG17">
        <f t="shared" ref="AG17:AG29" si="24">1000*DW17*AT17*(DS17-DT17)/(100*DK17*(1000-AT17*DS17))</f>
        <v>3.6600150593266476</v>
      </c>
      <c r="AH17">
        <f t="shared" ref="AH17:AH29" si="25">(AI17 - AJ17 - DX17*1000/(8.314*(DZ17+273.15)) * AL17/DW17 * AK17) * DW17/(100*DK17) * (1000 - DT17)/1000</f>
        <v>44.479068054043246</v>
      </c>
      <c r="AI17">
        <v>485.3055899798498</v>
      </c>
      <c r="AJ17">
        <v>430.72588484848461</v>
      </c>
      <c r="AK17">
        <v>2.077776725183958E-2</v>
      </c>
      <c r="AL17">
        <v>67.072102801654864</v>
      </c>
      <c r="AM17">
        <f t="shared" ref="AM17:AM29" si="26">(AO17 - AN17 + DX17*1000/(8.314*(DZ17+273.15)) * AQ17/DW17 * AP17) * DW17/(100*DK17) * 1000/(1000 - AO17)</f>
        <v>3.708507915186642</v>
      </c>
      <c r="AN17">
        <v>20.093096131341991</v>
      </c>
      <c r="AO17">
        <v>24.401852727272729</v>
      </c>
      <c r="AP17">
        <v>5.3869437229405294E-3</v>
      </c>
      <c r="AQ17">
        <v>78.550000000000011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51440.342528836401</v>
      </c>
      <c r="AW17" t="s">
        <v>571</v>
      </c>
      <c r="AX17">
        <v>5079.32</v>
      </c>
      <c r="AY17">
        <v>585.89117647058833</v>
      </c>
      <c r="AZ17">
        <v>2401.2399999999998</v>
      </c>
      <c r="BA17">
        <f t="shared" ref="BA17:BA29" si="30">1-AY17/AZ17</f>
        <v>0.75600474068789936</v>
      </c>
      <c r="BB17">
        <v>-3.1476729285104721</v>
      </c>
      <c r="BC17" t="s">
        <v>572</v>
      </c>
      <c r="BD17">
        <v>5070.5200000000004</v>
      </c>
      <c r="BE17">
        <v>851.39400000000001</v>
      </c>
      <c r="BF17">
        <v>981.41</v>
      </c>
      <c r="BG17">
        <f t="shared" ref="BG17:BG29" si="31">1-BE17/BF17</f>
        <v>0.13247878053005369</v>
      </c>
      <c r="BH17">
        <v>0.5</v>
      </c>
      <c r="BI17">
        <f t="shared" ref="BI17:BI29" si="32">DH17</f>
        <v>1680.2976798401421</v>
      </c>
      <c r="BJ17">
        <f t="shared" ref="BJ17:BJ29" si="33">K17</f>
        <v>44.664441186142376</v>
      </c>
      <c r="BK17">
        <f t="shared" ref="BK17:BK29" si="34">BG17*BH17*BI17</f>
        <v>111.3018937763503</v>
      </c>
      <c r="BL17">
        <f t="shared" ref="BL17:BL29" si="35">(BJ17-BB17)/BI17</f>
        <v>2.8454549862380059E-2</v>
      </c>
      <c r="BM17">
        <f t="shared" ref="BM17:BM29" si="36">(AZ17-BF17)/BF17</f>
        <v>1.4467246105093692</v>
      </c>
      <c r="BN17">
        <f t="shared" ref="BN17:BN29" si="37">AY17/(BA17+AY17/BF17)</f>
        <v>433.03311000660108</v>
      </c>
      <c r="BO17" t="s">
        <v>408</v>
      </c>
      <c r="BP17">
        <v>0</v>
      </c>
      <c r="BQ17">
        <f t="shared" ref="BQ17:BQ29" si="38">IF(BP17&lt;&gt;0, BP17, BN17)</f>
        <v>433.03311000660108</v>
      </c>
      <c r="BR17">
        <f t="shared" ref="BR17:BR29" si="39">1-BQ17/BF17</f>
        <v>0.55876431867761578</v>
      </c>
      <c r="BS17">
        <f t="shared" ref="BS17:BS29" si="40">(BF17-BE17)/(BF17-BQ17)</f>
        <v>0.23709241285052154</v>
      </c>
      <c r="BT17">
        <f t="shared" ref="BT17:BT29" si="41">(AZ17-BF17)/(AZ17-BQ17)</f>
        <v>0.7213824965345802</v>
      </c>
      <c r="BU17">
        <f t="shared" ref="BU17:BU29" si="42">(BF17-BE17)/(BF17-AY17)</f>
        <v>0.32872266063041544</v>
      </c>
      <c r="BV17">
        <f t="shared" ref="BV17:BV29" si="43">(AZ17-BF17)/(AZ17-AY17)</f>
        <v>0.78212516602707705</v>
      </c>
      <c r="BW17">
        <f t="shared" ref="BW17:BW29" si="44">(BS17*BQ17/BE17)</f>
        <v>0.12058913369794758</v>
      </c>
      <c r="BX17">
        <f t="shared" ref="BX17:BX29" si="45">(1-BW17)</f>
        <v>0.87941086630205245</v>
      </c>
      <c r="DG17">
        <f t="shared" ref="DG17:DG29" si="46">$B$11*EF17+$C$11*EG17+$F$11*ER17*(1-EU17)</f>
        <v>1999.9986666666671</v>
      </c>
      <c r="DH17">
        <f t="shared" ref="DH17:DH29" si="47">DG17*DI17</f>
        <v>1680.2976798401421</v>
      </c>
      <c r="DI17">
        <f t="shared" ref="DI17:DI29" si="48">($B$11*$D$9+$C$11*$D$9+$F$11*((FE17+EW17)/MAX(FE17+EW17+FF17, 0.1)*$I$9+FF17/MAX(FE17+EW17+FF17, 0.1)*$J$9))/($B$11+$C$11+$F$11)</f>
        <v>0.84014940001967087</v>
      </c>
      <c r="DJ17">
        <f t="shared" ref="DJ17:DJ29" si="49">($B$11*$K$9+$C$11*$K$9+$F$11*((FE17+EW17)/MAX(FE17+EW17+FF17, 0.1)*$P$9+FF17/MAX(FE17+EW17+FF17, 0.1)*$Q$9))/($B$11+$C$11+$F$11)</f>
        <v>0.15988834203796501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1784485178.75</v>
      </c>
      <c r="DQ17">
        <v>420.16206666666659</v>
      </c>
      <c r="DR17">
        <v>475.60656666666682</v>
      </c>
      <c r="DS17">
        <v>24.376353333333331</v>
      </c>
      <c r="DT17">
        <v>20.09125666666667</v>
      </c>
      <c r="DU17">
        <v>427.32123333333328</v>
      </c>
      <c r="DV17">
        <v>25.03110666666667</v>
      </c>
      <c r="DW17">
        <v>499.98366666666669</v>
      </c>
      <c r="DX17">
        <v>97.701673333333332</v>
      </c>
      <c r="DY17">
        <v>5.5801470000000013E-2</v>
      </c>
      <c r="DZ17">
        <v>28.214950000000002</v>
      </c>
      <c r="EA17">
        <v>28.729526666666668</v>
      </c>
      <c r="EB17">
        <v>999.9000000000002</v>
      </c>
      <c r="EC17">
        <v>0</v>
      </c>
      <c r="ED17">
        <v>0</v>
      </c>
      <c r="EE17">
        <v>9997.3333333333339</v>
      </c>
      <c r="EF17">
        <v>0</v>
      </c>
      <c r="EG17">
        <v>182.37010000000001</v>
      </c>
      <c r="EH17">
        <v>-55.444453333333342</v>
      </c>
      <c r="EI17">
        <v>430.66006666666669</v>
      </c>
      <c r="EJ17">
        <v>485.35799999999989</v>
      </c>
      <c r="EK17">
        <v>4.2851033333333346</v>
      </c>
      <c r="EL17">
        <v>475.60656666666682</v>
      </c>
      <c r="EM17">
        <v>20.09125666666667</v>
      </c>
      <c r="EN17">
        <v>2.3816113333333329</v>
      </c>
      <c r="EO17">
        <v>1.962949333333333</v>
      </c>
      <c r="EP17">
        <v>20.239280000000001</v>
      </c>
      <c r="EQ17">
        <v>17.148599999999998</v>
      </c>
      <c r="ER17">
        <v>1999.9986666666671</v>
      </c>
      <c r="ES17">
        <v>0.99500746666666662</v>
      </c>
      <c r="ET17">
        <v>4.9925933333333341E-3</v>
      </c>
      <c r="EU17">
        <v>0</v>
      </c>
      <c r="EV17">
        <v>851.55290000000002</v>
      </c>
      <c r="EW17">
        <v>5.0010700000000003</v>
      </c>
      <c r="EX17">
        <v>21279.086666666659</v>
      </c>
      <c r="EY17">
        <v>18241.683333333331</v>
      </c>
      <c r="EZ17">
        <v>47.160133333333313</v>
      </c>
      <c r="FA17">
        <v>49.616599999999998</v>
      </c>
      <c r="FB17">
        <v>47.922533333333313</v>
      </c>
      <c r="FC17">
        <v>48.453799999999987</v>
      </c>
      <c r="FD17">
        <v>47.991599999999998</v>
      </c>
      <c r="FE17">
        <v>1985.038666666667</v>
      </c>
      <c r="FF17">
        <v>9.9599999999999991</v>
      </c>
      <c r="FG17">
        <v>0</v>
      </c>
      <c r="FH17">
        <v>1671.2000000476839</v>
      </c>
      <c r="FI17">
        <v>0</v>
      </c>
      <c r="FJ17">
        <v>851.39400000000001</v>
      </c>
      <c r="FK17">
        <v>-1.2392157381751561</v>
      </c>
      <c r="FL17">
        <v>212.94117946148651</v>
      </c>
      <c r="FM17">
        <v>21288.694117647061</v>
      </c>
      <c r="FN17">
        <v>10</v>
      </c>
      <c r="FO17">
        <v>1784485062.5</v>
      </c>
      <c r="FP17" t="s">
        <v>573</v>
      </c>
      <c r="FQ17">
        <v>1784485057.5</v>
      </c>
      <c r="FR17">
        <v>1784485062.5</v>
      </c>
      <c r="FS17">
        <v>33</v>
      </c>
      <c r="FT17">
        <v>-0.17599999999999999</v>
      </c>
      <c r="FU17">
        <v>0.156</v>
      </c>
      <c r="FV17">
        <v>-7.3609999999999998</v>
      </c>
      <c r="FW17">
        <v>-0.77400000000000002</v>
      </c>
      <c r="FX17">
        <v>475</v>
      </c>
      <c r="FY17">
        <v>20</v>
      </c>
      <c r="FZ17">
        <v>0.16</v>
      </c>
      <c r="GA17">
        <v>0.05</v>
      </c>
      <c r="GB17">
        <v>420.16073333333333</v>
      </c>
      <c r="GC17">
        <v>-9.39710789798987E-3</v>
      </c>
      <c r="GD17">
        <v>6.7685022140959811E-2</v>
      </c>
      <c r="GE17">
        <v>-1</v>
      </c>
      <c r="GF17">
        <v>851.66797058823522</v>
      </c>
      <c r="GG17">
        <v>-2.0930939698886468</v>
      </c>
      <c r="GH17">
        <v>0.33087624177363623</v>
      </c>
      <c r="GI17">
        <v>1</v>
      </c>
      <c r="GJ17">
        <v>4.2987982499999999</v>
      </c>
      <c r="GK17">
        <v>-0.19942435272045461</v>
      </c>
      <c r="GL17">
        <v>5.1249534431421911E-2</v>
      </c>
      <c r="GM17">
        <v>1</v>
      </c>
      <c r="GN17">
        <v>2</v>
      </c>
      <c r="GO17">
        <v>2</v>
      </c>
      <c r="GP17" t="s">
        <v>424</v>
      </c>
      <c r="GQ17">
        <v>3.1307100000000001</v>
      </c>
      <c r="GR17">
        <v>2.73183</v>
      </c>
      <c r="GS17">
        <v>9.0357800000000002E-2</v>
      </c>
      <c r="GT17">
        <v>9.8727200000000001E-2</v>
      </c>
      <c r="GU17">
        <v>0.113834</v>
      </c>
      <c r="GV17">
        <v>9.7709000000000004E-2</v>
      </c>
      <c r="GW17">
        <v>22610</v>
      </c>
      <c r="GX17">
        <v>30032.5</v>
      </c>
      <c r="GY17">
        <v>26988</v>
      </c>
      <c r="GZ17">
        <v>34303.699999999997</v>
      </c>
      <c r="HA17">
        <v>35068.699999999997</v>
      </c>
      <c r="HB17">
        <v>39223.9</v>
      </c>
      <c r="HC17">
        <v>39872.5</v>
      </c>
      <c r="HD17">
        <v>43541.9</v>
      </c>
      <c r="HE17">
        <v>1.9164000000000001</v>
      </c>
      <c r="HF17">
        <v>1.6368</v>
      </c>
      <c r="HG17">
        <v>-0.115633</v>
      </c>
      <c r="HH17">
        <v>0</v>
      </c>
      <c r="HI17">
        <v>30.5794</v>
      </c>
      <c r="HJ17">
        <v>999.9</v>
      </c>
      <c r="HK17">
        <v>44.7</v>
      </c>
      <c r="HL17">
        <v>44.9</v>
      </c>
      <c r="HM17">
        <v>43.8688</v>
      </c>
      <c r="HN17">
        <v>61.4771</v>
      </c>
      <c r="HO17">
        <v>5.2363799999999996</v>
      </c>
      <c r="HP17">
        <v>1</v>
      </c>
      <c r="HQ17">
        <v>1.05081</v>
      </c>
      <c r="HR17">
        <v>9.1263400000000008</v>
      </c>
      <c r="HS17">
        <v>20.0319</v>
      </c>
      <c r="HT17">
        <v>5.2112999999999996</v>
      </c>
      <c r="HU17">
        <v>11.918900000000001</v>
      </c>
      <c r="HV17">
        <v>4.984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1.8672500000000001</v>
      </c>
      <c r="IC17">
        <v>1.8629500000000001</v>
      </c>
      <c r="ID17">
        <v>1.86249</v>
      </c>
      <c r="IE17">
        <v>1.8620300000000001</v>
      </c>
      <c r="IF17">
        <v>1.8620300000000001</v>
      </c>
      <c r="IG17">
        <v>1.86252</v>
      </c>
      <c r="IH17">
        <v>1.8634299999999999</v>
      </c>
      <c r="II17">
        <v>1.8614200000000001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-7.1580000000000004</v>
      </c>
      <c r="IX17">
        <v>-0.65400000000000003</v>
      </c>
      <c r="IY17">
        <v>-5.1664327765281151</v>
      </c>
      <c r="IZ17">
        <v>-5.6215304933332991E-3</v>
      </c>
      <c r="JA17">
        <v>2.3979931213773931E-6</v>
      </c>
      <c r="JB17">
        <v>-3.6297174575716598E-10</v>
      </c>
      <c r="JC17">
        <v>-1.075706644504278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2.1</v>
      </c>
      <c r="JL17">
        <v>2.1</v>
      </c>
      <c r="JM17">
        <v>1.2121599999999999</v>
      </c>
      <c r="JN17">
        <v>2.5708000000000002</v>
      </c>
      <c r="JO17">
        <v>1.50024</v>
      </c>
      <c r="JP17">
        <v>2.2680699999999998</v>
      </c>
      <c r="JQ17">
        <v>1.4477500000000001</v>
      </c>
      <c r="JR17">
        <v>2.3840300000000001</v>
      </c>
      <c r="JS17">
        <v>47.692399999999999</v>
      </c>
      <c r="JT17">
        <v>15.8569</v>
      </c>
      <c r="JU17">
        <v>18</v>
      </c>
      <c r="JV17">
        <v>552.07399999999996</v>
      </c>
      <c r="JW17">
        <v>381.66899999999998</v>
      </c>
      <c r="JX17">
        <v>22.0488</v>
      </c>
      <c r="JY17">
        <v>39.434399999999997</v>
      </c>
      <c r="JZ17">
        <v>30.0001</v>
      </c>
      <c r="KA17">
        <v>39.582299999999996</v>
      </c>
      <c r="KB17">
        <v>39.350299999999997</v>
      </c>
      <c r="KC17">
        <v>24.252700000000001</v>
      </c>
      <c r="KD17">
        <v>55.078699999999998</v>
      </c>
      <c r="KE17">
        <v>0</v>
      </c>
      <c r="KF17">
        <v>22.060400000000001</v>
      </c>
      <c r="KG17">
        <v>475.62</v>
      </c>
      <c r="KH17">
        <v>20.110700000000001</v>
      </c>
      <c r="KI17">
        <v>99.632400000000004</v>
      </c>
      <c r="KJ17">
        <v>97.9465</v>
      </c>
    </row>
    <row r="18" spans="1:296" x14ac:dyDescent="0.3">
      <c r="A18">
        <v>2</v>
      </c>
      <c r="B18">
        <v>1784485369</v>
      </c>
      <c r="C18">
        <v>182.5</v>
      </c>
      <c r="D18" t="s">
        <v>574</v>
      </c>
      <c r="E18" t="s">
        <v>575</v>
      </c>
      <c r="F18">
        <v>15</v>
      </c>
      <c r="H18">
        <v>1784485361.25</v>
      </c>
      <c r="I18">
        <f t="shared" si="0"/>
        <v>3.4609430753711405E-3</v>
      </c>
      <c r="J18">
        <f t="shared" si="1"/>
        <v>3.4609430753711403</v>
      </c>
      <c r="K18">
        <f t="shared" si="2"/>
        <v>40.51841067361017</v>
      </c>
      <c r="L18">
        <f t="shared" si="3"/>
        <v>420.25783333333328</v>
      </c>
      <c r="M18">
        <f t="shared" si="4"/>
        <v>102.89671083249449</v>
      </c>
      <c r="N18">
        <f t="shared" si="5"/>
        <v>10.05894996787115</v>
      </c>
      <c r="O18">
        <f t="shared" si="6"/>
        <v>41.083456263122322</v>
      </c>
      <c r="P18">
        <f t="shared" si="7"/>
        <v>0.21625559967374039</v>
      </c>
      <c r="Q18">
        <f t="shared" si="8"/>
        <v>2.8893862631270752</v>
      </c>
      <c r="R18">
        <f t="shared" si="9"/>
        <v>0.20764924557738751</v>
      </c>
      <c r="S18">
        <f t="shared" si="10"/>
        <v>0.13052548590601395</v>
      </c>
      <c r="T18">
        <f t="shared" si="11"/>
        <v>271.9083140931798</v>
      </c>
      <c r="U18">
        <f t="shared" si="12"/>
        <v>28.926820612414978</v>
      </c>
      <c r="V18">
        <f t="shared" si="13"/>
        <v>28.697406666666659</v>
      </c>
      <c r="W18">
        <f t="shared" si="14"/>
        <v>3.9518879779951841</v>
      </c>
      <c r="X18">
        <f t="shared" si="15"/>
        <v>61.813253682805239</v>
      </c>
      <c r="Y18">
        <f t="shared" si="16"/>
        <v>2.3752628371690219</v>
      </c>
      <c r="Z18">
        <f t="shared" si="17"/>
        <v>3.842643277374922</v>
      </c>
      <c r="AA18">
        <f t="shared" si="18"/>
        <v>1.5766251408261622</v>
      </c>
      <c r="AB18">
        <f t="shared" si="19"/>
        <v>-152.62758962386729</v>
      </c>
      <c r="AC18">
        <f t="shared" si="20"/>
        <v>-75.160275745041631</v>
      </c>
      <c r="AD18">
        <f t="shared" si="21"/>
        <v>-5.6959572455549248</v>
      </c>
      <c r="AE18">
        <f t="shared" si="22"/>
        <v>38.424491478715922</v>
      </c>
      <c r="AF18">
        <f t="shared" si="23"/>
        <v>40.51841067361017</v>
      </c>
      <c r="AG18">
        <f t="shared" si="24"/>
        <v>3.4609430753711403</v>
      </c>
      <c r="AH18">
        <f t="shared" si="25"/>
        <v>40.647094315568943</v>
      </c>
      <c r="AI18">
        <v>480.26851077524083</v>
      </c>
      <c r="AJ18">
        <v>430.66438181818171</v>
      </c>
      <c r="AK18">
        <v>-3.3537456533389007E-2</v>
      </c>
      <c r="AL18">
        <v>67.072102801654864</v>
      </c>
      <c r="AM18">
        <f t="shared" si="26"/>
        <v>3.5467895591958367</v>
      </c>
      <c r="AN18">
        <v>20.244580976320361</v>
      </c>
      <c r="AO18">
        <v>24.39759939393938</v>
      </c>
      <c r="AP18">
        <v>-1.8259125820385569E-4</v>
      </c>
      <c r="AQ18">
        <v>78.550000000000011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51466.844012871821</v>
      </c>
      <c r="AW18" t="s">
        <v>571</v>
      </c>
      <c r="AX18">
        <v>5079.32</v>
      </c>
      <c r="AY18">
        <v>585.89117647058833</v>
      </c>
      <c r="AZ18">
        <v>2401.2399999999998</v>
      </c>
      <c r="BA18">
        <f t="shared" si="30"/>
        <v>0.75600474068789936</v>
      </c>
      <c r="BB18">
        <v>-3.1476729285104721</v>
      </c>
      <c r="BC18" t="s">
        <v>576</v>
      </c>
      <c r="BD18">
        <v>5071.16</v>
      </c>
      <c r="BE18">
        <v>840.56917647058822</v>
      </c>
      <c r="BF18">
        <v>1000.47</v>
      </c>
      <c r="BG18">
        <f t="shared" si="31"/>
        <v>0.15982570544785135</v>
      </c>
      <c r="BH18">
        <v>0.5</v>
      </c>
      <c r="BI18">
        <f t="shared" si="32"/>
        <v>1428.3023016026832</v>
      </c>
      <c r="BJ18">
        <f t="shared" si="33"/>
        <v>40.51841067361017</v>
      </c>
      <c r="BK18">
        <f t="shared" si="34"/>
        <v>114.13971147321929</v>
      </c>
      <c r="BL18">
        <f t="shared" si="35"/>
        <v>3.0572017949647902E-2</v>
      </c>
      <c r="BM18">
        <f t="shared" si="36"/>
        <v>1.400111947384729</v>
      </c>
      <c r="BN18">
        <f t="shared" si="37"/>
        <v>436.70404475945872</v>
      </c>
      <c r="BO18" t="s">
        <v>408</v>
      </c>
      <c r="BP18">
        <v>0</v>
      </c>
      <c r="BQ18">
        <f t="shared" si="38"/>
        <v>436.70404475945872</v>
      </c>
      <c r="BR18">
        <f t="shared" si="39"/>
        <v>0.56350110971897338</v>
      </c>
      <c r="BS18">
        <f t="shared" si="40"/>
        <v>0.28362979715791303</v>
      </c>
      <c r="BT18">
        <f t="shared" si="41"/>
        <v>0.7130284361878666</v>
      </c>
      <c r="BU18">
        <f t="shared" si="42"/>
        <v>0.38569462416853978</v>
      </c>
      <c r="BV18">
        <f t="shared" si="43"/>
        <v>0.77162580648088053</v>
      </c>
      <c r="BW18">
        <f t="shared" si="44"/>
        <v>0.14735524820603441</v>
      </c>
      <c r="BX18">
        <f t="shared" si="45"/>
        <v>0.85264475179396559</v>
      </c>
      <c r="DG18">
        <f t="shared" si="46"/>
        <v>1699.996666666666</v>
      </c>
      <c r="DH18">
        <f t="shared" si="47"/>
        <v>1428.3023016026832</v>
      </c>
      <c r="DI18">
        <f t="shared" si="48"/>
        <v>0.8401794718828961</v>
      </c>
      <c r="DJ18">
        <f t="shared" si="49"/>
        <v>0.15994638073398962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1784485361.25</v>
      </c>
      <c r="DQ18">
        <v>420.25783333333328</v>
      </c>
      <c r="DR18">
        <v>470.62036666666671</v>
      </c>
      <c r="DS18">
        <v>24.297440000000009</v>
      </c>
      <c r="DT18">
        <v>20.24561666666667</v>
      </c>
      <c r="DU18">
        <v>427.41726666666659</v>
      </c>
      <c r="DV18">
        <v>25.070440000000001</v>
      </c>
      <c r="DW18">
        <v>500.04910000000012</v>
      </c>
      <c r="DX18">
        <v>97.702003333333337</v>
      </c>
      <c r="DY18">
        <v>5.5737283333333339E-2</v>
      </c>
      <c r="DZ18">
        <v>28.214906666666671</v>
      </c>
      <c r="EA18">
        <v>28.697406666666659</v>
      </c>
      <c r="EB18">
        <v>999.9000000000002</v>
      </c>
      <c r="EC18">
        <v>0</v>
      </c>
      <c r="ED18">
        <v>0</v>
      </c>
      <c r="EE18">
        <v>10002.66666666667</v>
      </c>
      <c r="EF18">
        <v>0</v>
      </c>
      <c r="EG18">
        <v>189.18109999999999</v>
      </c>
      <c r="EH18">
        <v>-50.362523333333343</v>
      </c>
      <c r="EI18">
        <v>430.77600000000001</v>
      </c>
      <c r="EJ18">
        <v>480.34516666666673</v>
      </c>
      <c r="EK18">
        <v>4.1712043333333328</v>
      </c>
      <c r="EL18">
        <v>470.62036666666671</v>
      </c>
      <c r="EM18">
        <v>20.24561666666667</v>
      </c>
      <c r="EN18">
        <v>2.3855719999999989</v>
      </c>
      <c r="EO18">
        <v>1.978037333333333</v>
      </c>
      <c r="EP18">
        <v>20.26616666666667</v>
      </c>
      <c r="EQ18">
        <v>17.269616666666671</v>
      </c>
      <c r="ER18">
        <v>1699.996666666666</v>
      </c>
      <c r="ES18">
        <v>0.99399743333333346</v>
      </c>
      <c r="ET18">
        <v>6.0022270000000006E-3</v>
      </c>
      <c r="EU18">
        <v>0</v>
      </c>
      <c r="EV18">
        <v>840.6554666666666</v>
      </c>
      <c r="EW18">
        <v>5.0010700000000003</v>
      </c>
      <c r="EX18">
        <v>18516.993333333328</v>
      </c>
      <c r="EY18">
        <v>15492.47333333333</v>
      </c>
      <c r="EZ18">
        <v>47.153933333333327</v>
      </c>
      <c r="FA18">
        <v>49.936999999999983</v>
      </c>
      <c r="FB18">
        <v>48.186999999999983</v>
      </c>
      <c r="FC18">
        <v>48.752066666666657</v>
      </c>
      <c r="FD18">
        <v>48.087199999999982</v>
      </c>
      <c r="FE18">
        <v>1684.8166666666671</v>
      </c>
      <c r="FF18">
        <v>10.17</v>
      </c>
      <c r="FG18">
        <v>0</v>
      </c>
      <c r="FH18">
        <v>182</v>
      </c>
      <c r="FI18">
        <v>0</v>
      </c>
      <c r="FJ18">
        <v>840.56917647058822</v>
      </c>
      <c r="FK18">
        <v>-0.15294118198291801</v>
      </c>
      <c r="FL18">
        <v>370.19607576017211</v>
      </c>
      <c r="FM18">
        <v>18522.194117647061</v>
      </c>
      <c r="FN18">
        <v>10</v>
      </c>
      <c r="FO18">
        <v>1784485394.5</v>
      </c>
      <c r="FP18" t="s">
        <v>577</v>
      </c>
      <c r="FQ18">
        <v>1784485057.5</v>
      </c>
      <c r="FR18">
        <v>1784485394.5</v>
      </c>
      <c r="FS18">
        <v>34</v>
      </c>
      <c r="FT18">
        <v>-0.17599999999999999</v>
      </c>
      <c r="FU18">
        <v>-8.9999999999999993E-3</v>
      </c>
      <c r="FV18">
        <v>-7.3609999999999998</v>
      </c>
      <c r="FW18">
        <v>-0.77300000000000002</v>
      </c>
      <c r="FX18">
        <v>475</v>
      </c>
      <c r="FY18">
        <v>20</v>
      </c>
      <c r="FZ18">
        <v>0.16</v>
      </c>
      <c r="GA18">
        <v>0.09</v>
      </c>
      <c r="GB18">
        <v>420.26980645161302</v>
      </c>
      <c r="GC18">
        <v>-0.2090806451619088</v>
      </c>
      <c r="GD18">
        <v>7.2088842747676074E-2</v>
      </c>
      <c r="GE18">
        <v>-1</v>
      </c>
      <c r="GF18">
        <v>840.74811764705885</v>
      </c>
      <c r="GG18">
        <v>-1.8326355985301639</v>
      </c>
      <c r="GH18">
        <v>0.24561456709841151</v>
      </c>
      <c r="GI18">
        <v>1</v>
      </c>
      <c r="GJ18">
        <v>4.1772882926829276</v>
      </c>
      <c r="GK18">
        <v>-9.735428571428964E-2</v>
      </c>
      <c r="GL18">
        <v>1.063875334307662E-2</v>
      </c>
      <c r="GM18">
        <v>1</v>
      </c>
      <c r="GN18">
        <v>2</v>
      </c>
      <c r="GO18">
        <v>2</v>
      </c>
      <c r="GP18" t="s">
        <v>424</v>
      </c>
      <c r="GQ18">
        <v>3.1291099999999998</v>
      </c>
      <c r="GR18">
        <v>2.7297899999999999</v>
      </c>
      <c r="GS18">
        <v>9.0369000000000005E-2</v>
      </c>
      <c r="GT18">
        <v>9.79217E-2</v>
      </c>
      <c r="GU18">
        <v>0.113799</v>
      </c>
      <c r="GV18">
        <v>9.8199599999999998E-2</v>
      </c>
      <c r="GW18">
        <v>22607.3</v>
      </c>
      <c r="GX18">
        <v>30055.599999999999</v>
      </c>
      <c r="GY18">
        <v>26985.4</v>
      </c>
      <c r="GZ18">
        <v>34299.9</v>
      </c>
      <c r="HA18">
        <v>35067.1</v>
      </c>
      <c r="HB18">
        <v>39198.9</v>
      </c>
      <c r="HC18">
        <v>39868.800000000003</v>
      </c>
      <c r="HD18">
        <v>43537.8</v>
      </c>
      <c r="HE18">
        <v>1.9136</v>
      </c>
      <c r="HF18">
        <v>1.637</v>
      </c>
      <c r="HG18">
        <v>-0.11605</v>
      </c>
      <c r="HH18">
        <v>0</v>
      </c>
      <c r="HI18">
        <v>30.597999999999999</v>
      </c>
      <c r="HJ18">
        <v>999.9</v>
      </c>
      <c r="HK18">
        <v>44.8</v>
      </c>
      <c r="HL18">
        <v>44.8</v>
      </c>
      <c r="HM18">
        <v>43.740900000000003</v>
      </c>
      <c r="HN18">
        <v>61.447099999999999</v>
      </c>
      <c r="HO18">
        <v>4.9879800000000003</v>
      </c>
      <c r="HP18">
        <v>1</v>
      </c>
      <c r="HQ18">
        <v>1.0462400000000001</v>
      </c>
      <c r="HR18">
        <v>7.5643099999999999</v>
      </c>
      <c r="HS18">
        <v>20.1037</v>
      </c>
      <c r="HT18">
        <v>5.1933299999999996</v>
      </c>
      <c r="HU18">
        <v>11.914099999999999</v>
      </c>
      <c r="HV18">
        <v>4.9771999999999998</v>
      </c>
      <c r="HW18">
        <v>3.2679999999999998</v>
      </c>
      <c r="HX18">
        <v>9999</v>
      </c>
      <c r="HY18">
        <v>9999</v>
      </c>
      <c r="HZ18">
        <v>9999</v>
      </c>
      <c r="IA18">
        <v>999.9</v>
      </c>
      <c r="IB18">
        <v>1.86737</v>
      </c>
      <c r="IC18">
        <v>1.86304</v>
      </c>
      <c r="ID18">
        <v>1.86249</v>
      </c>
      <c r="IE18">
        <v>1.86206</v>
      </c>
      <c r="IF18">
        <v>1.8620300000000001</v>
      </c>
      <c r="IG18">
        <v>1.8625499999999999</v>
      </c>
      <c r="IH18">
        <v>1.8635299999999999</v>
      </c>
      <c r="II18">
        <v>1.8614200000000001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-7.1589999999999998</v>
      </c>
      <c r="IX18">
        <v>-0.77300000000000002</v>
      </c>
      <c r="IY18">
        <v>-5.1664327765281151</v>
      </c>
      <c r="IZ18">
        <v>-5.6215304933332991E-3</v>
      </c>
      <c r="JA18">
        <v>2.3979931213773931E-6</v>
      </c>
      <c r="JB18">
        <v>-3.6297174575716598E-10</v>
      </c>
      <c r="JC18">
        <v>-1.075706644504278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5.2</v>
      </c>
      <c r="JL18">
        <v>5.0999999999999996</v>
      </c>
      <c r="JM18">
        <v>1.2023900000000001</v>
      </c>
      <c r="JN18">
        <v>2.5756800000000002</v>
      </c>
      <c r="JO18">
        <v>1.50024</v>
      </c>
      <c r="JP18">
        <v>2.2680699999999998</v>
      </c>
      <c r="JQ18">
        <v>1.4477500000000001</v>
      </c>
      <c r="JR18">
        <v>2.4890099999999999</v>
      </c>
      <c r="JS18">
        <v>47.541699999999999</v>
      </c>
      <c r="JT18">
        <v>15.9095</v>
      </c>
      <c r="JU18">
        <v>18</v>
      </c>
      <c r="JV18">
        <v>550.41899999999998</v>
      </c>
      <c r="JW18">
        <v>381.95</v>
      </c>
      <c r="JX18">
        <v>22.9956</v>
      </c>
      <c r="JY18">
        <v>39.500100000000003</v>
      </c>
      <c r="JZ18">
        <v>30.000499999999999</v>
      </c>
      <c r="KA18">
        <v>39.6203</v>
      </c>
      <c r="KB18">
        <v>39.380400000000002</v>
      </c>
      <c r="KC18">
        <v>24.043500000000002</v>
      </c>
      <c r="KD18">
        <v>54.648600000000002</v>
      </c>
      <c r="KE18">
        <v>0</v>
      </c>
      <c r="KF18">
        <v>22.993500000000001</v>
      </c>
      <c r="KG18">
        <v>470.5</v>
      </c>
      <c r="KH18">
        <v>20.244599999999998</v>
      </c>
      <c r="KI18">
        <v>99.623000000000005</v>
      </c>
      <c r="KJ18">
        <v>97.936400000000006</v>
      </c>
    </row>
    <row r="19" spans="1:296" x14ac:dyDescent="0.3">
      <c r="A19">
        <v>3</v>
      </c>
      <c r="B19">
        <v>1784485575.5</v>
      </c>
      <c r="C19">
        <v>389</v>
      </c>
      <c r="D19" t="s">
        <v>578</v>
      </c>
      <c r="E19" t="s">
        <v>579</v>
      </c>
      <c r="F19">
        <v>15</v>
      </c>
      <c r="H19">
        <v>1784485567.75</v>
      </c>
      <c r="I19">
        <f t="shared" si="0"/>
        <v>3.4183407821661025E-3</v>
      </c>
      <c r="J19">
        <f t="shared" si="1"/>
        <v>3.4183407821661023</v>
      </c>
      <c r="K19">
        <f t="shared" si="2"/>
        <v>40.049731740896377</v>
      </c>
      <c r="L19">
        <f t="shared" si="3"/>
        <v>420.0071333333334</v>
      </c>
      <c r="M19">
        <f t="shared" si="4"/>
        <v>107.82732919390925</v>
      </c>
      <c r="N19">
        <f t="shared" si="5"/>
        <v>10.541091945833411</v>
      </c>
      <c r="O19">
        <f t="shared" si="6"/>
        <v>41.059477624738051</v>
      </c>
      <c r="P19">
        <f t="shared" si="7"/>
        <v>0.21738274295001184</v>
      </c>
      <c r="Q19">
        <f t="shared" si="8"/>
        <v>2.8881338035582846</v>
      </c>
      <c r="R19">
        <f t="shared" si="9"/>
        <v>0.20868477219077453</v>
      </c>
      <c r="S19">
        <f t="shared" si="10"/>
        <v>0.13118046149247842</v>
      </c>
      <c r="T19">
        <f t="shared" si="11"/>
        <v>255.91473482905664</v>
      </c>
      <c r="U19">
        <f t="shared" si="12"/>
        <v>28.857001352040484</v>
      </c>
      <c r="V19">
        <f t="shared" si="13"/>
        <v>28.696993333333332</v>
      </c>
      <c r="W19">
        <f t="shared" si="14"/>
        <v>3.9517932465296624</v>
      </c>
      <c r="X19">
        <f t="shared" si="15"/>
        <v>62.470614904257005</v>
      </c>
      <c r="Y19">
        <f t="shared" si="16"/>
        <v>2.402504344966685</v>
      </c>
      <c r="Z19">
        <f t="shared" si="17"/>
        <v>3.8458151062684167</v>
      </c>
      <c r="AA19">
        <f t="shared" si="18"/>
        <v>1.5492889015629774</v>
      </c>
      <c r="AB19">
        <f t="shared" si="19"/>
        <v>-150.74882849352511</v>
      </c>
      <c r="AC19">
        <f t="shared" si="20"/>
        <v>-72.855959124693626</v>
      </c>
      <c r="AD19">
        <f t="shared" si="21"/>
        <v>-5.5240990281888811</v>
      </c>
      <c r="AE19">
        <f t="shared" si="22"/>
        <v>26.785848182649019</v>
      </c>
      <c r="AF19">
        <f t="shared" si="23"/>
        <v>40.049731740896377</v>
      </c>
      <c r="AG19">
        <f t="shared" si="24"/>
        <v>3.4183407821661023</v>
      </c>
      <c r="AH19">
        <f t="shared" si="25"/>
        <v>40.07987632643497</v>
      </c>
      <c r="AI19">
        <v>479.7224069413603</v>
      </c>
      <c r="AJ19">
        <v>430.59532121212112</v>
      </c>
      <c r="AK19">
        <v>4.3775637830868836E-3</v>
      </c>
      <c r="AL19">
        <v>67.013530356543882</v>
      </c>
      <c r="AM19">
        <f t="shared" si="26"/>
        <v>3.4128476180427771</v>
      </c>
      <c r="AN19">
        <v>20.574918488605419</v>
      </c>
      <c r="AO19">
        <v>24.563968484848481</v>
      </c>
      <c r="AP19">
        <v>9.1946864834865428E-4</v>
      </c>
      <c r="AQ19">
        <v>78.177373807723626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51428.94614514726</v>
      </c>
      <c r="AW19" t="s">
        <v>571</v>
      </c>
      <c r="AX19">
        <v>5079.32</v>
      </c>
      <c r="AY19">
        <v>585.89117647058833</v>
      </c>
      <c r="AZ19">
        <v>2401.2399999999998</v>
      </c>
      <c r="BA19">
        <f t="shared" si="30"/>
        <v>0.75600474068789936</v>
      </c>
      <c r="BB19">
        <v>-3.1476729285104721</v>
      </c>
      <c r="BC19" t="s">
        <v>580</v>
      </c>
      <c r="BD19">
        <v>5071.68</v>
      </c>
      <c r="BE19">
        <v>841.63394117647056</v>
      </c>
      <c r="BF19">
        <v>1018.3</v>
      </c>
      <c r="BG19">
        <f t="shared" si="31"/>
        <v>0.17349117040511575</v>
      </c>
      <c r="BH19">
        <v>0.5</v>
      </c>
      <c r="BI19">
        <f t="shared" si="32"/>
        <v>1344.2876798078009</v>
      </c>
      <c r="BJ19">
        <f t="shared" si="33"/>
        <v>40.049731740896377</v>
      </c>
      <c r="BK19">
        <f t="shared" si="34"/>
        <v>116.61102146551643</v>
      </c>
      <c r="BL19">
        <f t="shared" si="35"/>
        <v>3.2134047881464615E-2</v>
      </c>
      <c r="BM19">
        <f t="shared" si="36"/>
        <v>1.358087007758028</v>
      </c>
      <c r="BN19">
        <f t="shared" si="37"/>
        <v>440.06744058479944</v>
      </c>
      <c r="BO19" t="s">
        <v>408</v>
      </c>
      <c r="BP19">
        <v>0</v>
      </c>
      <c r="BQ19">
        <f t="shared" si="38"/>
        <v>440.06744058479944</v>
      </c>
      <c r="BR19">
        <f t="shared" si="39"/>
        <v>0.56784106787312238</v>
      </c>
      <c r="BS19">
        <f t="shared" si="40"/>
        <v>0.30552769114593242</v>
      </c>
      <c r="BT19">
        <f t="shared" si="41"/>
        <v>0.70515977462604162</v>
      </c>
      <c r="BU19">
        <f t="shared" si="42"/>
        <v>0.40856256674307412</v>
      </c>
      <c r="BV19">
        <f t="shared" si="43"/>
        <v>0.76180400266615433</v>
      </c>
      <c r="BW19">
        <f t="shared" si="44"/>
        <v>0.15975209944887669</v>
      </c>
      <c r="BX19">
        <f t="shared" si="45"/>
        <v>0.84024790055112331</v>
      </c>
      <c r="DG19">
        <f t="shared" si="46"/>
        <v>1600.0003333333329</v>
      </c>
      <c r="DH19">
        <f t="shared" si="47"/>
        <v>1344.2876798078009</v>
      </c>
      <c r="DI19">
        <f t="shared" si="48"/>
        <v>0.84017962484245401</v>
      </c>
      <c r="DJ19">
        <f t="shared" si="49"/>
        <v>0.15994667594593628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1784485567.75</v>
      </c>
      <c r="DQ19">
        <v>420.0071333333334</v>
      </c>
      <c r="DR19">
        <v>469.78766666666672</v>
      </c>
      <c r="DS19">
        <v>24.575786666666659</v>
      </c>
      <c r="DT19">
        <v>20.574750000000002</v>
      </c>
      <c r="DU19">
        <v>427.20073333333329</v>
      </c>
      <c r="DV19">
        <v>25.243543333333331</v>
      </c>
      <c r="DW19">
        <v>500.02026666666671</v>
      </c>
      <c r="DX19">
        <v>97.703360000000004</v>
      </c>
      <c r="DY19">
        <v>5.5640660000000002E-2</v>
      </c>
      <c r="DZ19">
        <v>28.229083333333332</v>
      </c>
      <c r="EA19">
        <v>28.696993333333332</v>
      </c>
      <c r="EB19">
        <v>999.9000000000002</v>
      </c>
      <c r="EC19">
        <v>0</v>
      </c>
      <c r="ED19">
        <v>0</v>
      </c>
      <c r="EE19">
        <v>9995.3333333333339</v>
      </c>
      <c r="EF19">
        <v>0</v>
      </c>
      <c r="EG19">
        <v>207.5281333333333</v>
      </c>
      <c r="EH19">
        <v>-49.780563333333333</v>
      </c>
      <c r="EI19">
        <v>430.58926666666662</v>
      </c>
      <c r="EJ19">
        <v>479.65646666666657</v>
      </c>
      <c r="EK19">
        <v>4.0010453333333329</v>
      </c>
      <c r="EL19">
        <v>469.78766666666672</v>
      </c>
      <c r="EM19">
        <v>20.574750000000002</v>
      </c>
      <c r="EN19">
        <v>2.4011383333333338</v>
      </c>
      <c r="EO19">
        <v>2.0102216666666668</v>
      </c>
      <c r="EP19">
        <v>20.371446666666671</v>
      </c>
      <c r="EQ19">
        <v>17.525079999999999</v>
      </c>
      <c r="ER19">
        <v>1600.0003333333329</v>
      </c>
      <c r="ES19">
        <v>0.99399559999999987</v>
      </c>
      <c r="ET19">
        <v>6.0039883333333332E-3</v>
      </c>
      <c r="EU19">
        <v>0</v>
      </c>
      <c r="EV19">
        <v>841.5594000000001</v>
      </c>
      <c r="EW19">
        <v>5.0010700000000003</v>
      </c>
      <c r="EX19">
        <v>17635.166666666672</v>
      </c>
      <c r="EY19">
        <v>14578.466666666671</v>
      </c>
      <c r="EZ19">
        <v>47.061999999999983</v>
      </c>
      <c r="FA19">
        <v>50.061999999999983</v>
      </c>
      <c r="FB19">
        <v>48.233199999999997</v>
      </c>
      <c r="FC19">
        <v>48.870800000000003</v>
      </c>
      <c r="FD19">
        <v>48.061999999999983</v>
      </c>
      <c r="FE19">
        <v>1585.420333333333</v>
      </c>
      <c r="FF19">
        <v>9.58</v>
      </c>
      <c r="FG19">
        <v>0</v>
      </c>
      <c r="FH19">
        <v>205.60000014305109</v>
      </c>
      <c r="FI19">
        <v>0</v>
      </c>
      <c r="FJ19">
        <v>841.63394117647056</v>
      </c>
      <c r="FK19">
        <v>3.7730392160940052</v>
      </c>
      <c r="FL19">
        <v>38.774513066156914</v>
      </c>
      <c r="FM19">
        <v>17630.152941176471</v>
      </c>
      <c r="FN19">
        <v>10</v>
      </c>
      <c r="FO19">
        <v>1784485479.5</v>
      </c>
      <c r="FP19" t="s">
        <v>581</v>
      </c>
      <c r="FQ19">
        <v>1784485479.5</v>
      </c>
      <c r="FR19">
        <v>1784485475.5</v>
      </c>
      <c r="FS19">
        <v>35</v>
      </c>
      <c r="FT19">
        <v>-3.5000000000000003E-2</v>
      </c>
      <c r="FU19">
        <v>-0.01</v>
      </c>
      <c r="FV19">
        <v>-7.3780000000000001</v>
      </c>
      <c r="FW19">
        <v>-0.77100000000000002</v>
      </c>
      <c r="FX19">
        <v>470</v>
      </c>
      <c r="FY19">
        <v>21</v>
      </c>
      <c r="FZ19">
        <v>0.17</v>
      </c>
      <c r="GA19">
        <v>0.05</v>
      </c>
      <c r="GB19">
        <v>420.0071333333334</v>
      </c>
      <c r="GC19">
        <v>3.870967741938118E-2</v>
      </c>
      <c r="GD19">
        <v>6.7109231025914054E-2</v>
      </c>
      <c r="GE19">
        <v>-1</v>
      </c>
      <c r="GF19">
        <v>841.51364705882349</v>
      </c>
      <c r="GG19">
        <v>1.7759816651416429</v>
      </c>
      <c r="GH19">
        <v>0.31700472091055959</v>
      </c>
      <c r="GI19">
        <v>1</v>
      </c>
      <c r="GJ19">
        <v>4.0057074999999998</v>
      </c>
      <c r="GK19">
        <v>-0.1235110694183882</v>
      </c>
      <c r="GL19">
        <v>1.246430478406229E-2</v>
      </c>
      <c r="GM19">
        <v>1</v>
      </c>
      <c r="GN19">
        <v>2</v>
      </c>
      <c r="GO19">
        <v>2</v>
      </c>
      <c r="GP19" t="s">
        <v>424</v>
      </c>
      <c r="GQ19">
        <v>3.1302400000000001</v>
      </c>
      <c r="GR19">
        <v>2.7317100000000001</v>
      </c>
      <c r="GS19">
        <v>9.0354299999999999E-2</v>
      </c>
      <c r="GT19">
        <v>9.7837499999999994E-2</v>
      </c>
      <c r="GU19">
        <v>0.114367</v>
      </c>
      <c r="GV19">
        <v>9.9358699999999994E-2</v>
      </c>
      <c r="GW19">
        <v>22607</v>
      </c>
      <c r="GX19">
        <v>30059.9</v>
      </c>
      <c r="GY19">
        <v>26984.5</v>
      </c>
      <c r="GZ19">
        <v>34301.4</v>
      </c>
      <c r="HA19">
        <v>35044.1</v>
      </c>
      <c r="HB19">
        <v>39150.6</v>
      </c>
      <c r="HC19">
        <v>39868.1</v>
      </c>
      <c r="HD19">
        <v>43539.9</v>
      </c>
      <c r="HE19">
        <v>1.9161999999999999</v>
      </c>
      <c r="HF19">
        <v>1.6374</v>
      </c>
      <c r="HG19">
        <v>-0.11756999999999999</v>
      </c>
      <c r="HH19">
        <v>0</v>
      </c>
      <c r="HI19">
        <v>30.6006</v>
      </c>
      <c r="HJ19">
        <v>999.9</v>
      </c>
      <c r="HK19">
        <v>44.8</v>
      </c>
      <c r="HL19">
        <v>44.7</v>
      </c>
      <c r="HM19">
        <v>43.514299999999999</v>
      </c>
      <c r="HN19">
        <v>61.427199999999999</v>
      </c>
      <c r="HO19">
        <v>4.7315699999999996</v>
      </c>
      <c r="HP19">
        <v>1</v>
      </c>
      <c r="HQ19">
        <v>1.04701</v>
      </c>
      <c r="HR19">
        <v>7.8089300000000001</v>
      </c>
      <c r="HS19">
        <v>20.096</v>
      </c>
      <c r="HT19">
        <v>5.2077099999999996</v>
      </c>
      <c r="HU19">
        <v>11.914099999999999</v>
      </c>
      <c r="HV19">
        <v>4.9820000000000002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1.86737</v>
      </c>
      <c r="IC19">
        <v>1.8631</v>
      </c>
      <c r="ID19">
        <v>1.86252</v>
      </c>
      <c r="IE19">
        <v>1.86206</v>
      </c>
      <c r="IF19">
        <v>1.8620300000000001</v>
      </c>
      <c r="IG19">
        <v>1.86252</v>
      </c>
      <c r="IH19">
        <v>1.8635299999999999</v>
      </c>
      <c r="II19">
        <v>1.8614200000000001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-7.194</v>
      </c>
      <c r="IX19">
        <v>-0.66820000000000002</v>
      </c>
      <c r="IY19">
        <v>-5.2014619468477914</v>
      </c>
      <c r="IZ19">
        <v>-5.6215304933332991E-3</v>
      </c>
      <c r="JA19">
        <v>2.3979931213773931E-6</v>
      </c>
      <c r="JB19">
        <v>-3.6297174575716598E-10</v>
      </c>
      <c r="JC19">
        <v>-1.09471235173849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1.6</v>
      </c>
      <c r="JL19">
        <v>1.7</v>
      </c>
      <c r="JM19">
        <v>1.1999500000000001</v>
      </c>
      <c r="JN19">
        <v>2.5781200000000002</v>
      </c>
      <c r="JO19">
        <v>1.50024</v>
      </c>
      <c r="JP19">
        <v>2.2680699999999998</v>
      </c>
      <c r="JQ19">
        <v>1.4477500000000001</v>
      </c>
      <c r="JR19">
        <v>2.49512</v>
      </c>
      <c r="JS19">
        <v>47.451599999999999</v>
      </c>
      <c r="JT19">
        <v>15.8832</v>
      </c>
      <c r="JU19">
        <v>18</v>
      </c>
      <c r="JV19">
        <v>552.226</v>
      </c>
      <c r="JW19">
        <v>382.202</v>
      </c>
      <c r="JX19">
        <v>22.7667</v>
      </c>
      <c r="JY19">
        <v>39.476900000000001</v>
      </c>
      <c r="JZ19">
        <v>30</v>
      </c>
      <c r="KA19">
        <v>39.6203</v>
      </c>
      <c r="KB19">
        <v>39.384099999999997</v>
      </c>
      <c r="KC19">
        <v>24.0121</v>
      </c>
      <c r="KD19">
        <v>54.002000000000002</v>
      </c>
      <c r="KE19">
        <v>0</v>
      </c>
      <c r="KF19">
        <v>22.767299999999999</v>
      </c>
      <c r="KG19">
        <v>469.78</v>
      </c>
      <c r="KH19">
        <v>20.555800000000001</v>
      </c>
      <c r="KI19">
        <v>99.620599999999996</v>
      </c>
      <c r="KJ19">
        <v>97.940899999999999</v>
      </c>
    </row>
    <row r="20" spans="1:296" x14ac:dyDescent="0.3">
      <c r="A20">
        <v>4</v>
      </c>
      <c r="B20">
        <v>1784485758</v>
      </c>
      <c r="C20">
        <v>571.5</v>
      </c>
      <c r="D20" t="s">
        <v>582</v>
      </c>
      <c r="E20" t="s">
        <v>583</v>
      </c>
      <c r="F20">
        <v>15</v>
      </c>
      <c r="H20">
        <v>1784485750</v>
      </c>
      <c r="I20">
        <f t="shared" si="0"/>
        <v>2.9159756019535958E-3</v>
      </c>
      <c r="J20">
        <f t="shared" si="1"/>
        <v>2.9159756019535958</v>
      </c>
      <c r="K20">
        <f t="shared" si="2"/>
        <v>38.243768024184682</v>
      </c>
      <c r="L20">
        <f t="shared" si="3"/>
        <v>420.09835483870978</v>
      </c>
      <c r="M20">
        <f t="shared" si="4"/>
        <v>64.485704730890859</v>
      </c>
      <c r="N20">
        <f t="shared" si="5"/>
        <v>6.303781178729376</v>
      </c>
      <c r="O20">
        <f t="shared" si="6"/>
        <v>41.066591634515412</v>
      </c>
      <c r="P20">
        <f t="shared" si="7"/>
        <v>0.18044269513153674</v>
      </c>
      <c r="Q20">
        <f t="shared" si="8"/>
        <v>2.8891053806595628</v>
      </c>
      <c r="R20">
        <f t="shared" si="9"/>
        <v>0.17440746371929028</v>
      </c>
      <c r="S20">
        <f t="shared" si="10"/>
        <v>0.10953009028159025</v>
      </c>
      <c r="T20">
        <f t="shared" si="11"/>
        <v>224.00783221326606</v>
      </c>
      <c r="U20">
        <f t="shared" si="12"/>
        <v>28.849728012376762</v>
      </c>
      <c r="V20">
        <f t="shared" si="13"/>
        <v>28.732354838709671</v>
      </c>
      <c r="W20">
        <f t="shared" si="14"/>
        <v>3.9599048821081624</v>
      </c>
      <c r="X20">
        <f t="shared" si="15"/>
        <v>61.662600636039798</v>
      </c>
      <c r="Y20">
        <f t="shared" si="16"/>
        <v>2.3784987897599299</v>
      </c>
      <c r="Z20">
        <f t="shared" si="17"/>
        <v>3.8572793966295582</v>
      </c>
      <c r="AA20">
        <f t="shared" si="18"/>
        <v>1.5814060923482325</v>
      </c>
      <c r="AB20">
        <f t="shared" si="19"/>
        <v>-128.59452404615357</v>
      </c>
      <c r="AC20">
        <f t="shared" si="20"/>
        <v>-70.420455037368626</v>
      </c>
      <c r="AD20">
        <f t="shared" si="21"/>
        <v>-5.3399360435068415</v>
      </c>
      <c r="AE20">
        <f t="shared" si="22"/>
        <v>19.652917086237025</v>
      </c>
      <c r="AF20">
        <f t="shared" si="23"/>
        <v>38.243768024184682</v>
      </c>
      <c r="AG20">
        <f t="shared" si="24"/>
        <v>2.9159756019535958</v>
      </c>
      <c r="AH20">
        <f t="shared" si="25"/>
        <v>37.996783759514315</v>
      </c>
      <c r="AI20">
        <v>477.42703500440479</v>
      </c>
      <c r="AJ20">
        <v>430.68524242424229</v>
      </c>
      <c r="AK20">
        <v>3.3175007681864717E-2</v>
      </c>
      <c r="AL20">
        <v>67.07440098081274</v>
      </c>
      <c r="AM20">
        <f t="shared" si="26"/>
        <v>2.8854580827499881</v>
      </c>
      <c r="AN20">
        <v>21.037763237922078</v>
      </c>
      <c r="AO20">
        <v>24.365430909090911</v>
      </c>
      <c r="AP20">
        <v>8.2251082251106524E-3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51447.671640691762</v>
      </c>
      <c r="AW20" t="s">
        <v>571</v>
      </c>
      <c r="AX20">
        <v>5079.32</v>
      </c>
      <c r="AY20">
        <v>585.89117647058833</v>
      </c>
      <c r="AZ20">
        <v>2401.2399999999998</v>
      </c>
      <c r="BA20">
        <f t="shared" si="30"/>
        <v>0.75600474068789936</v>
      </c>
      <c r="BB20">
        <v>-3.1476729285104721</v>
      </c>
      <c r="BC20" t="s">
        <v>584</v>
      </c>
      <c r="BD20">
        <v>5073.3500000000004</v>
      </c>
      <c r="BE20">
        <v>843.25964705882359</v>
      </c>
      <c r="BF20">
        <v>1061.17</v>
      </c>
      <c r="BG20">
        <f t="shared" si="31"/>
        <v>0.20534914569878193</v>
      </c>
      <c r="BH20">
        <v>0.5</v>
      </c>
      <c r="BI20">
        <f t="shared" si="32"/>
        <v>1176.3071610665431</v>
      </c>
      <c r="BJ20">
        <f t="shared" si="33"/>
        <v>38.243768024184682</v>
      </c>
      <c r="BK20">
        <f t="shared" si="34"/>
        <v>120.77683530218705</v>
      </c>
      <c r="BL20">
        <f t="shared" si="35"/>
        <v>3.5187612829939797E-2</v>
      </c>
      <c r="BM20">
        <f t="shared" si="36"/>
        <v>1.2628231103404728</v>
      </c>
      <c r="BN20">
        <f t="shared" si="37"/>
        <v>447.8869667727418</v>
      </c>
      <c r="BO20" t="s">
        <v>408</v>
      </c>
      <c r="BP20">
        <v>0</v>
      </c>
      <c r="BQ20">
        <f t="shared" si="38"/>
        <v>447.8869667727418</v>
      </c>
      <c r="BR20">
        <f t="shared" si="39"/>
        <v>0.57793099430558559</v>
      </c>
      <c r="BS20">
        <f t="shared" si="40"/>
        <v>0.3553177589056627</v>
      </c>
      <c r="BT20">
        <f t="shared" si="41"/>
        <v>0.68603574326039019</v>
      </c>
      <c r="BU20">
        <f t="shared" si="42"/>
        <v>0.45848950585043585</v>
      </c>
      <c r="BV20">
        <f t="shared" si="43"/>
        <v>0.73818870656198632</v>
      </c>
      <c r="BW20">
        <f t="shared" si="44"/>
        <v>0.18872264768249283</v>
      </c>
      <c r="BX20">
        <f t="shared" si="45"/>
        <v>0.81127735231750719</v>
      </c>
      <c r="DG20">
        <f t="shared" si="46"/>
        <v>1400.017096774194</v>
      </c>
      <c r="DH20">
        <f t="shared" si="47"/>
        <v>1176.3071610665431</v>
      </c>
      <c r="DI20">
        <f t="shared" si="48"/>
        <v>0.84020914014328452</v>
      </c>
      <c r="DJ20">
        <f t="shared" si="49"/>
        <v>0.16000364047653901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1784485750</v>
      </c>
      <c r="DQ20">
        <v>420.09835483870978</v>
      </c>
      <c r="DR20">
        <v>467.45887096774197</v>
      </c>
      <c r="DS20">
        <v>24.33129677419355</v>
      </c>
      <c r="DT20">
        <v>20.91740967741935</v>
      </c>
      <c r="DU20">
        <v>427.24158064516132</v>
      </c>
      <c r="DV20">
        <v>25.00176451612904</v>
      </c>
      <c r="DW20">
        <v>500.02112903225799</v>
      </c>
      <c r="DX20">
        <v>97.699683870967746</v>
      </c>
      <c r="DY20">
        <v>5.5023238709677423E-2</v>
      </c>
      <c r="DZ20">
        <v>28.28023870967742</v>
      </c>
      <c r="EA20">
        <v>28.732354838709671</v>
      </c>
      <c r="EB20">
        <v>999.90000000000032</v>
      </c>
      <c r="EC20">
        <v>0</v>
      </c>
      <c r="ED20">
        <v>0</v>
      </c>
      <c r="EE20">
        <v>10001.290322580649</v>
      </c>
      <c r="EF20">
        <v>0</v>
      </c>
      <c r="EG20">
        <v>244.1175806451613</v>
      </c>
      <c r="EH20">
        <v>-47.36056774193549</v>
      </c>
      <c r="EI20">
        <v>430.57483870967741</v>
      </c>
      <c r="EJ20">
        <v>477.44580645161301</v>
      </c>
      <c r="EK20">
        <v>3.4138948387096781</v>
      </c>
      <c r="EL20">
        <v>467.45887096774197</v>
      </c>
      <c r="EM20">
        <v>20.91740967741935</v>
      </c>
      <c r="EN20">
        <v>2.3771619354838709</v>
      </c>
      <c r="EO20">
        <v>2.043624193548387</v>
      </c>
      <c r="EP20">
        <v>20.209029032258069</v>
      </c>
      <c r="EQ20">
        <v>17.786296774193548</v>
      </c>
      <c r="ER20">
        <v>1400.017096774194</v>
      </c>
      <c r="ES20">
        <v>0.99300699999999964</v>
      </c>
      <c r="ET20">
        <v>6.9933299999999981E-3</v>
      </c>
      <c r="EU20">
        <v>0</v>
      </c>
      <c r="EV20">
        <v>843.22722580645154</v>
      </c>
      <c r="EW20">
        <v>5.0010700000000003</v>
      </c>
      <c r="EX20">
        <v>15910.43548387097</v>
      </c>
      <c r="EY20">
        <v>12745.693548387089</v>
      </c>
      <c r="EZ20">
        <v>46.811999999999969</v>
      </c>
      <c r="FA20">
        <v>50.118903225806442</v>
      </c>
      <c r="FB20">
        <v>48.125</v>
      </c>
      <c r="FC20">
        <v>48.945129032258038</v>
      </c>
      <c r="FD20">
        <v>47.936999999999969</v>
      </c>
      <c r="FE20">
        <v>1385.257096774194</v>
      </c>
      <c r="FF20">
        <v>9.759999999999998</v>
      </c>
      <c r="FG20">
        <v>0</v>
      </c>
      <c r="FH20">
        <v>182</v>
      </c>
      <c r="FI20">
        <v>0</v>
      </c>
      <c r="FJ20">
        <v>843.25964705882359</v>
      </c>
      <c r="FK20">
        <v>2.7227941399851319</v>
      </c>
      <c r="FL20">
        <v>-1405.0980333824859</v>
      </c>
      <c r="FM20">
        <v>15910.63529411765</v>
      </c>
      <c r="FN20">
        <v>10</v>
      </c>
      <c r="FO20">
        <v>1784485642.5</v>
      </c>
      <c r="FP20" t="s">
        <v>585</v>
      </c>
      <c r="FQ20">
        <v>1784485636</v>
      </c>
      <c r="FR20">
        <v>1784485642.5</v>
      </c>
      <c r="FS20">
        <v>36</v>
      </c>
      <c r="FT20">
        <v>0.05</v>
      </c>
      <c r="FU20">
        <v>4.0000000000000001E-3</v>
      </c>
      <c r="FV20">
        <v>-7.3239999999999998</v>
      </c>
      <c r="FW20">
        <v>-0.77</v>
      </c>
      <c r="FX20">
        <v>469</v>
      </c>
      <c r="FY20">
        <v>21</v>
      </c>
      <c r="FZ20">
        <v>0.15</v>
      </c>
      <c r="GA20">
        <v>0.09</v>
      </c>
      <c r="GB20">
        <v>420.09835483870978</v>
      </c>
      <c r="GC20">
        <v>7.1612903224574614E-2</v>
      </c>
      <c r="GD20">
        <v>6.3893837547810806E-2</v>
      </c>
      <c r="GE20">
        <v>-1</v>
      </c>
      <c r="GF20">
        <v>843.22144117647065</v>
      </c>
      <c r="GG20">
        <v>0.52997708193200244</v>
      </c>
      <c r="GH20">
        <v>0.22072689955430319</v>
      </c>
      <c r="GI20">
        <v>1</v>
      </c>
      <c r="GJ20">
        <v>3.4612329268292679</v>
      </c>
      <c r="GK20">
        <v>-1.0870655749128899</v>
      </c>
      <c r="GL20">
        <v>0.1111306729681797</v>
      </c>
      <c r="GM20">
        <v>0</v>
      </c>
      <c r="GN20">
        <v>1</v>
      </c>
      <c r="GO20">
        <v>2</v>
      </c>
      <c r="GP20" t="s">
        <v>411</v>
      </c>
      <c r="GQ20">
        <v>3.1309900000000002</v>
      </c>
      <c r="GR20">
        <v>2.7313900000000002</v>
      </c>
      <c r="GS20">
        <v>9.0362100000000001E-2</v>
      </c>
      <c r="GT20">
        <v>9.7436599999999998E-2</v>
      </c>
      <c r="GU20">
        <v>0.113763</v>
      </c>
      <c r="GV20">
        <v>0.100947</v>
      </c>
      <c r="GW20">
        <v>22607.3</v>
      </c>
      <c r="GX20">
        <v>30073</v>
      </c>
      <c r="GY20">
        <v>26984.9</v>
      </c>
      <c r="GZ20">
        <v>34300.699999999997</v>
      </c>
      <c r="HA20">
        <v>35068</v>
      </c>
      <c r="HB20">
        <v>39081.800000000003</v>
      </c>
      <c r="HC20">
        <v>39868.6</v>
      </c>
      <c r="HD20">
        <v>43539.8</v>
      </c>
      <c r="HE20">
        <v>1.9146000000000001</v>
      </c>
      <c r="HF20">
        <v>1.6392</v>
      </c>
      <c r="HG20">
        <v>-0.122488</v>
      </c>
      <c r="HH20">
        <v>0</v>
      </c>
      <c r="HI20">
        <v>30.704699999999999</v>
      </c>
      <c r="HJ20">
        <v>999.9</v>
      </c>
      <c r="HK20">
        <v>44.8</v>
      </c>
      <c r="HL20">
        <v>44.7</v>
      </c>
      <c r="HM20">
        <v>43.517800000000001</v>
      </c>
      <c r="HN20">
        <v>61.427199999999999</v>
      </c>
      <c r="HO20">
        <v>5.0280500000000004</v>
      </c>
      <c r="HP20">
        <v>1</v>
      </c>
      <c r="HQ20">
        <v>1.05128</v>
      </c>
      <c r="HR20">
        <v>8.5506499999999992</v>
      </c>
      <c r="HS20">
        <v>20.064499999999999</v>
      </c>
      <c r="HT20">
        <v>5.2112999999999996</v>
      </c>
      <c r="HU20">
        <v>11.9153</v>
      </c>
      <c r="HV20">
        <v>4.984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1.86734</v>
      </c>
      <c r="IC20">
        <v>1.8631</v>
      </c>
      <c r="ID20">
        <v>1.86249</v>
      </c>
      <c r="IE20">
        <v>1.8620300000000001</v>
      </c>
      <c r="IF20">
        <v>1.8620300000000001</v>
      </c>
      <c r="IG20">
        <v>1.8625799999999999</v>
      </c>
      <c r="IH20">
        <v>1.8635600000000001</v>
      </c>
      <c r="II20">
        <v>1.86145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-7.1429999999999998</v>
      </c>
      <c r="IX20">
        <v>-0.6694</v>
      </c>
      <c r="IY20">
        <v>-5.1509295604244674</v>
      </c>
      <c r="IZ20">
        <v>-5.6215304933332991E-3</v>
      </c>
      <c r="JA20">
        <v>2.3979931213773931E-6</v>
      </c>
      <c r="JB20">
        <v>-3.6297174575716598E-10</v>
      </c>
      <c r="JC20">
        <v>-1.0905980849794841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2</v>
      </c>
      <c r="JL20">
        <v>1.9</v>
      </c>
      <c r="JM20">
        <v>1.1962900000000001</v>
      </c>
      <c r="JN20">
        <v>2.5854499999999998</v>
      </c>
      <c r="JO20">
        <v>1.50024</v>
      </c>
      <c r="JP20">
        <v>2.2680699999999998</v>
      </c>
      <c r="JQ20">
        <v>1.4477500000000001</v>
      </c>
      <c r="JR20">
        <v>2.34253</v>
      </c>
      <c r="JS20">
        <v>47.3917</v>
      </c>
      <c r="JT20">
        <v>15.821899999999999</v>
      </c>
      <c r="JU20">
        <v>18</v>
      </c>
      <c r="JV20">
        <v>551.02700000000004</v>
      </c>
      <c r="JW20">
        <v>383.21499999999997</v>
      </c>
      <c r="JX20">
        <v>22.452200000000001</v>
      </c>
      <c r="JY20">
        <v>39.442100000000003</v>
      </c>
      <c r="JZ20">
        <v>30</v>
      </c>
      <c r="KA20">
        <v>39.608899999999998</v>
      </c>
      <c r="KB20">
        <v>39.376600000000003</v>
      </c>
      <c r="KC20">
        <v>23.921600000000002</v>
      </c>
      <c r="KD20">
        <v>53.043999999999997</v>
      </c>
      <c r="KE20">
        <v>0</v>
      </c>
      <c r="KF20">
        <v>22.463000000000001</v>
      </c>
      <c r="KG20">
        <v>467.411</v>
      </c>
      <c r="KH20">
        <v>21.020800000000001</v>
      </c>
      <c r="KI20">
        <v>99.622</v>
      </c>
      <c r="KJ20">
        <v>97.94</v>
      </c>
    </row>
    <row r="21" spans="1:296" x14ac:dyDescent="0.3">
      <c r="A21">
        <v>5</v>
      </c>
      <c r="B21">
        <v>1784485940.5</v>
      </c>
      <c r="C21">
        <v>754</v>
      </c>
      <c r="D21" t="s">
        <v>586</v>
      </c>
      <c r="E21" t="s">
        <v>587</v>
      </c>
      <c r="F21">
        <v>15</v>
      </c>
      <c r="H21">
        <v>1784485932.75</v>
      </c>
      <c r="I21">
        <f t="shared" si="0"/>
        <v>2.4325501315297215E-3</v>
      </c>
      <c r="J21">
        <f t="shared" si="1"/>
        <v>2.4325501315297213</v>
      </c>
      <c r="K21">
        <f t="shared" si="2"/>
        <v>33.881688234738291</v>
      </c>
      <c r="L21">
        <f t="shared" si="3"/>
        <v>420.24706666666668</v>
      </c>
      <c r="M21">
        <f t="shared" si="4"/>
        <v>47.187922406885811</v>
      </c>
      <c r="N21">
        <f t="shared" si="5"/>
        <v>4.6128526201877253</v>
      </c>
      <c r="O21">
        <f t="shared" si="6"/>
        <v>41.081227647281658</v>
      </c>
      <c r="P21">
        <f t="shared" si="7"/>
        <v>0.15142899222001191</v>
      </c>
      <c r="Q21">
        <f t="shared" si="8"/>
        <v>2.8891129762199488</v>
      </c>
      <c r="R21">
        <f t="shared" si="9"/>
        <v>0.14715381861704699</v>
      </c>
      <c r="S21">
        <f t="shared" si="10"/>
        <v>9.2345190533179924E-2</v>
      </c>
      <c r="T21">
        <f t="shared" si="11"/>
        <v>160.17847312461092</v>
      </c>
      <c r="U21">
        <f t="shared" si="12"/>
        <v>28.60536375407851</v>
      </c>
      <c r="V21">
        <f t="shared" si="13"/>
        <v>28.70333333333334</v>
      </c>
      <c r="W21">
        <f t="shared" si="14"/>
        <v>3.9532465227834157</v>
      </c>
      <c r="X21">
        <f t="shared" si="15"/>
        <v>61.91973837826329</v>
      </c>
      <c r="Y21">
        <f t="shared" si="16"/>
        <v>2.3897192683716537</v>
      </c>
      <c r="Z21">
        <f t="shared" si="17"/>
        <v>3.8593820499903089</v>
      </c>
      <c r="AA21">
        <f t="shared" si="18"/>
        <v>1.563527254411762</v>
      </c>
      <c r="AB21">
        <f t="shared" si="19"/>
        <v>-107.27546080046072</v>
      </c>
      <c r="AC21">
        <f t="shared" si="20"/>
        <v>-64.441179717692336</v>
      </c>
      <c r="AD21">
        <f t="shared" si="21"/>
        <v>-4.8860405260237032</v>
      </c>
      <c r="AE21">
        <f t="shared" si="22"/>
        <v>-16.424207919565831</v>
      </c>
      <c r="AF21">
        <f t="shared" si="23"/>
        <v>33.881688234738291</v>
      </c>
      <c r="AG21">
        <f t="shared" si="24"/>
        <v>2.4325501315297213</v>
      </c>
      <c r="AH21">
        <f t="shared" si="25"/>
        <v>33.55873694302278</v>
      </c>
      <c r="AI21">
        <v>472.17869014840329</v>
      </c>
      <c r="AJ21">
        <v>430.90688484848448</v>
      </c>
      <c r="AK21">
        <v>2.1567607158745679E-2</v>
      </c>
      <c r="AL21">
        <v>67.07440098081274</v>
      </c>
      <c r="AM21">
        <f t="shared" si="26"/>
        <v>2.6274737730452182</v>
      </c>
      <c r="AN21">
        <v>21.597530537619051</v>
      </c>
      <c r="AO21">
        <v>24.608009090909089</v>
      </c>
      <c r="AP21">
        <v>1.059203463203847E-2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51446.287407589778</v>
      </c>
      <c r="AW21" t="s">
        <v>571</v>
      </c>
      <c r="AX21">
        <v>5079.32</v>
      </c>
      <c r="AY21">
        <v>585.89117647058833</v>
      </c>
      <c r="AZ21">
        <v>2401.2399999999998</v>
      </c>
      <c r="BA21">
        <f t="shared" si="30"/>
        <v>0.75600474068789936</v>
      </c>
      <c r="BB21">
        <v>-3.1476729285104721</v>
      </c>
      <c r="BC21" t="s">
        <v>588</v>
      </c>
      <c r="BD21">
        <v>5076.38</v>
      </c>
      <c r="BE21">
        <v>848.81317647058825</v>
      </c>
      <c r="BF21">
        <v>1201.8900000000001</v>
      </c>
      <c r="BG21">
        <f t="shared" si="31"/>
        <v>0.29376800167187667</v>
      </c>
      <c r="BH21">
        <v>0.5</v>
      </c>
      <c r="BI21">
        <f t="shared" si="32"/>
        <v>840.31371191948767</v>
      </c>
      <c r="BJ21">
        <f t="shared" si="33"/>
        <v>33.881688234738291</v>
      </c>
      <c r="BK21">
        <f t="shared" si="34"/>
        <v>123.42863996403247</v>
      </c>
      <c r="BL21">
        <f t="shared" si="35"/>
        <v>4.4066115592311828E-2</v>
      </c>
      <c r="BM21">
        <f t="shared" si="36"/>
        <v>0.99788666184093355</v>
      </c>
      <c r="BN21">
        <f t="shared" si="37"/>
        <v>471.1707128028919</v>
      </c>
      <c r="BO21" t="s">
        <v>408</v>
      </c>
      <c r="BP21">
        <v>0</v>
      </c>
      <c r="BQ21">
        <f t="shared" si="38"/>
        <v>471.1707128028919</v>
      </c>
      <c r="BR21">
        <f t="shared" si="39"/>
        <v>0.60797517842490423</v>
      </c>
      <c r="BS21">
        <f t="shared" si="40"/>
        <v>0.48319078162524398</v>
      </c>
      <c r="BT21">
        <f t="shared" si="41"/>
        <v>0.62140256205088062</v>
      </c>
      <c r="BU21">
        <f t="shared" si="42"/>
        <v>0.57317775626003886</v>
      </c>
      <c r="BV21">
        <f t="shared" si="43"/>
        <v>0.66067192401525154</v>
      </c>
      <c r="BW21">
        <f t="shared" si="44"/>
        <v>0.26821608253632168</v>
      </c>
      <c r="BX21">
        <f t="shared" si="45"/>
        <v>0.73178391746367832</v>
      </c>
      <c r="DG21">
        <f t="shared" si="46"/>
        <v>1000.018466666667</v>
      </c>
      <c r="DH21">
        <f t="shared" si="47"/>
        <v>840.31371191948767</v>
      </c>
      <c r="DI21">
        <f t="shared" si="48"/>
        <v>0.8402981944128306</v>
      </c>
      <c r="DJ21">
        <f t="shared" si="49"/>
        <v>0.16017551521676321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1784485932.75</v>
      </c>
      <c r="DQ21">
        <v>420.24706666666668</v>
      </c>
      <c r="DR21">
        <v>462.13136666666662</v>
      </c>
      <c r="DS21">
        <v>24.446020000000001</v>
      </c>
      <c r="DT21">
        <v>21.598349999999989</v>
      </c>
      <c r="DU21">
        <v>427.39093333333329</v>
      </c>
      <c r="DV21">
        <v>25.214020000000001</v>
      </c>
      <c r="DW21">
        <v>500.00540000000001</v>
      </c>
      <c r="DX21">
        <v>97.69968999999999</v>
      </c>
      <c r="DY21">
        <v>5.5252046666666679E-2</v>
      </c>
      <c r="DZ21">
        <v>28.289606666666671</v>
      </c>
      <c r="EA21">
        <v>28.70333333333334</v>
      </c>
      <c r="EB21">
        <v>999.9000000000002</v>
      </c>
      <c r="EC21">
        <v>0</v>
      </c>
      <c r="ED21">
        <v>0</v>
      </c>
      <c r="EE21">
        <v>10001.33333333333</v>
      </c>
      <c r="EF21">
        <v>0</v>
      </c>
      <c r="EG21">
        <v>226.8632666666667</v>
      </c>
      <c r="EH21">
        <v>-41.884263333333337</v>
      </c>
      <c r="EI21">
        <v>430.82369999999997</v>
      </c>
      <c r="EJ21">
        <v>472.33299999999991</v>
      </c>
      <c r="EK21">
        <v>2.9511970000000001</v>
      </c>
      <c r="EL21">
        <v>462.13136666666662</v>
      </c>
      <c r="EM21">
        <v>21.598349999999989</v>
      </c>
      <c r="EN21">
        <v>2.398483333333334</v>
      </c>
      <c r="EO21">
        <v>2.1101519999999998</v>
      </c>
      <c r="EP21">
        <v>20.353529999999999</v>
      </c>
      <c r="EQ21">
        <v>18.296023333333331</v>
      </c>
      <c r="ER21">
        <v>1000.018466666667</v>
      </c>
      <c r="ES21">
        <v>0.99000900000000014</v>
      </c>
      <c r="ET21">
        <v>9.9906699999999984E-3</v>
      </c>
      <c r="EU21">
        <v>0</v>
      </c>
      <c r="EV21">
        <v>848.85199999999998</v>
      </c>
      <c r="EW21">
        <v>5.0010700000000003</v>
      </c>
      <c r="EX21">
        <v>12323.626666666671</v>
      </c>
      <c r="EY21">
        <v>9080.4783333333344</v>
      </c>
      <c r="EZ21">
        <v>46.191199999999967</v>
      </c>
      <c r="FA21">
        <v>49.983199999999982</v>
      </c>
      <c r="FB21">
        <v>47.870800000000003</v>
      </c>
      <c r="FC21">
        <v>48.875</v>
      </c>
      <c r="FD21">
        <v>47.54133333333332</v>
      </c>
      <c r="FE21">
        <v>985.07766666666657</v>
      </c>
      <c r="FF21">
        <v>9.94</v>
      </c>
      <c r="FG21">
        <v>0</v>
      </c>
      <c r="FH21">
        <v>181.60000014305109</v>
      </c>
      <c r="FI21">
        <v>0</v>
      </c>
      <c r="FJ21">
        <v>848.81317647058825</v>
      </c>
      <c r="FK21">
        <v>-1.2772058767382319</v>
      </c>
      <c r="FL21">
        <v>840.66176713619257</v>
      </c>
      <c r="FM21">
        <v>12357.082352941179</v>
      </c>
      <c r="FN21">
        <v>10</v>
      </c>
      <c r="FO21">
        <v>1784485967</v>
      </c>
      <c r="FP21" t="s">
        <v>589</v>
      </c>
      <c r="FQ21">
        <v>1784485636</v>
      </c>
      <c r="FR21">
        <v>1784485967</v>
      </c>
      <c r="FS21">
        <v>37</v>
      </c>
      <c r="FT21">
        <v>0.05</v>
      </c>
      <c r="FU21">
        <v>-2.5000000000000001E-2</v>
      </c>
      <c r="FV21">
        <v>-7.3239999999999998</v>
      </c>
      <c r="FW21">
        <v>-0.76800000000000002</v>
      </c>
      <c r="FX21">
        <v>469</v>
      </c>
      <c r="FY21">
        <v>22</v>
      </c>
      <c r="FZ21">
        <v>0.15</v>
      </c>
      <c r="GA21">
        <v>0.1</v>
      </c>
      <c r="GB21">
        <v>420.24740000000008</v>
      </c>
      <c r="GC21">
        <v>1.0998887653050821E-2</v>
      </c>
      <c r="GD21">
        <v>5.5442823400928903E-2</v>
      </c>
      <c r="GE21">
        <v>-1</v>
      </c>
      <c r="GF21">
        <v>848.87047058823509</v>
      </c>
      <c r="GG21">
        <v>-0.13897632267155069</v>
      </c>
      <c r="GH21">
        <v>0.1954921745528907</v>
      </c>
      <c r="GI21">
        <v>1</v>
      </c>
      <c r="GJ21">
        <v>2.9626264999999998</v>
      </c>
      <c r="GK21">
        <v>-0.161735909943719</v>
      </c>
      <c r="GL21">
        <v>3.4913421599006872E-2</v>
      </c>
      <c r="GM21">
        <v>1</v>
      </c>
      <c r="GN21">
        <v>2</v>
      </c>
      <c r="GO21">
        <v>2</v>
      </c>
      <c r="GP21" t="s">
        <v>424</v>
      </c>
      <c r="GQ21">
        <v>3.13089</v>
      </c>
      <c r="GR21">
        <v>2.7315499999999999</v>
      </c>
      <c r="GS21">
        <v>9.0387099999999998E-2</v>
      </c>
      <c r="GT21">
        <v>9.6634999999999999E-2</v>
      </c>
      <c r="GU21">
        <v>0.11453099999999999</v>
      </c>
      <c r="GV21">
        <v>0.10283200000000001</v>
      </c>
      <c r="GW21">
        <v>22606.2</v>
      </c>
      <c r="GX21">
        <v>30099.9</v>
      </c>
      <c r="GY21">
        <v>26984.3</v>
      </c>
      <c r="GZ21">
        <v>34300.800000000003</v>
      </c>
      <c r="HA21">
        <v>35037.9</v>
      </c>
      <c r="HB21">
        <v>38999.599999999999</v>
      </c>
      <c r="HC21">
        <v>39868.400000000001</v>
      </c>
      <c r="HD21">
        <v>43539.199999999997</v>
      </c>
      <c r="HE21">
        <v>1.9154</v>
      </c>
      <c r="HF21">
        <v>1.6404000000000001</v>
      </c>
      <c r="HG21">
        <v>-0.12844800000000001</v>
      </c>
      <c r="HH21">
        <v>0</v>
      </c>
      <c r="HI21">
        <v>30.801200000000001</v>
      </c>
      <c r="HJ21">
        <v>999.9</v>
      </c>
      <c r="HK21">
        <v>44.8</v>
      </c>
      <c r="HL21">
        <v>44.6</v>
      </c>
      <c r="HM21">
        <v>43.295099999999998</v>
      </c>
      <c r="HN21">
        <v>61.347299999999997</v>
      </c>
      <c r="HO21">
        <v>5</v>
      </c>
      <c r="HP21">
        <v>1</v>
      </c>
      <c r="HQ21">
        <v>1.0426800000000001</v>
      </c>
      <c r="HR21">
        <v>7.2941599999999998</v>
      </c>
      <c r="HS21">
        <v>20.123100000000001</v>
      </c>
      <c r="HT21">
        <v>5.2112999999999996</v>
      </c>
      <c r="HU21">
        <v>11.914099999999999</v>
      </c>
      <c r="HV21">
        <v>4.9812000000000003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1.86737</v>
      </c>
      <c r="IC21">
        <v>1.86307</v>
      </c>
      <c r="ID21">
        <v>1.86252</v>
      </c>
      <c r="IE21">
        <v>1.86206</v>
      </c>
      <c r="IF21">
        <v>1.8620300000000001</v>
      </c>
      <c r="IG21">
        <v>1.8625799999999999</v>
      </c>
      <c r="IH21">
        <v>1.8635600000000001</v>
      </c>
      <c r="II21">
        <v>1.86154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-7.1429999999999998</v>
      </c>
      <c r="IX21">
        <v>-0.76800000000000002</v>
      </c>
      <c r="IY21">
        <v>-5.1509295604244674</v>
      </c>
      <c r="IZ21">
        <v>-5.6215304933332991E-3</v>
      </c>
      <c r="JA21">
        <v>2.3979931213773931E-6</v>
      </c>
      <c r="JB21">
        <v>-3.6297174575716598E-10</v>
      </c>
      <c r="JC21">
        <v>-1.0905980849794841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5.0999999999999996</v>
      </c>
      <c r="JL21">
        <v>5</v>
      </c>
      <c r="JM21">
        <v>1.18408</v>
      </c>
      <c r="JN21">
        <v>2.5842299999999998</v>
      </c>
      <c r="JO21">
        <v>1.50024</v>
      </c>
      <c r="JP21">
        <v>2.2680699999999998</v>
      </c>
      <c r="JQ21">
        <v>1.4477500000000001</v>
      </c>
      <c r="JR21">
        <v>2.3559600000000001</v>
      </c>
      <c r="JS21">
        <v>47.361699999999999</v>
      </c>
      <c r="JT21">
        <v>15.8482</v>
      </c>
      <c r="JU21">
        <v>18</v>
      </c>
      <c r="JV21">
        <v>551.553</v>
      </c>
      <c r="JW21">
        <v>383.89800000000002</v>
      </c>
      <c r="JX21">
        <v>22.968699999999998</v>
      </c>
      <c r="JY21">
        <v>39.438299999999998</v>
      </c>
      <c r="JZ21">
        <v>29.997</v>
      </c>
      <c r="KA21">
        <v>39.6051</v>
      </c>
      <c r="KB21">
        <v>39.372900000000001</v>
      </c>
      <c r="KC21">
        <v>23.692900000000002</v>
      </c>
      <c r="KD21">
        <v>51.750999999999998</v>
      </c>
      <c r="KE21">
        <v>0</v>
      </c>
      <c r="KF21">
        <v>23.023599999999998</v>
      </c>
      <c r="KG21">
        <v>461.87099999999998</v>
      </c>
      <c r="KH21">
        <v>21.646000000000001</v>
      </c>
      <c r="KI21">
        <v>99.620800000000003</v>
      </c>
      <c r="KJ21">
        <v>97.939300000000003</v>
      </c>
    </row>
    <row r="22" spans="1:296" x14ac:dyDescent="0.3">
      <c r="A22">
        <v>6</v>
      </c>
      <c r="B22">
        <v>1784486148</v>
      </c>
      <c r="C22">
        <v>961.5</v>
      </c>
      <c r="D22" t="s">
        <v>590</v>
      </c>
      <c r="E22" t="s">
        <v>591</v>
      </c>
      <c r="F22">
        <v>15</v>
      </c>
      <c r="H22">
        <v>1784486140.25</v>
      </c>
      <c r="I22">
        <f t="shared" si="0"/>
        <v>2.5522812301149622E-3</v>
      </c>
      <c r="J22">
        <f t="shared" si="1"/>
        <v>2.5522812301149624</v>
      </c>
      <c r="K22">
        <f t="shared" si="2"/>
        <v>31.832076104643953</v>
      </c>
      <c r="L22">
        <f t="shared" si="3"/>
        <v>420.17493333333329</v>
      </c>
      <c r="M22">
        <f t="shared" si="4"/>
        <v>89.663521995420894</v>
      </c>
      <c r="N22">
        <f t="shared" si="5"/>
        <v>8.7650877629431285</v>
      </c>
      <c r="O22">
        <f t="shared" si="6"/>
        <v>41.074341989862141</v>
      </c>
      <c r="P22">
        <f t="shared" si="7"/>
        <v>0.16141878561114695</v>
      </c>
      <c r="Q22">
        <f t="shared" si="8"/>
        <v>2.8891166585909804</v>
      </c>
      <c r="R22">
        <f t="shared" si="9"/>
        <v>0.15657066609371778</v>
      </c>
      <c r="S22">
        <f t="shared" si="10"/>
        <v>9.8280121503572154E-2</v>
      </c>
      <c r="T22">
        <f t="shared" si="11"/>
        <v>128.27889625150766</v>
      </c>
      <c r="U22">
        <f t="shared" si="12"/>
        <v>28.332965976352803</v>
      </c>
      <c r="V22">
        <f t="shared" si="13"/>
        <v>28.65476</v>
      </c>
      <c r="W22">
        <f t="shared" si="14"/>
        <v>3.9421242629273974</v>
      </c>
      <c r="X22">
        <f t="shared" si="15"/>
        <v>62.376725434129668</v>
      </c>
      <c r="Y22">
        <f t="shared" si="16"/>
        <v>2.4002946333965358</v>
      </c>
      <c r="Z22">
        <f t="shared" si="17"/>
        <v>3.8480613028192172</v>
      </c>
      <c r="AA22">
        <f t="shared" si="18"/>
        <v>1.5418296295308616</v>
      </c>
      <c r="AB22">
        <f t="shared" si="19"/>
        <v>-112.55560224806983</v>
      </c>
      <c r="AC22">
        <f t="shared" si="20"/>
        <v>-64.73979812884636</v>
      </c>
      <c r="AD22">
        <f t="shared" si="21"/>
        <v>-4.9062571670878725</v>
      </c>
      <c r="AE22">
        <f t="shared" si="22"/>
        <v>-53.922761292496403</v>
      </c>
      <c r="AF22">
        <f t="shared" si="23"/>
        <v>31.832076104643953</v>
      </c>
      <c r="AG22">
        <f t="shared" si="24"/>
        <v>2.5522812301149624</v>
      </c>
      <c r="AH22">
        <f t="shared" si="25"/>
        <v>31.781440308045671</v>
      </c>
      <c r="AI22">
        <v>469.76311407616379</v>
      </c>
      <c r="AJ22">
        <v>430.7804242424242</v>
      </c>
      <c r="AK22">
        <v>1.2389621748060361E-3</v>
      </c>
      <c r="AL22">
        <v>67.015678208030437</v>
      </c>
      <c r="AM22">
        <f t="shared" si="26"/>
        <v>2.53942844612846</v>
      </c>
      <c r="AN22">
        <v>21.561392365131471</v>
      </c>
      <c r="AO22">
        <v>24.53863636363636</v>
      </c>
      <c r="AP22">
        <v>-7.9895127719850764E-4</v>
      </c>
      <c r="AQ22">
        <v>78.181886899704693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51455.01904615989</v>
      </c>
      <c r="AW22" t="s">
        <v>571</v>
      </c>
      <c r="AX22">
        <v>5079.32</v>
      </c>
      <c r="AY22">
        <v>585.89117647058833</v>
      </c>
      <c r="AZ22">
        <v>2401.2399999999998</v>
      </c>
      <c r="BA22">
        <f t="shared" si="30"/>
        <v>0.75600474068789936</v>
      </c>
      <c r="BB22">
        <v>-3.1476729285104721</v>
      </c>
      <c r="BC22" t="s">
        <v>592</v>
      </c>
      <c r="BD22">
        <v>5080.28</v>
      </c>
      <c r="BE22">
        <v>863.18600000000004</v>
      </c>
      <c r="BF22">
        <v>1351.43</v>
      </c>
      <c r="BG22">
        <f t="shared" si="31"/>
        <v>0.3612795335311485</v>
      </c>
      <c r="BH22">
        <v>0.5</v>
      </c>
      <c r="BI22">
        <f t="shared" si="32"/>
        <v>672.31404498005566</v>
      </c>
      <c r="BJ22">
        <f t="shared" si="33"/>
        <v>31.832076104643953</v>
      </c>
      <c r="BK22">
        <f t="shared" si="34"/>
        <v>121.44665227841705</v>
      </c>
      <c r="BL22">
        <f t="shared" si="35"/>
        <v>5.2028883368325451E-2</v>
      </c>
      <c r="BM22">
        <f t="shared" si="36"/>
        <v>0.7768141894141759</v>
      </c>
      <c r="BN22">
        <f t="shared" si="37"/>
        <v>492.53634099133404</v>
      </c>
      <c r="BO22" t="s">
        <v>408</v>
      </c>
      <c r="BP22">
        <v>0</v>
      </c>
      <c r="BQ22">
        <f t="shared" si="38"/>
        <v>492.53634099133404</v>
      </c>
      <c r="BR22">
        <f t="shared" si="39"/>
        <v>0.63554431898704777</v>
      </c>
      <c r="BS22">
        <f t="shared" si="40"/>
        <v>0.56845686876246204</v>
      </c>
      <c r="BT22">
        <f t="shared" si="41"/>
        <v>0.55001204353809718</v>
      </c>
      <c r="BU22">
        <f t="shared" si="42"/>
        <v>0.63777823539898082</v>
      </c>
      <c r="BV22">
        <f t="shared" si="43"/>
        <v>0.57829657110138932</v>
      </c>
      <c r="BW22">
        <f t="shared" si="44"/>
        <v>0.3243630760365136</v>
      </c>
      <c r="BX22">
        <f t="shared" si="45"/>
        <v>0.6756369239634864</v>
      </c>
      <c r="DG22">
        <f t="shared" si="46"/>
        <v>800.00493333333316</v>
      </c>
      <c r="DH22">
        <f t="shared" si="47"/>
        <v>672.31404498005566</v>
      </c>
      <c r="DI22">
        <f t="shared" si="48"/>
        <v>0.84038737383626438</v>
      </c>
      <c r="DJ22">
        <f t="shared" si="49"/>
        <v>0.16034763150399034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1784486140.25</v>
      </c>
      <c r="DQ22">
        <v>420.17493333333329</v>
      </c>
      <c r="DR22">
        <v>459.65813333333318</v>
      </c>
      <c r="DS22">
        <v>24.55410333333333</v>
      </c>
      <c r="DT22">
        <v>21.566733333333339</v>
      </c>
      <c r="DU22">
        <v>427.30563333333328</v>
      </c>
      <c r="DV22">
        <v>25.235646666666661</v>
      </c>
      <c r="DW22">
        <v>500.02756666666659</v>
      </c>
      <c r="DX22">
        <v>97.69989666666666</v>
      </c>
      <c r="DY22">
        <v>5.5439816666666662E-2</v>
      </c>
      <c r="DZ22">
        <v>28.239116666666671</v>
      </c>
      <c r="EA22">
        <v>28.65476</v>
      </c>
      <c r="EB22">
        <v>999.9000000000002</v>
      </c>
      <c r="EC22">
        <v>0</v>
      </c>
      <c r="ED22">
        <v>0</v>
      </c>
      <c r="EE22">
        <v>10001.33333333333</v>
      </c>
      <c r="EF22">
        <v>0</v>
      </c>
      <c r="EG22">
        <v>234.89580000000001</v>
      </c>
      <c r="EH22">
        <v>-39.483213333333332</v>
      </c>
      <c r="EI22">
        <v>430.75153333333333</v>
      </c>
      <c r="EJ22">
        <v>469.78989999999999</v>
      </c>
      <c r="EK22">
        <v>2.9873693333333331</v>
      </c>
      <c r="EL22">
        <v>459.65813333333318</v>
      </c>
      <c r="EM22">
        <v>21.566733333333339</v>
      </c>
      <c r="EN22">
        <v>2.3989336666666659</v>
      </c>
      <c r="EO22">
        <v>2.107066666666666</v>
      </c>
      <c r="EP22">
        <v>20.356573333333341</v>
      </c>
      <c r="EQ22">
        <v>18.272706666666672</v>
      </c>
      <c r="ER22">
        <v>800.00493333333316</v>
      </c>
      <c r="ES22">
        <v>0.98700400000000021</v>
      </c>
      <c r="ET22">
        <v>1.2996216666666661E-2</v>
      </c>
      <c r="EU22">
        <v>0</v>
      </c>
      <c r="EV22">
        <v>863.10513333333336</v>
      </c>
      <c r="EW22">
        <v>5.0010700000000003</v>
      </c>
      <c r="EX22">
        <v>8367.9156666666659</v>
      </c>
      <c r="EY22">
        <v>7246.6756666666661</v>
      </c>
      <c r="EZ22">
        <v>45.518599999999999</v>
      </c>
      <c r="FA22">
        <v>49.543399999999998</v>
      </c>
      <c r="FB22">
        <v>47.33929999999998</v>
      </c>
      <c r="FC22">
        <v>48.514466666666671</v>
      </c>
      <c r="FD22">
        <v>47</v>
      </c>
      <c r="FE22">
        <v>784.67133333333322</v>
      </c>
      <c r="FF22">
        <v>10.33</v>
      </c>
      <c r="FG22">
        <v>0</v>
      </c>
      <c r="FH22">
        <v>206.60000014305109</v>
      </c>
      <c r="FI22">
        <v>0</v>
      </c>
      <c r="FJ22">
        <v>863.18600000000004</v>
      </c>
      <c r="FK22">
        <v>-0.11299021911284129</v>
      </c>
      <c r="FL22">
        <v>-3500.610286902343</v>
      </c>
      <c r="FM22">
        <v>8370.4394117647062</v>
      </c>
      <c r="FN22">
        <v>10</v>
      </c>
      <c r="FO22">
        <v>1784486054</v>
      </c>
      <c r="FP22" t="s">
        <v>593</v>
      </c>
      <c r="FQ22">
        <v>1784486054</v>
      </c>
      <c r="FR22">
        <v>1784486053</v>
      </c>
      <c r="FS22">
        <v>38</v>
      </c>
      <c r="FT22">
        <v>1.2999999999999999E-2</v>
      </c>
      <c r="FU22">
        <v>7.0000000000000001E-3</v>
      </c>
      <c r="FV22">
        <v>-7.28</v>
      </c>
      <c r="FW22">
        <v>-0.76800000000000002</v>
      </c>
      <c r="FX22">
        <v>461</v>
      </c>
      <c r="FY22">
        <v>21</v>
      </c>
      <c r="FZ22">
        <v>0.3</v>
      </c>
      <c r="GA22">
        <v>0.1</v>
      </c>
      <c r="GB22">
        <v>420.17393548387088</v>
      </c>
      <c r="GC22">
        <v>0.13587096774116211</v>
      </c>
      <c r="GD22">
        <v>4.8634870991688832E-2</v>
      </c>
      <c r="GE22">
        <v>-1</v>
      </c>
      <c r="GF22">
        <v>862.96952941176471</v>
      </c>
      <c r="GG22">
        <v>2.3142551552363622</v>
      </c>
      <c r="GH22">
        <v>0.29538003788680622</v>
      </c>
      <c r="GI22">
        <v>1</v>
      </c>
      <c r="GJ22">
        <v>2.994365853658536</v>
      </c>
      <c r="GK22">
        <v>-0.1187715679442483</v>
      </c>
      <c r="GL22">
        <v>1.2244328099684801E-2</v>
      </c>
      <c r="GM22">
        <v>1</v>
      </c>
      <c r="GN22">
        <v>2</v>
      </c>
      <c r="GO22">
        <v>2</v>
      </c>
      <c r="GP22" t="s">
        <v>424</v>
      </c>
      <c r="GQ22">
        <v>3.1312700000000002</v>
      </c>
      <c r="GR22">
        <v>2.7317200000000001</v>
      </c>
      <c r="GS22">
        <v>9.0369000000000005E-2</v>
      </c>
      <c r="GT22">
        <v>9.6256900000000006E-2</v>
      </c>
      <c r="GU22">
        <v>0.114325</v>
      </c>
      <c r="GV22">
        <v>0.102724</v>
      </c>
      <c r="GW22">
        <v>22606.7</v>
      </c>
      <c r="GX22">
        <v>30113.1</v>
      </c>
      <c r="GY22">
        <v>26984.5</v>
      </c>
      <c r="GZ22">
        <v>34301.599999999999</v>
      </c>
      <c r="HA22">
        <v>35046</v>
      </c>
      <c r="HB22">
        <v>39006.1</v>
      </c>
      <c r="HC22">
        <v>39868.5</v>
      </c>
      <c r="HD22">
        <v>43541.3</v>
      </c>
      <c r="HE22">
        <v>1.9152</v>
      </c>
      <c r="HF22">
        <v>1.6424000000000001</v>
      </c>
      <c r="HG22">
        <v>-0.134438</v>
      </c>
      <c r="HH22">
        <v>0</v>
      </c>
      <c r="HI22">
        <v>30.814699999999998</v>
      </c>
      <c r="HJ22">
        <v>999.9</v>
      </c>
      <c r="HK22">
        <v>44.7</v>
      </c>
      <c r="HL22">
        <v>44.6</v>
      </c>
      <c r="HM22">
        <v>43.1982</v>
      </c>
      <c r="HN22">
        <v>61.337400000000002</v>
      </c>
      <c r="HO22">
        <v>4.5753199999999996</v>
      </c>
      <c r="HP22">
        <v>1</v>
      </c>
      <c r="HQ22">
        <v>1.03976</v>
      </c>
      <c r="HR22">
        <v>7.0940500000000002</v>
      </c>
      <c r="HS22">
        <v>20.131399999999999</v>
      </c>
      <c r="HT22">
        <v>5.2112999999999996</v>
      </c>
      <c r="HU22">
        <v>11.914099999999999</v>
      </c>
      <c r="HV22">
        <v>4.9828000000000001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1.86737</v>
      </c>
      <c r="IC22">
        <v>1.86304</v>
      </c>
      <c r="ID22">
        <v>1.86249</v>
      </c>
      <c r="IE22">
        <v>1.86206</v>
      </c>
      <c r="IF22">
        <v>1.8620300000000001</v>
      </c>
      <c r="IG22">
        <v>1.8625799999999999</v>
      </c>
      <c r="IH22">
        <v>1.8634999999999999</v>
      </c>
      <c r="II22">
        <v>1.86145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-7.13</v>
      </c>
      <c r="IX22">
        <v>-0.68210000000000004</v>
      </c>
      <c r="IY22">
        <v>-5.1381423872274041</v>
      </c>
      <c r="IZ22">
        <v>-5.6215304933332991E-3</v>
      </c>
      <c r="JA22">
        <v>2.3979931213773931E-6</v>
      </c>
      <c r="JB22">
        <v>-3.6297174575716598E-10</v>
      </c>
      <c r="JC22">
        <v>-1.108286286899012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1.6</v>
      </c>
      <c r="JL22">
        <v>1.6</v>
      </c>
      <c r="JM22">
        <v>1.18042</v>
      </c>
      <c r="JN22">
        <v>2.5720200000000002</v>
      </c>
      <c r="JO22">
        <v>1.50024</v>
      </c>
      <c r="JP22">
        <v>2.2680699999999998</v>
      </c>
      <c r="JQ22">
        <v>1.4477500000000001</v>
      </c>
      <c r="JR22">
        <v>2.48047</v>
      </c>
      <c r="JS22">
        <v>47.301900000000003</v>
      </c>
      <c r="JT22">
        <v>15.839399999999999</v>
      </c>
      <c r="JU22">
        <v>18</v>
      </c>
      <c r="JV22">
        <v>551.42700000000002</v>
      </c>
      <c r="JW22">
        <v>385.048</v>
      </c>
      <c r="JX22">
        <v>23.352399999999999</v>
      </c>
      <c r="JY22">
        <v>39.440600000000003</v>
      </c>
      <c r="JZ22">
        <v>29.999500000000001</v>
      </c>
      <c r="KA22">
        <v>39.605800000000002</v>
      </c>
      <c r="KB22">
        <v>39.367600000000003</v>
      </c>
      <c r="KC22">
        <v>23.594200000000001</v>
      </c>
      <c r="KD22">
        <v>51.808700000000002</v>
      </c>
      <c r="KE22">
        <v>0</v>
      </c>
      <c r="KF22">
        <v>23.407699999999998</v>
      </c>
      <c r="KG22">
        <v>459.47800000000001</v>
      </c>
      <c r="KH22">
        <v>21.527799999999999</v>
      </c>
      <c r="KI22">
        <v>99.621200000000002</v>
      </c>
      <c r="KJ22">
        <v>97.942899999999995</v>
      </c>
    </row>
    <row r="23" spans="1:296" x14ac:dyDescent="0.3">
      <c r="A23">
        <v>7</v>
      </c>
      <c r="B23">
        <v>1784486330.5</v>
      </c>
      <c r="C23">
        <v>1144</v>
      </c>
      <c r="D23" t="s">
        <v>594</v>
      </c>
      <c r="E23" t="s">
        <v>595</v>
      </c>
      <c r="F23">
        <v>15</v>
      </c>
      <c r="H23">
        <v>1784486322.75</v>
      </c>
      <c r="I23">
        <f t="shared" si="0"/>
        <v>1.8172106313534353E-3</v>
      </c>
      <c r="J23">
        <f t="shared" si="1"/>
        <v>1.8172106313534353</v>
      </c>
      <c r="K23">
        <f t="shared" si="2"/>
        <v>23.860157435438399</v>
      </c>
      <c r="L23">
        <f t="shared" si="3"/>
        <v>420.72593333333327</v>
      </c>
      <c r="M23">
        <f t="shared" si="4"/>
        <v>78.275734753235611</v>
      </c>
      <c r="N23">
        <f t="shared" si="5"/>
        <v>7.6513278810496459</v>
      </c>
      <c r="O23">
        <f t="shared" si="6"/>
        <v>41.125287091104589</v>
      </c>
      <c r="P23">
        <f t="shared" si="7"/>
        <v>0.11575981448530327</v>
      </c>
      <c r="Q23">
        <f t="shared" si="8"/>
        <v>2.8893602506469409</v>
      </c>
      <c r="R23">
        <f t="shared" si="9"/>
        <v>0.11324366133643428</v>
      </c>
      <c r="S23">
        <f t="shared" si="10"/>
        <v>7.0998799546342112E-2</v>
      </c>
      <c r="T23">
        <f t="shared" si="11"/>
        <v>96.345140473059317</v>
      </c>
      <c r="U23">
        <f t="shared" si="12"/>
        <v>28.612755044004714</v>
      </c>
      <c r="V23">
        <f t="shared" si="13"/>
        <v>28.630256666666661</v>
      </c>
      <c r="W23">
        <f t="shared" si="14"/>
        <v>3.9365238843036257</v>
      </c>
      <c r="X23">
        <f t="shared" si="15"/>
        <v>61.857801141892722</v>
      </c>
      <c r="Y23">
        <f t="shared" si="16"/>
        <v>2.4189571885059333</v>
      </c>
      <c r="Z23">
        <f t="shared" si="17"/>
        <v>3.9105127305724952</v>
      </c>
      <c r="AA23">
        <f t="shared" si="18"/>
        <v>1.5175666957976923</v>
      </c>
      <c r="AB23">
        <f t="shared" si="19"/>
        <v>-80.138988842686501</v>
      </c>
      <c r="AC23">
        <f t="shared" si="20"/>
        <v>-17.790108353512625</v>
      </c>
      <c r="AD23">
        <f t="shared" si="21"/>
        <v>-1.3497898378438362</v>
      </c>
      <c r="AE23">
        <f t="shared" si="22"/>
        <v>-2.9337465609836393</v>
      </c>
      <c r="AF23">
        <f t="shared" si="23"/>
        <v>23.860157435438399</v>
      </c>
      <c r="AG23">
        <f t="shared" si="24"/>
        <v>1.8172106313534353</v>
      </c>
      <c r="AH23">
        <f t="shared" si="25"/>
        <v>23.729453175932726</v>
      </c>
      <c r="AI23">
        <v>460.5187201989927</v>
      </c>
      <c r="AJ23">
        <v>431.37813939393931</v>
      </c>
      <c r="AK23">
        <v>1.230560511929289E-3</v>
      </c>
      <c r="AL23">
        <v>67.015678208030437</v>
      </c>
      <c r="AM23">
        <f t="shared" si="26"/>
        <v>1.8639706093654371</v>
      </c>
      <c r="AN23">
        <v>22.614277938175199</v>
      </c>
      <c r="AO23">
        <v>24.814359999999979</v>
      </c>
      <c r="AP23">
        <v>-3.0927020451629351E-3</v>
      </c>
      <c r="AQ23">
        <v>78.181886899704693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51414.567322746268</v>
      </c>
      <c r="AW23" t="s">
        <v>571</v>
      </c>
      <c r="AX23">
        <v>5079.32</v>
      </c>
      <c r="AY23">
        <v>585.89117647058833</v>
      </c>
      <c r="AZ23">
        <v>2401.2399999999998</v>
      </c>
      <c r="BA23">
        <f t="shared" si="30"/>
        <v>0.75600474068789936</v>
      </c>
      <c r="BB23">
        <v>-3.1476729285104721</v>
      </c>
      <c r="BC23" t="s">
        <v>596</v>
      </c>
      <c r="BD23">
        <v>5080.95</v>
      </c>
      <c r="BE23">
        <v>861.33805882352954</v>
      </c>
      <c r="BF23">
        <v>1470.06</v>
      </c>
      <c r="BG23">
        <f t="shared" si="31"/>
        <v>0.41407965741294261</v>
      </c>
      <c r="BH23">
        <v>0.5</v>
      </c>
      <c r="BI23">
        <f t="shared" si="32"/>
        <v>504.29661827619651</v>
      </c>
      <c r="BJ23">
        <f t="shared" si="33"/>
        <v>23.860157435438399</v>
      </c>
      <c r="BK23">
        <f t="shared" si="34"/>
        <v>104.40948546515648</v>
      </c>
      <c r="BL23">
        <f t="shared" si="35"/>
        <v>5.355544611079871E-2</v>
      </c>
      <c r="BM23">
        <f t="shared" si="36"/>
        <v>0.6334299280301483</v>
      </c>
      <c r="BN23">
        <f t="shared" si="37"/>
        <v>507.46108665961538</v>
      </c>
      <c r="BO23" t="s">
        <v>408</v>
      </c>
      <c r="BP23">
        <v>0</v>
      </c>
      <c r="BQ23">
        <f t="shared" si="38"/>
        <v>507.46108665961538</v>
      </c>
      <c r="BR23">
        <f t="shared" si="39"/>
        <v>0.65480246611729087</v>
      </c>
      <c r="BS23">
        <f t="shared" si="40"/>
        <v>0.63237339325898478</v>
      </c>
      <c r="BT23">
        <f t="shared" si="41"/>
        <v>0.49170470398654775</v>
      </c>
      <c r="BU23">
        <f t="shared" si="42"/>
        <v>0.6884679995236469</v>
      </c>
      <c r="BV23">
        <f t="shared" si="43"/>
        <v>0.51294824880520451</v>
      </c>
      <c r="BW23">
        <f t="shared" si="44"/>
        <v>0.37256555196939178</v>
      </c>
      <c r="BX23">
        <f t="shared" si="45"/>
        <v>0.62743444803060822</v>
      </c>
      <c r="DG23">
        <f t="shared" si="46"/>
        <v>599.99133333333327</v>
      </c>
      <c r="DH23">
        <f t="shared" si="47"/>
        <v>504.29661827619651</v>
      </c>
      <c r="DI23">
        <f t="shared" si="48"/>
        <v>0.84050650444316954</v>
      </c>
      <c r="DJ23">
        <f t="shared" si="49"/>
        <v>0.16057755357531719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1784486322.75</v>
      </c>
      <c r="DQ23">
        <v>420.72593333333327</v>
      </c>
      <c r="DR23">
        <v>450.27536666666668</v>
      </c>
      <c r="DS23">
        <v>24.746770000000001</v>
      </c>
      <c r="DT23">
        <v>22.620096666666669</v>
      </c>
      <c r="DU23">
        <v>427.85883333333339</v>
      </c>
      <c r="DV23">
        <v>25.504770000000001</v>
      </c>
      <c r="DW23">
        <v>500.00359999999989</v>
      </c>
      <c r="DX23">
        <v>97.695660000000004</v>
      </c>
      <c r="DY23">
        <v>5.2740639999999998E-2</v>
      </c>
      <c r="DZ23">
        <v>28.51605</v>
      </c>
      <c r="EA23">
        <v>28.630256666666661</v>
      </c>
      <c r="EB23">
        <v>999.9000000000002</v>
      </c>
      <c r="EC23">
        <v>0</v>
      </c>
      <c r="ED23">
        <v>0</v>
      </c>
      <c r="EE23">
        <v>10003.16666666667</v>
      </c>
      <c r="EF23">
        <v>0</v>
      </c>
      <c r="EG23">
        <v>255.52686666666671</v>
      </c>
      <c r="EH23">
        <v>-29.54952333333334</v>
      </c>
      <c r="EI23">
        <v>431.43880000000013</v>
      </c>
      <c r="EJ23">
        <v>460.69639999999998</v>
      </c>
      <c r="EK23">
        <v>2.2107636666666668</v>
      </c>
      <c r="EL23">
        <v>450.27536666666668</v>
      </c>
      <c r="EM23">
        <v>22.620096666666669</v>
      </c>
      <c r="EN23">
        <v>2.425867666666667</v>
      </c>
      <c r="EO23">
        <v>2.2098846666666661</v>
      </c>
      <c r="EP23">
        <v>20.537483333333331</v>
      </c>
      <c r="EQ23">
        <v>19.034153333333329</v>
      </c>
      <c r="ER23">
        <v>599.99133333333327</v>
      </c>
      <c r="ES23">
        <v>0.9829806666666665</v>
      </c>
      <c r="ET23">
        <v>1.701925E-2</v>
      </c>
      <c r="EU23">
        <v>0</v>
      </c>
      <c r="EV23">
        <v>862.00756666666678</v>
      </c>
      <c r="EW23">
        <v>5.0010700000000003</v>
      </c>
      <c r="EX23">
        <v>6243.5249999999996</v>
      </c>
      <c r="EY23">
        <v>5414.9906666666666</v>
      </c>
      <c r="EZ23">
        <v>44.368566666666652</v>
      </c>
      <c r="FA23">
        <v>48.030999999999992</v>
      </c>
      <c r="FB23">
        <v>46.29549999999999</v>
      </c>
      <c r="FC23">
        <v>47.412233333333333</v>
      </c>
      <c r="FD23">
        <v>46.014466666666671</v>
      </c>
      <c r="FE23">
        <v>584.86366666666663</v>
      </c>
      <c r="FF23">
        <v>10.130000000000001</v>
      </c>
      <c r="FG23">
        <v>0</v>
      </c>
      <c r="FH23">
        <v>182</v>
      </c>
      <c r="FI23">
        <v>0</v>
      </c>
      <c r="FJ23">
        <v>861.33805882352954</v>
      </c>
      <c r="FK23">
        <v>-13.258333320049941</v>
      </c>
      <c r="FL23">
        <v>98.566176393064751</v>
      </c>
      <c r="FM23">
        <v>6247.119999999999</v>
      </c>
      <c r="FN23">
        <v>10</v>
      </c>
      <c r="FO23">
        <v>1784486353.5</v>
      </c>
      <c r="FP23" t="s">
        <v>597</v>
      </c>
      <c r="FQ23">
        <v>1784486054</v>
      </c>
      <c r="FR23">
        <v>1784486353.5</v>
      </c>
      <c r="FS23">
        <v>39</v>
      </c>
      <c r="FT23">
        <v>1.2999999999999999E-2</v>
      </c>
      <c r="FU23">
        <v>-2.3E-2</v>
      </c>
      <c r="FV23">
        <v>-7.28</v>
      </c>
      <c r="FW23">
        <v>-0.75800000000000001</v>
      </c>
      <c r="FX23">
        <v>461</v>
      </c>
      <c r="FY23">
        <v>23</v>
      </c>
      <c r="FZ23">
        <v>0.3</v>
      </c>
      <c r="GA23">
        <v>0.11</v>
      </c>
      <c r="GB23">
        <v>420.73509677419349</v>
      </c>
      <c r="GC23">
        <v>-0.77743548387073702</v>
      </c>
      <c r="GD23">
        <v>7.7490209512167868E-2</v>
      </c>
      <c r="GE23">
        <v>-1</v>
      </c>
      <c r="GF23">
        <v>862.61070588235293</v>
      </c>
      <c r="GG23">
        <v>-12.045469812022921</v>
      </c>
      <c r="GH23">
        <v>1.203779428921594</v>
      </c>
      <c r="GI23">
        <v>0</v>
      </c>
      <c r="GJ23">
        <v>2.2115309756097559</v>
      </c>
      <c r="GK23">
        <v>-2.0960696864109941E-2</v>
      </c>
      <c r="GL23">
        <v>4.8371160551626876E-3</v>
      </c>
      <c r="GM23">
        <v>1</v>
      </c>
      <c r="GN23">
        <v>1</v>
      </c>
      <c r="GO23">
        <v>2</v>
      </c>
      <c r="GP23" t="s">
        <v>411</v>
      </c>
      <c r="GQ23">
        <v>3.1321599999999998</v>
      </c>
      <c r="GR23">
        <v>2.7288299999999999</v>
      </c>
      <c r="GS23">
        <v>9.0511599999999998E-2</v>
      </c>
      <c r="GT23">
        <v>9.4822299999999998E-2</v>
      </c>
      <c r="GU23">
        <v>0.11526599999999999</v>
      </c>
      <c r="GV23">
        <v>0.106338</v>
      </c>
      <c r="GW23">
        <v>22619.4</v>
      </c>
      <c r="GX23">
        <v>30186.1</v>
      </c>
      <c r="GY23">
        <v>27001.7</v>
      </c>
      <c r="GZ23">
        <v>34326.9</v>
      </c>
      <c r="HA23">
        <v>35028.5</v>
      </c>
      <c r="HB23">
        <v>38874.699999999997</v>
      </c>
      <c r="HC23">
        <v>39892.800000000003</v>
      </c>
      <c r="HD23">
        <v>43570.2</v>
      </c>
      <c r="HE23">
        <v>1.9184000000000001</v>
      </c>
      <c r="HF23">
        <v>1.6504000000000001</v>
      </c>
      <c r="HG23">
        <v>-8.0764299999999997E-2</v>
      </c>
      <c r="HH23">
        <v>0</v>
      </c>
      <c r="HI23">
        <v>29.951899999999998</v>
      </c>
      <c r="HJ23">
        <v>999.9</v>
      </c>
      <c r="HK23">
        <v>44.5</v>
      </c>
      <c r="HL23">
        <v>44.5</v>
      </c>
      <c r="HM23">
        <v>42.783299999999997</v>
      </c>
      <c r="HN23">
        <v>60.267400000000002</v>
      </c>
      <c r="HO23">
        <v>4.4351000000000003</v>
      </c>
      <c r="HP23">
        <v>1</v>
      </c>
      <c r="HQ23">
        <v>0.98227600000000004</v>
      </c>
      <c r="HR23">
        <v>4.3622899999999998</v>
      </c>
      <c r="HS23">
        <v>20.2195</v>
      </c>
      <c r="HT23">
        <v>5.2088999999999999</v>
      </c>
      <c r="HU23">
        <v>11.914099999999999</v>
      </c>
      <c r="HV23">
        <v>4.9812000000000003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1.86737</v>
      </c>
      <c r="IC23">
        <v>1.8631</v>
      </c>
      <c r="ID23">
        <v>1.8625499999999999</v>
      </c>
      <c r="IE23">
        <v>1.8621799999999999</v>
      </c>
      <c r="IF23">
        <v>1.86212</v>
      </c>
      <c r="IG23">
        <v>1.8626400000000001</v>
      </c>
      <c r="IH23">
        <v>1.8635600000000001</v>
      </c>
      <c r="II23">
        <v>1.86154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-7.1319999999999997</v>
      </c>
      <c r="IX23">
        <v>-0.75800000000000001</v>
      </c>
      <c r="IY23">
        <v>-5.1381423872274041</v>
      </c>
      <c r="IZ23">
        <v>-5.6215304933332991E-3</v>
      </c>
      <c r="JA23">
        <v>2.3979931213773931E-6</v>
      </c>
      <c r="JB23">
        <v>-3.6297174575716598E-10</v>
      </c>
      <c r="JC23">
        <v>-1.108286286899012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4.5999999999999996</v>
      </c>
      <c r="JL23">
        <v>4.5999999999999996</v>
      </c>
      <c r="JM23">
        <v>1.16089</v>
      </c>
      <c r="JN23">
        <v>2.5769000000000002</v>
      </c>
      <c r="JO23">
        <v>1.50024</v>
      </c>
      <c r="JP23">
        <v>2.2680699999999998</v>
      </c>
      <c r="JQ23">
        <v>1.4477500000000001</v>
      </c>
      <c r="JR23">
        <v>2.4523899999999998</v>
      </c>
      <c r="JS23">
        <v>47.122900000000001</v>
      </c>
      <c r="JT23">
        <v>15.874499999999999</v>
      </c>
      <c r="JU23">
        <v>18</v>
      </c>
      <c r="JV23">
        <v>551.34400000000005</v>
      </c>
      <c r="JW23">
        <v>388.18099999999998</v>
      </c>
      <c r="JX23">
        <v>25.368200000000002</v>
      </c>
      <c r="JY23">
        <v>38.991700000000002</v>
      </c>
      <c r="JZ23">
        <v>29.999099999999999</v>
      </c>
      <c r="KA23">
        <v>39.307499999999997</v>
      </c>
      <c r="KB23">
        <v>39.081000000000003</v>
      </c>
      <c r="KC23">
        <v>23.209399999999999</v>
      </c>
      <c r="KD23">
        <v>49.442700000000002</v>
      </c>
      <c r="KE23">
        <v>0</v>
      </c>
      <c r="KF23">
        <v>25.3962</v>
      </c>
      <c r="KG23">
        <v>449.697</v>
      </c>
      <c r="KH23">
        <v>22.614699999999999</v>
      </c>
      <c r="KI23">
        <v>99.683099999999996</v>
      </c>
      <c r="KJ23">
        <v>98.011200000000002</v>
      </c>
    </row>
    <row r="24" spans="1:296" x14ac:dyDescent="0.3">
      <c r="A24">
        <v>8</v>
      </c>
      <c r="B24">
        <v>1784486534.5999999</v>
      </c>
      <c r="C24">
        <v>1348.099999904633</v>
      </c>
      <c r="D24" t="s">
        <v>598</v>
      </c>
      <c r="E24" t="s">
        <v>599</v>
      </c>
      <c r="F24">
        <v>15</v>
      </c>
      <c r="H24">
        <v>1784486526.849999</v>
      </c>
      <c r="I24">
        <f t="shared" si="0"/>
        <v>2.6438116009045391E-3</v>
      </c>
      <c r="J24">
        <f t="shared" si="1"/>
        <v>2.6438116009045389</v>
      </c>
      <c r="K24">
        <f t="shared" si="2"/>
        <v>23.720000523391064</v>
      </c>
      <c r="L24">
        <f t="shared" si="3"/>
        <v>420.3105333333333</v>
      </c>
      <c r="M24">
        <f t="shared" si="4"/>
        <v>190.40631121643872</v>
      </c>
      <c r="N24">
        <f t="shared" si="5"/>
        <v>18.613556588478215</v>
      </c>
      <c r="O24">
        <f t="shared" si="6"/>
        <v>41.088311868194104</v>
      </c>
      <c r="P24">
        <f t="shared" si="7"/>
        <v>0.1756220413856924</v>
      </c>
      <c r="Q24">
        <f t="shared" si="8"/>
        <v>2.888255587007647</v>
      </c>
      <c r="R24">
        <f t="shared" si="9"/>
        <v>0.16989784565873622</v>
      </c>
      <c r="S24">
        <f t="shared" si="10"/>
        <v>0.1066849074662249</v>
      </c>
      <c r="T24">
        <f t="shared" si="11"/>
        <v>64.410063938146635</v>
      </c>
      <c r="U24">
        <f t="shared" si="12"/>
        <v>28.230398667091691</v>
      </c>
      <c r="V24">
        <f t="shared" si="13"/>
        <v>28.696269999999998</v>
      </c>
      <c r="W24">
        <f t="shared" si="14"/>
        <v>3.9516274712303976</v>
      </c>
      <c r="X24">
        <f t="shared" si="15"/>
        <v>63.335417987668393</v>
      </c>
      <c r="Y24">
        <f t="shared" si="16"/>
        <v>2.4804577001242496</v>
      </c>
      <c r="Z24">
        <f t="shared" si="17"/>
        <v>3.9163832480069876</v>
      </c>
      <c r="AA24">
        <f t="shared" si="18"/>
        <v>1.471169771106148</v>
      </c>
      <c r="AB24">
        <f t="shared" si="19"/>
        <v>-116.59209159989017</v>
      </c>
      <c r="AC24">
        <f t="shared" si="20"/>
        <v>-24.03980032078718</v>
      </c>
      <c r="AD24">
        <f t="shared" si="21"/>
        <v>-1.8255044188155216</v>
      </c>
      <c r="AE24">
        <f t="shared" si="22"/>
        <v>-78.047332401346239</v>
      </c>
      <c r="AF24">
        <f t="shared" si="23"/>
        <v>23.720000523391064</v>
      </c>
      <c r="AG24">
        <f t="shared" si="24"/>
        <v>2.6438116009045389</v>
      </c>
      <c r="AH24">
        <f t="shared" si="25"/>
        <v>23.418349463777979</v>
      </c>
      <c r="AI24">
        <v>460.10657624161053</v>
      </c>
      <c r="AJ24">
        <v>431.3167757575755</v>
      </c>
      <c r="AK24">
        <v>9.0998268872858525E-3</v>
      </c>
      <c r="AL24">
        <v>67.021696190413024</v>
      </c>
      <c r="AM24">
        <f t="shared" si="26"/>
        <v>2.3506363638208825</v>
      </c>
      <c r="AN24">
        <v>22.26955549069972</v>
      </c>
      <c r="AO24">
        <v>25.181318181818181</v>
      </c>
      <c r="AP24">
        <v>-2.6600162288620839E-2</v>
      </c>
      <c r="AQ24">
        <v>78.196354859765606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51379.052303851699</v>
      </c>
      <c r="AW24" t="s">
        <v>571</v>
      </c>
      <c r="AX24">
        <v>5079.32</v>
      </c>
      <c r="AY24">
        <v>585.89117647058833</v>
      </c>
      <c r="AZ24">
        <v>2401.2399999999998</v>
      </c>
      <c r="BA24">
        <f t="shared" si="30"/>
        <v>0.75600474068789936</v>
      </c>
      <c r="BB24">
        <v>-3.1476729285104721</v>
      </c>
      <c r="BC24" t="s">
        <v>600</v>
      </c>
      <c r="BD24">
        <v>5086.51</v>
      </c>
      <c r="BE24">
        <v>861.14358823529403</v>
      </c>
      <c r="BF24">
        <v>1815.14</v>
      </c>
      <c r="BG24">
        <f t="shared" si="31"/>
        <v>0.52557731732246882</v>
      </c>
      <c r="BH24">
        <v>0.5</v>
      </c>
      <c r="BI24">
        <f t="shared" si="32"/>
        <v>336.28731723220034</v>
      </c>
      <c r="BJ24">
        <f t="shared" si="33"/>
        <v>23.720000523391064</v>
      </c>
      <c r="BK24">
        <f t="shared" si="34"/>
        <v>88.372493020234941</v>
      </c>
      <c r="BL24">
        <f t="shared" si="35"/>
        <v>7.9894994771241679E-2</v>
      </c>
      <c r="BM24">
        <f t="shared" si="36"/>
        <v>0.32289520367574931</v>
      </c>
      <c r="BN24">
        <f t="shared" si="37"/>
        <v>543.10287161048768</v>
      </c>
      <c r="BO24" t="s">
        <v>408</v>
      </c>
      <c r="BP24">
        <v>0</v>
      </c>
      <c r="BQ24">
        <f t="shared" si="38"/>
        <v>543.10287161048768</v>
      </c>
      <c r="BR24">
        <f t="shared" si="39"/>
        <v>0.70079284704734202</v>
      </c>
      <c r="BS24">
        <f t="shared" si="40"/>
        <v>0.74997528804252123</v>
      </c>
      <c r="BT24">
        <f t="shared" si="41"/>
        <v>0.31542343729388006</v>
      </c>
      <c r="BU24">
        <f t="shared" si="42"/>
        <v>0.7760808011396727</v>
      </c>
      <c r="BV24">
        <f t="shared" si="43"/>
        <v>0.32285806033713166</v>
      </c>
      <c r="BW24">
        <f t="shared" si="44"/>
        <v>0.47299165683563543</v>
      </c>
      <c r="BX24">
        <f t="shared" si="45"/>
        <v>0.52700834316436462</v>
      </c>
      <c r="DG24">
        <f t="shared" si="46"/>
        <v>399.98936666666668</v>
      </c>
      <c r="DH24">
        <f t="shared" si="47"/>
        <v>336.28731723220034</v>
      </c>
      <c r="DI24">
        <f t="shared" si="48"/>
        <v>0.84074064276925442</v>
      </c>
      <c r="DJ24">
        <f t="shared" si="49"/>
        <v>0.16102944054466106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1784486526.849999</v>
      </c>
      <c r="DQ24">
        <v>420.3105333333333</v>
      </c>
      <c r="DR24">
        <v>450.10783333333342</v>
      </c>
      <c r="DS24">
        <v>25.373699999999999</v>
      </c>
      <c r="DT24">
        <v>22.281643333333331</v>
      </c>
      <c r="DU24">
        <v>427.22283333333331</v>
      </c>
      <c r="DV24">
        <v>26.056789999999999</v>
      </c>
      <c r="DW24">
        <v>500.00279999999998</v>
      </c>
      <c r="DX24">
        <v>97.703679999999991</v>
      </c>
      <c r="DY24">
        <v>5.3355833333333338E-2</v>
      </c>
      <c r="DZ24">
        <v>28.541883333333331</v>
      </c>
      <c r="EA24">
        <v>28.696269999999998</v>
      </c>
      <c r="EB24">
        <v>999.9000000000002</v>
      </c>
      <c r="EC24">
        <v>0</v>
      </c>
      <c r="ED24">
        <v>0</v>
      </c>
      <c r="EE24">
        <v>9996</v>
      </c>
      <c r="EF24">
        <v>0</v>
      </c>
      <c r="EG24">
        <v>575.15373333333321</v>
      </c>
      <c r="EH24">
        <v>-29.797286666666668</v>
      </c>
      <c r="EI24">
        <v>431.25296666666668</v>
      </c>
      <c r="EJ24">
        <v>460.36540000000002</v>
      </c>
      <c r="EK24">
        <v>3.092064333333334</v>
      </c>
      <c r="EL24">
        <v>450.10783333333342</v>
      </c>
      <c r="EM24">
        <v>22.281643333333331</v>
      </c>
      <c r="EN24">
        <v>2.4791043333333329</v>
      </c>
      <c r="EO24">
        <v>2.1769980000000002</v>
      </c>
      <c r="EP24">
        <v>20.88978333333333</v>
      </c>
      <c r="EQ24">
        <v>18.794039999999999</v>
      </c>
      <c r="ER24">
        <v>399.98936666666668</v>
      </c>
      <c r="ES24">
        <v>0.97499986666666671</v>
      </c>
      <c r="ET24">
        <v>2.4999813333333329E-2</v>
      </c>
      <c r="EU24">
        <v>0</v>
      </c>
      <c r="EV24">
        <v>861.17323333333343</v>
      </c>
      <c r="EW24">
        <v>5.0010700000000003</v>
      </c>
      <c r="EX24">
        <v>6401.2580000000007</v>
      </c>
      <c r="EY24">
        <v>3583.5766666666668</v>
      </c>
      <c r="EZ24">
        <v>43.293399999999998</v>
      </c>
      <c r="FA24">
        <v>47.080899999999971</v>
      </c>
      <c r="FB24">
        <v>45.29549999999999</v>
      </c>
      <c r="FC24">
        <v>46.543399999999991</v>
      </c>
      <c r="FD24">
        <v>45.089299999999987</v>
      </c>
      <c r="FE24">
        <v>385.11433333333338</v>
      </c>
      <c r="FF24">
        <v>9.8750000000000018</v>
      </c>
      <c r="FG24">
        <v>0</v>
      </c>
      <c r="FH24">
        <v>203.20000004768369</v>
      </c>
      <c r="FI24">
        <v>0</v>
      </c>
      <c r="FJ24">
        <v>861.14358823529403</v>
      </c>
      <c r="FK24">
        <v>6.1274307629598096E-3</v>
      </c>
      <c r="FL24">
        <v>4290.5049158976444</v>
      </c>
      <c r="FM24">
        <v>6722.7564705882342</v>
      </c>
      <c r="FN24">
        <v>10</v>
      </c>
      <c r="FO24">
        <v>1784486417</v>
      </c>
      <c r="FP24" t="s">
        <v>601</v>
      </c>
      <c r="FQ24">
        <v>1784486414.5</v>
      </c>
      <c r="FR24">
        <v>1784486417</v>
      </c>
      <c r="FS24">
        <v>40</v>
      </c>
      <c r="FT24">
        <v>0.218</v>
      </c>
      <c r="FU24">
        <v>-2E-3</v>
      </c>
      <c r="FV24">
        <v>-7.0190000000000001</v>
      </c>
      <c r="FW24">
        <v>-0.751</v>
      </c>
      <c r="FX24">
        <v>449</v>
      </c>
      <c r="FY24">
        <v>23</v>
      </c>
      <c r="FZ24">
        <v>0.24</v>
      </c>
      <c r="GA24">
        <v>0.19</v>
      </c>
      <c r="GB24">
        <v>420.29487096774199</v>
      </c>
      <c r="GC24">
        <v>1.241129032256796</v>
      </c>
      <c r="GD24">
        <v>0.10860396889779481</v>
      </c>
      <c r="GE24">
        <v>-1</v>
      </c>
      <c r="GF24">
        <v>861.17641176470602</v>
      </c>
      <c r="GG24">
        <v>3.6669211013965668E-4</v>
      </c>
      <c r="GH24">
        <v>0.21577018243098919</v>
      </c>
      <c r="GI24">
        <v>1</v>
      </c>
      <c r="GJ24">
        <v>3.1443870731707322</v>
      </c>
      <c r="GK24">
        <v>-1.0848779790940779</v>
      </c>
      <c r="GL24">
        <v>0.12670365051902929</v>
      </c>
      <c r="GM24">
        <v>0</v>
      </c>
      <c r="GN24">
        <v>1</v>
      </c>
      <c r="GO24">
        <v>2</v>
      </c>
      <c r="GP24" t="s">
        <v>411</v>
      </c>
      <c r="GQ24">
        <v>3.1310600000000002</v>
      </c>
      <c r="GR24">
        <v>2.7294700000000001</v>
      </c>
      <c r="GS24">
        <v>9.0540800000000005E-2</v>
      </c>
      <c r="GT24">
        <v>9.4874700000000006E-2</v>
      </c>
      <c r="GU24">
        <v>0.116572</v>
      </c>
      <c r="GV24">
        <v>0.105264</v>
      </c>
      <c r="GW24">
        <v>22635.3</v>
      </c>
      <c r="GX24">
        <v>30207.4</v>
      </c>
      <c r="GY24">
        <v>27019.3</v>
      </c>
      <c r="GZ24">
        <v>34349.699999999997</v>
      </c>
      <c r="HA24">
        <v>34997.199999999997</v>
      </c>
      <c r="HB24">
        <v>38941.5</v>
      </c>
      <c r="HC24">
        <v>39918</v>
      </c>
      <c r="HD24">
        <v>43593.9</v>
      </c>
      <c r="HE24">
        <v>1.9241999999999999</v>
      </c>
      <c r="HF24">
        <v>1.6576</v>
      </c>
      <c r="HG24">
        <v>-0.101477</v>
      </c>
      <c r="HH24">
        <v>0</v>
      </c>
      <c r="HI24">
        <v>30.375399999999999</v>
      </c>
      <c r="HJ24">
        <v>999.9</v>
      </c>
      <c r="HK24">
        <v>44.2</v>
      </c>
      <c r="HL24">
        <v>44.3</v>
      </c>
      <c r="HM24">
        <v>42.054400000000001</v>
      </c>
      <c r="HN24">
        <v>60.9193</v>
      </c>
      <c r="HO24">
        <v>4.7596100000000003</v>
      </c>
      <c r="HP24">
        <v>1</v>
      </c>
      <c r="HQ24">
        <v>0.95146299999999995</v>
      </c>
      <c r="HR24">
        <v>5.8392400000000002</v>
      </c>
      <c r="HS24">
        <v>20.180499999999999</v>
      </c>
      <c r="HT24">
        <v>5.2100999999999997</v>
      </c>
      <c r="HU24">
        <v>11.914099999999999</v>
      </c>
      <c r="HV24">
        <v>4.9820000000000002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1.86737</v>
      </c>
      <c r="IC24">
        <v>1.86304</v>
      </c>
      <c r="ID24">
        <v>1.8625499999999999</v>
      </c>
      <c r="IE24">
        <v>1.86206</v>
      </c>
      <c r="IF24">
        <v>1.86206</v>
      </c>
      <c r="IG24">
        <v>1.8626100000000001</v>
      </c>
      <c r="IH24">
        <v>1.8635600000000001</v>
      </c>
      <c r="II24">
        <v>1.86145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-6.9119999999999999</v>
      </c>
      <c r="IX24">
        <v>-0.68879999999999997</v>
      </c>
      <c r="IY24">
        <v>-4.9201732775093152</v>
      </c>
      <c r="IZ24">
        <v>-5.6215304933332991E-3</v>
      </c>
      <c r="JA24">
        <v>2.3979931213773931E-6</v>
      </c>
      <c r="JB24">
        <v>-3.6297174575716598E-10</v>
      </c>
      <c r="JC24">
        <v>-1.133213180745152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2</v>
      </c>
      <c r="JL24">
        <v>2</v>
      </c>
      <c r="JM24">
        <v>1.15967</v>
      </c>
      <c r="JN24">
        <v>2.5695800000000002</v>
      </c>
      <c r="JO24">
        <v>1.50024</v>
      </c>
      <c r="JP24">
        <v>2.2680699999999998</v>
      </c>
      <c r="JQ24">
        <v>1.4477500000000001</v>
      </c>
      <c r="JR24">
        <v>2.4706999999999999</v>
      </c>
      <c r="JS24">
        <v>46.915100000000002</v>
      </c>
      <c r="JT24">
        <v>15.821899999999999</v>
      </c>
      <c r="JU24">
        <v>18</v>
      </c>
      <c r="JV24">
        <v>552.05999999999995</v>
      </c>
      <c r="JW24">
        <v>390.21800000000002</v>
      </c>
      <c r="JX24">
        <v>24.543199999999999</v>
      </c>
      <c r="JY24">
        <v>38.482799999999997</v>
      </c>
      <c r="JZ24">
        <v>30.001100000000001</v>
      </c>
      <c r="KA24">
        <v>38.880800000000001</v>
      </c>
      <c r="KB24">
        <v>38.682699999999997</v>
      </c>
      <c r="KC24">
        <v>23.200900000000001</v>
      </c>
      <c r="KD24">
        <v>49.577199999999998</v>
      </c>
      <c r="KE24">
        <v>0</v>
      </c>
      <c r="KF24">
        <v>24.532299999999999</v>
      </c>
      <c r="KG24">
        <v>449.55</v>
      </c>
      <c r="KH24">
        <v>22.239699999999999</v>
      </c>
      <c r="KI24">
        <v>99.746799999999993</v>
      </c>
      <c r="KJ24">
        <v>98.069800000000001</v>
      </c>
    </row>
    <row r="25" spans="1:296" x14ac:dyDescent="0.3">
      <c r="A25">
        <v>9</v>
      </c>
      <c r="B25">
        <v>1784486717.0999999</v>
      </c>
      <c r="C25">
        <v>1530.599999904633</v>
      </c>
      <c r="D25" t="s">
        <v>602</v>
      </c>
      <c r="E25" t="s">
        <v>603</v>
      </c>
      <c r="F25">
        <v>15</v>
      </c>
      <c r="H25">
        <v>1784486709.349999</v>
      </c>
      <c r="I25">
        <f t="shared" si="0"/>
        <v>1.2937596951428955E-3</v>
      </c>
      <c r="J25">
        <f t="shared" si="1"/>
        <v>1.2937596951428956</v>
      </c>
      <c r="K25">
        <f t="shared" si="2"/>
        <v>14.811875072534592</v>
      </c>
      <c r="L25">
        <f t="shared" si="3"/>
        <v>420.70346666666671</v>
      </c>
      <c r="M25">
        <f t="shared" si="4"/>
        <v>114.79490425375002</v>
      </c>
      <c r="N25">
        <f t="shared" si="5"/>
        <v>11.221669209379792</v>
      </c>
      <c r="O25">
        <f t="shared" si="6"/>
        <v>41.125476508409129</v>
      </c>
      <c r="P25">
        <f t="shared" si="7"/>
        <v>8.0330218225364375E-2</v>
      </c>
      <c r="Q25">
        <f t="shared" si="8"/>
        <v>2.8890352112050199</v>
      </c>
      <c r="R25">
        <f t="shared" si="9"/>
        <v>7.9109676177177651E-2</v>
      </c>
      <c r="S25">
        <f t="shared" si="10"/>
        <v>4.9551663600150037E-2</v>
      </c>
      <c r="T25">
        <f t="shared" si="11"/>
        <v>48.442778599685447</v>
      </c>
      <c r="U25">
        <f t="shared" si="12"/>
        <v>28.295159011081562</v>
      </c>
      <c r="V25">
        <f t="shared" si="13"/>
        <v>28.67696333333333</v>
      </c>
      <c r="W25">
        <f t="shared" si="14"/>
        <v>3.9472049629620987</v>
      </c>
      <c r="X25">
        <f t="shared" si="15"/>
        <v>61.991830685715797</v>
      </c>
      <c r="Y25">
        <f t="shared" si="16"/>
        <v>2.4004395154602127</v>
      </c>
      <c r="Z25">
        <f t="shared" si="17"/>
        <v>3.8721868493122651</v>
      </c>
      <c r="AA25">
        <f t="shared" si="18"/>
        <v>1.5467654475018859</v>
      </c>
      <c r="AB25">
        <f t="shared" si="19"/>
        <v>-57.054802555801693</v>
      </c>
      <c r="AC25">
        <f t="shared" si="20"/>
        <v>-51.46153052654973</v>
      </c>
      <c r="AD25">
        <f t="shared" si="21"/>
        <v>-3.9025994252666196</v>
      </c>
      <c r="AE25">
        <f t="shared" si="22"/>
        <v>-63.976153907932598</v>
      </c>
      <c r="AF25">
        <f t="shared" si="23"/>
        <v>14.811875072534592</v>
      </c>
      <c r="AG25">
        <f t="shared" si="24"/>
        <v>1.2937596951428956</v>
      </c>
      <c r="AH25">
        <f t="shared" si="25"/>
        <v>14.76984102567639</v>
      </c>
      <c r="AI25">
        <v>449.04108515222998</v>
      </c>
      <c r="AJ25">
        <v>431.12990303030313</v>
      </c>
      <c r="AK25">
        <v>-4.4270257155233382E-2</v>
      </c>
      <c r="AL25">
        <v>67.021696190413024</v>
      </c>
      <c r="AM25">
        <f t="shared" si="26"/>
        <v>1.3557129331104907</v>
      </c>
      <c r="AN25">
        <v>22.98692911810884</v>
      </c>
      <c r="AO25">
        <v>24.574863030303021</v>
      </c>
      <c r="AP25">
        <v>-1.641252408319104E-4</v>
      </c>
      <c r="AQ25">
        <v>78.196354859765606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51434.371695727285</v>
      </c>
      <c r="AW25" t="s">
        <v>571</v>
      </c>
      <c r="AX25">
        <v>5079.32</v>
      </c>
      <c r="AY25">
        <v>585.89117647058833</v>
      </c>
      <c r="AZ25">
        <v>2401.2399999999998</v>
      </c>
      <c r="BA25">
        <f t="shared" si="30"/>
        <v>0.75600474068789936</v>
      </c>
      <c r="BB25">
        <v>-3.1476729285104721</v>
      </c>
      <c r="BC25" t="s">
        <v>604</v>
      </c>
      <c r="BD25">
        <v>5087.1899999999996</v>
      </c>
      <c r="BE25">
        <v>830.5259411764705</v>
      </c>
      <c r="BF25">
        <v>1846.75</v>
      </c>
      <c r="BG25">
        <f t="shared" si="31"/>
        <v>0.55027700491324194</v>
      </c>
      <c r="BH25">
        <v>0.5</v>
      </c>
      <c r="BI25">
        <f t="shared" si="32"/>
        <v>252.29151939880072</v>
      </c>
      <c r="BJ25">
        <f t="shared" si="33"/>
        <v>14.811875072534592</v>
      </c>
      <c r="BK25">
        <f t="shared" si="34"/>
        <v>69.415110829891574</v>
      </c>
      <c r="BL25">
        <f t="shared" si="35"/>
        <v>7.1185698369258921E-2</v>
      </c>
      <c r="BM25">
        <f t="shared" si="36"/>
        <v>0.30025179369162031</v>
      </c>
      <c r="BN25">
        <f t="shared" si="37"/>
        <v>545.89863470704779</v>
      </c>
      <c r="BO25" t="s">
        <v>408</v>
      </c>
      <c r="BP25">
        <v>0</v>
      </c>
      <c r="BQ25">
        <f t="shared" si="38"/>
        <v>545.89863470704779</v>
      </c>
      <c r="BR25">
        <f t="shared" si="39"/>
        <v>0.70440036025068475</v>
      </c>
      <c r="BS25">
        <f t="shared" si="40"/>
        <v>0.78119920994561542</v>
      </c>
      <c r="BT25">
        <f t="shared" si="41"/>
        <v>0.29886144424557026</v>
      </c>
      <c r="BU25">
        <f t="shared" si="42"/>
        <v>0.8059776716150524</v>
      </c>
      <c r="BV25">
        <f t="shared" si="43"/>
        <v>0.30544542889666637</v>
      </c>
      <c r="BW25">
        <f t="shared" si="44"/>
        <v>0.51347653456729581</v>
      </c>
      <c r="BX25">
        <f t="shared" si="45"/>
        <v>0.48652346543270419</v>
      </c>
      <c r="DG25">
        <f t="shared" si="46"/>
        <v>299.99990000000003</v>
      </c>
      <c r="DH25">
        <f t="shared" si="47"/>
        <v>252.29151939880072</v>
      </c>
      <c r="DI25">
        <f t="shared" si="48"/>
        <v>0.84097201165333957</v>
      </c>
      <c r="DJ25">
        <f t="shared" si="49"/>
        <v>0.16147598249094564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1784486709.349999</v>
      </c>
      <c r="DQ25">
        <v>420.70346666666671</v>
      </c>
      <c r="DR25">
        <v>439.13153333333332</v>
      </c>
      <c r="DS25">
        <v>24.55590333333333</v>
      </c>
      <c r="DT25">
        <v>23.041460000000001</v>
      </c>
      <c r="DU25">
        <v>427.61720000000003</v>
      </c>
      <c r="DV25">
        <v>25.30290333333333</v>
      </c>
      <c r="DW25">
        <v>499.98183333333338</v>
      </c>
      <c r="DX25">
        <v>97.700209999999998</v>
      </c>
      <c r="DY25">
        <v>5.3860900000000003E-2</v>
      </c>
      <c r="DZ25">
        <v>28.34656</v>
      </c>
      <c r="EA25">
        <v>28.67696333333333</v>
      </c>
      <c r="EB25">
        <v>999.9000000000002</v>
      </c>
      <c r="EC25">
        <v>0</v>
      </c>
      <c r="ED25">
        <v>0</v>
      </c>
      <c r="EE25">
        <v>10000.83333333333</v>
      </c>
      <c r="EF25">
        <v>0</v>
      </c>
      <c r="EG25">
        <v>1512.7648333333329</v>
      </c>
      <c r="EH25">
        <v>-18.428180000000001</v>
      </c>
      <c r="EI25">
        <v>431.31286666666659</v>
      </c>
      <c r="EJ25">
        <v>449.48836666666659</v>
      </c>
      <c r="EK25">
        <v>1.556877333333333</v>
      </c>
      <c r="EL25">
        <v>439.13153333333332</v>
      </c>
      <c r="EM25">
        <v>23.041460000000001</v>
      </c>
      <c r="EN25">
        <v>2.4032619999999998</v>
      </c>
      <c r="EO25">
        <v>2.251154333333333</v>
      </c>
      <c r="EP25">
        <v>20.38577333333334</v>
      </c>
      <c r="EQ25">
        <v>19.33105999999999</v>
      </c>
      <c r="ER25">
        <v>299.99990000000003</v>
      </c>
      <c r="ES25">
        <v>0.96703856666666665</v>
      </c>
      <c r="ET25">
        <v>3.2961429999999993E-2</v>
      </c>
      <c r="EU25">
        <v>0</v>
      </c>
      <c r="EV25">
        <v>830.83006666666677</v>
      </c>
      <c r="EW25">
        <v>5.0010700000000003</v>
      </c>
      <c r="EX25">
        <v>6401.1530000000021</v>
      </c>
      <c r="EY25">
        <v>2668.0643333333342</v>
      </c>
      <c r="EZ25">
        <v>42.82879999999998</v>
      </c>
      <c r="FA25">
        <v>46.936999999999983</v>
      </c>
      <c r="FB25">
        <v>44.883266666666671</v>
      </c>
      <c r="FC25">
        <v>46.436999999999983</v>
      </c>
      <c r="FD25">
        <v>44.699599999999982</v>
      </c>
      <c r="FE25">
        <v>285.27533333333332</v>
      </c>
      <c r="FF25">
        <v>9.7200000000000042</v>
      </c>
      <c r="FG25">
        <v>0</v>
      </c>
      <c r="FH25">
        <v>182</v>
      </c>
      <c r="FI25">
        <v>0</v>
      </c>
      <c r="FJ25">
        <v>830.5259411764705</v>
      </c>
      <c r="FK25">
        <v>-7.2299019552256949</v>
      </c>
      <c r="FL25">
        <v>117.6470596582818</v>
      </c>
      <c r="FM25">
        <v>6439.2894117647056</v>
      </c>
      <c r="FN25">
        <v>10</v>
      </c>
      <c r="FO25">
        <v>1784486737.0999999</v>
      </c>
      <c r="FP25" t="s">
        <v>605</v>
      </c>
      <c r="FQ25">
        <v>1784486414.5</v>
      </c>
      <c r="FR25">
        <v>1784486737.0999999</v>
      </c>
      <c r="FS25">
        <v>41</v>
      </c>
      <c r="FT25">
        <v>0.218</v>
      </c>
      <c r="FU25">
        <v>3.0000000000000001E-3</v>
      </c>
      <c r="FV25">
        <v>-7.0190000000000001</v>
      </c>
      <c r="FW25">
        <v>-0.747</v>
      </c>
      <c r="FX25">
        <v>449</v>
      </c>
      <c r="FY25">
        <v>23</v>
      </c>
      <c r="FZ25">
        <v>0.24</v>
      </c>
      <c r="GA25">
        <v>0.17</v>
      </c>
      <c r="GB25">
        <v>420.70554838709683</v>
      </c>
      <c r="GC25">
        <v>-0.63256451613009268</v>
      </c>
      <c r="GD25">
        <v>8.3479508287066212E-2</v>
      </c>
      <c r="GE25">
        <v>-1</v>
      </c>
      <c r="GF25">
        <v>830.9204411764706</v>
      </c>
      <c r="GG25">
        <v>-3.8217112313700961</v>
      </c>
      <c r="GH25">
        <v>0.45491105731693271</v>
      </c>
      <c r="GI25">
        <v>1</v>
      </c>
      <c r="GJ25">
        <v>1.5492741463414641</v>
      </c>
      <c r="GK25">
        <v>0.25334613240418069</v>
      </c>
      <c r="GL25">
        <v>3.2042404143504247E-2</v>
      </c>
      <c r="GM25">
        <v>1</v>
      </c>
      <c r="GN25">
        <v>2</v>
      </c>
      <c r="GO25">
        <v>2</v>
      </c>
      <c r="GP25" t="s">
        <v>424</v>
      </c>
      <c r="GQ25">
        <v>3.13097</v>
      </c>
      <c r="GR25">
        <v>2.7299600000000002</v>
      </c>
      <c r="GS25">
        <v>9.0605000000000005E-2</v>
      </c>
      <c r="GT25">
        <v>9.3177200000000002E-2</v>
      </c>
      <c r="GU25">
        <v>0.114747</v>
      </c>
      <c r="GV25">
        <v>0.10766000000000001</v>
      </c>
      <c r="GW25">
        <v>22635.5</v>
      </c>
      <c r="GX25">
        <v>30269.9</v>
      </c>
      <c r="GY25">
        <v>27021.200000000001</v>
      </c>
      <c r="GZ25">
        <v>34356</v>
      </c>
      <c r="HA25">
        <v>35071.300000000003</v>
      </c>
      <c r="HB25">
        <v>38845.199999999997</v>
      </c>
      <c r="HC25">
        <v>39921.1</v>
      </c>
      <c r="HD25">
        <v>43602.7</v>
      </c>
      <c r="HE25">
        <v>1.9224000000000001</v>
      </c>
      <c r="HF25">
        <v>1.6604000000000001</v>
      </c>
      <c r="HG25">
        <v>-0.122458</v>
      </c>
      <c r="HH25">
        <v>0</v>
      </c>
      <c r="HI25">
        <v>30.686</v>
      </c>
      <c r="HJ25">
        <v>999.9</v>
      </c>
      <c r="HK25">
        <v>44.2</v>
      </c>
      <c r="HL25">
        <v>44.2</v>
      </c>
      <c r="HM25">
        <v>41.839100000000002</v>
      </c>
      <c r="HN25">
        <v>61.129300000000001</v>
      </c>
      <c r="HO25">
        <v>4.9198700000000004</v>
      </c>
      <c r="HP25">
        <v>1</v>
      </c>
      <c r="HQ25">
        <v>0.94569099999999995</v>
      </c>
      <c r="HR25">
        <v>5.8426400000000003</v>
      </c>
      <c r="HS25">
        <v>20.1812</v>
      </c>
      <c r="HT25">
        <v>5.2088999999999999</v>
      </c>
      <c r="HU25">
        <v>11.914099999999999</v>
      </c>
      <c r="HV25">
        <v>4.9824000000000002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1.86737</v>
      </c>
      <c r="IC25">
        <v>1.86307</v>
      </c>
      <c r="ID25">
        <v>1.86249</v>
      </c>
      <c r="IE25">
        <v>1.8620300000000001</v>
      </c>
      <c r="IF25">
        <v>1.86209</v>
      </c>
      <c r="IG25">
        <v>1.8626400000000001</v>
      </c>
      <c r="IH25">
        <v>1.8635600000000001</v>
      </c>
      <c r="II25">
        <v>1.8614200000000001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-6.9139999999999997</v>
      </c>
      <c r="IX25">
        <v>-0.747</v>
      </c>
      <c r="IY25">
        <v>-4.9201732775093152</v>
      </c>
      <c r="IZ25">
        <v>-5.6215304933332991E-3</v>
      </c>
      <c r="JA25">
        <v>2.3979931213773931E-6</v>
      </c>
      <c r="JB25">
        <v>-3.6297174575716598E-10</v>
      </c>
      <c r="JC25">
        <v>-1.133213180745152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5</v>
      </c>
      <c r="JL25">
        <v>5</v>
      </c>
      <c r="JM25">
        <v>1.1376999999999999</v>
      </c>
      <c r="JN25">
        <v>2.5647000000000002</v>
      </c>
      <c r="JO25">
        <v>1.50024</v>
      </c>
      <c r="JP25">
        <v>2.2680699999999998</v>
      </c>
      <c r="JQ25">
        <v>1.4477500000000001</v>
      </c>
      <c r="JR25">
        <v>2.4645999999999999</v>
      </c>
      <c r="JS25">
        <v>46.8264</v>
      </c>
      <c r="JT25">
        <v>15.7781</v>
      </c>
      <c r="JU25">
        <v>18</v>
      </c>
      <c r="JV25">
        <v>549.81299999999999</v>
      </c>
      <c r="JW25">
        <v>391.09500000000003</v>
      </c>
      <c r="JX25">
        <v>24.3537</v>
      </c>
      <c r="JY25">
        <v>38.442100000000003</v>
      </c>
      <c r="JZ25">
        <v>29.9999</v>
      </c>
      <c r="KA25">
        <v>38.752400000000002</v>
      </c>
      <c r="KB25">
        <v>38.5441</v>
      </c>
      <c r="KC25">
        <v>22.764900000000001</v>
      </c>
      <c r="KD25">
        <v>48.415500000000002</v>
      </c>
      <c r="KE25">
        <v>0</v>
      </c>
      <c r="KF25">
        <v>24.348700000000001</v>
      </c>
      <c r="KG25">
        <v>438.54599999999999</v>
      </c>
      <c r="KH25">
        <v>22.991099999999999</v>
      </c>
      <c r="KI25">
        <v>99.754300000000001</v>
      </c>
      <c r="KJ25">
        <v>98.088700000000003</v>
      </c>
    </row>
    <row r="26" spans="1:296" x14ac:dyDescent="0.3">
      <c r="A26">
        <v>10</v>
      </c>
      <c r="B26">
        <v>1784486918.0999999</v>
      </c>
      <c r="C26">
        <v>1731.599999904633</v>
      </c>
      <c r="D26" t="s">
        <v>606</v>
      </c>
      <c r="E26" t="s">
        <v>607</v>
      </c>
      <c r="F26">
        <v>15</v>
      </c>
      <c r="H26">
        <v>1784486910.099999</v>
      </c>
      <c r="I26">
        <f t="shared" si="0"/>
        <v>1.0238988256401429E-3</v>
      </c>
      <c r="J26">
        <f t="shared" si="1"/>
        <v>1.0238988256401429</v>
      </c>
      <c r="K26">
        <f t="shared" si="2"/>
        <v>10.427615902017948</v>
      </c>
      <c r="L26">
        <f t="shared" si="3"/>
        <v>420.2213548387096</v>
      </c>
      <c r="M26">
        <f t="shared" si="4"/>
        <v>144.22057817041869</v>
      </c>
      <c r="N26">
        <f t="shared" si="5"/>
        <v>14.096897734434213</v>
      </c>
      <c r="O26">
        <f t="shared" si="6"/>
        <v>41.074703347720479</v>
      </c>
      <c r="P26">
        <f t="shared" si="7"/>
        <v>6.2766378092980676E-2</v>
      </c>
      <c r="Q26">
        <f t="shared" si="8"/>
        <v>2.8893983981810401</v>
      </c>
      <c r="R26">
        <f t="shared" si="9"/>
        <v>6.2018632544761698E-2</v>
      </c>
      <c r="S26">
        <f t="shared" si="10"/>
        <v>3.8828085005980346E-2</v>
      </c>
      <c r="T26">
        <f t="shared" si="11"/>
        <v>32.489912902199734</v>
      </c>
      <c r="U26">
        <f t="shared" si="12"/>
        <v>28.214926899004265</v>
      </c>
      <c r="V26">
        <f t="shared" si="13"/>
        <v>28.696819354838699</v>
      </c>
      <c r="W26">
        <f t="shared" si="14"/>
        <v>3.9517533731595611</v>
      </c>
      <c r="X26">
        <f t="shared" si="15"/>
        <v>61.933488380309889</v>
      </c>
      <c r="Y26">
        <f t="shared" si="16"/>
        <v>2.3903750458364952</v>
      </c>
      <c r="Z26">
        <f t="shared" si="17"/>
        <v>3.8595840608204002</v>
      </c>
      <c r="AA26">
        <f t="shared" si="18"/>
        <v>1.5613783273230659</v>
      </c>
      <c r="AB26">
        <f t="shared" si="19"/>
        <v>-45.153938210730303</v>
      </c>
      <c r="AC26">
        <f t="shared" si="20"/>
        <v>-63.292680007054486</v>
      </c>
      <c r="AD26">
        <f t="shared" si="21"/>
        <v>-4.7983511508718575</v>
      </c>
      <c r="AE26">
        <f t="shared" si="22"/>
        <v>-80.755056466456921</v>
      </c>
      <c r="AF26">
        <f t="shared" si="23"/>
        <v>10.427615902017948</v>
      </c>
      <c r="AG26">
        <f t="shared" si="24"/>
        <v>1.0238988256401429</v>
      </c>
      <c r="AH26">
        <f t="shared" si="25"/>
        <v>10.065920130796917</v>
      </c>
      <c r="AI26">
        <v>443.21159842780071</v>
      </c>
      <c r="AJ26">
        <v>430.78751515151498</v>
      </c>
      <c r="AK26">
        <v>1.11537093934407E-2</v>
      </c>
      <c r="AL26">
        <v>67.08061501464023</v>
      </c>
      <c r="AM26">
        <f t="shared" si="26"/>
        <v>1.0139821509485409</v>
      </c>
      <c r="AN26">
        <v>23.25411192251082</v>
      </c>
      <c r="AO26">
        <v>24.442205454545459</v>
      </c>
      <c r="AP26">
        <v>-1.8735214211106901E-4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51454.034942979029</v>
      </c>
      <c r="AW26" t="s">
        <v>571</v>
      </c>
      <c r="AX26">
        <v>5079.32</v>
      </c>
      <c r="AY26">
        <v>585.89117647058833</v>
      </c>
      <c r="AZ26">
        <v>2401.2399999999998</v>
      </c>
      <c r="BA26">
        <f t="shared" si="30"/>
        <v>0.75600474068789936</v>
      </c>
      <c r="BB26">
        <v>-3.1476729285104721</v>
      </c>
      <c r="BC26" t="s">
        <v>608</v>
      </c>
      <c r="BD26">
        <v>5088.3100000000004</v>
      </c>
      <c r="BE26">
        <v>806.47047058823523</v>
      </c>
      <c r="BF26">
        <v>1953.93</v>
      </c>
      <c r="BG26">
        <f t="shared" si="31"/>
        <v>0.58725723511679784</v>
      </c>
      <c r="BH26">
        <v>0.5</v>
      </c>
      <c r="BI26">
        <f t="shared" si="32"/>
        <v>168.31827955153258</v>
      </c>
      <c r="BJ26">
        <f t="shared" si="33"/>
        <v>10.427615902017948</v>
      </c>
      <c r="BK26">
        <f t="shared" si="34"/>
        <v>49.423063734524639</v>
      </c>
      <c r="BL26">
        <f t="shared" si="35"/>
        <v>8.0652492805287898E-2</v>
      </c>
      <c r="BM26">
        <f t="shared" si="36"/>
        <v>0.2289283648851288</v>
      </c>
      <c r="BN26">
        <f t="shared" si="37"/>
        <v>554.89610304460587</v>
      </c>
      <c r="BO26" t="s">
        <v>408</v>
      </c>
      <c r="BP26">
        <v>0</v>
      </c>
      <c r="BQ26">
        <f t="shared" si="38"/>
        <v>554.89610304460587</v>
      </c>
      <c r="BR26">
        <f t="shared" si="39"/>
        <v>0.71601024445880568</v>
      </c>
      <c r="BS26">
        <f t="shared" si="40"/>
        <v>0.82017993410230405</v>
      </c>
      <c r="BT26">
        <f t="shared" si="41"/>
        <v>0.24226797658746577</v>
      </c>
      <c r="BU26">
        <f t="shared" si="42"/>
        <v>0.83876240182382178</v>
      </c>
      <c r="BV26">
        <f t="shared" si="43"/>
        <v>0.24640443434465509</v>
      </c>
      <c r="BW26">
        <f t="shared" si="44"/>
        <v>0.56432896904060481</v>
      </c>
      <c r="BX26">
        <f t="shared" si="45"/>
        <v>0.43567103095939519</v>
      </c>
      <c r="DG26">
        <f t="shared" si="46"/>
        <v>200.03035483870971</v>
      </c>
      <c r="DH26">
        <f t="shared" si="47"/>
        <v>168.31827955153258</v>
      </c>
      <c r="DI26">
        <f t="shared" si="48"/>
        <v>0.84146368528542825</v>
      </c>
      <c r="DJ26">
        <f t="shared" si="49"/>
        <v>0.16242491260087649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1784486910.099999</v>
      </c>
      <c r="DQ26">
        <v>420.2213548387096</v>
      </c>
      <c r="DR26">
        <v>433.24980645161298</v>
      </c>
      <c r="DS26">
        <v>24.455116129032259</v>
      </c>
      <c r="DT26">
        <v>23.256577419354841</v>
      </c>
      <c r="DU26">
        <v>427.21758064516121</v>
      </c>
      <c r="DV26">
        <v>25.17314838709677</v>
      </c>
      <c r="DW26">
        <v>500.03854838709668</v>
      </c>
      <c r="DX26">
        <v>97.690922580645179</v>
      </c>
      <c r="DY26">
        <v>5.4474874193548392E-2</v>
      </c>
      <c r="DZ26">
        <v>28.290506451612909</v>
      </c>
      <c r="EA26">
        <v>28.696819354838699</v>
      </c>
      <c r="EB26">
        <v>999.90000000000032</v>
      </c>
      <c r="EC26">
        <v>0</v>
      </c>
      <c r="ED26">
        <v>0</v>
      </c>
      <c r="EE26">
        <v>10003.870967741939</v>
      </c>
      <c r="EF26">
        <v>0</v>
      </c>
      <c r="EG26">
        <v>945.9892903225807</v>
      </c>
      <c r="EH26">
        <v>-13.02848387096774</v>
      </c>
      <c r="EI26">
        <v>430.75558064516127</v>
      </c>
      <c r="EJ26">
        <v>443.56561290322583</v>
      </c>
      <c r="EK26">
        <v>1.1985412903225809</v>
      </c>
      <c r="EL26">
        <v>433.24980645161298</v>
      </c>
      <c r="EM26">
        <v>23.256577419354841</v>
      </c>
      <c r="EN26">
        <v>2.3890435483870971</v>
      </c>
      <c r="EO26">
        <v>2.2719564516129029</v>
      </c>
      <c r="EP26">
        <v>20.289703225806448</v>
      </c>
      <c r="EQ26">
        <v>19.478945161290319</v>
      </c>
      <c r="ER26">
        <v>200.03035483870971</v>
      </c>
      <c r="ES26">
        <v>0.94995812903225796</v>
      </c>
      <c r="ET26">
        <v>5.0041990322580637E-2</v>
      </c>
      <c r="EU26">
        <v>0</v>
      </c>
      <c r="EV26">
        <v>806.44261290322595</v>
      </c>
      <c r="EW26">
        <v>5.0010700000000003</v>
      </c>
      <c r="EX26">
        <v>5113.5245161290313</v>
      </c>
      <c r="EY26">
        <v>1752.0703225806451</v>
      </c>
      <c r="EZ26">
        <v>42.625</v>
      </c>
      <c r="FA26">
        <v>46.936999999999969</v>
      </c>
      <c r="FB26">
        <v>44.756000000000007</v>
      </c>
      <c r="FC26">
        <v>46.526000000000003</v>
      </c>
      <c r="FD26">
        <v>44.561999999999969</v>
      </c>
      <c r="FE26">
        <v>185.26935483870969</v>
      </c>
      <c r="FF26">
        <v>9.759354838709676</v>
      </c>
      <c r="FG26">
        <v>0</v>
      </c>
      <c r="FH26">
        <v>200.20000004768369</v>
      </c>
      <c r="FI26">
        <v>0</v>
      </c>
      <c r="FJ26">
        <v>806.47047058823523</v>
      </c>
      <c r="FK26">
        <v>2.6107843206328831</v>
      </c>
      <c r="FL26">
        <v>-1949.1396976851411</v>
      </c>
      <c r="FM26">
        <v>5267.2641176470579</v>
      </c>
      <c r="FN26">
        <v>10</v>
      </c>
      <c r="FO26">
        <v>1784486855.5999999</v>
      </c>
      <c r="FP26" t="s">
        <v>609</v>
      </c>
      <c r="FQ26">
        <v>1784486855.5999999</v>
      </c>
      <c r="FR26">
        <v>1784486851.5999999</v>
      </c>
      <c r="FS26">
        <v>42</v>
      </c>
      <c r="FT26">
        <v>-8.4000000000000005E-2</v>
      </c>
      <c r="FU26">
        <v>-1.2E-2</v>
      </c>
      <c r="FV26">
        <v>-7.0510000000000002</v>
      </c>
      <c r="FW26">
        <v>-0.74399999999999999</v>
      </c>
      <c r="FX26">
        <v>435</v>
      </c>
      <c r="FY26">
        <v>23</v>
      </c>
      <c r="FZ26">
        <v>0.62</v>
      </c>
      <c r="GA26">
        <v>0.3</v>
      </c>
      <c r="GB26">
        <v>420.21996666666661</v>
      </c>
      <c r="GC26">
        <v>0.215733036707037</v>
      </c>
      <c r="GD26">
        <v>5.4237430699549193E-2</v>
      </c>
      <c r="GE26">
        <v>-1</v>
      </c>
      <c r="GF26">
        <v>806.25438235294109</v>
      </c>
      <c r="GG26">
        <v>3.0826126854901101</v>
      </c>
      <c r="GH26">
        <v>0.39216548238076282</v>
      </c>
      <c r="GI26">
        <v>1</v>
      </c>
      <c r="GJ26">
        <v>1.2061157499999999</v>
      </c>
      <c r="GK26">
        <v>-0.14194953095684851</v>
      </c>
      <c r="GL26">
        <v>1.439991803579104E-2</v>
      </c>
      <c r="GM26">
        <v>1</v>
      </c>
      <c r="GN26">
        <v>2</v>
      </c>
      <c r="GO26">
        <v>2</v>
      </c>
      <c r="GP26" t="s">
        <v>424</v>
      </c>
      <c r="GQ26">
        <v>3.1312899999999999</v>
      </c>
      <c r="GR26">
        <v>2.7304900000000001</v>
      </c>
      <c r="GS26">
        <v>9.0531E-2</v>
      </c>
      <c r="GT26">
        <v>9.2272400000000004E-2</v>
      </c>
      <c r="GU26">
        <v>0.114326</v>
      </c>
      <c r="GV26">
        <v>0.108664</v>
      </c>
      <c r="GW26">
        <v>22630.2</v>
      </c>
      <c r="GX26">
        <v>30290.7</v>
      </c>
      <c r="GY26">
        <v>27013.5</v>
      </c>
      <c r="GZ26">
        <v>34346.5</v>
      </c>
      <c r="HA26">
        <v>35079.1</v>
      </c>
      <c r="HB26">
        <v>38792</v>
      </c>
      <c r="HC26">
        <v>39910.400000000001</v>
      </c>
      <c r="HD26">
        <v>43591.5</v>
      </c>
      <c r="HE26">
        <v>1.9219999999999999</v>
      </c>
      <c r="HF26">
        <v>1.6597999999999999</v>
      </c>
      <c r="HG26">
        <v>-0.13256100000000001</v>
      </c>
      <c r="HH26">
        <v>0</v>
      </c>
      <c r="HI26">
        <v>30.857700000000001</v>
      </c>
      <c r="HJ26">
        <v>999.9</v>
      </c>
      <c r="HK26">
        <v>44.3</v>
      </c>
      <c r="HL26">
        <v>44.2</v>
      </c>
      <c r="HM26">
        <v>41.936599999999999</v>
      </c>
      <c r="HN26">
        <v>61.249400000000001</v>
      </c>
      <c r="HO26">
        <v>4.6273999999999997</v>
      </c>
      <c r="HP26">
        <v>1</v>
      </c>
      <c r="HQ26">
        <v>0.96548800000000001</v>
      </c>
      <c r="HR26">
        <v>6.4133800000000001</v>
      </c>
      <c r="HS26">
        <v>20.161799999999999</v>
      </c>
      <c r="HT26">
        <v>5.2088999999999999</v>
      </c>
      <c r="HU26">
        <v>11.914099999999999</v>
      </c>
      <c r="HV26">
        <v>4.9824000000000002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1.86737</v>
      </c>
      <c r="IC26">
        <v>1.86307</v>
      </c>
      <c r="ID26">
        <v>1.86249</v>
      </c>
      <c r="IE26">
        <v>1.86209</v>
      </c>
      <c r="IF26">
        <v>1.8620300000000001</v>
      </c>
      <c r="IG26">
        <v>1.8626100000000001</v>
      </c>
      <c r="IH26">
        <v>1.8635600000000001</v>
      </c>
      <c r="II26">
        <v>1.8614200000000001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-6.9960000000000004</v>
      </c>
      <c r="IX26">
        <v>-0.71850000000000003</v>
      </c>
      <c r="IY26">
        <v>-5.0039087074296678</v>
      </c>
      <c r="IZ26">
        <v>-5.6215304933332991E-3</v>
      </c>
      <c r="JA26">
        <v>2.3979931213773931E-6</v>
      </c>
      <c r="JB26">
        <v>-3.6297174575716598E-10</v>
      </c>
      <c r="JC26">
        <v>-1.1429954451756521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</v>
      </c>
      <c r="JL26">
        <v>1.1000000000000001</v>
      </c>
      <c r="JM26">
        <v>1.1267100000000001</v>
      </c>
      <c r="JN26">
        <v>2.5683600000000002</v>
      </c>
      <c r="JO26">
        <v>1.50024</v>
      </c>
      <c r="JP26">
        <v>2.2680699999999998</v>
      </c>
      <c r="JQ26">
        <v>1.4477500000000001</v>
      </c>
      <c r="JR26">
        <v>2.48169</v>
      </c>
      <c r="JS26">
        <v>46.915100000000002</v>
      </c>
      <c r="JT26">
        <v>15.7256</v>
      </c>
      <c r="JU26">
        <v>18</v>
      </c>
      <c r="JV26">
        <v>550.13499999999999</v>
      </c>
      <c r="JW26">
        <v>391.10899999999998</v>
      </c>
      <c r="JX26">
        <v>24.0242</v>
      </c>
      <c r="JY26">
        <v>38.609699999999997</v>
      </c>
      <c r="JZ26">
        <v>30.0001</v>
      </c>
      <c r="KA26">
        <v>38.829300000000003</v>
      </c>
      <c r="KB26">
        <v>38.610399999999998</v>
      </c>
      <c r="KC26">
        <v>22.5276</v>
      </c>
      <c r="KD26">
        <v>47.617100000000001</v>
      </c>
      <c r="KE26">
        <v>0</v>
      </c>
      <c r="KF26">
        <v>24.030200000000001</v>
      </c>
      <c r="KG26">
        <v>432.97399999999999</v>
      </c>
      <c r="KH26">
        <v>23.3857</v>
      </c>
      <c r="KI26">
        <v>99.726799999999997</v>
      </c>
      <c r="KJ26">
        <v>98.062600000000003</v>
      </c>
    </row>
    <row r="27" spans="1:296" x14ac:dyDescent="0.3">
      <c r="A27">
        <v>11</v>
      </c>
      <c r="B27">
        <v>1784487100.5999999</v>
      </c>
      <c r="C27">
        <v>1914.099999904633</v>
      </c>
      <c r="D27" t="s">
        <v>610</v>
      </c>
      <c r="E27" t="s">
        <v>611</v>
      </c>
      <c r="F27">
        <v>15</v>
      </c>
      <c r="H27">
        <v>1784487092.849999</v>
      </c>
      <c r="I27">
        <f t="shared" si="0"/>
        <v>3.3872404243437583E-4</v>
      </c>
      <c r="J27">
        <f t="shared" si="1"/>
        <v>0.33872404243437582</v>
      </c>
      <c r="K27">
        <f t="shared" si="2"/>
        <v>2.1064047671027084</v>
      </c>
      <c r="L27">
        <f t="shared" si="3"/>
        <v>420.23236666666668</v>
      </c>
      <c r="M27">
        <f t="shared" si="4"/>
        <v>246.44407087198545</v>
      </c>
      <c r="N27">
        <f t="shared" si="5"/>
        <v>24.088340309323971</v>
      </c>
      <c r="O27">
        <f t="shared" si="6"/>
        <v>41.075040764593936</v>
      </c>
      <c r="P27">
        <f t="shared" si="7"/>
        <v>2.0501314036201861E-2</v>
      </c>
      <c r="Q27">
        <f t="shared" si="8"/>
        <v>2.8885613352287964</v>
      </c>
      <c r="R27">
        <f t="shared" si="9"/>
        <v>2.0420819910082114E-2</v>
      </c>
      <c r="S27">
        <f t="shared" si="10"/>
        <v>1.2770218074317819E-2</v>
      </c>
      <c r="T27">
        <f t="shared" si="11"/>
        <v>16.50929805174998</v>
      </c>
      <c r="U27">
        <f t="shared" si="12"/>
        <v>28.254195357461061</v>
      </c>
      <c r="V27">
        <f t="shared" si="13"/>
        <v>28.655429999999999</v>
      </c>
      <c r="W27">
        <f t="shared" si="14"/>
        <v>3.9422774928519924</v>
      </c>
      <c r="X27">
        <f t="shared" si="15"/>
        <v>61.656445338723188</v>
      </c>
      <c r="Y27">
        <f t="shared" si="16"/>
        <v>2.3733644522774862</v>
      </c>
      <c r="Z27">
        <f t="shared" si="17"/>
        <v>3.8493371442983597</v>
      </c>
      <c r="AA27">
        <f t="shared" si="18"/>
        <v>1.5689130405745062</v>
      </c>
      <c r="AB27">
        <f t="shared" si="19"/>
        <v>-14.937730271355974</v>
      </c>
      <c r="AC27">
        <f t="shared" si="20"/>
        <v>-63.94456100885894</v>
      </c>
      <c r="AD27">
        <f t="shared" si="21"/>
        <v>-4.8470758536014324</v>
      </c>
      <c r="AE27">
        <f t="shared" si="22"/>
        <v>-67.220069082066374</v>
      </c>
      <c r="AF27">
        <f t="shared" si="23"/>
        <v>2.1064047671027084</v>
      </c>
      <c r="AG27">
        <f t="shared" si="24"/>
        <v>0.33872404243437582</v>
      </c>
      <c r="AH27">
        <f t="shared" si="25"/>
        <v>2.1785977737936832</v>
      </c>
      <c r="AI27">
        <v>433.21744985229498</v>
      </c>
      <c r="AJ27">
        <v>430.5986787878789</v>
      </c>
      <c r="AK27">
        <v>-1.135496302880056E-2</v>
      </c>
      <c r="AL27">
        <v>67.08061501464023</v>
      </c>
      <c r="AM27">
        <f t="shared" si="26"/>
        <v>0.31327107760070172</v>
      </c>
      <c r="AN27">
        <v>23.947433600476192</v>
      </c>
      <c r="AO27">
        <v>24.311046060606039</v>
      </c>
      <c r="AP27">
        <v>5.1531601731553652E-4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51438.089296904742</v>
      </c>
      <c r="AW27" t="s">
        <v>571</v>
      </c>
      <c r="AX27">
        <v>5079.32</v>
      </c>
      <c r="AY27">
        <v>585.89117647058833</v>
      </c>
      <c r="AZ27">
        <v>2401.2399999999998</v>
      </c>
      <c r="BA27">
        <f t="shared" si="30"/>
        <v>0.75600474068789936</v>
      </c>
      <c r="BB27">
        <v>-3.1476729285104721</v>
      </c>
      <c r="BC27" t="s">
        <v>612</v>
      </c>
      <c r="BD27">
        <v>5088</v>
      </c>
      <c r="BE27">
        <v>783.57047058823525</v>
      </c>
      <c r="BF27">
        <v>2006.94</v>
      </c>
      <c r="BG27">
        <f t="shared" si="31"/>
        <v>0.60956955833844795</v>
      </c>
      <c r="BH27">
        <v>0.5</v>
      </c>
      <c r="BI27">
        <f t="shared" si="32"/>
        <v>84.279215848575106</v>
      </c>
      <c r="BJ27">
        <f t="shared" si="33"/>
        <v>2.1064047671027084</v>
      </c>
      <c r="BK27">
        <f t="shared" si="34"/>
        <v>25.687022190963326</v>
      </c>
      <c r="BL27">
        <f t="shared" si="35"/>
        <v>6.2341321554927706E-2</v>
      </c>
      <c r="BM27">
        <f t="shared" si="36"/>
        <v>0.19646825515461336</v>
      </c>
      <c r="BN27">
        <f t="shared" si="37"/>
        <v>559.08990326815388</v>
      </c>
      <c r="BO27" t="s">
        <v>408</v>
      </c>
      <c r="BP27">
        <v>0</v>
      </c>
      <c r="BQ27">
        <f t="shared" si="38"/>
        <v>559.08990326815388</v>
      </c>
      <c r="BR27">
        <f t="shared" si="39"/>
        <v>0.72142171501482166</v>
      </c>
      <c r="BS27">
        <f t="shared" si="40"/>
        <v>0.84495593305771821</v>
      </c>
      <c r="BT27">
        <f t="shared" si="41"/>
        <v>0.21404336199288343</v>
      </c>
      <c r="BU27">
        <f t="shared" si="42"/>
        <v>0.86089197581074128</v>
      </c>
      <c r="BV27">
        <f t="shared" si="43"/>
        <v>0.21720343489324517</v>
      </c>
      <c r="BW27">
        <f t="shared" si="44"/>
        <v>0.60288940001076297</v>
      </c>
      <c r="BX27">
        <f t="shared" si="45"/>
        <v>0.39711059998923703</v>
      </c>
      <c r="DG27">
        <f t="shared" si="46"/>
        <v>99.99287666666666</v>
      </c>
      <c r="DH27">
        <f t="shared" si="47"/>
        <v>84.279215848575106</v>
      </c>
      <c r="DI27">
        <f t="shared" si="48"/>
        <v>0.84285219765729757</v>
      </c>
      <c r="DJ27">
        <f t="shared" si="49"/>
        <v>0.16510474147858445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1784487092.849999</v>
      </c>
      <c r="DQ27">
        <v>420.23236666666668</v>
      </c>
      <c r="DR27">
        <v>422.93073333333331</v>
      </c>
      <c r="DS27">
        <v>24.281523333333329</v>
      </c>
      <c r="DT27">
        <v>23.884943333333329</v>
      </c>
      <c r="DU27">
        <v>427.18136666666669</v>
      </c>
      <c r="DV27">
        <v>25.027523333333331</v>
      </c>
      <c r="DW27">
        <v>500.02416666666659</v>
      </c>
      <c r="DX27">
        <v>97.689896666666698</v>
      </c>
      <c r="DY27">
        <v>5.3742383333333317E-2</v>
      </c>
      <c r="DZ27">
        <v>28.24481333333333</v>
      </c>
      <c r="EA27">
        <v>28.655429999999999</v>
      </c>
      <c r="EB27">
        <v>999.9000000000002</v>
      </c>
      <c r="EC27">
        <v>0</v>
      </c>
      <c r="ED27">
        <v>0</v>
      </c>
      <c r="EE27">
        <v>9999.1666666666661</v>
      </c>
      <c r="EF27">
        <v>0</v>
      </c>
      <c r="EG27">
        <v>626.8884333333333</v>
      </c>
      <c r="EH27">
        <v>-2.7455850000000002</v>
      </c>
      <c r="EI27">
        <v>430.65246666666673</v>
      </c>
      <c r="EJ27">
        <v>433.27973333333341</v>
      </c>
      <c r="EK27">
        <v>0.42044809999999988</v>
      </c>
      <c r="EL27">
        <v>422.93073333333331</v>
      </c>
      <c r="EM27">
        <v>23.884943333333329</v>
      </c>
      <c r="EN27">
        <v>2.374391666666666</v>
      </c>
      <c r="EO27">
        <v>2.333318333333334</v>
      </c>
      <c r="EP27">
        <v>20.190180000000002</v>
      </c>
      <c r="EQ27">
        <v>19.90823666666666</v>
      </c>
      <c r="ER27">
        <v>99.99287666666666</v>
      </c>
      <c r="ES27">
        <v>0.89992606666666675</v>
      </c>
      <c r="ET27">
        <v>0.10007398333333339</v>
      </c>
      <c r="EU27">
        <v>0</v>
      </c>
      <c r="EV27">
        <v>783.36300000000006</v>
      </c>
      <c r="EW27">
        <v>5.0010700000000003</v>
      </c>
      <c r="EX27">
        <v>2267.063333333334</v>
      </c>
      <c r="EY27">
        <v>836.4836333333335</v>
      </c>
      <c r="EZ27">
        <v>42.226899999999979</v>
      </c>
      <c r="FA27">
        <v>46.610299999999981</v>
      </c>
      <c r="FB27">
        <v>44.5</v>
      </c>
      <c r="FC27">
        <v>46.235299999999967</v>
      </c>
      <c r="FD27">
        <v>44.226899999999993</v>
      </c>
      <c r="FE27">
        <v>85.485333333333344</v>
      </c>
      <c r="FF27">
        <v>9.5066666666666642</v>
      </c>
      <c r="FG27">
        <v>0</v>
      </c>
      <c r="FH27">
        <v>182</v>
      </c>
      <c r="FI27">
        <v>0</v>
      </c>
      <c r="FJ27">
        <v>783.57047058823525</v>
      </c>
      <c r="FK27">
        <v>3.071323551163903</v>
      </c>
      <c r="FL27">
        <v>-1962.463229680722</v>
      </c>
      <c r="FM27">
        <v>2313.9482352941168</v>
      </c>
      <c r="FN27">
        <v>10</v>
      </c>
      <c r="FO27">
        <v>1784487120.0999999</v>
      </c>
      <c r="FP27" t="s">
        <v>613</v>
      </c>
      <c r="FQ27">
        <v>1784487120.0999999</v>
      </c>
      <c r="FR27">
        <v>1784487114.5999999</v>
      </c>
      <c r="FS27">
        <v>43</v>
      </c>
      <c r="FT27">
        <v>5.7000000000000002E-2</v>
      </c>
      <c r="FU27">
        <v>-2.1000000000000001E-2</v>
      </c>
      <c r="FV27">
        <v>-6.9489999999999998</v>
      </c>
      <c r="FW27">
        <v>-0.746</v>
      </c>
      <c r="FX27">
        <v>423</v>
      </c>
      <c r="FY27">
        <v>24</v>
      </c>
      <c r="FZ27">
        <v>1.47</v>
      </c>
      <c r="GA27">
        <v>0.55000000000000004</v>
      </c>
      <c r="GB27">
        <v>420.18526666666662</v>
      </c>
      <c r="GC27">
        <v>-0.18938375973298041</v>
      </c>
      <c r="GD27">
        <v>4.3906668691164268E-2</v>
      </c>
      <c r="GE27">
        <v>-1</v>
      </c>
      <c r="GF27">
        <v>783.21858823529419</v>
      </c>
      <c r="GG27">
        <v>3.690145153464059</v>
      </c>
      <c r="GH27">
        <v>0.39554193037544227</v>
      </c>
      <c r="GI27">
        <v>1</v>
      </c>
      <c r="GJ27">
        <v>0.44045542500000001</v>
      </c>
      <c r="GK27">
        <v>-0.59437673921200873</v>
      </c>
      <c r="GL27">
        <v>6.1745829951053183E-2</v>
      </c>
      <c r="GM27">
        <v>0</v>
      </c>
      <c r="GN27">
        <v>1</v>
      </c>
      <c r="GO27">
        <v>2</v>
      </c>
      <c r="GP27" t="s">
        <v>411</v>
      </c>
      <c r="GQ27">
        <v>3.1314600000000001</v>
      </c>
      <c r="GR27">
        <v>2.7302499999999998</v>
      </c>
      <c r="GS27">
        <v>9.0493400000000002E-2</v>
      </c>
      <c r="GT27">
        <v>9.0572899999999998E-2</v>
      </c>
      <c r="GU27">
        <v>0.113915</v>
      </c>
      <c r="GV27">
        <v>0.111039</v>
      </c>
      <c r="GW27">
        <v>22628</v>
      </c>
      <c r="GX27">
        <v>30343</v>
      </c>
      <c r="GY27">
        <v>27010.2</v>
      </c>
      <c r="GZ27">
        <v>34341.9</v>
      </c>
      <c r="HA27">
        <v>35092</v>
      </c>
      <c r="HB27">
        <v>38686.6</v>
      </c>
      <c r="HC27">
        <v>39906.300000000003</v>
      </c>
      <c r="HD27">
        <v>43588.800000000003</v>
      </c>
      <c r="HE27">
        <v>1.9181999999999999</v>
      </c>
      <c r="HF27">
        <v>1.6614</v>
      </c>
      <c r="HG27">
        <v>-0.12368</v>
      </c>
      <c r="HH27">
        <v>0</v>
      </c>
      <c r="HI27">
        <v>30.654499999999999</v>
      </c>
      <c r="HJ27">
        <v>999.9</v>
      </c>
      <c r="HK27">
        <v>44.3</v>
      </c>
      <c r="HL27">
        <v>44.1</v>
      </c>
      <c r="HM27">
        <v>41.720399999999998</v>
      </c>
      <c r="HN27">
        <v>61.0794</v>
      </c>
      <c r="HO27">
        <v>4.7435900000000002</v>
      </c>
      <c r="HP27">
        <v>1</v>
      </c>
      <c r="HQ27">
        <v>0.96597599999999995</v>
      </c>
      <c r="HR27">
        <v>5.3614199999999999</v>
      </c>
      <c r="HS27">
        <v>20.1968</v>
      </c>
      <c r="HT27">
        <v>5.2088999999999999</v>
      </c>
      <c r="HU27">
        <v>11.914099999999999</v>
      </c>
      <c r="HV27">
        <v>4.9832000000000001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1.86737</v>
      </c>
      <c r="IC27">
        <v>1.8631</v>
      </c>
      <c r="ID27">
        <v>1.86252</v>
      </c>
      <c r="IE27">
        <v>1.8620300000000001</v>
      </c>
      <c r="IF27">
        <v>1.86212</v>
      </c>
      <c r="IG27">
        <v>1.8626400000000001</v>
      </c>
      <c r="IH27">
        <v>1.8635600000000001</v>
      </c>
      <c r="II27">
        <v>1.86148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-6.9489999999999998</v>
      </c>
      <c r="IX27">
        <v>-0.746</v>
      </c>
      <c r="IY27">
        <v>-5.0039087074296678</v>
      </c>
      <c r="IZ27">
        <v>-5.6215304933332991E-3</v>
      </c>
      <c r="JA27">
        <v>2.3979931213773931E-6</v>
      </c>
      <c r="JB27">
        <v>-3.6297174575716598E-10</v>
      </c>
      <c r="JC27">
        <v>-1.1429954451756521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4.0999999999999996</v>
      </c>
      <c r="JL27">
        <v>4.2</v>
      </c>
      <c r="JM27">
        <v>1.1047400000000001</v>
      </c>
      <c r="JN27">
        <v>2.5622600000000002</v>
      </c>
      <c r="JO27">
        <v>1.50024</v>
      </c>
      <c r="JP27">
        <v>2.2680699999999998</v>
      </c>
      <c r="JQ27">
        <v>1.4477500000000001</v>
      </c>
      <c r="JR27">
        <v>2.50122</v>
      </c>
      <c r="JS27">
        <v>46.974400000000003</v>
      </c>
      <c r="JT27">
        <v>15.7081</v>
      </c>
      <c r="JU27">
        <v>18</v>
      </c>
      <c r="JV27">
        <v>548.02200000000005</v>
      </c>
      <c r="JW27">
        <v>392.38600000000002</v>
      </c>
      <c r="JX27">
        <v>24.5747</v>
      </c>
      <c r="JY27">
        <v>38.694699999999997</v>
      </c>
      <c r="JZ27">
        <v>29.999300000000002</v>
      </c>
      <c r="KA27">
        <v>38.895499999999998</v>
      </c>
      <c r="KB27">
        <v>38.668100000000003</v>
      </c>
      <c r="KC27">
        <v>22.1098</v>
      </c>
      <c r="KD27">
        <v>46.431600000000003</v>
      </c>
      <c r="KE27">
        <v>0</v>
      </c>
      <c r="KF27">
        <v>24.617999999999999</v>
      </c>
      <c r="KG27">
        <v>422.839</v>
      </c>
      <c r="KH27">
        <v>24.081600000000002</v>
      </c>
      <c r="KI27">
        <v>99.715800000000002</v>
      </c>
      <c r="KJ27">
        <v>98.053399999999996</v>
      </c>
    </row>
    <row r="28" spans="1:296" x14ac:dyDescent="0.3">
      <c r="A28">
        <v>12</v>
      </c>
      <c r="B28">
        <v>1784487301.0999999</v>
      </c>
      <c r="C28">
        <v>2114.599999904633</v>
      </c>
      <c r="D28" t="s">
        <v>614</v>
      </c>
      <c r="E28" t="s">
        <v>615</v>
      </c>
      <c r="F28">
        <v>15</v>
      </c>
      <c r="H28">
        <v>1784487293.349999</v>
      </c>
      <c r="I28">
        <f t="shared" si="0"/>
        <v>1.2417098761188637E-4</v>
      </c>
      <c r="J28">
        <f t="shared" si="1"/>
        <v>0.12417098761188636</v>
      </c>
      <c r="K28">
        <f t="shared" si="2"/>
        <v>1.7758745029373764</v>
      </c>
      <c r="L28">
        <f t="shared" si="3"/>
        <v>419.86733333333342</v>
      </c>
      <c r="M28">
        <f t="shared" si="4"/>
        <v>43.748817595611087</v>
      </c>
      <c r="N28">
        <f t="shared" si="5"/>
        <v>4.2760796244395909</v>
      </c>
      <c r="O28">
        <f t="shared" si="6"/>
        <v>41.038506814743421</v>
      </c>
      <c r="P28">
        <f t="shared" si="7"/>
        <v>7.6866975599561493E-3</v>
      </c>
      <c r="Q28">
        <f t="shared" si="8"/>
        <v>2.8876247943006241</v>
      </c>
      <c r="R28">
        <f t="shared" si="9"/>
        <v>7.6753481499041267E-3</v>
      </c>
      <c r="S28">
        <f t="shared" si="10"/>
        <v>4.7981108748781937E-3</v>
      </c>
      <c r="T28">
        <f t="shared" si="11"/>
        <v>8.2401928474440016</v>
      </c>
      <c r="U28">
        <f t="shared" si="12"/>
        <v>28.417555340033473</v>
      </c>
      <c r="V28">
        <f t="shared" si="13"/>
        <v>28.730530000000002</v>
      </c>
      <c r="W28">
        <f t="shared" si="14"/>
        <v>3.9594859242093823</v>
      </c>
      <c r="X28">
        <f t="shared" si="15"/>
        <v>62.554591762916125</v>
      </c>
      <c r="Y28">
        <f t="shared" si="16"/>
        <v>2.4299159089228466</v>
      </c>
      <c r="Z28">
        <f t="shared" si="17"/>
        <v>3.8844724910559796</v>
      </c>
      <c r="AA28">
        <f t="shared" si="18"/>
        <v>1.5295700152865357</v>
      </c>
      <c r="AB28">
        <f t="shared" si="19"/>
        <v>-5.4759405536841887</v>
      </c>
      <c r="AC28">
        <f t="shared" si="20"/>
        <v>-51.292664843898947</v>
      </c>
      <c r="AD28">
        <f t="shared" si="21"/>
        <v>-3.8937858031801715</v>
      </c>
      <c r="AE28">
        <f t="shared" si="22"/>
        <v>-52.422198353319303</v>
      </c>
      <c r="AF28">
        <f t="shared" si="23"/>
        <v>1.7758745029373764</v>
      </c>
      <c r="AG28">
        <f t="shared" si="24"/>
        <v>0.12417098761188636</v>
      </c>
      <c r="AH28">
        <f t="shared" si="25"/>
        <v>1.786408783486918</v>
      </c>
      <c r="AI28">
        <v>432.81502273842852</v>
      </c>
      <c r="AJ28">
        <v>430.59656363636373</v>
      </c>
      <c r="AK28">
        <v>3.8971130571848638E-3</v>
      </c>
      <c r="AL28">
        <v>67.022961924463573</v>
      </c>
      <c r="AM28">
        <f t="shared" si="26"/>
        <v>0.16714883875673053</v>
      </c>
      <c r="AN28">
        <v>24.717388659698589</v>
      </c>
      <c r="AO28">
        <v>24.889759999999999</v>
      </c>
      <c r="AP28">
        <v>3.8105930534399878E-3</v>
      </c>
      <c r="AQ28">
        <v>78.199603109697605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51384.851623779548</v>
      </c>
      <c r="AW28" t="s">
        <v>571</v>
      </c>
      <c r="AX28">
        <v>5079.32</v>
      </c>
      <c r="AY28">
        <v>585.89117647058833</v>
      </c>
      <c r="AZ28">
        <v>2401.2399999999998</v>
      </c>
      <c r="BA28">
        <f t="shared" si="30"/>
        <v>0.75600474068789936</v>
      </c>
      <c r="BB28">
        <v>-3.1476729285104721</v>
      </c>
      <c r="BC28" t="s">
        <v>616</v>
      </c>
      <c r="BD28">
        <v>5090.1899999999996</v>
      </c>
      <c r="BE28">
        <v>756.11082352941173</v>
      </c>
      <c r="BF28">
        <v>2136.5700000000002</v>
      </c>
      <c r="BG28">
        <f t="shared" si="31"/>
        <v>0.64610996900199313</v>
      </c>
      <c r="BH28">
        <v>0.5</v>
      </c>
      <c r="BI28">
        <f t="shared" si="32"/>
        <v>42.132507688831083</v>
      </c>
      <c r="BJ28">
        <f t="shared" si="33"/>
        <v>1.7758745029373764</v>
      </c>
      <c r="BK28">
        <f t="shared" si="34"/>
        <v>13.611116618403445</v>
      </c>
      <c r="BL28">
        <f t="shared" si="35"/>
        <v>0.11685863722640541</v>
      </c>
      <c r="BM28">
        <f t="shared" si="36"/>
        <v>0.12387611920040045</v>
      </c>
      <c r="BN28">
        <f t="shared" si="37"/>
        <v>568.70205129021474</v>
      </c>
      <c r="BO28" t="s">
        <v>408</v>
      </c>
      <c r="BP28">
        <v>0</v>
      </c>
      <c r="BQ28">
        <f t="shared" si="38"/>
        <v>568.70205129021474</v>
      </c>
      <c r="BR28">
        <f t="shared" si="39"/>
        <v>0.73382475121797341</v>
      </c>
      <c r="BS28">
        <f t="shared" si="40"/>
        <v>0.88046903287141132</v>
      </c>
      <c r="BT28">
        <f t="shared" si="41"/>
        <v>0.14442811412791912</v>
      </c>
      <c r="BU28">
        <f t="shared" si="42"/>
        <v>0.89022894717076473</v>
      </c>
      <c r="BV28">
        <f t="shared" si="43"/>
        <v>0.14579567109610742</v>
      </c>
      <c r="BW28">
        <f t="shared" si="44"/>
        <v>0.66223697573085416</v>
      </c>
      <c r="BX28">
        <f t="shared" si="45"/>
        <v>0.33776302426914584</v>
      </c>
      <c r="DG28">
        <f t="shared" si="46"/>
        <v>49.996953333333323</v>
      </c>
      <c r="DH28">
        <f t="shared" si="47"/>
        <v>42.132507688831083</v>
      </c>
      <c r="DI28">
        <f t="shared" si="48"/>
        <v>0.84270150238816732</v>
      </c>
      <c r="DJ28">
        <f t="shared" si="49"/>
        <v>0.1648138996091629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1784487293.349999</v>
      </c>
      <c r="DQ28">
        <v>419.86733333333342</v>
      </c>
      <c r="DR28">
        <v>422.0610333333334</v>
      </c>
      <c r="DS28">
        <v>24.860610000000001</v>
      </c>
      <c r="DT28">
        <v>24.715303333333338</v>
      </c>
      <c r="DU28">
        <v>426.77829999999989</v>
      </c>
      <c r="DV28">
        <v>25.57958</v>
      </c>
      <c r="DW28">
        <v>499.97989999999999</v>
      </c>
      <c r="DX28">
        <v>97.687820000000016</v>
      </c>
      <c r="DY28">
        <v>5.3784446666666673E-2</v>
      </c>
      <c r="DZ28">
        <v>28.401049999999991</v>
      </c>
      <c r="EA28">
        <v>28.730530000000002</v>
      </c>
      <c r="EB28">
        <v>999.9000000000002</v>
      </c>
      <c r="EC28">
        <v>0</v>
      </c>
      <c r="ED28">
        <v>0</v>
      </c>
      <c r="EE28">
        <v>9994</v>
      </c>
      <c r="EF28">
        <v>0</v>
      </c>
      <c r="EG28">
        <v>1475.8909333333329</v>
      </c>
      <c r="EH28">
        <v>-2.193651333333333</v>
      </c>
      <c r="EI28">
        <v>430.57163333333318</v>
      </c>
      <c r="EJ28">
        <v>432.75683333333319</v>
      </c>
      <c r="EK28">
        <v>0.1453189</v>
      </c>
      <c r="EL28">
        <v>422.0610333333334</v>
      </c>
      <c r="EM28">
        <v>24.715303333333338</v>
      </c>
      <c r="EN28">
        <v>2.428579</v>
      </c>
      <c r="EO28">
        <v>2.4143833333333329</v>
      </c>
      <c r="EP28">
        <v>20.555606666666669</v>
      </c>
      <c r="EQ28">
        <v>20.460573333333329</v>
      </c>
      <c r="ER28">
        <v>49.996953333333323</v>
      </c>
      <c r="ES28">
        <v>0.89990546666666671</v>
      </c>
      <c r="ET28">
        <v>0.10009473000000001</v>
      </c>
      <c r="EU28">
        <v>0</v>
      </c>
      <c r="EV28">
        <v>755.71336666666673</v>
      </c>
      <c r="EW28">
        <v>5.0010700000000003</v>
      </c>
      <c r="EX28">
        <v>3990.8363333333341</v>
      </c>
      <c r="EY28">
        <v>396.22376666666662</v>
      </c>
      <c r="EZ28">
        <v>41.72059999999999</v>
      </c>
      <c r="FA28">
        <v>46.162199999999977</v>
      </c>
      <c r="FB28">
        <v>44</v>
      </c>
      <c r="FC28">
        <v>45.811999999999983</v>
      </c>
      <c r="FD28">
        <v>43.774800000000013</v>
      </c>
      <c r="FE28">
        <v>40.491333333333337</v>
      </c>
      <c r="FF28">
        <v>4.5019999999999998</v>
      </c>
      <c r="FG28">
        <v>0</v>
      </c>
      <c r="FH28">
        <v>199.5999999046326</v>
      </c>
      <c r="FI28">
        <v>0</v>
      </c>
      <c r="FJ28">
        <v>756.11082352941173</v>
      </c>
      <c r="FK28">
        <v>9.9205882877455061</v>
      </c>
      <c r="FL28">
        <v>-214.205882182995</v>
      </c>
      <c r="FM28">
        <v>3989.3888235294121</v>
      </c>
      <c r="FN28">
        <v>10</v>
      </c>
      <c r="FO28">
        <v>1784487188.0999999</v>
      </c>
      <c r="FP28" t="s">
        <v>617</v>
      </c>
      <c r="FQ28">
        <v>1784487188.0999999</v>
      </c>
      <c r="FR28">
        <v>1784487185.0999999</v>
      </c>
      <c r="FS28">
        <v>44</v>
      </c>
      <c r="FT28">
        <v>2.7E-2</v>
      </c>
      <c r="FU28">
        <v>8.9999999999999993E-3</v>
      </c>
      <c r="FV28">
        <v>-6.9180000000000001</v>
      </c>
      <c r="FW28">
        <v>-0.74199999999999999</v>
      </c>
      <c r="FX28">
        <v>422</v>
      </c>
      <c r="FY28">
        <v>24</v>
      </c>
      <c r="FZ28">
        <v>1.79</v>
      </c>
      <c r="GA28">
        <v>0.59</v>
      </c>
      <c r="GB28">
        <v>419.86867741935481</v>
      </c>
      <c r="GC28">
        <v>-0.13543548387174911</v>
      </c>
      <c r="GD28">
        <v>5.7851526924827187E-2</v>
      </c>
      <c r="GE28">
        <v>-1</v>
      </c>
      <c r="GF28">
        <v>755.27473529411759</v>
      </c>
      <c r="GG28">
        <v>7.6935217805705909</v>
      </c>
      <c r="GH28">
        <v>0.78333511380444898</v>
      </c>
      <c r="GI28">
        <v>1</v>
      </c>
      <c r="GJ28">
        <v>0.13575441463414631</v>
      </c>
      <c r="GK28">
        <v>0.16154293379790949</v>
      </c>
      <c r="GL28">
        <v>1.6352958962465431E-2</v>
      </c>
      <c r="GM28">
        <v>1</v>
      </c>
      <c r="GN28">
        <v>2</v>
      </c>
      <c r="GO28">
        <v>2</v>
      </c>
      <c r="GP28" t="s">
        <v>424</v>
      </c>
      <c r="GQ28">
        <v>3.1309900000000002</v>
      </c>
      <c r="GR28">
        <v>2.73089</v>
      </c>
      <c r="GS28">
        <v>9.0467500000000006E-2</v>
      </c>
      <c r="GT28">
        <v>9.0480099999999994E-2</v>
      </c>
      <c r="GU28">
        <v>0.115787</v>
      </c>
      <c r="GV28">
        <v>0.113329</v>
      </c>
      <c r="GW28">
        <v>22635.7</v>
      </c>
      <c r="GX28">
        <v>30357.5</v>
      </c>
      <c r="GY28">
        <v>27017.5</v>
      </c>
      <c r="GZ28">
        <v>34353.199999999997</v>
      </c>
      <c r="HA28">
        <v>35026.6</v>
      </c>
      <c r="HB28">
        <v>38597</v>
      </c>
      <c r="HC28">
        <v>39916.6</v>
      </c>
      <c r="HD28">
        <v>43600.1</v>
      </c>
      <c r="HE28">
        <v>1.919</v>
      </c>
      <c r="HF28">
        <v>1.665</v>
      </c>
      <c r="HG28">
        <v>-0.120074</v>
      </c>
      <c r="HH28">
        <v>0</v>
      </c>
      <c r="HI28">
        <v>30.672699999999999</v>
      </c>
      <c r="HJ28">
        <v>999.9</v>
      </c>
      <c r="HK28">
        <v>44.2</v>
      </c>
      <c r="HL28">
        <v>44.1</v>
      </c>
      <c r="HM28">
        <v>41.6265</v>
      </c>
      <c r="HN28">
        <v>61.259500000000003</v>
      </c>
      <c r="HO28">
        <v>4.8237199999999998</v>
      </c>
      <c r="HP28">
        <v>1</v>
      </c>
      <c r="HQ28">
        <v>0.95975600000000005</v>
      </c>
      <c r="HR28">
        <v>6.99458</v>
      </c>
      <c r="HS28">
        <v>20.141200000000001</v>
      </c>
      <c r="HT28">
        <v>5.2112999999999996</v>
      </c>
      <c r="HU28">
        <v>11.914099999999999</v>
      </c>
      <c r="HV28">
        <v>4.9832000000000001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1.86737</v>
      </c>
      <c r="IC28">
        <v>1.8631</v>
      </c>
      <c r="ID28">
        <v>1.86249</v>
      </c>
      <c r="IE28">
        <v>1.8620300000000001</v>
      </c>
      <c r="IF28">
        <v>1.8620300000000001</v>
      </c>
      <c r="IG28">
        <v>1.8626400000000001</v>
      </c>
      <c r="IH28">
        <v>1.8635299999999999</v>
      </c>
      <c r="II28">
        <v>1.8614200000000001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-6.9109999999999996</v>
      </c>
      <c r="IX28">
        <v>-0.71819999999999995</v>
      </c>
      <c r="IY28">
        <v>-4.9203302838233327</v>
      </c>
      <c r="IZ28">
        <v>-5.6215304933332991E-3</v>
      </c>
      <c r="JA28">
        <v>2.3979931213773931E-6</v>
      </c>
      <c r="JB28">
        <v>-3.6297174575716598E-10</v>
      </c>
      <c r="JC28">
        <v>-1.155470399605397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1.9</v>
      </c>
      <c r="JL28">
        <v>1.9</v>
      </c>
      <c r="JM28">
        <v>1.1035200000000001</v>
      </c>
      <c r="JN28">
        <v>2.5622600000000002</v>
      </c>
      <c r="JO28">
        <v>1.50024</v>
      </c>
      <c r="JP28">
        <v>2.2680699999999998</v>
      </c>
      <c r="JQ28">
        <v>1.4477500000000001</v>
      </c>
      <c r="JR28">
        <v>2.4694799999999999</v>
      </c>
      <c r="JS28">
        <v>46.944800000000001</v>
      </c>
      <c r="JT28">
        <v>15.6205</v>
      </c>
      <c r="JU28">
        <v>18</v>
      </c>
      <c r="JV28">
        <v>547.57899999999995</v>
      </c>
      <c r="JW28">
        <v>393.90600000000001</v>
      </c>
      <c r="JX28">
        <v>23.681000000000001</v>
      </c>
      <c r="JY28">
        <v>38.471699999999998</v>
      </c>
      <c r="JZ28">
        <v>29.9999</v>
      </c>
      <c r="KA28">
        <v>38.767000000000003</v>
      </c>
      <c r="KB28">
        <v>38.558700000000002</v>
      </c>
      <c r="KC28">
        <v>22.084700000000002</v>
      </c>
      <c r="KD28">
        <v>45.429099999999998</v>
      </c>
      <c r="KE28">
        <v>0</v>
      </c>
      <c r="KF28">
        <v>23.6935</v>
      </c>
      <c r="KG28">
        <v>422.17599999999999</v>
      </c>
      <c r="KH28">
        <v>24.592199999999998</v>
      </c>
      <c r="KI28">
        <v>99.742000000000004</v>
      </c>
      <c r="KJ28">
        <v>98.081900000000005</v>
      </c>
    </row>
    <row r="29" spans="1:296" x14ac:dyDescent="0.3">
      <c r="A29">
        <v>13</v>
      </c>
      <c r="B29">
        <v>1784487483.5999999</v>
      </c>
      <c r="C29">
        <v>2297.099999904633</v>
      </c>
      <c r="D29" t="s">
        <v>618</v>
      </c>
      <c r="E29" t="s">
        <v>619</v>
      </c>
      <c r="F29">
        <v>15</v>
      </c>
      <c r="H29">
        <v>1784487475.849999</v>
      </c>
      <c r="I29">
        <f t="shared" si="0"/>
        <v>-6.3223775903592625E-5</v>
      </c>
      <c r="J29">
        <f t="shared" si="1"/>
        <v>-6.3223775903592627E-2</v>
      </c>
      <c r="K29">
        <f t="shared" si="2"/>
        <v>-3.3473499592977203</v>
      </c>
      <c r="L29">
        <f t="shared" si="3"/>
        <v>420.08026666666672</v>
      </c>
      <c r="M29">
        <f t="shared" si="4"/>
        <v>-969.1354315627035</v>
      </c>
      <c r="N29">
        <f t="shared" si="5"/>
        <v>-94.719287063419841</v>
      </c>
      <c r="O29">
        <f t="shared" si="6"/>
        <v>41.056907086678478</v>
      </c>
      <c r="P29">
        <f t="shared" si="7"/>
        <v>-3.832828978087901E-3</v>
      </c>
      <c r="Q29">
        <f t="shared" si="8"/>
        <v>2.8886568139120699</v>
      </c>
      <c r="R29">
        <f t="shared" si="9"/>
        <v>-3.8356565673759819E-3</v>
      </c>
      <c r="S29">
        <f t="shared" si="10"/>
        <v>-2.3970311400813614E-3</v>
      </c>
      <c r="T29">
        <f t="shared" si="11"/>
        <v>1.5966703903835998E-4</v>
      </c>
      <c r="U29">
        <f t="shared" si="12"/>
        <v>28.337377838015612</v>
      </c>
      <c r="V29">
        <f t="shared" si="13"/>
        <v>28.69599333333333</v>
      </c>
      <c r="W29">
        <f t="shared" si="14"/>
        <v>3.9515640656918096</v>
      </c>
      <c r="X29">
        <f t="shared" si="15"/>
        <v>61.888848782749065</v>
      </c>
      <c r="Y29">
        <f t="shared" si="16"/>
        <v>2.3928553877345471</v>
      </c>
      <c r="Z29">
        <f t="shared" si="17"/>
        <v>3.866375663464487</v>
      </c>
      <c r="AA29">
        <f t="shared" si="18"/>
        <v>1.5587086779572625</v>
      </c>
      <c r="AB29">
        <f t="shared" si="19"/>
        <v>2.788168517348435</v>
      </c>
      <c r="AC29">
        <f t="shared" si="20"/>
        <v>-58.440465456058206</v>
      </c>
      <c r="AD29">
        <f t="shared" si="21"/>
        <v>-4.4322799497793648</v>
      </c>
      <c r="AE29">
        <f t="shared" si="22"/>
        <v>-60.084417221450096</v>
      </c>
      <c r="AF29">
        <f t="shared" si="23"/>
        <v>-3.3473499592977203</v>
      </c>
      <c r="AG29">
        <f t="shared" si="24"/>
        <v>-6.3223775903592627E-2</v>
      </c>
      <c r="AH29">
        <f t="shared" si="25"/>
        <v>-3.3625755555882582</v>
      </c>
      <c r="AI29">
        <v>426.50975357325598</v>
      </c>
      <c r="AJ29">
        <v>430.63890303030331</v>
      </c>
      <c r="AK29">
        <v>1.429221069020257E-3</v>
      </c>
      <c r="AL29">
        <v>67.022961924463573</v>
      </c>
      <c r="AM29">
        <f t="shared" si="26"/>
        <v>0.10558695849066693</v>
      </c>
      <c r="AN29">
        <v>24.561100114251651</v>
      </c>
      <c r="AO29">
        <v>24.59621151515152</v>
      </c>
      <c r="AP29">
        <v>1.4515452053014169E-2</v>
      </c>
      <c r="AQ29">
        <v>78.199603109697605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51427.669736842516</v>
      </c>
      <c r="AW29" t="s">
        <v>519</v>
      </c>
      <c r="AX29">
        <v>5084.9399999999996</v>
      </c>
      <c r="AY29">
        <v>617.86176470588248</v>
      </c>
      <c r="AZ29">
        <v>2384.65</v>
      </c>
      <c r="BA29">
        <f t="shared" si="30"/>
        <v>0.74090044043952674</v>
      </c>
      <c r="BB29">
        <v>-3.3473499592976261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-3.3473499592977203</v>
      </c>
      <c r="BK29" t="e">
        <f t="shared" si="34"/>
        <v>#DIV/0!</v>
      </c>
      <c r="BL29">
        <f t="shared" si="35"/>
        <v>-1.1203259909180726E-10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1.3497090100348257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1784487475.849999</v>
      </c>
      <c r="DQ29">
        <v>420.08026666666672</v>
      </c>
      <c r="DR29">
        <v>416.03163333333328</v>
      </c>
      <c r="DS29">
        <v>24.482880000000002</v>
      </c>
      <c r="DT29">
        <v>24.556889999999999</v>
      </c>
      <c r="DU29">
        <v>426.95726666666673</v>
      </c>
      <c r="DV29">
        <v>25.217880000000001</v>
      </c>
      <c r="DW29">
        <v>500.00709999999998</v>
      </c>
      <c r="DX29">
        <v>97.68222999999999</v>
      </c>
      <c r="DY29">
        <v>5.3632273333333341E-2</v>
      </c>
      <c r="DZ29">
        <v>28.32073333333334</v>
      </c>
      <c r="EA29">
        <v>28.69599333333333</v>
      </c>
      <c r="EB29">
        <v>999.9000000000002</v>
      </c>
      <c r="EC29">
        <v>0</v>
      </c>
      <c r="ED29">
        <v>0</v>
      </c>
      <c r="EE29">
        <v>10000.5</v>
      </c>
      <c r="EF29">
        <v>0</v>
      </c>
      <c r="EG29">
        <v>1716.612633333333</v>
      </c>
      <c r="EH29">
        <v>4.0141436666666674</v>
      </c>
      <c r="EI29">
        <v>430.59036666666668</v>
      </c>
      <c r="EJ29">
        <v>426.50523333333331</v>
      </c>
      <c r="EK29">
        <v>-6.8236756776666671E-2</v>
      </c>
      <c r="EL29">
        <v>416.03163333333328</v>
      </c>
      <c r="EM29">
        <v>24.556889999999999</v>
      </c>
      <c r="EN29">
        <v>2.3921056666666671</v>
      </c>
      <c r="EO29">
        <v>2.398771</v>
      </c>
      <c r="EP29">
        <v>20.310369999999999</v>
      </c>
      <c r="EQ29">
        <v>20.35548</v>
      </c>
      <c r="ER29">
        <v>1.00021E-2</v>
      </c>
      <c r="ES29">
        <v>0</v>
      </c>
      <c r="ET29">
        <v>0</v>
      </c>
      <c r="EU29">
        <v>0</v>
      </c>
      <c r="EV29">
        <v>616.86833333333345</v>
      </c>
      <c r="EW29">
        <v>1.00021E-2</v>
      </c>
      <c r="EX29">
        <v>3473.5716666666672</v>
      </c>
      <c r="EY29">
        <v>3.5333333333333332</v>
      </c>
      <c r="EZ29">
        <v>41.383266666666671</v>
      </c>
      <c r="FA29">
        <v>46.061999999999983</v>
      </c>
      <c r="FB29">
        <v>43.811999999999983</v>
      </c>
      <c r="FC29">
        <v>45.441199999999967</v>
      </c>
      <c r="FD29">
        <v>43.311999999999983</v>
      </c>
      <c r="FE29">
        <v>0</v>
      </c>
      <c r="FF29">
        <v>0</v>
      </c>
      <c r="FG29">
        <v>0</v>
      </c>
      <c r="FH29">
        <v>182.0999999046326</v>
      </c>
      <c r="FI29">
        <v>0</v>
      </c>
      <c r="FJ29">
        <v>617.86176470588248</v>
      </c>
      <c r="FK29">
        <v>10.63725591687658</v>
      </c>
      <c r="FL29">
        <v>400.33087802199083</v>
      </c>
      <c r="FM29">
        <v>3488.820588235295</v>
      </c>
      <c r="FN29">
        <v>10</v>
      </c>
      <c r="FO29">
        <v>1784487503.0999999</v>
      </c>
      <c r="FP29" t="s">
        <v>620</v>
      </c>
      <c r="FQ29">
        <v>1784487503.0999999</v>
      </c>
      <c r="FR29">
        <v>1784487499.5999999</v>
      </c>
      <c r="FS29">
        <v>45</v>
      </c>
      <c r="FT29">
        <v>0.02</v>
      </c>
      <c r="FU29">
        <v>-8.0000000000000002E-3</v>
      </c>
      <c r="FV29">
        <v>-6.8769999999999998</v>
      </c>
      <c r="FW29">
        <v>-0.73499999999999999</v>
      </c>
      <c r="FX29">
        <v>416</v>
      </c>
      <c r="FY29">
        <v>25</v>
      </c>
      <c r="FZ29">
        <v>1.43</v>
      </c>
      <c r="GA29">
        <v>0.85</v>
      </c>
      <c r="GB29">
        <v>420.04948387096772</v>
      </c>
      <c r="GC29">
        <v>-0.35090322580768318</v>
      </c>
      <c r="GD29">
        <v>4.1423751148458338E-2</v>
      </c>
      <c r="GE29">
        <v>-1</v>
      </c>
      <c r="GF29">
        <v>616.39264705882351</v>
      </c>
      <c r="GG29">
        <v>-1.739495635042015</v>
      </c>
      <c r="GH29">
        <v>4.3737037130503209</v>
      </c>
      <c r="GI29">
        <v>1</v>
      </c>
      <c r="GJ29">
        <v>-0.1216823147146342</v>
      </c>
      <c r="GK29">
        <v>0.9835665326236932</v>
      </c>
      <c r="GL29">
        <v>9.7159262093967927E-2</v>
      </c>
      <c r="GM29">
        <v>0</v>
      </c>
      <c r="GN29">
        <v>1</v>
      </c>
      <c r="GO29">
        <v>2</v>
      </c>
      <c r="GP29" t="s">
        <v>411</v>
      </c>
      <c r="GQ29">
        <v>3.13178</v>
      </c>
      <c r="GR29">
        <v>2.7297500000000001</v>
      </c>
      <c r="GS29">
        <v>9.0470599999999998E-2</v>
      </c>
      <c r="GT29">
        <v>8.9452799999999999E-2</v>
      </c>
      <c r="GU29">
        <v>0.114871</v>
      </c>
      <c r="GV29">
        <v>0.11280900000000001</v>
      </c>
      <c r="GW29">
        <v>22632.9</v>
      </c>
      <c r="GX29">
        <v>30384.5</v>
      </c>
      <c r="GY29">
        <v>27014.6</v>
      </c>
      <c r="GZ29">
        <v>34345.4</v>
      </c>
      <c r="HA29">
        <v>35059.300000000003</v>
      </c>
      <c r="HB29">
        <v>38613.5</v>
      </c>
      <c r="HC29">
        <v>39912.6</v>
      </c>
      <c r="HD29">
        <v>43593.2</v>
      </c>
      <c r="HE29">
        <v>1.9206000000000001</v>
      </c>
      <c r="HF29">
        <v>1.663</v>
      </c>
      <c r="HG29">
        <v>-0.113547</v>
      </c>
      <c r="HH29">
        <v>0</v>
      </c>
      <c r="HI29">
        <v>30.5581</v>
      </c>
      <c r="HJ29">
        <v>999.9</v>
      </c>
      <c r="HK29">
        <v>44.2</v>
      </c>
      <c r="HL29">
        <v>44.1</v>
      </c>
      <c r="HM29">
        <v>41.629899999999999</v>
      </c>
      <c r="HN29">
        <v>61.119500000000002</v>
      </c>
      <c r="HO29">
        <v>4.7796500000000002</v>
      </c>
      <c r="HP29">
        <v>1</v>
      </c>
      <c r="HQ29">
        <v>0.95723599999999998</v>
      </c>
      <c r="HR29">
        <v>5.8647499999999999</v>
      </c>
      <c r="HS29">
        <v>20.182600000000001</v>
      </c>
      <c r="HT29">
        <v>5.2100999999999997</v>
      </c>
      <c r="HU29">
        <v>11.914099999999999</v>
      </c>
      <c r="HV29">
        <v>4.9820000000000002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1.86737</v>
      </c>
      <c r="IC29">
        <v>1.8631</v>
      </c>
      <c r="ID29">
        <v>1.86252</v>
      </c>
      <c r="IE29">
        <v>1.8620300000000001</v>
      </c>
      <c r="IF29">
        <v>1.86206</v>
      </c>
      <c r="IG29">
        <v>1.8626400000000001</v>
      </c>
      <c r="IH29">
        <v>1.8635600000000001</v>
      </c>
      <c r="II29">
        <v>1.86151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-6.8769999999999998</v>
      </c>
      <c r="IX29">
        <v>-0.73499999999999999</v>
      </c>
      <c r="IY29">
        <v>-4.9203302838233327</v>
      </c>
      <c r="IZ29">
        <v>-5.6215304933332991E-3</v>
      </c>
      <c r="JA29">
        <v>2.3979931213773931E-6</v>
      </c>
      <c r="JB29">
        <v>-3.6297174575716598E-10</v>
      </c>
      <c r="JC29">
        <v>-1.155470399605397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4.9000000000000004</v>
      </c>
      <c r="JL29">
        <v>5</v>
      </c>
      <c r="JM29">
        <v>1.09131</v>
      </c>
      <c r="JN29">
        <v>2.5634800000000002</v>
      </c>
      <c r="JO29">
        <v>1.50024</v>
      </c>
      <c r="JP29">
        <v>2.2680699999999998</v>
      </c>
      <c r="JQ29">
        <v>1.4477500000000001</v>
      </c>
      <c r="JR29">
        <v>2.4597199999999999</v>
      </c>
      <c r="JS29">
        <v>46.974400000000003</v>
      </c>
      <c r="JT29">
        <v>15.603</v>
      </c>
      <c r="JU29">
        <v>18</v>
      </c>
      <c r="JV29">
        <v>548.93799999999999</v>
      </c>
      <c r="JW29">
        <v>392.86200000000002</v>
      </c>
      <c r="JX29">
        <v>24.383800000000001</v>
      </c>
      <c r="JY29">
        <v>38.542099999999998</v>
      </c>
      <c r="JZ29">
        <v>29.999099999999999</v>
      </c>
      <c r="KA29">
        <v>38.799999999999997</v>
      </c>
      <c r="KB29">
        <v>38.584200000000003</v>
      </c>
      <c r="KC29">
        <v>21.825500000000002</v>
      </c>
      <c r="KD29">
        <v>45.682400000000001</v>
      </c>
      <c r="KE29">
        <v>0</v>
      </c>
      <c r="KF29">
        <v>24.385000000000002</v>
      </c>
      <c r="KG29">
        <v>416.12900000000002</v>
      </c>
      <c r="KH29">
        <v>24.514800000000001</v>
      </c>
      <c r="KI29">
        <v>99.731700000000004</v>
      </c>
      <c r="KJ29">
        <v>98.063500000000005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2FB3-BB05-4A82-9BAF-D9981399E996}">
  <dimension ref="A1:KJ32"/>
  <sheetViews>
    <sheetView topLeftCell="A5" workbookViewId="0">
      <selection activeCell="E32" sqref="E32"/>
    </sheetView>
  </sheetViews>
  <sheetFormatPr defaultRowHeight="14.4" x14ac:dyDescent="0.3"/>
  <sheetData>
    <row r="1" spans="1:296" x14ac:dyDescent="0.3">
      <c r="A1" t="s">
        <v>0</v>
      </c>
      <c r="B1" t="s">
        <v>1</v>
      </c>
      <c r="C1" t="s">
        <v>2</v>
      </c>
    </row>
    <row r="2" spans="1:296" x14ac:dyDescent="0.3">
      <c r="B2" t="s">
        <v>3</v>
      </c>
      <c r="C2" t="s">
        <v>4</v>
      </c>
    </row>
    <row r="3" spans="1:296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296" x14ac:dyDescent="0.3">
      <c r="B4" t="s">
        <v>16</v>
      </c>
      <c r="C4" t="s">
        <v>17</v>
      </c>
      <c r="D4">
        <v>0.57799999999999996</v>
      </c>
      <c r="E4">
        <v>0.52297389999999999</v>
      </c>
      <c r="F4">
        <v>3.7402519999999999E-3</v>
      </c>
      <c r="G4">
        <v>-6.1979609999999997E-2</v>
      </c>
      <c r="H4">
        <v>-5.6085859999999996E-3</v>
      </c>
      <c r="I4">
        <v>1</v>
      </c>
      <c r="J4">
        <v>6</v>
      </c>
      <c r="K4">
        <v>96.9</v>
      </c>
    </row>
    <row r="5" spans="1:29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296" x14ac:dyDescent="0.3">
      <c r="B6">
        <v>0</v>
      </c>
      <c r="C6">
        <v>1</v>
      </c>
      <c r="D6">
        <v>0</v>
      </c>
      <c r="E6">
        <v>0</v>
      </c>
    </row>
    <row r="7" spans="1:296" x14ac:dyDescent="0.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</row>
    <row r="8" spans="1:296" x14ac:dyDescent="0.3">
      <c r="B8" t="s">
        <v>40</v>
      </c>
      <c r="C8" t="s">
        <v>41</v>
      </c>
      <c r="D8">
        <v>0.8</v>
      </c>
      <c r="E8">
        <v>0.84</v>
      </c>
      <c r="F8">
        <v>0.7</v>
      </c>
      <c r="G8">
        <v>0.87</v>
      </c>
      <c r="H8">
        <v>0.75</v>
      </c>
      <c r="I8">
        <v>0.84</v>
      </c>
      <c r="J8">
        <v>0.87</v>
      </c>
      <c r="K8">
        <v>0.19109999999999999</v>
      </c>
      <c r="L8">
        <v>0.1512</v>
      </c>
      <c r="M8">
        <v>0.161</v>
      </c>
      <c r="N8">
        <v>0.22620000000000001</v>
      </c>
      <c r="O8">
        <v>0.1575</v>
      </c>
      <c r="P8">
        <v>0.15959999999999999</v>
      </c>
      <c r="Q8">
        <v>0.2175</v>
      </c>
    </row>
    <row r="9" spans="1:29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</row>
    <row r="10" spans="1:296" x14ac:dyDescent="0.3">
      <c r="B10">
        <v>0</v>
      </c>
      <c r="C10">
        <v>0</v>
      </c>
      <c r="D10">
        <v>0</v>
      </c>
      <c r="E10">
        <v>0</v>
      </c>
      <c r="F10">
        <v>1</v>
      </c>
    </row>
    <row r="11" spans="1:296" x14ac:dyDescent="0.3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</row>
    <row r="12" spans="1:296" x14ac:dyDescent="0.3">
      <c r="B12">
        <v>-6276</v>
      </c>
      <c r="C12">
        <v>6.6</v>
      </c>
      <c r="D12">
        <v>1.7090000000000001E-5</v>
      </c>
      <c r="E12">
        <v>3.11</v>
      </c>
      <c r="F12" t="s">
        <v>56</v>
      </c>
      <c r="G12" t="s">
        <v>57</v>
      </c>
      <c r="H12">
        <v>0</v>
      </c>
    </row>
    <row r="13" spans="1:296" x14ac:dyDescent="0.3">
      <c r="A13" t="s">
        <v>58</v>
      </c>
      <c r="B13" t="s">
        <v>58</v>
      </c>
      <c r="C13" t="s">
        <v>58</v>
      </c>
      <c r="D13" t="s">
        <v>58</v>
      </c>
      <c r="E13" t="s">
        <v>58</v>
      </c>
      <c r="F13" t="s">
        <v>58</v>
      </c>
      <c r="G13" t="s">
        <v>59</v>
      </c>
      <c r="H13" t="s">
        <v>60</v>
      </c>
      <c r="I13" t="s">
        <v>60</v>
      </c>
      <c r="J13" t="s">
        <v>60</v>
      </c>
      <c r="K13" t="s">
        <v>60</v>
      </c>
      <c r="L13" t="s">
        <v>60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61</v>
      </c>
      <c r="AI13" t="s">
        <v>61</v>
      </c>
      <c r="AJ13" t="s">
        <v>61</v>
      </c>
      <c r="AK13" t="s">
        <v>61</v>
      </c>
      <c r="AL13" t="s">
        <v>61</v>
      </c>
      <c r="AM13" t="s">
        <v>61</v>
      </c>
      <c r="AN13" t="s">
        <v>61</v>
      </c>
      <c r="AO13" t="s">
        <v>61</v>
      </c>
      <c r="AP13" t="s">
        <v>61</v>
      </c>
      <c r="AQ13" t="s">
        <v>61</v>
      </c>
      <c r="AR13" t="s">
        <v>62</v>
      </c>
      <c r="AS13" t="s">
        <v>62</v>
      </c>
      <c r="AT13" t="s">
        <v>62</v>
      </c>
      <c r="AU13" t="s">
        <v>62</v>
      </c>
      <c r="AV13" t="s">
        <v>62</v>
      </c>
      <c r="AW13" t="s">
        <v>63</v>
      </c>
      <c r="AX13" t="s">
        <v>63</v>
      </c>
      <c r="AY13" t="s">
        <v>63</v>
      </c>
      <c r="AZ13" t="s">
        <v>63</v>
      </c>
      <c r="BA13" t="s">
        <v>63</v>
      </c>
      <c r="BB13" t="s">
        <v>63</v>
      </c>
      <c r="BC13" t="s">
        <v>63</v>
      </c>
      <c r="BD13" t="s">
        <v>63</v>
      </c>
      <c r="BE13" t="s">
        <v>63</v>
      </c>
      <c r="BF13" t="s">
        <v>63</v>
      </c>
      <c r="BG13" t="s">
        <v>63</v>
      </c>
      <c r="BH13" t="s">
        <v>63</v>
      </c>
      <c r="BI13" t="s">
        <v>63</v>
      </c>
      <c r="BJ13" t="s">
        <v>63</v>
      </c>
      <c r="BK13" t="s">
        <v>63</v>
      </c>
      <c r="BL13" t="s">
        <v>63</v>
      </c>
      <c r="BM13" t="s">
        <v>63</v>
      </c>
      <c r="BN13" t="s">
        <v>63</v>
      </c>
      <c r="BO13" t="s">
        <v>63</v>
      </c>
      <c r="BP13" t="s">
        <v>63</v>
      </c>
      <c r="BQ13" t="s">
        <v>63</v>
      </c>
      <c r="BR13" t="s">
        <v>63</v>
      </c>
      <c r="BS13" t="s">
        <v>63</v>
      </c>
      <c r="BT13" t="s">
        <v>63</v>
      </c>
      <c r="BU13" t="s">
        <v>63</v>
      </c>
      <c r="BV13" t="s">
        <v>63</v>
      </c>
      <c r="BW13" t="s">
        <v>63</v>
      </c>
      <c r="BX13" t="s">
        <v>63</v>
      </c>
      <c r="BY13" t="s">
        <v>64</v>
      </c>
      <c r="BZ13" t="s">
        <v>64</v>
      </c>
      <c r="CA13" t="s">
        <v>64</v>
      </c>
      <c r="CB13" t="s">
        <v>64</v>
      </c>
      <c r="CC13" t="s">
        <v>64</v>
      </c>
      <c r="CD13" t="s">
        <v>64</v>
      </c>
      <c r="CE13" t="s">
        <v>64</v>
      </c>
      <c r="CF13" t="s">
        <v>64</v>
      </c>
      <c r="CG13" t="s">
        <v>64</v>
      </c>
      <c r="CH13" t="s">
        <v>64</v>
      </c>
      <c r="CI13" t="s">
        <v>64</v>
      </c>
      <c r="CJ13" t="s">
        <v>64</v>
      </c>
      <c r="CK13" t="s">
        <v>64</v>
      </c>
      <c r="CL13" t="s">
        <v>64</v>
      </c>
      <c r="CM13" t="s">
        <v>64</v>
      </c>
      <c r="CN13" t="s">
        <v>64</v>
      </c>
      <c r="CO13" t="s">
        <v>64</v>
      </c>
      <c r="CP13" t="s">
        <v>64</v>
      </c>
      <c r="CQ13" t="s">
        <v>64</v>
      </c>
      <c r="CR13" t="s">
        <v>64</v>
      </c>
      <c r="CS13" t="s">
        <v>64</v>
      </c>
      <c r="CT13" t="s">
        <v>65</v>
      </c>
      <c r="CU13" t="s">
        <v>65</v>
      </c>
      <c r="CV13" t="s">
        <v>65</v>
      </c>
      <c r="CW13" t="s">
        <v>65</v>
      </c>
      <c r="CX13" t="s">
        <v>65</v>
      </c>
      <c r="CY13" t="s">
        <v>65</v>
      </c>
      <c r="CZ13" t="s">
        <v>65</v>
      </c>
      <c r="DA13" t="s">
        <v>65</v>
      </c>
      <c r="DB13" t="s">
        <v>65</v>
      </c>
      <c r="DC13" t="s">
        <v>65</v>
      </c>
      <c r="DD13" t="s">
        <v>65</v>
      </c>
      <c r="DE13" t="s">
        <v>65</v>
      </c>
      <c r="DF13" t="s">
        <v>65</v>
      </c>
      <c r="DG13" t="s">
        <v>66</v>
      </c>
      <c r="DH13" t="s">
        <v>66</v>
      </c>
      <c r="DI13" t="s">
        <v>66</v>
      </c>
      <c r="DJ13" t="s">
        <v>66</v>
      </c>
      <c r="DK13" t="s">
        <v>67</v>
      </c>
      <c r="DL13" t="s">
        <v>67</v>
      </c>
      <c r="DM13" t="s">
        <v>67</v>
      </c>
      <c r="DN13" t="s">
        <v>67</v>
      </c>
      <c r="DO13" t="s">
        <v>67</v>
      </c>
      <c r="DP13" t="s">
        <v>68</v>
      </c>
      <c r="DQ13" t="s">
        <v>68</v>
      </c>
      <c r="DR13" t="s">
        <v>68</v>
      </c>
      <c r="DS13" t="s">
        <v>68</v>
      </c>
      <c r="DT13" t="s">
        <v>68</v>
      </c>
      <c r="DU13" t="s">
        <v>68</v>
      </c>
      <c r="DV13" t="s">
        <v>68</v>
      </c>
      <c r="DW13" t="s">
        <v>68</v>
      </c>
      <c r="DX13" t="s">
        <v>68</v>
      </c>
      <c r="DY13" t="s">
        <v>68</v>
      </c>
      <c r="DZ13" t="s">
        <v>68</v>
      </c>
      <c r="EA13" t="s">
        <v>68</v>
      </c>
      <c r="EB13" t="s">
        <v>68</v>
      </c>
      <c r="EC13" t="s">
        <v>68</v>
      </c>
      <c r="ED13" t="s">
        <v>68</v>
      </c>
      <c r="EE13" t="s">
        <v>68</v>
      </c>
      <c r="EF13" t="s">
        <v>68</v>
      </c>
      <c r="EG13" t="s">
        <v>68</v>
      </c>
      <c r="EH13" t="s">
        <v>69</v>
      </c>
      <c r="EI13" t="s">
        <v>69</v>
      </c>
      <c r="EJ13" t="s">
        <v>69</v>
      </c>
      <c r="EK13" t="s">
        <v>69</v>
      </c>
      <c r="EL13" t="s">
        <v>69</v>
      </c>
      <c r="EM13" t="s">
        <v>69</v>
      </c>
      <c r="EN13" t="s">
        <v>69</v>
      </c>
      <c r="EO13" t="s">
        <v>69</v>
      </c>
      <c r="EP13" t="s">
        <v>69</v>
      </c>
      <c r="EQ13" t="s">
        <v>69</v>
      </c>
      <c r="ER13" t="s">
        <v>70</v>
      </c>
      <c r="ES13" t="s">
        <v>70</v>
      </c>
      <c r="ET13" t="s">
        <v>70</v>
      </c>
      <c r="EU13" t="s">
        <v>70</v>
      </c>
      <c r="EV13" t="s">
        <v>70</v>
      </c>
      <c r="EW13" t="s">
        <v>70</v>
      </c>
      <c r="EX13" t="s">
        <v>70</v>
      </c>
      <c r="EY13" t="s">
        <v>70</v>
      </c>
      <c r="EZ13" t="s">
        <v>70</v>
      </c>
      <c r="FA13" t="s">
        <v>70</v>
      </c>
      <c r="FB13" t="s">
        <v>70</v>
      </c>
      <c r="FC13" t="s">
        <v>70</v>
      </c>
      <c r="FD13" t="s">
        <v>70</v>
      </c>
      <c r="FE13" t="s">
        <v>70</v>
      </c>
      <c r="FF13" t="s">
        <v>70</v>
      </c>
      <c r="FG13" t="s">
        <v>70</v>
      </c>
      <c r="FH13" t="s">
        <v>70</v>
      </c>
      <c r="FI13" t="s">
        <v>70</v>
      </c>
      <c r="FJ13" t="s">
        <v>71</v>
      </c>
      <c r="FK13" t="s">
        <v>71</v>
      </c>
      <c r="FL13" t="s">
        <v>71</v>
      </c>
      <c r="FM13" t="s">
        <v>71</v>
      </c>
      <c r="FN13" t="s">
        <v>71</v>
      </c>
      <c r="FO13" t="s">
        <v>72</v>
      </c>
      <c r="FP13" t="s">
        <v>72</v>
      </c>
      <c r="FQ13" t="s">
        <v>72</v>
      </c>
      <c r="FR13" t="s">
        <v>72</v>
      </c>
      <c r="FS13" t="s">
        <v>72</v>
      </c>
      <c r="FT13" t="s">
        <v>72</v>
      </c>
      <c r="FU13" t="s">
        <v>72</v>
      </c>
      <c r="FV13" t="s">
        <v>72</v>
      </c>
      <c r="FW13" t="s">
        <v>72</v>
      </c>
      <c r="FX13" t="s">
        <v>72</v>
      </c>
      <c r="FY13" t="s">
        <v>72</v>
      </c>
      <c r="FZ13" t="s">
        <v>72</v>
      </c>
      <c r="GA13" t="s">
        <v>72</v>
      </c>
      <c r="GB13" t="s">
        <v>73</v>
      </c>
      <c r="GC13" t="s">
        <v>73</v>
      </c>
      <c r="GD13" t="s">
        <v>73</v>
      </c>
      <c r="GE13" t="s">
        <v>73</v>
      </c>
      <c r="GF13" t="s">
        <v>73</v>
      </c>
      <c r="GG13" t="s">
        <v>73</v>
      </c>
      <c r="GH13" t="s">
        <v>73</v>
      </c>
      <c r="GI13" t="s">
        <v>73</v>
      </c>
      <c r="GJ13" t="s">
        <v>73</v>
      </c>
      <c r="GK13" t="s">
        <v>73</v>
      </c>
      <c r="GL13" t="s">
        <v>73</v>
      </c>
      <c r="GM13" t="s">
        <v>73</v>
      </c>
      <c r="GN13" t="s">
        <v>73</v>
      </c>
      <c r="GO13" t="s">
        <v>73</v>
      </c>
      <c r="GP13" t="s">
        <v>73</v>
      </c>
      <c r="GQ13" t="s">
        <v>74</v>
      </c>
      <c r="GR13" t="s">
        <v>74</v>
      </c>
      <c r="GS13" t="s">
        <v>74</v>
      </c>
      <c r="GT13" t="s">
        <v>74</v>
      </c>
      <c r="GU13" t="s">
        <v>74</v>
      </c>
      <c r="GV13" t="s">
        <v>74</v>
      </c>
      <c r="GW13" t="s">
        <v>74</v>
      </c>
      <c r="GX13" t="s">
        <v>74</v>
      </c>
      <c r="GY13" t="s">
        <v>74</v>
      </c>
      <c r="GZ13" t="s">
        <v>74</v>
      </c>
      <c r="HA13" t="s">
        <v>74</v>
      </c>
      <c r="HB13" t="s">
        <v>74</v>
      </c>
      <c r="HC13" t="s">
        <v>74</v>
      </c>
      <c r="HD13" t="s">
        <v>74</v>
      </c>
      <c r="HE13" t="s">
        <v>74</v>
      </c>
      <c r="HF13" t="s">
        <v>74</v>
      </c>
      <c r="HG13" t="s">
        <v>74</v>
      </c>
      <c r="HH13" t="s">
        <v>74</v>
      </c>
      <c r="HI13" t="s">
        <v>75</v>
      </c>
      <c r="HJ13" t="s">
        <v>75</v>
      </c>
      <c r="HK13" t="s">
        <v>75</v>
      </c>
      <c r="HL13" t="s">
        <v>75</v>
      </c>
      <c r="HM13" t="s">
        <v>75</v>
      </c>
      <c r="HN13" t="s">
        <v>75</v>
      </c>
      <c r="HO13" t="s">
        <v>75</v>
      </c>
      <c r="HP13" t="s">
        <v>75</v>
      </c>
      <c r="HQ13" t="s">
        <v>75</v>
      </c>
      <c r="HR13" t="s">
        <v>75</v>
      </c>
      <c r="HS13" t="s">
        <v>75</v>
      </c>
      <c r="HT13" t="s">
        <v>75</v>
      </c>
      <c r="HU13" t="s">
        <v>75</v>
      </c>
      <c r="HV13" t="s">
        <v>75</v>
      </c>
      <c r="HW13" t="s">
        <v>75</v>
      </c>
      <c r="HX13" t="s">
        <v>75</v>
      </c>
      <c r="HY13" t="s">
        <v>75</v>
      </c>
      <c r="HZ13" t="s">
        <v>75</v>
      </c>
      <c r="IA13" t="s">
        <v>75</v>
      </c>
      <c r="IB13" t="s">
        <v>76</v>
      </c>
      <c r="IC13" t="s">
        <v>76</v>
      </c>
      <c r="ID13" t="s">
        <v>76</v>
      </c>
      <c r="IE13" t="s">
        <v>76</v>
      </c>
      <c r="IF13" t="s">
        <v>76</v>
      </c>
      <c r="IG13" t="s">
        <v>76</v>
      </c>
      <c r="IH13" t="s">
        <v>76</v>
      </c>
      <c r="II13" t="s">
        <v>76</v>
      </c>
      <c r="IJ13" t="s">
        <v>76</v>
      </c>
      <c r="IK13" t="s">
        <v>76</v>
      </c>
      <c r="IL13" t="s">
        <v>76</v>
      </c>
      <c r="IM13" t="s">
        <v>76</v>
      </c>
      <c r="IN13" t="s">
        <v>76</v>
      </c>
      <c r="IO13" t="s">
        <v>76</v>
      </c>
      <c r="IP13" t="s">
        <v>76</v>
      </c>
      <c r="IQ13" t="s">
        <v>76</v>
      </c>
      <c r="IR13" t="s">
        <v>76</v>
      </c>
      <c r="IS13" t="s">
        <v>76</v>
      </c>
      <c r="IT13" t="s">
        <v>76</v>
      </c>
      <c r="IU13" t="s">
        <v>77</v>
      </c>
      <c r="IV13" t="s">
        <v>77</v>
      </c>
      <c r="IW13" t="s">
        <v>77</v>
      </c>
      <c r="IX13" t="s">
        <v>77</v>
      </c>
      <c r="IY13" t="s">
        <v>77</v>
      </c>
      <c r="IZ13" t="s">
        <v>77</v>
      </c>
      <c r="JA13" t="s">
        <v>77</v>
      </c>
      <c r="JB13" t="s">
        <v>77</v>
      </c>
      <c r="JC13" t="s">
        <v>77</v>
      </c>
      <c r="JD13" t="s">
        <v>77</v>
      </c>
      <c r="JE13" t="s">
        <v>77</v>
      </c>
      <c r="JF13" t="s">
        <v>77</v>
      </c>
      <c r="JG13" t="s">
        <v>77</v>
      </c>
      <c r="JH13" t="s">
        <v>77</v>
      </c>
      <c r="JI13" t="s">
        <v>77</v>
      </c>
      <c r="JJ13" t="s">
        <v>77</v>
      </c>
      <c r="JK13" t="s">
        <v>77</v>
      </c>
      <c r="JL13" t="s">
        <v>77</v>
      </c>
      <c r="JM13" t="s">
        <v>78</v>
      </c>
      <c r="JN13" t="s">
        <v>78</v>
      </c>
      <c r="JO13" t="s">
        <v>78</v>
      </c>
      <c r="JP13" t="s">
        <v>78</v>
      </c>
      <c r="JQ13" t="s">
        <v>78</v>
      </c>
      <c r="JR13" t="s">
        <v>78</v>
      </c>
      <c r="JS13" t="s">
        <v>78</v>
      </c>
      <c r="JT13" t="s">
        <v>78</v>
      </c>
      <c r="JU13" t="s">
        <v>79</v>
      </c>
      <c r="JV13" t="s">
        <v>79</v>
      </c>
      <c r="JW13" t="s">
        <v>79</v>
      </c>
      <c r="JX13" t="s">
        <v>79</v>
      </c>
      <c r="JY13" t="s">
        <v>79</v>
      </c>
      <c r="JZ13" t="s">
        <v>79</v>
      </c>
      <c r="KA13" t="s">
        <v>79</v>
      </c>
      <c r="KB13" t="s">
        <v>79</v>
      </c>
      <c r="KC13" t="s">
        <v>79</v>
      </c>
      <c r="KD13" t="s">
        <v>79</v>
      </c>
      <c r="KE13" t="s">
        <v>79</v>
      </c>
      <c r="KF13" t="s">
        <v>79</v>
      </c>
      <c r="KG13" t="s">
        <v>79</v>
      </c>
      <c r="KH13" t="s">
        <v>79</v>
      </c>
      <c r="KI13" t="s">
        <v>79</v>
      </c>
      <c r="KJ13" t="s">
        <v>79</v>
      </c>
    </row>
    <row r="14" spans="1:296" x14ac:dyDescent="0.3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O14" t="s">
        <v>94</v>
      </c>
      <c r="P14" t="s">
        <v>95</v>
      </c>
      <c r="Q14" t="s">
        <v>96</v>
      </c>
      <c r="R14" t="s">
        <v>97</v>
      </c>
      <c r="S14" t="s">
        <v>98</v>
      </c>
      <c r="T14" t="s">
        <v>99</v>
      </c>
      <c r="U14" t="s">
        <v>100</v>
      </c>
      <c r="V14" t="s">
        <v>101</v>
      </c>
      <c r="W14" t="s">
        <v>102</v>
      </c>
      <c r="X14" t="s">
        <v>103</v>
      </c>
      <c r="Y14" t="s">
        <v>104</v>
      </c>
      <c r="Z14" t="s">
        <v>105</v>
      </c>
      <c r="AA14" t="s">
        <v>106</v>
      </c>
      <c r="AB14" t="s">
        <v>107</v>
      </c>
      <c r="AC14" t="s">
        <v>108</v>
      </c>
      <c r="AD14" t="s">
        <v>109</v>
      </c>
      <c r="AE14" t="s">
        <v>110</v>
      </c>
      <c r="AF14" t="s">
        <v>111</v>
      </c>
      <c r="AG14" t="s">
        <v>112</v>
      </c>
      <c r="AH14" t="s">
        <v>113</v>
      </c>
      <c r="AI14" t="s">
        <v>114</v>
      </c>
      <c r="AJ14" t="s">
        <v>115</v>
      </c>
      <c r="AK14" t="s">
        <v>116</v>
      </c>
      <c r="AL14" t="s">
        <v>117</v>
      </c>
      <c r="AM14" t="s">
        <v>118</v>
      </c>
      <c r="AN14" t="s">
        <v>119</v>
      </c>
      <c r="AO14" t="s">
        <v>120</v>
      </c>
      <c r="AP14" t="s">
        <v>121</v>
      </c>
      <c r="AQ14" t="s">
        <v>122</v>
      </c>
      <c r="AR14" t="s">
        <v>62</v>
      </c>
      <c r="AS14" t="s">
        <v>123</v>
      </c>
      <c r="AT14" t="s">
        <v>124</v>
      </c>
      <c r="AU14" t="s">
        <v>125</v>
      </c>
      <c r="AV14" t="s">
        <v>126</v>
      </c>
      <c r="AW14" t="s">
        <v>127</v>
      </c>
      <c r="AX14" t="s">
        <v>128</v>
      </c>
      <c r="AY14" t="s">
        <v>129</v>
      </c>
      <c r="AZ14" t="s">
        <v>130</v>
      </c>
      <c r="BA14" t="s">
        <v>131</v>
      </c>
      <c r="BB14" t="s">
        <v>132</v>
      </c>
      <c r="BC14" t="s">
        <v>133</v>
      </c>
      <c r="BD14" t="s">
        <v>134</v>
      </c>
      <c r="BE14" t="s">
        <v>135</v>
      </c>
      <c r="BF14" t="s">
        <v>136</v>
      </c>
      <c r="BG14" t="s">
        <v>137</v>
      </c>
      <c r="BH14" t="s">
        <v>138</v>
      </c>
      <c r="BI14" t="s">
        <v>139</v>
      </c>
      <c r="BJ14" t="s">
        <v>140</v>
      </c>
      <c r="BK14" t="s">
        <v>141</v>
      </c>
      <c r="BL14" t="s">
        <v>142</v>
      </c>
      <c r="BM14" t="s">
        <v>143</v>
      </c>
      <c r="BN14" t="s">
        <v>144</v>
      </c>
      <c r="BO14" t="s">
        <v>145</v>
      </c>
      <c r="BP14" t="s">
        <v>146</v>
      </c>
      <c r="BQ14" t="s">
        <v>147</v>
      </c>
      <c r="BR14" t="s">
        <v>148</v>
      </c>
      <c r="BS14" t="s">
        <v>149</v>
      </c>
      <c r="BT14" t="s">
        <v>150</v>
      </c>
      <c r="BU14" t="s">
        <v>151</v>
      </c>
      <c r="BV14" t="s">
        <v>152</v>
      </c>
      <c r="BW14" t="s">
        <v>153</v>
      </c>
      <c r="BX14" t="s">
        <v>154</v>
      </c>
      <c r="BY14" t="s">
        <v>155</v>
      </c>
      <c r="BZ14" t="s">
        <v>156</v>
      </c>
      <c r="CA14" t="s">
        <v>157</v>
      </c>
      <c r="CB14" t="s">
        <v>158</v>
      </c>
      <c r="CC14" t="s">
        <v>159</v>
      </c>
      <c r="CD14" t="s">
        <v>160</v>
      </c>
      <c r="CE14" t="s">
        <v>161</v>
      </c>
      <c r="CF14" t="s">
        <v>162</v>
      </c>
      <c r="CG14" t="s">
        <v>163</v>
      </c>
      <c r="CH14" t="s">
        <v>164</v>
      </c>
      <c r="CI14" t="s">
        <v>165</v>
      </c>
      <c r="CJ14" t="s">
        <v>166</v>
      </c>
      <c r="CK14" t="s">
        <v>167</v>
      </c>
      <c r="CL14" t="s">
        <v>168</v>
      </c>
      <c r="CM14" t="s">
        <v>169</v>
      </c>
      <c r="CN14" t="s">
        <v>170</v>
      </c>
      <c r="CO14" t="s">
        <v>171</v>
      </c>
      <c r="CP14" t="s">
        <v>172</v>
      </c>
      <c r="CQ14" t="s">
        <v>173</v>
      </c>
      <c r="CR14" t="s">
        <v>174</v>
      </c>
      <c r="CS14" t="s">
        <v>175</v>
      </c>
      <c r="CT14" t="s">
        <v>155</v>
      </c>
      <c r="CU14" t="s">
        <v>176</v>
      </c>
      <c r="CV14" t="s">
        <v>177</v>
      </c>
      <c r="CW14" t="s">
        <v>178</v>
      </c>
      <c r="CX14" t="s">
        <v>129</v>
      </c>
      <c r="CY14" t="s">
        <v>179</v>
      </c>
      <c r="CZ14" t="s">
        <v>180</v>
      </c>
      <c r="DA14" t="s">
        <v>181</v>
      </c>
      <c r="DB14" t="s">
        <v>182</v>
      </c>
      <c r="DC14" t="s">
        <v>183</v>
      </c>
      <c r="DD14" t="s">
        <v>184</v>
      </c>
      <c r="DE14" t="s">
        <v>185</v>
      </c>
      <c r="DF14" t="s">
        <v>186</v>
      </c>
      <c r="DG14" t="s">
        <v>187</v>
      </c>
      <c r="DH14" t="s">
        <v>188</v>
      </c>
      <c r="DI14" t="s">
        <v>189</v>
      </c>
      <c r="DJ14" t="s">
        <v>190</v>
      </c>
      <c r="DK14" t="s">
        <v>191</v>
      </c>
      <c r="DL14" t="s">
        <v>192</v>
      </c>
      <c r="DM14" t="s">
        <v>193</v>
      </c>
      <c r="DN14" t="s">
        <v>194</v>
      </c>
      <c r="DO14" t="s">
        <v>195</v>
      </c>
      <c r="DP14" t="s">
        <v>87</v>
      </c>
      <c r="DQ14" t="s">
        <v>196</v>
      </c>
      <c r="DR14" t="s">
        <v>197</v>
      </c>
      <c r="DS14" t="s">
        <v>198</v>
      </c>
      <c r="DT14" t="s">
        <v>199</v>
      </c>
      <c r="DU14" t="s">
        <v>200</v>
      </c>
      <c r="DV14" t="s">
        <v>201</v>
      </c>
      <c r="DW14" t="s">
        <v>202</v>
      </c>
      <c r="DX14" t="s">
        <v>203</v>
      </c>
      <c r="DY14" t="s">
        <v>204</v>
      </c>
      <c r="DZ14" t="s">
        <v>205</v>
      </c>
      <c r="EA14" t="s">
        <v>206</v>
      </c>
      <c r="EB14" t="s">
        <v>207</v>
      </c>
      <c r="EC14" t="s">
        <v>208</v>
      </c>
      <c r="ED14" t="s">
        <v>209</v>
      </c>
      <c r="EE14" t="s">
        <v>210</v>
      </c>
      <c r="EF14" t="s">
        <v>211</v>
      </c>
      <c r="EG14" t="s">
        <v>212</v>
      </c>
      <c r="EH14" t="s">
        <v>213</v>
      </c>
      <c r="EI14" t="s">
        <v>214</v>
      </c>
      <c r="EJ14" t="s">
        <v>215</v>
      </c>
      <c r="EK14" t="s">
        <v>216</v>
      </c>
      <c r="EL14" t="s">
        <v>217</v>
      </c>
      <c r="EM14" t="s">
        <v>218</v>
      </c>
      <c r="EN14" t="s">
        <v>219</v>
      </c>
      <c r="EO14" t="s">
        <v>220</v>
      </c>
      <c r="EP14" t="s">
        <v>221</v>
      </c>
      <c r="EQ14" t="s">
        <v>222</v>
      </c>
      <c r="ER14" t="s">
        <v>223</v>
      </c>
      <c r="ES14" t="s">
        <v>224</v>
      </c>
      <c r="ET14" t="s">
        <v>225</v>
      </c>
      <c r="EU14" t="s">
        <v>226</v>
      </c>
      <c r="EV14" t="s">
        <v>227</v>
      </c>
      <c r="EW14" t="s">
        <v>228</v>
      </c>
      <c r="EX14" t="s">
        <v>229</v>
      </c>
      <c r="EY14" t="s">
        <v>230</v>
      </c>
      <c r="EZ14" t="s">
        <v>231</v>
      </c>
      <c r="FA14" t="s">
        <v>232</v>
      </c>
      <c r="FB14" t="s">
        <v>233</v>
      </c>
      <c r="FC14" t="s">
        <v>234</v>
      </c>
      <c r="FD14" t="s">
        <v>235</v>
      </c>
      <c r="FE14" t="s">
        <v>236</v>
      </c>
      <c r="FF14" t="s">
        <v>237</v>
      </c>
      <c r="FG14" t="s">
        <v>238</v>
      </c>
      <c r="FH14" t="s">
        <v>239</v>
      </c>
      <c r="FI14" t="s">
        <v>240</v>
      </c>
      <c r="FJ14" t="s">
        <v>241</v>
      </c>
      <c r="FK14" t="s">
        <v>242</v>
      </c>
      <c r="FL14" t="s">
        <v>243</v>
      </c>
      <c r="FM14" t="s">
        <v>244</v>
      </c>
      <c r="FN14" t="s">
        <v>245</v>
      </c>
      <c r="FO14" t="s">
        <v>81</v>
      </c>
      <c r="FP14" t="s">
        <v>84</v>
      </c>
      <c r="FQ14" t="s">
        <v>246</v>
      </c>
      <c r="FR14" t="s">
        <v>247</v>
      </c>
      <c r="FS14" t="s">
        <v>248</v>
      </c>
      <c r="FT14" t="s">
        <v>249</v>
      </c>
      <c r="FU14" t="s">
        <v>250</v>
      </c>
      <c r="FV14" t="s">
        <v>251</v>
      </c>
      <c r="FW14" t="s">
        <v>252</v>
      </c>
      <c r="FX14" t="s">
        <v>253</v>
      </c>
      <c r="FY14" t="s">
        <v>254</v>
      </c>
      <c r="FZ14" t="s">
        <v>255</v>
      </c>
      <c r="GA14" t="s">
        <v>256</v>
      </c>
      <c r="GB14" t="s">
        <v>257</v>
      </c>
      <c r="GC14" t="s">
        <v>258</v>
      </c>
      <c r="GD14" t="s">
        <v>259</v>
      </c>
      <c r="GE14" t="s">
        <v>260</v>
      </c>
      <c r="GF14" t="s">
        <v>261</v>
      </c>
      <c r="GG14" t="s">
        <v>262</v>
      </c>
      <c r="GH14" t="s">
        <v>263</v>
      </c>
      <c r="GI14" t="s">
        <v>264</v>
      </c>
      <c r="GJ14" t="s">
        <v>265</v>
      </c>
      <c r="GK14" t="s">
        <v>266</v>
      </c>
      <c r="GL14" t="s">
        <v>267</v>
      </c>
      <c r="GM14" t="s">
        <v>268</v>
      </c>
      <c r="GN14" t="s">
        <v>269</v>
      </c>
      <c r="GO14" t="s">
        <v>270</v>
      </c>
      <c r="GP14" t="s">
        <v>271</v>
      </c>
      <c r="GQ14" t="s">
        <v>272</v>
      </c>
      <c r="GR14" t="s">
        <v>273</v>
      </c>
      <c r="GS14" t="s">
        <v>274</v>
      </c>
      <c r="GT14" t="s">
        <v>275</v>
      </c>
      <c r="GU14" t="s">
        <v>276</v>
      </c>
      <c r="GV14" t="s">
        <v>277</v>
      </c>
      <c r="GW14" t="s">
        <v>278</v>
      </c>
      <c r="GX14" t="s">
        <v>279</v>
      </c>
      <c r="GY14" t="s">
        <v>280</v>
      </c>
      <c r="GZ14" t="s">
        <v>281</v>
      </c>
      <c r="HA14" t="s">
        <v>282</v>
      </c>
      <c r="HB14" t="s">
        <v>283</v>
      </c>
      <c r="HC14" t="s">
        <v>284</v>
      </c>
      <c r="HD14" t="s">
        <v>285</v>
      </c>
      <c r="HE14" t="s">
        <v>286</v>
      </c>
      <c r="HF14" t="s">
        <v>287</v>
      </c>
      <c r="HG14" t="s">
        <v>288</v>
      </c>
      <c r="HH14" t="s">
        <v>289</v>
      </c>
      <c r="HI14" t="s">
        <v>290</v>
      </c>
      <c r="HJ14" t="s">
        <v>291</v>
      </c>
      <c r="HK14" t="s">
        <v>292</v>
      </c>
      <c r="HL14" t="s">
        <v>293</v>
      </c>
      <c r="HM14" t="s">
        <v>294</v>
      </c>
      <c r="HN14" t="s">
        <v>295</v>
      </c>
      <c r="HO14" t="s">
        <v>296</v>
      </c>
      <c r="HP14" t="s">
        <v>297</v>
      </c>
      <c r="HQ14" t="s">
        <v>298</v>
      </c>
      <c r="HR14" t="s">
        <v>299</v>
      </c>
      <c r="HS14" t="s">
        <v>300</v>
      </c>
      <c r="HT14" t="s">
        <v>301</v>
      </c>
      <c r="HU14" t="s">
        <v>302</v>
      </c>
      <c r="HV14" t="s">
        <v>303</v>
      </c>
      <c r="HW14" t="s">
        <v>304</v>
      </c>
      <c r="HX14" t="s">
        <v>305</v>
      </c>
      <c r="HY14" t="s">
        <v>306</v>
      </c>
      <c r="HZ14" t="s">
        <v>307</v>
      </c>
      <c r="IA14" t="s">
        <v>308</v>
      </c>
      <c r="IB14" t="s">
        <v>309</v>
      </c>
      <c r="IC14" t="s">
        <v>310</v>
      </c>
      <c r="ID14" t="s">
        <v>311</v>
      </c>
      <c r="IE14" t="s">
        <v>312</v>
      </c>
      <c r="IF14" t="s">
        <v>313</v>
      </c>
      <c r="IG14" t="s">
        <v>314</v>
      </c>
      <c r="IH14" t="s">
        <v>315</v>
      </c>
      <c r="II14" t="s">
        <v>316</v>
      </c>
      <c r="IJ14" t="s">
        <v>317</v>
      </c>
      <c r="IK14" t="s">
        <v>318</v>
      </c>
      <c r="IL14" t="s">
        <v>319</v>
      </c>
      <c r="IM14" t="s">
        <v>320</v>
      </c>
      <c r="IN14" t="s">
        <v>321</v>
      </c>
      <c r="IO14" t="s">
        <v>322</v>
      </c>
      <c r="IP14" t="s">
        <v>323</v>
      </c>
      <c r="IQ14" t="s">
        <v>324</v>
      </c>
      <c r="IR14" t="s">
        <v>325</v>
      </c>
      <c r="IS14" t="s">
        <v>326</v>
      </c>
      <c r="IT14" t="s">
        <v>327</v>
      </c>
      <c r="IU14" t="s">
        <v>328</v>
      </c>
      <c r="IV14" t="s">
        <v>329</v>
      </c>
      <c r="IW14" t="s">
        <v>330</v>
      </c>
      <c r="IX14" t="s">
        <v>331</v>
      </c>
      <c r="IY14" t="s">
        <v>332</v>
      </c>
      <c r="IZ14" t="s">
        <v>333</v>
      </c>
      <c r="JA14" t="s">
        <v>334</v>
      </c>
      <c r="JB14" t="s">
        <v>335</v>
      </c>
      <c r="JC14" t="s">
        <v>336</v>
      </c>
      <c r="JD14" t="s">
        <v>337</v>
      </c>
      <c r="JE14" t="s">
        <v>338</v>
      </c>
      <c r="JF14" t="s">
        <v>339</v>
      </c>
      <c r="JG14" t="s">
        <v>340</v>
      </c>
      <c r="JH14" t="s">
        <v>341</v>
      </c>
      <c r="JI14" t="s">
        <v>342</v>
      </c>
      <c r="JJ14" t="s">
        <v>343</v>
      </c>
      <c r="JK14" t="s">
        <v>344</v>
      </c>
      <c r="JL14" t="s">
        <v>345</v>
      </c>
      <c r="JM14" t="s">
        <v>346</v>
      </c>
      <c r="JN14" t="s">
        <v>347</v>
      </c>
      <c r="JO14" t="s">
        <v>348</v>
      </c>
      <c r="JP14" t="s">
        <v>349</v>
      </c>
      <c r="JQ14" t="s">
        <v>350</v>
      </c>
      <c r="JR14" t="s">
        <v>351</v>
      </c>
      <c r="JS14" t="s">
        <v>352</v>
      </c>
      <c r="JT14" t="s">
        <v>353</v>
      </c>
      <c r="JU14" t="s">
        <v>354</v>
      </c>
      <c r="JV14" t="s">
        <v>355</v>
      </c>
      <c r="JW14" t="s">
        <v>356</v>
      </c>
      <c r="JX14" t="s">
        <v>357</v>
      </c>
      <c r="JY14" t="s">
        <v>358</v>
      </c>
      <c r="JZ14" t="s">
        <v>359</v>
      </c>
      <c r="KA14" t="s">
        <v>360</v>
      </c>
      <c r="KB14" t="s">
        <v>361</v>
      </c>
      <c r="KC14" t="s">
        <v>362</v>
      </c>
      <c r="KD14" t="s">
        <v>363</v>
      </c>
      <c r="KE14" t="s">
        <v>364</v>
      </c>
      <c r="KF14" t="s">
        <v>365</v>
      </c>
      <c r="KG14" t="s">
        <v>366</v>
      </c>
      <c r="KH14" t="s">
        <v>367</v>
      </c>
      <c r="KI14" t="s">
        <v>368</v>
      </c>
      <c r="KJ14" t="s">
        <v>369</v>
      </c>
    </row>
    <row r="15" spans="1:296" x14ac:dyDescent="0.3">
      <c r="B15" t="s">
        <v>370</v>
      </c>
      <c r="C15" t="s">
        <v>370</v>
      </c>
      <c r="F15" t="s">
        <v>370</v>
      </c>
      <c r="H15" t="s">
        <v>370</v>
      </c>
      <c r="I15" t="s">
        <v>371</v>
      </c>
      <c r="J15" t="s">
        <v>372</v>
      </c>
      <c r="K15" t="s">
        <v>373</v>
      </c>
      <c r="L15" t="s">
        <v>374</v>
      </c>
      <c r="M15" t="s">
        <v>374</v>
      </c>
      <c r="N15" t="s">
        <v>203</v>
      </c>
      <c r="O15" t="s">
        <v>203</v>
      </c>
      <c r="P15" t="s">
        <v>371</v>
      </c>
      <c r="Q15" t="s">
        <v>371</v>
      </c>
      <c r="R15" t="s">
        <v>371</v>
      </c>
      <c r="S15" t="s">
        <v>371</v>
      </c>
      <c r="T15" t="s">
        <v>375</v>
      </c>
      <c r="U15" t="s">
        <v>376</v>
      </c>
      <c r="V15" t="s">
        <v>376</v>
      </c>
      <c r="W15" t="s">
        <v>377</v>
      </c>
      <c r="X15" t="s">
        <v>378</v>
      </c>
      <c r="Y15" t="s">
        <v>377</v>
      </c>
      <c r="Z15" t="s">
        <v>377</v>
      </c>
      <c r="AA15" t="s">
        <v>377</v>
      </c>
      <c r="AB15" t="s">
        <v>375</v>
      </c>
      <c r="AC15" t="s">
        <v>375</v>
      </c>
      <c r="AD15" t="s">
        <v>375</v>
      </c>
      <c r="AE15" t="s">
        <v>375</v>
      </c>
      <c r="AF15" t="s">
        <v>373</v>
      </c>
      <c r="AG15" t="s">
        <v>372</v>
      </c>
      <c r="AH15" t="s">
        <v>373</v>
      </c>
      <c r="AI15" t="s">
        <v>374</v>
      </c>
      <c r="AJ15" t="s">
        <v>374</v>
      </c>
      <c r="AK15" t="s">
        <v>379</v>
      </c>
      <c r="AL15" t="s">
        <v>380</v>
      </c>
      <c r="AM15" t="s">
        <v>372</v>
      </c>
      <c r="AN15" t="s">
        <v>381</v>
      </c>
      <c r="AO15" t="s">
        <v>381</v>
      </c>
      <c r="AP15" t="s">
        <v>382</v>
      </c>
      <c r="AQ15" t="s">
        <v>380</v>
      </c>
      <c r="AR15" t="s">
        <v>383</v>
      </c>
      <c r="AS15" t="s">
        <v>378</v>
      </c>
      <c r="AU15" t="s">
        <v>378</v>
      </c>
      <c r="AV15" t="s">
        <v>383</v>
      </c>
      <c r="BB15" t="s">
        <v>373</v>
      </c>
      <c r="BI15" t="s">
        <v>373</v>
      </c>
      <c r="BJ15" t="s">
        <v>373</v>
      </c>
      <c r="BK15" t="s">
        <v>373</v>
      </c>
      <c r="BL15" t="s">
        <v>384</v>
      </c>
      <c r="BZ15" t="s">
        <v>385</v>
      </c>
      <c r="CB15" t="s">
        <v>385</v>
      </c>
      <c r="CC15" t="s">
        <v>373</v>
      </c>
      <c r="CF15" t="s">
        <v>385</v>
      </c>
      <c r="CG15" t="s">
        <v>378</v>
      </c>
      <c r="CJ15" t="s">
        <v>386</v>
      </c>
      <c r="CK15" t="s">
        <v>386</v>
      </c>
      <c r="CM15" t="s">
        <v>387</v>
      </c>
      <c r="CN15" t="s">
        <v>385</v>
      </c>
      <c r="CP15" t="s">
        <v>385</v>
      </c>
      <c r="CQ15" t="s">
        <v>373</v>
      </c>
      <c r="CU15" t="s">
        <v>385</v>
      </c>
      <c r="CW15" t="s">
        <v>388</v>
      </c>
      <c r="CZ15" t="s">
        <v>385</v>
      </c>
      <c r="DA15" t="s">
        <v>385</v>
      </c>
      <c r="DC15" t="s">
        <v>385</v>
      </c>
      <c r="DE15" t="s">
        <v>385</v>
      </c>
      <c r="DG15" t="s">
        <v>373</v>
      </c>
      <c r="DH15" t="s">
        <v>373</v>
      </c>
      <c r="DJ15" t="s">
        <v>389</v>
      </c>
      <c r="DK15" t="s">
        <v>390</v>
      </c>
      <c r="DN15" t="s">
        <v>371</v>
      </c>
      <c r="DP15" t="s">
        <v>370</v>
      </c>
      <c r="DQ15" t="s">
        <v>374</v>
      </c>
      <c r="DR15" t="s">
        <v>374</v>
      </c>
      <c r="DS15" t="s">
        <v>381</v>
      </c>
      <c r="DT15" t="s">
        <v>381</v>
      </c>
      <c r="DU15" t="s">
        <v>374</v>
      </c>
      <c r="DV15" t="s">
        <v>381</v>
      </c>
      <c r="DW15" t="s">
        <v>383</v>
      </c>
      <c r="DX15" t="s">
        <v>377</v>
      </c>
      <c r="DY15" t="s">
        <v>377</v>
      </c>
      <c r="DZ15" t="s">
        <v>376</v>
      </c>
      <c r="EA15" t="s">
        <v>376</v>
      </c>
      <c r="EB15" t="s">
        <v>376</v>
      </c>
      <c r="EC15" t="s">
        <v>376</v>
      </c>
      <c r="ED15" t="s">
        <v>376</v>
      </c>
      <c r="EE15" t="s">
        <v>391</v>
      </c>
      <c r="EF15" t="s">
        <v>373</v>
      </c>
      <c r="EG15" t="s">
        <v>373</v>
      </c>
      <c r="EH15" t="s">
        <v>374</v>
      </c>
      <c r="EI15" t="s">
        <v>374</v>
      </c>
      <c r="EJ15" t="s">
        <v>374</v>
      </c>
      <c r="EK15" t="s">
        <v>381</v>
      </c>
      <c r="EL15" t="s">
        <v>374</v>
      </c>
      <c r="EM15" t="s">
        <v>381</v>
      </c>
      <c r="EN15" t="s">
        <v>377</v>
      </c>
      <c r="EO15" t="s">
        <v>377</v>
      </c>
      <c r="EP15" t="s">
        <v>376</v>
      </c>
      <c r="EQ15" t="s">
        <v>376</v>
      </c>
      <c r="ER15" t="s">
        <v>373</v>
      </c>
      <c r="EW15" t="s">
        <v>373</v>
      </c>
      <c r="EZ15" t="s">
        <v>376</v>
      </c>
      <c r="FA15" t="s">
        <v>376</v>
      </c>
      <c r="FB15" t="s">
        <v>376</v>
      </c>
      <c r="FC15" t="s">
        <v>376</v>
      </c>
      <c r="FD15" t="s">
        <v>376</v>
      </c>
      <c r="FE15" t="s">
        <v>373</v>
      </c>
      <c r="FF15" t="s">
        <v>373</v>
      </c>
      <c r="FG15" t="s">
        <v>373</v>
      </c>
      <c r="FH15" t="s">
        <v>370</v>
      </c>
      <c r="FK15" t="s">
        <v>392</v>
      </c>
      <c r="FL15" t="s">
        <v>392</v>
      </c>
      <c r="FN15" t="s">
        <v>370</v>
      </c>
      <c r="FO15" t="s">
        <v>393</v>
      </c>
      <c r="FQ15" t="s">
        <v>370</v>
      </c>
      <c r="FR15" t="s">
        <v>370</v>
      </c>
      <c r="FT15" t="s">
        <v>394</v>
      </c>
      <c r="FU15" t="s">
        <v>395</v>
      </c>
      <c r="FV15" t="s">
        <v>394</v>
      </c>
      <c r="FW15" t="s">
        <v>395</v>
      </c>
      <c r="FX15" t="s">
        <v>394</v>
      </c>
      <c r="FY15" t="s">
        <v>395</v>
      </c>
      <c r="FZ15" t="s">
        <v>378</v>
      </c>
      <c r="GA15" t="s">
        <v>378</v>
      </c>
      <c r="GB15" t="s">
        <v>374</v>
      </c>
      <c r="GC15" t="s">
        <v>396</v>
      </c>
      <c r="GD15" t="s">
        <v>374</v>
      </c>
      <c r="GG15" t="s">
        <v>397</v>
      </c>
      <c r="GJ15" t="s">
        <v>381</v>
      </c>
      <c r="GK15" t="s">
        <v>398</v>
      </c>
      <c r="GL15" t="s">
        <v>381</v>
      </c>
      <c r="GQ15" t="s">
        <v>399</v>
      </c>
      <c r="GR15" t="s">
        <v>399</v>
      </c>
      <c r="HE15" t="s">
        <v>399</v>
      </c>
      <c r="HF15" t="s">
        <v>399</v>
      </c>
      <c r="HG15" t="s">
        <v>400</v>
      </c>
      <c r="HH15" t="s">
        <v>400</v>
      </c>
      <c r="HI15" t="s">
        <v>376</v>
      </c>
      <c r="HJ15" t="s">
        <v>376</v>
      </c>
      <c r="HK15" t="s">
        <v>378</v>
      </c>
      <c r="HL15" t="s">
        <v>376</v>
      </c>
      <c r="HM15" t="s">
        <v>381</v>
      </c>
      <c r="HN15" t="s">
        <v>378</v>
      </c>
      <c r="HO15" t="s">
        <v>378</v>
      </c>
      <c r="HQ15" t="s">
        <v>399</v>
      </c>
      <c r="HR15" t="s">
        <v>399</v>
      </c>
      <c r="HS15" t="s">
        <v>399</v>
      </c>
      <c r="HT15" t="s">
        <v>399</v>
      </c>
      <c r="HU15" t="s">
        <v>399</v>
      </c>
      <c r="HV15" t="s">
        <v>399</v>
      </c>
      <c r="HW15" t="s">
        <v>399</v>
      </c>
      <c r="HX15" t="s">
        <v>401</v>
      </c>
      <c r="HY15" t="s">
        <v>401</v>
      </c>
      <c r="HZ15" t="s">
        <v>401</v>
      </c>
      <c r="IA15" t="s">
        <v>402</v>
      </c>
      <c r="IB15" t="s">
        <v>399</v>
      </c>
      <c r="IC15" t="s">
        <v>399</v>
      </c>
      <c r="ID15" t="s">
        <v>399</v>
      </c>
      <c r="IE15" t="s">
        <v>399</v>
      </c>
      <c r="IF15" t="s">
        <v>399</v>
      </c>
      <c r="IG15" t="s">
        <v>399</v>
      </c>
      <c r="IH15" t="s">
        <v>399</v>
      </c>
      <c r="II15" t="s">
        <v>399</v>
      </c>
      <c r="IJ15" t="s">
        <v>399</v>
      </c>
      <c r="IK15" t="s">
        <v>399</v>
      </c>
      <c r="IL15" t="s">
        <v>399</v>
      </c>
      <c r="IM15" t="s">
        <v>399</v>
      </c>
      <c r="IT15" t="s">
        <v>399</v>
      </c>
      <c r="IU15" t="s">
        <v>378</v>
      </c>
      <c r="IV15" t="s">
        <v>378</v>
      </c>
      <c r="IW15" t="s">
        <v>394</v>
      </c>
      <c r="IX15" t="s">
        <v>395</v>
      </c>
      <c r="IY15" t="s">
        <v>394</v>
      </c>
      <c r="JC15" t="s">
        <v>395</v>
      </c>
      <c r="JG15" t="s">
        <v>374</v>
      </c>
      <c r="JH15" t="s">
        <v>374</v>
      </c>
      <c r="JI15" t="s">
        <v>381</v>
      </c>
      <c r="JJ15" t="s">
        <v>381</v>
      </c>
      <c r="JK15" t="s">
        <v>403</v>
      </c>
      <c r="JL15" t="s">
        <v>403</v>
      </c>
      <c r="JM15" t="s">
        <v>399</v>
      </c>
      <c r="JN15" t="s">
        <v>399</v>
      </c>
      <c r="JO15" t="s">
        <v>399</v>
      </c>
      <c r="JP15" t="s">
        <v>399</v>
      </c>
      <c r="JQ15" t="s">
        <v>399</v>
      </c>
      <c r="JR15" t="s">
        <v>399</v>
      </c>
      <c r="JS15" t="s">
        <v>376</v>
      </c>
      <c r="JT15" t="s">
        <v>399</v>
      </c>
      <c r="JV15" t="s">
        <v>383</v>
      </c>
      <c r="JW15" t="s">
        <v>383</v>
      </c>
      <c r="JX15" t="s">
        <v>376</v>
      </c>
      <c r="JY15" t="s">
        <v>376</v>
      </c>
      <c r="JZ15" t="s">
        <v>376</v>
      </c>
      <c r="KA15" t="s">
        <v>376</v>
      </c>
      <c r="KB15" t="s">
        <v>376</v>
      </c>
      <c r="KC15" t="s">
        <v>378</v>
      </c>
      <c r="KD15" t="s">
        <v>378</v>
      </c>
      <c r="KE15" t="s">
        <v>378</v>
      </c>
      <c r="KF15" t="s">
        <v>376</v>
      </c>
      <c r="KG15" t="s">
        <v>374</v>
      </c>
      <c r="KH15" t="s">
        <v>381</v>
      </c>
      <c r="KI15" t="s">
        <v>378</v>
      </c>
      <c r="KJ15" t="s">
        <v>378</v>
      </c>
    </row>
    <row r="16" spans="1:296" x14ac:dyDescent="0.3">
      <c r="A16">
        <v>1</v>
      </c>
      <c r="B16">
        <v>1784476692.5999999</v>
      </c>
      <c r="C16">
        <v>0</v>
      </c>
      <c r="D16" t="s">
        <v>621</v>
      </c>
      <c r="E16" t="s">
        <v>622</v>
      </c>
      <c r="F16">
        <v>15</v>
      </c>
      <c r="H16">
        <v>1784476684.599999</v>
      </c>
      <c r="I16">
        <v>2.2228993458894343E-3</v>
      </c>
      <c r="J16">
        <v>2.2228993458894344</v>
      </c>
      <c r="K16">
        <v>29.729913239619375</v>
      </c>
      <c r="L16">
        <v>418.70741935483869</v>
      </c>
      <c r="M16">
        <v>69.563918455594532</v>
      </c>
      <c r="N16">
        <v>6.8058392238294552</v>
      </c>
      <c r="O16">
        <v>40.964560956591605</v>
      </c>
      <c r="P16">
        <v>0.14196248369335621</v>
      </c>
      <c r="Q16">
        <v>2.8915852004970413</v>
      </c>
      <c r="R16">
        <v>0.13820109522993376</v>
      </c>
      <c r="S16">
        <v>8.6705329414317606E-2</v>
      </c>
      <c r="T16">
        <v>319.77661875505925</v>
      </c>
      <c r="U16">
        <v>29.464077609538776</v>
      </c>
      <c r="V16">
        <v>28.613445161290318</v>
      </c>
      <c r="W16">
        <v>3.9326855321819392</v>
      </c>
      <c r="X16">
        <v>62.98734380387441</v>
      </c>
      <c r="Y16">
        <v>2.4100534287404516</v>
      </c>
      <c r="Z16">
        <v>3.8262502960034439</v>
      </c>
      <c r="AA16">
        <v>1.5226321034414876</v>
      </c>
      <c r="AB16">
        <v>-98.029861153724056</v>
      </c>
      <c r="AC16">
        <v>-73.576092835534567</v>
      </c>
      <c r="AD16">
        <v>-5.5672984807622683</v>
      </c>
      <c r="AE16">
        <v>142.60336628503836</v>
      </c>
      <c r="AF16">
        <v>29.729913239619375</v>
      </c>
      <c r="AG16">
        <v>2.2228993458894344</v>
      </c>
      <c r="AH16">
        <v>28.944988701751647</v>
      </c>
      <c r="AI16">
        <v>466.0876826273232</v>
      </c>
      <c r="AJ16">
        <v>430.34957575757551</v>
      </c>
      <c r="AK16">
        <v>4.239550907277527E-2</v>
      </c>
      <c r="AL16">
        <v>67.087879990275695</v>
      </c>
      <c r="AM16">
        <v>2.4253490511802349</v>
      </c>
      <c r="AN16">
        <v>22.22364948485324</v>
      </c>
      <c r="AO16">
        <v>24.94308606060607</v>
      </c>
      <c r="AP16">
        <v>1.9375330523827429E-2</v>
      </c>
      <c r="AQ16">
        <v>78.245620283258049</v>
      </c>
      <c r="AR16">
        <v>0</v>
      </c>
      <c r="AS16">
        <v>0</v>
      </c>
      <c r="AT16">
        <v>1</v>
      </c>
      <c r="AU16">
        <v>0</v>
      </c>
      <c r="AV16">
        <v>51543.441030416987</v>
      </c>
      <c r="AW16" t="s">
        <v>623</v>
      </c>
      <c r="AX16">
        <v>5097.1400000000003</v>
      </c>
      <c r="AY16">
        <v>605.0617647058823</v>
      </c>
      <c r="AZ16">
        <v>2408.86</v>
      </c>
      <c r="BA16">
        <v>0.74881821081097188</v>
      </c>
      <c r="BB16">
        <v>-2.5855627598635031</v>
      </c>
      <c r="BC16" t="s">
        <v>624</v>
      </c>
      <c r="BD16">
        <v>5063.33</v>
      </c>
      <c r="BE16">
        <v>808.23599999999988</v>
      </c>
      <c r="BF16">
        <v>886.17</v>
      </c>
      <c r="BG16">
        <v>8.7944751007143163E-2</v>
      </c>
      <c r="BH16">
        <v>0.5</v>
      </c>
      <c r="BI16">
        <v>1680.2902159686914</v>
      </c>
      <c r="BJ16">
        <v>29.729913239619375</v>
      </c>
      <c r="BK16">
        <v>73.886352331552686</v>
      </c>
      <c r="BL16">
        <v>1.9232080084958969E-2</v>
      </c>
      <c r="BM16">
        <v>1.7182820452057732</v>
      </c>
      <c r="BN16">
        <v>422.64688117646136</v>
      </c>
      <c r="BO16" t="s">
        <v>408</v>
      </c>
      <c r="BP16">
        <v>0</v>
      </c>
      <c r="BQ16">
        <v>422.64688117646136</v>
      </c>
      <c r="BR16">
        <v>0.52306342893975044</v>
      </c>
      <c r="BS16">
        <v>0.16813400849951832</v>
      </c>
      <c r="BT16">
        <v>0.76662971640319755</v>
      </c>
      <c r="BU16">
        <v>0.27723840932109073</v>
      </c>
      <c r="BV16">
        <v>0.84415760599284451</v>
      </c>
      <c r="BW16">
        <v>8.7921491138749183E-2</v>
      </c>
      <c r="BX16">
        <v>0.91207850886125086</v>
      </c>
      <c r="DG16">
        <v>1999.9887096774189</v>
      </c>
      <c r="DH16">
        <v>1680.2902159686914</v>
      </c>
      <c r="DI16">
        <v>0.84014985076576154</v>
      </c>
      <c r="DJ16">
        <v>0.15988921197791986</v>
      </c>
      <c r="DK16">
        <v>6</v>
      </c>
      <c r="DL16">
        <v>0.5</v>
      </c>
      <c r="DM16" t="s">
        <v>409</v>
      </c>
      <c r="DN16">
        <v>2</v>
      </c>
      <c r="DO16" t="b">
        <v>0</v>
      </c>
      <c r="DP16">
        <v>1784476684.599999</v>
      </c>
      <c r="DQ16">
        <v>418.70741935483869</v>
      </c>
      <c r="DR16">
        <v>455.49977419354832</v>
      </c>
      <c r="DS16">
        <v>24.633664516129031</v>
      </c>
      <c r="DT16">
        <v>22.031925806451611</v>
      </c>
      <c r="DU16">
        <v>425.63541935483869</v>
      </c>
      <c r="DV16">
        <v>25.331664516129031</v>
      </c>
      <c r="DW16">
        <v>500.00590322580649</v>
      </c>
      <c r="DX16">
        <v>97.779003225806434</v>
      </c>
      <c r="DY16">
        <v>5.6762425806451619E-2</v>
      </c>
      <c r="DZ16">
        <v>28.14147419354839</v>
      </c>
      <c r="EA16">
        <v>28.613445161290318</v>
      </c>
      <c r="EB16">
        <v>999.90000000000032</v>
      </c>
      <c r="EC16">
        <v>0</v>
      </c>
      <c r="ED16">
        <v>0</v>
      </c>
      <c r="EE16">
        <v>10007.41935483871</v>
      </c>
      <c r="EF16">
        <v>0</v>
      </c>
      <c r="EG16">
        <v>1218.6764516129031</v>
      </c>
      <c r="EH16">
        <v>-35.954122580645148</v>
      </c>
      <c r="EI16">
        <v>430.22687096774212</v>
      </c>
      <c r="EJ16">
        <v>465.76148387096771</v>
      </c>
      <c r="EK16">
        <v>2.794737096774194</v>
      </c>
      <c r="EL16">
        <v>455.49977419354832</v>
      </c>
      <c r="EM16">
        <v>22.031925806451611</v>
      </c>
      <c r="EN16">
        <v>2.4275267741935491</v>
      </c>
      <c r="EO16">
        <v>2.1542603225806451</v>
      </c>
      <c r="EP16">
        <v>20.54854516129032</v>
      </c>
      <c r="EQ16">
        <v>18.625683870967741</v>
      </c>
      <c r="ER16">
        <v>1999.9887096774189</v>
      </c>
      <c r="ES16">
        <v>0.99499406451612871</v>
      </c>
      <c r="ET16">
        <v>5.0059522580645187E-3</v>
      </c>
      <c r="EU16">
        <v>0</v>
      </c>
      <c r="EV16">
        <v>808.24606451612897</v>
      </c>
      <c r="EW16">
        <v>5.0010700000000003</v>
      </c>
      <c r="EX16">
        <v>21471.212903225802</v>
      </c>
      <c r="EY16">
        <v>18241.49354838709</v>
      </c>
      <c r="EZ16">
        <v>45.777999999999977</v>
      </c>
      <c r="FA16">
        <v>47.805999999999969</v>
      </c>
      <c r="FB16">
        <v>46.551999999999971</v>
      </c>
      <c r="FC16">
        <v>47</v>
      </c>
      <c r="FD16">
        <v>46.680999999999969</v>
      </c>
      <c r="FE16">
        <v>1984.99870967742</v>
      </c>
      <c r="FF16">
        <v>9.990000000000002</v>
      </c>
      <c r="FG16">
        <v>0</v>
      </c>
      <c r="FH16">
        <v>1784476693.0999999</v>
      </c>
      <c r="FI16">
        <v>0</v>
      </c>
      <c r="FJ16">
        <v>808.23599999999988</v>
      </c>
      <c r="FK16">
        <v>1.1928922081814981</v>
      </c>
      <c r="FL16">
        <v>-4.3382344372529023</v>
      </c>
      <c r="FM16">
        <v>21476.588235294119</v>
      </c>
      <c r="FN16">
        <v>10</v>
      </c>
      <c r="FO16">
        <v>1784476722.0999999</v>
      </c>
      <c r="FP16" t="s">
        <v>625</v>
      </c>
      <c r="FQ16">
        <v>1784476722.0999999</v>
      </c>
      <c r="FR16">
        <v>1784476711.5999999</v>
      </c>
      <c r="FS16">
        <v>1</v>
      </c>
      <c r="FT16">
        <v>-0.7</v>
      </c>
      <c r="FU16">
        <v>-0.129</v>
      </c>
      <c r="FV16">
        <v>-6.9279999999999999</v>
      </c>
      <c r="FW16">
        <v>-0.69799999999999995</v>
      </c>
      <c r="FX16">
        <v>456</v>
      </c>
      <c r="FY16">
        <v>22</v>
      </c>
      <c r="FZ16">
        <v>0.23</v>
      </c>
      <c r="GA16">
        <v>0.09</v>
      </c>
      <c r="GB16">
        <v>419.54299999999989</v>
      </c>
      <c r="GC16">
        <v>-0.23245161290449129</v>
      </c>
      <c r="GD16">
        <v>6.314601614384685E-2</v>
      </c>
      <c r="GE16">
        <v>-1</v>
      </c>
      <c r="GF16">
        <v>808.2558529411765</v>
      </c>
      <c r="GG16">
        <v>7.9954171371132976E-2</v>
      </c>
      <c r="GH16">
        <v>0.24745280386047411</v>
      </c>
      <c r="GI16">
        <v>1</v>
      </c>
      <c r="GJ16">
        <v>2.934962926829269</v>
      </c>
      <c r="GK16">
        <v>-2.5182735888501679</v>
      </c>
      <c r="GL16">
        <v>0.25915816860058499</v>
      </c>
      <c r="GM16">
        <v>0</v>
      </c>
      <c r="GN16">
        <v>1</v>
      </c>
      <c r="GO16">
        <v>2</v>
      </c>
      <c r="GP16" t="s">
        <v>411</v>
      </c>
      <c r="GQ16">
        <v>3.13076</v>
      </c>
      <c r="GR16">
        <v>2.7327300000000001</v>
      </c>
      <c r="GS16">
        <v>9.0523800000000001E-2</v>
      </c>
      <c r="GT16">
        <v>9.6091399999999993E-2</v>
      </c>
      <c r="GU16">
        <v>0.115604</v>
      </c>
      <c r="GV16">
        <v>0.105739</v>
      </c>
      <c r="GW16">
        <v>22654.6</v>
      </c>
      <c r="GX16">
        <v>30174.1</v>
      </c>
      <c r="GY16">
        <v>27041.4</v>
      </c>
      <c r="GZ16">
        <v>34357.699999999997</v>
      </c>
      <c r="HA16">
        <v>35052.199999999997</v>
      </c>
      <c r="HB16">
        <v>38933.699999999997</v>
      </c>
      <c r="HC16">
        <v>39937.9</v>
      </c>
      <c r="HD16">
        <v>43608.3</v>
      </c>
      <c r="HE16">
        <v>1.9236</v>
      </c>
      <c r="HF16">
        <v>1.7063999999999999</v>
      </c>
      <c r="HG16">
        <v>-6.7800299999999994E-2</v>
      </c>
      <c r="HH16">
        <v>0</v>
      </c>
      <c r="HI16">
        <v>29.691600000000001</v>
      </c>
      <c r="HJ16">
        <v>999.9</v>
      </c>
      <c r="HK16">
        <v>59.9</v>
      </c>
      <c r="HL16">
        <v>37.299999999999997</v>
      </c>
      <c r="HM16">
        <v>39.2605</v>
      </c>
      <c r="HN16">
        <v>61.3294</v>
      </c>
      <c r="HO16">
        <v>3.9182700000000001</v>
      </c>
      <c r="HP16">
        <v>1</v>
      </c>
      <c r="HQ16">
        <v>0.947967</v>
      </c>
      <c r="HR16">
        <v>6.9720300000000002</v>
      </c>
      <c r="HS16">
        <v>20.1281</v>
      </c>
      <c r="HT16">
        <v>5.2088999999999999</v>
      </c>
      <c r="HU16">
        <v>11.914099999999999</v>
      </c>
      <c r="HV16">
        <v>4.9820000000000002</v>
      </c>
      <c r="HW16">
        <v>3.2709999999999999</v>
      </c>
      <c r="HX16">
        <v>9999</v>
      </c>
      <c r="HY16">
        <v>9999</v>
      </c>
      <c r="HZ16">
        <v>9999</v>
      </c>
      <c r="IA16">
        <v>999.9</v>
      </c>
      <c r="IB16">
        <v>1.8672200000000001</v>
      </c>
      <c r="IC16">
        <v>1.8627899999999999</v>
      </c>
      <c r="ID16">
        <v>1.8623400000000001</v>
      </c>
      <c r="IE16">
        <v>1.86175</v>
      </c>
      <c r="IF16">
        <v>1.86188</v>
      </c>
      <c r="IG16">
        <v>1.86249</v>
      </c>
      <c r="IH16">
        <v>1.86334</v>
      </c>
      <c r="II16">
        <v>1.8613599999999999</v>
      </c>
      <c r="IJ16">
        <v>0</v>
      </c>
      <c r="IK16">
        <v>0</v>
      </c>
      <c r="IL16">
        <v>0</v>
      </c>
      <c r="IM16">
        <v>4.5</v>
      </c>
      <c r="IN16" t="s">
        <v>412</v>
      </c>
      <c r="IO16" t="s">
        <v>413</v>
      </c>
      <c r="IP16" t="s">
        <v>414</v>
      </c>
      <c r="IQ16" t="s">
        <v>415</v>
      </c>
      <c r="IR16" t="s">
        <v>415</v>
      </c>
      <c r="IS16" t="s">
        <v>414</v>
      </c>
      <c r="IT16">
        <v>0</v>
      </c>
      <c r="IU16">
        <v>100</v>
      </c>
      <c r="IV16">
        <v>100</v>
      </c>
      <c r="IW16">
        <v>-6.9279999999999999</v>
      </c>
      <c r="IX16">
        <v>-0.69799999999999995</v>
      </c>
      <c r="IY16">
        <v>-4.1034867071077556</v>
      </c>
      <c r="IZ16">
        <v>-5.6215304933332991E-3</v>
      </c>
      <c r="JA16">
        <v>2.3979931213773931E-6</v>
      </c>
      <c r="JB16">
        <v>-3.6297174575716598E-10</v>
      </c>
      <c r="JC16">
        <v>-0.93445608403256863</v>
      </c>
      <c r="JD16">
        <v>2.7492919904454862E-4</v>
      </c>
      <c r="JE16">
        <v>8.6739513355948885E-4</v>
      </c>
      <c r="JF16">
        <v>-8.2500691715147318E-6</v>
      </c>
      <c r="JG16">
        <v>17</v>
      </c>
      <c r="JH16">
        <v>1914</v>
      </c>
      <c r="JI16">
        <v>2</v>
      </c>
      <c r="JJ16">
        <v>37</v>
      </c>
      <c r="JK16">
        <v>8575</v>
      </c>
      <c r="JL16">
        <v>8575</v>
      </c>
      <c r="JM16">
        <v>1.17554</v>
      </c>
      <c r="JN16">
        <v>2.5549300000000001</v>
      </c>
      <c r="JO16">
        <v>1.50024</v>
      </c>
      <c r="JP16">
        <v>2.2753899999999998</v>
      </c>
      <c r="JQ16">
        <v>1.4477500000000001</v>
      </c>
      <c r="JR16">
        <v>2.36206</v>
      </c>
      <c r="JS16">
        <v>41.796100000000003</v>
      </c>
      <c r="JT16">
        <v>14.981400000000001</v>
      </c>
      <c r="JU16">
        <v>18</v>
      </c>
      <c r="JV16">
        <v>549.59299999999996</v>
      </c>
      <c r="JW16">
        <v>418.06799999999998</v>
      </c>
      <c r="JX16">
        <v>22.869399999999999</v>
      </c>
      <c r="JY16">
        <v>38.405200000000001</v>
      </c>
      <c r="JZ16">
        <v>29.998200000000001</v>
      </c>
      <c r="KA16">
        <v>38.035800000000002</v>
      </c>
      <c r="KB16">
        <v>37.881799999999998</v>
      </c>
      <c r="KC16">
        <v>23.5106</v>
      </c>
      <c r="KD16">
        <v>52.101999999999997</v>
      </c>
      <c r="KE16">
        <v>0</v>
      </c>
      <c r="KF16">
        <v>22.9116</v>
      </c>
      <c r="KG16">
        <v>456.03199999999998</v>
      </c>
      <c r="KH16">
        <v>22.417000000000002</v>
      </c>
      <c r="KI16">
        <v>99.809399999999997</v>
      </c>
      <c r="KJ16">
        <v>98.097800000000007</v>
      </c>
    </row>
    <row r="17" spans="1:296" x14ac:dyDescent="0.3">
      <c r="A17">
        <v>2</v>
      </c>
      <c r="B17">
        <v>1784476903.0999999</v>
      </c>
      <c r="C17">
        <v>210.5</v>
      </c>
      <c r="D17" t="s">
        <v>626</v>
      </c>
      <c r="E17" t="s">
        <v>627</v>
      </c>
      <c r="F17">
        <v>15</v>
      </c>
      <c r="H17">
        <v>1784476895.349999</v>
      </c>
      <c r="I17">
        <v>2.8428811584618337E-3</v>
      </c>
      <c r="J17">
        <v>2.8428811584618336</v>
      </c>
      <c r="K17">
        <v>32.008152681775684</v>
      </c>
      <c r="L17">
        <v>419.75229999999999</v>
      </c>
      <c r="M17">
        <v>143.51762035213329</v>
      </c>
      <c r="N17">
        <v>14.041054067257216</v>
      </c>
      <c r="O17">
        <v>41.066488732844746</v>
      </c>
      <c r="P17">
        <v>0.19615285567500576</v>
      </c>
      <c r="Q17">
        <v>2.8908036133986821</v>
      </c>
      <c r="R17">
        <v>0.18904725691681132</v>
      </c>
      <c r="S17">
        <v>0.11877150054239306</v>
      </c>
      <c r="T17">
        <v>271.90576322973646</v>
      </c>
      <c r="U17">
        <v>29.132427799028616</v>
      </c>
      <c r="V17">
        <v>28.618333333333329</v>
      </c>
      <c r="W17">
        <v>3.9338012481421698</v>
      </c>
      <c r="X17">
        <v>65.181500926162244</v>
      </c>
      <c r="Y17">
        <v>2.5110220910331007</v>
      </c>
      <c r="Z17">
        <v>3.8523538969708477</v>
      </c>
      <c r="AA17">
        <v>1.4227791571090691</v>
      </c>
      <c r="AB17">
        <v>-125.37105908816687</v>
      </c>
      <c r="AC17">
        <v>-56.114473029579543</v>
      </c>
      <c r="AD17">
        <v>-4.2497460590547531</v>
      </c>
      <c r="AE17">
        <v>86.170485052935291</v>
      </c>
      <c r="AF17">
        <v>32.008152681775684</v>
      </c>
      <c r="AG17">
        <v>2.8428811584618336</v>
      </c>
      <c r="AH17">
        <v>32.244023563278063</v>
      </c>
      <c r="AI17">
        <v>470.09628334774499</v>
      </c>
      <c r="AJ17">
        <v>430.724309090909</v>
      </c>
      <c r="AK17">
        <v>-3.8838417746083417E-2</v>
      </c>
      <c r="AL17">
        <v>67.095936318042931</v>
      </c>
      <c r="AM17">
        <v>2.7750673705111932</v>
      </c>
      <c r="AN17">
        <v>22.336424837859969</v>
      </c>
      <c r="AO17">
        <v>25.614547272727261</v>
      </c>
      <c r="AP17">
        <v>-5.4828822951003579E-3</v>
      </c>
      <c r="AQ17">
        <v>78.256905155808028</v>
      </c>
      <c r="AR17">
        <v>0</v>
      </c>
      <c r="AS17">
        <v>0</v>
      </c>
      <c r="AT17">
        <v>1</v>
      </c>
      <c r="AU17">
        <v>0</v>
      </c>
      <c r="AV17">
        <v>51501.271189030034</v>
      </c>
      <c r="AW17" t="s">
        <v>623</v>
      </c>
      <c r="AX17">
        <v>5097.1400000000003</v>
      </c>
      <c r="AY17">
        <v>605.0617647058823</v>
      </c>
      <c r="AZ17">
        <v>2408.86</v>
      </c>
      <c r="BA17">
        <v>0.74881821081097188</v>
      </c>
      <c r="BB17">
        <v>-2.5855627598635031</v>
      </c>
      <c r="BC17" t="s">
        <v>628</v>
      </c>
      <c r="BD17">
        <v>5064.28</v>
      </c>
      <c r="BE17">
        <v>802.0442352941177</v>
      </c>
      <c r="BF17">
        <v>920.12</v>
      </c>
      <c r="BG17">
        <v>0.12832648426931526</v>
      </c>
      <c r="BH17">
        <v>0.5</v>
      </c>
      <c r="BI17">
        <v>1428.2916398081534</v>
      </c>
      <c r="BJ17">
        <v>32.008152681775684</v>
      </c>
      <c r="BK17">
        <v>91.643822323917746</v>
      </c>
      <c r="BL17">
        <v>2.422034441529447E-2</v>
      </c>
      <c r="BM17">
        <v>1.6179846107029521</v>
      </c>
      <c r="BN17">
        <v>430.21772402222933</v>
      </c>
      <c r="BO17" t="s">
        <v>408</v>
      </c>
      <c r="BP17">
        <v>0</v>
      </c>
      <c r="BQ17">
        <v>430.21772402222933</v>
      </c>
      <c r="BR17">
        <v>0.5324330261028678</v>
      </c>
      <c r="BS17">
        <v>0.24101901643592283</v>
      </c>
      <c r="BT17">
        <v>0.75240482732752723</v>
      </c>
      <c r="BU17">
        <v>0.37477441145334456</v>
      </c>
      <c r="BV17">
        <v>0.8253362104865648</v>
      </c>
      <c r="BW17">
        <v>0.12928295988451882</v>
      </c>
      <c r="BX17">
        <v>0.87071704011548112</v>
      </c>
      <c r="DG17">
        <v>1699.9843333333331</v>
      </c>
      <c r="DH17">
        <v>1428.2916398081534</v>
      </c>
      <c r="DI17">
        <v>0.84017929565712879</v>
      </c>
      <c r="DJ17">
        <v>0.15994604061825854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1784476895.349999</v>
      </c>
      <c r="DQ17">
        <v>419.75229999999999</v>
      </c>
      <c r="DR17">
        <v>459.59230000000002</v>
      </c>
      <c r="DS17">
        <v>25.66587333333333</v>
      </c>
      <c r="DT17">
        <v>22.342120000000001</v>
      </c>
      <c r="DU17">
        <v>426.56213333333341</v>
      </c>
      <c r="DV17">
        <v>26.276483333333331</v>
      </c>
      <c r="DW17">
        <v>500.02196666666657</v>
      </c>
      <c r="DX17">
        <v>97.778309999999991</v>
      </c>
      <c r="DY17">
        <v>5.6743513333333342E-2</v>
      </c>
      <c r="DZ17">
        <v>28.258276666666671</v>
      </c>
      <c r="EA17">
        <v>28.618333333333329</v>
      </c>
      <c r="EB17">
        <v>999.9000000000002</v>
      </c>
      <c r="EC17">
        <v>0</v>
      </c>
      <c r="ED17">
        <v>0</v>
      </c>
      <c r="EE17">
        <v>10003</v>
      </c>
      <c r="EF17">
        <v>0</v>
      </c>
      <c r="EG17">
        <v>1238.8889999999999</v>
      </c>
      <c r="EH17">
        <v>-39.839993333333339</v>
      </c>
      <c r="EI17">
        <v>430.80933333333331</v>
      </c>
      <c r="EJ17">
        <v>470.09516666666673</v>
      </c>
      <c r="EK17">
        <v>3.3237540000000001</v>
      </c>
      <c r="EL17">
        <v>459.59230000000002</v>
      </c>
      <c r="EM17">
        <v>22.342120000000001</v>
      </c>
      <c r="EN17">
        <v>2.509566</v>
      </c>
      <c r="EO17">
        <v>2.1845750000000002</v>
      </c>
      <c r="EP17">
        <v>21.088663333333329</v>
      </c>
      <c r="EQ17">
        <v>18.849630000000001</v>
      </c>
      <c r="ER17">
        <v>1699.9843333333331</v>
      </c>
      <c r="ES17">
        <v>0.9940036333333333</v>
      </c>
      <c r="ET17">
        <v>5.9967330000000006E-3</v>
      </c>
      <c r="EU17">
        <v>0</v>
      </c>
      <c r="EV17">
        <v>802.0241666666667</v>
      </c>
      <c r="EW17">
        <v>5.0010700000000003</v>
      </c>
      <c r="EX17">
        <v>18771.57333333333</v>
      </c>
      <c r="EY17">
        <v>15492.38</v>
      </c>
      <c r="EZ17">
        <v>46</v>
      </c>
      <c r="FA17">
        <v>48.25</v>
      </c>
      <c r="FB17">
        <v>47</v>
      </c>
      <c r="FC17">
        <v>47.375</v>
      </c>
      <c r="FD17">
        <v>47</v>
      </c>
      <c r="FE17">
        <v>1684.824333333333</v>
      </c>
      <c r="FF17">
        <v>10.16</v>
      </c>
      <c r="FG17">
        <v>0</v>
      </c>
      <c r="FH17">
        <v>209.5999999046326</v>
      </c>
      <c r="FI17">
        <v>0</v>
      </c>
      <c r="FJ17">
        <v>802.0442352941177</v>
      </c>
      <c r="FK17">
        <v>1.077941150896458</v>
      </c>
      <c r="FL17">
        <v>-279.33823678160542</v>
      </c>
      <c r="FM17">
        <v>18770.01176470588</v>
      </c>
      <c r="FN17">
        <v>10</v>
      </c>
      <c r="FO17">
        <v>1784476787.0999999</v>
      </c>
      <c r="FP17" t="s">
        <v>629</v>
      </c>
      <c r="FQ17">
        <v>1784476787.0999999</v>
      </c>
      <c r="FR17">
        <v>1784476781.0999999</v>
      </c>
      <c r="FS17">
        <v>2</v>
      </c>
      <c r="FT17">
        <v>-1.7000000000000001E-2</v>
      </c>
      <c r="FU17">
        <v>-3.0000000000000001E-3</v>
      </c>
      <c r="FV17">
        <v>-6.95</v>
      </c>
      <c r="FW17">
        <v>-0.69799999999999995</v>
      </c>
      <c r="FX17">
        <v>458</v>
      </c>
      <c r="FY17">
        <v>22</v>
      </c>
      <c r="FZ17">
        <v>0.22</v>
      </c>
      <c r="GA17">
        <v>0.11</v>
      </c>
      <c r="GB17">
        <v>419.75569999999999</v>
      </c>
      <c r="GC17">
        <v>-3.6493882090819212E-2</v>
      </c>
      <c r="GD17">
        <v>4.7765503591325913E-2</v>
      </c>
      <c r="GE17">
        <v>-1</v>
      </c>
      <c r="GF17">
        <v>801.97602941176478</v>
      </c>
      <c r="GG17">
        <v>0.73150496286911471</v>
      </c>
      <c r="GH17">
        <v>0.24645850209030021</v>
      </c>
      <c r="GI17">
        <v>1</v>
      </c>
      <c r="GJ17">
        <v>3.304926</v>
      </c>
      <c r="GK17">
        <v>0.1946415759849838</v>
      </c>
      <c r="GL17">
        <v>4.4222156087192287E-2</v>
      </c>
      <c r="GM17">
        <v>1</v>
      </c>
      <c r="GN17">
        <v>2</v>
      </c>
      <c r="GO17">
        <v>2</v>
      </c>
      <c r="GP17" t="s">
        <v>424</v>
      </c>
      <c r="GQ17">
        <v>3.1311300000000002</v>
      </c>
      <c r="GR17">
        <v>2.7334900000000002</v>
      </c>
      <c r="GS17">
        <v>9.0717699999999998E-2</v>
      </c>
      <c r="GT17">
        <v>9.6680000000000002E-2</v>
      </c>
      <c r="GU17">
        <v>0.118061</v>
      </c>
      <c r="GV17">
        <v>0.105792</v>
      </c>
      <c r="GW17">
        <v>22655</v>
      </c>
      <c r="GX17">
        <v>30159.9</v>
      </c>
      <c r="GY17">
        <v>27046.799999999999</v>
      </c>
      <c r="GZ17">
        <v>34362.699999999997</v>
      </c>
      <c r="HA17">
        <v>34961.599999999999</v>
      </c>
      <c r="HB17">
        <v>38935.300000000003</v>
      </c>
      <c r="HC17">
        <v>39945.4</v>
      </c>
      <c r="HD17">
        <v>43612.9</v>
      </c>
      <c r="HE17">
        <v>1.9246000000000001</v>
      </c>
      <c r="HF17">
        <v>1.7076</v>
      </c>
      <c r="HG17">
        <v>-6.8247299999999997E-2</v>
      </c>
      <c r="HH17">
        <v>0</v>
      </c>
      <c r="HI17">
        <v>29.740300000000001</v>
      </c>
      <c r="HJ17">
        <v>999.9</v>
      </c>
      <c r="HK17">
        <v>59.4</v>
      </c>
      <c r="HL17">
        <v>37.6</v>
      </c>
      <c r="HM17">
        <v>39.574399999999997</v>
      </c>
      <c r="HN17">
        <v>61.379399999999997</v>
      </c>
      <c r="HO17">
        <v>3.7540100000000001</v>
      </c>
      <c r="HP17">
        <v>1</v>
      </c>
      <c r="HQ17">
        <v>0.93465399999999998</v>
      </c>
      <c r="HR17">
        <v>7.1906499999999998</v>
      </c>
      <c r="HS17">
        <v>20.088200000000001</v>
      </c>
      <c r="HT17">
        <v>5.2100999999999997</v>
      </c>
      <c r="HU17">
        <v>11.914099999999999</v>
      </c>
      <c r="HV17">
        <v>4.9832000000000001</v>
      </c>
      <c r="HW17">
        <v>3.2707999999999999</v>
      </c>
      <c r="HX17">
        <v>9999</v>
      </c>
      <c r="HY17">
        <v>9999</v>
      </c>
      <c r="HZ17">
        <v>9999</v>
      </c>
      <c r="IA17">
        <v>999.9</v>
      </c>
      <c r="IB17">
        <v>1.8675200000000001</v>
      </c>
      <c r="IC17">
        <v>1.8632500000000001</v>
      </c>
      <c r="ID17">
        <v>1.86267</v>
      </c>
      <c r="IE17">
        <v>1.8621799999999999</v>
      </c>
      <c r="IF17">
        <v>1.8621799999999999</v>
      </c>
      <c r="IG17">
        <v>1.8628199999999999</v>
      </c>
      <c r="IH17">
        <v>1.86371</v>
      </c>
      <c r="II17">
        <v>1.86172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-6.81</v>
      </c>
      <c r="IX17">
        <v>-0.61229999999999996</v>
      </c>
      <c r="IY17">
        <v>-4.8200882296325123</v>
      </c>
      <c r="IZ17">
        <v>-5.6215304933332991E-3</v>
      </c>
      <c r="JA17">
        <v>2.3979931213773931E-6</v>
      </c>
      <c r="JB17">
        <v>-3.6297174575716598E-10</v>
      </c>
      <c r="JC17">
        <v>-1.0670442809350229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1.9</v>
      </c>
      <c r="JL17">
        <v>2</v>
      </c>
      <c r="JM17">
        <v>1.18286</v>
      </c>
      <c r="JN17">
        <v>2.5488300000000002</v>
      </c>
      <c r="JO17">
        <v>1.50024</v>
      </c>
      <c r="JP17">
        <v>2.2753899999999998</v>
      </c>
      <c r="JQ17">
        <v>1.4477500000000001</v>
      </c>
      <c r="JR17">
        <v>2.3962400000000001</v>
      </c>
      <c r="JS17">
        <v>42.138599999999997</v>
      </c>
      <c r="JT17">
        <v>23.842300000000002</v>
      </c>
      <c r="JU17">
        <v>18</v>
      </c>
      <c r="JV17">
        <v>549.4</v>
      </c>
      <c r="JW17">
        <v>418.154</v>
      </c>
      <c r="JX17">
        <v>23.3354</v>
      </c>
      <c r="JY17">
        <v>38.235999999999997</v>
      </c>
      <c r="JZ17">
        <v>30.002800000000001</v>
      </c>
      <c r="KA17">
        <v>37.921900000000001</v>
      </c>
      <c r="KB17">
        <v>37.773600000000002</v>
      </c>
      <c r="KC17">
        <v>23.6571</v>
      </c>
      <c r="KD17">
        <v>52.075099999999999</v>
      </c>
      <c r="KE17">
        <v>0</v>
      </c>
      <c r="KF17">
        <v>23.235800000000001</v>
      </c>
      <c r="KG17">
        <v>459.803</v>
      </c>
      <c r="KH17">
        <v>22.3536</v>
      </c>
      <c r="KI17">
        <v>99.828699999999998</v>
      </c>
      <c r="KJ17">
        <v>98.109899999999996</v>
      </c>
    </row>
    <row r="18" spans="1:296" x14ac:dyDescent="0.3">
      <c r="A18">
        <v>3</v>
      </c>
      <c r="B18">
        <v>1784477085.0999999</v>
      </c>
      <c r="C18">
        <v>392.5</v>
      </c>
      <c r="D18" t="s">
        <v>630</v>
      </c>
      <c r="E18" t="s">
        <v>631</v>
      </c>
      <c r="F18">
        <v>15</v>
      </c>
      <c r="H18">
        <v>1784477077.349999</v>
      </c>
      <c r="I18">
        <v>3.0179057947903806E-3</v>
      </c>
      <c r="J18">
        <v>3.0179057947903805</v>
      </c>
      <c r="K18">
        <v>33.915889438936752</v>
      </c>
      <c r="L18">
        <v>419.66850000000011</v>
      </c>
      <c r="M18">
        <v>144.45861225270997</v>
      </c>
      <c r="N18">
        <v>14.133600131866366</v>
      </c>
      <c r="O18">
        <v>41.059696437924842</v>
      </c>
      <c r="P18">
        <v>0.20906368984707305</v>
      </c>
      <c r="Q18">
        <v>2.8901996495546927</v>
      </c>
      <c r="R18">
        <v>0.2010109594285113</v>
      </c>
      <c r="S18">
        <v>0.12632951150139771</v>
      </c>
      <c r="T18">
        <v>255.91170862944037</v>
      </c>
      <c r="U18">
        <v>28.992858422881003</v>
      </c>
      <c r="V18">
        <v>28.59621666666667</v>
      </c>
      <c r="W18">
        <v>3.9287553613514068</v>
      </c>
      <c r="X18">
        <v>65.100739628405719</v>
      </c>
      <c r="Y18">
        <v>2.50816576879931</v>
      </c>
      <c r="Z18">
        <v>3.8527454267277021</v>
      </c>
      <c r="AA18">
        <v>1.4205895925520968</v>
      </c>
      <c r="AB18">
        <v>-133.0896455502558</v>
      </c>
      <c r="AC18">
        <v>-52.384449530694845</v>
      </c>
      <c r="AD18">
        <v>-3.9676849308077342</v>
      </c>
      <c r="AE18">
        <v>66.469928617682001</v>
      </c>
      <c r="AF18">
        <v>33.915889438936752</v>
      </c>
      <c r="AG18">
        <v>3.0179057947903805</v>
      </c>
      <c r="AH18">
        <v>33.976677556957426</v>
      </c>
      <c r="AI18">
        <v>472.47090791283699</v>
      </c>
      <c r="AJ18">
        <v>430.74037575757558</v>
      </c>
      <c r="AK18">
        <v>6.7421874201305148E-3</v>
      </c>
      <c r="AL18">
        <v>67.095657203554467</v>
      </c>
      <c r="AM18">
        <v>2.9991529582260839</v>
      </c>
      <c r="AN18">
        <v>22.101031471022448</v>
      </c>
      <c r="AO18">
        <v>25.611842424242429</v>
      </c>
      <c r="AP18">
        <v>-6.3507629520227814E-4</v>
      </c>
      <c r="AQ18">
        <v>78.256937206288683</v>
      </c>
      <c r="AR18">
        <v>0</v>
      </c>
      <c r="AS18">
        <v>0</v>
      </c>
      <c r="AT18">
        <v>1</v>
      </c>
      <c r="AU18">
        <v>0</v>
      </c>
      <c r="AV18">
        <v>51483.919667062539</v>
      </c>
      <c r="AW18" t="s">
        <v>623</v>
      </c>
      <c r="AX18">
        <v>5097.1400000000003</v>
      </c>
      <c r="AY18">
        <v>605.0617647058823</v>
      </c>
      <c r="AZ18">
        <v>2408.86</v>
      </c>
      <c r="BA18">
        <v>0.74881821081097188</v>
      </c>
      <c r="BB18">
        <v>-2.5855627598635031</v>
      </c>
      <c r="BC18" t="s">
        <v>632</v>
      </c>
      <c r="BD18">
        <v>5064.3500000000004</v>
      </c>
      <c r="BE18">
        <v>803.49929411764697</v>
      </c>
      <c r="BF18">
        <v>945.81</v>
      </c>
      <c r="BG18">
        <v>0.15046437009796154</v>
      </c>
      <c r="BH18">
        <v>0.5</v>
      </c>
      <c r="BI18">
        <v>1344.2744998080002</v>
      </c>
      <c r="BJ18">
        <v>33.915889438936752</v>
      </c>
      <c r="BK18">
        <v>101.13270792618154</v>
      </c>
      <c r="BL18">
        <v>2.7153272790649288E-2</v>
      </c>
      <c r="BM18">
        <v>1.5468751652023136</v>
      </c>
      <c r="BN18">
        <v>435.75177551474496</v>
      </c>
      <c r="BO18" t="s">
        <v>408</v>
      </c>
      <c r="BP18">
        <v>0</v>
      </c>
      <c r="BQ18">
        <v>435.75177551474496</v>
      </c>
      <c r="BR18">
        <v>0.53928191125623015</v>
      </c>
      <c r="BS18">
        <v>0.27900874655235947</v>
      </c>
      <c r="BT18">
        <v>0.74149505934053928</v>
      </c>
      <c r="BU18">
        <v>0.41764179867143597</v>
      </c>
      <c r="BV18">
        <v>0.81109404110346239</v>
      </c>
      <c r="BW18">
        <v>0.15131134225555745</v>
      </c>
      <c r="BX18">
        <v>0.84868865774444258</v>
      </c>
      <c r="DG18">
        <v>1599.9849999999999</v>
      </c>
      <c r="DH18">
        <v>1344.2744998080002</v>
      </c>
      <c r="DI18">
        <v>0.84017943906224135</v>
      </c>
      <c r="DJ18">
        <v>0.15994631739012577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1784477077.349999</v>
      </c>
      <c r="DQ18">
        <v>419.66850000000011</v>
      </c>
      <c r="DR18">
        <v>461.88890000000009</v>
      </c>
      <c r="DS18">
        <v>25.6358</v>
      </c>
      <c r="DT18">
        <v>22.10702666666667</v>
      </c>
      <c r="DU18">
        <v>426.47559999999987</v>
      </c>
      <c r="DV18">
        <v>26.25393</v>
      </c>
      <c r="DW18">
        <v>499.98213333333331</v>
      </c>
      <c r="DX18">
        <v>97.781873333333351</v>
      </c>
      <c r="DY18">
        <v>5.6531116666666673E-2</v>
      </c>
      <c r="DZ18">
        <v>28.260023333333329</v>
      </c>
      <c r="EA18">
        <v>28.59621666666667</v>
      </c>
      <c r="EB18">
        <v>999.9000000000002</v>
      </c>
      <c r="EC18">
        <v>0</v>
      </c>
      <c r="ED18">
        <v>0</v>
      </c>
      <c r="EE18">
        <v>9999.1666666666661</v>
      </c>
      <c r="EF18">
        <v>0</v>
      </c>
      <c r="EG18">
        <v>1257.3383333333329</v>
      </c>
      <c r="EH18">
        <v>-42.220446666666668</v>
      </c>
      <c r="EI18">
        <v>430.71006666666671</v>
      </c>
      <c r="EJ18">
        <v>472.33073333333328</v>
      </c>
      <c r="EK18">
        <v>3.5287670000000002</v>
      </c>
      <c r="EL18">
        <v>461.88890000000009</v>
      </c>
      <c r="EM18">
        <v>22.10702666666667</v>
      </c>
      <c r="EN18">
        <v>2.5067153333333332</v>
      </c>
      <c r="EO18">
        <v>2.1616673333333329</v>
      </c>
      <c r="EP18">
        <v>21.070170000000001</v>
      </c>
      <c r="EQ18">
        <v>18.681016666666661</v>
      </c>
      <c r="ER18">
        <v>1599.9849999999999</v>
      </c>
      <c r="ES18">
        <v>0.99400173333333375</v>
      </c>
      <c r="ET18">
        <v>5.9982246666666688E-3</v>
      </c>
      <c r="EU18">
        <v>0</v>
      </c>
      <c r="EV18">
        <v>803.44740000000013</v>
      </c>
      <c r="EW18">
        <v>5.0010700000000003</v>
      </c>
      <c r="EX18">
        <v>17946.509999999998</v>
      </c>
      <c r="EY18">
        <v>14578.37</v>
      </c>
      <c r="EZ18">
        <v>45.936999999999983</v>
      </c>
      <c r="FA18">
        <v>48.311999999999983</v>
      </c>
      <c r="FB18">
        <v>47.061999999999983</v>
      </c>
      <c r="FC18">
        <v>47.441199999999981</v>
      </c>
      <c r="FD18">
        <v>46.995800000000003</v>
      </c>
      <c r="FE18">
        <v>1585.415</v>
      </c>
      <c r="FF18">
        <v>9.5699999999999985</v>
      </c>
      <c r="FG18">
        <v>0</v>
      </c>
      <c r="FH18">
        <v>181.4000000953674</v>
      </c>
      <c r="FI18">
        <v>0</v>
      </c>
      <c r="FJ18">
        <v>803.49929411764697</v>
      </c>
      <c r="FK18">
        <v>3.2647058634026829</v>
      </c>
      <c r="FL18">
        <v>-92.156858588659745</v>
      </c>
      <c r="FM18">
        <v>17942.805882352939</v>
      </c>
      <c r="FN18">
        <v>10</v>
      </c>
      <c r="FO18">
        <v>1784476972.0999999</v>
      </c>
      <c r="FP18" t="s">
        <v>633</v>
      </c>
      <c r="FQ18">
        <v>1784476972.0999999</v>
      </c>
      <c r="FR18">
        <v>1784476967.0999999</v>
      </c>
      <c r="FS18">
        <v>3</v>
      </c>
      <c r="FT18">
        <v>3.0000000000000001E-3</v>
      </c>
      <c r="FU18">
        <v>-7.0000000000000001E-3</v>
      </c>
      <c r="FV18">
        <v>-6.9580000000000002</v>
      </c>
      <c r="FW18">
        <v>-0.69899999999999995</v>
      </c>
      <c r="FX18">
        <v>460</v>
      </c>
      <c r="FY18">
        <v>23</v>
      </c>
      <c r="FZ18">
        <v>0.19</v>
      </c>
      <c r="GA18">
        <v>0.1</v>
      </c>
      <c r="GB18">
        <v>419.66860000000008</v>
      </c>
      <c r="GC18">
        <v>-2.5735261401735519E-2</v>
      </c>
      <c r="GD18">
        <v>6.1652034300045178E-2</v>
      </c>
      <c r="GE18">
        <v>-1</v>
      </c>
      <c r="GF18">
        <v>803.39067647058823</v>
      </c>
      <c r="GG18">
        <v>1.2765011474809811</v>
      </c>
      <c r="GH18">
        <v>0.3021782411861646</v>
      </c>
      <c r="GI18">
        <v>1</v>
      </c>
      <c r="GJ18">
        <v>3.5352285000000001</v>
      </c>
      <c r="GK18">
        <v>-0.13467287054409341</v>
      </c>
      <c r="GL18">
        <v>1.7139482569494321E-2</v>
      </c>
      <c r="GM18">
        <v>1</v>
      </c>
      <c r="GN18">
        <v>2</v>
      </c>
      <c r="GO18">
        <v>2</v>
      </c>
      <c r="GP18" t="s">
        <v>424</v>
      </c>
      <c r="GQ18">
        <v>3.1309200000000001</v>
      </c>
      <c r="GR18">
        <v>2.73299</v>
      </c>
      <c r="GS18">
        <v>9.0715900000000002E-2</v>
      </c>
      <c r="GT18">
        <v>9.71336E-2</v>
      </c>
      <c r="GU18">
        <v>0.118117</v>
      </c>
      <c r="GV18">
        <v>0.10505399999999999</v>
      </c>
      <c r="GW18">
        <v>22656.1</v>
      </c>
      <c r="GX18">
        <v>30150.400000000001</v>
      </c>
      <c r="GY18">
        <v>27047.599999999999</v>
      </c>
      <c r="GZ18">
        <v>34368.5</v>
      </c>
      <c r="HA18">
        <v>34960.5</v>
      </c>
      <c r="HB18">
        <v>38971.599999999999</v>
      </c>
      <c r="HC18">
        <v>39947.300000000003</v>
      </c>
      <c r="HD18">
        <v>43617.9</v>
      </c>
      <c r="HE18">
        <v>1.9272</v>
      </c>
      <c r="HF18">
        <v>1.7054</v>
      </c>
      <c r="HG18">
        <v>-7.3760699999999998E-2</v>
      </c>
      <c r="HH18">
        <v>0</v>
      </c>
      <c r="HI18">
        <v>29.8278</v>
      </c>
      <c r="HJ18">
        <v>999.9</v>
      </c>
      <c r="HK18">
        <v>58.8</v>
      </c>
      <c r="HL18">
        <v>37.799999999999997</v>
      </c>
      <c r="HM18">
        <v>39.6006</v>
      </c>
      <c r="HN18">
        <v>61.299500000000002</v>
      </c>
      <c r="HO18">
        <v>3.9943900000000001</v>
      </c>
      <c r="HP18">
        <v>1</v>
      </c>
      <c r="HQ18">
        <v>0.92197200000000001</v>
      </c>
      <c r="HR18">
        <v>6.2104600000000003</v>
      </c>
      <c r="HS18">
        <v>20.124600000000001</v>
      </c>
      <c r="HT18">
        <v>5.2112999999999996</v>
      </c>
      <c r="HU18">
        <v>11.914099999999999</v>
      </c>
      <c r="HV18">
        <v>4.984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1.86768</v>
      </c>
      <c r="IC18">
        <v>1.86328</v>
      </c>
      <c r="ID18">
        <v>1.8627899999999999</v>
      </c>
      <c r="IE18">
        <v>1.8623099999999999</v>
      </c>
      <c r="IF18">
        <v>1.8623400000000001</v>
      </c>
      <c r="IG18">
        <v>1.8629500000000001</v>
      </c>
      <c r="IH18">
        <v>1.8638600000000001</v>
      </c>
      <c r="II18">
        <v>1.86178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-6.8070000000000004</v>
      </c>
      <c r="IX18">
        <v>-0.61890000000000001</v>
      </c>
      <c r="IY18">
        <v>-4.8175945126640229</v>
      </c>
      <c r="IZ18">
        <v>-5.6215304933332991E-3</v>
      </c>
      <c r="JA18">
        <v>2.3979931213773931E-6</v>
      </c>
      <c r="JB18">
        <v>-3.6297174575716598E-10</v>
      </c>
      <c r="JC18">
        <v>-1.0739192009033209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1.9</v>
      </c>
      <c r="JL18">
        <v>2</v>
      </c>
      <c r="JM18">
        <v>1.1853</v>
      </c>
      <c r="JN18">
        <v>2.5439500000000002</v>
      </c>
      <c r="JO18">
        <v>1.50024</v>
      </c>
      <c r="JP18">
        <v>2.2753899999999998</v>
      </c>
      <c r="JQ18">
        <v>1.4477500000000001</v>
      </c>
      <c r="JR18">
        <v>2.3877000000000002</v>
      </c>
      <c r="JS18">
        <v>42.939</v>
      </c>
      <c r="JT18">
        <v>23.851099999999999</v>
      </c>
      <c r="JU18">
        <v>18</v>
      </c>
      <c r="JV18">
        <v>550.524</v>
      </c>
      <c r="JW18">
        <v>416.33300000000003</v>
      </c>
      <c r="JX18">
        <v>23.5291</v>
      </c>
      <c r="JY18">
        <v>38.130000000000003</v>
      </c>
      <c r="JZ18">
        <v>29.9999</v>
      </c>
      <c r="KA18">
        <v>37.836500000000001</v>
      </c>
      <c r="KB18">
        <v>37.6982</v>
      </c>
      <c r="KC18">
        <v>23.720500000000001</v>
      </c>
      <c r="KD18">
        <v>52.558599999999998</v>
      </c>
      <c r="KE18">
        <v>0</v>
      </c>
      <c r="KF18">
        <v>23.523199999999999</v>
      </c>
      <c r="KG18">
        <v>462.24299999999999</v>
      </c>
      <c r="KH18">
        <v>22.0809</v>
      </c>
      <c r="KI18">
        <v>99.832700000000003</v>
      </c>
      <c r="KJ18">
        <v>98.123500000000007</v>
      </c>
    </row>
    <row r="19" spans="1:296" x14ac:dyDescent="0.3">
      <c r="A19">
        <v>4</v>
      </c>
      <c r="B19">
        <v>1784477267.0999999</v>
      </c>
      <c r="C19">
        <v>574.5</v>
      </c>
      <c r="D19" t="s">
        <v>634</v>
      </c>
      <c r="E19" t="s">
        <v>635</v>
      </c>
      <c r="F19">
        <v>15</v>
      </c>
      <c r="H19">
        <v>1784477259.349999</v>
      </c>
      <c r="I19">
        <v>2.8951267843517628E-3</v>
      </c>
      <c r="J19">
        <v>2.895126784351763</v>
      </c>
      <c r="K19">
        <v>34.848043444248653</v>
      </c>
      <c r="L19">
        <v>419.98626666666672</v>
      </c>
      <c r="M19">
        <v>130.85923413018557</v>
      </c>
      <c r="N19">
        <v>12.803101752833822</v>
      </c>
      <c r="O19">
        <v>41.090924478257975</v>
      </c>
      <c r="P19">
        <v>0.20385683437275498</v>
      </c>
      <c r="Q19">
        <v>2.891341244363129</v>
      </c>
      <c r="R19">
        <v>0.1961952201922588</v>
      </c>
      <c r="S19">
        <v>0.12328638700170431</v>
      </c>
      <c r="T19">
        <v>224.00264396720732</v>
      </c>
      <c r="U19">
        <v>28.859520850551128</v>
      </c>
      <c r="V19">
        <v>28.576550000000001</v>
      </c>
      <c r="W19">
        <v>3.9242731812187182</v>
      </c>
      <c r="X19">
        <v>65.523856316599151</v>
      </c>
      <c r="Y19">
        <v>2.5281368970172391</v>
      </c>
      <c r="Z19">
        <v>3.8583457066411802</v>
      </c>
      <c r="AA19">
        <v>1.3961362842014791</v>
      </c>
      <c r="AB19">
        <v>-127.67509118991273</v>
      </c>
      <c r="AC19">
        <v>-45.447786521267993</v>
      </c>
      <c r="AD19">
        <v>-3.4410219514895406</v>
      </c>
      <c r="AE19">
        <v>47.438744304537046</v>
      </c>
      <c r="AF19">
        <v>34.848043444248653</v>
      </c>
      <c r="AG19">
        <v>2.895126784351763</v>
      </c>
      <c r="AH19">
        <v>34.969069302887618</v>
      </c>
      <c r="AI19">
        <v>473.96845272238409</v>
      </c>
      <c r="AJ19">
        <v>431.079903030303</v>
      </c>
      <c r="AK19">
        <v>-7.3904259243619264E-3</v>
      </c>
      <c r="AL19">
        <v>67.084190571690925</v>
      </c>
      <c r="AM19">
        <v>2.9253826579838083</v>
      </c>
      <c r="AN19">
        <v>22.411016523463211</v>
      </c>
      <c r="AO19">
        <v>25.83182787878787</v>
      </c>
      <c r="AP19">
        <v>-1.6325252525258301E-4</v>
      </c>
      <c r="AQ19">
        <v>78.55</v>
      </c>
      <c r="AR19">
        <v>0</v>
      </c>
      <c r="AS19">
        <v>0</v>
      </c>
      <c r="AT19">
        <v>1</v>
      </c>
      <c r="AU19">
        <v>0</v>
      </c>
      <c r="AV19">
        <v>51512.042746628031</v>
      </c>
      <c r="AW19" t="s">
        <v>623</v>
      </c>
      <c r="AX19">
        <v>5097.1400000000003</v>
      </c>
      <c r="AY19">
        <v>605.0617647058823</v>
      </c>
      <c r="AZ19">
        <v>2408.86</v>
      </c>
      <c r="BA19">
        <v>0.74881821081097188</v>
      </c>
      <c r="BB19">
        <v>-2.5855627598635031</v>
      </c>
      <c r="BC19" t="s">
        <v>636</v>
      </c>
      <c r="BD19">
        <v>5065.75</v>
      </c>
      <c r="BE19">
        <v>809.3870588235294</v>
      </c>
      <c r="BF19">
        <v>1001.96</v>
      </c>
      <c r="BG19">
        <v>0.19219623655282714</v>
      </c>
      <c r="BH19">
        <v>0.5</v>
      </c>
      <c r="BI19">
        <v>1176.2743597757549</v>
      </c>
      <c r="BJ19">
        <v>34.848043444248653</v>
      </c>
      <c r="BK19">
        <v>113.03775255124314</v>
      </c>
      <c r="BL19">
        <v>3.1823873310686208E-2</v>
      </c>
      <c r="BM19">
        <v>1.4041478701744581</v>
      </c>
      <c r="BN19">
        <v>447.3005000931301</v>
      </c>
      <c r="BO19" t="s">
        <v>408</v>
      </c>
      <c r="BP19">
        <v>0</v>
      </c>
      <c r="BQ19">
        <v>447.3005000931301</v>
      </c>
      <c r="BR19">
        <v>0.55357449389882829</v>
      </c>
      <c r="BS19">
        <v>0.34719127898973073</v>
      </c>
      <c r="BT19">
        <v>0.71723544458722566</v>
      </c>
      <c r="BU19">
        <v>0.48519475284077856</v>
      </c>
      <c r="BV19">
        <v>0.77996528240898211</v>
      </c>
      <c r="BW19">
        <v>0.19187214698714353</v>
      </c>
      <c r="BX19">
        <v>0.8081278530128565</v>
      </c>
      <c r="DG19">
        <v>1399.977333333333</v>
      </c>
      <c r="DH19">
        <v>1176.2743597757549</v>
      </c>
      <c r="DI19">
        <v>0.84020957466151003</v>
      </c>
      <c r="DJ19">
        <v>0.16000447909671445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1784477259.349999</v>
      </c>
      <c r="DQ19">
        <v>419.98626666666672</v>
      </c>
      <c r="DR19">
        <v>463.26343333333341</v>
      </c>
      <c r="DS19">
        <v>25.83983666666667</v>
      </c>
      <c r="DT19">
        <v>22.455423333333329</v>
      </c>
      <c r="DU19">
        <v>426.8021</v>
      </c>
      <c r="DV19">
        <v>26.450743333333332</v>
      </c>
      <c r="DW19">
        <v>499.99516666666659</v>
      </c>
      <c r="DX19">
        <v>97.782433333333344</v>
      </c>
      <c r="DY19">
        <v>5.6300309999999999E-2</v>
      </c>
      <c r="DZ19">
        <v>28.284990000000011</v>
      </c>
      <c r="EA19">
        <v>28.576550000000001</v>
      </c>
      <c r="EB19">
        <v>999.9000000000002</v>
      </c>
      <c r="EC19">
        <v>0</v>
      </c>
      <c r="ED19">
        <v>0</v>
      </c>
      <c r="EE19">
        <v>10005.66666666667</v>
      </c>
      <c r="EF19">
        <v>0</v>
      </c>
      <c r="EG19">
        <v>1271.022666666667</v>
      </c>
      <c r="EH19">
        <v>-43.277213333333329</v>
      </c>
      <c r="EI19">
        <v>431.12653333333333</v>
      </c>
      <c r="EJ19">
        <v>473.90519999999998</v>
      </c>
      <c r="EK19">
        <v>3.3844186666666669</v>
      </c>
      <c r="EL19">
        <v>463.26343333333341</v>
      </c>
      <c r="EM19">
        <v>22.455423333333329</v>
      </c>
      <c r="EN19">
        <v>2.526682666666666</v>
      </c>
      <c r="EO19">
        <v>2.1957463333333331</v>
      </c>
      <c r="EP19">
        <v>21.199406666666661</v>
      </c>
      <c r="EQ19">
        <v>18.931306666666671</v>
      </c>
      <c r="ER19">
        <v>1399.977333333333</v>
      </c>
      <c r="ES19">
        <v>0.99298810000000015</v>
      </c>
      <c r="ET19">
        <v>7.0122410000000024E-3</v>
      </c>
      <c r="EU19">
        <v>0</v>
      </c>
      <c r="EV19">
        <v>809.43056666666666</v>
      </c>
      <c r="EW19">
        <v>5.0010700000000003</v>
      </c>
      <c r="EX19">
        <v>16318.646666666669</v>
      </c>
      <c r="EY19">
        <v>12745.26</v>
      </c>
      <c r="EZ19">
        <v>45.75</v>
      </c>
      <c r="FA19">
        <v>48.441199999999981</v>
      </c>
      <c r="FB19">
        <v>47.061999999999983</v>
      </c>
      <c r="FC19">
        <v>47.561999999999983</v>
      </c>
      <c r="FD19">
        <v>46.936999999999983</v>
      </c>
      <c r="FE19">
        <v>1385.197333333334</v>
      </c>
      <c r="FF19">
        <v>9.7799999999999958</v>
      </c>
      <c r="FG19">
        <v>0</v>
      </c>
      <c r="FH19">
        <v>181.5</v>
      </c>
      <c r="FI19">
        <v>0</v>
      </c>
      <c r="FJ19">
        <v>809.3870588235294</v>
      </c>
      <c r="FK19">
        <v>2.0343150895619729E-2</v>
      </c>
      <c r="FL19">
        <v>-112.54902013660841</v>
      </c>
      <c r="FM19">
        <v>16318.34705882353</v>
      </c>
      <c r="FN19">
        <v>10</v>
      </c>
      <c r="FO19">
        <v>1784477163.0999999</v>
      </c>
      <c r="FP19" t="s">
        <v>637</v>
      </c>
      <c r="FQ19">
        <v>1784477162.5999999</v>
      </c>
      <c r="FR19">
        <v>1784477163.0999999</v>
      </c>
      <c r="FS19">
        <v>4</v>
      </c>
      <c r="FT19">
        <v>-8.0000000000000002E-3</v>
      </c>
      <c r="FU19">
        <v>2E-3</v>
      </c>
      <c r="FV19">
        <v>-6.9740000000000002</v>
      </c>
      <c r="FW19">
        <v>-0.70399999999999996</v>
      </c>
      <c r="FX19">
        <v>463</v>
      </c>
      <c r="FY19">
        <v>22</v>
      </c>
      <c r="FZ19">
        <v>0.24</v>
      </c>
      <c r="GA19">
        <v>0.06</v>
      </c>
      <c r="GB19">
        <v>419.99567741935482</v>
      </c>
      <c r="GC19">
        <v>-0.1732258064524744</v>
      </c>
      <c r="GD19">
        <v>6.9752274605886039E-2</v>
      </c>
      <c r="GE19">
        <v>-1</v>
      </c>
      <c r="GF19">
        <v>809.43958823529408</v>
      </c>
      <c r="GG19">
        <v>-0.26838807902901318</v>
      </c>
      <c r="GH19">
        <v>0.2044227335186603</v>
      </c>
      <c r="GI19">
        <v>1</v>
      </c>
      <c r="GJ19">
        <v>3.3793556097560979</v>
      </c>
      <c r="GK19">
        <v>8.2673519163764614E-2</v>
      </c>
      <c r="GL19">
        <v>1.95294494382178E-2</v>
      </c>
      <c r="GM19">
        <v>1</v>
      </c>
      <c r="GN19">
        <v>2</v>
      </c>
      <c r="GO19">
        <v>2</v>
      </c>
      <c r="GP19" t="s">
        <v>424</v>
      </c>
      <c r="GQ19">
        <v>3.13205</v>
      </c>
      <c r="GR19">
        <v>2.7314600000000002</v>
      </c>
      <c r="GS19">
        <v>9.0777399999999994E-2</v>
      </c>
      <c r="GT19">
        <v>9.7277699999999995E-2</v>
      </c>
      <c r="GU19">
        <v>0.11880300000000001</v>
      </c>
      <c r="GV19">
        <v>0.106031</v>
      </c>
      <c r="GW19">
        <v>22652.7</v>
      </c>
      <c r="GX19">
        <v>30144.5</v>
      </c>
      <c r="GY19">
        <v>27045.5</v>
      </c>
      <c r="GZ19">
        <v>34367.300000000003</v>
      </c>
      <c r="HA19">
        <v>34931.1</v>
      </c>
      <c r="HB19">
        <v>38926.800000000003</v>
      </c>
      <c r="HC19">
        <v>39944.400000000001</v>
      </c>
      <c r="HD19">
        <v>43615.1</v>
      </c>
      <c r="HE19">
        <v>1.9278</v>
      </c>
      <c r="HF19">
        <v>1.7021999999999999</v>
      </c>
      <c r="HG19">
        <v>-8.6098900000000006E-2</v>
      </c>
      <c r="HH19">
        <v>0</v>
      </c>
      <c r="HI19">
        <v>29.980399999999999</v>
      </c>
      <c r="HJ19">
        <v>999.9</v>
      </c>
      <c r="HK19">
        <v>58.4</v>
      </c>
      <c r="HL19">
        <v>38.1</v>
      </c>
      <c r="HM19">
        <v>39.976399999999998</v>
      </c>
      <c r="HN19">
        <v>61.2196</v>
      </c>
      <c r="HO19">
        <v>3.6458400000000002</v>
      </c>
      <c r="HP19">
        <v>1</v>
      </c>
      <c r="HQ19">
        <v>0.92298800000000003</v>
      </c>
      <c r="HR19">
        <v>6.0904400000000001</v>
      </c>
      <c r="HS19">
        <v>20.130099999999999</v>
      </c>
      <c r="HT19">
        <v>5.2088999999999999</v>
      </c>
      <c r="HU19">
        <v>11.914099999999999</v>
      </c>
      <c r="HV19">
        <v>4.9828000000000001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1.86771</v>
      </c>
      <c r="IC19">
        <v>1.8633999999999999</v>
      </c>
      <c r="ID19">
        <v>1.8628199999999999</v>
      </c>
      <c r="IE19">
        <v>1.8623400000000001</v>
      </c>
      <c r="IF19">
        <v>1.8623400000000001</v>
      </c>
      <c r="IG19">
        <v>1.8629500000000001</v>
      </c>
      <c r="IH19">
        <v>1.8638600000000001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-6.8159999999999998</v>
      </c>
      <c r="IX19">
        <v>-0.61109999999999998</v>
      </c>
      <c r="IY19">
        <v>-4.8251330392179987</v>
      </c>
      <c r="IZ19">
        <v>-5.6215304933332991E-3</v>
      </c>
      <c r="JA19">
        <v>2.3979931213773931E-6</v>
      </c>
      <c r="JB19">
        <v>-3.6297174575716598E-10</v>
      </c>
      <c r="JC19">
        <v>-1.0723627227989181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1.7</v>
      </c>
      <c r="JL19">
        <v>1.7</v>
      </c>
      <c r="JM19">
        <v>1.18774</v>
      </c>
      <c r="JN19">
        <v>2.5378400000000001</v>
      </c>
      <c r="JO19">
        <v>1.50024</v>
      </c>
      <c r="JP19">
        <v>2.2753899999999998</v>
      </c>
      <c r="JQ19">
        <v>1.4477500000000001</v>
      </c>
      <c r="JR19">
        <v>2.4694799999999999</v>
      </c>
      <c r="JS19">
        <v>43.6173</v>
      </c>
      <c r="JT19">
        <v>23.851099999999999</v>
      </c>
      <c r="JU19">
        <v>18</v>
      </c>
      <c r="JV19">
        <v>550.88199999999995</v>
      </c>
      <c r="JW19">
        <v>414.31400000000002</v>
      </c>
      <c r="JX19">
        <v>23.6584</v>
      </c>
      <c r="JY19">
        <v>38.140900000000002</v>
      </c>
      <c r="JZ19">
        <v>29.9998</v>
      </c>
      <c r="KA19">
        <v>37.8294</v>
      </c>
      <c r="KB19">
        <v>37.691000000000003</v>
      </c>
      <c r="KC19">
        <v>23.750599999999999</v>
      </c>
      <c r="KD19">
        <v>51.926200000000001</v>
      </c>
      <c r="KE19">
        <v>0</v>
      </c>
      <c r="KF19">
        <v>23.674900000000001</v>
      </c>
      <c r="KG19">
        <v>463.25799999999998</v>
      </c>
      <c r="KH19">
        <v>22.339700000000001</v>
      </c>
      <c r="KI19">
        <v>99.825299999999999</v>
      </c>
      <c r="KJ19">
        <v>98.118499999999997</v>
      </c>
    </row>
    <row r="20" spans="1:296" x14ac:dyDescent="0.3">
      <c r="A20">
        <v>5</v>
      </c>
      <c r="B20">
        <v>1784477605.5999999</v>
      </c>
      <c r="C20">
        <v>913</v>
      </c>
      <c r="D20" t="s">
        <v>638</v>
      </c>
      <c r="E20" t="s">
        <v>639</v>
      </c>
      <c r="F20">
        <v>15</v>
      </c>
      <c r="H20">
        <v>1784477597.849999</v>
      </c>
      <c r="I20">
        <v>3.7966375963258397E-3</v>
      </c>
      <c r="J20">
        <v>3.7966375963258399</v>
      </c>
      <c r="K20">
        <v>39.7198252308173</v>
      </c>
      <c r="L20">
        <v>419.63193333333339</v>
      </c>
      <c r="M20">
        <v>153.40469019992011</v>
      </c>
      <c r="N20">
        <v>15.009449907617716</v>
      </c>
      <c r="O20">
        <v>41.057704785917458</v>
      </c>
      <c r="P20">
        <v>0.25552812373052081</v>
      </c>
      <c r="Q20">
        <v>2.8909653063652132</v>
      </c>
      <c r="R20">
        <v>0.24361089348835224</v>
      </c>
      <c r="S20">
        <v>0.15328120046999294</v>
      </c>
      <c r="T20">
        <v>319.77385169085079</v>
      </c>
      <c r="U20">
        <v>29.069067023351757</v>
      </c>
      <c r="V20">
        <v>28.58442333333333</v>
      </c>
      <c r="W20">
        <v>3.9260670370250375</v>
      </c>
      <c r="X20">
        <v>63.984962811345639</v>
      </c>
      <c r="Y20">
        <v>2.4509039819407032</v>
      </c>
      <c r="Z20">
        <v>3.830437456323903</v>
      </c>
      <c r="AA20">
        <v>1.4751630550843342</v>
      </c>
      <c r="AB20">
        <v>-167.43171799796954</v>
      </c>
      <c r="AC20">
        <v>-66.10965024395874</v>
      </c>
      <c r="AD20">
        <v>-5.0031505691751716</v>
      </c>
      <c r="AE20">
        <v>81.229332879747361</v>
      </c>
      <c r="AF20">
        <v>39.7198252308173</v>
      </c>
      <c r="AG20">
        <v>3.7966375963258399</v>
      </c>
      <c r="AH20">
        <v>39.666033680313582</v>
      </c>
      <c r="AI20">
        <v>479.3043179787233</v>
      </c>
      <c r="AJ20">
        <v>430.54687878787888</v>
      </c>
      <c r="AK20">
        <v>3.0323122518178119E-2</v>
      </c>
      <c r="AL20">
        <v>67.033353356206732</v>
      </c>
      <c r="AM20">
        <v>3.7495550312640797</v>
      </c>
      <c r="AN20">
        <v>20.68089721315145</v>
      </c>
      <c r="AO20">
        <v>25.065050303030311</v>
      </c>
      <c r="AP20">
        <v>3.8547914693503119E-4</v>
      </c>
      <c r="AQ20">
        <v>78.06087724827843</v>
      </c>
      <c r="AR20">
        <v>0</v>
      </c>
      <c r="AS20">
        <v>0</v>
      </c>
      <c r="AT20">
        <v>1</v>
      </c>
      <c r="AU20">
        <v>0</v>
      </c>
      <c r="AV20">
        <v>51522.78213472588</v>
      </c>
      <c r="AW20" t="s">
        <v>623</v>
      </c>
      <c r="AX20">
        <v>5097.1400000000003</v>
      </c>
      <c r="AY20">
        <v>605.0617647058823</v>
      </c>
      <c r="AZ20">
        <v>2408.86</v>
      </c>
      <c r="BA20">
        <v>0.74881821081097188</v>
      </c>
      <c r="BB20">
        <v>-2.5855627598635031</v>
      </c>
      <c r="BC20" t="s">
        <v>640</v>
      </c>
      <c r="BD20">
        <v>5061.8999999999996</v>
      </c>
      <c r="BE20">
        <v>797.88752941176472</v>
      </c>
      <c r="BF20">
        <v>906.12</v>
      </c>
      <c r="BG20">
        <v>0.11944606739530672</v>
      </c>
      <c r="BH20">
        <v>0.5</v>
      </c>
      <c r="BI20">
        <v>1680.2783998398188</v>
      </c>
      <c r="BJ20">
        <v>39.7198252308173</v>
      </c>
      <c r="BK20">
        <v>100.35132349507256</v>
      </c>
      <c r="BL20">
        <v>2.5177606279241451E-2</v>
      </c>
      <c r="BM20">
        <v>1.6584337615326892</v>
      </c>
      <c r="BN20">
        <v>427.13206225421078</v>
      </c>
      <c r="BO20" t="s">
        <v>408</v>
      </c>
      <c r="BP20">
        <v>0</v>
      </c>
      <c r="BQ20">
        <v>427.13206225421078</v>
      </c>
      <c r="BR20">
        <v>0.52861424286605441</v>
      </c>
      <c r="BS20">
        <v>0.22596074359951199</v>
      </c>
      <c r="BT20">
        <v>0.7582978326022709</v>
      </c>
      <c r="BU20">
        <v>0.35950675948956512</v>
      </c>
      <c r="BV20">
        <v>0.83309761069533994</v>
      </c>
      <c r="BW20">
        <v>0.1209632621696812</v>
      </c>
      <c r="BX20">
        <v>0.87903673783031877</v>
      </c>
      <c r="DG20">
        <v>1999.9749999999999</v>
      </c>
      <c r="DH20">
        <v>1680.2783998398188</v>
      </c>
      <c r="DI20">
        <v>0.84014970179118187</v>
      </c>
      <c r="DJ20">
        <v>0.15988892445698111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1784477597.849999</v>
      </c>
      <c r="DQ20">
        <v>419.63193333333339</v>
      </c>
      <c r="DR20">
        <v>469.20546666666661</v>
      </c>
      <c r="DS20">
        <v>25.049563333333332</v>
      </c>
      <c r="DT20">
        <v>20.60791</v>
      </c>
      <c r="DU20">
        <v>426.42693333333341</v>
      </c>
      <c r="DV20">
        <v>25.71632666666666</v>
      </c>
      <c r="DW20">
        <v>500.02103333333338</v>
      </c>
      <c r="DX20">
        <v>97.78576000000001</v>
      </c>
      <c r="DY20">
        <v>5.6423886666666659E-2</v>
      </c>
      <c r="DZ20">
        <v>28.160256666666669</v>
      </c>
      <c r="EA20">
        <v>28.58442333333333</v>
      </c>
      <c r="EB20">
        <v>999.9000000000002</v>
      </c>
      <c r="EC20">
        <v>0</v>
      </c>
      <c r="ED20">
        <v>0</v>
      </c>
      <c r="EE20">
        <v>10003.16666666667</v>
      </c>
      <c r="EF20">
        <v>0</v>
      </c>
      <c r="EG20">
        <v>1304.7296666666671</v>
      </c>
      <c r="EH20">
        <v>-49.573480000000004</v>
      </c>
      <c r="EI20">
        <v>430.41356666666672</v>
      </c>
      <c r="EJ20">
        <v>479.07819999999998</v>
      </c>
      <c r="EK20">
        <v>4.4416570000000002</v>
      </c>
      <c r="EL20">
        <v>469.20546666666661</v>
      </c>
      <c r="EM20">
        <v>20.60791</v>
      </c>
      <c r="EN20">
        <v>2.4494880000000001</v>
      </c>
      <c r="EO20">
        <v>2.0151590000000001</v>
      </c>
      <c r="EP20">
        <v>20.694723333333329</v>
      </c>
      <c r="EQ20">
        <v>17.56380333333334</v>
      </c>
      <c r="ER20">
        <v>1999.9749999999999</v>
      </c>
      <c r="ES20">
        <v>0.99499623333333354</v>
      </c>
      <c r="ET20">
        <v>5.0035849999999996E-3</v>
      </c>
      <c r="EU20">
        <v>0</v>
      </c>
      <c r="EV20">
        <v>797.81423333333316</v>
      </c>
      <c r="EW20">
        <v>5.0010700000000003</v>
      </c>
      <c r="EX20">
        <v>21223.360000000001</v>
      </c>
      <c r="EY20">
        <v>18241.386666666669</v>
      </c>
      <c r="EZ20">
        <v>46.243699999999997</v>
      </c>
      <c r="FA20">
        <v>48.3645</v>
      </c>
      <c r="FB20">
        <v>47.064099999999968</v>
      </c>
      <c r="FC20">
        <v>47.491599999999998</v>
      </c>
      <c r="FD20">
        <v>47.116599999999998</v>
      </c>
      <c r="FE20">
        <v>1984.9949999999999</v>
      </c>
      <c r="FF20">
        <v>9.9800000000000022</v>
      </c>
      <c r="FG20">
        <v>0</v>
      </c>
      <c r="FH20">
        <v>337.79999995231628</v>
      </c>
      <c r="FI20">
        <v>0</v>
      </c>
      <c r="FJ20">
        <v>797.88752941176472</v>
      </c>
      <c r="FK20">
        <v>0.65147059048440537</v>
      </c>
      <c r="FL20">
        <v>99.534313438655943</v>
      </c>
      <c r="FM20">
        <v>21228.18235294117</v>
      </c>
      <c r="FN20">
        <v>10</v>
      </c>
      <c r="FO20">
        <v>1784477511.5999999</v>
      </c>
      <c r="FP20" t="s">
        <v>641</v>
      </c>
      <c r="FQ20">
        <v>1784477509.5999999</v>
      </c>
      <c r="FR20">
        <v>1784477511.5999999</v>
      </c>
      <c r="FS20">
        <v>7</v>
      </c>
      <c r="FT20">
        <v>1.7000000000000001E-2</v>
      </c>
      <c r="FU20">
        <v>-2.5999999999999999E-2</v>
      </c>
      <c r="FV20">
        <v>-6.9660000000000002</v>
      </c>
      <c r="FW20">
        <v>-0.70099999999999996</v>
      </c>
      <c r="FX20">
        <v>466</v>
      </c>
      <c r="FY20">
        <v>24</v>
      </c>
      <c r="FZ20">
        <v>0.21</v>
      </c>
      <c r="GA20">
        <v>0.12</v>
      </c>
      <c r="GB20">
        <v>419.61436666666668</v>
      </c>
      <c r="GC20">
        <v>0.90140155728592208</v>
      </c>
      <c r="GD20">
        <v>8.3077667810842734E-2</v>
      </c>
      <c r="GE20">
        <v>-1</v>
      </c>
      <c r="GF20">
        <v>797.69973529411766</v>
      </c>
      <c r="GG20">
        <v>1.7731245188138529</v>
      </c>
      <c r="GH20">
        <v>0.27444106930091688</v>
      </c>
      <c r="GI20">
        <v>1</v>
      </c>
      <c r="GJ20">
        <v>4.5239635000000007</v>
      </c>
      <c r="GK20">
        <v>-1.4111529455909999</v>
      </c>
      <c r="GL20">
        <v>0.14064921083230431</v>
      </c>
      <c r="GM20">
        <v>0</v>
      </c>
      <c r="GN20">
        <v>1</v>
      </c>
      <c r="GO20">
        <v>2</v>
      </c>
      <c r="GP20" t="s">
        <v>411</v>
      </c>
      <c r="GQ20">
        <v>3.1305200000000002</v>
      </c>
      <c r="GR20">
        <v>2.7326199999999998</v>
      </c>
      <c r="GS20">
        <v>9.0706499999999995E-2</v>
      </c>
      <c r="GT20">
        <v>9.8228899999999994E-2</v>
      </c>
      <c r="GU20">
        <v>0.116526</v>
      </c>
      <c r="GV20">
        <v>0.10042</v>
      </c>
      <c r="GW20">
        <v>22651.9</v>
      </c>
      <c r="GX20">
        <v>30110.400000000001</v>
      </c>
      <c r="GY20">
        <v>27042.9</v>
      </c>
      <c r="GZ20">
        <v>34365.599999999999</v>
      </c>
      <c r="HA20">
        <v>35018.9</v>
      </c>
      <c r="HB20">
        <v>39168.5</v>
      </c>
      <c r="HC20">
        <v>39941.9</v>
      </c>
      <c r="HD20">
        <v>43613</v>
      </c>
      <c r="HE20">
        <v>1.9259999999999999</v>
      </c>
      <c r="HF20">
        <v>1.6956</v>
      </c>
      <c r="HG20">
        <v>-8.7618799999999997E-2</v>
      </c>
      <c r="HH20">
        <v>0</v>
      </c>
      <c r="HI20">
        <v>30.009399999999999</v>
      </c>
      <c r="HJ20">
        <v>999.9</v>
      </c>
      <c r="HK20">
        <v>57.5</v>
      </c>
      <c r="HL20">
        <v>38.6</v>
      </c>
      <c r="HM20">
        <v>40.434600000000003</v>
      </c>
      <c r="HN20">
        <v>61.259700000000002</v>
      </c>
      <c r="HO20">
        <v>4.2387800000000002</v>
      </c>
      <c r="HP20">
        <v>1</v>
      </c>
      <c r="HQ20">
        <v>0.93792699999999996</v>
      </c>
      <c r="HR20">
        <v>6.9387600000000003</v>
      </c>
      <c r="HS20">
        <v>20.0946</v>
      </c>
      <c r="HT20">
        <v>5.2100999999999997</v>
      </c>
      <c r="HU20">
        <v>11.914099999999999</v>
      </c>
      <c r="HV20">
        <v>4.9828000000000001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1.8628199999999999</v>
      </c>
      <c r="IE20">
        <v>1.8623400000000001</v>
      </c>
      <c r="IF20">
        <v>1.8623400000000001</v>
      </c>
      <c r="IG20">
        <v>1.8629500000000001</v>
      </c>
      <c r="IH20">
        <v>1.8638600000000001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-6.7949999999999999</v>
      </c>
      <c r="IX20">
        <v>-0.66639999999999999</v>
      </c>
      <c r="IY20">
        <v>-4.8056261088320484</v>
      </c>
      <c r="IZ20">
        <v>-5.6215304933332991E-3</v>
      </c>
      <c r="JA20">
        <v>2.3979931213773931E-6</v>
      </c>
      <c r="JB20">
        <v>-3.6297174575716598E-10</v>
      </c>
      <c r="JC20">
        <v>-1.1071562886757229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1.6</v>
      </c>
      <c r="JL20">
        <v>1.6</v>
      </c>
      <c r="JM20">
        <v>1.1962900000000001</v>
      </c>
      <c r="JN20">
        <v>2.5500500000000001</v>
      </c>
      <c r="JO20">
        <v>1.50024</v>
      </c>
      <c r="JP20">
        <v>2.2753899999999998</v>
      </c>
      <c r="JQ20">
        <v>1.4477500000000001</v>
      </c>
      <c r="JR20">
        <v>2.34863</v>
      </c>
      <c r="JS20">
        <v>44.613199999999999</v>
      </c>
      <c r="JT20">
        <v>23.816099999999999</v>
      </c>
      <c r="JU20">
        <v>18</v>
      </c>
      <c r="JV20">
        <v>549.92100000000005</v>
      </c>
      <c r="JW20">
        <v>410.43400000000003</v>
      </c>
      <c r="JX20">
        <v>22.983000000000001</v>
      </c>
      <c r="JY20">
        <v>38.250700000000002</v>
      </c>
      <c r="JZ20">
        <v>30.0001</v>
      </c>
      <c r="KA20">
        <v>37.865400000000001</v>
      </c>
      <c r="KB20">
        <v>37.719799999999999</v>
      </c>
      <c r="KC20">
        <v>23.938800000000001</v>
      </c>
      <c r="KD20">
        <v>55.021700000000003</v>
      </c>
      <c r="KE20">
        <v>0</v>
      </c>
      <c r="KF20">
        <v>23.0093</v>
      </c>
      <c r="KG20">
        <v>469.44799999999998</v>
      </c>
      <c r="KH20">
        <v>20.8825</v>
      </c>
      <c r="KI20">
        <v>99.817599999999999</v>
      </c>
      <c r="KJ20">
        <v>98.113600000000005</v>
      </c>
    </row>
    <row r="21" spans="1:296" x14ac:dyDescent="0.3">
      <c r="A21">
        <v>6</v>
      </c>
      <c r="B21">
        <v>1784477788.0999999</v>
      </c>
      <c r="C21">
        <v>1095.5</v>
      </c>
      <c r="D21" t="s">
        <v>642</v>
      </c>
      <c r="E21" t="s">
        <v>643</v>
      </c>
      <c r="F21">
        <v>15</v>
      </c>
      <c r="H21">
        <v>1784477780.349999</v>
      </c>
      <c r="I21">
        <v>3.2760515375439606E-3</v>
      </c>
      <c r="J21">
        <v>3.2760515375439607</v>
      </c>
      <c r="K21">
        <v>39.98535256882321</v>
      </c>
      <c r="L21">
        <v>419.94816666666668</v>
      </c>
      <c r="M21">
        <v>121.53672619433907</v>
      </c>
      <c r="N21">
        <v>11.891244200730451</v>
      </c>
      <c r="O21">
        <v>41.088042749295163</v>
      </c>
      <c r="P21">
        <v>0.2273214237891393</v>
      </c>
      <c r="Q21">
        <v>2.8902439880890229</v>
      </c>
      <c r="R21">
        <v>0.2178352268755836</v>
      </c>
      <c r="S21">
        <v>0.136966326465357</v>
      </c>
      <c r="T21">
        <v>271.90672082973794</v>
      </c>
      <c r="U21">
        <v>29.09661785442913</v>
      </c>
      <c r="V21">
        <v>28.619949999999999</v>
      </c>
      <c r="W21">
        <v>3.9341703099751775</v>
      </c>
      <c r="X21">
        <v>64.890786649033672</v>
      </c>
      <c r="Y21">
        <v>2.511197271180714</v>
      </c>
      <c r="Z21">
        <v>3.8698826148659577</v>
      </c>
      <c r="AA21">
        <v>1.4229730387944635</v>
      </c>
      <c r="AB21">
        <v>-144.47387280568867</v>
      </c>
      <c r="AC21">
        <v>-44.194376458932773</v>
      </c>
      <c r="AD21">
        <v>-3.3489701402828298</v>
      </c>
      <c r="AE21">
        <v>79.889501424833696</v>
      </c>
      <c r="AF21">
        <v>39.98535256882321</v>
      </c>
      <c r="AG21">
        <v>3.2760515375439607</v>
      </c>
      <c r="AH21">
        <v>40.270344080723028</v>
      </c>
      <c r="AI21">
        <v>480.24485887416711</v>
      </c>
      <c r="AJ21">
        <v>430.96998181818168</v>
      </c>
      <c r="AK21">
        <v>-2.3984725431259721E-2</v>
      </c>
      <c r="AL21">
        <v>67.086200838979252</v>
      </c>
      <c r="AM21">
        <v>3.3268230594729409</v>
      </c>
      <c r="AN21">
        <v>21.838644809740259</v>
      </c>
      <c r="AO21">
        <v>25.704287272727271</v>
      </c>
      <c r="AP21">
        <v>3.8690354978412481E-3</v>
      </c>
      <c r="AQ21">
        <v>78.55</v>
      </c>
      <c r="AR21">
        <v>0</v>
      </c>
      <c r="AS21">
        <v>0</v>
      </c>
      <c r="AT21">
        <v>1</v>
      </c>
      <c r="AU21">
        <v>0</v>
      </c>
      <c r="AV21">
        <v>51472.19435584826</v>
      </c>
      <c r="AW21" t="s">
        <v>623</v>
      </c>
      <c r="AX21">
        <v>5097.1400000000003</v>
      </c>
      <c r="AY21">
        <v>605.0617647058823</v>
      </c>
      <c r="AZ21">
        <v>2408.86</v>
      </c>
      <c r="BA21">
        <v>0.74881821081097188</v>
      </c>
      <c r="BB21">
        <v>-2.5855627598635031</v>
      </c>
      <c r="BC21" t="s">
        <v>644</v>
      </c>
      <c r="BD21">
        <v>5062.93</v>
      </c>
      <c r="BE21">
        <v>803.27582352941181</v>
      </c>
      <c r="BF21">
        <v>957.07</v>
      </c>
      <c r="BG21">
        <v>0.1606927147132271</v>
      </c>
      <c r="BH21">
        <v>0.5</v>
      </c>
      <c r="BI21">
        <v>1428.2966798081547</v>
      </c>
      <c r="BJ21">
        <v>39.98535256882321</v>
      </c>
      <c r="BK21">
        <v>114.75843544713065</v>
      </c>
      <c r="BL21">
        <v>2.9805373022644518E-2</v>
      </c>
      <c r="BM21">
        <v>1.5169109887469046</v>
      </c>
      <c r="BN21">
        <v>438.12658930373823</v>
      </c>
      <c r="BO21" t="s">
        <v>408</v>
      </c>
      <c r="BP21">
        <v>0</v>
      </c>
      <c r="BQ21">
        <v>438.12658930373823</v>
      </c>
      <c r="BR21">
        <v>0.54222095635247347</v>
      </c>
      <c r="BS21">
        <v>0.29636020672127611</v>
      </c>
      <c r="BT21">
        <v>0.73667498207536919</v>
      </c>
      <c r="BU21">
        <v>0.43690505235505844</v>
      </c>
      <c r="BV21">
        <v>0.8048516577926903</v>
      </c>
      <c r="BW21">
        <v>0.16164221898978801</v>
      </c>
      <c r="BX21">
        <v>0.83835778101021197</v>
      </c>
      <c r="DG21">
        <v>1699.9903333333341</v>
      </c>
      <c r="DH21">
        <v>1428.2966798081547</v>
      </c>
      <c r="DI21">
        <v>0.84017929502431732</v>
      </c>
      <c r="DJ21">
        <v>0.15994603939693255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1784477780.349999</v>
      </c>
      <c r="DQ21">
        <v>419.94816666666668</v>
      </c>
      <c r="DR21">
        <v>469.57873333333328</v>
      </c>
      <c r="DS21">
        <v>25.666170000000001</v>
      </c>
      <c r="DT21">
        <v>21.83602333333333</v>
      </c>
      <c r="DU21">
        <v>426.80813333333327</v>
      </c>
      <c r="DV21">
        <v>26.263860000000001</v>
      </c>
      <c r="DW21">
        <v>500.02803333333333</v>
      </c>
      <c r="DX21">
        <v>97.784363333333332</v>
      </c>
      <c r="DY21">
        <v>5.6384669999999998E-2</v>
      </c>
      <c r="DZ21">
        <v>28.336323333333329</v>
      </c>
      <c r="EA21">
        <v>28.619949999999999</v>
      </c>
      <c r="EB21">
        <v>999.9000000000002</v>
      </c>
      <c r="EC21">
        <v>0</v>
      </c>
      <c r="ED21">
        <v>0</v>
      </c>
      <c r="EE21">
        <v>9999.1666666666661</v>
      </c>
      <c r="EF21">
        <v>0</v>
      </c>
      <c r="EG21">
        <v>1324.9649999999999</v>
      </c>
      <c r="EH21">
        <v>-49.630496666666673</v>
      </c>
      <c r="EI21">
        <v>431.0105666666667</v>
      </c>
      <c r="EJ21">
        <v>480.06123333333329</v>
      </c>
      <c r="EK21">
        <v>3.8301326666666671</v>
      </c>
      <c r="EL21">
        <v>469.57873333333328</v>
      </c>
      <c r="EM21">
        <v>21.83602333333333</v>
      </c>
      <c r="EN21">
        <v>2.5097489999999998</v>
      </c>
      <c r="EO21">
        <v>2.1352233333333341</v>
      </c>
      <c r="EP21">
        <v>21.089849999999998</v>
      </c>
      <c r="EQ21">
        <v>18.484403333333329</v>
      </c>
      <c r="ER21">
        <v>1699.9903333333341</v>
      </c>
      <c r="ES21">
        <v>0.9940057333333332</v>
      </c>
      <c r="ET21">
        <v>5.9945196666666683E-3</v>
      </c>
      <c r="EU21">
        <v>0</v>
      </c>
      <c r="EV21">
        <v>803.21989999999994</v>
      </c>
      <c r="EW21">
        <v>5.0010700000000003</v>
      </c>
      <c r="EX21">
        <v>18771.98333333333</v>
      </c>
      <c r="EY21">
        <v>15492.47333333333</v>
      </c>
      <c r="EZ21">
        <v>46.258266666666657</v>
      </c>
      <c r="FA21">
        <v>48.595599999999997</v>
      </c>
      <c r="FB21">
        <v>47.311999999999983</v>
      </c>
      <c r="FC21">
        <v>47.645666666666664</v>
      </c>
      <c r="FD21">
        <v>47.25</v>
      </c>
      <c r="FE21">
        <v>1684.8303333333331</v>
      </c>
      <c r="FF21">
        <v>10.16</v>
      </c>
      <c r="FG21">
        <v>0</v>
      </c>
      <c r="FH21">
        <v>182.19999980926511</v>
      </c>
      <c r="FI21">
        <v>0</v>
      </c>
      <c r="FJ21">
        <v>803.27582352941181</v>
      </c>
      <c r="FK21">
        <v>1.4242647280730061</v>
      </c>
      <c r="FL21">
        <v>-81.348038586770244</v>
      </c>
      <c r="FM21">
        <v>18770.75882352941</v>
      </c>
      <c r="FN21">
        <v>10</v>
      </c>
      <c r="FO21">
        <v>1784477670.0999999</v>
      </c>
      <c r="FP21" t="s">
        <v>645</v>
      </c>
      <c r="FQ21">
        <v>1784477669.0999999</v>
      </c>
      <c r="FR21">
        <v>1784477670.0999999</v>
      </c>
      <c r="FS21">
        <v>8</v>
      </c>
      <c r="FT21">
        <v>-6.4000000000000001E-2</v>
      </c>
      <c r="FU21">
        <v>5.2999999999999999E-2</v>
      </c>
      <c r="FV21">
        <v>-7.0430000000000001</v>
      </c>
      <c r="FW21">
        <v>-0.71499999999999997</v>
      </c>
      <c r="FX21">
        <v>469</v>
      </c>
      <c r="FY21">
        <v>21</v>
      </c>
      <c r="FZ21">
        <v>0.22</v>
      </c>
      <c r="GA21">
        <v>7.0000000000000007E-2</v>
      </c>
      <c r="GB21">
        <v>419.95938709677432</v>
      </c>
      <c r="GC21">
        <v>-0.23535483870918281</v>
      </c>
      <c r="GD21">
        <v>6.1847198501946421E-2</v>
      </c>
      <c r="GE21">
        <v>-1</v>
      </c>
      <c r="GF21">
        <v>803.10500000000002</v>
      </c>
      <c r="GG21">
        <v>1.684644767785674</v>
      </c>
      <c r="GH21">
        <v>0.28200344178124492</v>
      </c>
      <c r="GI21">
        <v>1</v>
      </c>
      <c r="GJ21">
        <v>3.8450543902439032</v>
      </c>
      <c r="GK21">
        <v>-0.1883184668989519</v>
      </c>
      <c r="GL21">
        <v>4.4688122613027473E-2</v>
      </c>
      <c r="GM21">
        <v>1</v>
      </c>
      <c r="GN21">
        <v>2</v>
      </c>
      <c r="GO21">
        <v>2</v>
      </c>
      <c r="GP21" t="s">
        <v>424</v>
      </c>
      <c r="GQ21">
        <v>3.1313200000000001</v>
      </c>
      <c r="GR21">
        <v>2.7332999999999998</v>
      </c>
      <c r="GS21">
        <v>9.0769500000000003E-2</v>
      </c>
      <c r="GT21">
        <v>9.82817E-2</v>
      </c>
      <c r="GU21">
        <v>0.11834600000000001</v>
      </c>
      <c r="GV21">
        <v>0.104133</v>
      </c>
      <c r="GW21">
        <v>22649.5</v>
      </c>
      <c r="GX21">
        <v>30108.6</v>
      </c>
      <c r="GY21">
        <v>27041.9</v>
      </c>
      <c r="GZ21">
        <v>34365.4</v>
      </c>
      <c r="HA21">
        <v>34946.300000000003</v>
      </c>
      <c r="HB21">
        <v>39007</v>
      </c>
      <c r="HC21">
        <v>39940.800000000003</v>
      </c>
      <c r="HD21">
        <v>43612.5</v>
      </c>
      <c r="HE21">
        <v>1.9259999999999999</v>
      </c>
      <c r="HF21">
        <v>1.6938</v>
      </c>
      <c r="HG21">
        <v>-8.2492800000000005E-2</v>
      </c>
      <c r="HH21">
        <v>0</v>
      </c>
      <c r="HI21">
        <v>29.967400000000001</v>
      </c>
      <c r="HJ21">
        <v>999.9</v>
      </c>
      <c r="HK21">
        <v>57</v>
      </c>
      <c r="HL21">
        <v>38.9</v>
      </c>
      <c r="HM21">
        <v>40.738799999999998</v>
      </c>
      <c r="HN21">
        <v>61.3797</v>
      </c>
      <c r="HO21">
        <v>3.9142600000000001</v>
      </c>
      <c r="HP21">
        <v>1</v>
      </c>
      <c r="HQ21">
        <v>0.93583300000000003</v>
      </c>
      <c r="HR21">
        <v>6.6246600000000004</v>
      </c>
      <c r="HS21">
        <v>20.107399999999998</v>
      </c>
      <c r="HT21">
        <v>5.2065099999999997</v>
      </c>
      <c r="HU21">
        <v>11.914099999999999</v>
      </c>
      <c r="HV21">
        <v>4.9836</v>
      </c>
      <c r="HW21">
        <v>3.2707999999999999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1.8633999999999999</v>
      </c>
      <c r="ID21">
        <v>1.8628499999999999</v>
      </c>
      <c r="IE21">
        <v>1.8623700000000001</v>
      </c>
      <c r="IF21">
        <v>1.86243</v>
      </c>
      <c r="IG21">
        <v>1.8629500000000001</v>
      </c>
      <c r="IH21">
        <v>1.8638600000000001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-6.86</v>
      </c>
      <c r="IX21">
        <v>-0.59650000000000003</v>
      </c>
      <c r="IY21">
        <v>-4.8692353794277876</v>
      </c>
      <c r="IZ21">
        <v>-5.6215304933332991E-3</v>
      </c>
      <c r="JA21">
        <v>2.3979931213773931E-6</v>
      </c>
      <c r="JB21">
        <v>-3.6297174575716598E-10</v>
      </c>
      <c r="JC21">
        <v>-1.0537645449016051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2</v>
      </c>
      <c r="JL21">
        <v>2</v>
      </c>
      <c r="JM21">
        <v>1.1975100000000001</v>
      </c>
      <c r="JN21">
        <v>2.5488300000000002</v>
      </c>
      <c r="JO21">
        <v>1.50024</v>
      </c>
      <c r="JP21">
        <v>2.2753899999999998</v>
      </c>
      <c r="JQ21">
        <v>1.4477500000000001</v>
      </c>
      <c r="JR21">
        <v>2.4841299999999999</v>
      </c>
      <c r="JS21">
        <v>44.9786</v>
      </c>
      <c r="JT21">
        <v>23.833600000000001</v>
      </c>
      <c r="JU21">
        <v>18</v>
      </c>
      <c r="JV21">
        <v>550.17399999999998</v>
      </c>
      <c r="JW21">
        <v>409.52600000000001</v>
      </c>
      <c r="JX21">
        <v>23.4086</v>
      </c>
      <c r="JY21">
        <v>38.243299999999998</v>
      </c>
      <c r="JZ21">
        <v>29.9999</v>
      </c>
      <c r="KA21">
        <v>37.898000000000003</v>
      </c>
      <c r="KB21">
        <v>37.752000000000002</v>
      </c>
      <c r="KC21">
        <v>23.956399999999999</v>
      </c>
      <c r="KD21">
        <v>53.048299999999998</v>
      </c>
      <c r="KE21">
        <v>0</v>
      </c>
      <c r="KF21">
        <v>23.4086</v>
      </c>
      <c r="KG21">
        <v>469.75400000000002</v>
      </c>
      <c r="KH21">
        <v>21.787800000000001</v>
      </c>
      <c r="KI21">
        <v>99.814400000000006</v>
      </c>
      <c r="KJ21">
        <v>98.112799999999993</v>
      </c>
    </row>
    <row r="22" spans="1:296" x14ac:dyDescent="0.3">
      <c r="A22">
        <v>7</v>
      </c>
      <c r="B22">
        <v>1784477971</v>
      </c>
      <c r="C22">
        <v>1278.400000095367</v>
      </c>
      <c r="D22" t="s">
        <v>646</v>
      </c>
      <c r="E22" t="s">
        <v>647</v>
      </c>
      <c r="F22">
        <v>15</v>
      </c>
      <c r="H22">
        <v>1784477963.25</v>
      </c>
      <c r="I22">
        <v>3.245608465759625E-3</v>
      </c>
      <c r="J22">
        <v>3.2456084657596249</v>
      </c>
      <c r="K22">
        <v>40.500979181484517</v>
      </c>
      <c r="L22">
        <v>419.94459999999998</v>
      </c>
      <c r="M22">
        <v>114.75351323128943</v>
      </c>
      <c r="N22">
        <v>11.227040188122478</v>
      </c>
      <c r="O22">
        <v>41.085756489932628</v>
      </c>
      <c r="P22">
        <v>0.22488230625099551</v>
      </c>
      <c r="Q22">
        <v>2.8910019754446803</v>
      </c>
      <c r="R22">
        <v>0.21559644297535008</v>
      </c>
      <c r="S22">
        <v>0.13555012363221608</v>
      </c>
      <c r="T22">
        <v>255.91485685872064</v>
      </c>
      <c r="U22">
        <v>28.993449854370009</v>
      </c>
      <c r="V22">
        <v>28.604820000000011</v>
      </c>
      <c r="W22">
        <v>3.9307175286579419</v>
      </c>
      <c r="X22">
        <v>64.823974159363388</v>
      </c>
      <c r="Y22">
        <v>2.5063354457279856</v>
      </c>
      <c r="Z22">
        <v>3.8663711662700679</v>
      </c>
      <c r="AA22">
        <v>1.4243820829299563</v>
      </c>
      <c r="AB22">
        <v>-143.13133333999946</v>
      </c>
      <c r="AC22">
        <v>-44.280779408556491</v>
      </c>
      <c r="AD22">
        <v>-3.3541247709005297</v>
      </c>
      <c r="AE22">
        <v>65.148619339264144</v>
      </c>
      <c r="AF22">
        <v>40.500979181484517</v>
      </c>
      <c r="AG22">
        <v>3.2456084657596249</v>
      </c>
      <c r="AH22">
        <v>40.344189350814418</v>
      </c>
      <c r="AI22">
        <v>480.94098111335393</v>
      </c>
      <c r="AJ22">
        <v>431.15364242424238</v>
      </c>
      <c r="AK22">
        <v>5.6589487199161709E-2</v>
      </c>
      <c r="AL22">
        <v>67.083007770120361</v>
      </c>
      <c r="AM22">
        <v>3.4038184779442102</v>
      </c>
      <c r="AN22">
        <v>21.860448354242429</v>
      </c>
      <c r="AO22">
        <v>25.71528969696968</v>
      </c>
      <c r="AP22">
        <v>2.0322805194803489E-2</v>
      </c>
      <c r="AQ22">
        <v>78.55</v>
      </c>
      <c r="AR22">
        <v>0</v>
      </c>
      <c r="AS22">
        <v>0</v>
      </c>
      <c r="AT22">
        <v>1</v>
      </c>
      <c r="AU22">
        <v>0</v>
      </c>
      <c r="AV22">
        <v>51496.254296999643</v>
      </c>
      <c r="AW22" t="s">
        <v>623</v>
      </c>
      <c r="AX22">
        <v>5097.1400000000003</v>
      </c>
      <c r="AY22">
        <v>605.0617647058823</v>
      </c>
      <c r="AZ22">
        <v>2408.86</v>
      </c>
      <c r="BA22">
        <v>0.74881821081097188</v>
      </c>
      <c r="BB22">
        <v>-2.5855627598635031</v>
      </c>
      <c r="BC22" t="s">
        <v>648</v>
      </c>
      <c r="BD22">
        <v>5062.38</v>
      </c>
      <c r="BE22">
        <v>809.44594117647046</v>
      </c>
      <c r="BF22">
        <v>985.49</v>
      </c>
      <c r="BG22">
        <v>0.1786360681727156</v>
      </c>
      <c r="BH22">
        <v>0.5</v>
      </c>
      <c r="BI22">
        <v>1344.2938014812021</v>
      </c>
      <c r="BJ22">
        <v>40.500979181484517</v>
      </c>
      <c r="BK22">
        <v>120.06967958277751</v>
      </c>
      <c r="BL22">
        <v>3.2051432427846777E-2</v>
      </c>
      <c r="BM22">
        <v>1.4443271874904871</v>
      </c>
      <c r="BN22">
        <v>443.98795676893906</v>
      </c>
      <c r="BO22" t="s">
        <v>408</v>
      </c>
      <c r="BP22">
        <v>0</v>
      </c>
      <c r="BQ22">
        <v>443.98795676893906</v>
      </c>
      <c r="BR22">
        <v>0.54947492438387091</v>
      </c>
      <c r="BS22">
        <v>0.32510322172212175</v>
      </c>
      <c r="BT22">
        <v>0.72440849515034678</v>
      </c>
      <c r="BU22">
        <v>0.46275234720005964</v>
      </c>
      <c r="BV22">
        <v>0.78909601536887686</v>
      </c>
      <c r="BW22">
        <v>0.17832187155279794</v>
      </c>
      <c r="BX22">
        <v>0.82167812844720212</v>
      </c>
      <c r="DG22">
        <v>1600.008333333333</v>
      </c>
      <c r="DH22">
        <v>1344.2938014812021</v>
      </c>
      <c r="DI22">
        <v>0.84017924999215776</v>
      </c>
      <c r="DJ22">
        <v>0.15994595248486457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1784477963.25</v>
      </c>
      <c r="DQ22">
        <v>419.94459999999998</v>
      </c>
      <c r="DR22">
        <v>470.17936666666679</v>
      </c>
      <c r="DS22">
        <v>25.617686666666671</v>
      </c>
      <c r="DT22">
        <v>21.822880000000001</v>
      </c>
      <c r="DU22">
        <v>426.8513999999999</v>
      </c>
      <c r="DV22">
        <v>26.22979333333333</v>
      </c>
      <c r="DW22">
        <v>500.0197</v>
      </c>
      <c r="DX22">
        <v>97.779673333333307</v>
      </c>
      <c r="DY22">
        <v>5.646145666666666E-2</v>
      </c>
      <c r="DZ22">
        <v>28.320713333333341</v>
      </c>
      <c r="EA22">
        <v>28.604820000000011</v>
      </c>
      <c r="EB22">
        <v>999.9000000000002</v>
      </c>
      <c r="EC22">
        <v>0</v>
      </c>
      <c r="ED22">
        <v>0</v>
      </c>
      <c r="EE22">
        <v>10004</v>
      </c>
      <c r="EF22">
        <v>0</v>
      </c>
      <c r="EG22">
        <v>1342.5186666666671</v>
      </c>
      <c r="EH22">
        <v>-50.234626666666671</v>
      </c>
      <c r="EI22">
        <v>430.98543333333328</v>
      </c>
      <c r="EJ22">
        <v>480.66890000000012</v>
      </c>
      <c r="EK22">
        <v>3.7948126666666671</v>
      </c>
      <c r="EL22">
        <v>470.17936666666679</v>
      </c>
      <c r="EM22">
        <v>21.822880000000001</v>
      </c>
      <c r="EN22">
        <v>2.5048900000000001</v>
      </c>
      <c r="EO22">
        <v>2.1338339999999998</v>
      </c>
      <c r="EP22">
        <v>21.058293333333332</v>
      </c>
      <c r="EQ22">
        <v>18.474006666666661</v>
      </c>
      <c r="ER22">
        <v>1600.008333333333</v>
      </c>
      <c r="ES22">
        <v>0.99400373333333336</v>
      </c>
      <c r="ET22">
        <v>5.9959906666666651E-3</v>
      </c>
      <c r="EU22">
        <v>0</v>
      </c>
      <c r="EV22">
        <v>809.40009999999972</v>
      </c>
      <c r="EW22">
        <v>5.0010700000000003</v>
      </c>
      <c r="EX22">
        <v>18018.849999999991</v>
      </c>
      <c r="EY22">
        <v>14578.593333333331</v>
      </c>
      <c r="EZ22">
        <v>46.328799999999987</v>
      </c>
      <c r="FA22">
        <v>48.787199999999977</v>
      </c>
      <c r="FB22">
        <v>47.436999999999983</v>
      </c>
      <c r="FC22">
        <v>47.875</v>
      </c>
      <c r="FD22">
        <v>47.353999999999992</v>
      </c>
      <c r="FE22">
        <v>1585.4390000000001</v>
      </c>
      <c r="FF22">
        <v>9.56</v>
      </c>
      <c r="FG22">
        <v>0</v>
      </c>
      <c r="FH22">
        <v>182.29999995231631</v>
      </c>
      <c r="FI22">
        <v>0</v>
      </c>
      <c r="FJ22">
        <v>809.44594117647046</v>
      </c>
      <c r="FK22">
        <v>1.956127453103319</v>
      </c>
      <c r="FL22">
        <v>246.25000157592379</v>
      </c>
      <c r="FM22">
        <v>18021.81176470589</v>
      </c>
      <c r="FN22">
        <v>10</v>
      </c>
      <c r="FO22">
        <v>1784477855</v>
      </c>
      <c r="FP22" t="s">
        <v>649</v>
      </c>
      <c r="FQ22">
        <v>1784477855</v>
      </c>
      <c r="FR22">
        <v>1784477852.5</v>
      </c>
      <c r="FS22">
        <v>9</v>
      </c>
      <c r="FT22">
        <v>-4.7E-2</v>
      </c>
      <c r="FU22">
        <v>-1.2999999999999999E-2</v>
      </c>
      <c r="FV22">
        <v>-7.0910000000000002</v>
      </c>
      <c r="FW22">
        <v>-0.71599999999999997</v>
      </c>
      <c r="FX22">
        <v>470</v>
      </c>
      <c r="FY22">
        <v>22</v>
      </c>
      <c r="FZ22">
        <v>0.14000000000000001</v>
      </c>
      <c r="GA22">
        <v>0.06</v>
      </c>
      <c r="GB22">
        <v>419.93990000000002</v>
      </c>
      <c r="GC22">
        <v>0.1061713014465903</v>
      </c>
      <c r="GD22">
        <v>5.4621332828846028E-2</v>
      </c>
      <c r="GE22">
        <v>-1</v>
      </c>
      <c r="GF22">
        <v>809.25650000000007</v>
      </c>
      <c r="GG22">
        <v>2.0905882417890722</v>
      </c>
      <c r="GH22">
        <v>0.27772566341202071</v>
      </c>
      <c r="GI22">
        <v>1</v>
      </c>
      <c r="GJ22">
        <v>3.8024127499999998</v>
      </c>
      <c r="GK22">
        <v>-0.18945354596622879</v>
      </c>
      <c r="GL22">
        <v>3.0068152253464112E-2</v>
      </c>
      <c r="GM22">
        <v>1</v>
      </c>
      <c r="GN22">
        <v>2</v>
      </c>
      <c r="GO22">
        <v>2</v>
      </c>
      <c r="GP22" t="s">
        <v>424</v>
      </c>
      <c r="GQ22">
        <v>3.1311399999999998</v>
      </c>
      <c r="GR22">
        <v>2.73217</v>
      </c>
      <c r="GS22">
        <v>9.0722499999999998E-2</v>
      </c>
      <c r="GT22">
        <v>9.8345699999999994E-2</v>
      </c>
      <c r="GU22">
        <v>0.118422</v>
      </c>
      <c r="GV22">
        <v>0.104201</v>
      </c>
      <c r="GW22">
        <v>22646.7</v>
      </c>
      <c r="GX22">
        <v>30101</v>
      </c>
      <c r="GY22">
        <v>27037.4</v>
      </c>
      <c r="GZ22">
        <v>34359.5</v>
      </c>
      <c r="HA22">
        <v>34938.800000000003</v>
      </c>
      <c r="HB22">
        <v>38998.6</v>
      </c>
      <c r="HC22">
        <v>39935.199999999997</v>
      </c>
      <c r="HD22">
        <v>43606.2</v>
      </c>
      <c r="HE22">
        <v>1.9248000000000001</v>
      </c>
      <c r="HF22">
        <v>1.6901999999999999</v>
      </c>
      <c r="HG22">
        <v>-9.1552700000000001E-2</v>
      </c>
      <c r="HH22">
        <v>0</v>
      </c>
      <c r="HI22">
        <v>30.066099999999999</v>
      </c>
      <c r="HJ22">
        <v>999.9</v>
      </c>
      <c r="HK22">
        <v>56.5</v>
      </c>
      <c r="HL22">
        <v>39.200000000000003</v>
      </c>
      <c r="HM22">
        <v>41.043900000000001</v>
      </c>
      <c r="HN22">
        <v>61.349800000000002</v>
      </c>
      <c r="HO22">
        <v>3.94231</v>
      </c>
      <c r="HP22">
        <v>1</v>
      </c>
      <c r="HQ22">
        <v>0.94144300000000003</v>
      </c>
      <c r="HR22">
        <v>6.4506100000000002</v>
      </c>
      <c r="HS22">
        <v>20.116499999999998</v>
      </c>
      <c r="HT22">
        <v>5.2100999999999997</v>
      </c>
      <c r="HU22">
        <v>11.914099999999999</v>
      </c>
      <c r="HV22">
        <v>4.9828000000000001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1.86768</v>
      </c>
      <c r="IC22">
        <v>1.8633999999999999</v>
      </c>
      <c r="ID22">
        <v>1.8628199999999999</v>
      </c>
      <c r="IE22">
        <v>1.8623400000000001</v>
      </c>
      <c r="IF22">
        <v>1.8623400000000001</v>
      </c>
      <c r="IG22">
        <v>1.8629500000000001</v>
      </c>
      <c r="IH22">
        <v>1.8638600000000001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-6.9059999999999997</v>
      </c>
      <c r="IX22">
        <v>-0.60899999999999999</v>
      </c>
      <c r="IY22">
        <v>-4.9159893795599441</v>
      </c>
      <c r="IZ22">
        <v>-5.6215304933332991E-3</v>
      </c>
      <c r="JA22">
        <v>2.3979931213773931E-6</v>
      </c>
      <c r="JB22">
        <v>-3.6297174575716598E-10</v>
      </c>
      <c r="JC22">
        <v>-1.067203589269148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2</v>
      </c>
      <c r="JM22">
        <v>1.1975100000000001</v>
      </c>
      <c r="JN22">
        <v>2.5439500000000002</v>
      </c>
      <c r="JO22">
        <v>1.50024</v>
      </c>
      <c r="JP22">
        <v>2.2753899999999998</v>
      </c>
      <c r="JQ22">
        <v>1.4477500000000001</v>
      </c>
      <c r="JR22">
        <v>2.47681</v>
      </c>
      <c r="JS22">
        <v>45.318800000000003</v>
      </c>
      <c r="JT22">
        <v>23.833600000000001</v>
      </c>
      <c r="JU22">
        <v>18</v>
      </c>
      <c r="JV22">
        <v>549.82600000000002</v>
      </c>
      <c r="JW22">
        <v>407.714</v>
      </c>
      <c r="JX22">
        <v>23.156500000000001</v>
      </c>
      <c r="JY22">
        <v>38.302100000000003</v>
      </c>
      <c r="JZ22">
        <v>29.996500000000001</v>
      </c>
      <c r="KA22">
        <v>37.959499999999998</v>
      </c>
      <c r="KB22">
        <v>37.816800000000001</v>
      </c>
      <c r="KC22">
        <v>23.9617</v>
      </c>
      <c r="KD22">
        <v>52.929900000000004</v>
      </c>
      <c r="KE22">
        <v>0</v>
      </c>
      <c r="KF22">
        <v>23.214600000000001</v>
      </c>
      <c r="KG22">
        <v>470.22500000000002</v>
      </c>
      <c r="KH22">
        <v>21.869299999999999</v>
      </c>
      <c r="KI22">
        <v>99.799400000000006</v>
      </c>
      <c r="KJ22">
        <v>98.097499999999997</v>
      </c>
    </row>
    <row r="23" spans="1:296" x14ac:dyDescent="0.3">
      <c r="A23">
        <v>8</v>
      </c>
      <c r="B23">
        <v>1784478153.5</v>
      </c>
      <c r="C23">
        <v>1460.900000095367</v>
      </c>
      <c r="D23" t="s">
        <v>650</v>
      </c>
      <c r="E23" t="s">
        <v>651</v>
      </c>
      <c r="F23">
        <v>15</v>
      </c>
      <c r="H23">
        <v>1784478145.75</v>
      </c>
      <c r="I23">
        <v>3.2165196999085891E-3</v>
      </c>
      <c r="J23">
        <v>3.2165196999085892</v>
      </c>
      <c r="K23">
        <v>39.223851494143695</v>
      </c>
      <c r="L23">
        <v>420.01486666666659</v>
      </c>
      <c r="M23">
        <v>121.60617636972354</v>
      </c>
      <c r="N23">
        <v>11.897230748636234</v>
      </c>
      <c r="O23">
        <v>41.091776221944663</v>
      </c>
      <c r="P23">
        <v>0.22284221485963868</v>
      </c>
      <c r="Q23">
        <v>2.8902353050424558</v>
      </c>
      <c r="R23">
        <v>0.21371807939446502</v>
      </c>
      <c r="S23">
        <v>0.13436243707129139</v>
      </c>
      <c r="T23">
        <v>224.00562316721312</v>
      </c>
      <c r="U23">
        <v>28.819592461546947</v>
      </c>
      <c r="V23">
        <v>28.624843333333331</v>
      </c>
      <c r="W23">
        <v>3.9352875718920646</v>
      </c>
      <c r="X23">
        <v>64.92124889051513</v>
      </c>
      <c r="Y23">
        <v>2.5113677423183667</v>
      </c>
      <c r="Z23">
        <v>3.868329376339636</v>
      </c>
      <c r="AA23">
        <v>1.4239198295736979</v>
      </c>
      <c r="AB23">
        <v>-141.84851876596878</v>
      </c>
      <c r="AC23">
        <v>-46.032381008981261</v>
      </c>
      <c r="AD23">
        <v>-3.4882264702756447</v>
      </c>
      <c r="AE23">
        <v>32.636496921987444</v>
      </c>
      <c r="AF23">
        <v>39.223851494143695</v>
      </c>
      <c r="AG23">
        <v>3.2165196999085892</v>
      </c>
      <c r="AH23">
        <v>39.346715972876922</v>
      </c>
      <c r="AI23">
        <v>479.2486232963692</v>
      </c>
      <c r="AJ23">
        <v>430.99347272727249</v>
      </c>
      <c r="AK23">
        <v>-3.647214281203532E-3</v>
      </c>
      <c r="AL23">
        <v>67.077130233191639</v>
      </c>
      <c r="AM23">
        <v>3.2180258043832559</v>
      </c>
      <c r="AN23">
        <v>21.911586767619049</v>
      </c>
      <c r="AO23">
        <v>25.67420484848483</v>
      </c>
      <c r="AP23">
        <v>-1.436338899190421E-5</v>
      </c>
      <c r="AQ23">
        <v>78.55</v>
      </c>
      <c r="AR23">
        <v>0</v>
      </c>
      <c r="AS23">
        <v>0</v>
      </c>
      <c r="AT23">
        <v>1</v>
      </c>
      <c r="AU23">
        <v>0</v>
      </c>
      <c r="AV23">
        <v>51472.97665235075</v>
      </c>
      <c r="AW23" t="s">
        <v>623</v>
      </c>
      <c r="AX23">
        <v>5097.1400000000003</v>
      </c>
      <c r="AY23">
        <v>605.0617647058823</v>
      </c>
      <c r="AZ23">
        <v>2408.86</v>
      </c>
      <c r="BA23">
        <v>0.74881821081097188</v>
      </c>
      <c r="BB23">
        <v>-2.5855627598635031</v>
      </c>
      <c r="BC23" t="s">
        <v>652</v>
      </c>
      <c r="BD23">
        <v>5065.29</v>
      </c>
      <c r="BE23">
        <v>813.26935294117652</v>
      </c>
      <c r="BF23">
        <v>1034.04</v>
      </c>
      <c r="BG23">
        <v>0.21350300477624018</v>
      </c>
      <c r="BH23">
        <v>0.5</v>
      </c>
      <c r="BI23">
        <v>1176.290039775758</v>
      </c>
      <c r="BJ23">
        <v>39.223851494143695</v>
      </c>
      <c r="BK23">
        <v>125.57072899024371</v>
      </c>
      <c r="BL23">
        <v>3.5543456834827514E-2</v>
      </c>
      <c r="BM23">
        <v>1.3295617190824343</v>
      </c>
      <c r="BN23">
        <v>453.58256431964833</v>
      </c>
      <c r="BO23" t="s">
        <v>408</v>
      </c>
      <c r="BP23">
        <v>0</v>
      </c>
      <c r="BQ23">
        <v>453.58256431964833</v>
      </c>
      <c r="BR23">
        <v>0.56134911191090442</v>
      </c>
      <c r="BS23">
        <v>0.38033907998793937</v>
      </c>
      <c r="BT23">
        <v>0.70313295438896239</v>
      </c>
      <c r="BU23">
        <v>0.51464300259302864</v>
      </c>
      <c r="BV23">
        <v>0.76218058821630308</v>
      </c>
      <c r="BW23">
        <v>0.21212550871123673</v>
      </c>
      <c r="BX23">
        <v>0.7878744912887633</v>
      </c>
      <c r="DG23">
        <v>1399.9960000000001</v>
      </c>
      <c r="DH23">
        <v>1176.290039775758</v>
      </c>
      <c r="DI23">
        <v>0.84020957186717538</v>
      </c>
      <c r="DJ23">
        <v>0.16000447370364851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1784478145.75</v>
      </c>
      <c r="DQ23">
        <v>420.01486666666659</v>
      </c>
      <c r="DR23">
        <v>468.7052333333333</v>
      </c>
      <c r="DS23">
        <v>25.669656666666661</v>
      </c>
      <c r="DT23">
        <v>21.90887</v>
      </c>
      <c r="DU23">
        <v>426.90980000000002</v>
      </c>
      <c r="DV23">
        <v>26.278320000000001</v>
      </c>
      <c r="DW23">
        <v>499.9942333333334</v>
      </c>
      <c r="DX23">
        <v>97.777356666666677</v>
      </c>
      <c r="DY23">
        <v>5.6742749999999988E-2</v>
      </c>
      <c r="DZ23">
        <v>28.329419999999999</v>
      </c>
      <c r="EA23">
        <v>28.624843333333331</v>
      </c>
      <c r="EB23">
        <v>999.9000000000002</v>
      </c>
      <c r="EC23">
        <v>0</v>
      </c>
      <c r="ED23">
        <v>0</v>
      </c>
      <c r="EE23">
        <v>9999.8333333333339</v>
      </c>
      <c r="EF23">
        <v>0</v>
      </c>
      <c r="EG23">
        <v>1355.2133333333329</v>
      </c>
      <c r="EH23">
        <v>-48.690250000000013</v>
      </c>
      <c r="EI23">
        <v>431.08059999999989</v>
      </c>
      <c r="EJ23">
        <v>479.2039666666667</v>
      </c>
      <c r="EK23">
        <v>3.7607836666666672</v>
      </c>
      <c r="EL23">
        <v>468.7052333333333</v>
      </c>
      <c r="EM23">
        <v>21.90887</v>
      </c>
      <c r="EN23">
        <v>2.5099100000000001</v>
      </c>
      <c r="EO23">
        <v>2.142191</v>
      </c>
      <c r="EP23">
        <v>21.090910000000001</v>
      </c>
      <c r="EQ23">
        <v>18.536416666666671</v>
      </c>
      <c r="ER23">
        <v>1399.9960000000001</v>
      </c>
      <c r="ES23">
        <v>0.99299079999999995</v>
      </c>
      <c r="ET23">
        <v>7.0095496666666667E-3</v>
      </c>
      <c r="EU23">
        <v>0</v>
      </c>
      <c r="EV23">
        <v>813.2986666666668</v>
      </c>
      <c r="EW23">
        <v>5.0010700000000003</v>
      </c>
      <c r="EX23">
        <v>16295.38</v>
      </c>
      <c r="EY23">
        <v>12745.43333333334</v>
      </c>
      <c r="EZ23">
        <v>46.066199999999967</v>
      </c>
      <c r="FA23">
        <v>48.75</v>
      </c>
      <c r="FB23">
        <v>47.375</v>
      </c>
      <c r="FC23">
        <v>47.875</v>
      </c>
      <c r="FD23">
        <v>47.186999999999983</v>
      </c>
      <c r="FE23">
        <v>1385.2159999999999</v>
      </c>
      <c r="FF23">
        <v>9.7799999999999958</v>
      </c>
      <c r="FG23">
        <v>0</v>
      </c>
      <c r="FH23">
        <v>181.5999999046326</v>
      </c>
      <c r="FI23">
        <v>0</v>
      </c>
      <c r="FJ23">
        <v>813.26935294117652</v>
      </c>
      <c r="FK23">
        <v>-2.9284313208800148</v>
      </c>
      <c r="FL23">
        <v>108.8725529923469</v>
      </c>
      <c r="FM23">
        <v>16296.11176470588</v>
      </c>
      <c r="FN23">
        <v>10</v>
      </c>
      <c r="FO23">
        <v>1784478042.5</v>
      </c>
      <c r="FP23" t="s">
        <v>653</v>
      </c>
      <c r="FQ23">
        <v>1784478042</v>
      </c>
      <c r="FR23">
        <v>1784478042.5</v>
      </c>
      <c r="FS23">
        <v>10</v>
      </c>
      <c r="FT23">
        <v>1.2E-2</v>
      </c>
      <c r="FU23">
        <v>2E-3</v>
      </c>
      <c r="FV23">
        <v>-7.0780000000000003</v>
      </c>
      <c r="FW23">
        <v>-0.72099999999999997</v>
      </c>
      <c r="FX23">
        <v>470</v>
      </c>
      <c r="FY23">
        <v>22</v>
      </c>
      <c r="FZ23">
        <v>0.19</v>
      </c>
      <c r="GA23">
        <v>0.09</v>
      </c>
      <c r="GB23">
        <v>420.01486666666659</v>
      </c>
      <c r="GC23">
        <v>-0.79992880978847414</v>
      </c>
      <c r="GD23">
        <v>8.3329359905264286E-2</v>
      </c>
      <c r="GE23">
        <v>-1</v>
      </c>
      <c r="GF23">
        <v>813.36502941176468</v>
      </c>
      <c r="GG23">
        <v>-1.438976310346666</v>
      </c>
      <c r="GH23">
        <v>0.30203393705831288</v>
      </c>
      <c r="GI23">
        <v>1</v>
      </c>
      <c r="GJ23">
        <v>3.7608812500000002</v>
      </c>
      <c r="GK23">
        <v>-1.78210131333057E-3</v>
      </c>
      <c r="GL23">
        <v>4.0277147289126333E-3</v>
      </c>
      <c r="GM23">
        <v>1</v>
      </c>
      <c r="GN23">
        <v>2</v>
      </c>
      <c r="GO23">
        <v>2</v>
      </c>
      <c r="GP23" t="s">
        <v>424</v>
      </c>
      <c r="GQ23">
        <v>3.1305900000000002</v>
      </c>
      <c r="GR23">
        <v>2.7328600000000001</v>
      </c>
      <c r="GS23">
        <v>9.0725E-2</v>
      </c>
      <c r="GT23">
        <v>9.8113199999999998E-2</v>
      </c>
      <c r="GU23">
        <v>0.118245</v>
      </c>
      <c r="GV23">
        <v>0.104364</v>
      </c>
      <c r="GW23">
        <v>22645.4</v>
      </c>
      <c r="GX23">
        <v>30107.4</v>
      </c>
      <c r="GY23">
        <v>27036.1</v>
      </c>
      <c r="GZ23">
        <v>34358.199999999997</v>
      </c>
      <c r="HA23">
        <v>34944.699999999997</v>
      </c>
      <c r="HB23">
        <v>38988.9</v>
      </c>
      <c r="HC23">
        <v>39933.800000000003</v>
      </c>
      <c r="HD23">
        <v>43603.199999999997</v>
      </c>
      <c r="HE23">
        <v>1.925</v>
      </c>
      <c r="HF23">
        <v>1.6868000000000001</v>
      </c>
      <c r="HG23">
        <v>-9.2685199999999995E-2</v>
      </c>
      <c r="HH23">
        <v>0</v>
      </c>
      <c r="HI23">
        <v>30.131900000000002</v>
      </c>
      <c r="HJ23">
        <v>999.9</v>
      </c>
      <c r="HK23">
        <v>56</v>
      </c>
      <c r="HL23">
        <v>39.4</v>
      </c>
      <c r="HM23">
        <v>41.117899999999999</v>
      </c>
      <c r="HN23">
        <v>61.329900000000002</v>
      </c>
      <c r="HO23">
        <v>4.2307699999999997</v>
      </c>
      <c r="HP23">
        <v>1</v>
      </c>
      <c r="HQ23">
        <v>0.94894299999999998</v>
      </c>
      <c r="HR23">
        <v>7.1069899999999997</v>
      </c>
      <c r="HS23">
        <v>20.091799999999999</v>
      </c>
      <c r="HT23">
        <v>5.2112999999999996</v>
      </c>
      <c r="HU23">
        <v>11.914099999999999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1.86768</v>
      </c>
      <c r="IC23">
        <v>1.8633999999999999</v>
      </c>
      <c r="ID23">
        <v>1.8628199999999999</v>
      </c>
      <c r="IE23">
        <v>1.8623400000000001</v>
      </c>
      <c r="IF23">
        <v>1.86243</v>
      </c>
      <c r="IG23">
        <v>1.8629500000000001</v>
      </c>
      <c r="IH23">
        <v>1.86389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-6.8949999999999996</v>
      </c>
      <c r="IX23">
        <v>-0.60850000000000004</v>
      </c>
      <c r="IY23">
        <v>-4.9038502591749138</v>
      </c>
      <c r="IZ23">
        <v>-5.6215304933332991E-3</v>
      </c>
      <c r="JA23">
        <v>2.3979931213773931E-6</v>
      </c>
      <c r="JB23">
        <v>-3.6297174575716598E-10</v>
      </c>
      <c r="JC23">
        <v>-1.0651664666990119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1.9</v>
      </c>
      <c r="JL23">
        <v>1.9</v>
      </c>
      <c r="JM23">
        <v>1.1950700000000001</v>
      </c>
      <c r="JN23">
        <v>2.5488300000000002</v>
      </c>
      <c r="JO23">
        <v>1.50024</v>
      </c>
      <c r="JP23">
        <v>2.2741699999999998</v>
      </c>
      <c r="JQ23">
        <v>1.4477500000000001</v>
      </c>
      <c r="JR23">
        <v>2.3596200000000001</v>
      </c>
      <c r="JS23">
        <v>45.49</v>
      </c>
      <c r="JT23">
        <v>23.816099999999999</v>
      </c>
      <c r="JU23">
        <v>18</v>
      </c>
      <c r="JV23">
        <v>550.24599999999998</v>
      </c>
      <c r="JW23">
        <v>405.858</v>
      </c>
      <c r="JX23">
        <v>23.282499999999999</v>
      </c>
      <c r="JY23">
        <v>38.338799999999999</v>
      </c>
      <c r="JZ23">
        <v>30.0001</v>
      </c>
      <c r="KA23">
        <v>37.995800000000003</v>
      </c>
      <c r="KB23">
        <v>37.852800000000002</v>
      </c>
      <c r="KC23">
        <v>23.894300000000001</v>
      </c>
      <c r="KD23">
        <v>53.0289</v>
      </c>
      <c r="KE23">
        <v>0</v>
      </c>
      <c r="KF23">
        <v>23.2883</v>
      </c>
      <c r="KG23">
        <v>468.82499999999999</v>
      </c>
      <c r="KH23">
        <v>21.914000000000001</v>
      </c>
      <c r="KI23">
        <v>99.795400000000001</v>
      </c>
      <c r="KJ23">
        <v>98.091999999999999</v>
      </c>
    </row>
    <row r="24" spans="1:296" x14ac:dyDescent="0.3">
      <c r="A24">
        <v>9</v>
      </c>
      <c r="B24">
        <v>1784478336</v>
      </c>
      <c r="C24">
        <v>1643.400000095367</v>
      </c>
      <c r="D24" t="s">
        <v>654</v>
      </c>
      <c r="E24" t="s">
        <v>655</v>
      </c>
      <c r="F24">
        <v>15</v>
      </c>
      <c r="H24">
        <v>1784478328.25</v>
      </c>
      <c r="I24">
        <v>2.6971799184989237E-3</v>
      </c>
      <c r="J24">
        <v>2.6971799184989238</v>
      </c>
      <c r="K24">
        <v>36.002467130044209</v>
      </c>
      <c r="L24">
        <v>420.04199999999997</v>
      </c>
      <c r="M24">
        <v>91.605742540885956</v>
      </c>
      <c r="N24">
        <v>8.9619781024248795</v>
      </c>
      <c r="O24">
        <v>41.093572320737429</v>
      </c>
      <c r="P24">
        <v>0.18415591786707081</v>
      </c>
      <c r="Q24">
        <v>2.8897054102799826</v>
      </c>
      <c r="R24">
        <v>0.17787564881876314</v>
      </c>
      <c r="S24">
        <v>0.11171869519574962</v>
      </c>
      <c r="T24">
        <v>160.17638250736113</v>
      </c>
      <c r="U24">
        <v>28.633042948721833</v>
      </c>
      <c r="V24">
        <v>28.636966666666659</v>
      </c>
      <c r="W24">
        <v>3.9380568032854639</v>
      </c>
      <c r="X24">
        <v>64.499904956046436</v>
      </c>
      <c r="Y24">
        <v>2.503438168600939</v>
      </c>
      <c r="Z24">
        <v>3.8813052054990016</v>
      </c>
      <c r="AA24">
        <v>1.4346186346845249</v>
      </c>
      <c r="AB24">
        <v>-118.94563440580254</v>
      </c>
      <c r="AC24">
        <v>-38.939660029847737</v>
      </c>
      <c r="AD24">
        <v>-2.9523214053348852</v>
      </c>
      <c r="AE24">
        <v>-0.66123333362403258</v>
      </c>
      <c r="AF24">
        <v>36.002467130044209</v>
      </c>
      <c r="AG24">
        <v>2.6971799184989238</v>
      </c>
      <c r="AH24">
        <v>36.059839415629021</v>
      </c>
      <c r="AI24">
        <v>475.39145575002362</v>
      </c>
      <c r="AJ24">
        <v>431.06866666666667</v>
      </c>
      <c r="AK24">
        <v>1.141194587542599E-2</v>
      </c>
      <c r="AL24">
        <v>67.077130233191639</v>
      </c>
      <c r="AM24">
        <v>2.769093087720965</v>
      </c>
      <c r="AN24">
        <v>22.5508938443723</v>
      </c>
      <c r="AO24">
        <v>25.74756787878788</v>
      </c>
      <c r="AP24">
        <v>6.6179220779158648E-3</v>
      </c>
      <c r="AQ24">
        <v>78.55</v>
      </c>
      <c r="AR24">
        <v>0</v>
      </c>
      <c r="AS24">
        <v>0</v>
      </c>
      <c r="AT24">
        <v>1</v>
      </c>
      <c r="AU24">
        <v>0</v>
      </c>
      <c r="AV24">
        <v>51448.075090257749</v>
      </c>
      <c r="AW24" t="s">
        <v>623</v>
      </c>
      <c r="AX24">
        <v>5097.1400000000003</v>
      </c>
      <c r="AY24">
        <v>605.0617647058823</v>
      </c>
      <c r="AZ24">
        <v>2408.86</v>
      </c>
      <c r="BA24">
        <v>0.74881821081097188</v>
      </c>
      <c r="BB24">
        <v>-2.5855627598635031</v>
      </c>
      <c r="BC24" t="s">
        <v>656</v>
      </c>
      <c r="BD24">
        <v>5067.55</v>
      </c>
      <c r="BE24">
        <v>828.30805882352945</v>
      </c>
      <c r="BF24">
        <v>1199.1099999999999</v>
      </c>
      <c r="BG24">
        <v>0.30923096394531813</v>
      </c>
      <c r="BH24">
        <v>0.5</v>
      </c>
      <c r="BI24">
        <v>840.2972049053684</v>
      </c>
      <c r="BJ24">
        <v>36.002467130044209</v>
      </c>
      <c r="BK24">
        <v>129.92295733672179</v>
      </c>
      <c r="BL24">
        <v>4.5921882953607322E-2</v>
      </c>
      <c r="BM24">
        <v>1.0088732476586804</v>
      </c>
      <c r="BN24">
        <v>482.73229122411078</v>
      </c>
      <c r="BO24" t="s">
        <v>408</v>
      </c>
      <c r="BP24">
        <v>0</v>
      </c>
      <c r="BQ24">
        <v>482.73229122411078</v>
      </c>
      <c r="BR24">
        <v>0.59742451382766315</v>
      </c>
      <c r="BS24">
        <v>0.51760675497577735</v>
      </c>
      <c r="BT24">
        <v>0.628073618632916</v>
      </c>
      <c r="BU24">
        <v>0.62419500496097546</v>
      </c>
      <c r="BV24">
        <v>0.67066813589755214</v>
      </c>
      <c r="BW24">
        <v>0.30165768897314038</v>
      </c>
      <c r="BX24">
        <v>0.69834231102685962</v>
      </c>
      <c r="DG24">
        <v>999.99810000000002</v>
      </c>
      <c r="DH24">
        <v>840.2972049053684</v>
      </c>
      <c r="DI24">
        <v>0.84029880147309122</v>
      </c>
      <c r="DJ24">
        <v>0.16017668684306613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1784478328.25</v>
      </c>
      <c r="DQ24">
        <v>420.04199999999997</v>
      </c>
      <c r="DR24">
        <v>464.6026333333333</v>
      </c>
      <c r="DS24">
        <v>25.589140000000011</v>
      </c>
      <c r="DT24">
        <v>22.43547666666667</v>
      </c>
      <c r="DU24">
        <v>426.93696666666659</v>
      </c>
      <c r="DV24">
        <v>26.31214000000001</v>
      </c>
      <c r="DW24">
        <v>500.02066666666661</v>
      </c>
      <c r="DX24">
        <v>97.775306666666665</v>
      </c>
      <c r="DY24">
        <v>5.6748986666666661E-2</v>
      </c>
      <c r="DZ24">
        <v>28.387016666666671</v>
      </c>
      <c r="EA24">
        <v>28.636966666666659</v>
      </c>
      <c r="EB24">
        <v>999.9000000000002</v>
      </c>
      <c r="EC24">
        <v>0</v>
      </c>
      <c r="ED24">
        <v>0</v>
      </c>
      <c r="EE24">
        <v>9997</v>
      </c>
      <c r="EF24">
        <v>0</v>
      </c>
      <c r="EG24">
        <v>1377.480666666667</v>
      </c>
      <c r="EH24">
        <v>-44.560499999999998</v>
      </c>
      <c r="EI24">
        <v>431.12386666666669</v>
      </c>
      <c r="EJ24">
        <v>475.26533333333339</v>
      </c>
      <c r="EK24">
        <v>3.2689556666666659</v>
      </c>
      <c r="EL24">
        <v>464.6026333333333</v>
      </c>
      <c r="EM24">
        <v>22.43547666666667</v>
      </c>
      <c r="EN24">
        <v>2.513259333333334</v>
      </c>
      <c r="EO24">
        <v>2.1936366666666669</v>
      </c>
      <c r="EP24">
        <v>21.112616666666671</v>
      </c>
      <c r="EQ24">
        <v>18.915806666666661</v>
      </c>
      <c r="ER24">
        <v>999.99810000000002</v>
      </c>
      <c r="ES24">
        <v>0.98998620000000037</v>
      </c>
      <c r="ET24">
        <v>1.001349333333333E-2</v>
      </c>
      <c r="EU24">
        <v>0</v>
      </c>
      <c r="EV24">
        <v>828.27253333333317</v>
      </c>
      <c r="EW24">
        <v>5.0010700000000003</v>
      </c>
      <c r="EX24">
        <v>12997.78</v>
      </c>
      <c r="EY24">
        <v>9080.2129999999997</v>
      </c>
      <c r="EZ24">
        <v>45.455899999999971</v>
      </c>
      <c r="FA24">
        <v>48.647733333333328</v>
      </c>
      <c r="FB24">
        <v>47.066199999999967</v>
      </c>
      <c r="FC24">
        <v>47.807866666666648</v>
      </c>
      <c r="FD24">
        <v>46.776866666666663</v>
      </c>
      <c r="FE24">
        <v>985.03399999999988</v>
      </c>
      <c r="FF24">
        <v>9.9599999999999991</v>
      </c>
      <c r="FG24">
        <v>0</v>
      </c>
      <c r="FH24">
        <v>182</v>
      </c>
      <c r="FI24">
        <v>0</v>
      </c>
      <c r="FJ24">
        <v>828.30805882352945</v>
      </c>
      <c r="FK24">
        <v>2.2727941026064249</v>
      </c>
      <c r="FL24">
        <v>154.92647083463541</v>
      </c>
      <c r="FM24">
        <v>13004.96470588235</v>
      </c>
      <c r="FN24">
        <v>10</v>
      </c>
      <c r="FO24">
        <v>1784478358</v>
      </c>
      <c r="FP24" t="s">
        <v>657</v>
      </c>
      <c r="FQ24">
        <v>1784478042</v>
      </c>
      <c r="FR24">
        <v>1784478358</v>
      </c>
      <c r="FS24">
        <v>11</v>
      </c>
      <c r="FT24">
        <v>1.2E-2</v>
      </c>
      <c r="FU24">
        <v>-3.1E-2</v>
      </c>
      <c r="FV24">
        <v>-7.0780000000000003</v>
      </c>
      <c r="FW24">
        <v>-0.72299999999999998</v>
      </c>
      <c r="FX24">
        <v>470</v>
      </c>
      <c r="FY24">
        <v>23</v>
      </c>
      <c r="FZ24">
        <v>0.19</v>
      </c>
      <c r="GA24">
        <v>0.08</v>
      </c>
      <c r="GB24">
        <v>420.04519999999991</v>
      </c>
      <c r="GC24">
        <v>-0.77755728587224859</v>
      </c>
      <c r="GD24">
        <v>9.0173314603971252E-2</v>
      </c>
      <c r="GE24">
        <v>-1</v>
      </c>
      <c r="GF24">
        <v>828.32817647058823</v>
      </c>
      <c r="GG24">
        <v>-0.38844919605955958</v>
      </c>
      <c r="GH24">
        <v>0.219142643659096</v>
      </c>
      <c r="GI24">
        <v>1</v>
      </c>
      <c r="GJ24">
        <v>3.3115109999999999</v>
      </c>
      <c r="GK24">
        <v>-0.86948307692308957</v>
      </c>
      <c r="GL24">
        <v>8.7776924524615246E-2</v>
      </c>
      <c r="GM24">
        <v>0</v>
      </c>
      <c r="GN24">
        <v>1</v>
      </c>
      <c r="GO24">
        <v>2</v>
      </c>
      <c r="GP24" t="s">
        <v>411</v>
      </c>
      <c r="GQ24">
        <v>3.13097</v>
      </c>
      <c r="GR24">
        <v>2.7325300000000001</v>
      </c>
      <c r="GS24">
        <v>9.0725E-2</v>
      </c>
      <c r="GT24">
        <v>9.7469399999999998E-2</v>
      </c>
      <c r="GU24">
        <v>0.118441</v>
      </c>
      <c r="GV24">
        <v>0.106501</v>
      </c>
      <c r="GW24">
        <v>22640.799999999999</v>
      </c>
      <c r="GX24">
        <v>30123</v>
      </c>
      <c r="GY24">
        <v>27031</v>
      </c>
      <c r="GZ24">
        <v>34351.9</v>
      </c>
      <c r="HA24">
        <v>34930.6</v>
      </c>
      <c r="HB24">
        <v>38888.9</v>
      </c>
      <c r="HC24">
        <v>39926.1</v>
      </c>
      <c r="HD24">
        <v>43594.9</v>
      </c>
      <c r="HE24">
        <v>1.9248000000000001</v>
      </c>
      <c r="HF24">
        <v>1.6854</v>
      </c>
      <c r="HG24">
        <v>-9.9152299999999999E-2</v>
      </c>
      <c r="HH24">
        <v>0</v>
      </c>
      <c r="HI24">
        <v>30.259599999999999</v>
      </c>
      <c r="HJ24">
        <v>999.9</v>
      </c>
      <c r="HK24">
        <v>55.6</v>
      </c>
      <c r="HL24">
        <v>39.700000000000003</v>
      </c>
      <c r="HM24">
        <v>41.484400000000001</v>
      </c>
      <c r="HN24">
        <v>61.299900000000001</v>
      </c>
      <c r="HO24">
        <v>4.2788500000000003</v>
      </c>
      <c r="HP24">
        <v>1</v>
      </c>
      <c r="HQ24">
        <v>0.955569</v>
      </c>
      <c r="HR24">
        <v>6.9789099999999999</v>
      </c>
      <c r="HS24">
        <v>20.099599999999999</v>
      </c>
      <c r="HT24">
        <v>5.2088999999999999</v>
      </c>
      <c r="HU24">
        <v>11.914099999999999</v>
      </c>
      <c r="HV24">
        <v>4.9816000000000003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1.8633999999999999</v>
      </c>
      <c r="ID24">
        <v>1.8628499999999999</v>
      </c>
      <c r="IE24">
        <v>1.8623400000000001</v>
      </c>
      <c r="IF24">
        <v>1.8623400000000001</v>
      </c>
      <c r="IG24">
        <v>1.8629500000000001</v>
      </c>
      <c r="IH24">
        <v>1.8638600000000001</v>
      </c>
      <c r="II24">
        <v>1.86185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-6.8949999999999996</v>
      </c>
      <c r="IX24">
        <v>-0.72299999999999998</v>
      </c>
      <c r="IY24">
        <v>-4.9038502591749138</v>
      </c>
      <c r="IZ24">
        <v>-5.6215304933332991E-3</v>
      </c>
      <c r="JA24">
        <v>2.3979931213773931E-6</v>
      </c>
      <c r="JB24">
        <v>-3.6297174575716598E-10</v>
      </c>
      <c r="JC24">
        <v>-1.0651664666990119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4.9000000000000004</v>
      </c>
      <c r="JL24">
        <v>4.9000000000000004</v>
      </c>
      <c r="JM24">
        <v>1.18652</v>
      </c>
      <c r="JN24">
        <v>2.5561500000000001</v>
      </c>
      <c r="JO24">
        <v>1.50024</v>
      </c>
      <c r="JP24">
        <v>2.2741699999999998</v>
      </c>
      <c r="JQ24">
        <v>1.4477500000000001</v>
      </c>
      <c r="JR24">
        <v>2.34009</v>
      </c>
      <c r="JS24">
        <v>45.6905</v>
      </c>
      <c r="JT24">
        <v>23.8248</v>
      </c>
      <c r="JU24">
        <v>18</v>
      </c>
      <c r="JV24">
        <v>550.70600000000002</v>
      </c>
      <c r="JW24">
        <v>405.47500000000002</v>
      </c>
      <c r="JX24">
        <v>23.537600000000001</v>
      </c>
      <c r="JY24">
        <v>38.412599999999998</v>
      </c>
      <c r="JZ24">
        <v>30</v>
      </c>
      <c r="KA24">
        <v>38.072200000000002</v>
      </c>
      <c r="KB24">
        <v>37.932400000000001</v>
      </c>
      <c r="KC24">
        <v>23.734100000000002</v>
      </c>
      <c r="KD24">
        <v>51.866100000000003</v>
      </c>
      <c r="KE24">
        <v>0</v>
      </c>
      <c r="KF24">
        <v>23.531199999999998</v>
      </c>
      <c r="KG24">
        <v>464.72</v>
      </c>
      <c r="KH24">
        <v>22.503799999999998</v>
      </c>
      <c r="KI24">
        <v>99.776300000000006</v>
      </c>
      <c r="KJ24">
        <v>98.073700000000002</v>
      </c>
    </row>
    <row r="25" spans="1:296" x14ac:dyDescent="0.3">
      <c r="A25">
        <v>10</v>
      </c>
      <c r="B25">
        <v>1784478539</v>
      </c>
      <c r="C25">
        <v>1846.400000095367</v>
      </c>
      <c r="D25" t="s">
        <v>658</v>
      </c>
      <c r="E25" t="s">
        <v>659</v>
      </c>
      <c r="F25">
        <v>15</v>
      </c>
      <c r="H25">
        <v>1784478531</v>
      </c>
      <c r="I25">
        <v>2.6172941393656397E-3</v>
      </c>
      <c r="J25">
        <v>2.6172941393656397</v>
      </c>
      <c r="K25">
        <v>32.790688046014864</v>
      </c>
      <c r="L25">
        <v>420.17477419354827</v>
      </c>
      <c r="M25">
        <v>112.51426790086103</v>
      </c>
      <c r="N25">
        <v>11.007780870435601</v>
      </c>
      <c r="O25">
        <v>41.107602865822358</v>
      </c>
      <c r="P25">
        <v>0.17928188662121916</v>
      </c>
      <c r="Q25">
        <v>2.8900211180955084</v>
      </c>
      <c r="R25">
        <v>0.1733244969520919</v>
      </c>
      <c r="S25">
        <v>0.10884656728785938</v>
      </c>
      <c r="T25">
        <v>128.27584543709244</v>
      </c>
      <c r="U25">
        <v>28.428389748103388</v>
      </c>
      <c r="V25">
        <v>28.62096129032259</v>
      </c>
      <c r="W25">
        <v>3.9344011884169561</v>
      </c>
      <c r="X25">
        <v>64.690114019064765</v>
      </c>
      <c r="Y25">
        <v>2.5056708407086572</v>
      </c>
      <c r="Z25">
        <v>3.8733442948797605</v>
      </c>
      <c r="AA25">
        <v>1.4287303477082989</v>
      </c>
      <c r="AB25">
        <v>-115.42267154602472</v>
      </c>
      <c r="AC25">
        <v>-41.952744995420176</v>
      </c>
      <c r="AD25">
        <v>-3.1796076894800605</v>
      </c>
      <c r="AE25">
        <v>-32.279178793832514</v>
      </c>
      <c r="AF25">
        <v>32.790688046014864</v>
      </c>
      <c r="AG25">
        <v>2.6172941393656397</v>
      </c>
      <c r="AH25">
        <v>32.758984156980866</v>
      </c>
      <c r="AI25">
        <v>471.29377839682871</v>
      </c>
      <c r="AJ25">
        <v>431.22253333333327</v>
      </c>
      <c r="AK25">
        <v>-2.8040174885823992E-2</v>
      </c>
      <c r="AL25">
        <v>67.091683255018253</v>
      </c>
      <c r="AM25">
        <v>2.6967939335730593</v>
      </c>
      <c r="AN25">
        <v>22.552329276875131</v>
      </c>
      <c r="AO25">
        <v>25.70486787878788</v>
      </c>
      <c r="AP25">
        <v>7.3908408839646055E-5</v>
      </c>
      <c r="AQ25">
        <v>78.254704069468801</v>
      </c>
      <c r="AR25">
        <v>0</v>
      </c>
      <c r="AS25">
        <v>0</v>
      </c>
      <c r="AT25">
        <v>1</v>
      </c>
      <c r="AU25">
        <v>0</v>
      </c>
      <c r="AV25">
        <v>51463.110196984249</v>
      </c>
      <c r="AW25" t="s">
        <v>623</v>
      </c>
      <c r="AX25">
        <v>5097.1400000000003</v>
      </c>
      <c r="AY25">
        <v>605.0617647058823</v>
      </c>
      <c r="AZ25">
        <v>2408.86</v>
      </c>
      <c r="BA25">
        <v>0.74881821081097188</v>
      </c>
      <c r="BB25">
        <v>-2.5855627598635031</v>
      </c>
      <c r="BC25" t="s">
        <v>660</v>
      </c>
      <c r="BD25">
        <v>5071.1000000000004</v>
      </c>
      <c r="BE25">
        <v>837.23847058823526</v>
      </c>
      <c r="BF25">
        <v>1334.37</v>
      </c>
      <c r="BG25">
        <v>0.37255898244996866</v>
      </c>
      <c r="BH25">
        <v>0.5</v>
      </c>
      <c r="BI25">
        <v>672.30073985207878</v>
      </c>
      <c r="BJ25">
        <v>32.790688046014864</v>
      </c>
      <c r="BK25">
        <v>125.23583976982577</v>
      </c>
      <c r="BL25">
        <v>5.2619681503938164E-2</v>
      </c>
      <c r="BM25">
        <v>0.80524142479222427</v>
      </c>
      <c r="BN25">
        <v>503.26948191088354</v>
      </c>
      <c r="BO25" t="s">
        <v>408</v>
      </c>
      <c r="BP25">
        <v>0</v>
      </c>
      <c r="BQ25">
        <v>503.26948191088354</v>
      </c>
      <c r="BR25">
        <v>0.62284112958858218</v>
      </c>
      <c r="BS25">
        <v>0.59816053364372801</v>
      </c>
      <c r="BT25">
        <v>0.56386195764527347</v>
      </c>
      <c r="BU25">
        <v>0.68164804036701976</v>
      </c>
      <c r="BV25">
        <v>0.59568192216620031</v>
      </c>
      <c r="BW25">
        <v>0.35955818138040391</v>
      </c>
      <c r="BX25">
        <v>0.64044181861959615</v>
      </c>
      <c r="DG25">
        <v>799.98945161290339</v>
      </c>
      <c r="DH25">
        <v>672.30073985207878</v>
      </c>
      <c r="DI25">
        <v>0.84038700572440761</v>
      </c>
      <c r="DJ25">
        <v>0.16034692104810674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1784478531</v>
      </c>
      <c r="DQ25">
        <v>420.17477419354827</v>
      </c>
      <c r="DR25">
        <v>460.8435483870968</v>
      </c>
      <c r="DS25">
        <v>25.611312903225809</v>
      </c>
      <c r="DT25">
        <v>22.55097741935484</v>
      </c>
      <c r="DU25">
        <v>427.07032258064521</v>
      </c>
      <c r="DV25">
        <v>26.337312903225811</v>
      </c>
      <c r="DW25">
        <v>499.99651612903227</v>
      </c>
      <c r="DX25">
        <v>97.777893548387112</v>
      </c>
      <c r="DY25">
        <v>5.6639580645161287E-2</v>
      </c>
      <c r="DZ25">
        <v>28.351700000000001</v>
      </c>
      <c r="EA25">
        <v>28.62096129032259</v>
      </c>
      <c r="EB25">
        <v>999.90000000000032</v>
      </c>
      <c r="EC25">
        <v>0</v>
      </c>
      <c r="ED25">
        <v>0</v>
      </c>
      <c r="EE25">
        <v>9998.5483870967746</v>
      </c>
      <c r="EF25">
        <v>0</v>
      </c>
      <c r="EG25">
        <v>1392.798064516129</v>
      </c>
      <c r="EH25">
        <v>-40.668725806451619</v>
      </c>
      <c r="EI25">
        <v>431.25783870967751</v>
      </c>
      <c r="EJ25">
        <v>471.47587096774203</v>
      </c>
      <c r="EK25">
        <v>3.1482651612903219</v>
      </c>
      <c r="EL25">
        <v>460.8435483870968</v>
      </c>
      <c r="EM25">
        <v>22.55097741935484</v>
      </c>
      <c r="EN25">
        <v>2.51281806451613</v>
      </c>
      <c r="EO25">
        <v>2.2049887096774201</v>
      </c>
      <c r="EP25">
        <v>21.109770967741941</v>
      </c>
      <c r="EQ25">
        <v>18.998593548387099</v>
      </c>
      <c r="ER25">
        <v>799.98945161290339</v>
      </c>
      <c r="ES25">
        <v>0.98701570967741969</v>
      </c>
      <c r="ET25">
        <v>1.2984090322580639E-2</v>
      </c>
      <c r="EU25">
        <v>0</v>
      </c>
      <c r="EV25">
        <v>837.57458064516129</v>
      </c>
      <c r="EW25">
        <v>5.0010700000000003</v>
      </c>
      <c r="EX25">
        <v>11299.974193548391</v>
      </c>
      <c r="EY25">
        <v>7246.5677419354834</v>
      </c>
      <c r="EZ25">
        <v>44.824193548387072</v>
      </c>
      <c r="FA25">
        <v>48.311999999999969</v>
      </c>
      <c r="FB25">
        <v>46.625</v>
      </c>
      <c r="FC25">
        <v>47.508000000000003</v>
      </c>
      <c r="FD25">
        <v>46.303999999999988</v>
      </c>
      <c r="FE25">
        <v>784.66709677419362</v>
      </c>
      <c r="FF25">
        <v>10.32</v>
      </c>
      <c r="FG25">
        <v>0</v>
      </c>
      <c r="FH25">
        <v>202.5999999046326</v>
      </c>
      <c r="FI25">
        <v>0</v>
      </c>
      <c r="FJ25">
        <v>837.23847058823526</v>
      </c>
      <c r="FK25">
        <v>-6.1372549430739802</v>
      </c>
      <c r="FL25">
        <v>735.39215972495583</v>
      </c>
      <c r="FM25">
        <v>11314.63529411765</v>
      </c>
      <c r="FN25">
        <v>10</v>
      </c>
      <c r="FO25">
        <v>1784478562</v>
      </c>
      <c r="FP25" t="s">
        <v>661</v>
      </c>
      <c r="FQ25">
        <v>1784478042</v>
      </c>
      <c r="FR25">
        <v>1784478562</v>
      </c>
      <c r="FS25">
        <v>12</v>
      </c>
      <c r="FT25">
        <v>1.2E-2</v>
      </c>
      <c r="FU25">
        <v>-3.0000000000000001E-3</v>
      </c>
      <c r="FV25">
        <v>-7.0780000000000003</v>
      </c>
      <c r="FW25">
        <v>-0.72599999999999998</v>
      </c>
      <c r="FX25">
        <v>470</v>
      </c>
      <c r="FY25">
        <v>23</v>
      </c>
      <c r="FZ25">
        <v>0.19</v>
      </c>
      <c r="GA25">
        <v>0.11</v>
      </c>
      <c r="GB25">
        <v>420.17209677419339</v>
      </c>
      <c r="GC25">
        <v>0.39029032257952961</v>
      </c>
      <c r="GD25">
        <v>7.1280615307573167E-2</v>
      </c>
      <c r="GE25">
        <v>-1</v>
      </c>
      <c r="GF25">
        <v>837.8512352941176</v>
      </c>
      <c r="GG25">
        <v>-4.6667990895467248</v>
      </c>
      <c r="GH25">
        <v>0.5006685564924217</v>
      </c>
      <c r="GI25">
        <v>1</v>
      </c>
      <c r="GJ25">
        <v>3.1496792682926831</v>
      </c>
      <c r="GK25">
        <v>-3.3755121951208153E-2</v>
      </c>
      <c r="GL25">
        <v>4.9655370304922154E-3</v>
      </c>
      <c r="GM25">
        <v>1</v>
      </c>
      <c r="GN25">
        <v>2</v>
      </c>
      <c r="GO25">
        <v>2</v>
      </c>
      <c r="GP25" t="s">
        <v>424</v>
      </c>
      <c r="GQ25">
        <v>3.1314500000000001</v>
      </c>
      <c r="GR25">
        <v>2.7329400000000001</v>
      </c>
      <c r="GS25">
        <v>9.0728100000000006E-2</v>
      </c>
      <c r="GT25">
        <v>9.6808900000000003E-2</v>
      </c>
      <c r="GU25">
        <v>0.118399</v>
      </c>
      <c r="GV25">
        <v>0.106451</v>
      </c>
      <c r="GW25">
        <v>22635.599999999999</v>
      </c>
      <c r="GX25">
        <v>30137.200000000001</v>
      </c>
      <c r="GY25">
        <v>27025.3</v>
      </c>
      <c r="GZ25">
        <v>34343.699999999997</v>
      </c>
      <c r="HA25">
        <v>34926.400000000001</v>
      </c>
      <c r="HB25">
        <v>38883.199999999997</v>
      </c>
      <c r="HC25">
        <v>39918.800000000003</v>
      </c>
      <c r="HD25">
        <v>43586</v>
      </c>
      <c r="HE25">
        <v>1.9224000000000001</v>
      </c>
      <c r="HF25">
        <v>1.681</v>
      </c>
      <c r="HG25">
        <v>-0.10281800000000001</v>
      </c>
      <c r="HH25">
        <v>0</v>
      </c>
      <c r="HI25">
        <v>30.304300000000001</v>
      </c>
      <c r="HJ25">
        <v>999.9</v>
      </c>
      <c r="HK25">
        <v>55.3</v>
      </c>
      <c r="HL25">
        <v>40</v>
      </c>
      <c r="HM25">
        <v>41.927999999999997</v>
      </c>
      <c r="HN25">
        <v>61.4</v>
      </c>
      <c r="HO25">
        <v>4.1706700000000003</v>
      </c>
      <c r="HP25">
        <v>1</v>
      </c>
      <c r="HQ25">
        <v>0.963171</v>
      </c>
      <c r="HR25">
        <v>6.6446399999999999</v>
      </c>
      <c r="HS25">
        <v>20.113600000000002</v>
      </c>
      <c r="HT25">
        <v>5.2112999999999996</v>
      </c>
      <c r="HU25">
        <v>11.914099999999999</v>
      </c>
      <c r="HV25">
        <v>4.9832000000000001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1.86771</v>
      </c>
      <c r="IC25">
        <v>1.8633999999999999</v>
      </c>
      <c r="ID25">
        <v>1.8629199999999999</v>
      </c>
      <c r="IE25">
        <v>1.8624000000000001</v>
      </c>
      <c r="IF25">
        <v>1.86246</v>
      </c>
      <c r="IG25">
        <v>1.8629500000000001</v>
      </c>
      <c r="IH25">
        <v>1.8638600000000001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-6.8949999999999996</v>
      </c>
      <c r="IX25">
        <v>-0.72599999999999998</v>
      </c>
      <c r="IY25">
        <v>-4.9038502591749138</v>
      </c>
      <c r="IZ25">
        <v>-5.6215304933332991E-3</v>
      </c>
      <c r="JA25">
        <v>2.3979931213773931E-6</v>
      </c>
      <c r="JB25">
        <v>-3.6297174575716598E-10</v>
      </c>
      <c r="JC25">
        <v>-1.0962531293895199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8.3000000000000007</v>
      </c>
      <c r="JL25">
        <v>3</v>
      </c>
      <c r="JM25">
        <v>1.17798</v>
      </c>
      <c r="JN25">
        <v>2.5488300000000002</v>
      </c>
      <c r="JO25">
        <v>1.50024</v>
      </c>
      <c r="JP25">
        <v>2.2741699999999998</v>
      </c>
      <c r="JQ25">
        <v>1.4477500000000001</v>
      </c>
      <c r="JR25">
        <v>2.4548299999999998</v>
      </c>
      <c r="JS25">
        <v>45.892099999999999</v>
      </c>
      <c r="JT25">
        <v>23.8248</v>
      </c>
      <c r="JU25">
        <v>18</v>
      </c>
      <c r="JV25">
        <v>549.87</v>
      </c>
      <c r="JW25">
        <v>403.44499999999999</v>
      </c>
      <c r="JX25">
        <v>23.756499999999999</v>
      </c>
      <c r="JY25">
        <v>38.5199</v>
      </c>
      <c r="JZ25">
        <v>29.999700000000001</v>
      </c>
      <c r="KA25">
        <v>38.178100000000001</v>
      </c>
      <c r="KB25">
        <v>38.0413</v>
      </c>
      <c r="KC25">
        <v>23.570799999999998</v>
      </c>
      <c r="KD25">
        <v>52.175800000000002</v>
      </c>
      <c r="KE25">
        <v>0</v>
      </c>
      <c r="KF25">
        <v>23.757899999999999</v>
      </c>
      <c r="KG25">
        <v>460.67599999999999</v>
      </c>
      <c r="KH25">
        <v>22.5092</v>
      </c>
      <c r="KI25">
        <v>99.756900000000002</v>
      </c>
      <c r="KJ25">
        <v>98.052099999999996</v>
      </c>
    </row>
    <row r="26" spans="1:296" x14ac:dyDescent="0.3">
      <c r="A26">
        <v>11</v>
      </c>
      <c r="B26">
        <v>1784478743</v>
      </c>
      <c r="C26">
        <v>2050.400000095367</v>
      </c>
      <c r="D26" t="s">
        <v>662</v>
      </c>
      <c r="E26" t="s">
        <v>663</v>
      </c>
      <c r="F26">
        <v>15</v>
      </c>
      <c r="H26">
        <v>1784478735.25</v>
      </c>
      <c r="I26">
        <v>2.4008940957035009E-3</v>
      </c>
      <c r="J26">
        <v>2.4008940957035008</v>
      </c>
      <c r="K26">
        <v>28.521176505275605</v>
      </c>
      <c r="L26">
        <v>420.14996666666673</v>
      </c>
      <c r="M26">
        <v>130.75408466430639</v>
      </c>
      <c r="N26">
        <v>12.792448731413751</v>
      </c>
      <c r="O26">
        <v>41.105766767344008</v>
      </c>
      <c r="P26">
        <v>0.16573431890361676</v>
      </c>
      <c r="Q26">
        <v>2.8904912025192111</v>
      </c>
      <c r="R26">
        <v>0.16063026680625297</v>
      </c>
      <c r="S26">
        <v>0.10083940187893696</v>
      </c>
      <c r="T26">
        <v>96.346114981501955</v>
      </c>
      <c r="U26">
        <v>28.284066695628059</v>
      </c>
      <c r="V26">
        <v>28.62055333333333</v>
      </c>
      <c r="W26">
        <v>3.934308050066972</v>
      </c>
      <c r="X26">
        <v>65.106447062169423</v>
      </c>
      <c r="Y26">
        <v>2.5202195618606016</v>
      </c>
      <c r="Z26">
        <v>3.8709216607290395</v>
      </c>
      <c r="AA26">
        <v>1.4140884882063705</v>
      </c>
      <c r="AB26">
        <v>-105.87942962052439</v>
      </c>
      <c r="AC26">
        <v>-43.572750176331958</v>
      </c>
      <c r="AD26">
        <v>-3.301667752871813</v>
      </c>
      <c r="AE26">
        <v>-56.407732568226201</v>
      </c>
      <c r="AF26">
        <v>28.521176505275605</v>
      </c>
      <c r="AG26">
        <v>2.4008940957035008</v>
      </c>
      <c r="AH26">
        <v>28.38796980944927</v>
      </c>
      <c r="AI26">
        <v>466.07708354301258</v>
      </c>
      <c r="AJ26">
        <v>431.21984242424259</v>
      </c>
      <c r="AK26">
        <v>-1.623775957726236E-3</v>
      </c>
      <c r="AL26">
        <v>67.082556208476504</v>
      </c>
      <c r="AM26">
        <v>2.388871612110846</v>
      </c>
      <c r="AN26">
        <v>22.952749795151512</v>
      </c>
      <c r="AO26">
        <v>25.747978181818169</v>
      </c>
      <c r="AP26">
        <v>-3.9166891774886949E-4</v>
      </c>
      <c r="AQ26">
        <v>78.55</v>
      </c>
      <c r="AR26">
        <v>0</v>
      </c>
      <c r="AS26">
        <v>0</v>
      </c>
      <c r="AT26">
        <v>1</v>
      </c>
      <c r="AU26">
        <v>0</v>
      </c>
      <c r="AV26">
        <v>51478.293164740884</v>
      </c>
      <c r="AW26" t="s">
        <v>623</v>
      </c>
      <c r="AX26">
        <v>5097.1400000000003</v>
      </c>
      <c r="AY26">
        <v>605.0617647058823</v>
      </c>
      <c r="AZ26">
        <v>2408.86</v>
      </c>
      <c r="BA26">
        <v>0.74881821081097188</v>
      </c>
      <c r="BB26">
        <v>-2.5855627598635031</v>
      </c>
      <c r="BC26" t="s">
        <v>664</v>
      </c>
      <c r="BD26">
        <v>5073.5</v>
      </c>
      <c r="BE26">
        <v>843.85776470588223</v>
      </c>
      <c r="BF26">
        <v>1525.09</v>
      </c>
      <c r="BG26">
        <v>0.44668330085051877</v>
      </c>
      <c r="BH26">
        <v>0.5</v>
      </c>
      <c r="BI26">
        <v>504.30449431165897</v>
      </c>
      <c r="BJ26">
        <v>28.521176505275605</v>
      </c>
      <c r="BK26">
        <v>112.63219807644175</v>
      </c>
      <c r="BL26">
        <v>6.1682454977121853E-2</v>
      </c>
      <c r="BM26">
        <v>0.57948711223599936</v>
      </c>
      <c r="BN26">
        <v>528.18146183422289</v>
      </c>
      <c r="BO26" t="s">
        <v>408</v>
      </c>
      <c r="BP26">
        <v>0</v>
      </c>
      <c r="BQ26">
        <v>528.18146183422289</v>
      </c>
      <c r="BR26">
        <v>0.65367193946965563</v>
      </c>
      <c r="BS26">
        <v>0.6833447695688557</v>
      </c>
      <c r="BT26">
        <v>0.46992081956863274</v>
      </c>
      <c r="BU26">
        <v>0.74044709625280047</v>
      </c>
      <c r="BV26">
        <v>0.48994947589351495</v>
      </c>
      <c r="BW26">
        <v>0.42771430734354476</v>
      </c>
      <c r="BX26">
        <v>0.57228569265645524</v>
      </c>
      <c r="DG26">
        <v>600.00106666666659</v>
      </c>
      <c r="DH26">
        <v>504.30449431165897</v>
      </c>
      <c r="DI26">
        <v>0.84050599628654943</v>
      </c>
      <c r="DJ26">
        <v>0.16057657283304047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1784478735.25</v>
      </c>
      <c r="DQ26">
        <v>420.14996666666673</v>
      </c>
      <c r="DR26">
        <v>455.58576666666681</v>
      </c>
      <c r="DS26">
        <v>25.759650000000001</v>
      </c>
      <c r="DT26">
        <v>22.9528</v>
      </c>
      <c r="DU26">
        <v>427.01923333333337</v>
      </c>
      <c r="DV26">
        <v>26.399766666666661</v>
      </c>
      <c r="DW26">
        <v>500.00133333333338</v>
      </c>
      <c r="DX26">
        <v>97.778689999999969</v>
      </c>
      <c r="DY26">
        <v>5.7249613333333331E-2</v>
      </c>
      <c r="DZ26">
        <v>28.34094</v>
      </c>
      <c r="EA26">
        <v>28.62055333333333</v>
      </c>
      <c r="EB26">
        <v>999.9000000000002</v>
      </c>
      <c r="EC26">
        <v>0</v>
      </c>
      <c r="ED26">
        <v>0</v>
      </c>
      <c r="EE26">
        <v>10001.16666666667</v>
      </c>
      <c r="EF26">
        <v>0</v>
      </c>
      <c r="EG26">
        <v>1413.238333333333</v>
      </c>
      <c r="EH26">
        <v>-35.435706666666682</v>
      </c>
      <c r="EI26">
        <v>431.25909999999999</v>
      </c>
      <c r="EJ26">
        <v>466.28826666666669</v>
      </c>
      <c r="EK26">
        <v>2.8068399999999998</v>
      </c>
      <c r="EL26">
        <v>455.58576666666681</v>
      </c>
      <c r="EM26">
        <v>22.9528</v>
      </c>
      <c r="EN26">
        <v>2.5187439999999999</v>
      </c>
      <c r="EO26">
        <v>2.2442943333333329</v>
      </c>
      <c r="EP26">
        <v>21.148136666666669</v>
      </c>
      <c r="EQ26">
        <v>19.28206333333333</v>
      </c>
      <c r="ER26">
        <v>600.00106666666659</v>
      </c>
      <c r="ES26">
        <v>0.98299526666666637</v>
      </c>
      <c r="ET26">
        <v>1.7004706666666661E-2</v>
      </c>
      <c r="EU26">
        <v>0</v>
      </c>
      <c r="EV26">
        <v>844.05950000000007</v>
      </c>
      <c r="EW26">
        <v>5.0010700000000003</v>
      </c>
      <c r="EX26">
        <v>9491.6483333333344</v>
      </c>
      <c r="EY26">
        <v>5415.1113333333324</v>
      </c>
      <c r="EZ26">
        <v>44.303733333333319</v>
      </c>
      <c r="FA26">
        <v>48.125</v>
      </c>
      <c r="FB26">
        <v>46.25</v>
      </c>
      <c r="FC26">
        <v>47.375</v>
      </c>
      <c r="FD26">
        <v>45.875</v>
      </c>
      <c r="FE26">
        <v>584.88333333333333</v>
      </c>
      <c r="FF26">
        <v>10.119999999999999</v>
      </c>
      <c r="FG26">
        <v>0</v>
      </c>
      <c r="FH26">
        <v>203.20000004768369</v>
      </c>
      <c r="FI26">
        <v>0</v>
      </c>
      <c r="FJ26">
        <v>843.85776470588223</v>
      </c>
      <c r="FK26">
        <v>-4.1044117478031872</v>
      </c>
      <c r="FL26">
        <v>-3.6838226969762919</v>
      </c>
      <c r="FM26">
        <v>9492.9888235294111</v>
      </c>
      <c r="FN26">
        <v>10</v>
      </c>
      <c r="FO26">
        <v>1784478657</v>
      </c>
      <c r="FP26" t="s">
        <v>665</v>
      </c>
      <c r="FQ26">
        <v>1784478657</v>
      </c>
      <c r="FR26">
        <v>1784478657</v>
      </c>
      <c r="FS26">
        <v>13</v>
      </c>
      <c r="FT26">
        <v>2.5999999999999999E-2</v>
      </c>
      <c r="FU26">
        <v>-1E-3</v>
      </c>
      <c r="FV26">
        <v>-7.0069999999999997</v>
      </c>
      <c r="FW26">
        <v>-0.72899999999999998</v>
      </c>
      <c r="FX26">
        <v>457</v>
      </c>
      <c r="FY26">
        <v>23</v>
      </c>
      <c r="FZ26">
        <v>0.25</v>
      </c>
      <c r="GA26">
        <v>0.1</v>
      </c>
      <c r="GB26">
        <v>420.15174193548393</v>
      </c>
      <c r="GC26">
        <v>-0.1603548387109715</v>
      </c>
      <c r="GD26">
        <v>5.7538748650401497E-2</v>
      </c>
      <c r="GE26">
        <v>-1</v>
      </c>
      <c r="GF26">
        <v>844.26529411764704</v>
      </c>
      <c r="GG26">
        <v>-4.4907563036660711</v>
      </c>
      <c r="GH26">
        <v>0.49059816607242168</v>
      </c>
      <c r="GI26">
        <v>1</v>
      </c>
      <c r="GJ26">
        <v>2.8140358536585368</v>
      </c>
      <c r="GK26">
        <v>-0.1602932404181211</v>
      </c>
      <c r="GL26">
        <v>1.641987002349107E-2</v>
      </c>
      <c r="GM26">
        <v>1</v>
      </c>
      <c r="GN26">
        <v>2</v>
      </c>
      <c r="GO26">
        <v>2</v>
      </c>
      <c r="GP26" t="s">
        <v>424</v>
      </c>
      <c r="GQ26">
        <v>3.1313800000000001</v>
      </c>
      <c r="GR26">
        <v>2.7339799999999999</v>
      </c>
      <c r="GS26">
        <v>9.0687799999999999E-2</v>
      </c>
      <c r="GT26">
        <v>9.5967300000000005E-2</v>
      </c>
      <c r="GU26">
        <v>0.118478</v>
      </c>
      <c r="GV26">
        <v>0.107755</v>
      </c>
      <c r="GW26">
        <v>22630.9</v>
      </c>
      <c r="GX26">
        <v>30157.1</v>
      </c>
      <c r="GY26">
        <v>27019.3</v>
      </c>
      <c r="GZ26">
        <v>34335.300000000003</v>
      </c>
      <c r="HA26">
        <v>34916.5</v>
      </c>
      <c r="HB26">
        <v>38818.1</v>
      </c>
      <c r="HC26">
        <v>39910.199999999997</v>
      </c>
      <c r="HD26">
        <v>43576.1</v>
      </c>
      <c r="HE26">
        <v>1.9208000000000001</v>
      </c>
      <c r="HF26">
        <v>1.6774</v>
      </c>
      <c r="HG26">
        <v>-0.111461</v>
      </c>
      <c r="HH26">
        <v>0</v>
      </c>
      <c r="HI26">
        <v>30.420300000000001</v>
      </c>
      <c r="HJ26">
        <v>999.9</v>
      </c>
      <c r="HK26">
        <v>54.9</v>
      </c>
      <c r="HL26">
        <v>40.299999999999997</v>
      </c>
      <c r="HM26">
        <v>42.299300000000002</v>
      </c>
      <c r="HN26">
        <v>61.34</v>
      </c>
      <c r="HO26">
        <v>4.0424699999999998</v>
      </c>
      <c r="HP26">
        <v>1</v>
      </c>
      <c r="HQ26">
        <v>0.97874000000000005</v>
      </c>
      <c r="HR26">
        <v>6.1067799999999997</v>
      </c>
      <c r="HS26">
        <v>20.1343</v>
      </c>
      <c r="HT26">
        <v>5.2065099999999997</v>
      </c>
      <c r="HU26">
        <v>11.914099999999999</v>
      </c>
      <c r="HV26">
        <v>4.9824000000000002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1.86774</v>
      </c>
      <c r="IC26">
        <v>1.8633999999999999</v>
      </c>
      <c r="ID26">
        <v>1.8629500000000001</v>
      </c>
      <c r="IE26">
        <v>1.8623700000000001</v>
      </c>
      <c r="IF26">
        <v>1.86246</v>
      </c>
      <c r="IG26">
        <v>1.8629500000000001</v>
      </c>
      <c r="IH26">
        <v>1.8638600000000001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-6.8689999999999998</v>
      </c>
      <c r="IX26">
        <v>-0.64049999999999996</v>
      </c>
      <c r="IY26">
        <v>-4.8777713617274481</v>
      </c>
      <c r="IZ26">
        <v>-5.6215304933332991E-3</v>
      </c>
      <c r="JA26">
        <v>2.3979931213773931E-6</v>
      </c>
      <c r="JB26">
        <v>-3.6297174575716598E-10</v>
      </c>
      <c r="JC26">
        <v>-1.100105517029534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1.4</v>
      </c>
      <c r="JM26">
        <v>1.16699</v>
      </c>
      <c r="JN26">
        <v>2.5488300000000002</v>
      </c>
      <c r="JO26">
        <v>1.50024</v>
      </c>
      <c r="JP26">
        <v>2.2741699999999998</v>
      </c>
      <c r="JQ26">
        <v>1.4477500000000001</v>
      </c>
      <c r="JR26">
        <v>2.49268</v>
      </c>
      <c r="JS26">
        <v>46.181800000000003</v>
      </c>
      <c r="JT26">
        <v>23.842300000000002</v>
      </c>
      <c r="JU26">
        <v>18</v>
      </c>
      <c r="JV26">
        <v>549.90200000000004</v>
      </c>
      <c r="JW26">
        <v>402.09399999999999</v>
      </c>
      <c r="JX26">
        <v>23.7256</v>
      </c>
      <c r="JY26">
        <v>38.676099999999998</v>
      </c>
      <c r="JZ26">
        <v>30</v>
      </c>
      <c r="KA26">
        <v>38.3249</v>
      </c>
      <c r="KB26">
        <v>38.183500000000002</v>
      </c>
      <c r="KC26">
        <v>23.3536</v>
      </c>
      <c r="KD26">
        <v>51.567999999999998</v>
      </c>
      <c r="KE26">
        <v>0</v>
      </c>
      <c r="KF26">
        <v>23.878399999999999</v>
      </c>
      <c r="KG26">
        <v>455.50299999999999</v>
      </c>
      <c r="KH26">
        <v>22.946200000000001</v>
      </c>
      <c r="KI26">
        <v>99.735200000000006</v>
      </c>
      <c r="KJ26">
        <v>98.0291</v>
      </c>
    </row>
    <row r="27" spans="1:296" x14ac:dyDescent="0.3">
      <c r="A27">
        <v>12</v>
      </c>
      <c r="B27">
        <v>1784478925.5</v>
      </c>
      <c r="C27">
        <v>2232.900000095367</v>
      </c>
      <c r="D27" t="s">
        <v>666</v>
      </c>
      <c r="E27" t="s">
        <v>667</v>
      </c>
      <c r="F27">
        <v>15</v>
      </c>
      <c r="H27">
        <v>1784478917.75</v>
      </c>
      <c r="I27">
        <v>1.8992114172029866E-3</v>
      </c>
      <c r="J27">
        <v>1.8992114172029866</v>
      </c>
      <c r="K27">
        <v>20.648118907644726</v>
      </c>
      <c r="L27">
        <v>420.20803333333339</v>
      </c>
      <c r="M27">
        <v>153.4097960902964</v>
      </c>
      <c r="N27">
        <v>15.00806600872049</v>
      </c>
      <c r="O27">
        <v>41.108912614350267</v>
      </c>
      <c r="P27">
        <v>0.12980493480334437</v>
      </c>
      <c r="Q27">
        <v>2.8902752827702325</v>
      </c>
      <c r="R27">
        <v>0.12665110867113552</v>
      </c>
      <c r="S27">
        <v>7.9433919399233568E-2</v>
      </c>
      <c r="T27">
        <v>64.411811784823996</v>
      </c>
      <c r="U27">
        <v>28.196075116636202</v>
      </c>
      <c r="V27">
        <v>28.603090000000002</v>
      </c>
      <c r="W27">
        <v>3.9303228978984857</v>
      </c>
      <c r="X27">
        <v>64.995108192403279</v>
      </c>
      <c r="Y27">
        <v>2.5116034947300707</v>
      </c>
      <c r="Z27">
        <v>3.8642961979462176</v>
      </c>
      <c r="AA27">
        <v>1.4187194031684149</v>
      </c>
      <c r="AB27">
        <v>-83.755223498651716</v>
      </c>
      <c r="AC27">
        <v>-45.438302740111254</v>
      </c>
      <c r="AD27">
        <v>-3.4424810551094738</v>
      </c>
      <c r="AE27">
        <v>-68.224195509048457</v>
      </c>
      <c r="AF27">
        <v>20.648118907644726</v>
      </c>
      <c r="AG27">
        <v>1.8992114172029866</v>
      </c>
      <c r="AH27">
        <v>20.735469389110683</v>
      </c>
      <c r="AI27">
        <v>456.65648698794178</v>
      </c>
      <c r="AJ27">
        <v>431.25453333333331</v>
      </c>
      <c r="AK27">
        <v>-1.490988668178018E-2</v>
      </c>
      <c r="AL27">
        <v>67.082556208476504</v>
      </c>
      <c r="AM27">
        <v>1.9634120334753937</v>
      </c>
      <c r="AN27">
        <v>23.449529267532469</v>
      </c>
      <c r="AO27">
        <v>25.747091515151499</v>
      </c>
      <c r="AP27">
        <v>-3.498444182084616E-4</v>
      </c>
      <c r="AQ27">
        <v>78.55</v>
      </c>
      <c r="AR27">
        <v>0</v>
      </c>
      <c r="AS27">
        <v>0</v>
      </c>
      <c r="AT27">
        <v>1</v>
      </c>
      <c r="AU27">
        <v>0</v>
      </c>
      <c r="AV27">
        <v>51477.082387069771</v>
      </c>
      <c r="AW27" t="s">
        <v>623</v>
      </c>
      <c r="AX27">
        <v>5097.1400000000003</v>
      </c>
      <c r="AY27">
        <v>605.0617647058823</v>
      </c>
      <c r="AZ27">
        <v>2408.86</v>
      </c>
      <c r="BA27">
        <v>0.74881821081097188</v>
      </c>
      <c r="BB27">
        <v>-2.5855627598635031</v>
      </c>
      <c r="BC27" t="s">
        <v>668</v>
      </c>
      <c r="BD27">
        <v>5076.0200000000004</v>
      </c>
      <c r="BE27">
        <v>823.82364705882355</v>
      </c>
      <c r="BF27">
        <v>1709.48</v>
      </c>
      <c r="BG27">
        <v>0.51808523816668017</v>
      </c>
      <c r="BH27">
        <v>0.5</v>
      </c>
      <c r="BI27">
        <v>336.29513957762896</v>
      </c>
      <c r="BJ27">
        <v>20.648118907644726</v>
      </c>
      <c r="BK27">
        <v>87.114773741186426</v>
      </c>
      <c r="BL27">
        <v>6.9087176510159054E-2</v>
      </c>
      <c r="BM27">
        <v>0.40911856236984351</v>
      </c>
      <c r="BN27">
        <v>548.67790451209089</v>
      </c>
      <c r="BO27" t="s">
        <v>408</v>
      </c>
      <c r="BP27">
        <v>0</v>
      </c>
      <c r="BQ27">
        <v>548.67790451209089</v>
      </c>
      <c r="BR27">
        <v>0.67903812591425994</v>
      </c>
      <c r="BS27">
        <v>0.76296929199539121</v>
      </c>
      <c r="BT27">
        <v>0.37597394453824101</v>
      </c>
      <c r="BU27">
        <v>0.80192116051517137</v>
      </c>
      <c r="BV27">
        <v>0.38772629128665431</v>
      </c>
      <c r="BW27">
        <v>0.50814806522446643</v>
      </c>
      <c r="BX27">
        <v>0.49185193477553357</v>
      </c>
      <c r="DG27">
        <v>399.99849999999998</v>
      </c>
      <c r="DH27">
        <v>336.29513957762896</v>
      </c>
      <c r="DI27">
        <v>0.84074100172282895</v>
      </c>
      <c r="DJ27">
        <v>0.16103013332505997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1784478917.75</v>
      </c>
      <c r="DQ27">
        <v>420.20803333333339</v>
      </c>
      <c r="DR27">
        <v>445.94330000000002</v>
      </c>
      <c r="DS27">
        <v>25.67316666666667</v>
      </c>
      <c r="DT27">
        <v>23.45263666666666</v>
      </c>
      <c r="DU27">
        <v>427.07749999999999</v>
      </c>
      <c r="DV27">
        <v>26.40516666666667</v>
      </c>
      <c r="DW27">
        <v>500.00296666666668</v>
      </c>
      <c r="DX27">
        <v>97.773083333333318</v>
      </c>
      <c r="DY27">
        <v>5.6823173333333331E-2</v>
      </c>
      <c r="DZ27">
        <v>28.311483333333332</v>
      </c>
      <c r="EA27">
        <v>28.603090000000002</v>
      </c>
      <c r="EB27">
        <v>999.9000000000002</v>
      </c>
      <c r="EC27">
        <v>0</v>
      </c>
      <c r="ED27">
        <v>0</v>
      </c>
      <c r="EE27">
        <v>10000.5</v>
      </c>
      <c r="EF27">
        <v>0</v>
      </c>
      <c r="EG27">
        <v>1437.7176666666669</v>
      </c>
      <c r="EH27">
        <v>-25.735293333333331</v>
      </c>
      <c r="EI27">
        <v>431.32103333333328</v>
      </c>
      <c r="EJ27">
        <v>456.65306666666669</v>
      </c>
      <c r="EK27">
        <v>2.3125750000000012</v>
      </c>
      <c r="EL27">
        <v>445.94330000000002</v>
      </c>
      <c r="EM27">
        <v>23.45263666666666</v>
      </c>
      <c r="EN27">
        <v>2.519143666666666</v>
      </c>
      <c r="EO27">
        <v>2.2930359999999999</v>
      </c>
      <c r="EP27">
        <v>21.150716666666671</v>
      </c>
      <c r="EQ27">
        <v>19.627553333333331</v>
      </c>
      <c r="ER27">
        <v>399.99849999999998</v>
      </c>
      <c r="ES27">
        <v>0.97498756666666653</v>
      </c>
      <c r="ET27">
        <v>2.501226333333333E-2</v>
      </c>
      <c r="EU27">
        <v>0</v>
      </c>
      <c r="EV27">
        <v>824.35399999999981</v>
      </c>
      <c r="EW27">
        <v>5.0010700000000003</v>
      </c>
      <c r="EX27">
        <v>7623.0806666666667</v>
      </c>
      <c r="EY27">
        <v>3583.6446666666661</v>
      </c>
      <c r="EZ27">
        <v>43.576699999999967</v>
      </c>
      <c r="FA27">
        <v>47.561999999999983</v>
      </c>
      <c r="FB27">
        <v>45.682866666666648</v>
      </c>
      <c r="FC27">
        <v>46.875</v>
      </c>
      <c r="FD27">
        <v>45.301666666666662</v>
      </c>
      <c r="FE27">
        <v>385.11800000000011</v>
      </c>
      <c r="FF27">
        <v>9.879999999999999</v>
      </c>
      <c r="FG27">
        <v>0</v>
      </c>
      <c r="FH27">
        <v>182</v>
      </c>
      <c r="FI27">
        <v>0</v>
      </c>
      <c r="FJ27">
        <v>823.82364705882355</v>
      </c>
      <c r="FK27">
        <v>-8.5455882307666169</v>
      </c>
      <c r="FL27">
        <v>-37.750000063712321</v>
      </c>
      <c r="FM27">
        <v>7622.2858823529396</v>
      </c>
      <c r="FN27">
        <v>10</v>
      </c>
      <c r="FO27">
        <v>1784478946</v>
      </c>
      <c r="FP27" t="s">
        <v>669</v>
      </c>
      <c r="FQ27">
        <v>1784478657</v>
      </c>
      <c r="FR27">
        <v>1784478946</v>
      </c>
      <c r="FS27">
        <v>14</v>
      </c>
      <c r="FT27">
        <v>2.5999999999999999E-2</v>
      </c>
      <c r="FU27">
        <v>-2.9000000000000001E-2</v>
      </c>
      <c r="FV27">
        <v>-7.0069999999999997</v>
      </c>
      <c r="FW27">
        <v>-0.73199999999999998</v>
      </c>
      <c r="FX27">
        <v>457</v>
      </c>
      <c r="FY27">
        <v>23</v>
      </c>
      <c r="FZ27">
        <v>0.25</v>
      </c>
      <c r="GA27">
        <v>0.14000000000000001</v>
      </c>
      <c r="GB27">
        <v>420.21693333333332</v>
      </c>
      <c r="GC27">
        <v>-0.32409343715295791</v>
      </c>
      <c r="GD27">
        <v>5.5912391788902158E-2</v>
      </c>
      <c r="GE27">
        <v>-1</v>
      </c>
      <c r="GF27">
        <v>824.97123529411772</v>
      </c>
      <c r="GG27">
        <v>-10.081283429041999</v>
      </c>
      <c r="GH27">
        <v>1.011453498649743</v>
      </c>
      <c r="GI27">
        <v>0</v>
      </c>
      <c r="GJ27">
        <v>2.3224062499999998</v>
      </c>
      <c r="GK27">
        <v>-0.16453159474671969</v>
      </c>
      <c r="GL27">
        <v>1.6296834767447931E-2</v>
      </c>
      <c r="GM27">
        <v>1</v>
      </c>
      <c r="GN27">
        <v>1</v>
      </c>
      <c r="GO27">
        <v>2</v>
      </c>
      <c r="GP27" t="s">
        <v>411</v>
      </c>
      <c r="GQ27">
        <v>3.1315</v>
      </c>
      <c r="GR27">
        <v>2.7319399999999998</v>
      </c>
      <c r="GS27">
        <v>9.0694200000000003E-2</v>
      </c>
      <c r="GT27">
        <v>9.4412999999999997E-2</v>
      </c>
      <c r="GU27">
        <v>0.118469</v>
      </c>
      <c r="GV27">
        <v>0.10939500000000001</v>
      </c>
      <c r="GW27">
        <v>22631.3</v>
      </c>
      <c r="GX27">
        <v>30209.8</v>
      </c>
      <c r="GY27">
        <v>27019.8</v>
      </c>
      <c r="GZ27">
        <v>34336.1</v>
      </c>
      <c r="HA27">
        <v>34917.699999999997</v>
      </c>
      <c r="HB27">
        <v>38747.699999999997</v>
      </c>
      <c r="HC27">
        <v>39911.199999999997</v>
      </c>
      <c r="HD27">
        <v>43577</v>
      </c>
      <c r="HE27">
        <v>1.9204000000000001</v>
      </c>
      <c r="HF27">
        <v>1.6756</v>
      </c>
      <c r="HG27">
        <v>-0.109524</v>
      </c>
      <c r="HH27">
        <v>0</v>
      </c>
      <c r="HI27">
        <v>30.386399999999998</v>
      </c>
      <c r="HJ27">
        <v>999.9</v>
      </c>
      <c r="HK27">
        <v>54.4</v>
      </c>
      <c r="HL27">
        <v>40.5</v>
      </c>
      <c r="HM27">
        <v>42.361600000000003</v>
      </c>
      <c r="HN27">
        <v>61.320099999999996</v>
      </c>
      <c r="HO27">
        <v>4.3469499999999996</v>
      </c>
      <c r="HP27">
        <v>1</v>
      </c>
      <c r="HQ27">
        <v>0.97268299999999996</v>
      </c>
      <c r="HR27">
        <v>6.2154199999999999</v>
      </c>
      <c r="HS27">
        <v>20.1312</v>
      </c>
      <c r="HT27">
        <v>5.2100999999999997</v>
      </c>
      <c r="HU27">
        <v>11.914099999999999</v>
      </c>
      <c r="HV27">
        <v>4.9828000000000001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1.86771</v>
      </c>
      <c r="IC27">
        <v>1.8634299999999999</v>
      </c>
      <c r="ID27">
        <v>1.8629199999999999</v>
      </c>
      <c r="IE27">
        <v>1.86246</v>
      </c>
      <c r="IF27">
        <v>1.86243</v>
      </c>
      <c r="IG27">
        <v>1.8629500000000001</v>
      </c>
      <c r="IH27">
        <v>1.8638600000000001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-6.8689999999999998</v>
      </c>
      <c r="IX27">
        <v>-0.73199999999999998</v>
      </c>
      <c r="IY27">
        <v>-4.8777713617274481</v>
      </c>
      <c r="IZ27">
        <v>-5.6215304933332991E-3</v>
      </c>
      <c r="JA27">
        <v>2.3979931213773931E-6</v>
      </c>
      <c r="JB27">
        <v>-3.6297174575716598E-10</v>
      </c>
      <c r="JC27">
        <v>-1.100105517029534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4.5</v>
      </c>
      <c r="JL27">
        <v>4.5</v>
      </c>
      <c r="JM27">
        <v>1.1486799999999999</v>
      </c>
      <c r="JN27">
        <v>2.5561500000000001</v>
      </c>
      <c r="JO27">
        <v>1.50024</v>
      </c>
      <c r="JP27">
        <v>2.2729499999999998</v>
      </c>
      <c r="JQ27">
        <v>1.4477500000000001</v>
      </c>
      <c r="JR27">
        <v>2.4475099999999999</v>
      </c>
      <c r="JS27">
        <v>46.3566</v>
      </c>
      <c r="JT27">
        <v>23.842300000000002</v>
      </c>
      <c r="JU27">
        <v>18</v>
      </c>
      <c r="JV27">
        <v>549.82500000000005</v>
      </c>
      <c r="JW27">
        <v>401.17599999999999</v>
      </c>
      <c r="JX27">
        <v>24.131399999999999</v>
      </c>
      <c r="JY27">
        <v>38.667099999999998</v>
      </c>
      <c r="JZ27">
        <v>30.0001</v>
      </c>
      <c r="KA27">
        <v>38.350700000000003</v>
      </c>
      <c r="KB27">
        <v>38.212800000000001</v>
      </c>
      <c r="KC27">
        <v>22.965699999999998</v>
      </c>
      <c r="KD27">
        <v>50.684800000000003</v>
      </c>
      <c r="KE27">
        <v>0</v>
      </c>
      <c r="KF27">
        <v>24.141100000000002</v>
      </c>
      <c r="KG27">
        <v>445.75700000000001</v>
      </c>
      <c r="KH27">
        <v>23.455400000000001</v>
      </c>
      <c r="KI27">
        <v>99.737399999999994</v>
      </c>
      <c r="KJ27">
        <v>98.031199999999998</v>
      </c>
    </row>
    <row r="28" spans="1:296" x14ac:dyDescent="0.3">
      <c r="A28">
        <v>13</v>
      </c>
      <c r="B28">
        <v>1784479127</v>
      </c>
      <c r="C28">
        <v>2434.400000095367</v>
      </c>
      <c r="D28" t="s">
        <v>670</v>
      </c>
      <c r="E28" t="s">
        <v>671</v>
      </c>
      <c r="F28">
        <v>15</v>
      </c>
      <c r="H28">
        <v>1784479119.25</v>
      </c>
      <c r="I28">
        <v>1.6120493041177611E-3</v>
      </c>
      <c r="J28">
        <v>1.612049304117761</v>
      </c>
      <c r="K28">
        <v>15.899389860801012</v>
      </c>
      <c r="L28">
        <v>420.13136666666668</v>
      </c>
      <c r="M28">
        <v>175.10779307742936</v>
      </c>
      <c r="N28">
        <v>17.130207690067014</v>
      </c>
      <c r="O28">
        <v>41.100041532299748</v>
      </c>
      <c r="P28">
        <v>0.1088704582705709</v>
      </c>
      <c r="Q28">
        <v>2.8887733308857575</v>
      </c>
      <c r="R28">
        <v>0.10664133741655489</v>
      </c>
      <c r="S28">
        <v>6.6847312107544188E-2</v>
      </c>
      <c r="T28">
        <v>48.437255571494084</v>
      </c>
      <c r="U28">
        <v>28.185094685331823</v>
      </c>
      <c r="V28">
        <v>28.630710000000001</v>
      </c>
      <c r="W28">
        <v>3.9366274332252975</v>
      </c>
      <c r="X28">
        <v>64.830360501509602</v>
      </c>
      <c r="Y28">
        <v>2.5065250269224992</v>
      </c>
      <c r="Z28">
        <v>3.8662827223737763</v>
      </c>
      <c r="AA28">
        <v>1.4301024063027983</v>
      </c>
      <c r="AB28">
        <v>-71.09137431159327</v>
      </c>
      <c r="AC28">
        <v>-48.339998246209028</v>
      </c>
      <c r="AD28">
        <v>-3.6648873023421928</v>
      </c>
      <c r="AE28">
        <v>-74.659004288650408</v>
      </c>
      <c r="AF28">
        <v>15.899389860801012</v>
      </c>
      <c r="AG28">
        <v>1.612049304117761</v>
      </c>
      <c r="AH28">
        <v>15.700607674142566</v>
      </c>
      <c r="AI28">
        <v>450.54032193893192</v>
      </c>
      <c r="AJ28">
        <v>431.23158787878788</v>
      </c>
      <c r="AK28">
        <v>1.843653175145017E-3</v>
      </c>
      <c r="AL28">
        <v>67.028625353340175</v>
      </c>
      <c r="AM28">
        <v>1.5300027173484392</v>
      </c>
      <c r="AN28">
        <v>23.739262128960661</v>
      </c>
      <c r="AO28">
        <v>25.582501212121201</v>
      </c>
      <c r="AP28">
        <v>-8.8979444046756694E-3</v>
      </c>
      <c r="AQ28">
        <v>78.049246981269548</v>
      </c>
      <c r="AR28">
        <v>0</v>
      </c>
      <c r="AS28">
        <v>0</v>
      </c>
      <c r="AT28">
        <v>1</v>
      </c>
      <c r="AU28">
        <v>0</v>
      </c>
      <c r="AV28">
        <v>51432.931530620641</v>
      </c>
      <c r="AW28" t="s">
        <v>623</v>
      </c>
      <c r="AX28">
        <v>5097.1400000000003</v>
      </c>
      <c r="AY28">
        <v>605.0617647058823</v>
      </c>
      <c r="AZ28">
        <v>2408.86</v>
      </c>
      <c r="BA28">
        <v>0.74881821081097188</v>
      </c>
      <c r="BB28">
        <v>-2.5855627598635031</v>
      </c>
      <c r="BC28" t="s">
        <v>672</v>
      </c>
      <c r="BD28">
        <v>5077.84</v>
      </c>
      <c r="BE28">
        <v>797.40835294117642</v>
      </c>
      <c r="BF28">
        <v>1794.89</v>
      </c>
      <c r="BG28">
        <v>0.55573413805794436</v>
      </c>
      <c r="BH28">
        <v>0.5</v>
      </c>
      <c r="BI28">
        <v>252.25695186087771</v>
      </c>
      <c r="BJ28">
        <v>15.899389860801012</v>
      </c>
      <c r="BK28">
        <v>70.093899855764619</v>
      </c>
      <c r="BL28">
        <v>7.3278268385876463E-2</v>
      </c>
      <c r="BM28">
        <v>0.34206553047819088</v>
      </c>
      <c r="BN28">
        <v>557.18783389425244</v>
      </c>
      <c r="BO28" t="s">
        <v>408</v>
      </c>
      <c r="BP28">
        <v>0</v>
      </c>
      <c r="BQ28">
        <v>557.18783389425244</v>
      </c>
      <c r="BR28">
        <v>0.68956992690680075</v>
      </c>
      <c r="BS28">
        <v>0.80591411599226381</v>
      </c>
      <c r="BT28">
        <v>0.33157597291708529</v>
      </c>
      <c r="BU28">
        <v>0.83834087767487941</v>
      </c>
      <c r="BV28">
        <v>0.34037620615583392</v>
      </c>
      <c r="BW28">
        <v>0.56313122246370073</v>
      </c>
      <c r="BX28">
        <v>0.43686877753629927</v>
      </c>
      <c r="DG28">
        <v>299.95803333333328</v>
      </c>
      <c r="DH28">
        <v>252.25695186087771</v>
      </c>
      <c r="DI28">
        <v>0.84097414914223367</v>
      </c>
      <c r="DJ28">
        <v>0.161480107844511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1784479119.25</v>
      </c>
      <c r="DQ28">
        <v>420.13136666666668</v>
      </c>
      <c r="DR28">
        <v>440.02363333333329</v>
      </c>
      <c r="DS28">
        <v>25.62211000000001</v>
      </c>
      <c r="DT28">
        <v>23.737189999999998</v>
      </c>
      <c r="DU28">
        <v>426.95659999999992</v>
      </c>
      <c r="DV28">
        <v>26.29595333333333</v>
      </c>
      <c r="DW28">
        <v>499.9931666666667</v>
      </c>
      <c r="DX28">
        <v>97.770240000000001</v>
      </c>
      <c r="DY28">
        <v>5.6403743333333332E-2</v>
      </c>
      <c r="DZ28">
        <v>28.320319999999999</v>
      </c>
      <c r="EA28">
        <v>28.630710000000001</v>
      </c>
      <c r="EB28">
        <v>999.9000000000002</v>
      </c>
      <c r="EC28">
        <v>0</v>
      </c>
      <c r="ED28">
        <v>0</v>
      </c>
      <c r="EE28">
        <v>9992.1666666666661</v>
      </c>
      <c r="EF28">
        <v>0</v>
      </c>
      <c r="EG28">
        <v>1452.566</v>
      </c>
      <c r="EH28">
        <v>-19.89211000000001</v>
      </c>
      <c r="EI28">
        <v>431.17916666666667</v>
      </c>
      <c r="EJ28">
        <v>450.72246666666672</v>
      </c>
      <c r="EK28">
        <v>1.8849153333333331</v>
      </c>
      <c r="EL28">
        <v>440.02363333333329</v>
      </c>
      <c r="EM28">
        <v>23.737189999999998</v>
      </c>
      <c r="EN28">
        <v>2.50508</v>
      </c>
      <c r="EO28">
        <v>2.3207900000000001</v>
      </c>
      <c r="EP28">
        <v>21.05954333333333</v>
      </c>
      <c r="EQ28">
        <v>19.821433333333331</v>
      </c>
      <c r="ER28">
        <v>299.95803333333328</v>
      </c>
      <c r="ES28">
        <v>0.96696649999999995</v>
      </c>
      <c r="ET28">
        <v>3.3033540000000007E-2</v>
      </c>
      <c r="EU28">
        <v>0</v>
      </c>
      <c r="EV28">
        <v>797.73656666666659</v>
      </c>
      <c r="EW28">
        <v>5.0010700000000003</v>
      </c>
      <c r="EX28">
        <v>6605.1176666666688</v>
      </c>
      <c r="EY28">
        <v>2667.6116666666662</v>
      </c>
      <c r="EZ28">
        <v>43.116599999999977</v>
      </c>
      <c r="FA28">
        <v>47.403933333333327</v>
      </c>
      <c r="FB28">
        <v>45.29133333333332</v>
      </c>
      <c r="FC28">
        <v>46.691199999999967</v>
      </c>
      <c r="FD28">
        <v>44.932866666666648</v>
      </c>
      <c r="FE28">
        <v>285.21300000000002</v>
      </c>
      <c r="FF28">
        <v>9.740000000000002</v>
      </c>
      <c r="FG28">
        <v>0</v>
      </c>
      <c r="FH28">
        <v>200.79999995231631</v>
      </c>
      <c r="FI28">
        <v>0</v>
      </c>
      <c r="FJ28">
        <v>797.40835294117642</v>
      </c>
      <c r="FK28">
        <v>-5.5095588193919687</v>
      </c>
      <c r="FL28">
        <v>-50.759803855435678</v>
      </c>
      <c r="FM28">
        <v>6603.5758823529413</v>
      </c>
      <c r="FN28">
        <v>10</v>
      </c>
      <c r="FO28">
        <v>1784479051</v>
      </c>
      <c r="FP28" t="s">
        <v>673</v>
      </c>
      <c r="FQ28">
        <v>1784479050</v>
      </c>
      <c r="FR28">
        <v>1784479051</v>
      </c>
      <c r="FS28">
        <v>15</v>
      </c>
      <c r="FT28">
        <v>4.3999999999999997E-2</v>
      </c>
      <c r="FU28">
        <v>-1E-3</v>
      </c>
      <c r="FV28">
        <v>-6.9050000000000002</v>
      </c>
      <c r="FW28">
        <v>-0.73199999999999998</v>
      </c>
      <c r="FX28">
        <v>441</v>
      </c>
      <c r="FY28">
        <v>23</v>
      </c>
      <c r="FZ28">
        <v>0.37</v>
      </c>
      <c r="GA28">
        <v>0.13</v>
      </c>
      <c r="GB28">
        <v>420.12593548387099</v>
      </c>
      <c r="GC28">
        <v>0.5102903225804839</v>
      </c>
      <c r="GD28">
        <v>6.2185433147428693E-2</v>
      </c>
      <c r="GE28">
        <v>-1</v>
      </c>
      <c r="GF28">
        <v>798.10017647058817</v>
      </c>
      <c r="GG28">
        <v>-6.405958747140045</v>
      </c>
      <c r="GH28">
        <v>0.64644609759316252</v>
      </c>
      <c r="GI28">
        <v>1</v>
      </c>
      <c r="GJ28">
        <v>1.89524</v>
      </c>
      <c r="GK28">
        <v>-0.17139700348431769</v>
      </c>
      <c r="GL28">
        <v>1.91304491041593E-2</v>
      </c>
      <c r="GM28">
        <v>1</v>
      </c>
      <c r="GN28">
        <v>2</v>
      </c>
      <c r="GO28">
        <v>2</v>
      </c>
      <c r="GP28" t="s">
        <v>424</v>
      </c>
      <c r="GQ28">
        <v>3.1311599999999999</v>
      </c>
      <c r="GR28">
        <v>2.7332399999999999</v>
      </c>
      <c r="GS28">
        <v>9.06473E-2</v>
      </c>
      <c r="GT28">
        <v>9.3461299999999997E-2</v>
      </c>
      <c r="GU28">
        <v>0.118045</v>
      </c>
      <c r="GV28">
        <v>0.110351</v>
      </c>
      <c r="GW28">
        <v>22631.8</v>
      </c>
      <c r="GX28">
        <v>30242.7</v>
      </c>
      <c r="GY28">
        <v>27019.1</v>
      </c>
      <c r="GZ28">
        <v>34337.300000000003</v>
      </c>
      <c r="HA28">
        <v>34934.400000000001</v>
      </c>
      <c r="HB28">
        <v>38707.1</v>
      </c>
      <c r="HC28">
        <v>39911.300000000003</v>
      </c>
      <c r="HD28">
        <v>43578</v>
      </c>
      <c r="HE28">
        <v>1.92</v>
      </c>
      <c r="HF28">
        <v>1.6748000000000001</v>
      </c>
      <c r="HG28">
        <v>-0.107437</v>
      </c>
      <c r="HH28">
        <v>0</v>
      </c>
      <c r="HI28">
        <v>30.383299999999998</v>
      </c>
      <c r="HJ28">
        <v>999.9</v>
      </c>
      <c r="HK28">
        <v>54</v>
      </c>
      <c r="HL28">
        <v>40.799999999999997</v>
      </c>
      <c r="HM28">
        <v>42.730600000000003</v>
      </c>
      <c r="HN28">
        <v>61.190100000000001</v>
      </c>
      <c r="HO28">
        <v>4.0464700000000002</v>
      </c>
      <c r="HP28">
        <v>1</v>
      </c>
      <c r="HQ28">
        <v>0.97256100000000001</v>
      </c>
      <c r="HR28">
        <v>6.2156399999999996</v>
      </c>
      <c r="HS28">
        <v>20.130800000000001</v>
      </c>
      <c r="HT28">
        <v>5.2100999999999997</v>
      </c>
      <c r="HU28">
        <v>11.914099999999999</v>
      </c>
      <c r="HV28">
        <v>4.9836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1.8633999999999999</v>
      </c>
      <c r="ID28">
        <v>1.8628899999999999</v>
      </c>
      <c r="IE28">
        <v>1.86249</v>
      </c>
      <c r="IF28">
        <v>1.86249</v>
      </c>
      <c r="IG28">
        <v>1.8629500000000001</v>
      </c>
      <c r="IH28">
        <v>1.86389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-6.8239999999999998</v>
      </c>
      <c r="IX28">
        <v>-0.67510000000000003</v>
      </c>
      <c r="IY28">
        <v>-4.8337952868637144</v>
      </c>
      <c r="IZ28">
        <v>-5.6215304933332991E-3</v>
      </c>
      <c r="JA28">
        <v>2.3979931213773931E-6</v>
      </c>
      <c r="JB28">
        <v>-3.6297174575716598E-10</v>
      </c>
      <c r="JC28">
        <v>-1.1308596454744679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1.1352500000000001</v>
      </c>
      <c r="JN28">
        <v>2.5500500000000001</v>
      </c>
      <c r="JO28">
        <v>1.50024</v>
      </c>
      <c r="JP28">
        <v>2.2729499999999998</v>
      </c>
      <c r="JQ28">
        <v>1.4477500000000001</v>
      </c>
      <c r="JR28">
        <v>2.4890099999999999</v>
      </c>
      <c r="JS28">
        <v>46.561500000000002</v>
      </c>
      <c r="JT28">
        <v>23.833600000000001</v>
      </c>
      <c r="JU28">
        <v>18</v>
      </c>
      <c r="JV28">
        <v>549.72199999999998</v>
      </c>
      <c r="JW28">
        <v>400.863</v>
      </c>
      <c r="JX28">
        <v>24.355799999999999</v>
      </c>
      <c r="JY28">
        <v>38.668599999999998</v>
      </c>
      <c r="JZ28">
        <v>30.001300000000001</v>
      </c>
      <c r="KA28">
        <v>38.372799999999998</v>
      </c>
      <c r="KB28">
        <v>38.242100000000001</v>
      </c>
      <c r="KC28">
        <v>22.721900000000002</v>
      </c>
      <c r="KD28">
        <v>50.261200000000002</v>
      </c>
      <c r="KE28">
        <v>0</v>
      </c>
      <c r="KF28">
        <v>24.351700000000001</v>
      </c>
      <c r="KG28">
        <v>439.863</v>
      </c>
      <c r="KH28">
        <v>23.790199999999999</v>
      </c>
      <c r="KI28">
        <v>99.736500000000007</v>
      </c>
      <c r="KJ28">
        <v>98.034099999999995</v>
      </c>
    </row>
    <row r="29" spans="1:296" x14ac:dyDescent="0.3">
      <c r="A29">
        <v>14</v>
      </c>
      <c r="B29">
        <v>1784479309.5</v>
      </c>
      <c r="C29">
        <v>2616.900000095367</v>
      </c>
      <c r="D29" t="s">
        <v>674</v>
      </c>
      <c r="E29" t="s">
        <v>675</v>
      </c>
      <c r="F29">
        <v>15</v>
      </c>
      <c r="H29">
        <v>1784479301.75</v>
      </c>
      <c r="I29">
        <v>1.2119815418574725E-3</v>
      </c>
      <c r="J29">
        <v>1.2119815418574724</v>
      </c>
      <c r="K29">
        <v>10.168470181859194</v>
      </c>
      <c r="L29">
        <v>420.16786666666673</v>
      </c>
      <c r="M29">
        <v>211.37399603745303</v>
      </c>
      <c r="N29">
        <v>20.67734697887445</v>
      </c>
      <c r="O29">
        <v>41.102297024751898</v>
      </c>
      <c r="P29">
        <v>8.194345929629597E-2</v>
      </c>
      <c r="Q29">
        <v>2.8906632334387323</v>
      </c>
      <c r="R29">
        <v>8.0674522474569105E-2</v>
      </c>
      <c r="S29">
        <v>5.0533948579603333E-2</v>
      </c>
      <c r="T29">
        <v>32.482965528762172</v>
      </c>
      <c r="U29">
        <v>28.146743224811178</v>
      </c>
      <c r="V29">
        <v>28.593593333333331</v>
      </c>
      <c r="W29">
        <v>3.9281572261539845</v>
      </c>
      <c r="X29">
        <v>65.022781898262949</v>
      </c>
      <c r="Y29">
        <v>2.5068817714147964</v>
      </c>
      <c r="Z29">
        <v>3.8553899083203733</v>
      </c>
      <c r="AA29">
        <v>1.4212754547391881</v>
      </c>
      <c r="AB29">
        <v>-53.448385995914535</v>
      </c>
      <c r="AC29">
        <v>-50.146137882221922</v>
      </c>
      <c r="AD29">
        <v>-3.7977155764898525</v>
      </c>
      <c r="AE29">
        <v>-74.909273925864142</v>
      </c>
      <c r="AF29">
        <v>10.168470181859194</v>
      </c>
      <c r="AG29">
        <v>1.2119815418574724</v>
      </c>
      <c r="AH29">
        <v>10.394522476121123</v>
      </c>
      <c r="AI29">
        <v>443.8020583803879</v>
      </c>
      <c r="AJ29">
        <v>431.05932121212118</v>
      </c>
      <c r="AK29">
        <v>-7.6881096600572704E-3</v>
      </c>
      <c r="AL29">
        <v>67.085356465862873</v>
      </c>
      <c r="AM29">
        <v>1.2474013228458105</v>
      </c>
      <c r="AN29">
        <v>24.08784853677442</v>
      </c>
      <c r="AO29">
        <v>25.603709696969691</v>
      </c>
      <c r="AP29">
        <v>-9.3846743163611378E-3</v>
      </c>
      <c r="AQ29">
        <v>78.245585660319293</v>
      </c>
      <c r="AR29">
        <v>0</v>
      </c>
      <c r="AS29">
        <v>0</v>
      </c>
      <c r="AT29">
        <v>1</v>
      </c>
      <c r="AU29">
        <v>0</v>
      </c>
      <c r="AV29">
        <v>51494.734894931215</v>
      </c>
      <c r="AW29" t="s">
        <v>623</v>
      </c>
      <c r="AX29">
        <v>5097.1400000000003</v>
      </c>
      <c r="AY29">
        <v>605.0617647058823</v>
      </c>
      <c r="AZ29">
        <v>2408.86</v>
      </c>
      <c r="BA29">
        <v>0.74881821081097188</v>
      </c>
      <c r="BB29">
        <v>-2.5855627598635031</v>
      </c>
      <c r="BC29" t="s">
        <v>676</v>
      </c>
      <c r="BD29">
        <v>5079.4799999999996</v>
      </c>
      <c r="BE29">
        <v>776.69764705882358</v>
      </c>
      <c r="BF29">
        <v>1904.63</v>
      </c>
      <c r="BG29">
        <v>0.59220549552468271</v>
      </c>
      <c r="BH29">
        <v>0.5</v>
      </c>
      <c r="BI29">
        <v>168.28432087500633</v>
      </c>
      <c r="BJ29">
        <v>10.168470181859194</v>
      </c>
      <c r="BK29">
        <v>49.829449816408918</v>
      </c>
      <c r="BL29">
        <v>7.5788599171967966E-2</v>
      </c>
      <c r="BM29">
        <v>0.26473908318151029</v>
      </c>
      <c r="BN29">
        <v>567.33530760100973</v>
      </c>
      <c r="BO29" t="s">
        <v>408</v>
      </c>
      <c r="BP29">
        <v>0</v>
      </c>
      <c r="BQ29">
        <v>567.33530760100973</v>
      </c>
      <c r="BR29">
        <v>0.70212833589673074</v>
      </c>
      <c r="BS29">
        <v>0.84344337815157566</v>
      </c>
      <c r="BT29">
        <v>0.27381115337809003</v>
      </c>
      <c r="BU29">
        <v>0.86792853373020717</v>
      </c>
      <c r="BV29">
        <v>0.27953791623362073</v>
      </c>
      <c r="BW29">
        <v>0.61608942707588554</v>
      </c>
      <c r="BX29">
        <v>0.38391057292411446</v>
      </c>
      <c r="DG29">
        <v>199.99026666666671</v>
      </c>
      <c r="DH29">
        <v>168.28432087500633</v>
      </c>
      <c r="DI29">
        <v>0.84146255555273508</v>
      </c>
      <c r="DJ29">
        <v>0.16242273221677869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1784479301.75</v>
      </c>
      <c r="DQ29">
        <v>420.16786666666673</v>
      </c>
      <c r="DR29">
        <v>432.98120000000011</v>
      </c>
      <c r="DS29">
        <v>25.626576666666661</v>
      </c>
      <c r="DT29">
        <v>24.20946</v>
      </c>
      <c r="DU29">
        <v>426.98813333333328</v>
      </c>
      <c r="DV29">
        <v>26.31590666666667</v>
      </c>
      <c r="DW29">
        <v>499.99663333333331</v>
      </c>
      <c r="DX29">
        <v>97.767169999999993</v>
      </c>
      <c r="DY29">
        <v>5.6343613333333327E-2</v>
      </c>
      <c r="DZ29">
        <v>28.27181666666667</v>
      </c>
      <c r="EA29">
        <v>28.593593333333331</v>
      </c>
      <c r="EB29">
        <v>999.9000000000002</v>
      </c>
      <c r="EC29">
        <v>0</v>
      </c>
      <c r="ED29">
        <v>0</v>
      </c>
      <c r="EE29">
        <v>10003.33333333333</v>
      </c>
      <c r="EF29">
        <v>0</v>
      </c>
      <c r="EG29">
        <v>1458.5316666666661</v>
      </c>
      <c r="EH29">
        <v>-12.813356666666669</v>
      </c>
      <c r="EI29">
        <v>431.21850000000012</v>
      </c>
      <c r="EJ29">
        <v>443.72350000000012</v>
      </c>
      <c r="EK29">
        <v>1.4171233333333331</v>
      </c>
      <c r="EL29">
        <v>432.98120000000011</v>
      </c>
      <c r="EM29">
        <v>24.20946</v>
      </c>
      <c r="EN29">
        <v>2.5054383333333332</v>
      </c>
      <c r="EO29">
        <v>2.3668909999999999</v>
      </c>
      <c r="EP29">
        <v>21.061873333333331</v>
      </c>
      <c r="EQ29">
        <v>20.138906666666671</v>
      </c>
      <c r="ER29">
        <v>199.99026666666671</v>
      </c>
      <c r="ES29">
        <v>0.95001313333333337</v>
      </c>
      <c r="ET29">
        <v>4.998700666666666E-2</v>
      </c>
      <c r="EU29">
        <v>0</v>
      </c>
      <c r="EV29">
        <v>776.92666666666662</v>
      </c>
      <c r="EW29">
        <v>5.0010700000000003</v>
      </c>
      <c r="EX29">
        <v>5614.2066666666678</v>
      </c>
      <c r="EY29">
        <v>1751.750666666667</v>
      </c>
      <c r="EZ29">
        <v>42.754133333333343</v>
      </c>
      <c r="FA29">
        <v>47.25</v>
      </c>
      <c r="FB29">
        <v>45.033066666666663</v>
      </c>
      <c r="FC29">
        <v>46.561999999999983</v>
      </c>
      <c r="FD29">
        <v>44.682866666666648</v>
      </c>
      <c r="FE29">
        <v>185.24133333333339</v>
      </c>
      <c r="FF29">
        <v>9.75</v>
      </c>
      <c r="FG29">
        <v>0</v>
      </c>
      <c r="FH29">
        <v>182</v>
      </c>
      <c r="FI29">
        <v>0</v>
      </c>
      <c r="FJ29">
        <v>776.69764705882358</v>
      </c>
      <c r="FK29">
        <v>-6.6514705643585614</v>
      </c>
      <c r="FL29">
        <v>-40.487745183907727</v>
      </c>
      <c r="FM29">
        <v>5611.3664705882347</v>
      </c>
      <c r="FN29">
        <v>10</v>
      </c>
      <c r="FO29">
        <v>1784479269.5</v>
      </c>
      <c r="FP29" t="s">
        <v>677</v>
      </c>
      <c r="FQ29">
        <v>1784479268</v>
      </c>
      <c r="FR29">
        <v>1784479269.5</v>
      </c>
      <c r="FS29">
        <v>16</v>
      </c>
      <c r="FT29">
        <v>5.0000000000000001E-3</v>
      </c>
      <c r="FU29">
        <v>-1.6E-2</v>
      </c>
      <c r="FV29">
        <v>-6.8710000000000004</v>
      </c>
      <c r="FW29">
        <v>-0.73299999999999998</v>
      </c>
      <c r="FX29">
        <v>434</v>
      </c>
      <c r="FY29">
        <v>24</v>
      </c>
      <c r="FZ29">
        <v>0.53</v>
      </c>
      <c r="GA29">
        <v>0.16</v>
      </c>
      <c r="GB29">
        <v>420.16786666666673</v>
      </c>
      <c r="GC29">
        <v>-1.382549499443787</v>
      </c>
      <c r="GD29">
        <v>0.11009563519453711</v>
      </c>
      <c r="GE29">
        <v>-1</v>
      </c>
      <c r="GF29">
        <v>777.13347058823535</v>
      </c>
      <c r="GG29">
        <v>-4.8017723409341704</v>
      </c>
      <c r="GH29">
        <v>0.50522203827473333</v>
      </c>
      <c r="GI29">
        <v>1</v>
      </c>
      <c r="GJ29">
        <v>1.396468</v>
      </c>
      <c r="GK29">
        <v>0.73647174484052291</v>
      </c>
      <c r="GL29">
        <v>8.3887794559160969E-2</v>
      </c>
      <c r="GM29">
        <v>0</v>
      </c>
      <c r="GN29">
        <v>1</v>
      </c>
      <c r="GO29">
        <v>2</v>
      </c>
      <c r="GP29" t="s">
        <v>411</v>
      </c>
      <c r="GQ29">
        <v>3.1316000000000002</v>
      </c>
      <c r="GR29">
        <v>2.7319499999999999</v>
      </c>
      <c r="GS29">
        <v>9.0653899999999996E-2</v>
      </c>
      <c r="GT29">
        <v>9.2337199999999994E-2</v>
      </c>
      <c r="GU29">
        <v>0.118148</v>
      </c>
      <c r="GV29">
        <v>0.111444</v>
      </c>
      <c r="GW29">
        <v>22631.200000000001</v>
      </c>
      <c r="GX29">
        <v>30280.5</v>
      </c>
      <c r="GY29">
        <v>27018.6</v>
      </c>
      <c r="GZ29">
        <v>34337.699999999997</v>
      </c>
      <c r="HA29">
        <v>34929.1</v>
      </c>
      <c r="HB29">
        <v>38659.599999999999</v>
      </c>
      <c r="HC29">
        <v>39909.800000000003</v>
      </c>
      <c r="HD29">
        <v>43577.9</v>
      </c>
      <c r="HE29">
        <v>1.9196</v>
      </c>
      <c r="HF29">
        <v>1.6734</v>
      </c>
      <c r="HG29">
        <v>-0.111669</v>
      </c>
      <c r="HH29">
        <v>0</v>
      </c>
      <c r="HI29">
        <v>30.3965</v>
      </c>
      <c r="HJ29">
        <v>999.9</v>
      </c>
      <c r="HK29">
        <v>53.6</v>
      </c>
      <c r="HL29">
        <v>41</v>
      </c>
      <c r="HM29">
        <v>42.869900000000001</v>
      </c>
      <c r="HN29">
        <v>61.170200000000001</v>
      </c>
      <c r="HO29">
        <v>4.4351000000000003</v>
      </c>
      <c r="HP29">
        <v>1</v>
      </c>
      <c r="HQ29">
        <v>0.970549</v>
      </c>
      <c r="HR29">
        <v>5.88856</v>
      </c>
      <c r="HS29">
        <v>20.143799999999999</v>
      </c>
      <c r="HT29">
        <v>5.2077099999999996</v>
      </c>
      <c r="HU29">
        <v>11.914099999999999</v>
      </c>
      <c r="HV29">
        <v>4.9824000000000002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1.8629199999999999</v>
      </c>
      <c r="IE29">
        <v>1.86249</v>
      </c>
      <c r="IF29">
        <v>1.86249</v>
      </c>
      <c r="IG29">
        <v>1.8629500000000001</v>
      </c>
      <c r="IH29">
        <v>1.86389</v>
      </c>
      <c r="II29">
        <v>1.86185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-6.82</v>
      </c>
      <c r="IX29">
        <v>-0.69010000000000005</v>
      </c>
      <c r="IY29">
        <v>-4.8289253600504436</v>
      </c>
      <c r="IZ29">
        <v>-5.6215304933332991E-3</v>
      </c>
      <c r="JA29">
        <v>2.3979931213773931E-6</v>
      </c>
      <c r="JB29">
        <v>-3.6297174575716598E-10</v>
      </c>
      <c r="JC29">
        <v>-1.146900483174828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0.7</v>
      </c>
      <c r="JL29">
        <v>0.7</v>
      </c>
      <c r="JM29">
        <v>1.1218300000000001</v>
      </c>
      <c r="JN29">
        <v>2.5598100000000001</v>
      </c>
      <c r="JO29">
        <v>1.50024</v>
      </c>
      <c r="JP29">
        <v>2.2729499999999998</v>
      </c>
      <c r="JQ29">
        <v>1.4477500000000001</v>
      </c>
      <c r="JR29">
        <v>2.4279799999999998</v>
      </c>
      <c r="JS29">
        <v>46.679000000000002</v>
      </c>
      <c r="JT29">
        <v>23.833600000000001</v>
      </c>
      <c r="JU29">
        <v>18</v>
      </c>
      <c r="JV29">
        <v>549.55799999999999</v>
      </c>
      <c r="JW29">
        <v>400.07799999999997</v>
      </c>
      <c r="JX29">
        <v>24.3276</v>
      </c>
      <c r="JY29">
        <v>38.6798</v>
      </c>
      <c r="JZ29">
        <v>29.9998</v>
      </c>
      <c r="KA29">
        <v>38.387599999999999</v>
      </c>
      <c r="KB29">
        <v>38.251600000000003</v>
      </c>
      <c r="KC29">
        <v>22.442299999999999</v>
      </c>
      <c r="KD29">
        <v>49.774299999999997</v>
      </c>
      <c r="KE29">
        <v>0</v>
      </c>
      <c r="KF29">
        <v>24.348199999999999</v>
      </c>
      <c r="KG29">
        <v>433.03300000000002</v>
      </c>
      <c r="KH29">
        <v>24.1873</v>
      </c>
      <c r="KI29">
        <v>99.733599999999996</v>
      </c>
      <c r="KJ29">
        <v>98.034499999999994</v>
      </c>
    </row>
    <row r="30" spans="1:296" x14ac:dyDescent="0.3">
      <c r="A30">
        <v>15</v>
      </c>
      <c r="B30">
        <v>1784479492</v>
      </c>
      <c r="C30">
        <v>2799.400000095367</v>
      </c>
      <c r="D30" t="s">
        <v>678</v>
      </c>
      <c r="E30" t="s">
        <v>679</v>
      </c>
      <c r="F30">
        <v>15</v>
      </c>
      <c r="H30">
        <v>1784479484.25</v>
      </c>
      <c r="I30">
        <v>7.0733438156393583E-4</v>
      </c>
      <c r="J30">
        <v>0.7073343815639358</v>
      </c>
      <c r="K30">
        <v>4.1067604259397452</v>
      </c>
      <c r="L30">
        <v>419.96626666666651</v>
      </c>
      <c r="M30">
        <v>271.92036729855442</v>
      </c>
      <c r="N30">
        <v>26.599425722313505</v>
      </c>
      <c r="O30">
        <v>41.081371090574748</v>
      </c>
      <c r="P30">
        <v>4.7394657088721329E-2</v>
      </c>
      <c r="Q30">
        <v>2.8915378548126354</v>
      </c>
      <c r="R30">
        <v>4.6967281978898906E-2</v>
      </c>
      <c r="S30">
        <v>2.9392627872076586E-2</v>
      </c>
      <c r="T30">
        <v>16.509138984060769</v>
      </c>
      <c r="U30">
        <v>28.189252747856248</v>
      </c>
      <c r="V30">
        <v>28.613600000000009</v>
      </c>
      <c r="W30">
        <v>3.9327208695894451</v>
      </c>
      <c r="X30">
        <v>65.033501546503075</v>
      </c>
      <c r="Y30">
        <v>2.508026452201666</v>
      </c>
      <c r="Z30">
        <v>3.8565145541306407</v>
      </c>
      <c r="AA30">
        <v>1.4246944173877791</v>
      </c>
      <c r="AB30">
        <v>-31.19344622696957</v>
      </c>
      <c r="AC30">
        <v>-52.498600059828746</v>
      </c>
      <c r="AD30">
        <v>-3.9751668953654762</v>
      </c>
      <c r="AE30">
        <v>-71.158074198103023</v>
      </c>
      <c r="AF30">
        <v>4.1067604259397452</v>
      </c>
      <c r="AG30">
        <v>0.7073343815639358</v>
      </c>
      <c r="AH30">
        <v>4.2087356080884222</v>
      </c>
      <c r="AI30">
        <v>436.27213469472571</v>
      </c>
      <c r="AJ30">
        <v>431.03321818181809</v>
      </c>
      <c r="AK30">
        <v>1.145299286324113E-2</v>
      </c>
      <c r="AL30">
        <v>67.085255295284995</v>
      </c>
      <c r="AM30">
        <v>0.75250680661858282</v>
      </c>
      <c r="AN30">
        <v>24.820735282056891</v>
      </c>
      <c r="AO30">
        <v>25.690602424242421</v>
      </c>
      <c r="AP30">
        <v>1.628199386119439E-3</v>
      </c>
      <c r="AQ30">
        <v>78.245333476112251</v>
      </c>
      <c r="AR30">
        <v>0</v>
      </c>
      <c r="AS30">
        <v>0</v>
      </c>
      <c r="AT30">
        <v>1</v>
      </c>
      <c r="AU30">
        <v>0</v>
      </c>
      <c r="AV30">
        <v>51518.619700887211</v>
      </c>
      <c r="AW30" t="s">
        <v>623</v>
      </c>
      <c r="AX30">
        <v>5097.1400000000003</v>
      </c>
      <c r="AY30">
        <v>605.0617647058823</v>
      </c>
      <c r="AZ30">
        <v>2408.86</v>
      </c>
      <c r="BA30">
        <v>0.74881821081097188</v>
      </c>
      <c r="BB30">
        <v>-2.5855627598635031</v>
      </c>
      <c r="BC30" t="s">
        <v>680</v>
      </c>
      <c r="BD30">
        <v>5080.57</v>
      </c>
      <c r="BE30">
        <v>749.9517647058824</v>
      </c>
      <c r="BF30">
        <v>2041.67</v>
      </c>
      <c r="BG30">
        <v>0.63267728638522269</v>
      </c>
      <c r="BH30">
        <v>0.5</v>
      </c>
      <c r="BI30">
        <v>84.280266864280193</v>
      </c>
      <c r="BJ30">
        <v>4.1067604259397452</v>
      </c>
      <c r="BK30">
        <v>26.661105267757598</v>
      </c>
      <c r="BL30">
        <v>7.9405576593393534E-2</v>
      </c>
      <c r="BM30">
        <v>0.17984786963613122</v>
      </c>
      <c r="BN30">
        <v>578.90979841524052</v>
      </c>
      <c r="BO30" t="s">
        <v>408</v>
      </c>
      <c r="BP30">
        <v>0</v>
      </c>
      <c r="BQ30">
        <v>578.90979841524052</v>
      </c>
      <c r="BR30">
        <v>0.71645280656754495</v>
      </c>
      <c r="BS30">
        <v>0.88306903202224496</v>
      </c>
      <c r="BT30">
        <v>0.20065573351778038</v>
      </c>
      <c r="BU30">
        <v>0.89914438993151347</v>
      </c>
      <c r="BV30">
        <v>0.20356489590429608</v>
      </c>
      <c r="BW30">
        <v>0.68166692762597825</v>
      </c>
      <c r="BX30">
        <v>0.31833307237402175</v>
      </c>
      <c r="DG30">
        <v>99.994373333333343</v>
      </c>
      <c r="DH30">
        <v>84.280266864280193</v>
      </c>
      <c r="DI30">
        <v>0.84285009300803515</v>
      </c>
      <c r="DJ30">
        <v>0.16510067950550786</v>
      </c>
      <c r="DK30">
        <v>6</v>
      </c>
      <c r="DL30">
        <v>0.5</v>
      </c>
      <c r="DM30" t="s">
        <v>409</v>
      </c>
      <c r="DN30">
        <v>2</v>
      </c>
      <c r="DO30" t="b">
        <v>0</v>
      </c>
      <c r="DP30">
        <v>1784479484.25</v>
      </c>
      <c r="DQ30">
        <v>419.96626666666651</v>
      </c>
      <c r="DR30">
        <v>425.25083333333339</v>
      </c>
      <c r="DS30">
        <v>25.639029999999991</v>
      </c>
      <c r="DT30">
        <v>24.811993333333341</v>
      </c>
      <c r="DU30">
        <v>426.72626666666662</v>
      </c>
      <c r="DV30">
        <v>26.339373333333342</v>
      </c>
      <c r="DW30">
        <v>500.00130000000001</v>
      </c>
      <c r="DX30">
        <v>97.76415999999999</v>
      </c>
      <c r="DY30">
        <v>5.6485016666666672E-2</v>
      </c>
      <c r="DZ30">
        <v>28.27683</v>
      </c>
      <c r="EA30">
        <v>28.613600000000009</v>
      </c>
      <c r="EB30">
        <v>999.9000000000002</v>
      </c>
      <c r="EC30">
        <v>0</v>
      </c>
      <c r="ED30">
        <v>0</v>
      </c>
      <c r="EE30">
        <v>10008.66666666667</v>
      </c>
      <c r="EF30">
        <v>0</v>
      </c>
      <c r="EG30">
        <v>1480.4486666666669</v>
      </c>
      <c r="EH30">
        <v>-5.2846089999999997</v>
      </c>
      <c r="EI30">
        <v>431.01716666666658</v>
      </c>
      <c r="EJ30">
        <v>436.07063333333332</v>
      </c>
      <c r="EK30">
        <v>0.82702516666666659</v>
      </c>
      <c r="EL30">
        <v>425.25083333333339</v>
      </c>
      <c r="EM30">
        <v>24.811993333333341</v>
      </c>
      <c r="EN30">
        <v>2.5065779999999989</v>
      </c>
      <c r="EO30">
        <v>2.4257249999999999</v>
      </c>
      <c r="EP30">
        <v>21.069266666666671</v>
      </c>
      <c r="EQ30">
        <v>20.53653666666667</v>
      </c>
      <c r="ER30">
        <v>99.994373333333343</v>
      </c>
      <c r="ES30">
        <v>0.90002266666666708</v>
      </c>
      <c r="ET30">
        <v>9.9977483333333353E-2</v>
      </c>
      <c r="EU30">
        <v>0</v>
      </c>
      <c r="EV30">
        <v>750.12543333333326</v>
      </c>
      <c r="EW30">
        <v>5.0010700000000003</v>
      </c>
      <c r="EX30">
        <v>4774.2420000000002</v>
      </c>
      <c r="EY30">
        <v>836.52863333333323</v>
      </c>
      <c r="EZ30">
        <v>42.41013333333332</v>
      </c>
      <c r="FA30">
        <v>47.061999999999983</v>
      </c>
      <c r="FB30">
        <v>44.780999999999992</v>
      </c>
      <c r="FC30">
        <v>46.436999999999983</v>
      </c>
      <c r="FD30">
        <v>44.385333333333328</v>
      </c>
      <c r="FE30">
        <v>85.495666666666693</v>
      </c>
      <c r="FF30">
        <v>9.5</v>
      </c>
      <c r="FG30">
        <v>0</v>
      </c>
      <c r="FH30">
        <v>182.19999980926511</v>
      </c>
      <c r="FI30">
        <v>0</v>
      </c>
      <c r="FJ30">
        <v>749.9517647058824</v>
      </c>
      <c r="FK30">
        <v>-5.4281862969293746</v>
      </c>
      <c r="FL30">
        <v>27.848039091977679</v>
      </c>
      <c r="FM30">
        <v>4774.3111764705891</v>
      </c>
      <c r="FN30">
        <v>10</v>
      </c>
      <c r="FO30">
        <v>1784479423</v>
      </c>
      <c r="FP30" t="s">
        <v>681</v>
      </c>
      <c r="FQ30">
        <v>1784479419.5</v>
      </c>
      <c r="FR30">
        <v>1784479423</v>
      </c>
      <c r="FS30">
        <v>17</v>
      </c>
      <c r="FT30">
        <v>5.8999999999999997E-2</v>
      </c>
      <c r="FU30">
        <v>-1.2E-2</v>
      </c>
      <c r="FV30">
        <v>-6.7809999999999997</v>
      </c>
      <c r="FW30">
        <v>-0.73499999999999999</v>
      </c>
      <c r="FX30">
        <v>425</v>
      </c>
      <c r="FY30">
        <v>24</v>
      </c>
      <c r="FZ30">
        <v>1.63</v>
      </c>
      <c r="GA30">
        <v>0.3</v>
      </c>
      <c r="GB30">
        <v>419.97223333333329</v>
      </c>
      <c r="GC30">
        <v>-0.32225139043304479</v>
      </c>
      <c r="GD30">
        <v>5.3394558607487201E-2</v>
      </c>
      <c r="GE30">
        <v>-1</v>
      </c>
      <c r="GF30">
        <v>750.24179411764715</v>
      </c>
      <c r="GG30">
        <v>-3.0630252097577291</v>
      </c>
      <c r="GH30">
        <v>0.37104041157833839</v>
      </c>
      <c r="GI30">
        <v>1</v>
      </c>
      <c r="GJ30">
        <v>0.81040442499999998</v>
      </c>
      <c r="GK30">
        <v>0.37235530581613402</v>
      </c>
      <c r="GL30">
        <v>3.7177284547077603E-2</v>
      </c>
      <c r="GM30">
        <v>1</v>
      </c>
      <c r="GN30">
        <v>2</v>
      </c>
      <c r="GO30">
        <v>2</v>
      </c>
      <c r="GP30" t="s">
        <v>424</v>
      </c>
      <c r="GQ30">
        <v>3.13137</v>
      </c>
      <c r="GR30">
        <v>2.7322899999999999</v>
      </c>
      <c r="GS30">
        <v>9.0649400000000005E-2</v>
      </c>
      <c r="GT30">
        <v>9.1078300000000001E-2</v>
      </c>
      <c r="GU30">
        <v>0.118462</v>
      </c>
      <c r="GV30">
        <v>0.113814</v>
      </c>
      <c r="GW30">
        <v>22633.7</v>
      </c>
      <c r="GX30">
        <v>30325.8</v>
      </c>
      <c r="GY30">
        <v>27021.3</v>
      </c>
      <c r="GZ30">
        <v>34341.199999999997</v>
      </c>
      <c r="HA30">
        <v>34920.199999999997</v>
      </c>
      <c r="HB30">
        <v>38558.5</v>
      </c>
      <c r="HC30">
        <v>39913.9</v>
      </c>
      <c r="HD30">
        <v>43579.9</v>
      </c>
      <c r="HE30">
        <v>1.9201999999999999</v>
      </c>
      <c r="HF30">
        <v>1.6732</v>
      </c>
      <c r="HG30">
        <v>-0.109971</v>
      </c>
      <c r="HH30">
        <v>0</v>
      </c>
      <c r="HI30">
        <v>30.407</v>
      </c>
      <c r="HJ30">
        <v>999.9</v>
      </c>
      <c r="HK30">
        <v>53.4</v>
      </c>
      <c r="HL30">
        <v>41.2</v>
      </c>
      <c r="HM30">
        <v>43.163200000000003</v>
      </c>
      <c r="HN30">
        <v>61.1402</v>
      </c>
      <c r="HO30">
        <v>4.4270899999999997</v>
      </c>
      <c r="HP30">
        <v>1</v>
      </c>
      <c r="HQ30">
        <v>0.96615899999999999</v>
      </c>
      <c r="HR30">
        <v>6.0291300000000003</v>
      </c>
      <c r="HS30">
        <v>20.1403</v>
      </c>
      <c r="HT30">
        <v>5.2100999999999997</v>
      </c>
      <c r="HU30">
        <v>11.914099999999999</v>
      </c>
      <c r="HV30">
        <v>4.9820000000000002</v>
      </c>
      <c r="HW30">
        <v>3.2709999999999999</v>
      </c>
      <c r="HX30">
        <v>9999</v>
      </c>
      <c r="HY30">
        <v>9999</v>
      </c>
      <c r="HZ30">
        <v>9999</v>
      </c>
      <c r="IA30">
        <v>999.9</v>
      </c>
      <c r="IB30">
        <v>1.86768</v>
      </c>
      <c r="IC30">
        <v>1.8633999999999999</v>
      </c>
      <c r="ID30">
        <v>1.8629199999999999</v>
      </c>
      <c r="IE30">
        <v>1.86243</v>
      </c>
      <c r="IF30">
        <v>1.86246</v>
      </c>
      <c r="IG30">
        <v>1.8629500000000001</v>
      </c>
      <c r="IH30">
        <v>1.86389</v>
      </c>
      <c r="II30">
        <v>1.86188</v>
      </c>
      <c r="IJ30">
        <v>0</v>
      </c>
      <c r="IK30">
        <v>0</v>
      </c>
      <c r="IL30">
        <v>0</v>
      </c>
      <c r="IM30">
        <v>4.5</v>
      </c>
      <c r="IN30" t="s">
        <v>412</v>
      </c>
      <c r="IO30" t="s">
        <v>413</v>
      </c>
      <c r="IP30" t="s">
        <v>414</v>
      </c>
      <c r="IQ30" t="s">
        <v>415</v>
      </c>
      <c r="IR30" t="s">
        <v>415</v>
      </c>
      <c r="IS30" t="s">
        <v>414</v>
      </c>
      <c r="IT30">
        <v>0</v>
      </c>
      <c r="IU30">
        <v>100</v>
      </c>
      <c r="IV30">
        <v>100</v>
      </c>
      <c r="IW30">
        <v>-6.7610000000000001</v>
      </c>
      <c r="IX30">
        <v>-0.69889999999999997</v>
      </c>
      <c r="IY30">
        <v>-4.76960487163959</v>
      </c>
      <c r="IZ30">
        <v>-5.6215304933332991E-3</v>
      </c>
      <c r="JA30">
        <v>2.3979931213773931E-6</v>
      </c>
      <c r="JB30">
        <v>-3.6297174575716598E-10</v>
      </c>
      <c r="JC30">
        <v>-1.158602416856888</v>
      </c>
      <c r="JD30">
        <v>2.7492919904454862E-4</v>
      </c>
      <c r="JE30">
        <v>8.6739513355948885E-4</v>
      </c>
      <c r="JF30">
        <v>-8.2500691715147318E-6</v>
      </c>
      <c r="JG30">
        <v>17</v>
      </c>
      <c r="JH30">
        <v>1914</v>
      </c>
      <c r="JI30">
        <v>2</v>
      </c>
      <c r="JJ30">
        <v>37</v>
      </c>
      <c r="JK30">
        <v>1.2</v>
      </c>
      <c r="JL30">
        <v>1.1000000000000001</v>
      </c>
      <c r="JM30">
        <v>1.1059600000000001</v>
      </c>
      <c r="JN30">
        <v>2.5561500000000001</v>
      </c>
      <c r="JO30">
        <v>1.50024</v>
      </c>
      <c r="JP30">
        <v>2.2729499999999998</v>
      </c>
      <c r="JQ30">
        <v>1.4477500000000001</v>
      </c>
      <c r="JR30">
        <v>2.4584999999999999</v>
      </c>
      <c r="JS30">
        <v>46.767400000000002</v>
      </c>
      <c r="JT30">
        <v>23.842300000000002</v>
      </c>
      <c r="JU30">
        <v>18</v>
      </c>
      <c r="JV30">
        <v>549.803</v>
      </c>
      <c r="JW30">
        <v>399.87799999999999</v>
      </c>
      <c r="JX30">
        <v>24.361899999999999</v>
      </c>
      <c r="JY30">
        <v>38.649900000000002</v>
      </c>
      <c r="JZ30">
        <v>30.0001</v>
      </c>
      <c r="KA30">
        <v>38.365400000000001</v>
      </c>
      <c r="KB30">
        <v>38.238399999999999</v>
      </c>
      <c r="KC30">
        <v>22.1295</v>
      </c>
      <c r="KD30">
        <v>48.7515</v>
      </c>
      <c r="KE30">
        <v>0</v>
      </c>
      <c r="KF30">
        <v>24.346900000000002</v>
      </c>
      <c r="KG30">
        <v>425.24</v>
      </c>
      <c r="KH30">
        <v>24.816700000000001</v>
      </c>
      <c r="KI30">
        <v>99.743700000000004</v>
      </c>
      <c r="KJ30">
        <v>98.041300000000007</v>
      </c>
    </row>
    <row r="31" spans="1:296" x14ac:dyDescent="0.3">
      <c r="A31">
        <v>16</v>
      </c>
      <c r="B31">
        <v>1784479674.5</v>
      </c>
      <c r="C31">
        <v>2981.900000095367</v>
      </c>
      <c r="D31" t="s">
        <v>682</v>
      </c>
      <c r="E31" t="s">
        <v>683</v>
      </c>
      <c r="F31">
        <v>15</v>
      </c>
      <c r="H31">
        <v>1784479666.5</v>
      </c>
      <c r="I31">
        <v>5.7987397211669981E-4</v>
      </c>
      <c r="J31">
        <v>0.57987397211669978</v>
      </c>
      <c r="K31">
        <v>0.43589649470590996</v>
      </c>
      <c r="L31">
        <v>419.95790322580649</v>
      </c>
      <c r="M31">
        <v>391.94708821118616</v>
      </c>
      <c r="N31">
        <v>38.341015729888568</v>
      </c>
      <c r="O31">
        <v>41.081087365537236</v>
      </c>
      <c r="P31">
        <v>3.8588483407732875E-2</v>
      </c>
      <c r="Q31">
        <v>2.8901312175497069</v>
      </c>
      <c r="R31">
        <v>3.8304520637467594E-2</v>
      </c>
      <c r="S31">
        <v>2.3965663995799358E-2</v>
      </c>
      <c r="T31">
        <v>8.2440074727256594</v>
      </c>
      <c r="U31">
        <v>28.107075792094356</v>
      </c>
      <c r="V31">
        <v>28.61056774193549</v>
      </c>
      <c r="W31">
        <v>3.932028895748175</v>
      </c>
      <c r="X31">
        <v>65.071841743357041</v>
      </c>
      <c r="Y31">
        <v>2.4998337374496362</v>
      </c>
      <c r="Z31">
        <v>3.8416520425362566</v>
      </c>
      <c r="AA31">
        <v>1.4321951582985388</v>
      </c>
      <c r="AB31">
        <v>-25.572442170346463</v>
      </c>
      <c r="AC31">
        <v>-62.339677712061167</v>
      </c>
      <c r="AD31">
        <v>-4.7209957959264086</v>
      </c>
      <c r="AE31">
        <v>-84.38910820560838</v>
      </c>
      <c r="AF31">
        <v>0.43589649470590996</v>
      </c>
      <c r="AG31">
        <v>0.57987397211669978</v>
      </c>
      <c r="AH31">
        <v>0.36229138930301086</v>
      </c>
      <c r="AI31">
        <v>431.59564538958972</v>
      </c>
      <c r="AJ31">
        <v>431.04180606060589</v>
      </c>
      <c r="AK31">
        <v>2.065236320484538E-2</v>
      </c>
      <c r="AL31">
        <v>67.0274917321277</v>
      </c>
      <c r="AM31">
        <v>0.52777301649197184</v>
      </c>
      <c r="AN31">
        <v>24.910733011710189</v>
      </c>
      <c r="AO31">
        <v>25.531826060606051</v>
      </c>
      <c r="AP31">
        <v>-6.5174802062775618E-4</v>
      </c>
      <c r="AQ31">
        <v>78.046929624978219</v>
      </c>
      <c r="AR31">
        <v>0</v>
      </c>
      <c r="AS31">
        <v>0</v>
      </c>
      <c r="AT31">
        <v>1</v>
      </c>
      <c r="AU31">
        <v>0</v>
      </c>
      <c r="AV31">
        <v>51490.087855971215</v>
      </c>
      <c r="AW31" t="s">
        <v>623</v>
      </c>
      <c r="AX31">
        <v>5097.1400000000003</v>
      </c>
      <c r="AY31">
        <v>605.0617647058823</v>
      </c>
      <c r="AZ31">
        <v>2408.86</v>
      </c>
      <c r="BA31">
        <v>0.74881821081097188</v>
      </c>
      <c r="BB31">
        <v>-2.5855627598635031</v>
      </c>
      <c r="BC31" t="s">
        <v>684</v>
      </c>
      <c r="BD31">
        <v>5075.99</v>
      </c>
      <c r="BE31">
        <v>715.87558823529412</v>
      </c>
      <c r="BF31">
        <v>2079.1999999999998</v>
      </c>
      <c r="BG31">
        <v>0.65569661974062421</v>
      </c>
      <c r="BH31">
        <v>0.5</v>
      </c>
      <c r="BI31">
        <v>42.151216888759741</v>
      </c>
      <c r="BJ31">
        <v>0.43589649470590996</v>
      </c>
      <c r="BK31">
        <v>13.819205215956837</v>
      </c>
      <c r="BL31">
        <v>7.1681424110323397E-2</v>
      </c>
      <c r="BM31">
        <v>0.15855136590996555</v>
      </c>
      <c r="BN31">
        <v>581.88795148539259</v>
      </c>
      <c r="BO31" t="s">
        <v>408</v>
      </c>
      <c r="BP31">
        <v>0</v>
      </c>
      <c r="BQ31">
        <v>581.88795148539259</v>
      </c>
      <c r="BR31">
        <v>0.7201385381466946</v>
      </c>
      <c r="BS31">
        <v>0.91051455380805713</v>
      </c>
      <c r="BT31">
        <v>0.18044063688222567</v>
      </c>
      <c r="BU31">
        <v>0.92482806505096693</v>
      </c>
      <c r="BV31">
        <v>0.18275879948748686</v>
      </c>
      <c r="BW31">
        <v>0.74009710237369641</v>
      </c>
      <c r="BX31">
        <v>0.25990289762630359</v>
      </c>
      <c r="DG31">
        <v>50.019048387096767</v>
      </c>
      <c r="DH31">
        <v>42.151216888759741</v>
      </c>
      <c r="DI31">
        <v>0.84270329500377572</v>
      </c>
      <c r="DJ31">
        <v>0.16481735935728711</v>
      </c>
      <c r="DK31">
        <v>6</v>
      </c>
      <c r="DL31">
        <v>0.5</v>
      </c>
      <c r="DM31" t="s">
        <v>409</v>
      </c>
      <c r="DN31">
        <v>2</v>
      </c>
      <c r="DO31" t="b">
        <v>0</v>
      </c>
      <c r="DP31">
        <v>1784479666.5</v>
      </c>
      <c r="DQ31">
        <v>419.95790322580649</v>
      </c>
      <c r="DR31">
        <v>420.77316129032249</v>
      </c>
      <c r="DS31">
        <v>25.55494516129032</v>
      </c>
      <c r="DT31">
        <v>24.876916129032249</v>
      </c>
      <c r="DU31">
        <v>426.73974193548378</v>
      </c>
      <c r="DV31">
        <v>26.274612903225801</v>
      </c>
      <c r="DW31">
        <v>500.02754838709677</v>
      </c>
      <c r="DX31">
        <v>97.765151612903225</v>
      </c>
      <c r="DY31">
        <v>5.6765893548387097E-2</v>
      </c>
      <c r="DZ31">
        <v>28.210474193548389</v>
      </c>
      <c r="EA31">
        <v>28.61056774193549</v>
      </c>
      <c r="EB31">
        <v>999.90000000000032</v>
      </c>
      <c r="EC31">
        <v>0</v>
      </c>
      <c r="ED31">
        <v>0</v>
      </c>
      <c r="EE31">
        <v>10000.483870967741</v>
      </c>
      <c r="EF31">
        <v>0</v>
      </c>
      <c r="EG31">
        <v>1493.0774193548391</v>
      </c>
      <c r="EH31">
        <v>-0.81522190322580623</v>
      </c>
      <c r="EI31">
        <v>430.97154838709679</v>
      </c>
      <c r="EJ31">
        <v>431.5078387096774</v>
      </c>
      <c r="EK31">
        <v>0.67802619354838722</v>
      </c>
      <c r="EL31">
        <v>420.77316129032249</v>
      </c>
      <c r="EM31">
        <v>24.876916129032249</v>
      </c>
      <c r="EN31">
        <v>2.4983816129032248</v>
      </c>
      <c r="EO31">
        <v>2.4320951612903232</v>
      </c>
      <c r="EP31">
        <v>21.015961290322579</v>
      </c>
      <c r="EQ31">
        <v>20.579051612903221</v>
      </c>
      <c r="ER31">
        <v>50.019048387096767</v>
      </c>
      <c r="ES31">
        <v>0.89992274193548405</v>
      </c>
      <c r="ET31">
        <v>0.1000774419354839</v>
      </c>
      <c r="EU31">
        <v>0</v>
      </c>
      <c r="EV31">
        <v>716.08590322580642</v>
      </c>
      <c r="EW31">
        <v>5.0010700000000003</v>
      </c>
      <c r="EX31">
        <v>4327.2074193548397</v>
      </c>
      <c r="EY31">
        <v>396.42103225806449</v>
      </c>
      <c r="EZ31">
        <v>42.072161290322562</v>
      </c>
      <c r="FA31">
        <v>46.756</v>
      </c>
      <c r="FB31">
        <v>44.487806451612883</v>
      </c>
      <c r="FC31">
        <v>46.186999999999969</v>
      </c>
      <c r="FD31">
        <v>44.10061290322578</v>
      </c>
      <c r="FE31">
        <v>40.51290322580644</v>
      </c>
      <c r="FF31">
        <v>4.5074193548387091</v>
      </c>
      <c r="FG31">
        <v>0</v>
      </c>
      <c r="FH31">
        <v>181.79999995231631</v>
      </c>
      <c r="FI31">
        <v>0</v>
      </c>
      <c r="FJ31">
        <v>715.87558823529412</v>
      </c>
      <c r="FK31">
        <v>-3.3299019977519499</v>
      </c>
      <c r="FL31">
        <v>-12.54656858692432</v>
      </c>
      <c r="FM31">
        <v>4328.2711764705873</v>
      </c>
      <c r="FN31">
        <v>10</v>
      </c>
      <c r="FO31">
        <v>1784479603</v>
      </c>
      <c r="FP31" t="s">
        <v>685</v>
      </c>
      <c r="FQ31">
        <v>1784479599.5</v>
      </c>
      <c r="FR31">
        <v>1784479603</v>
      </c>
      <c r="FS31">
        <v>18</v>
      </c>
      <c r="FT31">
        <v>-2.1999999999999999E-2</v>
      </c>
      <c r="FU31">
        <v>-1.7000000000000001E-2</v>
      </c>
      <c r="FV31">
        <v>-6.7850000000000001</v>
      </c>
      <c r="FW31">
        <v>-0.73499999999999999</v>
      </c>
      <c r="FX31">
        <v>421</v>
      </c>
      <c r="FY31">
        <v>25</v>
      </c>
      <c r="FZ31">
        <v>1.9</v>
      </c>
      <c r="GA31">
        <v>0.48</v>
      </c>
      <c r="GB31">
        <v>419.95887096774197</v>
      </c>
      <c r="GC31">
        <v>6.3145161290763585E-2</v>
      </c>
      <c r="GD31">
        <v>4.8660603350325189E-2</v>
      </c>
      <c r="GE31">
        <v>-1</v>
      </c>
      <c r="GF31">
        <v>716.29829411764706</v>
      </c>
      <c r="GG31">
        <v>-4.1309702079831254</v>
      </c>
      <c r="GH31">
        <v>0.44985105570436668</v>
      </c>
      <c r="GI31">
        <v>1</v>
      </c>
      <c r="GJ31">
        <v>0.71464368292682923</v>
      </c>
      <c r="GK31">
        <v>-0.75968573519163596</v>
      </c>
      <c r="GL31">
        <v>8.0754741590740489E-2</v>
      </c>
      <c r="GM31">
        <v>0</v>
      </c>
      <c r="GN31">
        <v>1</v>
      </c>
      <c r="GO31">
        <v>2</v>
      </c>
      <c r="GP31" t="s">
        <v>411</v>
      </c>
      <c r="GQ31">
        <v>3.1314600000000001</v>
      </c>
      <c r="GR31">
        <v>2.7336100000000001</v>
      </c>
      <c r="GS31">
        <v>9.0631600000000007E-2</v>
      </c>
      <c r="GT31">
        <v>9.0400900000000006E-2</v>
      </c>
      <c r="GU31">
        <v>0.118031</v>
      </c>
      <c r="GV31">
        <v>0.114118</v>
      </c>
      <c r="GW31">
        <v>22633.9</v>
      </c>
      <c r="GX31">
        <v>30349.1</v>
      </c>
      <c r="GY31">
        <v>27021</v>
      </c>
      <c r="GZ31">
        <v>34341.800000000003</v>
      </c>
      <c r="HA31">
        <v>34936.9</v>
      </c>
      <c r="HB31">
        <v>38544.9</v>
      </c>
      <c r="HC31">
        <v>39913.699999999997</v>
      </c>
      <c r="HD31">
        <v>43579.5</v>
      </c>
      <c r="HE31">
        <v>1.9194</v>
      </c>
      <c r="HF31">
        <v>1.6719999999999999</v>
      </c>
      <c r="HG31">
        <v>-0.11250400000000001</v>
      </c>
      <c r="HH31">
        <v>0</v>
      </c>
      <c r="HI31">
        <v>30.433499999999999</v>
      </c>
      <c r="HJ31">
        <v>999.9</v>
      </c>
      <c r="HK31">
        <v>53.2</v>
      </c>
      <c r="HL31">
        <v>41.4</v>
      </c>
      <c r="HM31">
        <v>43.455399999999997</v>
      </c>
      <c r="HN31">
        <v>61.420299999999997</v>
      </c>
      <c r="HO31">
        <v>4.1867000000000001</v>
      </c>
      <c r="HP31">
        <v>1</v>
      </c>
      <c r="HQ31">
        <v>0.96837399999999996</v>
      </c>
      <c r="HR31">
        <v>6.2946200000000001</v>
      </c>
      <c r="HS31">
        <v>20.132000000000001</v>
      </c>
      <c r="HT31">
        <v>5.2088999999999999</v>
      </c>
      <c r="HU31">
        <v>11.914099999999999</v>
      </c>
      <c r="HV31">
        <v>4.9836</v>
      </c>
      <c r="HW31">
        <v>3.2709999999999999</v>
      </c>
      <c r="HX31">
        <v>9999</v>
      </c>
      <c r="HY31">
        <v>9999</v>
      </c>
      <c r="HZ31">
        <v>9999</v>
      </c>
      <c r="IA31">
        <v>999.9</v>
      </c>
      <c r="IB31">
        <v>1.86774</v>
      </c>
      <c r="IC31">
        <v>1.8633999999999999</v>
      </c>
      <c r="ID31">
        <v>1.8629199999999999</v>
      </c>
      <c r="IE31">
        <v>1.86249</v>
      </c>
      <c r="IF31">
        <v>1.86249</v>
      </c>
      <c r="IG31">
        <v>1.8629500000000001</v>
      </c>
      <c r="IH31">
        <v>1.86395</v>
      </c>
      <c r="II31">
        <v>1.86188</v>
      </c>
      <c r="IJ31">
        <v>0</v>
      </c>
      <c r="IK31">
        <v>0</v>
      </c>
      <c r="IL31">
        <v>0</v>
      </c>
      <c r="IM31">
        <v>4.5</v>
      </c>
      <c r="IN31" t="s">
        <v>412</v>
      </c>
      <c r="IO31" t="s">
        <v>413</v>
      </c>
      <c r="IP31" t="s">
        <v>414</v>
      </c>
      <c r="IQ31" t="s">
        <v>415</v>
      </c>
      <c r="IR31" t="s">
        <v>415</v>
      </c>
      <c r="IS31" t="s">
        <v>414</v>
      </c>
      <c r="IT31">
        <v>0</v>
      </c>
      <c r="IU31">
        <v>100</v>
      </c>
      <c r="IV31">
        <v>100</v>
      </c>
      <c r="IW31">
        <v>-6.782</v>
      </c>
      <c r="IX31">
        <v>-0.72050000000000003</v>
      </c>
      <c r="IY31">
        <v>-4.79129586171626</v>
      </c>
      <c r="IZ31">
        <v>-5.6215304933332991E-3</v>
      </c>
      <c r="JA31">
        <v>2.3979931213773931E-6</v>
      </c>
      <c r="JB31">
        <v>-3.6297174575716598E-10</v>
      </c>
      <c r="JC31">
        <v>-1.1760560173098571</v>
      </c>
      <c r="JD31">
        <v>2.7492919904454862E-4</v>
      </c>
      <c r="JE31">
        <v>8.6739513355948885E-4</v>
      </c>
      <c r="JF31">
        <v>-8.2500691715147318E-6</v>
      </c>
      <c r="JG31">
        <v>17</v>
      </c>
      <c r="JH31">
        <v>1914</v>
      </c>
      <c r="JI31">
        <v>2</v>
      </c>
      <c r="JJ31">
        <v>37</v>
      </c>
      <c r="JK31">
        <v>1.2</v>
      </c>
      <c r="JL31">
        <v>1.2</v>
      </c>
      <c r="JM31">
        <v>1.09741</v>
      </c>
      <c r="JN31">
        <v>2.5549300000000001</v>
      </c>
      <c r="JO31">
        <v>1.50024</v>
      </c>
      <c r="JP31">
        <v>2.2717299999999998</v>
      </c>
      <c r="JQ31">
        <v>1.4477500000000001</v>
      </c>
      <c r="JR31">
        <v>2.36938</v>
      </c>
      <c r="JS31">
        <v>46.767400000000002</v>
      </c>
      <c r="JT31">
        <v>23.833600000000001</v>
      </c>
      <c r="JU31">
        <v>18</v>
      </c>
      <c r="JV31">
        <v>549.10699999999997</v>
      </c>
      <c r="JW31">
        <v>399.029</v>
      </c>
      <c r="JX31">
        <v>24.180900000000001</v>
      </c>
      <c r="JY31">
        <v>38.642499999999998</v>
      </c>
      <c r="JZ31">
        <v>30</v>
      </c>
      <c r="KA31">
        <v>38.347000000000001</v>
      </c>
      <c r="KB31">
        <v>38.216500000000003</v>
      </c>
      <c r="KC31">
        <v>21.9453</v>
      </c>
      <c r="KD31">
        <v>48.747799999999998</v>
      </c>
      <c r="KE31">
        <v>0</v>
      </c>
      <c r="KF31">
        <v>24.182099999999998</v>
      </c>
      <c r="KG31">
        <v>420.762</v>
      </c>
      <c r="KH31">
        <v>24.965399999999999</v>
      </c>
      <c r="KI31">
        <v>99.742999999999995</v>
      </c>
      <c r="KJ31">
        <v>98.041600000000003</v>
      </c>
    </row>
    <row r="32" spans="1:296" x14ac:dyDescent="0.3">
      <c r="A32">
        <v>17</v>
      </c>
      <c r="B32">
        <v>1784479857.0999999</v>
      </c>
      <c r="C32">
        <v>3164.5</v>
      </c>
      <c r="D32" t="s">
        <v>686</v>
      </c>
      <c r="E32" t="s">
        <v>687</v>
      </c>
      <c r="F32">
        <v>15</v>
      </c>
      <c r="H32">
        <v>1784479849.099999</v>
      </c>
      <c r="I32">
        <v>6.1168629301433226E-4</v>
      </c>
      <c r="J32">
        <v>0.61168629301433231</v>
      </c>
      <c r="K32">
        <v>-3.8236960685847361</v>
      </c>
      <c r="L32">
        <v>420.0902258064516</v>
      </c>
      <c r="M32">
        <v>558.82793745446759</v>
      </c>
      <c r="N32">
        <v>54.664230728091283</v>
      </c>
      <c r="O32">
        <v>41.092986751348484</v>
      </c>
      <c r="P32">
        <v>4.0917780929742409E-2</v>
      </c>
      <c r="Q32">
        <v>2.8899758007379504</v>
      </c>
      <c r="R32">
        <v>4.059863804761641E-2</v>
      </c>
      <c r="S32">
        <v>2.5402614873029729E-2</v>
      </c>
      <c r="T32">
        <v>1.5966703903835998E-4</v>
      </c>
      <c r="U32">
        <v>27.982472309500384</v>
      </c>
      <c r="V32">
        <v>28.598293548387101</v>
      </c>
      <c r="W32">
        <v>3.9292289587519096</v>
      </c>
      <c r="X32">
        <v>65.431965091523352</v>
      </c>
      <c r="Y32">
        <v>2.5038786045751009</v>
      </c>
      <c r="Z32">
        <v>3.8266902133732126</v>
      </c>
      <c r="AA32">
        <v>1.4253503541768087</v>
      </c>
      <c r="AB32">
        <v>-26.975365521932051</v>
      </c>
      <c r="AC32">
        <v>-70.86686624462665</v>
      </c>
      <c r="AD32">
        <v>-5.3649329322210857</v>
      </c>
      <c r="AE32">
        <v>-103.20700503174075</v>
      </c>
      <c r="AF32">
        <v>-3.8236960685847361</v>
      </c>
      <c r="AG32">
        <v>0.61168629301433231</v>
      </c>
      <c r="AH32">
        <v>-3.7921783756007499</v>
      </c>
      <c r="AI32">
        <v>426.34807618793758</v>
      </c>
      <c r="AJ32">
        <v>431.03723636363628</v>
      </c>
      <c r="AK32">
        <v>-4.3307365955846649E-3</v>
      </c>
      <c r="AL32">
        <v>67.0274917321277</v>
      </c>
      <c r="AM32">
        <v>0.49707752019417778</v>
      </c>
      <c r="AN32">
        <v>24.8662458686102</v>
      </c>
      <c r="AO32">
        <v>25.514720000000001</v>
      </c>
      <c r="AP32">
        <v>-1.103612525729853E-2</v>
      </c>
      <c r="AQ32">
        <v>78.046929624978219</v>
      </c>
      <c r="AR32">
        <v>0</v>
      </c>
      <c r="AS32">
        <v>0</v>
      </c>
      <c r="AT32">
        <v>1</v>
      </c>
      <c r="AU32">
        <v>0</v>
      </c>
      <c r="AV32">
        <v>51497.086937835273</v>
      </c>
      <c r="AW32" t="s">
        <v>688</v>
      </c>
      <c r="AX32">
        <v>5075.3599999999997</v>
      </c>
      <c r="AY32">
        <v>591.49705882352941</v>
      </c>
      <c r="AZ32">
        <v>2381.3200000000002</v>
      </c>
      <c r="BA32">
        <v>0.75160958677391976</v>
      </c>
      <c r="BB32">
        <v>-3.8236960685847361</v>
      </c>
      <c r="BC32" t="s">
        <v>408</v>
      </c>
      <c r="BD32" t="s">
        <v>408</v>
      </c>
      <c r="BE32">
        <v>0</v>
      </c>
      <c r="BF32">
        <v>0</v>
      </c>
      <c r="BG32" t="e">
        <v>#DIV/0!</v>
      </c>
      <c r="BH32">
        <v>0.5</v>
      </c>
      <c r="BI32">
        <v>8.4035283704399992E-4</v>
      </c>
      <c r="BJ32">
        <v>-3.8236960685847361</v>
      </c>
      <c r="BK32" t="e">
        <v>#DIV/0!</v>
      </c>
      <c r="BL32">
        <v>0</v>
      </c>
      <c r="BM32" t="e">
        <v>#DIV/0!</v>
      </c>
      <c r="BN32" t="e">
        <v>#DIV/0!</v>
      </c>
      <c r="BO32" t="s">
        <v>408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>
        <v>0</v>
      </c>
      <c r="BV32">
        <v>1.3304779736674577</v>
      </c>
      <c r="BW32" t="e">
        <v>#DIV/0!</v>
      </c>
      <c r="BX32" t="e">
        <v>#DIV/0!</v>
      </c>
      <c r="DG32">
        <v>1.00021E-2</v>
      </c>
      <c r="DH32">
        <v>8.4035283704399992E-4</v>
      </c>
      <c r="DI32">
        <v>8.4017639999999991E-2</v>
      </c>
      <c r="DJ32">
        <v>1.5963351599999998E-2</v>
      </c>
      <c r="DK32">
        <v>6</v>
      </c>
      <c r="DL32">
        <v>0.5</v>
      </c>
      <c r="DM32" t="s">
        <v>409</v>
      </c>
      <c r="DN32">
        <v>2</v>
      </c>
      <c r="DO32" t="b">
        <v>0</v>
      </c>
      <c r="DP32">
        <v>1784479849.099999</v>
      </c>
      <c r="DQ32">
        <v>420.0902258064516</v>
      </c>
      <c r="DR32">
        <v>415.8103548387096</v>
      </c>
      <c r="DS32">
        <v>25.596945161290321</v>
      </c>
      <c r="DT32">
        <v>24.881745161290318</v>
      </c>
      <c r="DU32">
        <v>426.89422580645157</v>
      </c>
      <c r="DV32">
        <v>26.337945161290321</v>
      </c>
      <c r="DW32">
        <v>500.02432258064511</v>
      </c>
      <c r="DX32">
        <v>97.762732258064517</v>
      </c>
      <c r="DY32">
        <v>5.669849032258064E-2</v>
      </c>
      <c r="DZ32">
        <v>28.143448387096772</v>
      </c>
      <c r="EA32">
        <v>28.598293548387101</v>
      </c>
      <c r="EB32">
        <v>999.90000000000032</v>
      </c>
      <c r="EC32">
        <v>0</v>
      </c>
      <c r="ED32">
        <v>0</v>
      </c>
      <c r="EE32">
        <v>9999.8387096774186</v>
      </c>
      <c r="EF32">
        <v>0</v>
      </c>
      <c r="EG32">
        <v>1514.9780645161291</v>
      </c>
      <c r="EH32">
        <v>4.3014712903225796</v>
      </c>
      <c r="EI32">
        <v>431.1582258064517</v>
      </c>
      <c r="EJ32">
        <v>426.42054838709669</v>
      </c>
      <c r="EK32">
        <v>0.73836503225806449</v>
      </c>
      <c r="EL32">
        <v>415.8103548387096</v>
      </c>
      <c r="EM32">
        <v>24.881745161290318</v>
      </c>
      <c r="EN32">
        <v>2.504691935483871</v>
      </c>
      <c r="EO32">
        <v>2.432506451612904</v>
      </c>
      <c r="EP32">
        <v>21.05696129032258</v>
      </c>
      <c r="EQ32">
        <v>20.581809677419351</v>
      </c>
      <c r="ER32">
        <v>1.00021E-2</v>
      </c>
      <c r="ES32">
        <v>0</v>
      </c>
      <c r="ET32">
        <v>0</v>
      </c>
      <c r="EU32">
        <v>0</v>
      </c>
      <c r="EV32">
        <v>591.5274193548388</v>
      </c>
      <c r="EW32">
        <v>1.00021E-2</v>
      </c>
      <c r="EX32">
        <v>3963.2290322580639</v>
      </c>
      <c r="EY32">
        <v>3.5306451612903231</v>
      </c>
      <c r="EZ32">
        <v>41.753999999999998</v>
      </c>
      <c r="FA32">
        <v>46.576225806451603</v>
      </c>
      <c r="FB32">
        <v>44.23780645161289</v>
      </c>
      <c r="FC32">
        <v>45.862806451612897</v>
      </c>
      <c r="FD32">
        <v>43.625</v>
      </c>
      <c r="FE32">
        <v>0</v>
      </c>
      <c r="FF32">
        <v>0</v>
      </c>
      <c r="FG32">
        <v>0</v>
      </c>
      <c r="FH32">
        <v>182.19999980926511</v>
      </c>
      <c r="FI32">
        <v>0</v>
      </c>
      <c r="FJ32">
        <v>591.49705882352941</v>
      </c>
      <c r="FK32">
        <v>14.227941736065141</v>
      </c>
      <c r="FL32">
        <v>66.017155733899116</v>
      </c>
      <c r="FM32">
        <v>3964.9882352941181</v>
      </c>
      <c r="FN32">
        <v>10</v>
      </c>
      <c r="FO32">
        <v>1784479873.0999999</v>
      </c>
      <c r="FP32" t="s">
        <v>689</v>
      </c>
      <c r="FQ32">
        <v>1784479873.0999999</v>
      </c>
      <c r="FR32">
        <v>1784479873.0999999</v>
      </c>
      <c r="FS32">
        <v>19</v>
      </c>
      <c r="FT32">
        <v>-3.7999999999999999E-2</v>
      </c>
      <c r="FU32">
        <v>-2E-3</v>
      </c>
      <c r="FV32">
        <v>-6.8040000000000003</v>
      </c>
      <c r="FW32">
        <v>-0.74099999999999999</v>
      </c>
      <c r="FX32">
        <v>416</v>
      </c>
      <c r="FY32">
        <v>25</v>
      </c>
      <c r="FZ32">
        <v>1.26</v>
      </c>
      <c r="GA32">
        <v>0.44</v>
      </c>
      <c r="GB32">
        <v>420.11193548387098</v>
      </c>
      <c r="GC32">
        <v>-0.61359677419520198</v>
      </c>
      <c r="GD32">
        <v>7.2717276415455653E-2</v>
      </c>
      <c r="GE32">
        <v>-1</v>
      </c>
      <c r="GF32">
        <v>591.28382352941185</v>
      </c>
      <c r="GG32">
        <v>0.35981670209819799</v>
      </c>
      <c r="GH32">
        <v>4.2006428182487952</v>
      </c>
      <c r="GI32">
        <v>1</v>
      </c>
      <c r="GJ32">
        <v>0.71533604878048773</v>
      </c>
      <c r="GK32">
        <v>3.9908801393730188E-2</v>
      </c>
      <c r="GL32">
        <v>6.0846145486653347E-2</v>
      </c>
      <c r="GM32">
        <v>1</v>
      </c>
      <c r="GN32">
        <v>2</v>
      </c>
      <c r="GO32">
        <v>2</v>
      </c>
      <c r="GP32" t="s">
        <v>424</v>
      </c>
      <c r="GQ32">
        <v>3.1314799999999998</v>
      </c>
      <c r="GR32">
        <v>2.7332299999999998</v>
      </c>
      <c r="GS32">
        <v>9.0609800000000004E-2</v>
      </c>
      <c r="GT32">
        <v>8.9551400000000003E-2</v>
      </c>
      <c r="GU32">
        <v>0.117962</v>
      </c>
      <c r="GV32">
        <v>0.113951</v>
      </c>
      <c r="GW32">
        <v>22630.2</v>
      </c>
      <c r="GX32">
        <v>30372</v>
      </c>
      <c r="GY32">
        <v>27016.2</v>
      </c>
      <c r="GZ32">
        <v>34336.1</v>
      </c>
      <c r="HA32">
        <v>34935.1</v>
      </c>
      <c r="HB32">
        <v>38546.800000000003</v>
      </c>
      <c r="HC32">
        <v>39908.1</v>
      </c>
      <c r="HD32">
        <v>43573.4</v>
      </c>
      <c r="HE32">
        <v>1.9177999999999999</v>
      </c>
      <c r="HF32">
        <v>1.6696</v>
      </c>
      <c r="HG32">
        <v>-0.119656</v>
      </c>
      <c r="HH32">
        <v>0</v>
      </c>
      <c r="HI32">
        <v>30.536799999999999</v>
      </c>
      <c r="HJ32">
        <v>999.9</v>
      </c>
      <c r="HK32">
        <v>52.9</v>
      </c>
      <c r="HL32">
        <v>41.6</v>
      </c>
      <c r="HM32">
        <v>43.673999999999999</v>
      </c>
      <c r="HN32">
        <v>61.316699999999997</v>
      </c>
      <c r="HO32">
        <v>4.5512800000000002</v>
      </c>
      <c r="HP32">
        <v>1</v>
      </c>
      <c r="HQ32">
        <v>0.97715399999999997</v>
      </c>
      <c r="HR32">
        <v>6.5138600000000002</v>
      </c>
      <c r="HS32">
        <v>20.125299999999999</v>
      </c>
      <c r="HT32">
        <v>5.2112999999999996</v>
      </c>
      <c r="HU32">
        <v>11.914099999999999</v>
      </c>
      <c r="HV32">
        <v>4.984</v>
      </c>
      <c r="HW32">
        <v>3.2709999999999999</v>
      </c>
      <c r="HX32">
        <v>9999</v>
      </c>
      <c r="HY32">
        <v>9999</v>
      </c>
      <c r="HZ32">
        <v>9999</v>
      </c>
      <c r="IA32">
        <v>999.9</v>
      </c>
      <c r="IB32">
        <v>1.86768</v>
      </c>
      <c r="IC32">
        <v>1.8633999999999999</v>
      </c>
      <c r="ID32">
        <v>1.8629500000000001</v>
      </c>
      <c r="IE32">
        <v>1.86249</v>
      </c>
      <c r="IF32">
        <v>1.86246</v>
      </c>
      <c r="IG32">
        <v>1.8629500000000001</v>
      </c>
      <c r="IH32">
        <v>1.86389</v>
      </c>
      <c r="II32">
        <v>1.86188</v>
      </c>
      <c r="IJ32">
        <v>0</v>
      </c>
      <c r="IK32">
        <v>0</v>
      </c>
      <c r="IL32">
        <v>0</v>
      </c>
      <c r="IM32">
        <v>4.5</v>
      </c>
      <c r="IN32" t="s">
        <v>412</v>
      </c>
      <c r="IO32" t="s">
        <v>413</v>
      </c>
      <c r="IP32" t="s">
        <v>414</v>
      </c>
      <c r="IQ32" t="s">
        <v>415</v>
      </c>
      <c r="IR32" t="s">
        <v>415</v>
      </c>
      <c r="IS32" t="s">
        <v>414</v>
      </c>
      <c r="IT32">
        <v>0</v>
      </c>
      <c r="IU32">
        <v>100</v>
      </c>
      <c r="IV32">
        <v>100</v>
      </c>
      <c r="IW32">
        <v>-6.8040000000000003</v>
      </c>
      <c r="IX32">
        <v>-0.74099999999999999</v>
      </c>
      <c r="IY32">
        <v>-4.79129586171626</v>
      </c>
      <c r="IZ32">
        <v>-5.6215304933332991E-3</v>
      </c>
      <c r="JA32">
        <v>2.3979931213773931E-6</v>
      </c>
      <c r="JB32">
        <v>-3.6297174575716598E-10</v>
      </c>
      <c r="JC32">
        <v>-1.1760560173098571</v>
      </c>
      <c r="JD32">
        <v>2.7492919904454862E-4</v>
      </c>
      <c r="JE32">
        <v>8.6739513355948885E-4</v>
      </c>
      <c r="JF32">
        <v>-8.2500691715147318E-6</v>
      </c>
      <c r="JG32">
        <v>17</v>
      </c>
      <c r="JH32">
        <v>1914</v>
      </c>
      <c r="JI32">
        <v>2</v>
      </c>
      <c r="JJ32">
        <v>37</v>
      </c>
      <c r="JK32">
        <v>4.3</v>
      </c>
      <c r="JL32">
        <v>4.2</v>
      </c>
      <c r="JM32">
        <v>1.08643</v>
      </c>
      <c r="JN32">
        <v>2.5512700000000001</v>
      </c>
      <c r="JO32">
        <v>1.50024</v>
      </c>
      <c r="JP32">
        <v>2.2717299999999998</v>
      </c>
      <c r="JQ32">
        <v>1.4477500000000001</v>
      </c>
      <c r="JR32">
        <v>2.4658199999999999</v>
      </c>
      <c r="JS32">
        <v>46.796900000000001</v>
      </c>
      <c r="JT32">
        <v>23.833600000000001</v>
      </c>
      <c r="JU32">
        <v>18</v>
      </c>
      <c r="JV32">
        <v>548.37099999999998</v>
      </c>
      <c r="JW32">
        <v>397.84</v>
      </c>
      <c r="JX32">
        <v>24.020099999999999</v>
      </c>
      <c r="JY32">
        <v>38.709699999999998</v>
      </c>
      <c r="JZ32">
        <v>30.000299999999999</v>
      </c>
      <c r="KA32">
        <v>38.395000000000003</v>
      </c>
      <c r="KB32">
        <v>38.260399999999997</v>
      </c>
      <c r="KC32">
        <v>21.738099999999999</v>
      </c>
      <c r="KD32">
        <v>49.055</v>
      </c>
      <c r="KE32">
        <v>0</v>
      </c>
      <c r="KF32">
        <v>24.041899999999998</v>
      </c>
      <c r="KG32">
        <v>415.76600000000002</v>
      </c>
      <c r="KH32">
        <v>24.986499999999999</v>
      </c>
      <c r="KI32">
        <v>99.727500000000006</v>
      </c>
      <c r="KJ32">
        <v>98.026700000000005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534F-D1E7-457E-8806-AD1958AD823E}">
  <dimension ref="A2:KJ29"/>
  <sheetViews>
    <sheetView topLeftCell="A8" workbookViewId="0">
      <selection activeCell="H33" sqref="H33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1784481248.0999999</v>
      </c>
      <c r="C17">
        <v>0</v>
      </c>
      <c r="D17" t="s">
        <v>690</v>
      </c>
      <c r="E17" t="s">
        <v>691</v>
      </c>
      <c r="F17">
        <v>15</v>
      </c>
      <c r="H17">
        <v>1784481240.099999</v>
      </c>
      <c r="I17">
        <f t="shared" ref="I17:I29" si="0">(J17)/1000</f>
        <v>4.6163937659909919E-3</v>
      </c>
      <c r="J17">
        <f t="shared" ref="J17:J29" si="1">IF(DO17, AM17, AG17)</f>
        <v>4.6163937659909919</v>
      </c>
      <c r="K17">
        <f t="shared" ref="K17:K29" si="2">IF(DO17, AH17, AF17)</f>
        <v>48.089648147103347</v>
      </c>
      <c r="L17">
        <f t="shared" ref="L17:L29" si="3">DQ17 - IF(AT17&gt;1, K17*DK17*100/(AV17), 0)</f>
        <v>419.43106451612908</v>
      </c>
      <c r="M17">
        <f t="shared" ref="M17:M29" si="4">((S17-I17/2)*L17-K17)/(S17+I17/2)</f>
        <v>161.4164578034698</v>
      </c>
      <c r="N17">
        <f t="shared" ref="N17:N29" si="5">M17*(DX17+DY17)/1000</f>
        <v>15.786221926948928</v>
      </c>
      <c r="O17">
        <f t="shared" ref="O17:O29" si="6">(DQ17 - IF(AT17&gt;1, K17*DK17*100/(AV17), 0))*(DX17+DY17)/1000</f>
        <v>41.019558709246546</v>
      </c>
      <c r="P17">
        <f t="shared" ref="P17:P29" si="7">2/((1/R17-1/Q17)+SIGN(R17)*SQRT((1/R17-1/Q17)*(1/R17-1/Q17) + 4*DL17/((DL17+1)*(DL17+1))*(2*1/R17*1/Q17-1/Q17*1/Q17)))</f>
        <v>0.3227449019480424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2.890025744456366</v>
      </c>
      <c r="R17">
        <f t="shared" ref="R17:R29" si="9">I17*(1000-(1000*0.61365*EXP(17.502*V17/(240.97+V17))/(DX17+DY17)+DS17)/2)/(1000*0.61365*EXP(17.502*V17/(240.97+V17))/(DX17+DY17)-DS17)</f>
        <v>0.30397489665875282</v>
      </c>
      <c r="S17">
        <f t="shared" ref="S17:S29" si="10">1/((DL17+1)/(P17/1.6)+1/(Q17/1.37)) + DL17/((DL17+1)/(P17/1.6) + DL17/(Q17/1.37))</f>
        <v>0.19157969084543242</v>
      </c>
      <c r="T17">
        <f t="shared" ref="T17:T29" si="11">(DG17*DJ17)</f>
        <v>319.77507423892882</v>
      </c>
      <c r="U17">
        <f t="shared" ref="U17:U29" si="12">(DZ17+(T17+2*0.95*0.0000000567*(((DZ17+$B$7)+273)^4-(DZ17+273)^4)-44100*I17)/(1.84*29.3*Q17+8*0.95*0.0000000567*(DZ17+273)^3))</f>
        <v>29.000714893764055</v>
      </c>
      <c r="V17">
        <f t="shared" ref="V17:V29" si="13">($C$7*EA17+$D$7*EB17+$E$7*U17)</f>
        <v>28.713938709677421</v>
      </c>
      <c r="W17">
        <f t="shared" ref="W17:W29" si="14">0.61365*EXP(17.502*V17/(240.97+V17))</f>
        <v>3.9556785649959281</v>
      </c>
      <c r="X17">
        <f t="shared" ref="X17:X29" si="15">(Y17/Z17*100)</f>
        <v>65.217746419013139</v>
      </c>
      <c r="Y17">
        <f t="shared" ref="Y17:Y29" si="16">DS17*(DX17+DY17)/1000</f>
        <v>2.5196117325981242</v>
      </c>
      <c r="Z17">
        <f t="shared" ref="Z17:Z29" si="17">0.61365*EXP(17.502*DZ17/(240.97+DZ17))</f>
        <v>3.8633836201730114</v>
      </c>
      <c r="AA17">
        <f t="shared" ref="AA17:AA29" si="18">(W17-DS17*(DX17+DY17)/1000)</f>
        <v>1.4360668323978039</v>
      </c>
      <c r="AB17">
        <f t="shared" ref="AB17:AB29" si="19">(-I17*44100)</f>
        <v>-203.58296508020274</v>
      </c>
      <c r="AC17">
        <f t="shared" ref="AC17:AC29" si="20">2*29.3*Q17*0.92*(DZ17-V17)</f>
        <v>-63.338086132854727</v>
      </c>
      <c r="AD17">
        <f t="shared" ref="AD17:AD29" si="21">2*0.95*0.0000000567*(((DZ17+$B$7)+273)^4-(V17+273)^4)</f>
        <v>-4.8015641252684711</v>
      </c>
      <c r="AE17">
        <f t="shared" ref="AE17:AE29" si="22">T17+AD17+AB17+AC17</f>
        <v>48.052458900602858</v>
      </c>
      <c r="AF17">
        <f t="shared" ref="AF17:AF29" si="23">DW17*AT17*(DR17-DQ17*(1000-AT17*DT17)/(1000-AT17*DS17))/(100*DK17)</f>
        <v>48.089648147103347</v>
      </c>
      <c r="AG17">
        <f t="shared" ref="AG17:AG29" si="24">1000*DW17*AT17*(DS17-DT17)/(100*DK17*(1000-AT17*DS17))</f>
        <v>4.6163937659909919</v>
      </c>
      <c r="AH17">
        <f t="shared" ref="AH17:AH29" si="25">(AI17 - AJ17 - DX17*1000/(8.314*(DZ17+273.15)) * AL17/DW17 * AK17) * DW17/(100*DK17) * (1000 - DT17)/1000</f>
        <v>48.089960312974142</v>
      </c>
      <c r="AI17">
        <v>489.51441226771942</v>
      </c>
      <c r="AJ17">
        <v>430.65007878787861</v>
      </c>
      <c r="AK17">
        <v>-7.4133705110211523E-3</v>
      </c>
      <c r="AL17">
        <v>67.060020244758874</v>
      </c>
      <c r="AM17">
        <f t="shared" ref="AM17:AM29" si="26">(AO17 - AN17 + DX17*1000/(8.314*(DZ17+273.15)) * AQ17/DW17 * AP17) * DW17/(100*DK17) * 1000/(1000 - AO17)</f>
        <v>4.5931723424897513</v>
      </c>
      <c r="AN17">
        <v>20.27015371082252</v>
      </c>
      <c r="AO17">
        <v>25.69378727272726</v>
      </c>
      <c r="AP17">
        <v>-8.7930389610407483E-3</v>
      </c>
      <c r="AQ17">
        <v>78.55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51469.994973197441</v>
      </c>
      <c r="AW17" t="s">
        <v>688</v>
      </c>
      <c r="AX17">
        <v>5075.3599999999997</v>
      </c>
      <c r="AY17">
        <v>591.49705882352941</v>
      </c>
      <c r="AZ17">
        <v>2381.3200000000002</v>
      </c>
      <c r="BA17">
        <f t="shared" ref="BA17:BA29" si="30">1-AY17/AZ17</f>
        <v>0.75160958677391976</v>
      </c>
      <c r="BB17">
        <v>-3.8236960685847361</v>
      </c>
      <c r="BC17" t="s">
        <v>692</v>
      </c>
      <c r="BD17">
        <v>5066.0200000000004</v>
      </c>
      <c r="BE17">
        <v>775.85500000000002</v>
      </c>
      <c r="BF17">
        <v>918.07</v>
      </c>
      <c r="BG17">
        <f t="shared" ref="BG17:BG29" si="31">1-BE17/BF17</f>
        <v>0.15490648861197953</v>
      </c>
      <c r="BH17">
        <v>0.5</v>
      </c>
      <c r="BI17">
        <f t="shared" ref="BI17:BI29" si="32">DH17</f>
        <v>1680.2820869364334</v>
      </c>
      <c r="BJ17">
        <f t="shared" ref="BJ17:BJ29" si="33">K17</f>
        <v>48.089648147103347</v>
      </c>
      <c r="BK17">
        <f t="shared" ref="BK17:BK29" si="34">BG17*BH17*BI17</f>
        <v>130.14329898246592</v>
      </c>
      <c r="BL17">
        <f t="shared" ref="BL17:BL29" si="35">(BJ17-BB17)/BI17</f>
        <v>3.0895612480365632E-2</v>
      </c>
      <c r="BM17">
        <f t="shared" ref="BM17:BM29" si="36">(AZ17-BF17)/BF17</f>
        <v>1.593832714281046</v>
      </c>
      <c r="BN17">
        <f t="shared" ref="BN17:BN29" si="37">AY17/(BA17+AY17/BF17)</f>
        <v>423.74104445063972</v>
      </c>
      <c r="BO17" t="s">
        <v>408</v>
      </c>
      <c r="BP17">
        <v>0</v>
      </c>
      <c r="BQ17">
        <f t="shared" ref="BQ17:BQ29" si="38">IF(BP17&lt;&gt;0, BP17, BN17)</f>
        <v>423.74104445063972</v>
      </c>
      <c r="BR17">
        <f t="shared" ref="BR17:BR29" si="39">1-BQ17/BF17</f>
        <v>0.5384436432400147</v>
      </c>
      <c r="BS17">
        <f t="shared" ref="BS17:BS29" si="40">(BF17-BE17)/(BF17-BQ17)</f>
        <v>0.28769304003637192</v>
      </c>
      <c r="BT17">
        <f t="shared" ref="BT17:BT29" si="41">(AZ17-BF17)/(AZ17-BQ17)</f>
        <v>0.74747942904267906</v>
      </c>
      <c r="BU17">
        <f t="shared" ref="BU17:BU29" si="42">(BF17-BE17)/(BF17-AY17)</f>
        <v>0.43547698559370579</v>
      </c>
      <c r="BV17">
        <f t="shared" ref="BV17:BV29" si="43">(AZ17-BF17)/(AZ17-AY17)</f>
        <v>0.81753896787030189</v>
      </c>
      <c r="BW17">
        <f t="shared" ref="BW17:BW29" si="44">(BS17*BQ17/BE17)</f>
        <v>0.15712645953972321</v>
      </c>
      <c r="BX17">
        <f t="shared" ref="BX17:BX29" si="45">(1-BW17)</f>
        <v>0.84287354046027674</v>
      </c>
      <c r="DG17">
        <f t="shared" ref="DG17:DG29" si="46">$B$11*EF17+$C$11*EG17+$F$11*ER17*(1-EU17)</f>
        <v>1999.979032258065</v>
      </c>
      <c r="DH17">
        <f t="shared" ref="DH17:DH29" si="47">DG17*DI17</f>
        <v>1680.2820869364334</v>
      </c>
      <c r="DI17">
        <f t="shared" ref="DI17:DI29" si="48">($B$11*$D$9+$C$11*$D$9+$F$11*((FE17+EW17)/MAX(FE17+EW17+FF17, 0.1)*$I$9+FF17/MAX(FE17+EW17+FF17, 0.1)*$J$9))/($B$11+$C$11+$F$11)</f>
        <v>0.84014985149085308</v>
      </c>
      <c r="DJ17">
        <f t="shared" ref="DJ17:DJ29" si="49">($B$11*$K$9+$C$11*$K$9+$F$11*((FE17+EW17)/MAX(FE17+EW17+FF17, 0.1)*$P$9+FF17/MAX(FE17+EW17+FF17, 0.1)*$Q$9))/($B$11+$C$11+$F$11)</f>
        <v>0.15988921337734655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1784481240.099999</v>
      </c>
      <c r="DQ17">
        <v>419.43106451612908</v>
      </c>
      <c r="DR17">
        <v>479.45745161290318</v>
      </c>
      <c r="DS17">
        <v>25.763403225806449</v>
      </c>
      <c r="DT17">
        <v>20.36687419354838</v>
      </c>
      <c r="DU17">
        <v>426.74612903225801</v>
      </c>
      <c r="DV17">
        <v>26.408787096774191</v>
      </c>
      <c r="DW17">
        <v>500.03916129032251</v>
      </c>
      <c r="DX17">
        <v>97.740312903225799</v>
      </c>
      <c r="DY17">
        <v>5.7781180645161287E-2</v>
      </c>
      <c r="DZ17">
        <v>28.30742258064517</v>
      </c>
      <c r="EA17">
        <v>28.713938709677421</v>
      </c>
      <c r="EB17">
        <v>999.90000000000032</v>
      </c>
      <c r="EC17">
        <v>0</v>
      </c>
      <c r="ED17">
        <v>0</v>
      </c>
      <c r="EE17">
        <v>10002.41935483871</v>
      </c>
      <c r="EF17">
        <v>0</v>
      </c>
      <c r="EG17">
        <v>1803.6119354838711</v>
      </c>
      <c r="EH17">
        <v>-60.026354838709693</v>
      </c>
      <c r="EI17">
        <v>430.52277419354851</v>
      </c>
      <c r="EJ17">
        <v>489.42541935483871</v>
      </c>
      <c r="EK17">
        <v>5.3965219354838716</v>
      </c>
      <c r="EL17">
        <v>479.45745161290318</v>
      </c>
      <c r="EM17">
        <v>20.36687419354838</v>
      </c>
      <c r="EN17">
        <v>2.5181225806451608</v>
      </c>
      <c r="EO17">
        <v>1.990665161290323</v>
      </c>
      <c r="EP17">
        <v>21.144106451612899</v>
      </c>
      <c r="EQ17">
        <v>17.370080645161291</v>
      </c>
      <c r="ER17">
        <v>1999.979032258065</v>
      </c>
      <c r="ES17">
        <v>0.99499241935483884</v>
      </c>
      <c r="ET17">
        <v>5.0072806451612909E-3</v>
      </c>
      <c r="EU17">
        <v>0</v>
      </c>
      <c r="EV17">
        <v>775.6531612903226</v>
      </c>
      <c r="EW17">
        <v>5.0010700000000003</v>
      </c>
      <c r="EX17">
        <v>19812.525806451609</v>
      </c>
      <c r="EY17">
        <v>18241.40967741936</v>
      </c>
      <c r="EZ17">
        <v>47.203258064516127</v>
      </c>
      <c r="FA17">
        <v>49.432999999999971</v>
      </c>
      <c r="FB17">
        <v>47.949193548387093</v>
      </c>
      <c r="FC17">
        <v>48.680999999999969</v>
      </c>
      <c r="FD17">
        <v>48.023999999999972</v>
      </c>
      <c r="FE17">
        <v>1984.989032258065</v>
      </c>
      <c r="FF17">
        <v>9.990000000000002</v>
      </c>
      <c r="FG17">
        <v>0</v>
      </c>
      <c r="FH17">
        <v>1390.5</v>
      </c>
      <c r="FI17">
        <v>0</v>
      </c>
      <c r="FJ17">
        <v>775.85500000000002</v>
      </c>
      <c r="FK17">
        <v>2.525245099882806</v>
      </c>
      <c r="FL17">
        <v>-39.313725753495639</v>
      </c>
      <c r="FM17">
        <v>19809.364705882352</v>
      </c>
      <c r="FN17">
        <v>10</v>
      </c>
      <c r="FO17">
        <v>1784481195.5999999</v>
      </c>
      <c r="FP17" t="s">
        <v>693</v>
      </c>
      <c r="FQ17">
        <v>1784481195.5999999</v>
      </c>
      <c r="FR17">
        <v>1784481189.5999999</v>
      </c>
      <c r="FS17">
        <v>20</v>
      </c>
      <c r="FT17">
        <v>-0.495</v>
      </c>
      <c r="FU17">
        <v>7.1999999999999995E-2</v>
      </c>
      <c r="FV17">
        <v>-7.53</v>
      </c>
      <c r="FW17">
        <v>-0.78700000000000003</v>
      </c>
      <c r="FX17">
        <v>478</v>
      </c>
      <c r="FY17">
        <v>20</v>
      </c>
      <c r="FZ17">
        <v>0.14000000000000001</v>
      </c>
      <c r="GA17">
        <v>0.06</v>
      </c>
      <c r="GB17">
        <v>419.40687096774201</v>
      </c>
      <c r="GC17">
        <v>1.9784032258063839</v>
      </c>
      <c r="GD17">
        <v>0.1621603630690206</v>
      </c>
      <c r="GE17">
        <v>-1</v>
      </c>
      <c r="GF17">
        <v>775.40955882352944</v>
      </c>
      <c r="GG17">
        <v>3.831886935121922</v>
      </c>
      <c r="GH17">
        <v>0.42599745864863048</v>
      </c>
      <c r="GI17">
        <v>1</v>
      </c>
      <c r="GJ17">
        <v>5.3479753658536584</v>
      </c>
      <c r="GK17">
        <v>0.99243574912891941</v>
      </c>
      <c r="GL17">
        <v>0.1069236476182332</v>
      </c>
      <c r="GM17">
        <v>0</v>
      </c>
      <c r="GN17">
        <v>1</v>
      </c>
      <c r="GO17">
        <v>2</v>
      </c>
      <c r="GP17" t="s">
        <v>411</v>
      </c>
      <c r="GQ17">
        <v>3.1311800000000001</v>
      </c>
      <c r="GR17">
        <v>2.7338900000000002</v>
      </c>
      <c r="GS17">
        <v>9.0248400000000006E-2</v>
      </c>
      <c r="GT17">
        <v>9.9331600000000006E-2</v>
      </c>
      <c r="GU17">
        <v>0.117824</v>
      </c>
      <c r="GV17">
        <v>9.8255200000000001E-2</v>
      </c>
      <c r="GW17">
        <v>22600.9</v>
      </c>
      <c r="GX17">
        <v>29984</v>
      </c>
      <c r="GY17">
        <v>26976.400000000001</v>
      </c>
      <c r="GZ17">
        <v>34275.1</v>
      </c>
      <c r="HA17">
        <v>34896.1</v>
      </c>
      <c r="HB17">
        <v>39166.300000000003</v>
      </c>
      <c r="HC17">
        <v>39850.699999999997</v>
      </c>
      <c r="HD17">
        <v>43503.3</v>
      </c>
      <c r="HE17">
        <v>1.9117999999999999</v>
      </c>
      <c r="HF17">
        <v>1.6424000000000001</v>
      </c>
      <c r="HG17">
        <v>-9.8049600000000001E-2</v>
      </c>
      <c r="HH17">
        <v>0</v>
      </c>
      <c r="HI17">
        <v>30.322099999999999</v>
      </c>
      <c r="HJ17">
        <v>999.9</v>
      </c>
      <c r="HK17">
        <v>51.3</v>
      </c>
      <c r="HL17">
        <v>42.4</v>
      </c>
      <c r="HM17">
        <v>44.186500000000002</v>
      </c>
      <c r="HN17">
        <v>61.326999999999998</v>
      </c>
      <c r="HO17">
        <v>4.1947099999999997</v>
      </c>
      <c r="HP17">
        <v>1</v>
      </c>
      <c r="HQ17">
        <v>1.0911200000000001</v>
      </c>
      <c r="HR17">
        <v>8.7628799999999991</v>
      </c>
      <c r="HS17">
        <v>20.013400000000001</v>
      </c>
      <c r="HT17">
        <v>5.2053099999999999</v>
      </c>
      <c r="HU17">
        <v>11.914099999999999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1.86774</v>
      </c>
      <c r="IC17">
        <v>1.8633999999999999</v>
      </c>
      <c r="ID17">
        <v>1.8629199999999999</v>
      </c>
      <c r="IE17">
        <v>1.86249</v>
      </c>
      <c r="IF17">
        <v>1.86246</v>
      </c>
      <c r="IG17">
        <v>1.8629500000000001</v>
      </c>
      <c r="IH17">
        <v>1.8638600000000001</v>
      </c>
      <c r="II17">
        <v>1.86188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-7.3150000000000004</v>
      </c>
      <c r="IX17">
        <v>-0.64759999999999995</v>
      </c>
      <c r="IY17">
        <v>-5.3246091510554781</v>
      </c>
      <c r="IZ17">
        <v>-5.6215304933332991E-3</v>
      </c>
      <c r="JA17">
        <v>2.3979931213773931E-6</v>
      </c>
      <c r="JB17">
        <v>-3.6297174575716598E-10</v>
      </c>
      <c r="JC17">
        <v>-1.105637690428497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0.9</v>
      </c>
      <c r="JL17">
        <v>1</v>
      </c>
      <c r="JM17">
        <v>1.2145999999999999</v>
      </c>
      <c r="JN17">
        <v>2.5573700000000001</v>
      </c>
      <c r="JO17">
        <v>1.50024</v>
      </c>
      <c r="JP17">
        <v>2.2717299999999998</v>
      </c>
      <c r="JQ17">
        <v>1.4477500000000001</v>
      </c>
      <c r="JR17">
        <v>2.50244</v>
      </c>
      <c r="JS17">
        <v>47.511699999999998</v>
      </c>
      <c r="JT17">
        <v>23.772300000000001</v>
      </c>
      <c r="JU17">
        <v>18</v>
      </c>
      <c r="JV17">
        <v>552.00599999999997</v>
      </c>
      <c r="JW17">
        <v>387.03699999999998</v>
      </c>
      <c r="JX17">
        <v>23.035599999999999</v>
      </c>
      <c r="JY17">
        <v>39.987900000000003</v>
      </c>
      <c r="JZ17">
        <v>30.0032</v>
      </c>
      <c r="KA17">
        <v>39.991100000000003</v>
      </c>
      <c r="KB17">
        <v>39.733199999999997</v>
      </c>
      <c r="KC17">
        <v>24.302600000000002</v>
      </c>
      <c r="KD17">
        <v>56.965200000000003</v>
      </c>
      <c r="KE17">
        <v>0</v>
      </c>
      <c r="KF17">
        <v>22.958500000000001</v>
      </c>
      <c r="KG17">
        <v>479.69499999999999</v>
      </c>
      <c r="KH17">
        <v>20.319800000000001</v>
      </c>
      <c r="KI17">
        <v>99.582599999999999</v>
      </c>
      <c r="KJ17">
        <v>97.861800000000002</v>
      </c>
    </row>
    <row r="18" spans="1:296" x14ac:dyDescent="0.3">
      <c r="A18">
        <v>2</v>
      </c>
      <c r="B18">
        <v>1784481431</v>
      </c>
      <c r="C18">
        <v>182.9000000953674</v>
      </c>
      <c r="D18" t="s">
        <v>694</v>
      </c>
      <c r="E18" t="s">
        <v>417</v>
      </c>
      <c r="F18">
        <v>15</v>
      </c>
      <c r="H18">
        <v>1784481423</v>
      </c>
      <c r="I18">
        <f t="shared" si="0"/>
        <v>4.2633644816062839E-3</v>
      </c>
      <c r="J18">
        <f t="shared" si="1"/>
        <v>4.2633644816062839</v>
      </c>
      <c r="K18">
        <f t="shared" si="2"/>
        <v>46.986290056645899</v>
      </c>
      <c r="L18">
        <f t="shared" si="3"/>
        <v>420.03409677419359</v>
      </c>
      <c r="M18">
        <f t="shared" si="4"/>
        <v>152.78276385856458</v>
      </c>
      <c r="N18">
        <f t="shared" si="5"/>
        <v>14.941664639566536</v>
      </c>
      <c r="O18">
        <f t="shared" si="6"/>
        <v>41.077988463365671</v>
      </c>
      <c r="P18">
        <f t="shared" si="7"/>
        <v>0.30294953880216702</v>
      </c>
      <c r="Q18">
        <f t="shared" si="8"/>
        <v>2.8896669210613721</v>
      </c>
      <c r="R18">
        <f t="shared" si="9"/>
        <v>0.28634590459492071</v>
      </c>
      <c r="S18">
        <f t="shared" si="10"/>
        <v>0.1803820884998481</v>
      </c>
      <c r="T18">
        <f t="shared" si="11"/>
        <v>271.90276753259297</v>
      </c>
      <c r="U18">
        <f t="shared" si="12"/>
        <v>28.898117836954125</v>
      </c>
      <c r="V18">
        <f t="shared" si="13"/>
        <v>28.673154838709682</v>
      </c>
      <c r="W18">
        <f t="shared" si="14"/>
        <v>3.9463330748040377</v>
      </c>
      <c r="X18">
        <f t="shared" si="15"/>
        <v>65.363905995066588</v>
      </c>
      <c r="Y18">
        <f t="shared" si="16"/>
        <v>2.5385262355734119</v>
      </c>
      <c r="Z18">
        <f t="shared" si="17"/>
        <v>3.883681975439182</v>
      </c>
      <c r="AA18">
        <f t="shared" si="18"/>
        <v>1.4078068392306258</v>
      </c>
      <c r="AB18">
        <f t="shared" si="19"/>
        <v>-188.01437363883713</v>
      </c>
      <c r="AC18">
        <f t="shared" si="20"/>
        <v>-42.936101554184575</v>
      </c>
      <c r="AD18">
        <f t="shared" si="21"/>
        <v>-3.256123197113634</v>
      </c>
      <c r="AE18">
        <f t="shared" si="22"/>
        <v>37.69616914245762</v>
      </c>
      <c r="AF18">
        <f t="shared" si="23"/>
        <v>46.986290056645899</v>
      </c>
      <c r="AG18">
        <f t="shared" si="24"/>
        <v>4.2633644816062839</v>
      </c>
      <c r="AH18">
        <f t="shared" si="25"/>
        <v>46.885719899386345</v>
      </c>
      <c r="AI18">
        <v>488.70330719253673</v>
      </c>
      <c r="AJ18">
        <v>431.23750909090887</v>
      </c>
      <c r="AK18">
        <v>-4.2122079562958439E-4</v>
      </c>
      <c r="AL18">
        <v>67.082376455709536</v>
      </c>
      <c r="AM18">
        <f t="shared" si="26"/>
        <v>4.2867099733801863</v>
      </c>
      <c r="AN18">
        <v>20.888783453766241</v>
      </c>
      <c r="AO18">
        <v>25.933180606060599</v>
      </c>
      <c r="AP18">
        <v>-5.5128484848433086E-3</v>
      </c>
      <c r="AQ18">
        <v>78.55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51444.407909270543</v>
      </c>
      <c r="AW18" t="s">
        <v>688</v>
      </c>
      <c r="AX18">
        <v>5075.3599999999997</v>
      </c>
      <c r="AY18">
        <v>591.49705882352941</v>
      </c>
      <c r="AZ18">
        <v>2381.3200000000002</v>
      </c>
      <c r="BA18">
        <f t="shared" si="30"/>
        <v>0.75160958677391976</v>
      </c>
      <c r="BB18">
        <v>-3.8236960685847361</v>
      </c>
      <c r="BC18" t="s">
        <v>695</v>
      </c>
      <c r="BD18">
        <v>5065.9399999999996</v>
      </c>
      <c r="BE18">
        <v>792.31064705882352</v>
      </c>
      <c r="BF18">
        <v>982.98</v>
      </c>
      <c r="BG18">
        <f t="shared" si="31"/>
        <v>0.19397073484829441</v>
      </c>
      <c r="BH18">
        <v>0.5</v>
      </c>
      <c r="BI18">
        <f t="shared" si="32"/>
        <v>1428.2731256144139</v>
      </c>
      <c r="BJ18">
        <f t="shared" si="33"/>
        <v>46.986290056645899</v>
      </c>
      <c r="BK18">
        <f t="shared" si="34"/>
        <v>138.5215938697491</v>
      </c>
      <c r="BL18">
        <f t="shared" si="35"/>
        <v>3.5574418655656789E-2</v>
      </c>
      <c r="BM18">
        <f t="shared" si="36"/>
        <v>1.4225518321837678</v>
      </c>
      <c r="BN18">
        <f t="shared" si="37"/>
        <v>437.06197892277919</v>
      </c>
      <c r="BO18" t="s">
        <v>408</v>
      </c>
      <c r="BP18">
        <v>0</v>
      </c>
      <c r="BQ18">
        <f t="shared" si="38"/>
        <v>437.06197892277919</v>
      </c>
      <c r="BR18">
        <f t="shared" si="39"/>
        <v>0.55537042572302675</v>
      </c>
      <c r="BS18">
        <f t="shared" si="40"/>
        <v>0.34926370916450489</v>
      </c>
      <c r="BT18">
        <f t="shared" si="41"/>
        <v>0.71921524038524809</v>
      </c>
      <c r="BU18">
        <f t="shared" si="42"/>
        <v>0.48704383483015568</v>
      </c>
      <c r="BV18">
        <f t="shared" si="43"/>
        <v>0.78127281075124422</v>
      </c>
      <c r="BW18">
        <f t="shared" si="44"/>
        <v>0.19266418854777212</v>
      </c>
      <c r="BX18">
        <f t="shared" si="45"/>
        <v>0.80733581145222788</v>
      </c>
      <c r="DG18">
        <f t="shared" si="46"/>
        <v>1699.961935483871</v>
      </c>
      <c r="DH18">
        <f t="shared" si="47"/>
        <v>1428.2731256144139</v>
      </c>
      <c r="DI18">
        <f t="shared" si="48"/>
        <v>0.84017947449386587</v>
      </c>
      <c r="DJ18">
        <f t="shared" si="49"/>
        <v>0.1599463857731612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1784481423</v>
      </c>
      <c r="DQ18">
        <v>420.03409677419359</v>
      </c>
      <c r="DR18">
        <v>478.56635483870957</v>
      </c>
      <c r="DS18">
        <v>25.957151612903221</v>
      </c>
      <c r="DT18">
        <v>20.97392903225807</v>
      </c>
      <c r="DU18">
        <v>427.23667741935481</v>
      </c>
      <c r="DV18">
        <v>26.597748387096772</v>
      </c>
      <c r="DW18">
        <v>500.00170967741951</v>
      </c>
      <c r="DX18">
        <v>97.739083870967747</v>
      </c>
      <c r="DY18">
        <v>5.7711148387096782E-2</v>
      </c>
      <c r="DZ18">
        <v>28.39754838709678</v>
      </c>
      <c r="EA18">
        <v>28.673154838709682</v>
      </c>
      <c r="EB18">
        <v>999.90000000000032</v>
      </c>
      <c r="EC18">
        <v>0</v>
      </c>
      <c r="ED18">
        <v>0</v>
      </c>
      <c r="EE18">
        <v>10000.483870967741</v>
      </c>
      <c r="EF18">
        <v>0</v>
      </c>
      <c r="EG18">
        <v>1800.6032258064511</v>
      </c>
      <c r="EH18">
        <v>-58.532190322580661</v>
      </c>
      <c r="EI18">
        <v>431.22751612903238</v>
      </c>
      <c r="EJ18">
        <v>488.81877419354828</v>
      </c>
      <c r="EK18">
        <v>4.9832229032258057</v>
      </c>
      <c r="EL18">
        <v>478.56635483870957</v>
      </c>
      <c r="EM18">
        <v>20.97392903225807</v>
      </c>
      <c r="EN18">
        <v>2.5370287096774189</v>
      </c>
      <c r="EO18">
        <v>2.049971935483871</v>
      </c>
      <c r="EP18">
        <v>21.266009677419351</v>
      </c>
      <c r="EQ18">
        <v>17.835567741935481</v>
      </c>
      <c r="ER18">
        <v>1699.961935483871</v>
      </c>
      <c r="ES18">
        <v>0.99400141935483877</v>
      </c>
      <c r="ET18">
        <v>5.9988638709677434E-3</v>
      </c>
      <c r="EU18">
        <v>0</v>
      </c>
      <c r="EV18">
        <v>792.2809032258067</v>
      </c>
      <c r="EW18">
        <v>5.0010700000000003</v>
      </c>
      <c r="EX18">
        <v>17651.074193548389</v>
      </c>
      <c r="EY18">
        <v>15492.183870967739</v>
      </c>
      <c r="EZ18">
        <v>47.186999999999969</v>
      </c>
      <c r="FA18">
        <v>49.75</v>
      </c>
      <c r="FB18">
        <v>48.241870967741939</v>
      </c>
      <c r="FC18">
        <v>48.936999999999969</v>
      </c>
      <c r="FD18">
        <v>48.186999999999969</v>
      </c>
      <c r="FE18">
        <v>1684.7919354838709</v>
      </c>
      <c r="FF18">
        <v>10.17</v>
      </c>
      <c r="FG18">
        <v>0</v>
      </c>
      <c r="FH18">
        <v>182.20000004768369</v>
      </c>
      <c r="FI18">
        <v>0</v>
      </c>
      <c r="FJ18">
        <v>792.31064705882352</v>
      </c>
      <c r="FK18">
        <v>2.763480369452477</v>
      </c>
      <c r="FL18">
        <v>-51.397059038726113</v>
      </c>
      <c r="FM18">
        <v>17651.97647058823</v>
      </c>
      <c r="FN18">
        <v>10</v>
      </c>
      <c r="FO18">
        <v>1784481325.5999999</v>
      </c>
      <c r="FP18" t="s">
        <v>696</v>
      </c>
      <c r="FQ18">
        <v>1784481311.5999999</v>
      </c>
      <c r="FR18">
        <v>1784481325.5999999</v>
      </c>
      <c r="FS18">
        <v>21</v>
      </c>
      <c r="FT18">
        <v>0.114</v>
      </c>
      <c r="FU18">
        <v>-1E-3</v>
      </c>
      <c r="FV18">
        <v>-7.4180000000000001</v>
      </c>
      <c r="FW18">
        <v>-0.78300000000000003</v>
      </c>
      <c r="FX18">
        <v>479</v>
      </c>
      <c r="FY18">
        <v>21</v>
      </c>
      <c r="FZ18">
        <v>0.21</v>
      </c>
      <c r="GA18">
        <v>0.03</v>
      </c>
      <c r="GB18">
        <v>420.02490322580638</v>
      </c>
      <c r="GC18">
        <v>0.45885483870951488</v>
      </c>
      <c r="GD18">
        <v>6.8054226404604609E-2</v>
      </c>
      <c r="GE18">
        <v>-1</v>
      </c>
      <c r="GF18">
        <v>792.199205882353</v>
      </c>
      <c r="GG18">
        <v>1.1432391080043149</v>
      </c>
      <c r="GH18">
        <v>0.27228237715021791</v>
      </c>
      <c r="GI18">
        <v>1</v>
      </c>
      <c r="GJ18">
        <v>4.9422287804878051</v>
      </c>
      <c r="GK18">
        <v>0.84693491289198874</v>
      </c>
      <c r="GL18">
        <v>9.0306020656462718E-2</v>
      </c>
      <c r="GM18">
        <v>0</v>
      </c>
      <c r="GN18">
        <v>1</v>
      </c>
      <c r="GO18">
        <v>2</v>
      </c>
      <c r="GP18" t="s">
        <v>411</v>
      </c>
      <c r="GQ18">
        <v>3.1309800000000001</v>
      </c>
      <c r="GR18">
        <v>2.7338300000000002</v>
      </c>
      <c r="GS18">
        <v>9.0307799999999994E-2</v>
      </c>
      <c r="GT18">
        <v>9.9056599999999995E-2</v>
      </c>
      <c r="GU18">
        <v>0.11855599999999999</v>
      </c>
      <c r="GV18">
        <v>0.10036100000000001</v>
      </c>
      <c r="GW18">
        <v>22598.1</v>
      </c>
      <c r="GX18">
        <v>29992.2</v>
      </c>
      <c r="GY18">
        <v>26974.799999999999</v>
      </c>
      <c r="GZ18">
        <v>34274.1</v>
      </c>
      <c r="HA18">
        <v>34865.9</v>
      </c>
      <c r="HB18">
        <v>39073.4</v>
      </c>
      <c r="HC18">
        <v>39848.699999999997</v>
      </c>
      <c r="HD18">
        <v>43501.1</v>
      </c>
      <c r="HE18">
        <v>1.9112</v>
      </c>
      <c r="HF18">
        <v>1.6406000000000001</v>
      </c>
      <c r="HG18">
        <v>-0.105351</v>
      </c>
      <c r="HH18">
        <v>0</v>
      </c>
      <c r="HI18">
        <v>30.3569</v>
      </c>
      <c r="HJ18">
        <v>999.9</v>
      </c>
      <c r="HK18">
        <v>51.3</v>
      </c>
      <c r="HL18">
        <v>42.6</v>
      </c>
      <c r="HM18">
        <v>44.6539</v>
      </c>
      <c r="HN18">
        <v>61.387099999999997</v>
      </c>
      <c r="HO18">
        <v>4.5392599999999996</v>
      </c>
      <c r="HP18">
        <v>1</v>
      </c>
      <c r="HQ18">
        <v>1.08907</v>
      </c>
      <c r="HR18">
        <v>7.7961900000000002</v>
      </c>
      <c r="HS18">
        <v>20.060500000000001</v>
      </c>
      <c r="HT18">
        <v>5.2065099999999997</v>
      </c>
      <c r="HU18">
        <v>11.914099999999999</v>
      </c>
      <c r="HV18">
        <v>4.9820000000000002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1.8677699999999999</v>
      </c>
      <c r="IC18">
        <v>1.8634299999999999</v>
      </c>
      <c r="ID18">
        <v>1.8629500000000001</v>
      </c>
      <c r="IE18">
        <v>1.86249</v>
      </c>
      <c r="IF18">
        <v>1.86249</v>
      </c>
      <c r="IG18">
        <v>1.8629500000000001</v>
      </c>
      <c r="IH18">
        <v>1.86389</v>
      </c>
      <c r="II18">
        <v>1.86188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-7.202</v>
      </c>
      <c r="IX18">
        <v>-0.64129999999999998</v>
      </c>
      <c r="IY18">
        <v>-5.2102726463907931</v>
      </c>
      <c r="IZ18">
        <v>-5.6215304933332991E-3</v>
      </c>
      <c r="JA18">
        <v>2.3979931213773931E-6</v>
      </c>
      <c r="JB18">
        <v>-3.6297174575716598E-10</v>
      </c>
      <c r="JC18">
        <v>-1.106306473706316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</v>
      </c>
      <c r="JL18">
        <v>1.8</v>
      </c>
      <c r="JM18">
        <v>1.2121599999999999</v>
      </c>
      <c r="JN18">
        <v>2.5659200000000002</v>
      </c>
      <c r="JO18">
        <v>1.50024</v>
      </c>
      <c r="JP18">
        <v>2.2705099999999998</v>
      </c>
      <c r="JQ18">
        <v>1.4477500000000001</v>
      </c>
      <c r="JR18">
        <v>2.4426299999999999</v>
      </c>
      <c r="JS18">
        <v>47.874000000000002</v>
      </c>
      <c r="JT18">
        <v>23.780999999999999</v>
      </c>
      <c r="JU18">
        <v>18</v>
      </c>
      <c r="JV18">
        <v>552.26800000000003</v>
      </c>
      <c r="JW18">
        <v>386.49400000000003</v>
      </c>
      <c r="JX18">
        <v>23.1691</v>
      </c>
      <c r="JY18">
        <v>40.007599999999996</v>
      </c>
      <c r="JZ18">
        <v>30</v>
      </c>
      <c r="KA18">
        <v>40.079900000000002</v>
      </c>
      <c r="KB18">
        <v>39.828899999999997</v>
      </c>
      <c r="KC18">
        <v>24.242699999999999</v>
      </c>
      <c r="KD18">
        <v>56.222099999999998</v>
      </c>
      <c r="KE18">
        <v>0</v>
      </c>
      <c r="KF18">
        <v>23.196400000000001</v>
      </c>
      <c r="KG18">
        <v>478.428</v>
      </c>
      <c r="KH18">
        <v>20.862400000000001</v>
      </c>
      <c r="KI18">
        <v>99.577299999999994</v>
      </c>
      <c r="KJ18">
        <v>97.857699999999994</v>
      </c>
    </row>
    <row r="19" spans="1:296" x14ac:dyDescent="0.3">
      <c r="A19">
        <v>3</v>
      </c>
      <c r="B19">
        <v>1784481613.5</v>
      </c>
      <c r="C19">
        <v>365.40000009536737</v>
      </c>
      <c r="D19" t="s">
        <v>697</v>
      </c>
      <c r="E19" t="s">
        <v>698</v>
      </c>
      <c r="F19">
        <v>15</v>
      </c>
      <c r="H19">
        <v>1784481605.75</v>
      </c>
      <c r="I19">
        <f t="shared" si="0"/>
        <v>4.0017422756721014E-3</v>
      </c>
      <c r="J19">
        <f t="shared" si="1"/>
        <v>4.0017422756721013</v>
      </c>
      <c r="K19">
        <f t="shared" si="2"/>
        <v>45.661011678691047</v>
      </c>
      <c r="L19">
        <f t="shared" si="3"/>
        <v>420.11953333333338</v>
      </c>
      <c r="M19">
        <f t="shared" si="4"/>
        <v>144.42655429161738</v>
      </c>
      <c r="N19">
        <f t="shared" si="5"/>
        <v>14.12436400910939</v>
      </c>
      <c r="O19">
        <f t="shared" si="6"/>
        <v>41.086081747514044</v>
      </c>
      <c r="P19">
        <f t="shared" si="7"/>
        <v>0.28421172159636499</v>
      </c>
      <c r="Q19">
        <f t="shared" si="8"/>
        <v>2.8895194739253482</v>
      </c>
      <c r="R19">
        <f t="shared" si="9"/>
        <v>0.26954438336941527</v>
      </c>
      <c r="S19">
        <f t="shared" si="10"/>
        <v>0.169719939238344</v>
      </c>
      <c r="T19">
        <f t="shared" si="11"/>
        <v>255.91186822944064</v>
      </c>
      <c r="U19">
        <f t="shared" si="12"/>
        <v>28.865996859345795</v>
      </c>
      <c r="V19">
        <f t="shared" si="13"/>
        <v>28.691013333333341</v>
      </c>
      <c r="W19">
        <f t="shared" si="14"/>
        <v>3.9504229177100196</v>
      </c>
      <c r="X19">
        <f t="shared" si="15"/>
        <v>65.596617903672012</v>
      </c>
      <c r="Y19">
        <f t="shared" si="16"/>
        <v>2.5467391034375417</v>
      </c>
      <c r="Z19">
        <f t="shared" si="17"/>
        <v>3.8824244066628606</v>
      </c>
      <c r="AA19">
        <f t="shared" si="18"/>
        <v>1.4036838142724779</v>
      </c>
      <c r="AB19">
        <f t="shared" si="19"/>
        <v>-176.47683435713967</v>
      </c>
      <c r="AC19">
        <f t="shared" si="20"/>
        <v>-46.583864314643392</v>
      </c>
      <c r="AD19">
        <f t="shared" si="21"/>
        <v>-3.5331530603393353</v>
      </c>
      <c r="AE19">
        <f t="shared" si="22"/>
        <v>29.31801649731824</v>
      </c>
      <c r="AF19">
        <f t="shared" si="23"/>
        <v>45.661011678691047</v>
      </c>
      <c r="AG19">
        <f t="shared" si="24"/>
        <v>4.0017422756721013</v>
      </c>
      <c r="AH19">
        <f t="shared" si="25"/>
        <v>45.738904700325918</v>
      </c>
      <c r="AI19">
        <v>487.2135705759992</v>
      </c>
      <c r="AJ19">
        <v>431.30058787878772</v>
      </c>
      <c r="AK19">
        <v>-3.3342186112775833E-2</v>
      </c>
      <c r="AL19">
        <v>67.081952119565443</v>
      </c>
      <c r="AM19">
        <f t="shared" si="26"/>
        <v>4.0208748953643028</v>
      </c>
      <c r="AN19">
        <v>21.289333373549791</v>
      </c>
      <c r="AO19">
        <v>26.023622424242419</v>
      </c>
      <c r="AP19">
        <v>-5.6481558441549154E-3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51441.173922709349</v>
      </c>
      <c r="AW19" t="s">
        <v>688</v>
      </c>
      <c r="AX19">
        <v>5075.3599999999997</v>
      </c>
      <c r="AY19">
        <v>591.49705882352941</v>
      </c>
      <c r="AZ19">
        <v>2381.3200000000002</v>
      </c>
      <c r="BA19">
        <f t="shared" si="30"/>
        <v>0.75160958677391976</v>
      </c>
      <c r="BB19">
        <v>-3.8236960685847361</v>
      </c>
      <c r="BC19" t="s">
        <v>699</v>
      </c>
      <c r="BD19">
        <v>5067.33</v>
      </c>
      <c r="BE19">
        <v>797.06341176470585</v>
      </c>
      <c r="BF19">
        <v>1006.41</v>
      </c>
      <c r="BG19">
        <f t="shared" si="31"/>
        <v>0.20801322347283324</v>
      </c>
      <c r="BH19">
        <v>0.5</v>
      </c>
      <c r="BI19">
        <f t="shared" si="32"/>
        <v>1344.2753398080006</v>
      </c>
      <c r="BJ19">
        <f t="shared" si="33"/>
        <v>45.661011678691047</v>
      </c>
      <c r="BK19">
        <f t="shared" si="34"/>
        <v>139.81352333425022</v>
      </c>
      <c r="BL19">
        <f t="shared" si="35"/>
        <v>3.6811437569288119E-2</v>
      </c>
      <c r="BM19">
        <f t="shared" si="36"/>
        <v>1.3661529595294168</v>
      </c>
      <c r="BN19">
        <f t="shared" si="37"/>
        <v>441.63346781628513</v>
      </c>
      <c r="BO19" t="s">
        <v>408</v>
      </c>
      <c r="BP19">
        <v>0</v>
      </c>
      <c r="BQ19">
        <f t="shared" si="38"/>
        <v>441.63346781628513</v>
      </c>
      <c r="BR19">
        <f t="shared" si="39"/>
        <v>0.56117937240658855</v>
      </c>
      <c r="BS19">
        <f t="shared" si="40"/>
        <v>0.37067154229275989</v>
      </c>
      <c r="BT19">
        <f t="shared" si="41"/>
        <v>0.70883102871891135</v>
      </c>
      <c r="BU19">
        <f t="shared" si="42"/>
        <v>0.5045554559992742</v>
      </c>
      <c r="BV19">
        <f t="shared" si="43"/>
        <v>0.7681821304046178</v>
      </c>
      <c r="BW19">
        <f t="shared" si="44"/>
        <v>0.20538009426518136</v>
      </c>
      <c r="BX19">
        <f t="shared" si="45"/>
        <v>0.79461990573481867</v>
      </c>
      <c r="DG19">
        <f t="shared" si="46"/>
        <v>1599.9860000000001</v>
      </c>
      <c r="DH19">
        <f t="shared" si="47"/>
        <v>1344.2753398080006</v>
      </c>
      <c r="DI19">
        <f t="shared" si="48"/>
        <v>0.84017943895009106</v>
      </c>
      <c r="DJ19">
        <f t="shared" si="49"/>
        <v>0.15994631717367566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1784481605.75</v>
      </c>
      <c r="DQ19">
        <v>420.11953333333338</v>
      </c>
      <c r="DR19">
        <v>476.93273333333337</v>
      </c>
      <c r="DS19">
        <v>26.041296666666671</v>
      </c>
      <c r="DT19">
        <v>21.364049999999999</v>
      </c>
      <c r="DU19">
        <v>427.30776666666668</v>
      </c>
      <c r="DV19">
        <v>26.68922666666667</v>
      </c>
      <c r="DW19">
        <v>499.97770000000003</v>
      </c>
      <c r="DX19">
        <v>97.738793333333334</v>
      </c>
      <c r="DY19">
        <v>5.7377726666666663E-2</v>
      </c>
      <c r="DZ19">
        <v>28.391976666666672</v>
      </c>
      <c r="EA19">
        <v>28.691013333333341</v>
      </c>
      <c r="EB19">
        <v>999.9000000000002</v>
      </c>
      <c r="EC19">
        <v>0</v>
      </c>
      <c r="ED19">
        <v>0</v>
      </c>
      <c r="EE19">
        <v>9999.6666666666661</v>
      </c>
      <c r="EF19">
        <v>0</v>
      </c>
      <c r="EG19">
        <v>1821.928333333334</v>
      </c>
      <c r="EH19">
        <v>-56.813086666666663</v>
      </c>
      <c r="EI19">
        <v>431.35253333333333</v>
      </c>
      <c r="EJ19">
        <v>487.34440000000012</v>
      </c>
      <c r="EK19">
        <v>4.6772550000000006</v>
      </c>
      <c r="EL19">
        <v>476.93273333333337</v>
      </c>
      <c r="EM19">
        <v>21.364049999999999</v>
      </c>
      <c r="EN19">
        <v>2.5452456666666659</v>
      </c>
      <c r="EO19">
        <v>2.0880966666666669</v>
      </c>
      <c r="EP19">
        <v>21.31875333333333</v>
      </c>
      <c r="EQ19">
        <v>18.128526666666669</v>
      </c>
      <c r="ER19">
        <v>1599.9860000000001</v>
      </c>
      <c r="ES19">
        <v>0.99400009999999994</v>
      </c>
      <c r="ET19">
        <v>6.0000590000000003E-3</v>
      </c>
      <c r="EU19">
        <v>0</v>
      </c>
      <c r="EV19">
        <v>797.08056666666675</v>
      </c>
      <c r="EW19">
        <v>5.0010700000000003</v>
      </c>
      <c r="EX19">
        <v>16934.636666666669</v>
      </c>
      <c r="EY19">
        <v>14578.38333333334</v>
      </c>
      <c r="EZ19">
        <v>47.25</v>
      </c>
      <c r="FA19">
        <v>49.962199999999982</v>
      </c>
      <c r="FB19">
        <v>48.341399999999979</v>
      </c>
      <c r="FC19">
        <v>49.186999999999983</v>
      </c>
      <c r="FD19">
        <v>48.254133333333343</v>
      </c>
      <c r="FE19">
        <v>1585.4159999999999</v>
      </c>
      <c r="FF19">
        <v>9.5699999999999985</v>
      </c>
      <c r="FG19">
        <v>0</v>
      </c>
      <c r="FH19">
        <v>182</v>
      </c>
      <c r="FI19">
        <v>0</v>
      </c>
      <c r="FJ19">
        <v>797.06341176470585</v>
      </c>
      <c r="FK19">
        <v>-2.5502450891740169</v>
      </c>
      <c r="FL19">
        <v>14.485294356524911</v>
      </c>
      <c r="FM19">
        <v>16936.21176470588</v>
      </c>
      <c r="FN19">
        <v>10</v>
      </c>
      <c r="FO19">
        <v>1784481497.5</v>
      </c>
      <c r="FP19" t="s">
        <v>700</v>
      </c>
      <c r="FQ19">
        <v>1784481497.5</v>
      </c>
      <c r="FR19">
        <v>1784481496.5</v>
      </c>
      <c r="FS19">
        <v>22</v>
      </c>
      <c r="FT19">
        <v>1.4999999999999999E-2</v>
      </c>
      <c r="FU19">
        <v>-0.01</v>
      </c>
      <c r="FV19">
        <v>-7.4009999999999998</v>
      </c>
      <c r="FW19">
        <v>-0.78600000000000003</v>
      </c>
      <c r="FX19">
        <v>478</v>
      </c>
      <c r="FY19">
        <v>21</v>
      </c>
      <c r="FZ19">
        <v>0.11</v>
      </c>
      <c r="GA19">
        <v>0.05</v>
      </c>
      <c r="GB19">
        <v>420.11953333333338</v>
      </c>
      <c r="GC19">
        <v>0.45650723025490952</v>
      </c>
      <c r="GD19">
        <v>6.6093233810700744E-2</v>
      </c>
      <c r="GE19">
        <v>-1</v>
      </c>
      <c r="GF19">
        <v>797.2593823529412</v>
      </c>
      <c r="GG19">
        <v>-2.719312442922301</v>
      </c>
      <c r="GH19">
        <v>0.37952865618428061</v>
      </c>
      <c r="GI19">
        <v>1</v>
      </c>
      <c r="GJ19">
        <v>4.5976052499999991</v>
      </c>
      <c r="GK19">
        <v>1.601114859287049</v>
      </c>
      <c r="GL19">
        <v>0.1651949806590306</v>
      </c>
      <c r="GM19">
        <v>0</v>
      </c>
      <c r="GN19">
        <v>1</v>
      </c>
      <c r="GO19">
        <v>2</v>
      </c>
      <c r="GP19" t="s">
        <v>411</v>
      </c>
      <c r="GQ19">
        <v>3.1312899999999999</v>
      </c>
      <c r="GR19">
        <v>2.7332700000000001</v>
      </c>
      <c r="GS19">
        <v>9.0289300000000003E-2</v>
      </c>
      <c r="GT19">
        <v>9.8855899999999997E-2</v>
      </c>
      <c r="GU19">
        <v>0.118841</v>
      </c>
      <c r="GV19">
        <v>0.10172</v>
      </c>
      <c r="GW19">
        <v>22595.7</v>
      </c>
      <c r="GX19">
        <v>29995.599999999999</v>
      </c>
      <c r="GY19">
        <v>26971.7</v>
      </c>
      <c r="GZ19">
        <v>34270.6</v>
      </c>
      <c r="HA19">
        <v>34851.9</v>
      </c>
      <c r="HB19">
        <v>39012.5</v>
      </c>
      <c r="HC19">
        <v>39845.1</v>
      </c>
      <c r="HD19">
        <v>43498.6</v>
      </c>
      <c r="HE19">
        <v>1.9114</v>
      </c>
      <c r="HF19">
        <v>1.6384000000000001</v>
      </c>
      <c r="HG19">
        <v>-0.107437</v>
      </c>
      <c r="HH19">
        <v>0</v>
      </c>
      <c r="HI19">
        <v>30.454599999999999</v>
      </c>
      <c r="HJ19">
        <v>999.9</v>
      </c>
      <c r="HK19">
        <v>51.1</v>
      </c>
      <c r="HL19">
        <v>42.8</v>
      </c>
      <c r="HM19">
        <v>44.9495</v>
      </c>
      <c r="HN19">
        <v>61.3371</v>
      </c>
      <c r="HO19">
        <v>4.4030500000000004</v>
      </c>
      <c r="HP19">
        <v>1</v>
      </c>
      <c r="HQ19">
        <v>1.0963000000000001</v>
      </c>
      <c r="HR19">
        <v>8.1362100000000002</v>
      </c>
      <c r="HS19">
        <v>20.0456</v>
      </c>
      <c r="HT19">
        <v>5.2088999999999999</v>
      </c>
      <c r="HU19">
        <v>11.914099999999999</v>
      </c>
      <c r="HV19">
        <v>4.9820000000000002</v>
      </c>
      <c r="HW19">
        <v>3.2707999999999999</v>
      </c>
      <c r="HX19">
        <v>9999</v>
      </c>
      <c r="HY19">
        <v>9999</v>
      </c>
      <c r="HZ19">
        <v>9999</v>
      </c>
      <c r="IA19">
        <v>999.9</v>
      </c>
      <c r="IB19">
        <v>1.86771</v>
      </c>
      <c r="IC19">
        <v>1.8634999999999999</v>
      </c>
      <c r="ID19">
        <v>1.8629500000000001</v>
      </c>
      <c r="IE19">
        <v>1.86249</v>
      </c>
      <c r="IF19">
        <v>1.86249</v>
      </c>
      <c r="IG19">
        <v>1.8629800000000001</v>
      </c>
      <c r="IH19">
        <v>1.86389</v>
      </c>
      <c r="II19">
        <v>1.86188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-7.1879999999999997</v>
      </c>
      <c r="IX19">
        <v>-0.64849999999999997</v>
      </c>
      <c r="IY19">
        <v>-5.1955663495868327</v>
      </c>
      <c r="IZ19">
        <v>-5.6215304933332991E-3</v>
      </c>
      <c r="JA19">
        <v>2.3979931213773931E-6</v>
      </c>
      <c r="JB19">
        <v>-3.6297174575716598E-10</v>
      </c>
      <c r="JC19">
        <v>-1.1162755270156739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1.9</v>
      </c>
      <c r="JL19">
        <v>1.9</v>
      </c>
      <c r="JM19">
        <v>1.2084999999999999</v>
      </c>
      <c r="JN19">
        <v>2.5634800000000002</v>
      </c>
      <c r="JO19">
        <v>1.50024</v>
      </c>
      <c r="JP19">
        <v>2.2717299999999998</v>
      </c>
      <c r="JQ19">
        <v>1.4477500000000001</v>
      </c>
      <c r="JR19">
        <v>2.4890099999999999</v>
      </c>
      <c r="JS19">
        <v>48.1479</v>
      </c>
      <c r="JT19">
        <v>23.780999999999999</v>
      </c>
      <c r="JU19">
        <v>18</v>
      </c>
      <c r="JV19">
        <v>553</v>
      </c>
      <c r="JW19">
        <v>385.654</v>
      </c>
      <c r="JX19">
        <v>23.118200000000002</v>
      </c>
      <c r="JY19">
        <v>40.066899999999997</v>
      </c>
      <c r="JZ19">
        <v>30.000699999999998</v>
      </c>
      <c r="KA19">
        <v>40.157400000000003</v>
      </c>
      <c r="KB19">
        <v>39.913499999999999</v>
      </c>
      <c r="KC19">
        <v>24.177199999999999</v>
      </c>
      <c r="KD19">
        <v>55.657400000000003</v>
      </c>
      <c r="KE19">
        <v>0</v>
      </c>
      <c r="KF19">
        <v>23.117599999999999</v>
      </c>
      <c r="KG19">
        <v>476.79599999999999</v>
      </c>
      <c r="KH19">
        <v>21.236499999999999</v>
      </c>
      <c r="KI19">
        <v>99.5672</v>
      </c>
      <c r="KJ19">
        <v>97.850200000000001</v>
      </c>
    </row>
    <row r="20" spans="1:296" x14ac:dyDescent="0.3">
      <c r="A20">
        <v>4</v>
      </c>
      <c r="B20">
        <v>1784481796</v>
      </c>
      <c r="C20">
        <v>547.90000009536743</v>
      </c>
      <c r="D20" t="s">
        <v>701</v>
      </c>
      <c r="E20" t="s">
        <v>426</v>
      </c>
      <c r="F20">
        <v>15</v>
      </c>
      <c r="H20">
        <v>1784481788</v>
      </c>
      <c r="I20">
        <f t="shared" si="0"/>
        <v>3.715212483689737E-3</v>
      </c>
      <c r="J20">
        <f t="shared" si="1"/>
        <v>3.7152124836897369</v>
      </c>
      <c r="K20">
        <f t="shared" si="2"/>
        <v>42.469994682314855</v>
      </c>
      <c r="L20">
        <f t="shared" si="3"/>
        <v>420.17599999999987</v>
      </c>
      <c r="M20">
        <f t="shared" si="4"/>
        <v>141.6240415911237</v>
      </c>
      <c r="N20">
        <f t="shared" si="5"/>
        <v>13.850182290517415</v>
      </c>
      <c r="O20">
        <f t="shared" si="6"/>
        <v>41.091287388208393</v>
      </c>
      <c r="P20">
        <f t="shared" si="7"/>
        <v>0.26063160345392761</v>
      </c>
      <c r="Q20">
        <f t="shared" si="8"/>
        <v>2.8891978503719367</v>
      </c>
      <c r="R20">
        <f t="shared" si="9"/>
        <v>0.24823879832911325</v>
      </c>
      <c r="S20">
        <f t="shared" si="10"/>
        <v>0.1562135775127857</v>
      </c>
      <c r="T20">
        <f t="shared" si="11"/>
        <v>224.00612056854501</v>
      </c>
      <c r="U20">
        <f t="shared" si="12"/>
        <v>28.718639613282296</v>
      </c>
      <c r="V20">
        <f t="shared" si="13"/>
        <v>28.690270967741942</v>
      </c>
      <c r="W20">
        <f t="shared" si="14"/>
        <v>3.9502528320869938</v>
      </c>
      <c r="X20">
        <f t="shared" si="15"/>
        <v>65.421269533416691</v>
      </c>
      <c r="Y20">
        <f t="shared" si="16"/>
        <v>2.535149979673867</v>
      </c>
      <c r="Z20">
        <f t="shared" si="17"/>
        <v>3.87511584191886</v>
      </c>
      <c r="AA20">
        <f t="shared" si="18"/>
        <v>1.4151028524131268</v>
      </c>
      <c r="AB20">
        <f t="shared" si="19"/>
        <v>-163.84087053071741</v>
      </c>
      <c r="AC20">
        <f t="shared" si="20"/>
        <v>-51.511642011143223</v>
      </c>
      <c r="AD20">
        <f t="shared" si="21"/>
        <v>-3.9066910915845301</v>
      </c>
      <c r="AE20">
        <f t="shared" si="22"/>
        <v>4.7469169350998612</v>
      </c>
      <c r="AF20">
        <f t="shared" si="23"/>
        <v>42.469994682314855</v>
      </c>
      <c r="AG20">
        <f t="shared" si="24"/>
        <v>3.7152124836897369</v>
      </c>
      <c r="AH20">
        <f t="shared" si="25"/>
        <v>42.561307866442796</v>
      </c>
      <c r="AI20">
        <v>483.3343434254341</v>
      </c>
      <c r="AJ20">
        <v>431.29730303030288</v>
      </c>
      <c r="AK20">
        <v>-3.1070277738951959E-2</v>
      </c>
      <c r="AL20">
        <v>67.016334877897506</v>
      </c>
      <c r="AM20">
        <f t="shared" si="26"/>
        <v>3.7528132276282395</v>
      </c>
      <c r="AN20">
        <v>21.446970183882652</v>
      </c>
      <c r="AO20">
        <v>25.8829321212121</v>
      </c>
      <c r="AP20">
        <v>-8.0703125947516642E-3</v>
      </c>
      <c r="AQ20">
        <v>78.183318270265517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51437.573383622825</v>
      </c>
      <c r="AW20" t="s">
        <v>688</v>
      </c>
      <c r="AX20">
        <v>5075.3599999999997</v>
      </c>
      <c r="AY20">
        <v>591.49705882352941</v>
      </c>
      <c r="AZ20">
        <v>2381.3200000000002</v>
      </c>
      <c r="BA20">
        <f t="shared" si="30"/>
        <v>0.75160958677391976</v>
      </c>
      <c r="BB20">
        <v>-3.8236960685847361</v>
      </c>
      <c r="BC20" t="s">
        <v>702</v>
      </c>
      <c r="BD20">
        <v>5069.1000000000004</v>
      </c>
      <c r="BE20">
        <v>798.21135294117641</v>
      </c>
      <c r="BF20">
        <v>1046.1300000000001</v>
      </c>
      <c r="BG20">
        <f t="shared" si="31"/>
        <v>0.23698646158586756</v>
      </c>
      <c r="BH20">
        <v>0.5</v>
      </c>
      <c r="BI20">
        <f t="shared" si="32"/>
        <v>1176.3008997764482</v>
      </c>
      <c r="BJ20">
        <f t="shared" si="33"/>
        <v>42.469994682314855</v>
      </c>
      <c r="BK20">
        <f t="shared" si="34"/>
        <v>139.38369399914635</v>
      </c>
      <c r="BL20">
        <f t="shared" si="35"/>
        <v>3.9355313559394152E-2</v>
      </c>
      <c r="BM20">
        <f t="shared" si="36"/>
        <v>1.2763136512670508</v>
      </c>
      <c r="BN20">
        <f t="shared" si="37"/>
        <v>449.11636008916986</v>
      </c>
      <c r="BO20" t="s">
        <v>408</v>
      </c>
      <c r="BP20">
        <v>0</v>
      </c>
      <c r="BQ20">
        <f t="shared" si="38"/>
        <v>449.11636008916986</v>
      </c>
      <c r="BR20">
        <f t="shared" si="39"/>
        <v>0.5706878111810485</v>
      </c>
      <c r="BS20">
        <f t="shared" si="40"/>
        <v>0.41526462795029728</v>
      </c>
      <c r="BT20">
        <f t="shared" si="41"/>
        <v>0.6910192965279881</v>
      </c>
      <c r="BU20">
        <f t="shared" si="42"/>
        <v>0.54531606622537143</v>
      </c>
      <c r="BV20">
        <f t="shared" si="43"/>
        <v>0.74598999112301279</v>
      </c>
      <c r="BW20">
        <f t="shared" si="44"/>
        <v>0.23365006961078014</v>
      </c>
      <c r="BX20">
        <f t="shared" si="45"/>
        <v>0.76634993038921984</v>
      </c>
      <c r="DG20">
        <f t="shared" si="46"/>
        <v>1400.01</v>
      </c>
      <c r="DH20">
        <f t="shared" si="47"/>
        <v>1176.3008997764482</v>
      </c>
      <c r="DI20">
        <f t="shared" si="48"/>
        <v>0.84020892691941351</v>
      </c>
      <c r="DJ20">
        <f t="shared" si="49"/>
        <v>0.1600032289544682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1784481788</v>
      </c>
      <c r="DQ20">
        <v>420.17599999999987</v>
      </c>
      <c r="DR20">
        <v>473.01258064516128</v>
      </c>
      <c r="DS20">
        <v>25.922993548387101</v>
      </c>
      <c r="DT20">
        <v>21.580364516129031</v>
      </c>
      <c r="DU20">
        <v>427.39812903225811</v>
      </c>
      <c r="DV20">
        <v>26.574567741935478</v>
      </c>
      <c r="DW20">
        <v>500.00629032258058</v>
      </c>
      <c r="DX20">
        <v>97.737974193548382</v>
      </c>
      <c r="DY20">
        <v>5.7443412903225813E-2</v>
      </c>
      <c r="DZ20">
        <v>28.35956451612903</v>
      </c>
      <c r="EA20">
        <v>28.690270967741942</v>
      </c>
      <c r="EB20">
        <v>999.90000000000032</v>
      </c>
      <c r="EC20">
        <v>0</v>
      </c>
      <c r="ED20">
        <v>0</v>
      </c>
      <c r="EE20">
        <v>9997.9032258064508</v>
      </c>
      <c r="EF20">
        <v>0</v>
      </c>
      <c r="EG20">
        <v>1837.0409677419359</v>
      </c>
      <c r="EH20">
        <v>-52.836503225806453</v>
      </c>
      <c r="EI20">
        <v>431.35819354838702</v>
      </c>
      <c r="EJ20">
        <v>483.44554838709672</v>
      </c>
      <c r="EK20">
        <v>4.3426306451612886</v>
      </c>
      <c r="EL20">
        <v>473.01258064516128</v>
      </c>
      <c r="EM20">
        <v>21.580364516129031</v>
      </c>
      <c r="EN20">
        <v>2.5336609677419348</v>
      </c>
      <c r="EO20">
        <v>2.109220967741936</v>
      </c>
      <c r="EP20">
        <v>21.244364516129028</v>
      </c>
      <c r="EQ20">
        <v>18.288764516129032</v>
      </c>
      <c r="ER20">
        <v>1400.01</v>
      </c>
      <c r="ES20">
        <v>0.99301145161290316</v>
      </c>
      <c r="ET20">
        <v>6.9885035483870962E-3</v>
      </c>
      <c r="EU20">
        <v>0</v>
      </c>
      <c r="EV20">
        <v>798.38683870967725</v>
      </c>
      <c r="EW20">
        <v>5.0010700000000003</v>
      </c>
      <c r="EX20">
        <v>15301.951612903231</v>
      </c>
      <c r="EY20">
        <v>12745.67419354839</v>
      </c>
      <c r="EZ20">
        <v>47</v>
      </c>
      <c r="FA20">
        <v>49.971548387096767</v>
      </c>
      <c r="FB20">
        <v>48.271999999999998</v>
      </c>
      <c r="FC20">
        <v>49.237806451612897</v>
      </c>
      <c r="FD20">
        <v>48.120935483870959</v>
      </c>
      <c r="FE20">
        <v>1385.26</v>
      </c>
      <c r="FF20">
        <v>9.75</v>
      </c>
      <c r="FG20">
        <v>0</v>
      </c>
      <c r="FH20">
        <v>182.20000004768369</v>
      </c>
      <c r="FI20">
        <v>0</v>
      </c>
      <c r="FJ20">
        <v>798.21135294117641</v>
      </c>
      <c r="FK20">
        <v>-2.6977941222833008</v>
      </c>
      <c r="FL20">
        <v>-227.89215606746581</v>
      </c>
      <c r="FM20">
        <v>15289.805882352941</v>
      </c>
      <c r="FN20">
        <v>10</v>
      </c>
      <c r="FO20">
        <v>1784481707.5</v>
      </c>
      <c r="FP20" t="s">
        <v>703</v>
      </c>
      <c r="FQ20">
        <v>1784481700.5</v>
      </c>
      <c r="FR20">
        <v>1784481707.5</v>
      </c>
      <c r="FS20">
        <v>23</v>
      </c>
      <c r="FT20">
        <v>-3.4000000000000002E-2</v>
      </c>
      <c r="FU20">
        <v>0</v>
      </c>
      <c r="FV20">
        <v>-7.4240000000000004</v>
      </c>
      <c r="FW20">
        <v>-0.78500000000000003</v>
      </c>
      <c r="FX20">
        <v>475</v>
      </c>
      <c r="FY20">
        <v>21</v>
      </c>
      <c r="FZ20">
        <v>0.13</v>
      </c>
      <c r="GA20">
        <v>0.08</v>
      </c>
      <c r="GB20">
        <v>420.17648387096767</v>
      </c>
      <c r="GC20">
        <v>0.14559677419237849</v>
      </c>
      <c r="GD20">
        <v>5.9394184014037572E-2</v>
      </c>
      <c r="GE20">
        <v>-1</v>
      </c>
      <c r="GF20">
        <v>798.68705882352936</v>
      </c>
      <c r="GG20">
        <v>-5.3124216930335946</v>
      </c>
      <c r="GH20">
        <v>0.56386131696994624</v>
      </c>
      <c r="GI20">
        <v>1</v>
      </c>
      <c r="GJ20">
        <v>4.284822682926829</v>
      </c>
      <c r="GK20">
        <v>1.1876859930313579</v>
      </c>
      <c r="GL20">
        <v>0.12517348992740751</v>
      </c>
      <c r="GM20">
        <v>0</v>
      </c>
      <c r="GN20">
        <v>1</v>
      </c>
      <c r="GO20">
        <v>2</v>
      </c>
      <c r="GP20" t="s">
        <v>411</v>
      </c>
      <c r="GQ20">
        <v>3.1307800000000001</v>
      </c>
      <c r="GR20">
        <v>2.7341700000000002</v>
      </c>
      <c r="GS20">
        <v>9.0295E-2</v>
      </c>
      <c r="GT20">
        <v>9.8247000000000001E-2</v>
      </c>
      <c r="GU20">
        <v>0.11837499999999999</v>
      </c>
      <c r="GV20">
        <v>0.102215</v>
      </c>
      <c r="GW20">
        <v>22591.5</v>
      </c>
      <c r="GX20">
        <v>30009.5</v>
      </c>
      <c r="GY20">
        <v>26967.3</v>
      </c>
      <c r="GZ20">
        <v>34263.9</v>
      </c>
      <c r="HA20">
        <v>34864.5</v>
      </c>
      <c r="HB20">
        <v>38984.1</v>
      </c>
      <c r="HC20">
        <v>39838.199999999997</v>
      </c>
      <c r="HD20">
        <v>43490.6</v>
      </c>
      <c r="HE20">
        <v>1.9094</v>
      </c>
      <c r="HF20">
        <v>1.6357999999999999</v>
      </c>
      <c r="HG20">
        <v>-0.10910599999999999</v>
      </c>
      <c r="HH20">
        <v>0</v>
      </c>
      <c r="HI20">
        <v>30.490100000000002</v>
      </c>
      <c r="HJ20">
        <v>999.9</v>
      </c>
      <c r="HK20">
        <v>50.9</v>
      </c>
      <c r="HL20">
        <v>43</v>
      </c>
      <c r="HM20">
        <v>45.243200000000002</v>
      </c>
      <c r="HN20">
        <v>61.337200000000003</v>
      </c>
      <c r="HO20">
        <v>4.2588100000000004</v>
      </c>
      <c r="HP20">
        <v>1</v>
      </c>
      <c r="HQ20">
        <v>1.10195</v>
      </c>
      <c r="HR20">
        <v>7.81501</v>
      </c>
      <c r="HS20">
        <v>20.061599999999999</v>
      </c>
      <c r="HT20">
        <v>5.2053099999999999</v>
      </c>
      <c r="HU20">
        <v>11.9153</v>
      </c>
      <c r="HV20">
        <v>4.9812000000000003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1.86774</v>
      </c>
      <c r="IC20">
        <v>1.8634299999999999</v>
      </c>
      <c r="ID20">
        <v>1.8629500000000001</v>
      </c>
      <c r="IE20">
        <v>1.86249</v>
      </c>
      <c r="IF20">
        <v>1.86249</v>
      </c>
      <c r="IG20">
        <v>1.8629500000000001</v>
      </c>
      <c r="IH20">
        <v>1.86398</v>
      </c>
      <c r="II20">
        <v>1.86191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-7.2220000000000004</v>
      </c>
      <c r="IX20">
        <v>-0.65290000000000004</v>
      </c>
      <c r="IY20">
        <v>-5.2291187890223458</v>
      </c>
      <c r="IZ20">
        <v>-5.6215304933332991E-3</v>
      </c>
      <c r="JA20">
        <v>2.3979931213773931E-6</v>
      </c>
      <c r="JB20">
        <v>-3.6297174575716598E-10</v>
      </c>
      <c r="JC20">
        <v>-1.116621829242755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1.6</v>
      </c>
      <c r="JL20">
        <v>1.5</v>
      </c>
      <c r="JM20">
        <v>1.1999500000000001</v>
      </c>
      <c r="JN20">
        <v>2.5585900000000001</v>
      </c>
      <c r="JO20">
        <v>1.50024</v>
      </c>
      <c r="JP20">
        <v>2.2705099999999998</v>
      </c>
      <c r="JQ20">
        <v>1.4477500000000001</v>
      </c>
      <c r="JR20">
        <v>2.4597199999999999</v>
      </c>
      <c r="JS20">
        <v>48.454599999999999</v>
      </c>
      <c r="JT20">
        <v>23.780999999999999</v>
      </c>
      <c r="JU20">
        <v>18</v>
      </c>
      <c r="JV20">
        <v>552.22400000000005</v>
      </c>
      <c r="JW20">
        <v>384.55900000000003</v>
      </c>
      <c r="JX20">
        <v>23.3766</v>
      </c>
      <c r="JY20">
        <v>40.1541</v>
      </c>
      <c r="JZ20">
        <v>30.000499999999999</v>
      </c>
      <c r="KA20">
        <v>40.238999999999997</v>
      </c>
      <c r="KB20">
        <v>39.994599999999998</v>
      </c>
      <c r="KC20">
        <v>24.0105</v>
      </c>
      <c r="KD20">
        <v>55.415599999999998</v>
      </c>
      <c r="KE20">
        <v>0</v>
      </c>
      <c r="KF20">
        <v>23.363700000000001</v>
      </c>
      <c r="KG20">
        <v>472.887</v>
      </c>
      <c r="KH20">
        <v>21.424600000000002</v>
      </c>
      <c r="KI20">
        <v>99.550399999999996</v>
      </c>
      <c r="KJ20">
        <v>97.831800000000001</v>
      </c>
    </row>
    <row r="21" spans="1:296" x14ac:dyDescent="0.3">
      <c r="A21">
        <v>5</v>
      </c>
      <c r="B21">
        <v>1784481978.5</v>
      </c>
      <c r="C21">
        <v>730.40000009536743</v>
      </c>
      <c r="D21" t="s">
        <v>704</v>
      </c>
      <c r="E21" t="s">
        <v>705</v>
      </c>
      <c r="F21">
        <v>15</v>
      </c>
      <c r="H21">
        <v>1784481970.75</v>
      </c>
      <c r="I21">
        <f t="shared" si="0"/>
        <v>2.3105243094797795E-3</v>
      </c>
      <c r="J21">
        <f t="shared" si="1"/>
        <v>2.3105243094797796</v>
      </c>
      <c r="K21">
        <f t="shared" si="2"/>
        <v>36.328557494170788</v>
      </c>
      <c r="L21">
        <f t="shared" si="3"/>
        <v>420.3850666666666</v>
      </c>
      <c r="M21">
        <f t="shared" si="4"/>
        <v>25.914966122660179</v>
      </c>
      <c r="N21">
        <f t="shared" si="5"/>
        <v>2.5343684035510696</v>
      </c>
      <c r="O21">
        <f t="shared" si="6"/>
        <v>41.111789428623226</v>
      </c>
      <c r="P21">
        <f t="shared" si="7"/>
        <v>0.15320422431248307</v>
      </c>
      <c r="Q21">
        <f t="shared" si="8"/>
        <v>2.8896104224349224</v>
      </c>
      <c r="R21">
        <f t="shared" si="9"/>
        <v>0.14883051456061636</v>
      </c>
      <c r="S21">
        <f t="shared" si="10"/>
        <v>9.3401631659536133E-2</v>
      </c>
      <c r="T21">
        <f t="shared" si="11"/>
        <v>160.17585243946542</v>
      </c>
      <c r="U21">
        <f t="shared" si="12"/>
        <v>28.792836967030699</v>
      </c>
      <c r="V21">
        <f t="shared" si="13"/>
        <v>28.74008666666667</v>
      </c>
      <c r="W21">
        <f t="shared" si="14"/>
        <v>3.9616804325427899</v>
      </c>
      <c r="X21">
        <f t="shared" si="15"/>
        <v>64.028941678744204</v>
      </c>
      <c r="Y21">
        <f t="shared" si="16"/>
        <v>2.4935573951643657</v>
      </c>
      <c r="Z21">
        <f t="shared" si="17"/>
        <v>3.8944223186999145</v>
      </c>
      <c r="AA21">
        <f t="shared" si="18"/>
        <v>1.4681230373784242</v>
      </c>
      <c r="AB21">
        <f t="shared" si="19"/>
        <v>-101.89412204805828</v>
      </c>
      <c r="AC21">
        <f t="shared" si="20"/>
        <v>-45.959076154107166</v>
      </c>
      <c r="AD21">
        <f t="shared" si="21"/>
        <v>-3.4874280558306805</v>
      </c>
      <c r="AE21">
        <f t="shared" si="22"/>
        <v>8.835226181469281</v>
      </c>
      <c r="AF21">
        <f t="shared" si="23"/>
        <v>36.328557494170788</v>
      </c>
      <c r="AG21">
        <f t="shared" si="24"/>
        <v>2.3105243094797796</v>
      </c>
      <c r="AH21">
        <f t="shared" si="25"/>
        <v>36.276682537219727</v>
      </c>
      <c r="AI21">
        <v>475.86894920611701</v>
      </c>
      <c r="AJ21">
        <v>431.34229090909088</v>
      </c>
      <c r="AK21">
        <v>-3.3824381144019569E-3</v>
      </c>
      <c r="AL21">
        <v>67.016334877897506</v>
      </c>
      <c r="AM21">
        <f t="shared" si="26"/>
        <v>2.3683776726173669</v>
      </c>
      <c r="AN21">
        <v>22.923109032826201</v>
      </c>
      <c r="AO21">
        <v>25.64869333333333</v>
      </c>
      <c r="AP21">
        <v>7.1171350564673188E-3</v>
      </c>
      <c r="AQ21">
        <v>78.183318270265517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51434.660370936406</v>
      </c>
      <c r="AW21" t="s">
        <v>688</v>
      </c>
      <c r="AX21">
        <v>5075.3599999999997</v>
      </c>
      <c r="AY21">
        <v>591.49705882352941</v>
      </c>
      <c r="AZ21">
        <v>2381.3200000000002</v>
      </c>
      <c r="BA21">
        <f t="shared" si="30"/>
        <v>0.75160958677391976</v>
      </c>
      <c r="BB21">
        <v>-3.8236960685847361</v>
      </c>
      <c r="BC21" t="s">
        <v>706</v>
      </c>
      <c r="BD21">
        <v>5071.54</v>
      </c>
      <c r="BE21">
        <v>814.69647058823534</v>
      </c>
      <c r="BF21">
        <v>1198.46</v>
      </c>
      <c r="BG21">
        <f t="shared" si="31"/>
        <v>0.32021388232545489</v>
      </c>
      <c r="BH21">
        <v>0.5</v>
      </c>
      <c r="BI21">
        <f t="shared" si="32"/>
        <v>840.29900022770209</v>
      </c>
      <c r="BJ21">
        <f t="shared" si="33"/>
        <v>36.328557494170788</v>
      </c>
      <c r="BK21">
        <f t="shared" si="34"/>
        <v>134.53770258855539</v>
      </c>
      <c r="BL21">
        <f t="shared" si="35"/>
        <v>4.7783293270461075E-2</v>
      </c>
      <c r="BM21">
        <f t="shared" si="36"/>
        <v>0.98698329522887718</v>
      </c>
      <c r="BN21">
        <f t="shared" si="37"/>
        <v>475.03806287521303</v>
      </c>
      <c r="BO21" t="s">
        <v>408</v>
      </c>
      <c r="BP21">
        <v>0</v>
      </c>
      <c r="BQ21">
        <f t="shared" si="38"/>
        <v>475.03806287521303</v>
      </c>
      <c r="BR21">
        <f t="shared" si="39"/>
        <v>0.60362626798123176</v>
      </c>
      <c r="BS21">
        <f t="shared" si="40"/>
        <v>0.53048367725344114</v>
      </c>
      <c r="BT21">
        <f t="shared" si="41"/>
        <v>0.62050632540960227</v>
      </c>
      <c r="BU21">
        <f t="shared" si="42"/>
        <v>0.63226846876008513</v>
      </c>
      <c r="BV21">
        <f t="shared" si="43"/>
        <v>0.66088101386302101</v>
      </c>
      <c r="BW21">
        <f t="shared" si="44"/>
        <v>0.30931757719220615</v>
      </c>
      <c r="BX21">
        <f t="shared" si="45"/>
        <v>0.69068242280779391</v>
      </c>
      <c r="DG21">
        <f t="shared" si="46"/>
        <v>1000.000833333333</v>
      </c>
      <c r="DH21">
        <f t="shared" si="47"/>
        <v>840.29900022770209</v>
      </c>
      <c r="DI21">
        <f t="shared" si="48"/>
        <v>0.84029829997911898</v>
      </c>
      <c r="DJ21">
        <f t="shared" si="49"/>
        <v>0.16017571895969968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1784481970.75</v>
      </c>
      <c r="DQ21">
        <v>420.3850666666666</v>
      </c>
      <c r="DR21">
        <v>465.14170000000001</v>
      </c>
      <c r="DS21">
        <v>25.497656666666671</v>
      </c>
      <c r="DT21">
        <v>22.79591666666666</v>
      </c>
      <c r="DU21">
        <v>427.60793333333339</v>
      </c>
      <c r="DV21">
        <v>26.288656666666672</v>
      </c>
      <c r="DW21">
        <v>500.03583333333341</v>
      </c>
      <c r="DX21">
        <v>97.737383333333327</v>
      </c>
      <c r="DY21">
        <v>5.816814666666667E-2</v>
      </c>
      <c r="DZ21">
        <v>28.445070000000001</v>
      </c>
      <c r="EA21">
        <v>28.74008666666667</v>
      </c>
      <c r="EB21">
        <v>999.9000000000002</v>
      </c>
      <c r="EC21">
        <v>0</v>
      </c>
      <c r="ED21">
        <v>0</v>
      </c>
      <c r="EE21">
        <v>10000.33333333333</v>
      </c>
      <c r="EF21">
        <v>0</v>
      </c>
      <c r="EG21">
        <v>1842.1596666666669</v>
      </c>
      <c r="EH21">
        <v>-44.756656666666672</v>
      </c>
      <c r="EI21">
        <v>431.44236666666671</v>
      </c>
      <c r="EJ21">
        <v>475.99239999999992</v>
      </c>
      <c r="EK21">
        <v>2.8329219999999999</v>
      </c>
      <c r="EL21">
        <v>465.14170000000001</v>
      </c>
      <c r="EM21">
        <v>22.79591666666666</v>
      </c>
      <c r="EN21">
        <v>2.504894999999999</v>
      </c>
      <c r="EO21">
        <v>2.2280126666666669</v>
      </c>
      <c r="EP21">
        <v>21.058336666666669</v>
      </c>
      <c r="EQ21">
        <v>19.165020000000009</v>
      </c>
      <c r="ER21">
        <v>1000.000833333333</v>
      </c>
      <c r="ES21">
        <v>0.99000496666666638</v>
      </c>
      <c r="ET21">
        <v>9.9947479999999995E-3</v>
      </c>
      <c r="EU21">
        <v>0</v>
      </c>
      <c r="EV21">
        <v>814.9547666666665</v>
      </c>
      <c r="EW21">
        <v>5.0010700000000003</v>
      </c>
      <c r="EX21">
        <v>12041.03666666667</v>
      </c>
      <c r="EY21">
        <v>9080.3013333333329</v>
      </c>
      <c r="EZ21">
        <v>46.408066666666663</v>
      </c>
      <c r="FA21">
        <v>49.875</v>
      </c>
      <c r="FB21">
        <v>48</v>
      </c>
      <c r="FC21">
        <v>49.186999999999983</v>
      </c>
      <c r="FD21">
        <v>47.741599999999991</v>
      </c>
      <c r="FE21">
        <v>985.05566666666675</v>
      </c>
      <c r="FF21">
        <v>9.9433333333333351</v>
      </c>
      <c r="FG21">
        <v>0</v>
      </c>
      <c r="FH21">
        <v>181.79999995231631</v>
      </c>
      <c r="FI21">
        <v>0</v>
      </c>
      <c r="FJ21">
        <v>814.69647058823534</v>
      </c>
      <c r="FK21">
        <v>-6.4330882323601273</v>
      </c>
      <c r="FL21">
        <v>-138.4068611358876</v>
      </c>
      <c r="FM21">
        <v>12040.85294117647</v>
      </c>
      <c r="FN21">
        <v>10</v>
      </c>
      <c r="FO21">
        <v>1784482005.5</v>
      </c>
      <c r="FP21" t="s">
        <v>707</v>
      </c>
      <c r="FQ21">
        <v>1784481700.5</v>
      </c>
      <c r="FR21">
        <v>1784482005.5</v>
      </c>
      <c r="FS21">
        <v>24</v>
      </c>
      <c r="FT21">
        <v>-3.4000000000000002E-2</v>
      </c>
      <c r="FU21">
        <v>-0.06</v>
      </c>
      <c r="FV21">
        <v>-7.4240000000000004</v>
      </c>
      <c r="FW21">
        <v>-0.79100000000000004</v>
      </c>
      <c r="FX21">
        <v>475</v>
      </c>
      <c r="FY21">
        <v>23</v>
      </c>
      <c r="FZ21">
        <v>0.13</v>
      </c>
      <c r="GA21">
        <v>0.13</v>
      </c>
      <c r="GB21">
        <v>420.39109677419339</v>
      </c>
      <c r="GC21">
        <v>-0.68472580645419867</v>
      </c>
      <c r="GD21">
        <v>7.6835540683818593E-2</v>
      </c>
      <c r="GE21">
        <v>-1</v>
      </c>
      <c r="GF21">
        <v>815.28529411764703</v>
      </c>
      <c r="GG21">
        <v>-5.8981206999433597</v>
      </c>
      <c r="GH21">
        <v>0.61922672505650844</v>
      </c>
      <c r="GI21">
        <v>1</v>
      </c>
      <c r="GJ21">
        <v>2.883676585365853</v>
      </c>
      <c r="GK21">
        <v>-1.079731986062723</v>
      </c>
      <c r="GL21">
        <v>0.11185761885386861</v>
      </c>
      <c r="GM21">
        <v>0</v>
      </c>
      <c r="GN21">
        <v>1</v>
      </c>
      <c r="GO21">
        <v>2</v>
      </c>
      <c r="GP21" t="s">
        <v>411</v>
      </c>
      <c r="GQ21">
        <v>3.13083</v>
      </c>
      <c r="GR21">
        <v>2.73421</v>
      </c>
      <c r="GS21">
        <v>9.0300800000000001E-2</v>
      </c>
      <c r="GT21">
        <v>9.6970700000000007E-2</v>
      </c>
      <c r="GU21">
        <v>0.117685</v>
      </c>
      <c r="GV21">
        <v>0.107213</v>
      </c>
      <c r="GW21">
        <v>22589.599999999999</v>
      </c>
      <c r="GX21">
        <v>30050.400000000001</v>
      </c>
      <c r="GY21">
        <v>26965.200000000001</v>
      </c>
      <c r="GZ21">
        <v>34261.9</v>
      </c>
      <c r="HA21">
        <v>34889.4</v>
      </c>
      <c r="HB21">
        <v>38766.699999999997</v>
      </c>
      <c r="HC21">
        <v>39836</v>
      </c>
      <c r="HD21">
        <v>43488.9</v>
      </c>
      <c r="HE21">
        <v>1.9081999999999999</v>
      </c>
      <c r="HF21">
        <v>1.6359999999999999</v>
      </c>
      <c r="HG21">
        <v>-0.12278600000000001</v>
      </c>
      <c r="HH21">
        <v>0</v>
      </c>
      <c r="HI21">
        <v>30.6967</v>
      </c>
      <c r="HJ21">
        <v>999.9</v>
      </c>
      <c r="HK21">
        <v>50.5</v>
      </c>
      <c r="HL21">
        <v>43.2</v>
      </c>
      <c r="HM21">
        <v>45.361600000000003</v>
      </c>
      <c r="HN21">
        <v>61.497199999999999</v>
      </c>
      <c r="HO21">
        <v>4.6314099999999998</v>
      </c>
      <c r="HP21">
        <v>1</v>
      </c>
      <c r="HQ21">
        <v>1.11433</v>
      </c>
      <c r="HR21">
        <v>9.15442</v>
      </c>
      <c r="HS21">
        <v>20.002800000000001</v>
      </c>
      <c r="HT21">
        <v>5.2100999999999997</v>
      </c>
      <c r="HU21">
        <v>11.9201</v>
      </c>
      <c r="HV21">
        <v>4.9824000000000002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1.86771</v>
      </c>
      <c r="IC21">
        <v>1.8633999999999999</v>
      </c>
      <c r="ID21">
        <v>1.8629500000000001</v>
      </c>
      <c r="IE21">
        <v>1.86249</v>
      </c>
      <c r="IF21">
        <v>1.86249</v>
      </c>
      <c r="IG21">
        <v>1.8629500000000001</v>
      </c>
      <c r="IH21">
        <v>1.86398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-7.2220000000000004</v>
      </c>
      <c r="IX21">
        <v>-0.79100000000000004</v>
      </c>
      <c r="IY21">
        <v>-5.2291187890223458</v>
      </c>
      <c r="IZ21">
        <v>-5.6215304933332991E-3</v>
      </c>
      <c r="JA21">
        <v>2.3979931213773931E-6</v>
      </c>
      <c r="JB21">
        <v>-3.6297174575716598E-10</v>
      </c>
      <c r="JC21">
        <v>-1.116621829242755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4.5999999999999996</v>
      </c>
      <c r="JL21">
        <v>4.5</v>
      </c>
      <c r="JM21">
        <v>1.1853</v>
      </c>
      <c r="JN21">
        <v>2.5756800000000002</v>
      </c>
      <c r="JO21">
        <v>1.50024</v>
      </c>
      <c r="JP21">
        <v>2.2705099999999998</v>
      </c>
      <c r="JQ21">
        <v>1.4477500000000001</v>
      </c>
      <c r="JR21">
        <v>2.3803700000000001</v>
      </c>
      <c r="JS21">
        <v>48.701599999999999</v>
      </c>
      <c r="JT21">
        <v>23.754799999999999</v>
      </c>
      <c r="JU21">
        <v>18</v>
      </c>
      <c r="JV21">
        <v>551.71299999999997</v>
      </c>
      <c r="JW21">
        <v>384.96800000000002</v>
      </c>
      <c r="JX21">
        <v>22.849699999999999</v>
      </c>
      <c r="JY21">
        <v>40.158099999999997</v>
      </c>
      <c r="JZ21">
        <v>30.0001</v>
      </c>
      <c r="KA21">
        <v>40.281799999999997</v>
      </c>
      <c r="KB21">
        <v>40.048699999999997</v>
      </c>
      <c r="KC21">
        <v>23.707100000000001</v>
      </c>
      <c r="KD21">
        <v>52.830399999999997</v>
      </c>
      <c r="KE21">
        <v>0</v>
      </c>
      <c r="KF21">
        <v>22.868600000000001</v>
      </c>
      <c r="KG21">
        <v>465.03199999999998</v>
      </c>
      <c r="KH21">
        <v>22.985299999999999</v>
      </c>
      <c r="KI21">
        <v>99.543999999999997</v>
      </c>
      <c r="KJ21">
        <v>97.827100000000002</v>
      </c>
    </row>
    <row r="22" spans="1:296" x14ac:dyDescent="0.3">
      <c r="A22">
        <v>6</v>
      </c>
      <c r="B22">
        <v>1784482186.5</v>
      </c>
      <c r="C22">
        <v>938.40000009536743</v>
      </c>
      <c r="D22" t="s">
        <v>708</v>
      </c>
      <c r="E22" t="s">
        <v>709</v>
      </c>
      <c r="F22">
        <v>15</v>
      </c>
      <c r="H22">
        <v>1784482178.75</v>
      </c>
      <c r="I22">
        <f t="shared" si="0"/>
        <v>2.5028969594003852E-3</v>
      </c>
      <c r="J22">
        <f t="shared" si="1"/>
        <v>2.5028969594003851</v>
      </c>
      <c r="K22">
        <f t="shared" si="2"/>
        <v>33.51829644887367</v>
      </c>
      <c r="L22">
        <f t="shared" si="3"/>
        <v>420.30843333333343</v>
      </c>
      <c r="M22">
        <f t="shared" si="4"/>
        <v>93.117051734590945</v>
      </c>
      <c r="N22">
        <f t="shared" si="5"/>
        <v>9.1059493656527142</v>
      </c>
      <c r="O22">
        <f t="shared" si="6"/>
        <v>41.102110092564203</v>
      </c>
      <c r="P22">
        <f t="shared" si="7"/>
        <v>0.17176362737351408</v>
      </c>
      <c r="Q22">
        <f t="shared" si="8"/>
        <v>2.8892636704613328</v>
      </c>
      <c r="R22">
        <f t="shared" si="9"/>
        <v>0.16628581272006573</v>
      </c>
      <c r="S22">
        <f t="shared" si="10"/>
        <v>0.10440624023983323</v>
      </c>
      <c r="T22">
        <f t="shared" si="11"/>
        <v>128.27937665828944</v>
      </c>
      <c r="U22">
        <f t="shared" si="12"/>
        <v>28.473946688811264</v>
      </c>
      <c r="V22">
        <f t="shared" si="13"/>
        <v>28.707873333333339</v>
      </c>
      <c r="W22">
        <f t="shared" si="14"/>
        <v>3.9542874833118571</v>
      </c>
      <c r="X22">
        <f t="shared" si="15"/>
        <v>65.290116125345691</v>
      </c>
      <c r="Y22">
        <f t="shared" si="16"/>
        <v>2.5311777915108973</v>
      </c>
      <c r="Z22">
        <f t="shared" si="17"/>
        <v>3.8768161886118802</v>
      </c>
      <c r="AA22">
        <f t="shared" si="18"/>
        <v>1.4231096918009598</v>
      </c>
      <c r="AB22">
        <f t="shared" si="19"/>
        <v>-110.37775590955698</v>
      </c>
      <c r="AC22">
        <f t="shared" si="20"/>
        <v>-53.079335587675494</v>
      </c>
      <c r="AD22">
        <f t="shared" si="21"/>
        <v>-4.0259984300804916</v>
      </c>
      <c r="AE22">
        <f t="shared" si="22"/>
        <v>-39.203713269023531</v>
      </c>
      <c r="AF22">
        <f t="shared" si="23"/>
        <v>33.51829644887367</v>
      </c>
      <c r="AG22">
        <f t="shared" si="24"/>
        <v>2.5028969594003851</v>
      </c>
      <c r="AH22">
        <f t="shared" si="25"/>
        <v>33.338696080602737</v>
      </c>
      <c r="AI22">
        <v>472.47112829295031</v>
      </c>
      <c r="AJ22">
        <v>431.51886666666638</v>
      </c>
      <c r="AK22">
        <v>8.4291191125329126E-4</v>
      </c>
      <c r="AL22">
        <v>67.074850341960897</v>
      </c>
      <c r="AM22">
        <f t="shared" si="26"/>
        <v>2.4912464178731133</v>
      </c>
      <c r="AN22">
        <v>22.95765660255411</v>
      </c>
      <c r="AO22">
        <v>25.870349090909102</v>
      </c>
      <c r="AP22">
        <v>-7.1578346052828318E-5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51438.069944822462</v>
      </c>
      <c r="AW22" t="s">
        <v>688</v>
      </c>
      <c r="AX22">
        <v>5075.3599999999997</v>
      </c>
      <c r="AY22">
        <v>591.49705882352941</v>
      </c>
      <c r="AZ22">
        <v>2381.3200000000002</v>
      </c>
      <c r="BA22">
        <f t="shared" si="30"/>
        <v>0.75160958677391976</v>
      </c>
      <c r="BB22">
        <v>-3.8236960685847361</v>
      </c>
      <c r="BC22" t="s">
        <v>710</v>
      </c>
      <c r="BD22">
        <v>5076.9399999999996</v>
      </c>
      <c r="BE22">
        <v>837.2380588235294</v>
      </c>
      <c r="BF22">
        <v>1359.76</v>
      </c>
      <c r="BG22">
        <f t="shared" si="31"/>
        <v>0.38427512294557176</v>
      </c>
      <c r="BH22">
        <v>0.5</v>
      </c>
      <c r="BI22">
        <f t="shared" si="32"/>
        <v>672.31659105610834</v>
      </c>
      <c r="BJ22">
        <f t="shared" si="33"/>
        <v>33.51829644887367</v>
      </c>
      <c r="BK22">
        <f t="shared" si="34"/>
        <v>129.17727034321686</v>
      </c>
      <c r="BL22">
        <f t="shared" si="35"/>
        <v>5.5542274300861366E-2</v>
      </c>
      <c r="BM22">
        <f t="shared" si="36"/>
        <v>0.75127963758310301</v>
      </c>
      <c r="BN22">
        <f t="shared" si="37"/>
        <v>498.47610420856876</v>
      </c>
      <c r="BO22" t="s">
        <v>408</v>
      </c>
      <c r="BP22">
        <v>0</v>
      </c>
      <c r="BQ22">
        <f t="shared" si="38"/>
        <v>498.47610420856876</v>
      </c>
      <c r="BR22">
        <f t="shared" si="39"/>
        <v>0.63340876021609049</v>
      </c>
      <c r="BS22">
        <f t="shared" si="40"/>
        <v>0.60667794176776835</v>
      </c>
      <c r="BT22">
        <f t="shared" si="41"/>
        <v>0.5425622391125523</v>
      </c>
      <c r="BU22">
        <f t="shared" si="42"/>
        <v>0.68013425244267622</v>
      </c>
      <c r="BV22">
        <f t="shared" si="43"/>
        <v>0.57076036768671501</v>
      </c>
      <c r="BW22">
        <f t="shared" si="44"/>
        <v>0.36120486131103141</v>
      </c>
      <c r="BX22">
        <f t="shared" si="45"/>
        <v>0.63879513868896853</v>
      </c>
      <c r="DG22">
        <f t="shared" si="46"/>
        <v>800.00796666666656</v>
      </c>
      <c r="DH22">
        <f t="shared" si="47"/>
        <v>672.31659105610834</v>
      </c>
      <c r="DI22">
        <f t="shared" si="48"/>
        <v>0.84038736996257635</v>
      </c>
      <c r="DJ22">
        <f t="shared" si="49"/>
        <v>0.16034762402777253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1784482178.75</v>
      </c>
      <c r="DQ22">
        <v>420.30843333333343</v>
      </c>
      <c r="DR22">
        <v>461.79416666666668</v>
      </c>
      <c r="DS22">
        <v>25.883716666666661</v>
      </c>
      <c r="DT22">
        <v>22.957883333333331</v>
      </c>
      <c r="DU22">
        <v>427.48210000000012</v>
      </c>
      <c r="DV22">
        <v>26.56887</v>
      </c>
      <c r="DW22">
        <v>499.98323333333332</v>
      </c>
      <c r="DX22">
        <v>97.734206666666665</v>
      </c>
      <c r="DY22">
        <v>5.6146400000000013E-2</v>
      </c>
      <c r="DZ22">
        <v>28.36711</v>
      </c>
      <c r="EA22">
        <v>28.707873333333339</v>
      </c>
      <c r="EB22">
        <v>999.9000000000002</v>
      </c>
      <c r="EC22">
        <v>0</v>
      </c>
      <c r="ED22">
        <v>0</v>
      </c>
      <c r="EE22">
        <v>9998.6666666666661</v>
      </c>
      <c r="EF22">
        <v>0</v>
      </c>
      <c r="EG22">
        <v>1853.3040000000001</v>
      </c>
      <c r="EH22">
        <v>-41.485576666666667</v>
      </c>
      <c r="EI22">
        <v>431.47663333333333</v>
      </c>
      <c r="EJ22">
        <v>472.64499999999998</v>
      </c>
      <c r="EK22">
        <v>2.9258303333333329</v>
      </c>
      <c r="EL22">
        <v>461.79416666666668</v>
      </c>
      <c r="EM22">
        <v>22.957883333333331</v>
      </c>
      <c r="EN22">
        <v>2.5297243333333328</v>
      </c>
      <c r="EO22">
        <v>2.2437710000000002</v>
      </c>
      <c r="EP22">
        <v>21.219016666666668</v>
      </c>
      <c r="EQ22">
        <v>19.27831333333334</v>
      </c>
      <c r="ER22">
        <v>800.00796666666656</v>
      </c>
      <c r="ES22">
        <v>0.98700943333333335</v>
      </c>
      <c r="ET22">
        <v>1.299084E-2</v>
      </c>
      <c r="EU22">
        <v>0</v>
      </c>
      <c r="EV22">
        <v>837.47059999999999</v>
      </c>
      <c r="EW22">
        <v>5.0010700000000003</v>
      </c>
      <c r="EX22">
        <v>10510.21333333334</v>
      </c>
      <c r="EY22">
        <v>7246.7190000000001</v>
      </c>
      <c r="EZ22">
        <v>45.795466666666663</v>
      </c>
      <c r="FA22">
        <v>49.561999999999983</v>
      </c>
      <c r="FB22">
        <v>47.549599999999977</v>
      </c>
      <c r="FC22">
        <v>48.936999999999983</v>
      </c>
      <c r="FD22">
        <v>47.258266666666671</v>
      </c>
      <c r="FE22">
        <v>784.67933333333337</v>
      </c>
      <c r="FF22">
        <v>10.33</v>
      </c>
      <c r="FG22">
        <v>0</v>
      </c>
      <c r="FH22">
        <v>207.4000000953674</v>
      </c>
      <c r="FI22">
        <v>0</v>
      </c>
      <c r="FJ22">
        <v>837.2380588235294</v>
      </c>
      <c r="FK22">
        <v>-3.5134803625393829</v>
      </c>
      <c r="FL22">
        <v>58.750000956097693</v>
      </c>
      <c r="FM22">
        <v>10511.341176470591</v>
      </c>
      <c r="FN22">
        <v>10</v>
      </c>
      <c r="FO22">
        <v>1784482095.5</v>
      </c>
      <c r="FP22" t="s">
        <v>711</v>
      </c>
      <c r="FQ22">
        <v>1784482095.5</v>
      </c>
      <c r="FR22">
        <v>1784482087.5</v>
      </c>
      <c r="FS22">
        <v>25</v>
      </c>
      <c r="FT22">
        <v>4.9000000000000002E-2</v>
      </c>
      <c r="FU22">
        <v>2.5999999999999999E-2</v>
      </c>
      <c r="FV22">
        <v>-7.3339999999999996</v>
      </c>
      <c r="FW22">
        <v>-0.78900000000000003</v>
      </c>
      <c r="FX22">
        <v>464</v>
      </c>
      <c r="FY22">
        <v>22</v>
      </c>
      <c r="FZ22">
        <v>0.19</v>
      </c>
      <c r="GA22">
        <v>0.08</v>
      </c>
      <c r="GB22">
        <v>420.30720000000002</v>
      </c>
      <c r="GC22">
        <v>0.26317241379421419</v>
      </c>
      <c r="GD22">
        <v>5.6568778196692322E-2</v>
      </c>
      <c r="GE22">
        <v>-1</v>
      </c>
      <c r="GF22">
        <v>837.7821764705883</v>
      </c>
      <c r="GG22">
        <v>-4.6447058777241139</v>
      </c>
      <c r="GH22">
        <v>0.51969060199248684</v>
      </c>
      <c r="GI22">
        <v>1</v>
      </c>
      <c r="GJ22">
        <v>2.9287682500000001</v>
      </c>
      <c r="GK22">
        <v>-5.2245816135089072E-2</v>
      </c>
      <c r="GL22">
        <v>6.7462415045342087E-3</v>
      </c>
      <c r="GM22">
        <v>1</v>
      </c>
      <c r="GN22">
        <v>2</v>
      </c>
      <c r="GO22">
        <v>2</v>
      </c>
      <c r="GP22" t="s">
        <v>424</v>
      </c>
      <c r="GQ22">
        <v>3.1311499999999999</v>
      </c>
      <c r="GR22">
        <v>2.73224</v>
      </c>
      <c r="GS22">
        <v>9.0249899999999994E-2</v>
      </c>
      <c r="GT22">
        <v>9.6461599999999995E-2</v>
      </c>
      <c r="GU22">
        <v>0.11841500000000001</v>
      </c>
      <c r="GV22">
        <v>0.107262</v>
      </c>
      <c r="GW22">
        <v>22585.4</v>
      </c>
      <c r="GX22">
        <v>30060.5</v>
      </c>
      <c r="GY22">
        <v>26959.3</v>
      </c>
      <c r="GZ22">
        <v>34255.1</v>
      </c>
      <c r="HA22">
        <v>34854.5</v>
      </c>
      <c r="HB22">
        <v>38759</v>
      </c>
      <c r="HC22">
        <v>39827.800000000003</v>
      </c>
      <c r="HD22">
        <v>43482.400000000001</v>
      </c>
      <c r="HE22">
        <v>1.9081999999999999</v>
      </c>
      <c r="HF22">
        <v>1.6308</v>
      </c>
      <c r="HG22">
        <v>-0.125915</v>
      </c>
      <c r="HH22">
        <v>0</v>
      </c>
      <c r="HI22">
        <v>30.7288</v>
      </c>
      <c r="HJ22">
        <v>999.9</v>
      </c>
      <c r="HK22">
        <v>50.2</v>
      </c>
      <c r="HL22">
        <v>43.4</v>
      </c>
      <c r="HM22">
        <v>45.567599999999999</v>
      </c>
      <c r="HN22">
        <v>61.3673</v>
      </c>
      <c r="HO22">
        <v>4.4711499999999997</v>
      </c>
      <c r="HP22">
        <v>1</v>
      </c>
      <c r="HQ22">
        <v>1.1210199999999999</v>
      </c>
      <c r="HR22">
        <v>8.3169900000000005</v>
      </c>
      <c r="HS22">
        <v>20.044499999999999</v>
      </c>
      <c r="HT22">
        <v>5.2053099999999999</v>
      </c>
      <c r="HU22">
        <v>11.9201</v>
      </c>
      <c r="HV22">
        <v>4.9791999999999996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1.8677699999999999</v>
      </c>
      <c r="IC22">
        <v>1.8634299999999999</v>
      </c>
      <c r="ID22">
        <v>1.8629500000000001</v>
      </c>
      <c r="IE22">
        <v>1.86252</v>
      </c>
      <c r="IF22">
        <v>1.86249</v>
      </c>
      <c r="IG22">
        <v>1.8629500000000001</v>
      </c>
      <c r="IH22">
        <v>1.86395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-7.1740000000000004</v>
      </c>
      <c r="IX22">
        <v>-0.6855</v>
      </c>
      <c r="IY22">
        <v>-5.180341128536492</v>
      </c>
      <c r="IZ22">
        <v>-5.6215304933332991E-3</v>
      </c>
      <c r="JA22">
        <v>2.3979931213773931E-6</v>
      </c>
      <c r="JB22">
        <v>-3.6297174575716598E-10</v>
      </c>
      <c r="JC22">
        <v>-1.150031667141926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1.6</v>
      </c>
      <c r="JM22">
        <v>1.17798</v>
      </c>
      <c r="JN22">
        <v>2.5744600000000002</v>
      </c>
      <c r="JO22">
        <v>1.50024</v>
      </c>
      <c r="JP22">
        <v>2.2705099999999998</v>
      </c>
      <c r="JQ22">
        <v>1.4477500000000001</v>
      </c>
      <c r="JR22">
        <v>2.3327599999999999</v>
      </c>
      <c r="JS22">
        <v>48.981499999999997</v>
      </c>
      <c r="JT22">
        <v>23.772300000000001</v>
      </c>
      <c r="JU22">
        <v>18</v>
      </c>
      <c r="JV22">
        <v>552.548</v>
      </c>
      <c r="JW22">
        <v>382.44900000000001</v>
      </c>
      <c r="JX22">
        <v>23.2684</v>
      </c>
      <c r="JY22">
        <v>40.293500000000002</v>
      </c>
      <c r="JZ22">
        <v>30.0002</v>
      </c>
      <c r="KA22">
        <v>40.391300000000001</v>
      </c>
      <c r="KB22">
        <v>40.1496</v>
      </c>
      <c r="KC22">
        <v>23.565899999999999</v>
      </c>
      <c r="KD22">
        <v>52.7087</v>
      </c>
      <c r="KE22">
        <v>0</v>
      </c>
      <c r="KF22">
        <v>23.275300000000001</v>
      </c>
      <c r="KG22">
        <v>461.49400000000003</v>
      </c>
      <c r="KH22">
        <v>22.915199999999999</v>
      </c>
      <c r="KI22">
        <v>99.522999999999996</v>
      </c>
      <c r="KJ22">
        <v>97.810400000000001</v>
      </c>
    </row>
    <row r="23" spans="1:296" x14ac:dyDescent="0.3">
      <c r="A23">
        <v>7</v>
      </c>
      <c r="B23">
        <v>1784482369</v>
      </c>
      <c r="C23">
        <v>1120.900000095367</v>
      </c>
      <c r="D23" t="s">
        <v>712</v>
      </c>
      <c r="E23" t="s">
        <v>713</v>
      </c>
      <c r="F23">
        <v>15</v>
      </c>
      <c r="H23">
        <v>1784482361</v>
      </c>
      <c r="I23">
        <f t="shared" si="0"/>
        <v>2.1824735825614395E-3</v>
      </c>
      <c r="J23">
        <f t="shared" si="1"/>
        <v>2.1824735825614394</v>
      </c>
      <c r="K23">
        <f t="shared" si="2"/>
        <v>28.67697075909431</v>
      </c>
      <c r="L23">
        <f t="shared" si="3"/>
        <v>420.03038709677418</v>
      </c>
      <c r="M23">
        <f t="shared" si="4"/>
        <v>99.098788035365672</v>
      </c>
      <c r="N23">
        <f t="shared" si="5"/>
        <v>9.6906654462662942</v>
      </c>
      <c r="O23">
        <f t="shared" si="6"/>
        <v>41.073902509967716</v>
      </c>
      <c r="P23">
        <f t="shared" si="7"/>
        <v>0.14937164327405028</v>
      </c>
      <c r="Q23">
        <f t="shared" si="8"/>
        <v>2.8890871168245922</v>
      </c>
      <c r="R23">
        <f t="shared" si="9"/>
        <v>0.14521009260823842</v>
      </c>
      <c r="S23">
        <f t="shared" si="10"/>
        <v>9.1120549363012823E-2</v>
      </c>
      <c r="T23">
        <f t="shared" si="11"/>
        <v>96.343666930822906</v>
      </c>
      <c r="U23">
        <f t="shared" si="12"/>
        <v>28.349573214279683</v>
      </c>
      <c r="V23">
        <f t="shared" si="13"/>
        <v>28.65651290322581</v>
      </c>
      <c r="W23">
        <f t="shared" si="14"/>
        <v>3.9425251652968729</v>
      </c>
      <c r="X23">
        <f t="shared" si="15"/>
        <v>65.105683834241617</v>
      </c>
      <c r="Y23">
        <f t="shared" si="16"/>
        <v>2.5213709526094785</v>
      </c>
      <c r="Z23">
        <f t="shared" si="17"/>
        <v>3.8727355341645167</v>
      </c>
      <c r="AA23">
        <f t="shared" si="18"/>
        <v>1.4211542126873944</v>
      </c>
      <c r="AB23">
        <f t="shared" si="19"/>
        <v>-96.247084990959479</v>
      </c>
      <c r="AC23">
        <f t="shared" si="20"/>
        <v>-47.897625078533743</v>
      </c>
      <c r="AD23">
        <f t="shared" si="21"/>
        <v>-3.6319387618925441</v>
      </c>
      <c r="AE23">
        <f t="shared" si="22"/>
        <v>-51.432981900562858</v>
      </c>
      <c r="AF23">
        <f t="shared" si="23"/>
        <v>28.67697075909431</v>
      </c>
      <c r="AG23">
        <f t="shared" si="24"/>
        <v>2.1824735825614394</v>
      </c>
      <c r="AH23">
        <f t="shared" si="25"/>
        <v>28.531506567104863</v>
      </c>
      <c r="AI23">
        <v>466.51636467952869</v>
      </c>
      <c r="AJ23">
        <v>431.23276363636381</v>
      </c>
      <c r="AK23">
        <v>4.5010473911512257E-2</v>
      </c>
      <c r="AL23">
        <v>67.014330480031518</v>
      </c>
      <c r="AM23">
        <f t="shared" si="26"/>
        <v>2.1692953315625036</v>
      </c>
      <c r="AN23">
        <v>23.263522615541351</v>
      </c>
      <c r="AO23">
        <v>25.79474424242424</v>
      </c>
      <c r="AP23">
        <v>7.4052314237072305E-4</v>
      </c>
      <c r="AQ23">
        <v>78.178969090268382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51436.071367474244</v>
      </c>
      <c r="AW23" t="s">
        <v>688</v>
      </c>
      <c r="AX23">
        <v>5075.3599999999997</v>
      </c>
      <c r="AY23">
        <v>591.49705882352941</v>
      </c>
      <c r="AZ23">
        <v>2381.3200000000002</v>
      </c>
      <c r="BA23">
        <f t="shared" si="30"/>
        <v>0.75160958677391976</v>
      </c>
      <c r="BB23">
        <v>-3.8236960685847361</v>
      </c>
      <c r="BC23" t="s">
        <v>714</v>
      </c>
      <c r="BD23">
        <v>5077.3900000000003</v>
      </c>
      <c r="BE23">
        <v>854.69964705882353</v>
      </c>
      <c r="BF23">
        <v>1566.77</v>
      </c>
      <c r="BG23">
        <f t="shared" si="31"/>
        <v>0.45448301469978136</v>
      </c>
      <c r="BH23">
        <v>0.5</v>
      </c>
      <c r="BI23">
        <f t="shared" si="32"/>
        <v>504.29157152691795</v>
      </c>
      <c r="BJ23">
        <f t="shared" si="33"/>
        <v>28.67697075909431</v>
      </c>
      <c r="BK23">
        <f t="shared" si="34"/>
        <v>114.59597685762205</v>
      </c>
      <c r="BL23">
        <f t="shared" si="35"/>
        <v>6.4448165828494788E-2</v>
      </c>
      <c r="BM23">
        <f t="shared" si="36"/>
        <v>0.51989124121600505</v>
      </c>
      <c r="BN23">
        <f t="shared" si="37"/>
        <v>523.84926058394694</v>
      </c>
      <c r="BO23" t="s">
        <v>408</v>
      </c>
      <c r="BP23">
        <v>0</v>
      </c>
      <c r="BQ23">
        <f t="shared" si="38"/>
        <v>523.84926058394694</v>
      </c>
      <c r="BR23">
        <f t="shared" si="39"/>
        <v>0.66565018440233925</v>
      </c>
      <c r="BS23">
        <f t="shared" si="40"/>
        <v>0.68276555065908007</v>
      </c>
      <c r="BT23">
        <f t="shared" si="41"/>
        <v>0.43852642343969106</v>
      </c>
      <c r="BU23">
        <f t="shared" si="42"/>
        <v>0.73012417639948757</v>
      </c>
      <c r="BV23">
        <f t="shared" si="43"/>
        <v>0.45510088247309383</v>
      </c>
      <c r="BW23">
        <f t="shared" si="44"/>
        <v>0.41847007904559785</v>
      </c>
      <c r="BX23">
        <f t="shared" si="45"/>
        <v>0.58152992095440215</v>
      </c>
      <c r="DG23">
        <f t="shared" si="46"/>
        <v>599.98567741935472</v>
      </c>
      <c r="DH23">
        <f t="shared" si="47"/>
        <v>504.29157152691795</v>
      </c>
      <c r="DI23">
        <f t="shared" si="48"/>
        <v>0.84050601623686394</v>
      </c>
      <c r="DJ23">
        <f t="shared" si="49"/>
        <v>0.16057661133714754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1784482361</v>
      </c>
      <c r="DQ23">
        <v>420.03038709677418</v>
      </c>
      <c r="DR23">
        <v>455.53899999999999</v>
      </c>
      <c r="DS23">
        <v>25.78407096774194</v>
      </c>
      <c r="DT23">
        <v>23.232903225806449</v>
      </c>
      <c r="DU23">
        <v>427.16283870967737</v>
      </c>
      <c r="DV23">
        <v>26.505509677419351</v>
      </c>
      <c r="DW23">
        <v>500.05348387096768</v>
      </c>
      <c r="DX23">
        <v>97.730180645161312</v>
      </c>
      <c r="DY23">
        <v>5.7750351612903227E-2</v>
      </c>
      <c r="DZ23">
        <v>28.348996774193552</v>
      </c>
      <c r="EA23">
        <v>28.65651290322581</v>
      </c>
      <c r="EB23">
        <v>999.90000000000032</v>
      </c>
      <c r="EC23">
        <v>0</v>
      </c>
      <c r="ED23">
        <v>0</v>
      </c>
      <c r="EE23">
        <v>9998.0645161290322</v>
      </c>
      <c r="EF23">
        <v>0</v>
      </c>
      <c r="EG23">
        <v>1853.5870967741939</v>
      </c>
      <c r="EH23">
        <v>-35.508687096774182</v>
      </c>
      <c r="EI23">
        <v>431.14712903225819</v>
      </c>
      <c r="EJ23">
        <v>466.37422580645148</v>
      </c>
      <c r="EK23">
        <v>2.5511619354838708</v>
      </c>
      <c r="EL23">
        <v>455.53899999999999</v>
      </c>
      <c r="EM23">
        <v>23.232903225806449</v>
      </c>
      <c r="EN23">
        <v>2.519883225806451</v>
      </c>
      <c r="EO23">
        <v>2.2705561290322578</v>
      </c>
      <c r="EP23">
        <v>21.155493548387099</v>
      </c>
      <c r="EQ23">
        <v>19.4689935483871</v>
      </c>
      <c r="ER23">
        <v>599.98567741935472</v>
      </c>
      <c r="ES23">
        <v>0.98298316129032259</v>
      </c>
      <c r="ET23">
        <v>1.701662903225807E-2</v>
      </c>
      <c r="EU23">
        <v>0</v>
      </c>
      <c r="EV23">
        <v>854.96677419354842</v>
      </c>
      <c r="EW23">
        <v>5.0010700000000003</v>
      </c>
      <c r="EX23">
        <v>8841.4767741935484</v>
      </c>
      <c r="EY23">
        <v>5414.9451612903213</v>
      </c>
      <c r="EZ23">
        <v>45.006000000000007</v>
      </c>
      <c r="FA23">
        <v>49.064032258064493</v>
      </c>
      <c r="FB23">
        <v>46.97561290322578</v>
      </c>
      <c r="FC23">
        <v>48.48780645161289</v>
      </c>
      <c r="FD23">
        <v>46.651000000000003</v>
      </c>
      <c r="FE23">
        <v>584.85967741935474</v>
      </c>
      <c r="FF23">
        <v>10.119999999999999</v>
      </c>
      <c r="FG23">
        <v>0</v>
      </c>
      <c r="FH23">
        <v>181.5999999046326</v>
      </c>
      <c r="FI23">
        <v>0</v>
      </c>
      <c r="FJ23">
        <v>854.69964705882353</v>
      </c>
      <c r="FK23">
        <v>-1.4583333516238011</v>
      </c>
      <c r="FL23">
        <v>-190.20588290366939</v>
      </c>
      <c r="FM23">
        <v>8838.9000000000015</v>
      </c>
      <c r="FN23">
        <v>10</v>
      </c>
      <c r="FO23">
        <v>1784482321.5</v>
      </c>
      <c r="FP23" t="s">
        <v>715</v>
      </c>
      <c r="FQ23">
        <v>1784482321.5</v>
      </c>
      <c r="FR23">
        <v>1784482314.5</v>
      </c>
      <c r="FS23">
        <v>26</v>
      </c>
      <c r="FT23">
        <v>0.04</v>
      </c>
      <c r="FU23">
        <v>-3.4000000000000002E-2</v>
      </c>
      <c r="FV23">
        <v>-7.27</v>
      </c>
      <c r="FW23">
        <v>-0.79300000000000004</v>
      </c>
      <c r="FX23">
        <v>457</v>
      </c>
      <c r="FY23">
        <v>23</v>
      </c>
      <c r="FZ23">
        <v>0.3</v>
      </c>
      <c r="GA23">
        <v>0.11</v>
      </c>
      <c r="GB23">
        <v>420.02910000000003</v>
      </c>
      <c r="GC23">
        <v>-0.36149499443734801</v>
      </c>
      <c r="GD23">
        <v>9.0687503733053204E-2</v>
      </c>
      <c r="GE23">
        <v>-1</v>
      </c>
      <c r="GF23">
        <v>855.05026470588234</v>
      </c>
      <c r="GG23">
        <v>-3.117906803773784</v>
      </c>
      <c r="GH23">
        <v>0.38600604299014812</v>
      </c>
      <c r="GI23">
        <v>1</v>
      </c>
      <c r="GJ23">
        <v>2.5726969999999998</v>
      </c>
      <c r="GK23">
        <v>-0.48273320825516158</v>
      </c>
      <c r="GL23">
        <v>5.1774528447876743E-2</v>
      </c>
      <c r="GM23">
        <v>1</v>
      </c>
      <c r="GN23">
        <v>2</v>
      </c>
      <c r="GO23">
        <v>2</v>
      </c>
      <c r="GP23" t="s">
        <v>424</v>
      </c>
      <c r="GQ23">
        <v>3.13089</v>
      </c>
      <c r="GR23">
        <v>2.7345799999999998</v>
      </c>
      <c r="GS23">
        <v>9.02144E-2</v>
      </c>
      <c r="GT23">
        <v>9.5553700000000005E-2</v>
      </c>
      <c r="GU23">
        <v>0.11828</v>
      </c>
      <c r="GV23">
        <v>0.108238</v>
      </c>
      <c r="GW23">
        <v>22590.2</v>
      </c>
      <c r="GX23">
        <v>30094.7</v>
      </c>
      <c r="GY23">
        <v>26963.7</v>
      </c>
      <c r="GZ23">
        <v>34259.1</v>
      </c>
      <c r="HA23">
        <v>34864.9</v>
      </c>
      <c r="HB23">
        <v>38720.5</v>
      </c>
      <c r="HC23">
        <v>39834</v>
      </c>
      <c r="HD23">
        <v>43486.7</v>
      </c>
      <c r="HE23">
        <v>1.9076</v>
      </c>
      <c r="HF23">
        <v>1.6319999999999999</v>
      </c>
      <c r="HG23">
        <v>-0.121146</v>
      </c>
      <c r="HH23">
        <v>0</v>
      </c>
      <c r="HI23">
        <v>30.651299999999999</v>
      </c>
      <c r="HJ23">
        <v>999.9</v>
      </c>
      <c r="HK23">
        <v>49.8</v>
      </c>
      <c r="HL23">
        <v>43.6</v>
      </c>
      <c r="HM23">
        <v>45.677100000000003</v>
      </c>
      <c r="HN23">
        <v>61.337299999999999</v>
      </c>
      <c r="HO23">
        <v>4.2507999999999999</v>
      </c>
      <c r="HP23">
        <v>1</v>
      </c>
      <c r="HQ23">
        <v>1.1038399999999999</v>
      </c>
      <c r="HR23">
        <v>7.1200700000000001</v>
      </c>
      <c r="HS23">
        <v>20.0961</v>
      </c>
      <c r="HT23">
        <v>5.2100999999999997</v>
      </c>
      <c r="HU23">
        <v>11.914099999999999</v>
      </c>
      <c r="HV23">
        <v>4.9832000000000001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1.86774</v>
      </c>
      <c r="IC23">
        <v>1.8634599999999999</v>
      </c>
      <c r="ID23">
        <v>1.8629500000000001</v>
      </c>
      <c r="IE23">
        <v>1.86252</v>
      </c>
      <c r="IF23">
        <v>1.86252</v>
      </c>
      <c r="IG23">
        <v>1.8629500000000001</v>
      </c>
      <c r="IH23">
        <v>1.86395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-7.133</v>
      </c>
      <c r="IX23">
        <v>-0.72119999999999995</v>
      </c>
      <c r="IY23">
        <v>-5.1404564990367811</v>
      </c>
      <c r="IZ23">
        <v>-5.6215304933332991E-3</v>
      </c>
      <c r="JA23">
        <v>2.3979931213773931E-6</v>
      </c>
      <c r="JB23">
        <v>-3.6297174575716598E-10</v>
      </c>
      <c r="JC23">
        <v>-1.184478475324984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0.8</v>
      </c>
      <c r="JL23">
        <v>0.9</v>
      </c>
      <c r="JM23">
        <v>1.16577</v>
      </c>
      <c r="JN23">
        <v>2.5647000000000002</v>
      </c>
      <c r="JO23">
        <v>1.50024</v>
      </c>
      <c r="JP23">
        <v>2.2705099999999998</v>
      </c>
      <c r="JQ23">
        <v>1.4477500000000001</v>
      </c>
      <c r="JR23">
        <v>2.4011200000000001</v>
      </c>
      <c r="JS23">
        <v>49.075299999999999</v>
      </c>
      <c r="JT23">
        <v>23.7986</v>
      </c>
      <c r="JU23">
        <v>18</v>
      </c>
      <c r="JV23">
        <v>551.95000000000005</v>
      </c>
      <c r="JW23">
        <v>383.03</v>
      </c>
      <c r="JX23">
        <v>23.840900000000001</v>
      </c>
      <c r="JY23">
        <v>40.241599999999998</v>
      </c>
      <c r="JZ23">
        <v>29.999099999999999</v>
      </c>
      <c r="KA23">
        <v>40.367800000000003</v>
      </c>
      <c r="KB23">
        <v>40.126300000000001</v>
      </c>
      <c r="KC23">
        <v>23.33</v>
      </c>
      <c r="KD23">
        <v>52.1753</v>
      </c>
      <c r="KE23">
        <v>0</v>
      </c>
      <c r="KF23">
        <v>23.871600000000001</v>
      </c>
      <c r="KG23">
        <v>455.61799999999999</v>
      </c>
      <c r="KH23">
        <v>23.289200000000001</v>
      </c>
      <c r="KI23">
        <v>99.538799999999995</v>
      </c>
      <c r="KJ23">
        <v>97.820800000000006</v>
      </c>
    </row>
    <row r="24" spans="1:296" x14ac:dyDescent="0.3">
      <c r="A24">
        <v>8</v>
      </c>
      <c r="B24">
        <v>1784482551.5</v>
      </c>
      <c r="C24">
        <v>1303.400000095367</v>
      </c>
      <c r="D24" t="s">
        <v>716</v>
      </c>
      <c r="E24" t="s">
        <v>717</v>
      </c>
      <c r="F24">
        <v>15</v>
      </c>
      <c r="H24">
        <v>1784482543.75</v>
      </c>
      <c r="I24">
        <f t="shared" si="0"/>
        <v>1.0351267306139222E-3</v>
      </c>
      <c r="J24">
        <f t="shared" si="1"/>
        <v>1.0351267306139222</v>
      </c>
      <c r="K24">
        <f t="shared" si="2"/>
        <v>17.355044413985532</v>
      </c>
      <c r="L24">
        <f t="shared" si="3"/>
        <v>420.57389999999998</v>
      </c>
      <c r="M24">
        <f t="shared" si="4"/>
        <v>10.684476708201508</v>
      </c>
      <c r="N24">
        <f t="shared" si="5"/>
        <v>1.044806647761183</v>
      </c>
      <c r="O24">
        <f t="shared" si="6"/>
        <v>41.126806543323283</v>
      </c>
      <c r="P24">
        <f t="shared" si="7"/>
        <v>6.9399457813753354E-2</v>
      </c>
      <c r="Q24">
        <f t="shared" si="8"/>
        <v>2.890727423123399</v>
      </c>
      <c r="R24">
        <f t="shared" si="9"/>
        <v>6.8486972975243879E-2</v>
      </c>
      <c r="S24">
        <f t="shared" si="10"/>
        <v>4.2885341635755185E-2</v>
      </c>
      <c r="T24">
        <f t="shared" si="11"/>
        <v>64.410433352053644</v>
      </c>
      <c r="U24">
        <f t="shared" si="12"/>
        <v>28.43252511575119</v>
      </c>
      <c r="V24">
        <f t="shared" si="13"/>
        <v>28.673146666666678</v>
      </c>
      <c r="W24">
        <f t="shared" si="14"/>
        <v>3.9463312041384873</v>
      </c>
      <c r="X24">
        <f t="shared" si="15"/>
        <v>65.105325610857307</v>
      </c>
      <c r="Y24">
        <f t="shared" si="16"/>
        <v>2.517197921638227</v>
      </c>
      <c r="Z24">
        <f t="shared" si="17"/>
        <v>3.8663471813102279</v>
      </c>
      <c r="AA24">
        <f t="shared" si="18"/>
        <v>1.4291332825002603</v>
      </c>
      <c r="AB24">
        <f t="shared" si="19"/>
        <v>-45.64908882007397</v>
      </c>
      <c r="AC24">
        <f t="shared" si="20"/>
        <v>-54.941559930363326</v>
      </c>
      <c r="AD24">
        <f t="shared" si="21"/>
        <v>-4.1634528636500354</v>
      </c>
      <c r="AE24">
        <f t="shared" si="22"/>
        <v>-40.343668262033688</v>
      </c>
      <c r="AF24">
        <f t="shared" si="23"/>
        <v>17.355044413985532</v>
      </c>
      <c r="AG24">
        <f t="shared" si="24"/>
        <v>1.0351267306139222</v>
      </c>
      <c r="AH24">
        <f t="shared" si="25"/>
        <v>17.477870531130382</v>
      </c>
      <c r="AI24">
        <v>452.94602092883042</v>
      </c>
      <c r="AJ24">
        <v>431.58292727272737</v>
      </c>
      <c r="AK24">
        <v>-2.6692004566358871E-2</v>
      </c>
      <c r="AL24">
        <v>67.014330480031518</v>
      </c>
      <c r="AM24">
        <f t="shared" si="26"/>
        <v>1.2088984444001489</v>
      </c>
      <c r="AN24">
        <v>24.532805109019289</v>
      </c>
      <c r="AO24">
        <v>25.893365454545449</v>
      </c>
      <c r="AP24">
        <v>8.6379800316549876E-3</v>
      </c>
      <c r="AQ24">
        <v>78.178969090268382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51487.415590465156</v>
      </c>
      <c r="AW24" t="s">
        <v>688</v>
      </c>
      <c r="AX24">
        <v>5075.3599999999997</v>
      </c>
      <c r="AY24">
        <v>591.49705882352941</v>
      </c>
      <c r="AZ24">
        <v>2381.3200000000002</v>
      </c>
      <c r="BA24">
        <f t="shared" si="30"/>
        <v>0.75160958677391976</v>
      </c>
      <c r="BB24">
        <v>-3.8236960685847361</v>
      </c>
      <c r="BC24" t="s">
        <v>718</v>
      </c>
      <c r="BD24">
        <v>5079.84</v>
      </c>
      <c r="BE24">
        <v>830.41305882352935</v>
      </c>
      <c r="BF24">
        <v>1699.34</v>
      </c>
      <c r="BG24">
        <f t="shared" si="31"/>
        <v>0.51133201194373734</v>
      </c>
      <c r="BH24">
        <v>0.5</v>
      </c>
      <c r="BI24">
        <f t="shared" si="32"/>
        <v>336.28786204769614</v>
      </c>
      <c r="BJ24">
        <f t="shared" si="33"/>
        <v>17.355044413985532</v>
      </c>
      <c r="BK24">
        <f t="shared" si="34"/>
        <v>85.977374546553222</v>
      </c>
      <c r="BL24">
        <f t="shared" si="35"/>
        <v>6.2978010427169273E-2</v>
      </c>
      <c r="BM24">
        <f t="shared" si="36"/>
        <v>0.40132051266962482</v>
      </c>
      <c r="BN24">
        <f t="shared" si="37"/>
        <v>537.87903476964789</v>
      </c>
      <c r="BO24" t="s">
        <v>408</v>
      </c>
      <c r="BP24">
        <v>0</v>
      </c>
      <c r="BQ24">
        <f t="shared" si="38"/>
        <v>537.87903476964789</v>
      </c>
      <c r="BR24">
        <f t="shared" si="39"/>
        <v>0.6834776826475879</v>
      </c>
      <c r="BS24">
        <f t="shared" si="40"/>
        <v>0.7481327114632188</v>
      </c>
      <c r="BT24">
        <f t="shared" si="41"/>
        <v>0.36994946562597492</v>
      </c>
      <c r="BU24">
        <f t="shared" si="42"/>
        <v>0.78434127156482691</v>
      </c>
      <c r="BV24">
        <f t="shared" si="43"/>
        <v>0.38103210340556209</v>
      </c>
      <c r="BW24">
        <f t="shared" si="44"/>
        <v>0.48458402290967645</v>
      </c>
      <c r="BX24">
        <f t="shared" si="45"/>
        <v>0.5154159770903235</v>
      </c>
      <c r="DG24">
        <f t="shared" si="46"/>
        <v>399.98983333333331</v>
      </c>
      <c r="DH24">
        <f t="shared" si="47"/>
        <v>336.28786204769614</v>
      </c>
      <c r="DI24">
        <f t="shared" si="48"/>
        <v>0.84074102395359929</v>
      </c>
      <c r="DJ24">
        <f t="shared" si="49"/>
        <v>0.16103017623044663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1784482543.75</v>
      </c>
      <c r="DQ24">
        <v>420.57389999999998</v>
      </c>
      <c r="DR24">
        <v>441.92406666666659</v>
      </c>
      <c r="DS24">
        <v>25.74155</v>
      </c>
      <c r="DT24">
        <v>24.53127666666666</v>
      </c>
      <c r="DU24">
        <v>427.7084000000001</v>
      </c>
      <c r="DV24">
        <v>26.528549999999999</v>
      </c>
      <c r="DW24">
        <v>499.96026666666671</v>
      </c>
      <c r="DX24">
        <v>97.730066666666673</v>
      </c>
      <c r="DY24">
        <v>5.728186666666666E-2</v>
      </c>
      <c r="DZ24">
        <v>28.32060666666667</v>
      </c>
      <c r="EA24">
        <v>28.673146666666678</v>
      </c>
      <c r="EB24">
        <v>999.9000000000002</v>
      </c>
      <c r="EC24">
        <v>0</v>
      </c>
      <c r="ED24">
        <v>0</v>
      </c>
      <c r="EE24">
        <v>10007.5</v>
      </c>
      <c r="EF24">
        <v>0</v>
      </c>
      <c r="EG24">
        <v>1853.5476666666671</v>
      </c>
      <c r="EH24">
        <v>-21.35028333333333</v>
      </c>
      <c r="EI24">
        <v>431.71536666666663</v>
      </c>
      <c r="EJ24">
        <v>453.0377666666667</v>
      </c>
      <c r="EK24">
        <v>1.2765126666666671</v>
      </c>
      <c r="EL24">
        <v>441.92406666666659</v>
      </c>
      <c r="EM24">
        <v>24.53127666666666</v>
      </c>
      <c r="EN24">
        <v>2.5221969999999998</v>
      </c>
      <c r="EO24">
        <v>2.397443</v>
      </c>
      <c r="EP24">
        <v>21.170386666666669</v>
      </c>
      <c r="EQ24">
        <v>20.34651666666667</v>
      </c>
      <c r="ER24">
        <v>399.98983333333331</v>
      </c>
      <c r="ES24">
        <v>0.9749768666666665</v>
      </c>
      <c r="ET24">
        <v>2.5023056666666661E-2</v>
      </c>
      <c r="EU24">
        <v>0</v>
      </c>
      <c r="EV24">
        <v>831.21676666666667</v>
      </c>
      <c r="EW24">
        <v>5.0010700000000003</v>
      </c>
      <c r="EX24">
        <v>6904.2919999999986</v>
      </c>
      <c r="EY24">
        <v>3583.5503333333331</v>
      </c>
      <c r="EZ24">
        <v>44.389466666666671</v>
      </c>
      <c r="FA24">
        <v>48.75</v>
      </c>
      <c r="FB24">
        <v>46.5</v>
      </c>
      <c r="FC24">
        <v>48.178733333333319</v>
      </c>
      <c r="FD24">
        <v>46.155999999999999</v>
      </c>
      <c r="FE24">
        <v>385.10599999999999</v>
      </c>
      <c r="FF24">
        <v>9.879999999999999</v>
      </c>
      <c r="FG24">
        <v>0</v>
      </c>
      <c r="FH24">
        <v>181.70000004768369</v>
      </c>
      <c r="FI24">
        <v>0</v>
      </c>
      <c r="FJ24">
        <v>830.41305882352935</v>
      </c>
      <c r="FK24">
        <v>-19.013235362805659</v>
      </c>
      <c r="FL24">
        <v>-119.11519644338139</v>
      </c>
      <c r="FM24">
        <v>6902.5682352941176</v>
      </c>
      <c r="FN24">
        <v>10</v>
      </c>
      <c r="FO24">
        <v>1784482574.5</v>
      </c>
      <c r="FP24" t="s">
        <v>719</v>
      </c>
      <c r="FQ24">
        <v>1784482321.5</v>
      </c>
      <c r="FR24">
        <v>1784482574.5</v>
      </c>
      <c r="FS24">
        <v>27</v>
      </c>
      <c r="FT24">
        <v>0.04</v>
      </c>
      <c r="FU24">
        <v>-2.8000000000000001E-2</v>
      </c>
      <c r="FV24">
        <v>-7.27</v>
      </c>
      <c r="FW24">
        <v>-0.78700000000000003</v>
      </c>
      <c r="FX24">
        <v>457</v>
      </c>
      <c r="FY24">
        <v>24</v>
      </c>
      <c r="FZ24">
        <v>0.3</v>
      </c>
      <c r="GA24">
        <v>0.23</v>
      </c>
      <c r="GB24">
        <v>420.59723333333318</v>
      </c>
      <c r="GC24">
        <v>-1.5131212458287751</v>
      </c>
      <c r="GD24">
        <v>0.12649761086896341</v>
      </c>
      <c r="GE24">
        <v>-1</v>
      </c>
      <c r="GF24">
        <v>832.1973529411764</v>
      </c>
      <c r="GG24">
        <v>-17.131367462924349</v>
      </c>
      <c r="GH24">
        <v>1.693451728802883</v>
      </c>
      <c r="GI24">
        <v>0</v>
      </c>
      <c r="GJ24">
        <v>1.2227250000000001</v>
      </c>
      <c r="GK24">
        <v>0.93922986866791514</v>
      </c>
      <c r="GL24">
        <v>9.2344599679678077E-2</v>
      </c>
      <c r="GM24">
        <v>0</v>
      </c>
      <c r="GN24">
        <v>0</v>
      </c>
      <c r="GO24">
        <v>2</v>
      </c>
      <c r="GP24" t="s">
        <v>720</v>
      </c>
      <c r="GQ24">
        <v>3.1320999999999999</v>
      </c>
      <c r="GR24">
        <v>2.7336</v>
      </c>
      <c r="GS24">
        <v>9.02921E-2</v>
      </c>
      <c r="GT24">
        <v>9.33311E-2</v>
      </c>
      <c r="GU24">
        <v>0.1186</v>
      </c>
      <c r="GV24">
        <v>0.112409</v>
      </c>
      <c r="GW24">
        <v>22592.7</v>
      </c>
      <c r="GX24">
        <v>30175.3</v>
      </c>
      <c r="GY24">
        <v>26968.400000000001</v>
      </c>
      <c r="GZ24">
        <v>34265.599999999999</v>
      </c>
      <c r="HA24">
        <v>34858.199999999997</v>
      </c>
      <c r="HB24">
        <v>38546.699999999997</v>
      </c>
      <c r="HC24">
        <v>39841.300000000003</v>
      </c>
      <c r="HD24">
        <v>43494.2</v>
      </c>
      <c r="HE24">
        <v>1.9081999999999999</v>
      </c>
      <c r="HF24">
        <v>1.6339999999999999</v>
      </c>
      <c r="HG24">
        <v>-0.12621299999999999</v>
      </c>
      <c r="HH24">
        <v>0</v>
      </c>
      <c r="HI24">
        <v>30.744900000000001</v>
      </c>
      <c r="HJ24">
        <v>999.9</v>
      </c>
      <c r="HK24">
        <v>49.4</v>
      </c>
      <c r="HL24">
        <v>43.7</v>
      </c>
      <c r="HM24">
        <v>45.546799999999998</v>
      </c>
      <c r="HN24">
        <v>60.987400000000001</v>
      </c>
      <c r="HO24">
        <v>4.6113799999999996</v>
      </c>
      <c r="HP24">
        <v>1</v>
      </c>
      <c r="HQ24">
        <v>1.09484</v>
      </c>
      <c r="HR24">
        <v>7.3204799999999999</v>
      </c>
      <c r="HS24">
        <v>20.090699999999998</v>
      </c>
      <c r="HT24">
        <v>5.2112999999999996</v>
      </c>
      <c r="HU24">
        <v>11.9153</v>
      </c>
      <c r="HV24">
        <v>4.9820000000000002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1.8677999999999999</v>
      </c>
      <c r="IC24">
        <v>1.8635299999999999</v>
      </c>
      <c r="ID24">
        <v>1.8629500000000001</v>
      </c>
      <c r="IE24">
        <v>1.8625799999999999</v>
      </c>
      <c r="IF24">
        <v>1.86249</v>
      </c>
      <c r="IG24">
        <v>1.8629800000000001</v>
      </c>
      <c r="IH24">
        <v>1.86398</v>
      </c>
      <c r="II24">
        <v>1.86191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-7.1340000000000003</v>
      </c>
      <c r="IX24">
        <v>-0.78700000000000003</v>
      </c>
      <c r="IY24">
        <v>-5.1404564990367811</v>
      </c>
      <c r="IZ24">
        <v>-5.6215304933332991E-3</v>
      </c>
      <c r="JA24">
        <v>2.3979931213773931E-6</v>
      </c>
      <c r="JB24">
        <v>-3.6297174575716598E-10</v>
      </c>
      <c r="JC24">
        <v>-1.184478475324984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3.8</v>
      </c>
      <c r="JL24">
        <v>4</v>
      </c>
      <c r="JM24">
        <v>1.1389199999999999</v>
      </c>
      <c r="JN24">
        <v>2.5683600000000002</v>
      </c>
      <c r="JO24">
        <v>1.50024</v>
      </c>
      <c r="JP24">
        <v>2.2705099999999998</v>
      </c>
      <c r="JQ24">
        <v>1.4477500000000001</v>
      </c>
      <c r="JR24">
        <v>2.4841299999999999</v>
      </c>
      <c r="JS24">
        <v>49.231999999999999</v>
      </c>
      <c r="JT24">
        <v>23.7898</v>
      </c>
      <c r="JU24">
        <v>18</v>
      </c>
      <c r="JV24">
        <v>551.77099999999996</v>
      </c>
      <c r="JW24">
        <v>383.85199999999998</v>
      </c>
      <c r="JX24">
        <v>23.709099999999999</v>
      </c>
      <c r="JY24">
        <v>40.114400000000003</v>
      </c>
      <c r="JZ24">
        <v>30.000299999999999</v>
      </c>
      <c r="KA24">
        <v>40.2896</v>
      </c>
      <c r="KB24">
        <v>40.060299999999998</v>
      </c>
      <c r="KC24">
        <v>22.784400000000002</v>
      </c>
      <c r="KD24">
        <v>50.182099999999998</v>
      </c>
      <c r="KE24">
        <v>0</v>
      </c>
      <c r="KF24">
        <v>23.7088</v>
      </c>
      <c r="KG24">
        <v>441.70800000000003</v>
      </c>
      <c r="KH24">
        <v>24.373000000000001</v>
      </c>
      <c r="KI24">
        <v>99.556600000000003</v>
      </c>
      <c r="KJ24">
        <v>97.838399999999993</v>
      </c>
    </row>
    <row r="25" spans="1:296" x14ac:dyDescent="0.3">
      <c r="A25">
        <v>9</v>
      </c>
      <c r="B25">
        <v>1784482755.5</v>
      </c>
      <c r="C25">
        <v>1507.400000095367</v>
      </c>
      <c r="D25" t="s">
        <v>721</v>
      </c>
      <c r="E25" t="s">
        <v>722</v>
      </c>
      <c r="F25">
        <v>15</v>
      </c>
      <c r="H25">
        <v>1784482747.75</v>
      </c>
      <c r="I25">
        <f t="shared" si="0"/>
        <v>1.4599529596101503E-3</v>
      </c>
      <c r="J25">
        <f t="shared" si="1"/>
        <v>1.4599529596101504</v>
      </c>
      <c r="K25">
        <f t="shared" si="2"/>
        <v>17.833119031935883</v>
      </c>
      <c r="L25">
        <f t="shared" si="3"/>
        <v>420.43343333333343</v>
      </c>
      <c r="M25">
        <f t="shared" si="4"/>
        <v>120.68206645691063</v>
      </c>
      <c r="N25">
        <f t="shared" si="5"/>
        <v>11.80091760936328</v>
      </c>
      <c r="O25">
        <f t="shared" si="6"/>
        <v>41.112159019583025</v>
      </c>
      <c r="P25">
        <f t="shared" si="7"/>
        <v>9.8879680548744645E-2</v>
      </c>
      <c r="Q25">
        <f t="shared" si="8"/>
        <v>2.8884233016978413</v>
      </c>
      <c r="R25">
        <f t="shared" si="9"/>
        <v>9.70369597450534E-2</v>
      </c>
      <c r="S25">
        <f t="shared" si="10"/>
        <v>6.0810800663189502E-2</v>
      </c>
      <c r="T25">
        <f t="shared" si="11"/>
        <v>48.448730280313505</v>
      </c>
      <c r="U25">
        <f t="shared" si="12"/>
        <v>28.295961462926165</v>
      </c>
      <c r="V25">
        <f t="shared" si="13"/>
        <v>28.696503333333329</v>
      </c>
      <c r="W25">
        <f t="shared" si="14"/>
        <v>3.9516809464707197</v>
      </c>
      <c r="X25">
        <f t="shared" si="15"/>
        <v>65.148861235262302</v>
      </c>
      <c r="Y25">
        <f t="shared" si="16"/>
        <v>2.5292244409495663</v>
      </c>
      <c r="Z25">
        <f t="shared" si="17"/>
        <v>3.8822235615387934</v>
      </c>
      <c r="AA25">
        <f t="shared" si="18"/>
        <v>1.4224565055211533</v>
      </c>
      <c r="AB25">
        <f t="shared" si="19"/>
        <v>-64.383925518807629</v>
      </c>
      <c r="AC25">
        <f t="shared" si="20"/>
        <v>-47.559690112978473</v>
      </c>
      <c r="AD25">
        <f t="shared" si="21"/>
        <v>-3.6086161146024414</v>
      </c>
      <c r="AE25">
        <f t="shared" si="22"/>
        <v>-67.103501466075045</v>
      </c>
      <c r="AF25">
        <f t="shared" si="23"/>
        <v>17.833119031935883</v>
      </c>
      <c r="AG25">
        <f t="shared" si="24"/>
        <v>1.4599529596101504</v>
      </c>
      <c r="AH25">
        <f t="shared" si="25"/>
        <v>17.522235625697483</v>
      </c>
      <c r="AI25">
        <v>453.3690618985799</v>
      </c>
      <c r="AJ25">
        <v>431.68299999999982</v>
      </c>
      <c r="AK25">
        <v>2.651422225044979E-2</v>
      </c>
      <c r="AL25">
        <v>67.074861312506897</v>
      </c>
      <c r="AM25">
        <f t="shared" si="26"/>
        <v>1.4398047116946764</v>
      </c>
      <c r="AN25">
        <v>24.160347052900441</v>
      </c>
      <c r="AO25">
        <v>25.843636363636371</v>
      </c>
      <c r="AP25">
        <v>-2.6387999597490989E-5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51410.027015755863</v>
      </c>
      <c r="AW25" t="s">
        <v>688</v>
      </c>
      <c r="AX25">
        <v>5075.3599999999997</v>
      </c>
      <c r="AY25">
        <v>591.49705882352941</v>
      </c>
      <c r="AZ25">
        <v>2381.3200000000002</v>
      </c>
      <c r="BA25">
        <f t="shared" si="30"/>
        <v>0.75160958677391976</v>
      </c>
      <c r="BB25">
        <v>-3.8236960685847361</v>
      </c>
      <c r="BC25" t="s">
        <v>723</v>
      </c>
      <c r="BD25">
        <v>5085.71</v>
      </c>
      <c r="BE25">
        <v>812.32311764705901</v>
      </c>
      <c r="BF25">
        <v>1896.01</v>
      </c>
      <c r="BG25">
        <f t="shared" si="31"/>
        <v>0.57156179680114616</v>
      </c>
      <c r="BH25">
        <v>0.5</v>
      </c>
      <c r="BI25">
        <f t="shared" si="32"/>
        <v>252.31467177218315</v>
      </c>
      <c r="BJ25">
        <f t="shared" si="33"/>
        <v>17.833119031935883</v>
      </c>
      <c r="BK25">
        <f t="shared" si="34"/>
        <v>72.106713578700223</v>
      </c>
      <c r="BL25">
        <f t="shared" si="35"/>
        <v>8.5832563554111202E-2</v>
      </c>
      <c r="BM25">
        <f t="shared" si="36"/>
        <v>0.2559638398531654</v>
      </c>
      <c r="BN25">
        <f t="shared" si="37"/>
        <v>556.13835819546136</v>
      </c>
      <c r="BO25" t="s">
        <v>408</v>
      </c>
      <c r="BP25">
        <v>0</v>
      </c>
      <c r="BQ25">
        <f t="shared" si="38"/>
        <v>556.13835819546136</v>
      </c>
      <c r="BR25">
        <f t="shared" si="39"/>
        <v>0.70667962816891183</v>
      </c>
      <c r="BS25">
        <f t="shared" si="40"/>
        <v>0.80879902860951058</v>
      </c>
      <c r="BT25">
        <f t="shared" si="41"/>
        <v>0.26589682302533957</v>
      </c>
      <c r="BU25">
        <f t="shared" si="42"/>
        <v>0.83072145024151434</v>
      </c>
      <c r="BV25">
        <f t="shared" si="43"/>
        <v>0.27114972595054593</v>
      </c>
      <c r="BW25">
        <f t="shared" si="44"/>
        <v>0.55372567160695985</v>
      </c>
      <c r="BX25">
        <f t="shared" si="45"/>
        <v>0.44627432839304015</v>
      </c>
      <c r="DG25">
        <f t="shared" si="46"/>
        <v>300.02640000000002</v>
      </c>
      <c r="DH25">
        <f t="shared" si="47"/>
        <v>252.31467177218315</v>
      </c>
      <c r="DI25">
        <f t="shared" si="48"/>
        <v>0.8409749001160669</v>
      </c>
      <c r="DJ25">
        <f t="shared" si="49"/>
        <v>0.16148155722400928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1784482747.75</v>
      </c>
      <c r="DQ25">
        <v>420.43343333333343</v>
      </c>
      <c r="DR25">
        <v>442.56993333333338</v>
      </c>
      <c r="DS25">
        <v>25.865110000000001</v>
      </c>
      <c r="DT25">
        <v>24.158466666666659</v>
      </c>
      <c r="DU25">
        <v>427.48096666666669</v>
      </c>
      <c r="DV25">
        <v>26.599019999999999</v>
      </c>
      <c r="DW25">
        <v>499.99590000000012</v>
      </c>
      <c r="DX25">
        <v>97.727760000000004</v>
      </c>
      <c r="DY25">
        <v>5.7420150000000003E-2</v>
      </c>
      <c r="DZ25">
        <v>28.39108666666667</v>
      </c>
      <c r="EA25">
        <v>28.696503333333329</v>
      </c>
      <c r="EB25">
        <v>999.9000000000002</v>
      </c>
      <c r="EC25">
        <v>0</v>
      </c>
      <c r="ED25">
        <v>0</v>
      </c>
      <c r="EE25">
        <v>9994.5</v>
      </c>
      <c r="EF25">
        <v>0</v>
      </c>
      <c r="EG25">
        <v>1866.8226666666669</v>
      </c>
      <c r="EH25">
        <v>-22.13662333333334</v>
      </c>
      <c r="EI25">
        <v>431.59663333333327</v>
      </c>
      <c r="EJ25">
        <v>453.52653333333342</v>
      </c>
      <c r="EK25">
        <v>1.706638333333333</v>
      </c>
      <c r="EL25">
        <v>442.56993333333338</v>
      </c>
      <c r="EM25">
        <v>24.158466666666659</v>
      </c>
      <c r="EN25">
        <v>2.5277393333333338</v>
      </c>
      <c r="EO25">
        <v>2.3609529999999999</v>
      </c>
      <c r="EP25">
        <v>21.206219999999998</v>
      </c>
      <c r="EQ25">
        <v>20.09841333333333</v>
      </c>
      <c r="ER25">
        <v>300.02640000000002</v>
      </c>
      <c r="ES25">
        <v>0.96696423333333359</v>
      </c>
      <c r="ET25">
        <v>3.3036013333333343E-2</v>
      </c>
      <c r="EU25">
        <v>0</v>
      </c>
      <c r="EV25">
        <v>812.23283333333313</v>
      </c>
      <c r="EW25">
        <v>5.0010700000000003</v>
      </c>
      <c r="EX25">
        <v>5975.398666666666</v>
      </c>
      <c r="EY25">
        <v>2668.226999999999</v>
      </c>
      <c r="EZ25">
        <v>43.908066666666663</v>
      </c>
      <c r="FA25">
        <v>48.472700000000003</v>
      </c>
      <c r="FB25">
        <v>46.116599999999998</v>
      </c>
      <c r="FC25">
        <v>47.943299999999979</v>
      </c>
      <c r="FD25">
        <v>45.75</v>
      </c>
      <c r="FE25">
        <v>285.27966666666663</v>
      </c>
      <c r="FF25">
        <v>9.75</v>
      </c>
      <c r="FG25">
        <v>0</v>
      </c>
      <c r="FH25">
        <v>203.20000004768369</v>
      </c>
      <c r="FI25">
        <v>0</v>
      </c>
      <c r="FJ25">
        <v>812.32311764705901</v>
      </c>
      <c r="FK25">
        <v>1.7992647202645271</v>
      </c>
      <c r="FL25">
        <v>38.546568302672902</v>
      </c>
      <c r="FM25">
        <v>5977.6029411764703</v>
      </c>
      <c r="FN25">
        <v>10</v>
      </c>
      <c r="FO25">
        <v>1784482663.5</v>
      </c>
      <c r="FP25" t="s">
        <v>724</v>
      </c>
      <c r="FQ25">
        <v>1784482663.5</v>
      </c>
      <c r="FR25">
        <v>1784482659</v>
      </c>
      <c r="FS25">
        <v>28</v>
      </c>
      <c r="FT25">
        <v>8.5999999999999993E-2</v>
      </c>
      <c r="FU25">
        <v>1.2999999999999999E-2</v>
      </c>
      <c r="FV25">
        <v>-7.1340000000000003</v>
      </c>
      <c r="FW25">
        <v>-0.78700000000000003</v>
      </c>
      <c r="FX25">
        <v>444</v>
      </c>
      <c r="FY25">
        <v>24</v>
      </c>
      <c r="FZ25">
        <v>0.23</v>
      </c>
      <c r="GA25">
        <v>0.15</v>
      </c>
      <c r="GB25">
        <v>420.42174193548402</v>
      </c>
      <c r="GC25">
        <v>0.38264516128950199</v>
      </c>
      <c r="GD25">
        <v>7.2187465510981971E-2</v>
      </c>
      <c r="GE25">
        <v>-1</v>
      </c>
      <c r="GF25">
        <v>812.147882352941</v>
      </c>
      <c r="GG25">
        <v>2.0030863256687121</v>
      </c>
      <c r="GH25">
        <v>0.26102183418992592</v>
      </c>
      <c r="GI25">
        <v>1</v>
      </c>
      <c r="GJ25">
        <v>1.71495</v>
      </c>
      <c r="GK25">
        <v>-0.15174752613240031</v>
      </c>
      <c r="GL25">
        <v>1.549658640617029E-2</v>
      </c>
      <c r="GM25">
        <v>1</v>
      </c>
      <c r="GN25">
        <v>2</v>
      </c>
      <c r="GO25">
        <v>2</v>
      </c>
      <c r="GP25" t="s">
        <v>424</v>
      </c>
      <c r="GQ25">
        <v>3.13083</v>
      </c>
      <c r="GR25">
        <v>2.7339000000000002</v>
      </c>
      <c r="GS25">
        <v>9.0303700000000001E-2</v>
      </c>
      <c r="GT25">
        <v>9.3424199999999999E-2</v>
      </c>
      <c r="GU25">
        <v>0.11852500000000001</v>
      </c>
      <c r="GV25">
        <v>0.111209</v>
      </c>
      <c r="GW25">
        <v>22594.400000000001</v>
      </c>
      <c r="GX25">
        <v>30176.7</v>
      </c>
      <c r="GY25">
        <v>26970.400000000001</v>
      </c>
      <c r="GZ25">
        <v>34270.300000000003</v>
      </c>
      <c r="HA25">
        <v>34863.300000000003</v>
      </c>
      <c r="HB25">
        <v>38603.699999999997</v>
      </c>
      <c r="HC25">
        <v>39844.199999999997</v>
      </c>
      <c r="HD25">
        <v>43500.2</v>
      </c>
      <c r="HE25">
        <v>1.9084000000000001</v>
      </c>
      <c r="HF25">
        <v>1.633</v>
      </c>
      <c r="HG25">
        <v>-0.12665999999999999</v>
      </c>
      <c r="HH25">
        <v>0</v>
      </c>
      <c r="HI25">
        <v>30.760999999999999</v>
      </c>
      <c r="HJ25">
        <v>999.9</v>
      </c>
      <c r="HK25">
        <v>48.9</v>
      </c>
      <c r="HL25">
        <v>43.9</v>
      </c>
      <c r="HM25">
        <v>45.558100000000003</v>
      </c>
      <c r="HN25">
        <v>61.467399999999998</v>
      </c>
      <c r="HO25">
        <v>4.5031999999999996</v>
      </c>
      <c r="HP25">
        <v>1</v>
      </c>
      <c r="HQ25">
        <v>1.0877600000000001</v>
      </c>
      <c r="HR25">
        <v>7.1156600000000001</v>
      </c>
      <c r="HS25">
        <v>20.097999999999999</v>
      </c>
      <c r="HT25">
        <v>5.2100999999999997</v>
      </c>
      <c r="HU25">
        <v>11.9153</v>
      </c>
      <c r="HV25">
        <v>4.9832000000000001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1.8677999999999999</v>
      </c>
      <c r="IC25">
        <v>1.8633999999999999</v>
      </c>
      <c r="ID25">
        <v>1.8629500000000001</v>
      </c>
      <c r="IE25">
        <v>1.86249</v>
      </c>
      <c r="IF25">
        <v>1.86249</v>
      </c>
      <c r="IG25">
        <v>1.8629500000000001</v>
      </c>
      <c r="IH25">
        <v>1.86398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-7.048</v>
      </c>
      <c r="IX25">
        <v>-0.73440000000000005</v>
      </c>
      <c r="IY25">
        <v>-5.054406356610837</v>
      </c>
      <c r="IZ25">
        <v>-5.6215304933332991E-3</v>
      </c>
      <c r="JA25">
        <v>2.3979931213773931E-6</v>
      </c>
      <c r="JB25">
        <v>-3.6297174575716598E-10</v>
      </c>
      <c r="JC25">
        <v>-1.199653433626849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1.5</v>
      </c>
      <c r="JL25">
        <v>1.6</v>
      </c>
      <c r="JM25">
        <v>1.1401399999999999</v>
      </c>
      <c r="JN25">
        <v>2.5769000000000002</v>
      </c>
      <c r="JO25">
        <v>1.50024</v>
      </c>
      <c r="JP25">
        <v>2.2705099999999998</v>
      </c>
      <c r="JQ25">
        <v>1.4477500000000001</v>
      </c>
      <c r="JR25">
        <v>2.34619</v>
      </c>
      <c r="JS25">
        <v>49.452599999999997</v>
      </c>
      <c r="JT25">
        <v>23.7898</v>
      </c>
      <c r="JU25">
        <v>18</v>
      </c>
      <c r="JV25">
        <v>551.495</v>
      </c>
      <c r="JW25">
        <v>383.01499999999999</v>
      </c>
      <c r="JX25">
        <v>24.073599999999999</v>
      </c>
      <c r="JY25">
        <v>40.039200000000001</v>
      </c>
      <c r="JZ25">
        <v>30.000599999999999</v>
      </c>
      <c r="KA25">
        <v>40.235100000000003</v>
      </c>
      <c r="KB25">
        <v>40.0139</v>
      </c>
      <c r="KC25">
        <v>22.799600000000002</v>
      </c>
      <c r="KD25">
        <v>50.517499999999998</v>
      </c>
      <c r="KE25">
        <v>0</v>
      </c>
      <c r="KF25">
        <v>24.066600000000001</v>
      </c>
      <c r="KG25">
        <v>441.99799999999999</v>
      </c>
      <c r="KH25">
        <v>24.215</v>
      </c>
      <c r="KI25">
        <v>99.563999999999993</v>
      </c>
      <c r="KJ25">
        <v>97.851900000000001</v>
      </c>
    </row>
    <row r="26" spans="1:296" x14ac:dyDescent="0.3">
      <c r="A26">
        <v>10</v>
      </c>
      <c r="B26">
        <v>1784482938</v>
      </c>
      <c r="C26">
        <v>1689.900000095367</v>
      </c>
      <c r="D26" t="s">
        <v>725</v>
      </c>
      <c r="E26" t="s">
        <v>726</v>
      </c>
      <c r="F26">
        <v>15</v>
      </c>
      <c r="H26">
        <v>1784482930.25</v>
      </c>
      <c r="I26">
        <f t="shared" si="0"/>
        <v>3.7013205283941276E-4</v>
      </c>
      <c r="J26">
        <f t="shared" si="1"/>
        <v>0.37013205283941275</v>
      </c>
      <c r="K26">
        <f t="shared" si="2"/>
        <v>9.7623434058079592</v>
      </c>
      <c r="L26">
        <f t="shared" si="3"/>
        <v>419.94116666666667</v>
      </c>
      <c r="M26">
        <f t="shared" si="4"/>
        <v>-239.58600506260186</v>
      </c>
      <c r="N26">
        <f t="shared" si="5"/>
        <v>-23.427017115283654</v>
      </c>
      <c r="O26">
        <f t="shared" si="6"/>
        <v>41.062368798801941</v>
      </c>
      <c r="P26">
        <f t="shared" si="7"/>
        <v>2.385758761153017E-2</v>
      </c>
      <c r="Q26">
        <f t="shared" si="8"/>
        <v>2.8878854215868062</v>
      </c>
      <c r="R26">
        <f t="shared" si="9"/>
        <v>2.3748630962429202E-2</v>
      </c>
      <c r="S26">
        <f t="shared" si="10"/>
        <v>1.4852642072692927E-2</v>
      </c>
      <c r="T26">
        <f t="shared" si="11"/>
        <v>32.482983421546294</v>
      </c>
      <c r="U26">
        <f t="shared" si="12"/>
        <v>28.447887517433038</v>
      </c>
      <c r="V26">
        <f t="shared" si="13"/>
        <v>28.76856333333334</v>
      </c>
      <c r="W26">
        <f t="shared" si="14"/>
        <v>3.9682258528687622</v>
      </c>
      <c r="X26">
        <f t="shared" si="15"/>
        <v>64.406154988090108</v>
      </c>
      <c r="Y26">
        <f t="shared" si="16"/>
        <v>2.4946286147424361</v>
      </c>
      <c r="Z26">
        <f t="shared" si="17"/>
        <v>3.873276731398946</v>
      </c>
      <c r="AA26">
        <f t="shared" si="18"/>
        <v>1.473597238126326</v>
      </c>
      <c r="AB26">
        <f t="shared" si="19"/>
        <v>-16.322823530218102</v>
      </c>
      <c r="AC26">
        <f t="shared" si="20"/>
        <v>-64.948859720739406</v>
      </c>
      <c r="AD26">
        <f t="shared" si="21"/>
        <v>-4.9297411121058214</v>
      </c>
      <c r="AE26">
        <f t="shared" si="22"/>
        <v>-53.718440941517038</v>
      </c>
      <c r="AF26">
        <f t="shared" si="23"/>
        <v>9.7623434058079592</v>
      </c>
      <c r="AG26">
        <f t="shared" si="24"/>
        <v>0.37013205283941275</v>
      </c>
      <c r="AH26">
        <f t="shared" si="25"/>
        <v>9.7439067410812488</v>
      </c>
      <c r="AI26">
        <v>443.12661283509379</v>
      </c>
      <c r="AJ26">
        <v>430.97920606060609</v>
      </c>
      <c r="AK26">
        <v>2.945188374325922E-2</v>
      </c>
      <c r="AL26">
        <v>67.074861312506897</v>
      </c>
      <c r="AM26">
        <f t="shared" si="26"/>
        <v>0.42024917351709457</v>
      </c>
      <c r="AN26">
        <v>25.130790896839841</v>
      </c>
      <c r="AO26">
        <v>25.589383636363628</v>
      </c>
      <c r="AP26">
        <v>5.3550995670989723E-3</v>
      </c>
      <c r="AQ26">
        <v>78.55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51401.468367485635</v>
      </c>
      <c r="AW26" t="s">
        <v>688</v>
      </c>
      <c r="AX26">
        <v>5075.3599999999997</v>
      </c>
      <c r="AY26">
        <v>591.49705882352941</v>
      </c>
      <c r="AZ26">
        <v>2381.3200000000002</v>
      </c>
      <c r="BA26">
        <f t="shared" si="30"/>
        <v>0.75160958677391976</v>
      </c>
      <c r="BB26">
        <v>-3.8236960685847361</v>
      </c>
      <c r="BC26" t="s">
        <v>727</v>
      </c>
      <c r="BD26">
        <v>5081.74</v>
      </c>
      <c r="BE26">
        <v>785.101</v>
      </c>
      <c r="BF26">
        <v>1931.97</v>
      </c>
      <c r="BG26">
        <f t="shared" si="31"/>
        <v>0.59362671263011335</v>
      </c>
      <c r="BH26">
        <v>0.5</v>
      </c>
      <c r="BI26">
        <f t="shared" si="32"/>
        <v>168.28443111997214</v>
      </c>
      <c r="BJ26">
        <f t="shared" si="33"/>
        <v>9.7623434058079592</v>
      </c>
      <c r="BK26">
        <f t="shared" si="34"/>
        <v>49.949066816288905</v>
      </c>
      <c r="BL26">
        <f t="shared" si="35"/>
        <v>8.0732598874265635E-2</v>
      </c>
      <c r="BM26">
        <f t="shared" si="36"/>
        <v>0.23258642732547613</v>
      </c>
      <c r="BN26">
        <f t="shared" si="37"/>
        <v>559.19132411513169</v>
      </c>
      <c r="BO26" t="s">
        <v>408</v>
      </c>
      <c r="BP26">
        <v>0</v>
      </c>
      <c r="BQ26">
        <f t="shared" si="38"/>
        <v>559.19132411513169</v>
      </c>
      <c r="BR26">
        <f t="shared" si="39"/>
        <v>0.71055900240938952</v>
      </c>
      <c r="BS26">
        <f t="shared" si="40"/>
        <v>0.83543619969238603</v>
      </c>
      <c r="BT26">
        <f t="shared" si="41"/>
        <v>0.24660717212069846</v>
      </c>
      <c r="BU26">
        <f t="shared" si="42"/>
        <v>0.85557042202839739</v>
      </c>
      <c r="BV26">
        <f t="shared" si="43"/>
        <v>0.25105835312661562</v>
      </c>
      <c r="BW26">
        <f t="shared" si="44"/>
        <v>0.59504277120994487</v>
      </c>
      <c r="BX26">
        <f t="shared" si="45"/>
        <v>0.40495722879005513</v>
      </c>
      <c r="DG26">
        <f t="shared" si="46"/>
        <v>199.99039999999999</v>
      </c>
      <c r="DH26">
        <f t="shared" si="47"/>
        <v>168.28443111997214</v>
      </c>
      <c r="DI26">
        <f t="shared" si="48"/>
        <v>0.84146254580205926</v>
      </c>
      <c r="DJ26">
        <f t="shared" si="49"/>
        <v>0.16242271339797457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1784482930.25</v>
      </c>
      <c r="DQ26">
        <v>419.94116666666667</v>
      </c>
      <c r="DR26">
        <v>431.84239999999988</v>
      </c>
      <c r="DS26">
        <v>25.51234333333333</v>
      </c>
      <c r="DT26">
        <v>25.079519999999999</v>
      </c>
      <c r="DU26">
        <v>426.98696666666672</v>
      </c>
      <c r="DV26">
        <v>26.296343333333329</v>
      </c>
      <c r="DW26">
        <v>500.00416666666661</v>
      </c>
      <c r="DX26">
        <v>97.723636666666664</v>
      </c>
      <c r="DY26">
        <v>5.7605226666666662E-2</v>
      </c>
      <c r="DZ26">
        <v>28.351400000000009</v>
      </c>
      <c r="EA26">
        <v>28.76856333333334</v>
      </c>
      <c r="EB26">
        <v>999.9000000000002</v>
      </c>
      <c r="EC26">
        <v>0</v>
      </c>
      <c r="ED26">
        <v>0</v>
      </c>
      <c r="EE26">
        <v>9991.8333333333339</v>
      </c>
      <c r="EF26">
        <v>0</v>
      </c>
      <c r="EG26">
        <v>1867.8703333333331</v>
      </c>
      <c r="EH26">
        <v>-11.90132333333333</v>
      </c>
      <c r="EI26">
        <v>430.95359999999999</v>
      </c>
      <c r="EJ26">
        <v>442.95150000000001</v>
      </c>
      <c r="EK26">
        <v>0.47418490000000002</v>
      </c>
      <c r="EL26">
        <v>431.84239999999988</v>
      </c>
      <c r="EM26">
        <v>25.079519999999999</v>
      </c>
      <c r="EN26">
        <v>2.497201</v>
      </c>
      <c r="EO26">
        <v>2.450863</v>
      </c>
      <c r="EP26">
        <v>21.008266666666671</v>
      </c>
      <c r="EQ26">
        <v>20.703736666666671</v>
      </c>
      <c r="ER26">
        <v>199.99039999999999</v>
      </c>
      <c r="ES26">
        <v>0.95001306666666674</v>
      </c>
      <c r="ET26">
        <v>4.9987093333333323E-2</v>
      </c>
      <c r="EU26">
        <v>0</v>
      </c>
      <c r="EV26">
        <v>785.35406666666677</v>
      </c>
      <c r="EW26">
        <v>5.0010700000000003</v>
      </c>
      <c r="EX26">
        <v>5028.809666666667</v>
      </c>
      <c r="EY26">
        <v>1751.750666666667</v>
      </c>
      <c r="EZ26">
        <v>43.686999999999983</v>
      </c>
      <c r="FA26">
        <v>48.391533333333342</v>
      </c>
      <c r="FB26">
        <v>45.936999999999983</v>
      </c>
      <c r="FC26">
        <v>47.932866666666641</v>
      </c>
      <c r="FD26">
        <v>45.561999999999983</v>
      </c>
      <c r="FE26">
        <v>185.24266666666671</v>
      </c>
      <c r="FF26">
        <v>9.75</v>
      </c>
      <c r="FG26">
        <v>0</v>
      </c>
      <c r="FH26">
        <v>182</v>
      </c>
      <c r="FI26">
        <v>0</v>
      </c>
      <c r="FJ26">
        <v>785.101</v>
      </c>
      <c r="FK26">
        <v>-4.3894608024229242</v>
      </c>
      <c r="FL26">
        <v>-112.91911765196279</v>
      </c>
      <c r="FM26">
        <v>5023.4623529411774</v>
      </c>
      <c r="FN26">
        <v>10</v>
      </c>
      <c r="FO26">
        <v>1784482954</v>
      </c>
      <c r="FP26" t="s">
        <v>728</v>
      </c>
      <c r="FQ26">
        <v>1784482663.5</v>
      </c>
      <c r="FR26">
        <v>1784482954</v>
      </c>
      <c r="FS26">
        <v>29</v>
      </c>
      <c r="FT26">
        <v>8.5999999999999993E-2</v>
      </c>
      <c r="FU26">
        <v>-3.1E-2</v>
      </c>
      <c r="FV26">
        <v>-7.1340000000000003</v>
      </c>
      <c r="FW26">
        <v>-0.78400000000000003</v>
      </c>
      <c r="FX26">
        <v>444</v>
      </c>
      <c r="FY26">
        <v>25</v>
      </c>
      <c r="FZ26">
        <v>0.23</v>
      </c>
      <c r="GA26">
        <v>0.52</v>
      </c>
      <c r="GB26">
        <v>419.94225806451618</v>
      </c>
      <c r="GC26">
        <v>-0.52383870967699464</v>
      </c>
      <c r="GD26">
        <v>6.4572024174028173E-2</v>
      </c>
      <c r="GE26">
        <v>-1</v>
      </c>
      <c r="GF26">
        <v>785.55029411764701</v>
      </c>
      <c r="GG26">
        <v>-4.5131550762775641</v>
      </c>
      <c r="GH26">
        <v>0.4902169105377383</v>
      </c>
      <c r="GI26">
        <v>1</v>
      </c>
      <c r="GJ26">
        <v>0.52584492682926831</v>
      </c>
      <c r="GK26">
        <v>-0.89198387456446049</v>
      </c>
      <c r="GL26">
        <v>0.1038862640476359</v>
      </c>
      <c r="GM26">
        <v>0</v>
      </c>
      <c r="GN26">
        <v>1</v>
      </c>
      <c r="GO26">
        <v>2</v>
      </c>
      <c r="GP26" t="s">
        <v>411</v>
      </c>
      <c r="GQ26">
        <v>3.1314500000000001</v>
      </c>
      <c r="GR26">
        <v>2.7339099999999998</v>
      </c>
      <c r="GS26">
        <v>9.0195300000000006E-2</v>
      </c>
      <c r="GT26">
        <v>9.1740699999999994E-2</v>
      </c>
      <c r="GU26">
        <v>0.117732</v>
      </c>
      <c r="GV26">
        <v>0.114324</v>
      </c>
      <c r="GW26">
        <v>22591.7</v>
      </c>
      <c r="GX26">
        <v>30224.9</v>
      </c>
      <c r="GY26">
        <v>26964.5</v>
      </c>
      <c r="GZ26">
        <v>34261.9</v>
      </c>
      <c r="HA26">
        <v>34887.599999999999</v>
      </c>
      <c r="HB26">
        <v>38461.5</v>
      </c>
      <c r="HC26">
        <v>39836</v>
      </c>
      <c r="HD26">
        <v>43491.4</v>
      </c>
      <c r="HE26">
        <v>1.9068000000000001</v>
      </c>
      <c r="HF26">
        <v>1.633</v>
      </c>
      <c r="HG26">
        <v>-0.13023599999999999</v>
      </c>
      <c r="HH26">
        <v>0</v>
      </c>
      <c r="HI26">
        <v>30.89</v>
      </c>
      <c r="HJ26">
        <v>999.9</v>
      </c>
      <c r="HK26">
        <v>48.5</v>
      </c>
      <c r="HL26">
        <v>44.1</v>
      </c>
      <c r="HM26">
        <v>45.657499999999999</v>
      </c>
      <c r="HN26">
        <v>61.377400000000002</v>
      </c>
      <c r="HO26">
        <v>4.2668299999999997</v>
      </c>
      <c r="HP26">
        <v>1</v>
      </c>
      <c r="HQ26">
        <v>1.11008</v>
      </c>
      <c r="HR26">
        <v>8.7459900000000008</v>
      </c>
      <c r="HS26">
        <v>20.027200000000001</v>
      </c>
      <c r="HT26">
        <v>5.2065099999999997</v>
      </c>
      <c r="HU26">
        <v>11.9201</v>
      </c>
      <c r="HV26">
        <v>4.9824000000000002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1.86768</v>
      </c>
      <c r="IC26">
        <v>1.8634299999999999</v>
      </c>
      <c r="ID26">
        <v>1.8628899999999999</v>
      </c>
      <c r="IE26">
        <v>1.86249</v>
      </c>
      <c r="IF26">
        <v>1.86249</v>
      </c>
      <c r="IG26">
        <v>1.8629500000000001</v>
      </c>
      <c r="IH26">
        <v>1.8638600000000001</v>
      </c>
      <c r="II26">
        <v>1.86185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-7.0460000000000003</v>
      </c>
      <c r="IX26">
        <v>-0.78400000000000003</v>
      </c>
      <c r="IY26">
        <v>-5.054406356610837</v>
      </c>
      <c r="IZ26">
        <v>-5.6215304933332991E-3</v>
      </c>
      <c r="JA26">
        <v>2.3979931213773931E-6</v>
      </c>
      <c r="JB26">
        <v>-3.6297174575716598E-10</v>
      </c>
      <c r="JC26">
        <v>-1.199653433626849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4.5999999999999996</v>
      </c>
      <c r="JL26">
        <v>4.7</v>
      </c>
      <c r="JM26">
        <v>1.11938</v>
      </c>
      <c r="JN26">
        <v>2.5683600000000002</v>
      </c>
      <c r="JO26">
        <v>1.50024</v>
      </c>
      <c r="JP26">
        <v>2.2705099999999998</v>
      </c>
      <c r="JQ26">
        <v>1.4477500000000001</v>
      </c>
      <c r="JR26">
        <v>2.3901400000000002</v>
      </c>
      <c r="JS26">
        <v>49.674399999999999</v>
      </c>
      <c r="JT26">
        <v>23.851099999999999</v>
      </c>
      <c r="JU26">
        <v>18</v>
      </c>
      <c r="JV26">
        <v>550.82299999999998</v>
      </c>
      <c r="JW26">
        <v>383.30500000000001</v>
      </c>
      <c r="JX26">
        <v>23.279699999999998</v>
      </c>
      <c r="JY26">
        <v>40.142200000000003</v>
      </c>
      <c r="JZ26">
        <v>30.001000000000001</v>
      </c>
      <c r="KA26">
        <v>40.293500000000002</v>
      </c>
      <c r="KB26">
        <v>40.067999999999998</v>
      </c>
      <c r="KC26">
        <v>22.4023</v>
      </c>
      <c r="KD26">
        <v>49.110700000000001</v>
      </c>
      <c r="KE26">
        <v>0</v>
      </c>
      <c r="KF26">
        <v>23.277899999999999</v>
      </c>
      <c r="KG26">
        <v>432.029</v>
      </c>
      <c r="KH26">
        <v>25.100100000000001</v>
      </c>
      <c r="KI26">
        <v>99.543000000000006</v>
      </c>
      <c r="KJ26">
        <v>97.830200000000005</v>
      </c>
    </row>
    <row r="27" spans="1:296" x14ac:dyDescent="0.3">
      <c r="A27">
        <v>11</v>
      </c>
      <c r="B27">
        <v>1784483135.0999999</v>
      </c>
      <c r="C27">
        <v>1887</v>
      </c>
      <c r="D27" t="s">
        <v>729</v>
      </c>
      <c r="E27" t="s">
        <v>730</v>
      </c>
      <c r="F27">
        <v>15</v>
      </c>
      <c r="H27">
        <v>1784483127.099999</v>
      </c>
      <c r="I27">
        <f t="shared" si="0"/>
        <v>3.7977087923594569E-4</v>
      </c>
      <c r="J27">
        <f t="shared" si="1"/>
        <v>0.37977087923594571</v>
      </c>
      <c r="K27">
        <f t="shared" si="2"/>
        <v>2.9593175560397089</v>
      </c>
      <c r="L27">
        <f t="shared" si="3"/>
        <v>420.35799999999989</v>
      </c>
      <c r="M27">
        <f t="shared" si="4"/>
        <v>224.50109439750716</v>
      </c>
      <c r="N27">
        <f t="shared" si="5"/>
        <v>21.951883283664927</v>
      </c>
      <c r="O27">
        <f t="shared" si="6"/>
        <v>41.102916572050717</v>
      </c>
      <c r="P27">
        <f t="shared" si="7"/>
        <v>2.528040937559535E-2</v>
      </c>
      <c r="Q27">
        <f t="shared" si="8"/>
        <v>2.8893588816416647</v>
      </c>
      <c r="R27">
        <f t="shared" si="9"/>
        <v>2.5158167262504173E-2</v>
      </c>
      <c r="S27">
        <f t="shared" si="10"/>
        <v>1.5734788105586227E-2</v>
      </c>
      <c r="T27">
        <f t="shared" si="11"/>
        <v>16.509229633200093</v>
      </c>
      <c r="U27">
        <f t="shared" si="12"/>
        <v>28.233062651015405</v>
      </c>
      <c r="V27">
        <f t="shared" si="13"/>
        <v>28.638174193548391</v>
      </c>
      <c r="W27">
        <f t="shared" si="14"/>
        <v>3.938332721575184</v>
      </c>
      <c r="X27">
        <f t="shared" si="15"/>
        <v>65.270629311325735</v>
      </c>
      <c r="Y27">
        <f t="shared" si="16"/>
        <v>2.5109772465013389</v>
      </c>
      <c r="Z27">
        <f t="shared" si="17"/>
        <v>3.8470247230566152</v>
      </c>
      <c r="AA27">
        <f t="shared" si="18"/>
        <v>1.4273554750738451</v>
      </c>
      <c r="AB27">
        <f t="shared" si="19"/>
        <v>-16.747895774305206</v>
      </c>
      <c r="AC27">
        <f t="shared" si="20"/>
        <v>-62.882789590243497</v>
      </c>
      <c r="AD27">
        <f t="shared" si="21"/>
        <v>-4.7646225029694298</v>
      </c>
      <c r="AE27">
        <f t="shared" si="22"/>
        <v>-67.886078234318035</v>
      </c>
      <c r="AF27">
        <f t="shared" si="23"/>
        <v>2.9593175560397089</v>
      </c>
      <c r="AG27">
        <f t="shared" si="24"/>
        <v>0.37977087923594571</v>
      </c>
      <c r="AH27">
        <f t="shared" si="25"/>
        <v>3.1123427488453022</v>
      </c>
      <c r="AI27">
        <v>434.85102734096989</v>
      </c>
      <c r="AJ27">
        <v>431.28021818181821</v>
      </c>
      <c r="AK27">
        <v>-4.9836503715836637E-2</v>
      </c>
      <c r="AL27">
        <v>67.077250663921106</v>
      </c>
      <c r="AM27">
        <f t="shared" si="26"/>
        <v>0.40697688025834911</v>
      </c>
      <c r="AN27">
        <v>25.2370542722078</v>
      </c>
      <c r="AO27">
        <v>25.711752727272721</v>
      </c>
      <c r="AP27">
        <v>1.8348701298790299E-4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51463.182626979295</v>
      </c>
      <c r="AW27" t="s">
        <v>688</v>
      </c>
      <c r="AX27">
        <v>5075.3599999999997</v>
      </c>
      <c r="AY27">
        <v>591.49705882352941</v>
      </c>
      <c r="AZ27">
        <v>2381.3200000000002</v>
      </c>
      <c r="BA27">
        <f t="shared" si="30"/>
        <v>0.75160958677391976</v>
      </c>
      <c r="BB27">
        <v>-3.8236960685847361</v>
      </c>
      <c r="BC27" t="s">
        <v>731</v>
      </c>
      <c r="BD27">
        <v>5089.29</v>
      </c>
      <c r="BE27">
        <v>752.1134117647058</v>
      </c>
      <c r="BF27">
        <v>2030.82</v>
      </c>
      <c r="BG27">
        <f t="shared" si="31"/>
        <v>0.62965038173510912</v>
      </c>
      <c r="BH27">
        <v>0.5</v>
      </c>
      <c r="BI27">
        <f t="shared" si="32"/>
        <v>84.28267923231158</v>
      </c>
      <c r="BJ27">
        <f t="shared" si="33"/>
        <v>2.9593175560397089</v>
      </c>
      <c r="BK27">
        <f t="shared" si="34"/>
        <v>26.534310576141369</v>
      </c>
      <c r="BL27">
        <f t="shared" si="35"/>
        <v>8.0479330823456194E-2</v>
      </c>
      <c r="BM27">
        <f t="shared" si="36"/>
        <v>0.17259038221014184</v>
      </c>
      <c r="BN27">
        <f t="shared" si="37"/>
        <v>567.18207861645544</v>
      </c>
      <c r="BO27" t="s">
        <v>408</v>
      </c>
      <c r="BP27">
        <v>0</v>
      </c>
      <c r="BQ27">
        <f t="shared" si="38"/>
        <v>567.18207861645544</v>
      </c>
      <c r="BR27">
        <f t="shared" si="39"/>
        <v>0.72071277680126478</v>
      </c>
      <c r="BS27">
        <f t="shared" si="40"/>
        <v>0.8736495341870899</v>
      </c>
      <c r="BT27">
        <f t="shared" si="41"/>
        <v>0.19320471496053224</v>
      </c>
      <c r="BU27">
        <f t="shared" si="42"/>
        <v>0.88840839790277204</v>
      </c>
      <c r="BV27">
        <f t="shared" si="43"/>
        <v>0.1958294264401442</v>
      </c>
      <c r="BW27">
        <f t="shared" si="44"/>
        <v>0.65883462657564162</v>
      </c>
      <c r="BX27">
        <f t="shared" si="45"/>
        <v>0.34116537342435838</v>
      </c>
      <c r="DG27">
        <f t="shared" si="46"/>
        <v>99.997496774193536</v>
      </c>
      <c r="DH27">
        <f t="shared" si="47"/>
        <v>84.28267923231158</v>
      </c>
      <c r="DI27">
        <f t="shared" si="48"/>
        <v>0.84284789070902522</v>
      </c>
      <c r="DJ27">
        <f t="shared" si="49"/>
        <v>0.16509642906841893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1784483127.099999</v>
      </c>
      <c r="DQ27">
        <v>420.35799999999989</v>
      </c>
      <c r="DR27">
        <v>424.10080645161298</v>
      </c>
      <c r="DS27">
        <v>25.679670967741931</v>
      </c>
      <c r="DT27">
        <v>25.23564193548388</v>
      </c>
      <c r="DU27">
        <v>427.40499999999997</v>
      </c>
      <c r="DV27">
        <v>26.464670967741931</v>
      </c>
      <c r="DW27">
        <v>499.99229032258069</v>
      </c>
      <c r="DX27">
        <v>97.723367741935476</v>
      </c>
      <c r="DY27">
        <v>5.7372893548387087E-2</v>
      </c>
      <c r="DZ27">
        <v>28.234487096774188</v>
      </c>
      <c r="EA27">
        <v>28.638174193548391</v>
      </c>
      <c r="EB27">
        <v>999.90000000000032</v>
      </c>
      <c r="EC27">
        <v>0</v>
      </c>
      <c r="ED27">
        <v>0</v>
      </c>
      <c r="EE27">
        <v>10000.322580645159</v>
      </c>
      <c r="EF27">
        <v>0</v>
      </c>
      <c r="EG27">
        <v>1876.309677419355</v>
      </c>
      <c r="EH27">
        <v>-3.743164838709677</v>
      </c>
      <c r="EI27">
        <v>431.44396774193558</v>
      </c>
      <c r="EJ27">
        <v>435.08025806451622</v>
      </c>
      <c r="EK27">
        <v>0.46047893548387092</v>
      </c>
      <c r="EL27">
        <v>424.10080645161298</v>
      </c>
      <c r="EM27">
        <v>25.23564193548388</v>
      </c>
      <c r="EN27">
        <v>2.5111103225806448</v>
      </c>
      <c r="EO27">
        <v>2.466112580645162</v>
      </c>
      <c r="EP27">
        <v>21.09870322580645</v>
      </c>
      <c r="EQ27">
        <v>20.804561290322582</v>
      </c>
      <c r="ER27">
        <v>99.997496774193536</v>
      </c>
      <c r="ES27">
        <v>0.90006383870967777</v>
      </c>
      <c r="ET27">
        <v>9.9936338709677469E-2</v>
      </c>
      <c r="EU27">
        <v>0</v>
      </c>
      <c r="EV27">
        <v>751.76406451612888</v>
      </c>
      <c r="EW27">
        <v>5.0010700000000003</v>
      </c>
      <c r="EX27">
        <v>4021.300322580646</v>
      </c>
      <c r="EY27">
        <v>836.57096774193553</v>
      </c>
      <c r="EZ27">
        <v>43.186999999999969</v>
      </c>
      <c r="FA27">
        <v>47.934999999999967</v>
      </c>
      <c r="FB27">
        <v>45.512</v>
      </c>
      <c r="FC27">
        <v>47.557999999999971</v>
      </c>
      <c r="FD27">
        <v>45.141000000000012</v>
      </c>
      <c r="FE27">
        <v>85.502258064516141</v>
      </c>
      <c r="FF27">
        <v>9.4925806451612917</v>
      </c>
      <c r="FG27">
        <v>0</v>
      </c>
      <c r="FH27">
        <v>196.5999999046326</v>
      </c>
      <c r="FI27">
        <v>0</v>
      </c>
      <c r="FJ27">
        <v>752.1134117647058</v>
      </c>
      <c r="FK27">
        <v>8.1237745106080332</v>
      </c>
      <c r="FL27">
        <v>40.884803014627721</v>
      </c>
      <c r="FM27">
        <v>4016.8205882352941</v>
      </c>
      <c r="FN27">
        <v>10</v>
      </c>
      <c r="FO27">
        <v>1784483151.0999999</v>
      </c>
      <c r="FP27" t="s">
        <v>732</v>
      </c>
      <c r="FQ27">
        <v>1784483151.0999999</v>
      </c>
      <c r="FR27">
        <v>1784483151.0999999</v>
      </c>
      <c r="FS27">
        <v>30</v>
      </c>
      <c r="FT27">
        <v>1.4E-2</v>
      </c>
      <c r="FU27">
        <v>-4.0000000000000001E-3</v>
      </c>
      <c r="FV27">
        <v>-7.0469999999999997</v>
      </c>
      <c r="FW27">
        <v>-0.78500000000000003</v>
      </c>
      <c r="FX27">
        <v>424</v>
      </c>
      <c r="FY27">
        <v>25</v>
      </c>
      <c r="FZ27">
        <v>1.84</v>
      </c>
      <c r="GA27">
        <v>0.53</v>
      </c>
      <c r="GB27">
        <v>420.36230000000012</v>
      </c>
      <c r="GC27">
        <v>-0.6687163515022283</v>
      </c>
      <c r="GD27">
        <v>7.1240976036736944E-2</v>
      </c>
      <c r="GE27">
        <v>-1</v>
      </c>
      <c r="GF27">
        <v>751.45667647058826</v>
      </c>
      <c r="GG27">
        <v>6.3245683680548819</v>
      </c>
      <c r="GH27">
        <v>0.65992770194871253</v>
      </c>
      <c r="GI27">
        <v>1</v>
      </c>
      <c r="GJ27">
        <v>0.45511064999999989</v>
      </c>
      <c r="GK27">
        <v>0.1138872270168847</v>
      </c>
      <c r="GL27">
        <v>1.153061161549985E-2</v>
      </c>
      <c r="GM27">
        <v>1</v>
      </c>
      <c r="GN27">
        <v>2</v>
      </c>
      <c r="GO27">
        <v>2</v>
      </c>
      <c r="GP27" t="s">
        <v>424</v>
      </c>
      <c r="GQ27">
        <v>3.1316099999999998</v>
      </c>
      <c r="GR27">
        <v>2.7329300000000001</v>
      </c>
      <c r="GS27">
        <v>9.0251100000000001E-2</v>
      </c>
      <c r="GT27">
        <v>9.0474600000000002E-2</v>
      </c>
      <c r="GU27">
        <v>0.118171</v>
      </c>
      <c r="GV27">
        <v>0.114631</v>
      </c>
      <c r="GW27">
        <v>22590</v>
      </c>
      <c r="GX27">
        <v>30266.7</v>
      </c>
      <c r="GY27">
        <v>26964.3</v>
      </c>
      <c r="GZ27">
        <v>34261.599999999999</v>
      </c>
      <c r="HA27">
        <v>34870.1</v>
      </c>
      <c r="HB27">
        <v>38447.699999999997</v>
      </c>
      <c r="HC27">
        <v>39835.5</v>
      </c>
      <c r="HD27">
        <v>43490.9</v>
      </c>
      <c r="HE27">
        <v>1.9079999999999999</v>
      </c>
      <c r="HF27">
        <v>1.6297999999999999</v>
      </c>
      <c r="HG27">
        <v>-0.12725600000000001</v>
      </c>
      <c r="HH27">
        <v>0</v>
      </c>
      <c r="HI27">
        <v>30.7133</v>
      </c>
      <c r="HJ27">
        <v>999.9</v>
      </c>
      <c r="HK27">
        <v>48</v>
      </c>
      <c r="HL27">
        <v>44.3</v>
      </c>
      <c r="HM27">
        <v>45.660899999999998</v>
      </c>
      <c r="HN27">
        <v>61.316600000000001</v>
      </c>
      <c r="HO27">
        <v>4.7035299999999998</v>
      </c>
      <c r="HP27">
        <v>1</v>
      </c>
      <c r="HQ27">
        <v>1.0977399999999999</v>
      </c>
      <c r="HR27">
        <v>6.9357699999999998</v>
      </c>
      <c r="HS27">
        <v>20.1081</v>
      </c>
      <c r="HT27">
        <v>5.2053099999999999</v>
      </c>
      <c r="HU27">
        <v>11.914099999999999</v>
      </c>
      <c r="HV27">
        <v>4.9832000000000001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1.86768</v>
      </c>
      <c r="IC27">
        <v>1.8633999999999999</v>
      </c>
      <c r="ID27">
        <v>1.8629199999999999</v>
      </c>
      <c r="IE27">
        <v>1.86249</v>
      </c>
      <c r="IF27">
        <v>1.86249</v>
      </c>
      <c r="IG27">
        <v>1.8629500000000001</v>
      </c>
      <c r="IH27">
        <v>1.8638600000000001</v>
      </c>
      <c r="II27">
        <v>1.86182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-7.0469999999999997</v>
      </c>
      <c r="IX27">
        <v>-0.78500000000000003</v>
      </c>
      <c r="IY27">
        <v>-5.054406356610837</v>
      </c>
      <c r="IZ27">
        <v>-5.6215304933332991E-3</v>
      </c>
      <c r="JA27">
        <v>2.3979931213773931E-6</v>
      </c>
      <c r="JB27">
        <v>-3.6297174575716598E-10</v>
      </c>
      <c r="JC27">
        <v>-1.230421821600487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7.9</v>
      </c>
      <c r="JL27">
        <v>3</v>
      </c>
      <c r="JM27">
        <v>1.1035200000000001</v>
      </c>
      <c r="JN27">
        <v>2.5683600000000002</v>
      </c>
      <c r="JO27">
        <v>1.50024</v>
      </c>
      <c r="JP27">
        <v>2.2705099999999998</v>
      </c>
      <c r="JQ27">
        <v>1.4477500000000001</v>
      </c>
      <c r="JR27">
        <v>2.4853499999999999</v>
      </c>
      <c r="JS27">
        <v>49.610900000000001</v>
      </c>
      <c r="JT27">
        <v>23.886099999999999</v>
      </c>
      <c r="JU27">
        <v>18</v>
      </c>
      <c r="JV27">
        <v>551.81100000000004</v>
      </c>
      <c r="JW27">
        <v>381.488</v>
      </c>
      <c r="JX27">
        <v>24.031199999999998</v>
      </c>
      <c r="JY27">
        <v>40.165999999999997</v>
      </c>
      <c r="JZ27">
        <v>29.999600000000001</v>
      </c>
      <c r="KA27">
        <v>40.313099999999999</v>
      </c>
      <c r="KB27">
        <v>40.079700000000003</v>
      </c>
      <c r="KC27">
        <v>22.067</v>
      </c>
      <c r="KD27">
        <v>48.847299999999997</v>
      </c>
      <c r="KE27">
        <v>0</v>
      </c>
      <c r="KF27">
        <v>24.0702</v>
      </c>
      <c r="KG27">
        <v>423.85899999999998</v>
      </c>
      <c r="KH27">
        <v>25.215399999999999</v>
      </c>
      <c r="KI27">
        <v>99.541799999999995</v>
      </c>
      <c r="KJ27">
        <v>97.829099999999997</v>
      </c>
    </row>
    <row r="28" spans="1:296" x14ac:dyDescent="0.3">
      <c r="A28">
        <v>12</v>
      </c>
      <c r="B28">
        <v>1784483332.0999999</v>
      </c>
      <c r="C28">
        <v>2084</v>
      </c>
      <c r="D28" t="s">
        <v>733</v>
      </c>
      <c r="E28" t="s">
        <v>734</v>
      </c>
      <c r="F28">
        <v>15</v>
      </c>
      <c r="H28">
        <v>1784483324.099999</v>
      </c>
      <c r="I28">
        <f t="shared" si="0"/>
        <v>6.1235126798374676E-5</v>
      </c>
      <c r="J28">
        <f t="shared" si="1"/>
        <v>6.1235126798374673E-2</v>
      </c>
      <c r="K28">
        <f t="shared" si="2"/>
        <v>1.0055253913676734</v>
      </c>
      <c r="L28">
        <f t="shared" si="3"/>
        <v>420.15322580645147</v>
      </c>
      <c r="M28">
        <f t="shared" si="4"/>
        <v>6.9699027107832237</v>
      </c>
      <c r="N28">
        <f t="shared" si="5"/>
        <v>0.68154916873563676</v>
      </c>
      <c r="O28">
        <f t="shared" si="6"/>
        <v>41.084516337216549</v>
      </c>
      <c r="P28">
        <f t="shared" si="7"/>
        <v>3.9469739929587286E-3</v>
      </c>
      <c r="Q28">
        <f t="shared" si="8"/>
        <v>2.8886494580613014</v>
      </c>
      <c r="R28">
        <f t="shared" si="9"/>
        <v>3.9439803135035414E-3</v>
      </c>
      <c r="S28">
        <f t="shared" si="10"/>
        <v>2.4652564706694668E-3</v>
      </c>
      <c r="T28">
        <f t="shared" si="11"/>
        <v>8.239542995710563</v>
      </c>
      <c r="U28">
        <f t="shared" si="12"/>
        <v>28.399999158157708</v>
      </c>
      <c r="V28">
        <f t="shared" si="13"/>
        <v>28.773</v>
      </c>
      <c r="W28">
        <f t="shared" si="14"/>
        <v>3.9692464784770984</v>
      </c>
      <c r="X28">
        <f t="shared" si="15"/>
        <v>64.518851817234548</v>
      </c>
      <c r="Y28">
        <f t="shared" si="16"/>
        <v>2.5012519141696252</v>
      </c>
      <c r="Z28">
        <f t="shared" si="17"/>
        <v>3.8767768547013732</v>
      </c>
      <c r="AA28">
        <f t="shared" si="18"/>
        <v>1.4679945643074732</v>
      </c>
      <c r="AB28">
        <f t="shared" si="19"/>
        <v>-2.7004690918083232</v>
      </c>
      <c r="AC28">
        <f t="shared" si="20"/>
        <v>-63.237592332606312</v>
      </c>
      <c r="AD28">
        <f t="shared" si="21"/>
        <v>-4.7990597496352647</v>
      </c>
      <c r="AE28">
        <f t="shared" si="22"/>
        <v>-62.497578178339339</v>
      </c>
      <c r="AF28">
        <f t="shared" si="23"/>
        <v>1.0055253913676734</v>
      </c>
      <c r="AG28">
        <f t="shared" si="24"/>
        <v>6.1235126798374673E-2</v>
      </c>
      <c r="AH28">
        <f t="shared" si="25"/>
        <v>0.74637126061013737</v>
      </c>
      <c r="AI28">
        <v>432.33963088129798</v>
      </c>
      <c r="AJ28">
        <v>431.30090909090922</v>
      </c>
      <c r="AK28">
        <v>2.287356592382819E-2</v>
      </c>
      <c r="AL28">
        <v>67.07385250729989</v>
      </c>
      <c r="AM28">
        <f t="shared" si="26"/>
        <v>7.6685687770818384E-2</v>
      </c>
      <c r="AN28">
        <v>25.504597036103899</v>
      </c>
      <c r="AO28">
        <v>25.593713333333341</v>
      </c>
      <c r="AP28">
        <v>9.0158730160350869E-5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51420.553676911819</v>
      </c>
      <c r="AW28" t="s">
        <v>688</v>
      </c>
      <c r="AX28">
        <v>5075.3599999999997</v>
      </c>
      <c r="AY28">
        <v>591.49705882352941</v>
      </c>
      <c r="AZ28">
        <v>2381.3200000000002</v>
      </c>
      <c r="BA28">
        <f t="shared" si="30"/>
        <v>0.75160958677391976</v>
      </c>
      <c r="BB28">
        <v>-3.8236960685847361</v>
      </c>
      <c r="BC28" t="s">
        <v>735</v>
      </c>
      <c r="BD28">
        <v>5086.38</v>
      </c>
      <c r="BE28">
        <v>726.49517647058826</v>
      </c>
      <c r="BF28">
        <v>2137.1</v>
      </c>
      <c r="BG28">
        <f t="shared" si="31"/>
        <v>0.66005560036002608</v>
      </c>
      <c r="BH28">
        <v>0.5</v>
      </c>
      <c r="BI28">
        <f t="shared" si="32"/>
        <v>42.129668123466949</v>
      </c>
      <c r="BJ28">
        <f t="shared" si="33"/>
        <v>1.0055253913676734</v>
      </c>
      <c r="BK28">
        <f t="shared" si="34"/>
        <v>13.903961693101815</v>
      </c>
      <c r="BL28">
        <f t="shared" si="35"/>
        <v>0.1146275694790591</v>
      </c>
      <c r="BM28">
        <f t="shared" si="36"/>
        <v>0.11427635580927438</v>
      </c>
      <c r="BN28">
        <f t="shared" si="37"/>
        <v>575.17075009250345</v>
      </c>
      <c r="BO28" t="s">
        <v>408</v>
      </c>
      <c r="BP28">
        <v>0</v>
      </c>
      <c r="BQ28">
        <f t="shared" si="38"/>
        <v>575.17075009250345</v>
      </c>
      <c r="BR28">
        <f t="shared" si="39"/>
        <v>0.73086390431308623</v>
      </c>
      <c r="BS28">
        <f t="shared" si="40"/>
        <v>0.90311697768189769</v>
      </c>
      <c r="BT28">
        <f t="shared" si="41"/>
        <v>0.13521584664861344</v>
      </c>
      <c r="BU28">
        <f t="shared" si="42"/>
        <v>0.91265666359026065</v>
      </c>
      <c r="BV28">
        <f t="shared" si="43"/>
        <v>0.13644925114183176</v>
      </c>
      <c r="BW28">
        <f t="shared" si="44"/>
        <v>0.71500332871873007</v>
      </c>
      <c r="BX28">
        <f t="shared" si="45"/>
        <v>0.28499667128126993</v>
      </c>
      <c r="DG28">
        <f t="shared" si="46"/>
        <v>49.993648387096783</v>
      </c>
      <c r="DH28">
        <f t="shared" si="47"/>
        <v>42.129668123466949</v>
      </c>
      <c r="DI28">
        <f t="shared" si="48"/>
        <v>0.84270041260562401</v>
      </c>
      <c r="DJ28">
        <f t="shared" si="49"/>
        <v>0.16481179632885454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1784483324.099999</v>
      </c>
      <c r="DQ28">
        <v>420.15322580645147</v>
      </c>
      <c r="DR28">
        <v>421.3907419354839</v>
      </c>
      <c r="DS28">
        <v>25.5792</v>
      </c>
      <c r="DT28">
        <v>25.507596774193551</v>
      </c>
      <c r="DU28">
        <v>427.25974193548382</v>
      </c>
      <c r="DV28">
        <v>26.35210967741935</v>
      </c>
      <c r="DW28">
        <v>499.99519354838719</v>
      </c>
      <c r="DX28">
        <v>97.727683870967724</v>
      </c>
      <c r="DY28">
        <v>5.6919016129032253E-2</v>
      </c>
      <c r="DZ28">
        <v>28.366935483870972</v>
      </c>
      <c r="EA28">
        <v>28.773</v>
      </c>
      <c r="EB28">
        <v>999.90000000000032</v>
      </c>
      <c r="EC28">
        <v>0</v>
      </c>
      <c r="ED28">
        <v>0</v>
      </c>
      <c r="EE28">
        <v>9995.8064516129034</v>
      </c>
      <c r="EF28">
        <v>0</v>
      </c>
      <c r="EG28">
        <v>1881.6925806451609</v>
      </c>
      <c r="EH28">
        <v>-1.237363838709677</v>
      </c>
      <c r="EI28">
        <v>431.18254838709669</v>
      </c>
      <c r="EJ28">
        <v>432.42054838709669</v>
      </c>
      <c r="EK28">
        <v>7.1596019354838711E-2</v>
      </c>
      <c r="EL28">
        <v>421.3907419354839</v>
      </c>
      <c r="EM28">
        <v>25.507596774193551</v>
      </c>
      <c r="EN28">
        <v>2.4997951612903222</v>
      </c>
      <c r="EO28">
        <v>2.4927987096774191</v>
      </c>
      <c r="EP28">
        <v>21.02516774193548</v>
      </c>
      <c r="EQ28">
        <v>20.979570967741939</v>
      </c>
      <c r="ER28">
        <v>49.993648387096783</v>
      </c>
      <c r="ES28">
        <v>0.89996183870967772</v>
      </c>
      <c r="ET28">
        <v>0.1000383419354839</v>
      </c>
      <c r="EU28">
        <v>0</v>
      </c>
      <c r="EV28">
        <v>726.47296774193535</v>
      </c>
      <c r="EW28">
        <v>5.0010700000000003</v>
      </c>
      <c r="EX28">
        <v>3715.748064516129</v>
      </c>
      <c r="EY28">
        <v>396.20361290322569</v>
      </c>
      <c r="EZ28">
        <v>42.75</v>
      </c>
      <c r="FA28">
        <v>47.691064516129003</v>
      </c>
      <c r="FB28">
        <v>45.125</v>
      </c>
      <c r="FC28">
        <v>47.307999999999971</v>
      </c>
      <c r="FD28">
        <v>44.785999999999987</v>
      </c>
      <c r="FE28">
        <v>40.491290322580653</v>
      </c>
      <c r="FF28">
        <v>4.5</v>
      </c>
      <c r="FG28">
        <v>0</v>
      </c>
      <c r="FH28">
        <v>196.60000014305109</v>
      </c>
      <c r="FI28">
        <v>0</v>
      </c>
      <c r="FJ28">
        <v>726.49517647058826</v>
      </c>
      <c r="FK28">
        <v>-1.670833332239243</v>
      </c>
      <c r="FL28">
        <v>-68.960783993608047</v>
      </c>
      <c r="FM28">
        <v>3716.47</v>
      </c>
      <c r="FN28">
        <v>10</v>
      </c>
      <c r="FO28">
        <v>1784483208.5999999</v>
      </c>
      <c r="FP28" t="s">
        <v>736</v>
      </c>
      <c r="FQ28">
        <v>1784483208.5999999</v>
      </c>
      <c r="FR28">
        <v>1784483206.0999999</v>
      </c>
      <c r="FS28">
        <v>31</v>
      </c>
      <c r="FT28">
        <v>-7.3999999999999996E-2</v>
      </c>
      <c r="FU28">
        <v>3.0000000000000001E-3</v>
      </c>
      <c r="FV28">
        <v>-7.1180000000000003</v>
      </c>
      <c r="FW28">
        <v>-0.78300000000000003</v>
      </c>
      <c r="FX28">
        <v>423</v>
      </c>
      <c r="FY28">
        <v>25</v>
      </c>
      <c r="FZ28">
        <v>1.54</v>
      </c>
      <c r="GA28">
        <v>0.59</v>
      </c>
      <c r="GB28">
        <v>420.15322580645147</v>
      </c>
      <c r="GC28">
        <v>0.58945161290247561</v>
      </c>
      <c r="GD28">
        <v>6.7294111172845575E-2</v>
      </c>
      <c r="GE28">
        <v>-1</v>
      </c>
      <c r="GF28">
        <v>726.4901470588236</v>
      </c>
      <c r="GG28">
        <v>-0.1777387376840133</v>
      </c>
      <c r="GH28">
        <v>0.21097966620073419</v>
      </c>
      <c r="GI28">
        <v>1</v>
      </c>
      <c r="GJ28">
        <v>7.9131882926829281E-2</v>
      </c>
      <c r="GK28">
        <v>-4.6897396515679313E-2</v>
      </c>
      <c r="GL28">
        <v>2.9866963814734901E-2</v>
      </c>
      <c r="GM28">
        <v>1</v>
      </c>
      <c r="GN28">
        <v>2</v>
      </c>
      <c r="GO28">
        <v>2</v>
      </c>
      <c r="GP28" t="s">
        <v>424</v>
      </c>
      <c r="GQ28">
        <v>3.1316299999999999</v>
      </c>
      <c r="GR28">
        <v>2.73271</v>
      </c>
      <c r="GS28">
        <v>9.0274400000000005E-2</v>
      </c>
      <c r="GT28">
        <v>9.0061199999999994E-2</v>
      </c>
      <c r="GU28">
        <v>0.11786099999999999</v>
      </c>
      <c r="GV28">
        <v>0.115504</v>
      </c>
      <c r="GW28">
        <v>22596.2</v>
      </c>
      <c r="GX28">
        <v>30291.4</v>
      </c>
      <c r="GY28">
        <v>26971.5</v>
      </c>
      <c r="GZ28">
        <v>34272.9</v>
      </c>
      <c r="HA28">
        <v>34890.9</v>
      </c>
      <c r="HB28">
        <v>38421.699999999997</v>
      </c>
      <c r="HC28">
        <v>39846.400000000001</v>
      </c>
      <c r="HD28">
        <v>43504.7</v>
      </c>
      <c r="HE28">
        <v>1.9088000000000001</v>
      </c>
      <c r="HF28">
        <v>1.6326000000000001</v>
      </c>
      <c r="HG28">
        <v>-0.12159300000000001</v>
      </c>
      <c r="HH28">
        <v>0</v>
      </c>
      <c r="HI28">
        <v>30.760999999999999</v>
      </c>
      <c r="HJ28">
        <v>999.9</v>
      </c>
      <c r="HK28">
        <v>47.4</v>
      </c>
      <c r="HL28">
        <v>44.5</v>
      </c>
      <c r="HM28">
        <v>45.555300000000003</v>
      </c>
      <c r="HN28">
        <v>61.386600000000001</v>
      </c>
      <c r="HO28">
        <v>4.6474399999999996</v>
      </c>
      <c r="HP28">
        <v>1</v>
      </c>
      <c r="HQ28">
        <v>1.08589</v>
      </c>
      <c r="HR28">
        <v>7.4615</v>
      </c>
      <c r="HS28">
        <v>20.086200000000002</v>
      </c>
      <c r="HT28">
        <v>5.2112999999999996</v>
      </c>
      <c r="HU28">
        <v>11.9153</v>
      </c>
      <c r="HV28">
        <v>4.9836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1.86768</v>
      </c>
      <c r="IC28">
        <v>1.8633999999999999</v>
      </c>
      <c r="ID28">
        <v>1.8629199999999999</v>
      </c>
      <c r="IE28">
        <v>1.86249</v>
      </c>
      <c r="IF28">
        <v>1.86246</v>
      </c>
      <c r="IG28">
        <v>1.8629199999999999</v>
      </c>
      <c r="IH28">
        <v>1.8638600000000001</v>
      </c>
      <c r="II28">
        <v>1.86185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-7.1070000000000002</v>
      </c>
      <c r="IX28">
        <v>-0.77249999999999996</v>
      </c>
      <c r="IY28">
        <v>-5.1141132350322689</v>
      </c>
      <c r="IZ28">
        <v>-5.6215304933332991E-3</v>
      </c>
      <c r="JA28">
        <v>2.3979931213773931E-6</v>
      </c>
      <c r="JB28">
        <v>-3.6297174575716598E-10</v>
      </c>
      <c r="JC28">
        <v>-1.231529311894509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2.1</v>
      </c>
      <c r="JL28">
        <v>2.1</v>
      </c>
      <c r="JM28">
        <v>1.09863</v>
      </c>
      <c r="JN28">
        <v>2.5732400000000002</v>
      </c>
      <c r="JO28">
        <v>1.50024</v>
      </c>
      <c r="JP28">
        <v>2.2692899999999998</v>
      </c>
      <c r="JQ28">
        <v>1.4477500000000001</v>
      </c>
      <c r="JR28">
        <v>2.50854</v>
      </c>
      <c r="JS28">
        <v>49.5792</v>
      </c>
      <c r="JT28">
        <v>23.886099999999999</v>
      </c>
      <c r="JU28">
        <v>18</v>
      </c>
      <c r="JV28">
        <v>551.53700000000003</v>
      </c>
      <c r="JW28">
        <v>382.57600000000002</v>
      </c>
      <c r="JX28">
        <v>23.932500000000001</v>
      </c>
      <c r="JY28">
        <v>39.995800000000003</v>
      </c>
      <c r="JZ28">
        <v>30.000499999999999</v>
      </c>
      <c r="KA28">
        <v>40.203899999999997</v>
      </c>
      <c r="KB28">
        <v>39.975200000000001</v>
      </c>
      <c r="KC28">
        <v>21.974</v>
      </c>
      <c r="KD28">
        <v>48.2029</v>
      </c>
      <c r="KE28">
        <v>0</v>
      </c>
      <c r="KF28">
        <v>23.927600000000002</v>
      </c>
      <c r="KG28">
        <v>421.19400000000002</v>
      </c>
      <c r="KH28">
        <v>25.5685</v>
      </c>
      <c r="KI28">
        <v>99.568799999999996</v>
      </c>
      <c r="KJ28">
        <v>97.860699999999994</v>
      </c>
    </row>
    <row r="29" spans="1:296" x14ac:dyDescent="0.3">
      <c r="A29">
        <v>13</v>
      </c>
      <c r="B29">
        <v>1784483514.5999999</v>
      </c>
      <c r="C29">
        <v>2266.5</v>
      </c>
      <c r="D29" t="s">
        <v>737</v>
      </c>
      <c r="E29" t="s">
        <v>738</v>
      </c>
      <c r="F29">
        <v>15</v>
      </c>
      <c r="H29">
        <v>1784483506.849999</v>
      </c>
      <c r="I29">
        <f t="shared" si="0"/>
        <v>2.4105887764661202E-5</v>
      </c>
      <c r="J29">
        <f t="shared" si="1"/>
        <v>2.4105887764661202E-2</v>
      </c>
      <c r="K29">
        <f t="shared" si="2"/>
        <v>-3.1476729285105192</v>
      </c>
      <c r="L29">
        <f t="shared" si="3"/>
        <v>420.24936666666667</v>
      </c>
      <c r="M29">
        <f t="shared" si="4"/>
        <v>3579.6391985108057</v>
      </c>
      <c r="N29">
        <f t="shared" si="5"/>
        <v>350.01774264951166</v>
      </c>
      <c r="O29">
        <f t="shared" si="6"/>
        <v>41.092056074184143</v>
      </c>
      <c r="P29">
        <f t="shared" si="7"/>
        <v>1.5700568367325661E-3</v>
      </c>
      <c r="Q29">
        <f t="shared" si="8"/>
        <v>2.8899105754075842</v>
      </c>
      <c r="R29">
        <f t="shared" si="9"/>
        <v>1.5695831051967958E-3</v>
      </c>
      <c r="S29">
        <f t="shared" si="10"/>
        <v>9.810319906897022E-4</v>
      </c>
      <c r="T29">
        <f t="shared" si="11"/>
        <v>1.5966703903835998E-4</v>
      </c>
      <c r="U29">
        <f t="shared" si="12"/>
        <v>28.307354313558147</v>
      </c>
      <c r="V29">
        <f t="shared" si="13"/>
        <v>28.692636666666669</v>
      </c>
      <c r="W29">
        <f t="shared" si="14"/>
        <v>3.9507948667666084</v>
      </c>
      <c r="X29">
        <f t="shared" si="15"/>
        <v>64.650228964584073</v>
      </c>
      <c r="Y29">
        <f t="shared" si="16"/>
        <v>2.4985979645159335</v>
      </c>
      <c r="Z29">
        <f t="shared" si="17"/>
        <v>3.8647936821456361</v>
      </c>
      <c r="AA29">
        <f t="shared" si="18"/>
        <v>1.4521969022506749</v>
      </c>
      <c r="AB29">
        <f t="shared" si="19"/>
        <v>-1.0630696504215591</v>
      </c>
      <c r="AC29">
        <f t="shared" si="20"/>
        <v>-59.039177487244153</v>
      </c>
      <c r="AD29">
        <f t="shared" si="21"/>
        <v>-4.4755138666385061</v>
      </c>
      <c r="AE29">
        <f t="shared" si="22"/>
        <v>-64.577601337265179</v>
      </c>
      <c r="AF29">
        <f t="shared" si="23"/>
        <v>-3.1476729285105192</v>
      </c>
      <c r="AG29">
        <f t="shared" si="24"/>
        <v>2.4105887764661202E-2</v>
      </c>
      <c r="AH29">
        <f t="shared" si="25"/>
        <v>-3.1462881319714757</v>
      </c>
      <c r="AI29">
        <v>427.27296212994241</v>
      </c>
      <c r="AJ29">
        <v>431.16153939393922</v>
      </c>
      <c r="AK29">
        <v>-2.646950373174241E-3</v>
      </c>
      <c r="AL29">
        <v>67.07385250729989</v>
      </c>
      <c r="AM29">
        <f t="shared" si="26"/>
        <v>9.5690393784225766E-2</v>
      </c>
      <c r="AN29">
        <v>25.523272634199142</v>
      </c>
      <c r="AO29">
        <v>25.60333939393939</v>
      </c>
      <c r="AP29">
        <v>5.1960865800856331E-3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51465.291182129746</v>
      </c>
      <c r="AW29" t="s">
        <v>571</v>
      </c>
      <c r="AX29">
        <v>5079.32</v>
      </c>
      <c r="AY29">
        <v>585.89117647058833</v>
      </c>
      <c r="AZ29">
        <v>2401.2399999999998</v>
      </c>
      <c r="BA29">
        <f t="shared" si="30"/>
        <v>0.75600474068789936</v>
      </c>
      <c r="BB29">
        <v>-3.1476729285104721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-3.1476729285105192</v>
      </c>
      <c r="BK29" t="e">
        <f t="shared" si="34"/>
        <v>#DIV/0!</v>
      </c>
      <c r="BL29">
        <f t="shared" si="35"/>
        <v>-5.6016299545903629E-11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1.3227430281589052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1784483506.849999</v>
      </c>
      <c r="DQ29">
        <v>420.24936666666667</v>
      </c>
      <c r="DR29">
        <v>416.48403333333329</v>
      </c>
      <c r="DS29">
        <v>25.553216666666671</v>
      </c>
      <c r="DT29">
        <v>25.525026666666669</v>
      </c>
      <c r="DU29">
        <v>427.21836666666672</v>
      </c>
      <c r="DV29">
        <v>26.32821666666667</v>
      </c>
      <c r="DW29">
        <v>499.96249999999992</v>
      </c>
      <c r="DX29">
        <v>97.723289999999977</v>
      </c>
      <c r="DY29">
        <v>5.6883710000000011E-2</v>
      </c>
      <c r="DZ29">
        <v>28.313696666666669</v>
      </c>
      <c r="EA29">
        <v>28.692636666666669</v>
      </c>
      <c r="EB29">
        <v>999.9000000000002</v>
      </c>
      <c r="EC29">
        <v>0</v>
      </c>
      <c r="ED29">
        <v>0</v>
      </c>
      <c r="EE29">
        <v>10003.5</v>
      </c>
      <c r="EF29">
        <v>0</v>
      </c>
      <c r="EG29">
        <v>1880.5509999999999</v>
      </c>
      <c r="EH29">
        <v>3.627876333333333</v>
      </c>
      <c r="EI29">
        <v>431.12923333333339</v>
      </c>
      <c r="EJ29">
        <v>427.39330000000001</v>
      </c>
      <c r="EK29">
        <v>2.9596588E-2</v>
      </c>
      <c r="EL29">
        <v>416.48403333333329</v>
      </c>
      <c r="EM29">
        <v>25.525026666666669</v>
      </c>
      <c r="EN29">
        <v>2.4972823333333332</v>
      </c>
      <c r="EO29">
        <v>2.494389</v>
      </c>
      <c r="EP29">
        <v>21.008786666666669</v>
      </c>
      <c r="EQ29">
        <v>20.98994333333334</v>
      </c>
      <c r="ER29">
        <v>1.00021E-2</v>
      </c>
      <c r="ES29">
        <v>0</v>
      </c>
      <c r="ET29">
        <v>0</v>
      </c>
      <c r="EU29">
        <v>0</v>
      </c>
      <c r="EV29">
        <v>586.38999999999987</v>
      </c>
      <c r="EW29">
        <v>1.00021E-2</v>
      </c>
      <c r="EX29">
        <v>3326.9850000000001</v>
      </c>
      <c r="EY29">
        <v>2.6916666666666669</v>
      </c>
      <c r="EZ29">
        <v>42.436999999999983</v>
      </c>
      <c r="FA29">
        <v>47.5</v>
      </c>
      <c r="FB29">
        <v>44.8874</v>
      </c>
      <c r="FC29">
        <v>46.957999999999977</v>
      </c>
      <c r="FD29">
        <v>44.311999999999983</v>
      </c>
      <c r="FE29">
        <v>0</v>
      </c>
      <c r="FF29">
        <v>0</v>
      </c>
      <c r="FG29">
        <v>0</v>
      </c>
      <c r="FH29">
        <v>181.80000019073489</v>
      </c>
      <c r="FI29">
        <v>0</v>
      </c>
      <c r="FJ29">
        <v>585.89117647058833</v>
      </c>
      <c r="FK29">
        <v>-37.218136169782127</v>
      </c>
      <c r="FL29">
        <v>63.370097811651227</v>
      </c>
      <c r="FM29">
        <v>3325.6764705882351</v>
      </c>
      <c r="FN29">
        <v>10</v>
      </c>
      <c r="FO29">
        <v>1784483531.5999999</v>
      </c>
      <c r="FP29" t="s">
        <v>739</v>
      </c>
      <c r="FQ29">
        <v>1784483530.5999999</v>
      </c>
      <c r="FR29">
        <v>1784483531.5999999</v>
      </c>
      <c r="FS29">
        <v>32</v>
      </c>
      <c r="FT29">
        <v>0.124</v>
      </c>
      <c r="FU29">
        <v>-1E-3</v>
      </c>
      <c r="FV29">
        <v>-6.9690000000000003</v>
      </c>
      <c r="FW29">
        <v>-0.77500000000000002</v>
      </c>
      <c r="FX29">
        <v>416</v>
      </c>
      <c r="FY29">
        <v>26</v>
      </c>
      <c r="FZ29">
        <v>1.65</v>
      </c>
      <c r="GA29">
        <v>0.46</v>
      </c>
      <c r="GB29">
        <v>420.10566666666671</v>
      </c>
      <c r="GC29">
        <v>0.5699132369299803</v>
      </c>
      <c r="GD29">
        <v>6.2043174931297317E-2</v>
      </c>
      <c r="GE29">
        <v>-1</v>
      </c>
      <c r="GF29">
        <v>587.14117647058822</v>
      </c>
      <c r="GG29">
        <v>-15.058823621965789</v>
      </c>
      <c r="GH29">
        <v>5.3794608108914552</v>
      </c>
      <c r="GI29">
        <v>0</v>
      </c>
      <c r="GJ29">
        <v>3.3528499999999772E-5</v>
      </c>
      <c r="GK29">
        <v>0.49682441380863063</v>
      </c>
      <c r="GL29">
        <v>4.8115605137014357E-2</v>
      </c>
      <c r="GM29">
        <v>1</v>
      </c>
      <c r="GN29">
        <v>1</v>
      </c>
      <c r="GO29">
        <v>2</v>
      </c>
      <c r="GP29" t="s">
        <v>411</v>
      </c>
      <c r="GQ29">
        <v>3.1324999999999998</v>
      </c>
      <c r="GR29">
        <v>2.73353</v>
      </c>
      <c r="GS29">
        <v>9.0290400000000007E-2</v>
      </c>
      <c r="GT29">
        <v>8.9254100000000003E-2</v>
      </c>
      <c r="GU29">
        <v>0.11793099999999999</v>
      </c>
      <c r="GV29">
        <v>0.115603</v>
      </c>
      <c r="GW29">
        <v>22602</v>
      </c>
      <c r="GX29">
        <v>30325.7</v>
      </c>
      <c r="GY29">
        <v>26978.1</v>
      </c>
      <c r="GZ29">
        <v>34280</v>
      </c>
      <c r="HA29">
        <v>34896</v>
      </c>
      <c r="HB29">
        <v>38424.400000000001</v>
      </c>
      <c r="HC29">
        <v>39856.199999999997</v>
      </c>
      <c r="HD29">
        <v>43513</v>
      </c>
      <c r="HE29">
        <v>1.91</v>
      </c>
      <c r="HF29">
        <v>1.635</v>
      </c>
      <c r="HG29">
        <v>-0.123084</v>
      </c>
      <c r="HH29">
        <v>0</v>
      </c>
      <c r="HI29">
        <v>30.704699999999999</v>
      </c>
      <c r="HJ29">
        <v>999.9</v>
      </c>
      <c r="HK29">
        <v>46.8</v>
      </c>
      <c r="HL29">
        <v>44.7</v>
      </c>
      <c r="HM29">
        <v>45.451099999999997</v>
      </c>
      <c r="HN29">
        <v>61.096699999999998</v>
      </c>
      <c r="HO29">
        <v>4.5472799999999998</v>
      </c>
      <c r="HP29">
        <v>1</v>
      </c>
      <c r="HQ29">
        <v>1.06616</v>
      </c>
      <c r="HR29">
        <v>6.7301099999999998</v>
      </c>
      <c r="HS29">
        <v>20.1159</v>
      </c>
      <c r="HT29">
        <v>5.2088999999999999</v>
      </c>
      <c r="HU29">
        <v>11.914099999999999</v>
      </c>
      <c r="HV29">
        <v>4.9816000000000003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1.86768</v>
      </c>
      <c r="IC29">
        <v>1.8633999999999999</v>
      </c>
      <c r="ID29">
        <v>1.8629199999999999</v>
      </c>
      <c r="IE29">
        <v>1.86249</v>
      </c>
      <c r="IF29">
        <v>1.86246</v>
      </c>
      <c r="IG29">
        <v>1.8628199999999999</v>
      </c>
      <c r="IH29">
        <v>1.8638600000000001</v>
      </c>
      <c r="II29">
        <v>1.86178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-6.9690000000000003</v>
      </c>
      <c r="IX29">
        <v>-0.77500000000000002</v>
      </c>
      <c r="IY29">
        <v>-5.1141132350322689</v>
      </c>
      <c r="IZ29">
        <v>-5.6215304933332991E-3</v>
      </c>
      <c r="JA29">
        <v>2.3979931213773931E-6</v>
      </c>
      <c r="JB29">
        <v>-3.6297174575716598E-10</v>
      </c>
      <c r="JC29">
        <v>-1.231529311894509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5.0999999999999996</v>
      </c>
      <c r="JL29">
        <v>5.0999999999999996</v>
      </c>
      <c r="JM29">
        <v>1.08887</v>
      </c>
      <c r="JN29">
        <v>2.5805699999999998</v>
      </c>
      <c r="JO29">
        <v>1.50024</v>
      </c>
      <c r="JP29">
        <v>2.2692899999999998</v>
      </c>
      <c r="JQ29">
        <v>1.4477500000000001</v>
      </c>
      <c r="JR29">
        <v>2.34253</v>
      </c>
      <c r="JS29">
        <v>49.5792</v>
      </c>
      <c r="JT29">
        <v>23.886099999999999</v>
      </c>
      <c r="JU29">
        <v>18</v>
      </c>
      <c r="JV29">
        <v>551.22199999999998</v>
      </c>
      <c r="JW29">
        <v>383.25799999999998</v>
      </c>
      <c r="JX29">
        <v>24.169699999999999</v>
      </c>
      <c r="JY29">
        <v>39.818899999999999</v>
      </c>
      <c r="JZ29">
        <v>29.999700000000001</v>
      </c>
      <c r="KA29">
        <v>40.052799999999998</v>
      </c>
      <c r="KB29">
        <v>39.840499999999999</v>
      </c>
      <c r="KC29">
        <v>21.787500000000001</v>
      </c>
      <c r="KD29">
        <v>48.168300000000002</v>
      </c>
      <c r="KE29">
        <v>0</v>
      </c>
      <c r="KF29">
        <v>24.18</v>
      </c>
      <c r="KG29">
        <v>416.387</v>
      </c>
      <c r="KH29">
        <v>25.546900000000001</v>
      </c>
      <c r="KI29">
        <v>99.593299999999999</v>
      </c>
      <c r="KJ29">
        <v>97.880200000000002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C179-0563-4B4E-BA8C-6EB6151D260B}">
  <dimension ref="A2:KJ29"/>
  <sheetViews>
    <sheetView workbookViewId="0">
      <selection sqref="A1:XFD104857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1784644659.5999999</v>
      </c>
      <c r="C17">
        <v>0</v>
      </c>
      <c r="D17" t="s">
        <v>740</v>
      </c>
      <c r="E17" t="s">
        <v>741</v>
      </c>
      <c r="F17">
        <v>15</v>
      </c>
      <c r="H17">
        <v>1784644651.849999</v>
      </c>
      <c r="I17">
        <f t="shared" ref="I17:I29" si="0">(J17)/1000</f>
        <v>3.7909363823739359E-3</v>
      </c>
      <c r="J17">
        <f t="shared" ref="J17:J29" si="1">IF(DO17, AM17, AG17)</f>
        <v>3.7909363823739359</v>
      </c>
      <c r="K17">
        <f t="shared" ref="K17:K29" si="2">IF(DO17, AH17, AF17)</f>
        <v>45.204071666580191</v>
      </c>
      <c r="L17">
        <f t="shared" ref="L17:L29" si="3">DQ17 - IF(AT17&gt;1, K17*DK17*100/(AV17), 0)</f>
        <v>418.93756666666673</v>
      </c>
      <c r="M17">
        <f t="shared" ref="M17:M29" si="4">((S17-I17/2)*L17-K17)/(S17+I17/2)</f>
        <v>136.28473328104846</v>
      </c>
      <c r="N17">
        <f t="shared" ref="N17:N29" si="5">M17*(DX17+DY17)/1000</f>
        <v>13.32190338592209</v>
      </c>
      <c r="O17">
        <f t="shared" ref="O17:O29" si="6">(DQ17 - IF(AT17&gt;1, K17*DK17*100/(AV17), 0))*(DX17+DY17)/1000</f>
        <v>40.951364496251465</v>
      </c>
      <c r="P17">
        <f t="shared" ref="P17:P29" si="7">2/((1/R17-1/Q17)+SIGN(R17)*SQRT((1/R17-1/Q17)*(1/R17-1/Q17) + 4*DL17/((DL17+1)*(DL17+1))*(2*1/R17*1/Q17-1/Q17*1/Q17)))</f>
        <v>0.27360261102234862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2.8876270526526771</v>
      </c>
      <c r="R17">
        <f t="shared" ref="R17:R29" si="9">I17*(1000-(1000*0.61365*EXP(17.502*V17/(240.97+V17))/(DX17+DY17)+DS17)/2)/(1000*0.61365*EXP(17.502*V17/(240.97+V17))/(DX17+DY17)-DS17)</f>
        <v>0.25997321169897086</v>
      </c>
      <c r="S17">
        <f t="shared" ref="S17:S29" si="10">1/((DL17+1)/(P17/1.6)+1/(Q17/1.37)) + DL17/((DL17+1)/(P17/1.6) + DL17/(Q17/1.37))</f>
        <v>0.16365120887382673</v>
      </c>
      <c r="T17">
        <f t="shared" ref="T17:T29" si="11">(DG17*DJ17)</f>
        <v>319.77811562295312</v>
      </c>
      <c r="U17">
        <f t="shared" ref="U17:U29" si="12">(DZ17+(T17+2*0.95*0.0000000567*(((DZ17+$B$7)+273)^4-(DZ17+273)^4)-44100*I17)/(1.84*29.3*Q17+8*0.95*0.0000000567*(DZ17+273)^3))</f>
        <v>29.245516318433854</v>
      </c>
      <c r="V17">
        <f t="shared" ref="V17:V29" si="13">($C$7*EA17+$D$7*EB17+$E$7*U17)</f>
        <v>28.46916666666668</v>
      </c>
      <c r="W17">
        <f t="shared" ref="W17:W29" si="14">0.61365*EXP(17.502*V17/(240.97+V17))</f>
        <v>3.899878290296853</v>
      </c>
      <c r="X17">
        <f t="shared" ref="X17:X29" si="15">(Y17/Z17*100)</f>
        <v>65.159319148057079</v>
      </c>
      <c r="Y17">
        <f t="shared" ref="Y17:Y29" si="16">DS17*(DX17+DY17)/1000</f>
        <v>2.5212944462581852</v>
      </c>
      <c r="Z17">
        <f t="shared" ref="Z17:Z29" si="17">0.61365*EXP(17.502*DZ17/(240.97+DZ17))</f>
        <v>3.8694303120774167</v>
      </c>
      <c r="AA17">
        <f t="shared" ref="AA17:AA29" si="18">(W17-DS17*(DX17+DY17)/1000)</f>
        <v>1.3785838440386677</v>
      </c>
      <c r="AB17">
        <f t="shared" ref="AB17:AB29" si="19">(-I17*44100)</f>
        <v>-167.18029446269057</v>
      </c>
      <c r="AC17">
        <f t="shared" ref="AC17:AC29" si="20">2*29.3*Q17*0.92*(DZ17-V17)</f>
        <v>-20.993663467836242</v>
      </c>
      <c r="AD17">
        <f t="shared" ref="AD17:AD29" si="21">2*0.95*0.0000000567*(((DZ17+$B$7)+273)^4-(V17+273)^4)</f>
        <v>-1.5910932171874219</v>
      </c>
      <c r="AE17">
        <f t="shared" ref="AE17:AE29" si="22">T17+AD17+AB17+AC17</f>
        <v>130.01306447523888</v>
      </c>
      <c r="AF17">
        <f t="shared" ref="AF17:AF29" si="23">DW17*AT17*(DR17-DQ17*(1000-AT17*DT17)/(1000-AT17*DS17))/(100*DK17)</f>
        <v>45.204071666580191</v>
      </c>
      <c r="AG17">
        <f t="shared" ref="AG17:AG29" si="24">1000*DW17*AT17*(DS17-DT17)/(100*DK17*(1000-AT17*DS17))</f>
        <v>3.7909363823739359</v>
      </c>
      <c r="AH17">
        <f t="shared" ref="AH17:AH29" si="25">(AI17 - AJ17 - DX17*1000/(8.314*(DZ17+273.15)) * AL17/DW17 * AK17) * DW17/(100*DK17) * (1000 - DT17)/1000</f>
        <v>44.73587909965206</v>
      </c>
      <c r="AI17">
        <v>485.57595414864483</v>
      </c>
      <c r="AJ17">
        <v>430.72288484848491</v>
      </c>
      <c r="AK17">
        <v>-1.945729561915832E-3</v>
      </c>
      <c r="AL17">
        <v>67.036652467616591</v>
      </c>
      <c r="AM17">
        <f t="shared" ref="AM17:AM29" si="26">(AO17 - AN17 + DX17*1000/(8.314*(DZ17+273.15)) * AQ17/DW17 * AP17) * DW17/(100*DK17) * 1000/(1000 - AO17)</f>
        <v>3.7510418943458212</v>
      </c>
      <c r="AN17">
        <v>21.357248002039171</v>
      </c>
      <c r="AO17">
        <v>25.74426969696971</v>
      </c>
      <c r="AP17">
        <v>-1.6092727347057981E-4</v>
      </c>
      <c r="AQ17">
        <v>77.889721473760972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51396.717252477247</v>
      </c>
      <c r="AW17" t="s">
        <v>463</v>
      </c>
      <c r="AX17">
        <v>5075.7299999999996</v>
      </c>
      <c r="AY17">
        <v>610.24117647058824</v>
      </c>
      <c r="AZ17">
        <v>2455.79</v>
      </c>
      <c r="BA17">
        <f t="shared" ref="BA17:BA29" si="30">1-AY17/AZ17</f>
        <v>0.75150921843048946</v>
      </c>
      <c r="BB17">
        <v>-4.0591547578554286</v>
      </c>
      <c r="BC17" t="s">
        <v>742</v>
      </c>
      <c r="BD17">
        <v>5076.8500000000004</v>
      </c>
      <c r="BE17">
        <v>1029.7882352941181</v>
      </c>
      <c r="BF17">
        <v>1213.26</v>
      </c>
      <c r="BG17">
        <f t="shared" ref="BG17:BG29" si="31">1-BE17/BF17</f>
        <v>0.15122213268869156</v>
      </c>
      <c r="BH17">
        <v>0.5</v>
      </c>
      <c r="BI17">
        <f t="shared" ref="BI17:BI29" si="32">DH17</f>
        <v>1680.3035807372819</v>
      </c>
      <c r="BJ17">
        <f t="shared" ref="BJ17:BJ29" si="33">K17</f>
        <v>45.204071666580191</v>
      </c>
      <c r="BK17">
        <f t="shared" ref="BK17:BK29" si="34">BG17*BH17*BI17</f>
        <v>127.04954552176839</v>
      </c>
      <c r="BL17">
        <f t="shared" ref="BL17:BL29" si="35">(BJ17-BB17)/BI17</f>
        <v>2.9318051207639487E-2</v>
      </c>
      <c r="BM17">
        <f t="shared" ref="BM17:BM29" si="36">(AZ17-BF17)/BF17</f>
        <v>1.024125084483128</v>
      </c>
      <c r="BN17">
        <f t="shared" ref="BN17:BN29" si="37">AY17/(BA17+AY17/BF17)</f>
        <v>486.44731809976889</v>
      </c>
      <c r="BO17" t="s">
        <v>408</v>
      </c>
      <c r="BP17">
        <v>0</v>
      </c>
      <c r="BQ17">
        <f t="shared" ref="BQ17:BQ29" si="38">IF(BP17&lt;&gt;0, BP17, BN17)</f>
        <v>486.44731809976889</v>
      </c>
      <c r="BR17">
        <f t="shared" ref="BR17:BR29" si="39">1-BQ17/BF17</f>
        <v>0.59905764790748162</v>
      </c>
      <c r="BS17">
        <f t="shared" ref="BS17:BS29" si="40">(BF17-BE17)/(BF17-BQ17)</f>
        <v>0.25243335631706398</v>
      </c>
      <c r="BT17">
        <f t="shared" ref="BT17:BT29" si="41">(AZ17-BF17)/(AZ17-BQ17)</f>
        <v>0.63093640909720949</v>
      </c>
      <c r="BU17">
        <f t="shared" ref="BU17:BU29" si="42">(BF17-BE17)/(BF17-AY17)</f>
        <v>0.30425545198081738</v>
      </c>
      <c r="BV17">
        <f t="shared" ref="BV17:BV29" si="43">(AZ17-BF17)/(AZ17-AY17)</f>
        <v>0.67325772375059478</v>
      </c>
      <c r="BW17">
        <f t="shared" ref="BW17:BW29" si="44">(BS17*BQ17/BE17)</f>
        <v>0.11924347644570582</v>
      </c>
      <c r="BX17">
        <f t="shared" ref="BX17:BX29" si="45">(1-BW17)</f>
        <v>0.88075652355429424</v>
      </c>
      <c r="DG17">
        <f t="shared" ref="DG17:DG29" si="46">$B$11*EF17+$C$11*EG17+$F$11*ER17*(1-EU17)</f>
        <v>2000.005333333334</v>
      </c>
      <c r="DH17">
        <f t="shared" ref="DH17:DH29" si="47">DG17*DI17</f>
        <v>1680.3035807372819</v>
      </c>
      <c r="DI17">
        <f t="shared" ref="DI17:DI29" si="48">($B$11*$D$9+$C$11*$D$9+$F$11*((FE17+EW17)/MAX(FE17+EW17+FF17, 0.1)*$I$9+FF17/MAX(FE17+EW17+FF17, 0.1)*$J$9))/($B$11+$C$11+$F$11)</f>
        <v>0.84014954996984081</v>
      </c>
      <c r="DJ17">
        <f t="shared" ref="DJ17:DJ29" si="49">($B$11*$K$9+$C$11*$K$9+$F$11*((FE17+EW17)/MAX(FE17+EW17+FF17, 0.1)*$P$9+FF17/MAX(FE17+EW17+FF17, 0.1)*$Q$9))/($B$11+$C$11+$F$11)</f>
        <v>0.15988863144179266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1784644651.849999</v>
      </c>
      <c r="DQ17">
        <v>418.93756666666673</v>
      </c>
      <c r="DR17">
        <v>475.09690000000012</v>
      </c>
      <c r="DS17">
        <v>25.793156666666668</v>
      </c>
      <c r="DT17">
        <v>21.36068666666667</v>
      </c>
      <c r="DU17">
        <v>426.34956666666659</v>
      </c>
      <c r="DV17">
        <v>26.590156666666669</v>
      </c>
      <c r="DW17">
        <v>499.923</v>
      </c>
      <c r="DX17">
        <v>97.707499999999996</v>
      </c>
      <c r="DY17">
        <v>4.3018823333333338E-2</v>
      </c>
      <c r="DZ17">
        <v>28.334313333333341</v>
      </c>
      <c r="EA17">
        <v>28.46916666666668</v>
      </c>
      <c r="EB17">
        <v>999.9000000000002</v>
      </c>
      <c r="EC17">
        <v>0</v>
      </c>
      <c r="ED17">
        <v>0</v>
      </c>
      <c r="EE17">
        <v>9992</v>
      </c>
      <c r="EF17">
        <v>0</v>
      </c>
      <c r="EG17">
        <v>185.76916666666659</v>
      </c>
      <c r="EH17">
        <v>-55.480490000000017</v>
      </c>
      <c r="EI17">
        <v>430.71196666666668</v>
      </c>
      <c r="EJ17">
        <v>485.46676666666667</v>
      </c>
      <c r="EK17">
        <v>4.4004560000000001</v>
      </c>
      <c r="EL17">
        <v>475.09690000000012</v>
      </c>
      <c r="EM17">
        <v>21.36068666666667</v>
      </c>
      <c r="EN17">
        <v>2.5170560000000002</v>
      </c>
      <c r="EO17">
        <v>2.0870989999999998</v>
      </c>
      <c r="EP17">
        <v>21.13721</v>
      </c>
      <c r="EQ17">
        <v>18.121040000000001</v>
      </c>
      <c r="ER17">
        <v>2000.005333333334</v>
      </c>
      <c r="ES17">
        <v>0.99500049999999984</v>
      </c>
      <c r="ET17">
        <v>4.9992939999999996E-3</v>
      </c>
      <c r="EU17">
        <v>0</v>
      </c>
      <c r="EV17">
        <v>1030.338666666667</v>
      </c>
      <c r="EW17">
        <v>5.0010700000000003</v>
      </c>
      <c r="EX17">
        <v>25230.833333333328</v>
      </c>
      <c r="EY17">
        <v>18241.703333333331</v>
      </c>
      <c r="EZ17">
        <v>40.987400000000001</v>
      </c>
      <c r="FA17">
        <v>42.287199999999977</v>
      </c>
      <c r="FB17">
        <v>41.449599999999997</v>
      </c>
      <c r="FC17">
        <v>42.004133333333328</v>
      </c>
      <c r="FD17">
        <v>42.262399999999978</v>
      </c>
      <c r="FE17">
        <v>1985.0293333333341</v>
      </c>
      <c r="FF17">
        <v>9.9700000000000042</v>
      </c>
      <c r="FG17">
        <v>0</v>
      </c>
      <c r="FH17">
        <v>1784644659.4000001</v>
      </c>
      <c r="FI17">
        <v>0</v>
      </c>
      <c r="FJ17">
        <v>1029.7882352941181</v>
      </c>
      <c r="FK17">
        <v>-12.58088235710278</v>
      </c>
      <c r="FL17">
        <v>2551.348059948351</v>
      </c>
      <c r="FM17">
        <v>25310.78235294118</v>
      </c>
      <c r="FN17">
        <v>10</v>
      </c>
      <c r="FO17">
        <v>1784644684.5999999</v>
      </c>
      <c r="FP17" t="s">
        <v>743</v>
      </c>
      <c r="FQ17">
        <v>1784644684.5999999</v>
      </c>
      <c r="FR17">
        <v>1784644677.0999999</v>
      </c>
      <c r="FS17">
        <v>1</v>
      </c>
      <c r="FT17">
        <v>-0.47199999999999998</v>
      </c>
      <c r="FU17">
        <v>0.151</v>
      </c>
      <c r="FV17">
        <v>-7.4119999999999999</v>
      </c>
      <c r="FW17">
        <v>-0.79700000000000004</v>
      </c>
      <c r="FX17">
        <v>475</v>
      </c>
      <c r="FY17">
        <v>22</v>
      </c>
      <c r="FZ17">
        <v>0.19</v>
      </c>
      <c r="GA17">
        <v>0.06</v>
      </c>
      <c r="GB17">
        <v>419.60250000000002</v>
      </c>
      <c r="GC17">
        <v>0.38381312569511089</v>
      </c>
      <c r="GD17">
        <v>7.4342338766903285E-2</v>
      </c>
      <c r="GE17">
        <v>-1</v>
      </c>
      <c r="GF17">
        <v>1031.194705882353</v>
      </c>
      <c r="GG17">
        <v>-12.70282658901932</v>
      </c>
      <c r="GH17">
        <v>1.2625469945688219</v>
      </c>
      <c r="GI17">
        <v>0</v>
      </c>
      <c r="GJ17">
        <v>4.3955634999999997</v>
      </c>
      <c r="GK17">
        <v>7.9187166979348494E-2</v>
      </c>
      <c r="GL17">
        <v>4.4811744696563648E-2</v>
      </c>
      <c r="GM17">
        <v>1</v>
      </c>
      <c r="GN17">
        <v>1</v>
      </c>
      <c r="GO17">
        <v>2</v>
      </c>
      <c r="GP17" t="s">
        <v>411</v>
      </c>
      <c r="GQ17">
        <v>3.13157</v>
      </c>
      <c r="GR17">
        <v>2.71936</v>
      </c>
      <c r="GS17">
        <v>9.1603599999999993E-2</v>
      </c>
      <c r="GT17">
        <v>0.100065</v>
      </c>
      <c r="GU17">
        <v>0.120322</v>
      </c>
      <c r="GV17">
        <v>0.10386099999999999</v>
      </c>
      <c r="GW17">
        <v>22770.2</v>
      </c>
      <c r="GX17">
        <v>30269.4</v>
      </c>
      <c r="GY17">
        <v>27187.7</v>
      </c>
      <c r="GZ17">
        <v>34582.800000000003</v>
      </c>
      <c r="HA17">
        <v>35013.699999999997</v>
      </c>
      <c r="HB17">
        <v>39112</v>
      </c>
      <c r="HC17">
        <v>40135.9</v>
      </c>
      <c r="HD17">
        <v>43726.1</v>
      </c>
      <c r="HE17">
        <v>1.972</v>
      </c>
      <c r="HF17">
        <v>1.8453999999999999</v>
      </c>
      <c r="HG17">
        <v>-2.9504300000000001E-2</v>
      </c>
      <c r="HH17">
        <v>0</v>
      </c>
      <c r="HI17">
        <v>28.9498</v>
      </c>
      <c r="HJ17">
        <v>999.9</v>
      </c>
      <c r="HK17">
        <v>75.7</v>
      </c>
      <c r="HL17">
        <v>30.5</v>
      </c>
      <c r="HM17">
        <v>33.967399999999998</v>
      </c>
      <c r="HN17">
        <v>60.8065</v>
      </c>
      <c r="HO17">
        <v>4.1105799999999997</v>
      </c>
      <c r="HP17">
        <v>1</v>
      </c>
      <c r="HQ17">
        <v>0.48552800000000002</v>
      </c>
      <c r="HR17">
        <v>3.52041</v>
      </c>
      <c r="HS17">
        <v>20.233599999999999</v>
      </c>
      <c r="HT17">
        <v>5.2100999999999997</v>
      </c>
      <c r="HU17">
        <v>11.908099999999999</v>
      </c>
      <c r="HV17">
        <v>4.9855999999999998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1.86697</v>
      </c>
      <c r="IC17">
        <v>1.8626100000000001</v>
      </c>
      <c r="ID17">
        <v>1.8620000000000001</v>
      </c>
      <c r="IE17">
        <v>1.86154</v>
      </c>
      <c r="IF17">
        <v>1.8615699999999999</v>
      </c>
      <c r="IG17">
        <v>1.8623400000000001</v>
      </c>
      <c r="IH17">
        <v>1.8631</v>
      </c>
      <c r="II17">
        <v>1.86111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-7.4119999999999999</v>
      </c>
      <c r="IX17">
        <v>-0.79700000000000004</v>
      </c>
      <c r="IY17">
        <v>-4.7442996059979921</v>
      </c>
      <c r="IZ17">
        <v>-5.6215304933332991E-3</v>
      </c>
      <c r="JA17">
        <v>2.3979931213773931E-6</v>
      </c>
      <c r="JB17">
        <v>-3.6297174575716598E-10</v>
      </c>
      <c r="JC17">
        <v>-1.2945</v>
      </c>
      <c r="JD17">
        <v>2.7492899999999998E-4</v>
      </c>
      <c r="JE17">
        <v>8.6739499999999997E-4</v>
      </c>
      <c r="JF17">
        <v>-8.2500700000000004E-6</v>
      </c>
      <c r="JG17">
        <v>17</v>
      </c>
      <c r="JH17">
        <v>1914</v>
      </c>
      <c r="JI17">
        <v>2</v>
      </c>
      <c r="JJ17">
        <v>37</v>
      </c>
      <c r="JK17">
        <v>1246.7</v>
      </c>
      <c r="JL17">
        <v>1246.5999999999999</v>
      </c>
      <c r="JM17">
        <v>1.2060500000000001</v>
      </c>
      <c r="JN17">
        <v>2.49268</v>
      </c>
      <c r="JO17">
        <v>1.50024</v>
      </c>
      <c r="JP17">
        <v>2.2790499999999998</v>
      </c>
      <c r="JQ17">
        <v>1.4477500000000001</v>
      </c>
      <c r="JR17">
        <v>2.34131</v>
      </c>
      <c r="JS17">
        <v>36.599600000000002</v>
      </c>
      <c r="JT17">
        <v>14.815</v>
      </c>
      <c r="JU17">
        <v>18</v>
      </c>
      <c r="JV17">
        <v>540.17499999999995</v>
      </c>
      <c r="JW17">
        <v>471.56400000000002</v>
      </c>
      <c r="JX17">
        <v>24.73</v>
      </c>
      <c r="JY17">
        <v>33.192500000000003</v>
      </c>
      <c r="JZ17">
        <v>30.000800000000002</v>
      </c>
      <c r="KA17">
        <v>33.460500000000003</v>
      </c>
      <c r="KB17">
        <v>33.509099999999997</v>
      </c>
      <c r="KC17">
        <v>24.1187</v>
      </c>
      <c r="KD17">
        <v>43.0837</v>
      </c>
      <c r="KE17">
        <v>64.485100000000003</v>
      </c>
      <c r="KF17">
        <v>24.735199999999999</v>
      </c>
      <c r="KG17">
        <v>475.44900000000001</v>
      </c>
      <c r="KH17">
        <v>21.4787</v>
      </c>
      <c r="KI17">
        <v>100.32299999999999</v>
      </c>
      <c r="KJ17">
        <v>98.529399999999995</v>
      </c>
    </row>
    <row r="18" spans="1:296" x14ac:dyDescent="0.3">
      <c r="A18">
        <v>2</v>
      </c>
      <c r="B18">
        <v>1784644865.5999999</v>
      </c>
      <c r="C18">
        <v>206</v>
      </c>
      <c r="D18" t="s">
        <v>744</v>
      </c>
      <c r="E18" t="s">
        <v>745</v>
      </c>
      <c r="F18">
        <v>15</v>
      </c>
      <c r="H18">
        <v>1784644857.599999</v>
      </c>
      <c r="I18">
        <f t="shared" si="0"/>
        <v>3.4051066745769613E-3</v>
      </c>
      <c r="J18">
        <f t="shared" si="1"/>
        <v>3.4051066745769614</v>
      </c>
      <c r="K18">
        <f t="shared" si="2"/>
        <v>43.18463027442472</v>
      </c>
      <c r="L18">
        <f t="shared" si="3"/>
        <v>420.01209677419348</v>
      </c>
      <c r="M18">
        <f t="shared" si="4"/>
        <v>123.11973611963018</v>
      </c>
      <c r="N18">
        <f t="shared" si="5"/>
        <v>12.034886648306001</v>
      </c>
      <c r="O18">
        <f t="shared" si="6"/>
        <v>41.055951993620411</v>
      </c>
      <c r="P18">
        <f t="shared" si="7"/>
        <v>0.24736521938269049</v>
      </c>
      <c r="Q18">
        <f t="shared" si="8"/>
        <v>2.888575402359586</v>
      </c>
      <c r="R18">
        <f t="shared" si="9"/>
        <v>0.23617050985926868</v>
      </c>
      <c r="S18">
        <f t="shared" si="10"/>
        <v>0.1485701453949746</v>
      </c>
      <c r="T18">
        <f t="shared" si="11"/>
        <v>271.90792926782325</v>
      </c>
      <c r="U18">
        <f t="shared" si="12"/>
        <v>29.212650016927142</v>
      </c>
      <c r="V18">
        <f t="shared" si="13"/>
        <v>28.49262580645161</v>
      </c>
      <c r="W18">
        <f t="shared" si="14"/>
        <v>3.9051963164892176</v>
      </c>
      <c r="X18">
        <f t="shared" si="15"/>
        <v>65.126171737185459</v>
      </c>
      <c r="Y18">
        <f t="shared" si="16"/>
        <v>2.5423248021415334</v>
      </c>
      <c r="Z18">
        <f t="shared" si="17"/>
        <v>3.9036914566405074</v>
      </c>
      <c r="AA18">
        <f t="shared" si="18"/>
        <v>1.3628715143476842</v>
      </c>
      <c r="AB18">
        <f t="shared" si="19"/>
        <v>-150.16520434884399</v>
      </c>
      <c r="AC18">
        <f t="shared" si="20"/>
        <v>-1.0333364521881834</v>
      </c>
      <c r="AD18">
        <f t="shared" si="21"/>
        <v>-7.835829799985268E-2</v>
      </c>
      <c r="AE18">
        <f t="shared" si="22"/>
        <v>120.63103016879124</v>
      </c>
      <c r="AF18">
        <f t="shared" si="23"/>
        <v>43.18463027442472</v>
      </c>
      <c r="AG18">
        <f t="shared" si="24"/>
        <v>3.4051066745769614</v>
      </c>
      <c r="AH18">
        <f t="shared" si="25"/>
        <v>42.9805596942821</v>
      </c>
      <c r="AI18">
        <v>484.24477297019843</v>
      </c>
      <c r="AJ18">
        <v>431.2993575757576</v>
      </c>
      <c r="AK18">
        <v>3.9380275620524041E-2</v>
      </c>
      <c r="AL18">
        <v>67.070989632275484</v>
      </c>
      <c r="AM18">
        <f t="shared" si="26"/>
        <v>3.421498259557608</v>
      </c>
      <c r="AN18">
        <v>22.010357267582869</v>
      </c>
      <c r="AO18">
        <v>26.00841333333334</v>
      </c>
      <c r="AP18">
        <v>1.716053244174583E-4</v>
      </c>
      <c r="AQ18">
        <v>78.171092647391092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51397.689134076929</v>
      </c>
      <c r="AW18" t="s">
        <v>463</v>
      </c>
      <c r="AX18">
        <v>5075.7299999999996</v>
      </c>
      <c r="AY18">
        <v>610.24117647058824</v>
      </c>
      <c r="AZ18">
        <v>2455.79</v>
      </c>
      <c r="BA18">
        <f t="shared" si="30"/>
        <v>0.75150921843048946</v>
      </c>
      <c r="BB18">
        <v>-4.0591547578554286</v>
      </c>
      <c r="BC18" t="s">
        <v>746</v>
      </c>
      <c r="BD18">
        <v>5078.8100000000004</v>
      </c>
      <c r="BE18">
        <v>963.03688235294123</v>
      </c>
      <c r="BF18">
        <v>1182.1400000000001</v>
      </c>
      <c r="BG18">
        <f t="shared" si="31"/>
        <v>0.18534447497509499</v>
      </c>
      <c r="BH18">
        <v>0.5</v>
      </c>
      <c r="BI18">
        <f t="shared" si="32"/>
        <v>1428.2975420909661</v>
      </c>
      <c r="BJ18">
        <f t="shared" si="33"/>
        <v>43.18463027442472</v>
      </c>
      <c r="BK18">
        <f t="shared" si="34"/>
        <v>132.36352902353437</v>
      </c>
      <c r="BL18">
        <f t="shared" si="35"/>
        <v>3.3076991061062308E-2</v>
      </c>
      <c r="BM18">
        <f t="shared" si="36"/>
        <v>1.077410458998088</v>
      </c>
      <c r="BN18">
        <f t="shared" si="37"/>
        <v>481.36655990526589</v>
      </c>
      <c r="BO18" t="s">
        <v>408</v>
      </c>
      <c r="BP18">
        <v>0</v>
      </c>
      <c r="BQ18">
        <f t="shared" si="38"/>
        <v>481.36655990526589</v>
      </c>
      <c r="BR18">
        <f t="shared" si="39"/>
        <v>0.59280071742326135</v>
      </c>
      <c r="BS18">
        <f t="shared" si="40"/>
        <v>0.31265899235199229</v>
      </c>
      <c r="BT18">
        <f t="shared" si="41"/>
        <v>0.64507439191407157</v>
      </c>
      <c r="BU18">
        <f t="shared" si="42"/>
        <v>0.38311517462981937</v>
      </c>
      <c r="BV18">
        <f t="shared" si="43"/>
        <v>0.69011991650498983</v>
      </c>
      <c r="BW18">
        <f t="shared" si="44"/>
        <v>0.15628018649110018</v>
      </c>
      <c r="BX18">
        <f t="shared" si="45"/>
        <v>0.8437198135088998</v>
      </c>
      <c r="DG18">
        <f t="shared" si="46"/>
        <v>1699.9906451612901</v>
      </c>
      <c r="DH18">
        <f t="shared" si="47"/>
        <v>1428.2975420909661</v>
      </c>
      <c r="DI18">
        <f t="shared" si="48"/>
        <v>0.84017964813885992</v>
      </c>
      <c r="DJ18">
        <f t="shared" si="49"/>
        <v>0.15994672090799972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1784644857.599999</v>
      </c>
      <c r="DQ18">
        <v>420.01209677419348</v>
      </c>
      <c r="DR18">
        <v>473.55106451612897</v>
      </c>
      <c r="DS18">
        <v>26.008583870967751</v>
      </c>
      <c r="DT18">
        <v>22.028641935483869</v>
      </c>
      <c r="DU18">
        <v>427.20596774193552</v>
      </c>
      <c r="DV18">
        <v>26.688822580645159</v>
      </c>
      <c r="DW18">
        <v>499.98890322580661</v>
      </c>
      <c r="DX18">
        <v>97.706183870967763</v>
      </c>
      <c r="DY18">
        <v>4.3267416129032253E-2</v>
      </c>
      <c r="DZ18">
        <v>28.485990322580641</v>
      </c>
      <c r="EA18">
        <v>28.49262580645161</v>
      </c>
      <c r="EB18">
        <v>999.90000000000032</v>
      </c>
      <c r="EC18">
        <v>0</v>
      </c>
      <c r="ED18">
        <v>0</v>
      </c>
      <c r="EE18">
        <v>9997.5806451612898</v>
      </c>
      <c r="EF18">
        <v>0</v>
      </c>
      <c r="EG18">
        <v>219.76796774193551</v>
      </c>
      <c r="EH18">
        <v>-53.538993548387097</v>
      </c>
      <c r="EI18">
        <v>431.22767741935479</v>
      </c>
      <c r="EJ18">
        <v>484.21770967741941</v>
      </c>
      <c r="EK18">
        <v>3.9799348387096778</v>
      </c>
      <c r="EL18">
        <v>473.55106451612897</v>
      </c>
      <c r="EM18">
        <v>22.028641935483869</v>
      </c>
      <c r="EN18">
        <v>2.541199032258064</v>
      </c>
      <c r="EO18">
        <v>2.152334838709677</v>
      </c>
      <c r="EP18">
        <v>21.29280967741936</v>
      </c>
      <c r="EQ18">
        <v>18.61187741935484</v>
      </c>
      <c r="ER18">
        <v>1699.9906451612901</v>
      </c>
      <c r="ES18">
        <v>0.9939919677419351</v>
      </c>
      <c r="ET18">
        <v>6.0080041935483856E-3</v>
      </c>
      <c r="EU18">
        <v>0</v>
      </c>
      <c r="EV18">
        <v>963.5486451612901</v>
      </c>
      <c r="EW18">
        <v>5.0010700000000003</v>
      </c>
      <c r="EX18">
        <v>21081.803225806441</v>
      </c>
      <c r="EY18">
        <v>15492.380645161291</v>
      </c>
      <c r="EZ18">
        <v>41.614838709677407</v>
      </c>
      <c r="FA18">
        <v>43.132999999999988</v>
      </c>
      <c r="FB18">
        <v>42.311999999999983</v>
      </c>
      <c r="FC18">
        <v>42.703258064516113</v>
      </c>
      <c r="FD18">
        <v>42.934999999999967</v>
      </c>
      <c r="FE18">
        <v>1684.8087096774191</v>
      </c>
      <c r="FF18">
        <v>10.18</v>
      </c>
      <c r="FG18">
        <v>0</v>
      </c>
      <c r="FH18">
        <v>205.5999999046326</v>
      </c>
      <c r="FI18">
        <v>0</v>
      </c>
      <c r="FJ18">
        <v>963.03688235294123</v>
      </c>
      <c r="FK18">
        <v>-11.062499988886399</v>
      </c>
      <c r="FL18">
        <v>-6670.9558730932113</v>
      </c>
      <c r="FM18">
        <v>21096.347058823529</v>
      </c>
      <c r="FN18">
        <v>10</v>
      </c>
      <c r="FO18">
        <v>1784644761.0999999</v>
      </c>
      <c r="FP18" t="s">
        <v>747</v>
      </c>
      <c r="FQ18">
        <v>1784644761.0999999</v>
      </c>
      <c r="FR18">
        <v>1784644759.0999999</v>
      </c>
      <c r="FS18">
        <v>2</v>
      </c>
      <c r="FT18">
        <v>1.4999999999999999E-2</v>
      </c>
      <c r="FU18">
        <v>-5.0000000000000001E-3</v>
      </c>
      <c r="FV18">
        <v>-7.3949999999999996</v>
      </c>
      <c r="FW18">
        <v>-0.80300000000000005</v>
      </c>
      <c r="FX18">
        <v>475</v>
      </c>
      <c r="FY18">
        <v>21</v>
      </c>
      <c r="FZ18">
        <v>0.18</v>
      </c>
      <c r="GA18">
        <v>0.08</v>
      </c>
      <c r="GB18">
        <v>420.01549999999992</v>
      </c>
      <c r="GC18">
        <v>9.4691879866195233E-2</v>
      </c>
      <c r="GD18">
        <v>7.5255896778919862E-2</v>
      </c>
      <c r="GE18">
        <v>-1</v>
      </c>
      <c r="GF18">
        <v>964.01505882352944</v>
      </c>
      <c r="GG18">
        <v>-11.08201680501015</v>
      </c>
      <c r="GH18">
        <v>1.156913234358524</v>
      </c>
      <c r="GI18">
        <v>0</v>
      </c>
      <c r="GJ18">
        <v>3.97128975</v>
      </c>
      <c r="GK18">
        <v>0.22675666041274931</v>
      </c>
      <c r="GL18">
        <v>2.2399625274488459E-2</v>
      </c>
      <c r="GM18">
        <v>1</v>
      </c>
      <c r="GN18">
        <v>1</v>
      </c>
      <c r="GO18">
        <v>2</v>
      </c>
      <c r="GP18" t="s">
        <v>411</v>
      </c>
      <c r="GQ18">
        <v>3.1320399999999999</v>
      </c>
      <c r="GR18">
        <v>2.7180499999999999</v>
      </c>
      <c r="GS18">
        <v>9.1683299999999995E-2</v>
      </c>
      <c r="GT18">
        <v>9.9747199999999994E-2</v>
      </c>
      <c r="GU18">
        <v>0.120575</v>
      </c>
      <c r="GV18">
        <v>0.105577</v>
      </c>
      <c r="GW18">
        <v>22755.1</v>
      </c>
      <c r="GX18">
        <v>30265.200000000001</v>
      </c>
      <c r="GY18">
        <v>27173.5</v>
      </c>
      <c r="GZ18">
        <v>34567.9</v>
      </c>
      <c r="HA18">
        <v>34988.300000000003</v>
      </c>
      <c r="HB18">
        <v>39024.9</v>
      </c>
      <c r="HC18">
        <v>40116.5</v>
      </c>
      <c r="HD18">
        <v>43712.1</v>
      </c>
      <c r="HE18">
        <v>1.9676</v>
      </c>
      <c r="HF18">
        <v>1.8371999999999999</v>
      </c>
      <c r="HG18">
        <v>-2.98321E-2</v>
      </c>
      <c r="HH18">
        <v>0</v>
      </c>
      <c r="HI18">
        <v>28.984500000000001</v>
      </c>
      <c r="HJ18">
        <v>999.9</v>
      </c>
      <c r="HK18">
        <v>72.5</v>
      </c>
      <c r="HL18">
        <v>31</v>
      </c>
      <c r="HM18">
        <v>33.477200000000003</v>
      </c>
      <c r="HN18">
        <v>60.936500000000002</v>
      </c>
      <c r="HO18">
        <v>3.9222800000000002</v>
      </c>
      <c r="HP18">
        <v>1</v>
      </c>
      <c r="HQ18">
        <v>0.51451199999999997</v>
      </c>
      <c r="HR18">
        <v>3.6633100000000001</v>
      </c>
      <c r="HS18">
        <v>20.231999999999999</v>
      </c>
      <c r="HT18">
        <v>5.2112999999999996</v>
      </c>
      <c r="HU18">
        <v>11.908099999999999</v>
      </c>
      <c r="HV18">
        <v>4.9847999999999999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1.86707</v>
      </c>
      <c r="IC18">
        <v>1.8625799999999999</v>
      </c>
      <c r="ID18">
        <v>1.8620300000000001</v>
      </c>
      <c r="IE18">
        <v>1.8615699999999999</v>
      </c>
      <c r="IF18">
        <v>1.8615699999999999</v>
      </c>
      <c r="IG18">
        <v>1.8623400000000001</v>
      </c>
      <c r="IH18">
        <v>1.86313</v>
      </c>
      <c r="II18">
        <v>1.86111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-7.194</v>
      </c>
      <c r="IX18">
        <v>-0.68030000000000002</v>
      </c>
      <c r="IY18">
        <v>-5.2015947101143878</v>
      </c>
      <c r="IZ18">
        <v>-5.6215304933332991E-3</v>
      </c>
      <c r="JA18">
        <v>2.3979931213773931E-6</v>
      </c>
      <c r="JB18">
        <v>-3.6297174575716598E-10</v>
      </c>
      <c r="JC18">
        <v>-1.148576680750129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1.7</v>
      </c>
      <c r="JL18">
        <v>1.8</v>
      </c>
      <c r="JM18">
        <v>1.2036100000000001</v>
      </c>
      <c r="JN18">
        <v>2.49146</v>
      </c>
      <c r="JO18">
        <v>1.50024</v>
      </c>
      <c r="JP18">
        <v>2.2778299999999998</v>
      </c>
      <c r="JQ18">
        <v>1.4477500000000001</v>
      </c>
      <c r="JR18">
        <v>2.35229</v>
      </c>
      <c r="JS18">
        <v>36.979399999999998</v>
      </c>
      <c r="JT18">
        <v>14.7712</v>
      </c>
      <c r="JU18">
        <v>18</v>
      </c>
      <c r="JV18">
        <v>540.13300000000004</v>
      </c>
      <c r="JW18">
        <v>468.78199999999998</v>
      </c>
      <c r="JX18">
        <v>24.853300000000001</v>
      </c>
      <c r="JY18">
        <v>33.502899999999997</v>
      </c>
      <c r="JZ18">
        <v>30.001200000000001</v>
      </c>
      <c r="KA18">
        <v>33.806899999999999</v>
      </c>
      <c r="KB18">
        <v>33.857999999999997</v>
      </c>
      <c r="KC18">
        <v>24.065899999999999</v>
      </c>
      <c r="KD18">
        <v>40.973399999999998</v>
      </c>
      <c r="KE18">
        <v>55.525799999999997</v>
      </c>
      <c r="KF18">
        <v>24.842300000000002</v>
      </c>
      <c r="KG18">
        <v>473.48099999999999</v>
      </c>
      <c r="KH18">
        <v>21.978300000000001</v>
      </c>
      <c r="KI18">
        <v>100.27200000000001</v>
      </c>
      <c r="KJ18">
        <v>98.492900000000006</v>
      </c>
    </row>
    <row r="19" spans="1:296" x14ac:dyDescent="0.3">
      <c r="A19">
        <v>3</v>
      </c>
      <c r="B19">
        <v>1784645048.0999999</v>
      </c>
      <c r="C19">
        <v>388.5</v>
      </c>
      <c r="D19" t="s">
        <v>748</v>
      </c>
      <c r="E19" t="s">
        <v>749</v>
      </c>
      <c r="F19">
        <v>15</v>
      </c>
      <c r="H19">
        <v>1784645040.349999</v>
      </c>
      <c r="I19">
        <f t="shared" si="0"/>
        <v>3.026858384528043E-3</v>
      </c>
      <c r="J19">
        <f t="shared" si="1"/>
        <v>3.026858384528043</v>
      </c>
      <c r="K19">
        <f t="shared" si="2"/>
        <v>42.075509212192401</v>
      </c>
      <c r="L19">
        <f t="shared" si="3"/>
        <v>420.15679999999998</v>
      </c>
      <c r="M19">
        <f t="shared" si="4"/>
        <v>92.768494560381328</v>
      </c>
      <c r="N19">
        <f t="shared" si="5"/>
        <v>9.0679137147524536</v>
      </c>
      <c r="O19">
        <f t="shared" si="6"/>
        <v>41.069391360950455</v>
      </c>
      <c r="P19">
        <f t="shared" si="7"/>
        <v>0.21688559359303408</v>
      </c>
      <c r="Q19">
        <f t="shared" si="8"/>
        <v>2.887516393270408</v>
      </c>
      <c r="R19">
        <f t="shared" si="9"/>
        <v>0.20822473737155633</v>
      </c>
      <c r="S19">
        <f t="shared" si="10"/>
        <v>0.13088978627043232</v>
      </c>
      <c r="T19">
        <f t="shared" si="11"/>
        <v>255.91393682905553</v>
      </c>
      <c r="U19">
        <f t="shared" si="12"/>
        <v>29.292335932996092</v>
      </c>
      <c r="V19">
        <f t="shared" si="13"/>
        <v>28.490666666666659</v>
      </c>
      <c r="W19">
        <f t="shared" si="14"/>
        <v>3.9047519509980519</v>
      </c>
      <c r="X19">
        <f t="shared" si="15"/>
        <v>64.543086190333767</v>
      </c>
      <c r="Y19">
        <f t="shared" si="16"/>
        <v>2.5306155454286889</v>
      </c>
      <c r="Z19">
        <f t="shared" si="17"/>
        <v>3.920815837603508</v>
      </c>
      <c r="AA19">
        <f t="shared" si="18"/>
        <v>1.374136405569363</v>
      </c>
      <c r="AB19">
        <f t="shared" si="19"/>
        <v>-133.48445475768671</v>
      </c>
      <c r="AC19">
        <f t="shared" si="20"/>
        <v>11.005995114235738</v>
      </c>
      <c r="AD19">
        <f t="shared" si="21"/>
        <v>0.83519991667814464</v>
      </c>
      <c r="AE19">
        <f t="shared" si="22"/>
        <v>134.27067710228269</v>
      </c>
      <c r="AF19">
        <f t="shared" si="23"/>
        <v>42.075509212192401</v>
      </c>
      <c r="AG19">
        <f t="shared" si="24"/>
        <v>3.026858384528043</v>
      </c>
      <c r="AH19">
        <f t="shared" si="25"/>
        <v>42.173674664763702</v>
      </c>
      <c r="AI19">
        <v>483.03494975225823</v>
      </c>
      <c r="AJ19">
        <v>431.30727878787877</v>
      </c>
      <c r="AK19">
        <v>-8.329635072419371E-3</v>
      </c>
      <c r="AL19">
        <v>67.056552344636629</v>
      </c>
      <c r="AM19">
        <f t="shared" si="26"/>
        <v>3.0923228805585543</v>
      </c>
      <c r="AN19">
        <v>22.44187010520297</v>
      </c>
      <c r="AO19">
        <v>25.971279999999989</v>
      </c>
      <c r="AP19">
        <v>1.402214098896358E-2</v>
      </c>
      <c r="AQ19">
        <v>78.179261446949027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51354.8234109146</v>
      </c>
      <c r="AW19" t="s">
        <v>463</v>
      </c>
      <c r="AX19">
        <v>5075.7299999999996</v>
      </c>
      <c r="AY19">
        <v>610.24117647058824</v>
      </c>
      <c r="AZ19">
        <v>2455.79</v>
      </c>
      <c r="BA19">
        <f t="shared" si="30"/>
        <v>0.75150921843048946</v>
      </c>
      <c r="BB19">
        <v>-4.0591547578554286</v>
      </c>
      <c r="BC19" t="s">
        <v>750</v>
      </c>
      <c r="BD19">
        <v>5076.92</v>
      </c>
      <c r="BE19">
        <v>933.7600000000001</v>
      </c>
      <c r="BF19">
        <v>1165.32</v>
      </c>
      <c r="BG19">
        <f t="shared" si="31"/>
        <v>0.19870936738406608</v>
      </c>
      <c r="BH19">
        <v>0.5</v>
      </c>
      <c r="BI19">
        <f t="shared" si="32"/>
        <v>1344.2834798078006</v>
      </c>
      <c r="BJ19">
        <f t="shared" si="33"/>
        <v>42.075509212192401</v>
      </c>
      <c r="BK19">
        <f t="shared" si="34"/>
        <v>133.56085992872951</v>
      </c>
      <c r="BL19">
        <f t="shared" si="35"/>
        <v>3.4319148202761482E-2</v>
      </c>
      <c r="BM19">
        <f t="shared" si="36"/>
        <v>1.1073953935399719</v>
      </c>
      <c r="BN19">
        <f t="shared" si="37"/>
        <v>478.55389077337645</v>
      </c>
      <c r="BO19" t="s">
        <v>408</v>
      </c>
      <c r="BP19">
        <v>0</v>
      </c>
      <c r="BQ19">
        <f t="shared" si="38"/>
        <v>478.55389077337645</v>
      </c>
      <c r="BR19">
        <f t="shared" si="39"/>
        <v>0.58933692824856987</v>
      </c>
      <c r="BS19">
        <f t="shared" si="40"/>
        <v>0.33717447161270475</v>
      </c>
      <c r="BT19">
        <f t="shared" si="41"/>
        <v>0.65266358123752588</v>
      </c>
      <c r="BU19">
        <f t="shared" si="42"/>
        <v>0.41716597748703393</v>
      </c>
      <c r="BV19">
        <f t="shared" si="43"/>
        <v>0.69923373662481403</v>
      </c>
      <c r="BW19">
        <f t="shared" si="44"/>
        <v>0.17280259944709264</v>
      </c>
      <c r="BX19">
        <f t="shared" si="45"/>
        <v>0.82719740055290736</v>
      </c>
      <c r="DG19">
        <f t="shared" si="46"/>
        <v>1599.9953333333331</v>
      </c>
      <c r="DH19">
        <f t="shared" si="47"/>
        <v>1344.2834798078006</v>
      </c>
      <c r="DI19">
        <f t="shared" si="48"/>
        <v>0.84017962540378299</v>
      </c>
      <c r="DJ19">
        <f t="shared" si="49"/>
        <v>0.15994667702930107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1784645040.349999</v>
      </c>
      <c r="DQ19">
        <v>420.15679999999998</v>
      </c>
      <c r="DR19">
        <v>472.17933333333332</v>
      </c>
      <c r="DS19">
        <v>25.88923999999999</v>
      </c>
      <c r="DT19">
        <v>22.350650000000009</v>
      </c>
      <c r="DU19">
        <v>427.35486666666668</v>
      </c>
      <c r="DV19">
        <v>26.584209999999999</v>
      </c>
      <c r="DW19">
        <v>499.94409999999999</v>
      </c>
      <c r="DX19">
        <v>97.70454666666663</v>
      </c>
      <c r="DY19">
        <v>4.3225976666666673E-2</v>
      </c>
      <c r="DZ19">
        <v>28.561366666666661</v>
      </c>
      <c r="EA19">
        <v>28.490666666666659</v>
      </c>
      <c r="EB19">
        <v>999.9000000000002</v>
      </c>
      <c r="EC19">
        <v>0</v>
      </c>
      <c r="ED19">
        <v>0</v>
      </c>
      <c r="EE19">
        <v>9991.6666666666661</v>
      </c>
      <c r="EF19">
        <v>0</v>
      </c>
      <c r="EG19">
        <v>198.31663333333341</v>
      </c>
      <c r="EH19">
        <v>-52.022483333333327</v>
      </c>
      <c r="EI19">
        <v>431.32350000000002</v>
      </c>
      <c r="EJ19">
        <v>482.97406666666672</v>
      </c>
      <c r="EK19">
        <v>3.5385836666666659</v>
      </c>
      <c r="EL19">
        <v>472.17933333333332</v>
      </c>
      <c r="EM19">
        <v>22.350650000000009</v>
      </c>
      <c r="EN19">
        <v>2.529495666666667</v>
      </c>
      <c r="EO19">
        <v>2.183759666666667</v>
      </c>
      <c r="EP19">
        <v>21.21752333333334</v>
      </c>
      <c r="EQ19">
        <v>18.84360666666667</v>
      </c>
      <c r="ER19">
        <v>1599.9953333333331</v>
      </c>
      <c r="ES19">
        <v>0.99399199999999976</v>
      </c>
      <c r="ET19">
        <v>6.0080399999999983E-3</v>
      </c>
      <c r="EU19">
        <v>0</v>
      </c>
      <c r="EV19">
        <v>934.28636666666671</v>
      </c>
      <c r="EW19">
        <v>5.0010700000000003</v>
      </c>
      <c r="EX19">
        <v>17834.156666666669</v>
      </c>
      <c r="EY19">
        <v>14578.4</v>
      </c>
      <c r="EZ19">
        <v>41.772733333333321</v>
      </c>
      <c r="FA19">
        <v>43.403933333333327</v>
      </c>
      <c r="FB19">
        <v>42.591399999999993</v>
      </c>
      <c r="FC19">
        <v>43</v>
      </c>
      <c r="FD19">
        <v>43.129133333333343</v>
      </c>
      <c r="FE19">
        <v>1585.415333333334</v>
      </c>
      <c r="FF19">
        <v>9.58</v>
      </c>
      <c r="FG19">
        <v>0</v>
      </c>
      <c r="FH19">
        <v>181.79999995231631</v>
      </c>
      <c r="FI19">
        <v>0</v>
      </c>
      <c r="FJ19">
        <v>933.7600000000001</v>
      </c>
      <c r="FK19">
        <v>-13.690441124492279</v>
      </c>
      <c r="FL19">
        <v>-201.44607933064651</v>
      </c>
      <c r="FM19">
        <v>17795.864705882359</v>
      </c>
      <c r="FN19">
        <v>10</v>
      </c>
      <c r="FO19">
        <v>1784644948.0999999</v>
      </c>
      <c r="FP19" t="s">
        <v>751</v>
      </c>
      <c r="FQ19">
        <v>1784644945.0999999</v>
      </c>
      <c r="FR19">
        <v>1784644948.0999999</v>
      </c>
      <c r="FS19">
        <v>3</v>
      </c>
      <c r="FT19">
        <v>-4.0000000000000001E-3</v>
      </c>
      <c r="FU19">
        <v>-1.2E-2</v>
      </c>
      <c r="FV19">
        <v>-7.3940000000000001</v>
      </c>
      <c r="FW19">
        <v>-0.80400000000000005</v>
      </c>
      <c r="FX19">
        <v>473</v>
      </c>
      <c r="FY19">
        <v>22</v>
      </c>
      <c r="FZ19">
        <v>0.16</v>
      </c>
      <c r="GA19">
        <v>0.06</v>
      </c>
      <c r="GB19">
        <v>420.15825806451608</v>
      </c>
      <c r="GC19">
        <v>-0.1389193548396799</v>
      </c>
      <c r="GD19">
        <v>6.1335127935256077E-2</v>
      </c>
      <c r="GE19">
        <v>-1</v>
      </c>
      <c r="GF19">
        <v>934.80876470588225</v>
      </c>
      <c r="GG19">
        <v>-11.20271963672438</v>
      </c>
      <c r="GH19">
        <v>1.1243214439574509</v>
      </c>
      <c r="GI19">
        <v>0</v>
      </c>
      <c r="GJ19">
        <v>3.5878314634146342</v>
      </c>
      <c r="GK19">
        <v>-0.76313142857143279</v>
      </c>
      <c r="GL19">
        <v>9.1870222319737141E-2</v>
      </c>
      <c r="GM19">
        <v>0</v>
      </c>
      <c r="GN19">
        <v>0</v>
      </c>
      <c r="GO19">
        <v>2</v>
      </c>
      <c r="GP19" t="s">
        <v>720</v>
      </c>
      <c r="GQ19">
        <v>3.13198</v>
      </c>
      <c r="GR19">
        <v>2.71671</v>
      </c>
      <c r="GS19">
        <v>9.1631699999999996E-2</v>
      </c>
      <c r="GT19">
        <v>9.9468299999999996E-2</v>
      </c>
      <c r="GU19">
        <v>0.120461</v>
      </c>
      <c r="GV19">
        <v>0.107041</v>
      </c>
      <c r="GW19">
        <v>22751.1</v>
      </c>
      <c r="GX19">
        <v>30267.4</v>
      </c>
      <c r="GY19">
        <v>27167.8</v>
      </c>
      <c r="GZ19">
        <v>34560.6</v>
      </c>
      <c r="HA19">
        <v>34987.5</v>
      </c>
      <c r="HB19">
        <v>38955.199999999997</v>
      </c>
      <c r="HC19">
        <v>40109.5</v>
      </c>
      <c r="HD19">
        <v>43705.4</v>
      </c>
      <c r="HE19">
        <v>1.9661999999999999</v>
      </c>
      <c r="HF19">
        <v>1.833</v>
      </c>
      <c r="HG19">
        <v>-1.89245E-2</v>
      </c>
      <c r="HH19">
        <v>0</v>
      </c>
      <c r="HI19">
        <v>28.788799999999998</v>
      </c>
      <c r="HJ19">
        <v>999.9</v>
      </c>
      <c r="HK19">
        <v>69.599999999999994</v>
      </c>
      <c r="HL19">
        <v>31.4</v>
      </c>
      <c r="HM19">
        <v>32.876300000000001</v>
      </c>
      <c r="HN19">
        <v>60.936500000000002</v>
      </c>
      <c r="HO19">
        <v>3.9583400000000002</v>
      </c>
      <c r="HP19">
        <v>1</v>
      </c>
      <c r="HQ19">
        <v>0.52512199999999998</v>
      </c>
      <c r="HR19">
        <v>3.2478400000000001</v>
      </c>
      <c r="HS19">
        <v>20.239100000000001</v>
      </c>
      <c r="HT19">
        <v>5.1933299999999996</v>
      </c>
      <c r="HU19">
        <v>11.908099999999999</v>
      </c>
      <c r="HV19">
        <v>4.9800000000000004</v>
      </c>
      <c r="HW19">
        <v>3.2669999999999999</v>
      </c>
      <c r="HX19">
        <v>9999</v>
      </c>
      <c r="HY19">
        <v>9999</v>
      </c>
      <c r="HZ19">
        <v>9999</v>
      </c>
      <c r="IA19">
        <v>999.9</v>
      </c>
      <c r="IB19">
        <v>1.86707</v>
      </c>
      <c r="IC19">
        <v>1.8626400000000001</v>
      </c>
      <c r="ID19">
        <v>1.8620300000000001</v>
      </c>
      <c r="IE19">
        <v>1.8615699999999999</v>
      </c>
      <c r="IF19">
        <v>1.8615699999999999</v>
      </c>
      <c r="IG19">
        <v>1.8623400000000001</v>
      </c>
      <c r="IH19">
        <v>1.86313</v>
      </c>
      <c r="II19">
        <v>1.86114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-7.1980000000000004</v>
      </c>
      <c r="IX19">
        <v>-0.6925</v>
      </c>
      <c r="IY19">
        <v>-5.2053015159198619</v>
      </c>
      <c r="IZ19">
        <v>-5.6215304933332991E-3</v>
      </c>
      <c r="JA19">
        <v>2.3979931213773931E-6</v>
      </c>
      <c r="JB19">
        <v>-3.6297174575716598E-10</v>
      </c>
      <c r="JC19">
        <v>-1.1602942169716819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1.7</v>
      </c>
      <c r="JL19">
        <v>1.7</v>
      </c>
      <c r="JM19">
        <v>1.2011700000000001</v>
      </c>
      <c r="JN19">
        <v>2.49634</v>
      </c>
      <c r="JO19">
        <v>1.50024</v>
      </c>
      <c r="JP19">
        <v>2.2766099999999998</v>
      </c>
      <c r="JQ19">
        <v>1.4477500000000001</v>
      </c>
      <c r="JR19">
        <v>2.33887</v>
      </c>
      <c r="JS19">
        <v>37.194099999999999</v>
      </c>
      <c r="JT19">
        <v>14.744899999999999</v>
      </c>
      <c r="JU19">
        <v>18</v>
      </c>
      <c r="JV19">
        <v>540.83799999999997</v>
      </c>
      <c r="JW19">
        <v>467.56099999999998</v>
      </c>
      <c r="JX19">
        <v>25.194199999999999</v>
      </c>
      <c r="JY19">
        <v>33.641500000000001</v>
      </c>
      <c r="JZ19">
        <v>29.998999999999999</v>
      </c>
      <c r="KA19">
        <v>34.003900000000002</v>
      </c>
      <c r="KB19">
        <v>34.063800000000001</v>
      </c>
      <c r="KC19">
        <v>24.013300000000001</v>
      </c>
      <c r="KD19">
        <v>38.718600000000002</v>
      </c>
      <c r="KE19">
        <v>47.786200000000001</v>
      </c>
      <c r="KF19">
        <v>25.219100000000001</v>
      </c>
      <c r="KG19">
        <v>472.17</v>
      </c>
      <c r="KH19">
        <v>22.438300000000002</v>
      </c>
      <c r="KI19">
        <v>100.254</v>
      </c>
      <c r="KJ19">
        <v>98.475200000000001</v>
      </c>
    </row>
    <row r="20" spans="1:296" x14ac:dyDescent="0.3">
      <c r="A20">
        <v>4</v>
      </c>
      <c r="B20">
        <v>1784645230.5999999</v>
      </c>
      <c r="C20">
        <v>571</v>
      </c>
      <c r="D20" t="s">
        <v>752</v>
      </c>
      <c r="E20" t="s">
        <v>753</v>
      </c>
      <c r="F20">
        <v>15</v>
      </c>
      <c r="H20">
        <v>1784645222.849999</v>
      </c>
      <c r="I20">
        <f t="shared" si="0"/>
        <v>2.9953484305928601E-3</v>
      </c>
      <c r="J20">
        <f t="shared" si="1"/>
        <v>2.9953484305928599</v>
      </c>
      <c r="K20">
        <f t="shared" si="2"/>
        <v>40.901283800606656</v>
      </c>
      <c r="L20">
        <f t="shared" si="3"/>
        <v>419.85476666666659</v>
      </c>
      <c r="M20">
        <f t="shared" si="4"/>
        <v>103.60514440589927</v>
      </c>
      <c r="N20">
        <f t="shared" si="5"/>
        <v>10.127021581477717</v>
      </c>
      <c r="O20">
        <f t="shared" si="6"/>
        <v>41.039258306149542</v>
      </c>
      <c r="P20">
        <f t="shared" si="7"/>
        <v>0.2184635477103338</v>
      </c>
      <c r="Q20">
        <f t="shared" si="8"/>
        <v>2.8888301655762056</v>
      </c>
      <c r="R20">
        <f t="shared" si="9"/>
        <v>0.20968277564094845</v>
      </c>
      <c r="S20">
        <f t="shared" si="10"/>
        <v>0.13181124427648908</v>
      </c>
      <c r="T20">
        <f t="shared" si="11"/>
        <v>224.00691236810286</v>
      </c>
      <c r="U20">
        <f t="shared" si="12"/>
        <v>29.124259749789893</v>
      </c>
      <c r="V20">
        <f t="shared" si="13"/>
        <v>28.493996666666671</v>
      </c>
      <c r="W20">
        <f t="shared" si="14"/>
        <v>3.905507276617362</v>
      </c>
      <c r="X20">
        <f t="shared" si="15"/>
        <v>65.119199546156253</v>
      </c>
      <c r="Y20">
        <f t="shared" si="16"/>
        <v>2.5553341437061161</v>
      </c>
      <c r="Z20">
        <f t="shared" si="17"/>
        <v>3.9240871532748263</v>
      </c>
      <c r="AA20">
        <f t="shared" si="18"/>
        <v>1.3501731329112459</v>
      </c>
      <c r="AB20">
        <f t="shared" si="19"/>
        <v>-132.09486578914513</v>
      </c>
      <c r="AC20">
        <f t="shared" si="20"/>
        <v>12.729881953566711</v>
      </c>
      <c r="AD20">
        <f t="shared" si="21"/>
        <v>0.9656643218499954</v>
      </c>
      <c r="AE20">
        <f t="shared" si="22"/>
        <v>105.60759285437445</v>
      </c>
      <c r="AF20">
        <f t="shared" si="23"/>
        <v>40.901283800606656</v>
      </c>
      <c r="AG20">
        <f t="shared" si="24"/>
        <v>2.9953484305928599</v>
      </c>
      <c r="AH20">
        <f t="shared" si="25"/>
        <v>41.025247396499942</v>
      </c>
      <c r="AI20">
        <v>481.39316157861418</v>
      </c>
      <c r="AJ20">
        <v>431.05746666666658</v>
      </c>
      <c r="AK20">
        <v>-6.5964667315651596E-3</v>
      </c>
      <c r="AL20">
        <v>67.073678138795088</v>
      </c>
      <c r="AM20">
        <f t="shared" si="26"/>
        <v>2.9928876738985877</v>
      </c>
      <c r="AN20">
        <v>22.71877651960224</v>
      </c>
      <c r="AO20">
        <v>26.176198787878771</v>
      </c>
      <c r="AP20">
        <v>6.564554017224675E-3</v>
      </c>
      <c r="AQ20">
        <v>78.200574912665402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51389.5471893004</v>
      </c>
      <c r="AW20" t="s">
        <v>463</v>
      </c>
      <c r="AX20">
        <v>5075.7299999999996</v>
      </c>
      <c r="AY20">
        <v>610.24117647058824</v>
      </c>
      <c r="AZ20">
        <v>2455.79</v>
      </c>
      <c r="BA20">
        <f t="shared" si="30"/>
        <v>0.75150921843048946</v>
      </c>
      <c r="BB20">
        <v>-4.0591547578554286</v>
      </c>
      <c r="BC20" t="s">
        <v>754</v>
      </c>
      <c r="BD20">
        <v>5078.9399999999996</v>
      </c>
      <c r="BE20">
        <v>911.97870588235298</v>
      </c>
      <c r="BF20">
        <v>1190.31</v>
      </c>
      <c r="BG20">
        <f t="shared" si="31"/>
        <v>0.23383092985663145</v>
      </c>
      <c r="BH20">
        <v>0.5</v>
      </c>
      <c r="BI20">
        <f t="shared" si="32"/>
        <v>1176.3023197762188</v>
      </c>
      <c r="BJ20">
        <f t="shared" si="33"/>
        <v>40.901283800606656</v>
      </c>
      <c r="BK20">
        <f t="shared" si="34"/>
        <v>137.52793261289295</v>
      </c>
      <c r="BL20">
        <f t="shared" si="35"/>
        <v>3.8221839575233868E-2</v>
      </c>
      <c r="BM20">
        <f t="shared" si="36"/>
        <v>1.0631516159655889</v>
      </c>
      <c r="BN20">
        <f t="shared" si="37"/>
        <v>482.71571044699641</v>
      </c>
      <c r="BO20" t="s">
        <v>408</v>
      </c>
      <c r="BP20">
        <v>0</v>
      </c>
      <c r="BQ20">
        <f t="shared" si="38"/>
        <v>482.71571044699641</v>
      </c>
      <c r="BR20">
        <f t="shared" si="39"/>
        <v>0.59446219014626744</v>
      </c>
      <c r="BS20">
        <f t="shared" si="40"/>
        <v>0.39334870027494484</v>
      </c>
      <c r="BT20">
        <f t="shared" si="41"/>
        <v>0.64137473520406174</v>
      </c>
      <c r="BU20">
        <f t="shared" si="42"/>
        <v>0.4798246049910912</v>
      </c>
      <c r="BV20">
        <f t="shared" si="43"/>
        <v>0.68569304906272099</v>
      </c>
      <c r="BW20">
        <f t="shared" si="44"/>
        <v>0.2082017881359578</v>
      </c>
      <c r="BX20">
        <f t="shared" si="45"/>
        <v>0.7917982118640422</v>
      </c>
      <c r="DG20">
        <f t="shared" si="46"/>
        <v>1400.0113333333329</v>
      </c>
      <c r="DH20">
        <f t="shared" si="47"/>
        <v>1176.3023197762188</v>
      </c>
      <c r="DI20">
        <f t="shared" si="48"/>
        <v>0.84020914100425315</v>
      </c>
      <c r="DJ20">
        <f t="shared" si="49"/>
        <v>0.16000364213820858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1784645222.849999</v>
      </c>
      <c r="DQ20">
        <v>419.85476666666659</v>
      </c>
      <c r="DR20">
        <v>470.44479999999999</v>
      </c>
      <c r="DS20">
        <v>26.142510000000009</v>
      </c>
      <c r="DT20">
        <v>22.642103333333331</v>
      </c>
      <c r="DU20">
        <v>427.00569999999999</v>
      </c>
      <c r="DV20">
        <v>26.84480666666667</v>
      </c>
      <c r="DW20">
        <v>500.00633333333337</v>
      </c>
      <c r="DX20">
        <v>97.703356666666679</v>
      </c>
      <c r="DY20">
        <v>4.296316666666665E-2</v>
      </c>
      <c r="DZ20">
        <v>28.575733333333339</v>
      </c>
      <c r="EA20">
        <v>28.493996666666671</v>
      </c>
      <c r="EB20">
        <v>999.9000000000002</v>
      </c>
      <c r="EC20">
        <v>0</v>
      </c>
      <c r="ED20">
        <v>0</v>
      </c>
      <c r="EE20">
        <v>9999.3333333333339</v>
      </c>
      <c r="EF20">
        <v>0</v>
      </c>
      <c r="EG20">
        <v>170.97993333333341</v>
      </c>
      <c r="EH20">
        <v>-50.590063333333333</v>
      </c>
      <c r="EI20">
        <v>431.12549999999999</v>
      </c>
      <c r="EJ20">
        <v>481.34356666666667</v>
      </c>
      <c r="EK20">
        <v>3.5003929999999999</v>
      </c>
      <c r="EL20">
        <v>470.44479999999999</v>
      </c>
      <c r="EM20">
        <v>22.642103333333331</v>
      </c>
      <c r="EN20">
        <v>2.554209666666666</v>
      </c>
      <c r="EO20">
        <v>2.2122099999999998</v>
      </c>
      <c r="EP20">
        <v>21.376123333333339</v>
      </c>
      <c r="EQ20">
        <v>19.050983333333331</v>
      </c>
      <c r="ER20">
        <v>1400.0113333333329</v>
      </c>
      <c r="ES20">
        <v>0.99300373333333325</v>
      </c>
      <c r="ET20">
        <v>6.9965190000000014E-3</v>
      </c>
      <c r="EU20">
        <v>0</v>
      </c>
      <c r="EV20">
        <v>911.78516666666667</v>
      </c>
      <c r="EW20">
        <v>5.0010700000000003</v>
      </c>
      <c r="EX20">
        <v>15016.40666666666</v>
      </c>
      <c r="EY20">
        <v>12745.64</v>
      </c>
      <c r="EZ20">
        <v>41.561999999999983</v>
      </c>
      <c r="FA20">
        <v>43.481099999999998</v>
      </c>
      <c r="FB20">
        <v>42.561999999999983</v>
      </c>
      <c r="FC20">
        <v>43.155999999999992</v>
      </c>
      <c r="FD20">
        <v>43.061999999999983</v>
      </c>
      <c r="FE20">
        <v>1385.2513333333329</v>
      </c>
      <c r="FF20">
        <v>9.759999999999998</v>
      </c>
      <c r="FG20">
        <v>0</v>
      </c>
      <c r="FH20">
        <v>182</v>
      </c>
      <c r="FI20">
        <v>0</v>
      </c>
      <c r="FJ20">
        <v>911.97870588235298</v>
      </c>
      <c r="FK20">
        <v>1.5887254477020361</v>
      </c>
      <c r="FL20">
        <v>-23.357843664038519</v>
      </c>
      <c r="FM20">
        <v>15016.688235294119</v>
      </c>
      <c r="FN20">
        <v>10</v>
      </c>
      <c r="FO20">
        <v>1784645122.5999999</v>
      </c>
      <c r="FP20" t="s">
        <v>755</v>
      </c>
      <c r="FQ20">
        <v>1784645122.5999999</v>
      </c>
      <c r="FR20">
        <v>1784645122.0999999</v>
      </c>
      <c r="FS20">
        <v>4</v>
      </c>
      <c r="FT20">
        <v>4.5999999999999999E-2</v>
      </c>
      <c r="FU20">
        <v>-1.4999999999999999E-2</v>
      </c>
      <c r="FV20">
        <v>-7.3390000000000004</v>
      </c>
      <c r="FW20">
        <v>-0.80500000000000005</v>
      </c>
      <c r="FX20">
        <v>471</v>
      </c>
      <c r="FY20">
        <v>22</v>
      </c>
      <c r="FZ20">
        <v>0.16</v>
      </c>
      <c r="GA20">
        <v>7.0000000000000007E-2</v>
      </c>
      <c r="GB20">
        <v>419.8576129032258</v>
      </c>
      <c r="GC20">
        <v>-0.14061290322537581</v>
      </c>
      <c r="GD20">
        <v>5.2146615527052617E-2</v>
      </c>
      <c r="GE20">
        <v>-1</v>
      </c>
      <c r="GF20">
        <v>911.59394117647071</v>
      </c>
      <c r="GG20">
        <v>3.7760122182400648</v>
      </c>
      <c r="GH20">
        <v>0.4450471185349556</v>
      </c>
      <c r="GI20">
        <v>1</v>
      </c>
      <c r="GJ20">
        <v>3.5055504878048782</v>
      </c>
      <c r="GK20">
        <v>-0.2186855749128887</v>
      </c>
      <c r="GL20">
        <v>4.0045885873230519E-2</v>
      </c>
      <c r="GM20">
        <v>1</v>
      </c>
      <c r="GN20">
        <v>2</v>
      </c>
      <c r="GO20">
        <v>2</v>
      </c>
      <c r="GP20" t="s">
        <v>424</v>
      </c>
      <c r="GQ20">
        <v>3.1310099999999998</v>
      </c>
      <c r="GR20">
        <v>2.7200299999999999</v>
      </c>
      <c r="GS20">
        <v>9.1554899999999995E-2</v>
      </c>
      <c r="GT20">
        <v>9.9198099999999997E-2</v>
      </c>
      <c r="GU20">
        <v>0.12109499999999999</v>
      </c>
      <c r="GV20">
        <v>0.107934</v>
      </c>
      <c r="GW20">
        <v>22749.599999999999</v>
      </c>
      <c r="GX20">
        <v>30273.200000000001</v>
      </c>
      <c r="GY20">
        <v>27164.1</v>
      </c>
      <c r="GZ20">
        <v>34557.4</v>
      </c>
      <c r="HA20">
        <v>34958.9</v>
      </c>
      <c r="HB20">
        <v>38913.199999999997</v>
      </c>
      <c r="HC20">
        <v>40105.300000000003</v>
      </c>
      <c r="HD20">
        <v>43701.8</v>
      </c>
      <c r="HE20">
        <v>1.9641999999999999</v>
      </c>
      <c r="HF20">
        <v>1.831</v>
      </c>
      <c r="HG20">
        <v>-2.78056E-2</v>
      </c>
      <c r="HH20">
        <v>0</v>
      </c>
      <c r="HI20">
        <v>28.9298</v>
      </c>
      <c r="HJ20">
        <v>999.9</v>
      </c>
      <c r="HK20">
        <v>67</v>
      </c>
      <c r="HL20">
        <v>31.8</v>
      </c>
      <c r="HM20">
        <v>32.376899999999999</v>
      </c>
      <c r="HN20">
        <v>60.826500000000003</v>
      </c>
      <c r="HO20">
        <v>3.7419899999999999</v>
      </c>
      <c r="HP20">
        <v>1</v>
      </c>
      <c r="HQ20">
        <v>0.53016300000000005</v>
      </c>
      <c r="HR20">
        <v>3.0554700000000001</v>
      </c>
      <c r="HS20">
        <v>20.246600000000001</v>
      </c>
      <c r="HT20">
        <v>5.2065099999999997</v>
      </c>
      <c r="HU20">
        <v>11.908099999999999</v>
      </c>
      <c r="HV20">
        <v>4.9851999999999999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1.86707</v>
      </c>
      <c r="IC20">
        <v>1.8626400000000001</v>
      </c>
      <c r="ID20">
        <v>1.8620300000000001</v>
      </c>
      <c r="IE20">
        <v>1.8615699999999999</v>
      </c>
      <c r="IF20">
        <v>1.8615699999999999</v>
      </c>
      <c r="IG20">
        <v>1.8623400000000001</v>
      </c>
      <c r="IH20">
        <v>1.8632200000000001</v>
      </c>
      <c r="II20">
        <v>1.86117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-7.15</v>
      </c>
      <c r="IX20">
        <v>-0.70130000000000003</v>
      </c>
      <c r="IY20">
        <v>-5.1595221722545066</v>
      </c>
      <c r="IZ20">
        <v>-5.6215304933332991E-3</v>
      </c>
      <c r="JA20">
        <v>2.3979931213773931E-6</v>
      </c>
      <c r="JB20">
        <v>-3.6297174575716598E-10</v>
      </c>
      <c r="JC20">
        <v>-1.175163306409637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1.8</v>
      </c>
      <c r="JL20">
        <v>1.8</v>
      </c>
      <c r="JM20">
        <v>1.1975100000000001</v>
      </c>
      <c r="JN20">
        <v>2.49512</v>
      </c>
      <c r="JO20">
        <v>1.50024</v>
      </c>
      <c r="JP20">
        <v>2.2778299999999998</v>
      </c>
      <c r="JQ20">
        <v>1.4477500000000001</v>
      </c>
      <c r="JR20">
        <v>2.34985</v>
      </c>
      <c r="JS20">
        <v>37.385800000000003</v>
      </c>
      <c r="JT20">
        <v>14.7187</v>
      </c>
      <c r="JU20">
        <v>18</v>
      </c>
      <c r="JV20">
        <v>540.47299999999996</v>
      </c>
      <c r="JW20">
        <v>467.15199999999999</v>
      </c>
      <c r="JX20">
        <v>25.3414</v>
      </c>
      <c r="JY20">
        <v>33.723199999999999</v>
      </c>
      <c r="JZ20">
        <v>29.999500000000001</v>
      </c>
      <c r="KA20">
        <v>34.120600000000003</v>
      </c>
      <c r="KB20">
        <v>34.185899999999997</v>
      </c>
      <c r="KC20">
        <v>23.9618</v>
      </c>
      <c r="KD20">
        <v>37.244</v>
      </c>
      <c r="KE20">
        <v>40.971299999999999</v>
      </c>
      <c r="KF20">
        <v>25.3613</v>
      </c>
      <c r="KG20">
        <v>470.66300000000001</v>
      </c>
      <c r="KH20">
        <v>22.670300000000001</v>
      </c>
      <c r="KI20">
        <v>100.242</v>
      </c>
      <c r="KJ20">
        <v>98.466700000000003</v>
      </c>
    </row>
    <row r="21" spans="1:296" x14ac:dyDescent="0.3">
      <c r="A21">
        <v>5</v>
      </c>
      <c r="B21">
        <v>1784645413.0999999</v>
      </c>
      <c r="C21">
        <v>753.5</v>
      </c>
      <c r="D21" t="s">
        <v>756</v>
      </c>
      <c r="E21" t="s">
        <v>757</v>
      </c>
      <c r="F21">
        <v>15</v>
      </c>
      <c r="H21">
        <v>1784645405.349999</v>
      </c>
      <c r="I21">
        <f t="shared" si="0"/>
        <v>2.4624195712597986E-3</v>
      </c>
      <c r="J21">
        <f t="shared" si="1"/>
        <v>2.4624195712597987</v>
      </c>
      <c r="K21">
        <f t="shared" si="2"/>
        <v>35.873106602364118</v>
      </c>
      <c r="L21">
        <f t="shared" si="3"/>
        <v>420.12376666666671</v>
      </c>
      <c r="M21">
        <f t="shared" si="4"/>
        <v>84.554212988727755</v>
      </c>
      <c r="N21">
        <f t="shared" si="5"/>
        <v>8.2655680136466234</v>
      </c>
      <c r="O21">
        <f t="shared" si="6"/>
        <v>41.069054335538297</v>
      </c>
      <c r="P21">
        <f t="shared" si="7"/>
        <v>0.17912468314879512</v>
      </c>
      <c r="Q21">
        <f t="shared" si="8"/>
        <v>2.8899973332297026</v>
      </c>
      <c r="R21">
        <f t="shared" si="9"/>
        <v>0.17317750270555674</v>
      </c>
      <c r="S21">
        <f t="shared" si="10"/>
        <v>0.10875382068938572</v>
      </c>
      <c r="T21">
        <f t="shared" si="11"/>
        <v>160.17510780917243</v>
      </c>
      <c r="U21">
        <f t="shared" si="12"/>
        <v>28.972179781329697</v>
      </c>
      <c r="V21">
        <f t="shared" si="13"/>
        <v>28.512013333333329</v>
      </c>
      <c r="W21">
        <f t="shared" si="14"/>
        <v>3.9095961085793549</v>
      </c>
      <c r="X21">
        <f t="shared" si="15"/>
        <v>65.046361795607993</v>
      </c>
      <c r="Y21">
        <f t="shared" si="16"/>
        <v>2.5656537153032755</v>
      </c>
      <c r="Z21">
        <f t="shared" si="17"/>
        <v>3.9443462239520848</v>
      </c>
      <c r="AA21">
        <f t="shared" si="18"/>
        <v>1.3439423932760795</v>
      </c>
      <c r="AB21">
        <f t="shared" si="19"/>
        <v>-108.59270309255712</v>
      </c>
      <c r="AC21">
        <f t="shared" si="20"/>
        <v>23.754112053487372</v>
      </c>
      <c r="AD21">
        <f t="shared" si="21"/>
        <v>1.8021702547150373</v>
      </c>
      <c r="AE21">
        <f t="shared" si="22"/>
        <v>77.138687024817727</v>
      </c>
      <c r="AF21">
        <f t="shared" si="23"/>
        <v>35.873106602364118</v>
      </c>
      <c r="AG21">
        <f t="shared" si="24"/>
        <v>2.4624195712597987</v>
      </c>
      <c r="AH21">
        <f t="shared" si="25"/>
        <v>35.895474840949767</v>
      </c>
      <c r="AI21">
        <v>474.77596912382091</v>
      </c>
      <c r="AJ21">
        <v>431.06024848484839</v>
      </c>
      <c r="AK21">
        <v>-7.4126868565000545E-2</v>
      </c>
      <c r="AL21">
        <v>67.071769981941017</v>
      </c>
      <c r="AM21">
        <f t="shared" si="26"/>
        <v>2.4631322660225257</v>
      </c>
      <c r="AN21">
        <v>23.362683881220711</v>
      </c>
      <c r="AO21">
        <v>26.240786666666651</v>
      </c>
      <c r="AP21">
        <v>-9.5936399945946611E-6</v>
      </c>
      <c r="AQ21">
        <v>78.194489666431352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51407.657763001414</v>
      </c>
      <c r="AW21" t="s">
        <v>463</v>
      </c>
      <c r="AX21">
        <v>5075.7299999999996</v>
      </c>
      <c r="AY21">
        <v>610.24117647058824</v>
      </c>
      <c r="AZ21">
        <v>2455.79</v>
      </c>
      <c r="BA21">
        <f t="shared" si="30"/>
        <v>0.75150921843048946</v>
      </c>
      <c r="BB21">
        <v>-4.0591547578554286</v>
      </c>
      <c r="BC21" t="s">
        <v>758</v>
      </c>
      <c r="BD21">
        <v>5082.24</v>
      </c>
      <c r="BE21">
        <v>889.74841176470591</v>
      </c>
      <c r="BF21">
        <v>1311.82</v>
      </c>
      <c r="BG21">
        <f t="shared" si="31"/>
        <v>0.32174504751817634</v>
      </c>
      <c r="BH21">
        <v>0.5</v>
      </c>
      <c r="BI21">
        <f t="shared" si="32"/>
        <v>840.2959890824726</v>
      </c>
      <c r="BJ21">
        <f t="shared" si="33"/>
        <v>35.873106602364118</v>
      </c>
      <c r="BK21">
        <f t="shared" si="34"/>
        <v>135.18053646833656</v>
      </c>
      <c r="BL21">
        <f t="shared" si="35"/>
        <v>4.7521661270598203E-2</v>
      </c>
      <c r="BM21">
        <f t="shared" si="36"/>
        <v>0.87204799438947422</v>
      </c>
      <c r="BN21">
        <f t="shared" si="37"/>
        <v>501.55604423731342</v>
      </c>
      <c r="BO21" t="s">
        <v>408</v>
      </c>
      <c r="BP21">
        <v>0</v>
      </c>
      <c r="BQ21">
        <f t="shared" si="38"/>
        <v>501.55604423731342</v>
      </c>
      <c r="BR21">
        <f t="shared" si="39"/>
        <v>0.61766397505960158</v>
      </c>
      <c r="BS21">
        <f t="shared" si="40"/>
        <v>0.52090628644341685</v>
      </c>
      <c r="BT21">
        <f t="shared" si="41"/>
        <v>0.58538026965841883</v>
      </c>
      <c r="BU21">
        <f t="shared" si="42"/>
        <v>0.60160252003045223</v>
      </c>
      <c r="BV21">
        <f t="shared" si="43"/>
        <v>0.61985355543847476</v>
      </c>
      <c r="BW21">
        <f t="shared" si="44"/>
        <v>0.29363772162146917</v>
      </c>
      <c r="BX21">
        <f t="shared" si="45"/>
        <v>0.70636227837853083</v>
      </c>
      <c r="DG21">
        <f t="shared" si="46"/>
        <v>999.99736666666661</v>
      </c>
      <c r="DH21">
        <f t="shared" si="47"/>
        <v>840.2959890824726</v>
      </c>
      <c r="DI21">
        <f t="shared" si="48"/>
        <v>0.84029820186773763</v>
      </c>
      <c r="DJ21">
        <f t="shared" si="49"/>
        <v>0.16017552960473375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1784645405.349999</v>
      </c>
      <c r="DQ21">
        <v>420.12376666666671</v>
      </c>
      <c r="DR21">
        <v>464.41056666666668</v>
      </c>
      <c r="DS21">
        <v>26.245846666666662</v>
      </c>
      <c r="DT21">
        <v>23.368649999999999</v>
      </c>
      <c r="DU21">
        <v>427.16570000000002</v>
      </c>
      <c r="DV21">
        <v>26.960473333333329</v>
      </c>
      <c r="DW21">
        <v>500.02656666666661</v>
      </c>
      <c r="DX21">
        <v>97.711879999999994</v>
      </c>
      <c r="DY21">
        <v>4.2776113333333331E-2</v>
      </c>
      <c r="DZ21">
        <v>28.664473333333341</v>
      </c>
      <c r="EA21">
        <v>28.512013333333329</v>
      </c>
      <c r="EB21">
        <v>999.9000000000002</v>
      </c>
      <c r="EC21">
        <v>0</v>
      </c>
      <c r="ED21">
        <v>0</v>
      </c>
      <c r="EE21">
        <v>10005.16666666667</v>
      </c>
      <c r="EF21">
        <v>0</v>
      </c>
      <c r="EG21">
        <v>158.94646666666671</v>
      </c>
      <c r="EH21">
        <v>-44.286893333333332</v>
      </c>
      <c r="EI21">
        <v>431.4473333333334</v>
      </c>
      <c r="EJ21">
        <v>475.52296666666672</v>
      </c>
      <c r="EK21">
        <v>2.8772013333333319</v>
      </c>
      <c r="EL21">
        <v>464.41056666666668</v>
      </c>
      <c r="EM21">
        <v>23.368649999999999</v>
      </c>
      <c r="EN21">
        <v>2.5645306666666672</v>
      </c>
      <c r="EO21">
        <v>2.2833950000000001</v>
      </c>
      <c r="EP21">
        <v>21.44193666666667</v>
      </c>
      <c r="EQ21">
        <v>19.559740000000001</v>
      </c>
      <c r="ER21">
        <v>999.99736666666661</v>
      </c>
      <c r="ES21">
        <v>0.99000620000000028</v>
      </c>
      <c r="ET21">
        <v>9.9934720000000015E-3</v>
      </c>
      <c r="EU21">
        <v>0</v>
      </c>
      <c r="EV21">
        <v>889.53230000000008</v>
      </c>
      <c r="EW21">
        <v>5.0010700000000003</v>
      </c>
      <c r="EX21">
        <v>11406.91333333333</v>
      </c>
      <c r="EY21">
        <v>9080.2773333333353</v>
      </c>
      <c r="EZ21">
        <v>40.853999999999992</v>
      </c>
      <c r="FA21">
        <v>43.186999999999983</v>
      </c>
      <c r="FB21">
        <v>42.153933333333327</v>
      </c>
      <c r="FC21">
        <v>42.953799999999987</v>
      </c>
      <c r="FD21">
        <v>42.561999999999983</v>
      </c>
      <c r="FE21">
        <v>985.0526666666666</v>
      </c>
      <c r="FF21">
        <v>9.94</v>
      </c>
      <c r="FG21">
        <v>0</v>
      </c>
      <c r="FH21">
        <v>182.20000004768369</v>
      </c>
      <c r="FI21">
        <v>0</v>
      </c>
      <c r="FJ21">
        <v>889.74841176470591</v>
      </c>
      <c r="FK21">
        <v>2.7171568267792918</v>
      </c>
      <c r="FL21">
        <v>-1017.426466566141</v>
      </c>
      <c r="FM21">
        <v>11430.74705882353</v>
      </c>
      <c r="FN21">
        <v>10</v>
      </c>
      <c r="FO21">
        <v>1784645379.0999999</v>
      </c>
      <c r="FP21" t="s">
        <v>759</v>
      </c>
      <c r="FQ21">
        <v>1784645368.0999999</v>
      </c>
      <c r="FR21">
        <v>1784645379.0999999</v>
      </c>
      <c r="FS21">
        <v>5</v>
      </c>
      <c r="FT21">
        <v>0.109</v>
      </c>
      <c r="FU21">
        <v>-1.6E-2</v>
      </c>
      <c r="FV21">
        <v>-7.2089999999999996</v>
      </c>
      <c r="FW21">
        <v>-0.80200000000000005</v>
      </c>
      <c r="FX21">
        <v>465</v>
      </c>
      <c r="FY21">
        <v>23</v>
      </c>
      <c r="FZ21">
        <v>0.14000000000000001</v>
      </c>
      <c r="GA21">
        <v>0.12</v>
      </c>
      <c r="GB21">
        <v>420.11</v>
      </c>
      <c r="GC21">
        <v>-0.22617130144681949</v>
      </c>
      <c r="GD21">
        <v>0.27823287608285119</v>
      </c>
      <c r="GE21">
        <v>-1</v>
      </c>
      <c r="GF21">
        <v>889.39523529411758</v>
      </c>
      <c r="GG21">
        <v>2.9451184072738612</v>
      </c>
      <c r="GH21">
        <v>0.40348045063974142</v>
      </c>
      <c r="GI21">
        <v>1</v>
      </c>
      <c r="GJ21">
        <v>2.8729292499999999</v>
      </c>
      <c r="GK21">
        <v>7.1561763602246586E-2</v>
      </c>
      <c r="GL21">
        <v>9.0668760848210492E-3</v>
      </c>
      <c r="GM21">
        <v>1</v>
      </c>
      <c r="GN21">
        <v>2</v>
      </c>
      <c r="GO21">
        <v>2</v>
      </c>
      <c r="GP21" t="s">
        <v>424</v>
      </c>
      <c r="GQ21">
        <v>3.1314500000000001</v>
      </c>
      <c r="GR21">
        <v>2.7185199999999998</v>
      </c>
      <c r="GS21">
        <v>9.1521199999999997E-2</v>
      </c>
      <c r="GT21">
        <v>9.8155999999999993E-2</v>
      </c>
      <c r="GU21">
        <v>0.121333</v>
      </c>
      <c r="GV21">
        <v>0.11</v>
      </c>
      <c r="GW21">
        <v>22748.400000000001</v>
      </c>
      <c r="GX21">
        <v>30309.599999999999</v>
      </c>
      <c r="GY21">
        <v>27161.7</v>
      </c>
      <c r="GZ21">
        <v>34559</v>
      </c>
      <c r="HA21">
        <v>34946.9</v>
      </c>
      <c r="HB21">
        <v>38825.599999999999</v>
      </c>
      <c r="HC21">
        <v>40102.400000000001</v>
      </c>
      <c r="HD21">
        <v>43704.7</v>
      </c>
      <c r="HE21">
        <v>1.9634</v>
      </c>
      <c r="HF21">
        <v>1.829</v>
      </c>
      <c r="HG21">
        <v>-2.16067E-2</v>
      </c>
      <c r="HH21">
        <v>0</v>
      </c>
      <c r="HI21">
        <v>28.858000000000001</v>
      </c>
      <c r="HJ21">
        <v>999.9</v>
      </c>
      <c r="HK21">
        <v>64.7</v>
      </c>
      <c r="HL21">
        <v>32.1</v>
      </c>
      <c r="HM21">
        <v>31.7959</v>
      </c>
      <c r="HN21">
        <v>60.796500000000002</v>
      </c>
      <c r="HO21">
        <v>3.8862199999999998</v>
      </c>
      <c r="HP21">
        <v>1</v>
      </c>
      <c r="HQ21">
        <v>0.53125999999999995</v>
      </c>
      <c r="HR21">
        <v>2.9127000000000001</v>
      </c>
      <c r="HS21">
        <v>20.252199999999998</v>
      </c>
      <c r="HT21">
        <v>5.2100999999999997</v>
      </c>
      <c r="HU21">
        <v>11.908099999999999</v>
      </c>
      <c r="HV21">
        <v>4.9847999999999999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1.86707</v>
      </c>
      <c r="IC21">
        <v>1.8626400000000001</v>
      </c>
      <c r="ID21">
        <v>1.8620300000000001</v>
      </c>
      <c r="IE21">
        <v>1.8615699999999999</v>
      </c>
      <c r="IF21">
        <v>1.8615699999999999</v>
      </c>
      <c r="IG21">
        <v>1.8623400000000001</v>
      </c>
      <c r="IH21">
        <v>1.8632200000000001</v>
      </c>
      <c r="II21">
        <v>1.86114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-7.04</v>
      </c>
      <c r="IX21">
        <v>-0.7147</v>
      </c>
      <c r="IY21">
        <v>-5.0499964537930744</v>
      </c>
      <c r="IZ21">
        <v>-5.6215304933332991E-3</v>
      </c>
      <c r="JA21">
        <v>2.3979931213773931E-6</v>
      </c>
      <c r="JB21">
        <v>-3.6297174575716598E-10</v>
      </c>
      <c r="JC21">
        <v>-1.190846583528715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0.8</v>
      </c>
      <c r="JL21">
        <v>0.6</v>
      </c>
      <c r="JM21">
        <v>1.18408</v>
      </c>
      <c r="JN21">
        <v>2.49756</v>
      </c>
      <c r="JO21">
        <v>1.50024</v>
      </c>
      <c r="JP21">
        <v>2.2766099999999998</v>
      </c>
      <c r="JQ21">
        <v>1.4477500000000001</v>
      </c>
      <c r="JR21">
        <v>2.34619</v>
      </c>
      <c r="JS21">
        <v>37.554000000000002</v>
      </c>
      <c r="JT21">
        <v>14.7012</v>
      </c>
      <c r="JU21">
        <v>18</v>
      </c>
      <c r="JV21">
        <v>540.38499999999999</v>
      </c>
      <c r="JW21">
        <v>466.279</v>
      </c>
      <c r="JX21">
        <v>25.8856</v>
      </c>
      <c r="JY21">
        <v>33.744399999999999</v>
      </c>
      <c r="JZ21">
        <v>30.0001</v>
      </c>
      <c r="KA21">
        <v>34.174700000000001</v>
      </c>
      <c r="KB21">
        <v>34.245600000000003</v>
      </c>
      <c r="KC21">
        <v>23.672999999999998</v>
      </c>
      <c r="KD21">
        <v>34.805700000000002</v>
      </c>
      <c r="KE21">
        <v>35.673900000000003</v>
      </c>
      <c r="KF21">
        <v>25.879200000000001</v>
      </c>
      <c r="KG21">
        <v>464.108</v>
      </c>
      <c r="KH21">
        <v>23.363800000000001</v>
      </c>
      <c r="KI21">
        <v>100.23399999999999</v>
      </c>
      <c r="KJ21">
        <v>98.472499999999997</v>
      </c>
    </row>
    <row r="22" spans="1:296" x14ac:dyDescent="0.3">
      <c r="A22">
        <v>6</v>
      </c>
      <c r="B22">
        <v>1784645595.5999999</v>
      </c>
      <c r="C22">
        <v>936</v>
      </c>
      <c r="D22" t="s">
        <v>760</v>
      </c>
      <c r="E22" t="s">
        <v>761</v>
      </c>
      <c r="F22">
        <v>15</v>
      </c>
      <c r="H22">
        <v>1784645587.849999</v>
      </c>
      <c r="I22">
        <f t="shared" si="0"/>
        <v>2.6824331673848925E-3</v>
      </c>
      <c r="J22">
        <f t="shared" si="1"/>
        <v>2.6824331673848927</v>
      </c>
      <c r="K22">
        <f t="shared" si="2"/>
        <v>35.172835834071918</v>
      </c>
      <c r="L22">
        <f t="shared" si="3"/>
        <v>420.01276666666661</v>
      </c>
      <c r="M22">
        <f t="shared" si="4"/>
        <v>116.90840505775711</v>
      </c>
      <c r="N22">
        <f t="shared" si="5"/>
        <v>11.429586743826448</v>
      </c>
      <c r="O22">
        <f t="shared" si="6"/>
        <v>41.062679349355101</v>
      </c>
      <c r="P22">
        <f t="shared" si="7"/>
        <v>0.19555361822905443</v>
      </c>
      <c r="Q22">
        <f t="shared" si="8"/>
        <v>2.8891699595011491</v>
      </c>
      <c r="R22">
        <f t="shared" si="9"/>
        <v>0.18848668827635823</v>
      </c>
      <c r="S22">
        <f t="shared" si="10"/>
        <v>0.11841783873778888</v>
      </c>
      <c r="T22">
        <f t="shared" si="11"/>
        <v>128.27584372054361</v>
      </c>
      <c r="U22">
        <f t="shared" si="12"/>
        <v>28.769354579103762</v>
      </c>
      <c r="V22">
        <f t="shared" si="13"/>
        <v>28.528333333333329</v>
      </c>
      <c r="W22">
        <f t="shared" si="14"/>
        <v>3.9133031091391373</v>
      </c>
      <c r="X22">
        <f t="shared" si="15"/>
        <v>64.93701296686406</v>
      </c>
      <c r="Y22">
        <f t="shared" si="16"/>
        <v>2.5680835839358949</v>
      </c>
      <c r="Z22">
        <f t="shared" si="17"/>
        <v>3.9547300785860471</v>
      </c>
      <c r="AA22">
        <f t="shared" si="18"/>
        <v>1.3452195252032424</v>
      </c>
      <c r="AB22">
        <f t="shared" si="19"/>
        <v>-118.29530268167376</v>
      </c>
      <c r="AC22">
        <f t="shared" si="20"/>
        <v>28.265936122552052</v>
      </c>
      <c r="AD22">
        <f t="shared" si="21"/>
        <v>2.1457440260719607</v>
      </c>
      <c r="AE22">
        <f t="shared" si="22"/>
        <v>40.392221187493845</v>
      </c>
      <c r="AF22">
        <f t="shared" si="23"/>
        <v>35.172835834071918</v>
      </c>
      <c r="AG22">
        <f t="shared" si="24"/>
        <v>2.6824331673848927</v>
      </c>
      <c r="AH22">
        <f t="shared" si="25"/>
        <v>34.920903297874297</v>
      </c>
      <c r="AI22">
        <v>474.54374195651138</v>
      </c>
      <c r="AJ22">
        <v>431.39988484848487</v>
      </c>
      <c r="AK22">
        <v>4.7068850229843889E-2</v>
      </c>
      <c r="AL22">
        <v>67.093328310465949</v>
      </c>
      <c r="AM22">
        <f t="shared" si="26"/>
        <v>2.6841821869597862</v>
      </c>
      <c r="AN22">
        <v>23.125572359480088</v>
      </c>
      <c r="AO22">
        <v>26.263799999999971</v>
      </c>
      <c r="AP22">
        <v>-2.9060138359035699E-4</v>
      </c>
      <c r="AQ22">
        <v>78.250279510841153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51376.738993254497</v>
      </c>
      <c r="AW22" t="s">
        <v>463</v>
      </c>
      <c r="AX22">
        <v>5075.7299999999996</v>
      </c>
      <c r="AY22">
        <v>610.24117647058824</v>
      </c>
      <c r="AZ22">
        <v>2455.79</v>
      </c>
      <c r="BA22">
        <f t="shared" si="30"/>
        <v>0.75150921843048946</v>
      </c>
      <c r="BB22">
        <v>-4.0591547578554286</v>
      </c>
      <c r="BC22" t="s">
        <v>762</v>
      </c>
      <c r="BD22">
        <v>5086.16</v>
      </c>
      <c r="BE22">
        <v>912.60235294117649</v>
      </c>
      <c r="BF22">
        <v>1511.6</v>
      </c>
      <c r="BG22">
        <f t="shared" si="31"/>
        <v>0.39626729760440826</v>
      </c>
      <c r="BH22">
        <v>0.5</v>
      </c>
      <c r="BI22">
        <f t="shared" si="32"/>
        <v>672.29524727489309</v>
      </c>
      <c r="BJ22">
        <f t="shared" si="33"/>
        <v>35.172835834071918</v>
      </c>
      <c r="BK22">
        <f t="shared" si="34"/>
        <v>133.20431041495465</v>
      </c>
      <c r="BL22">
        <f t="shared" si="35"/>
        <v>5.8355299626096986E-2</v>
      </c>
      <c r="BM22">
        <f t="shared" si="36"/>
        <v>0.62462953162212231</v>
      </c>
      <c r="BN22">
        <f t="shared" si="37"/>
        <v>528.24915296631821</v>
      </c>
      <c r="BO22" t="s">
        <v>408</v>
      </c>
      <c r="BP22">
        <v>0</v>
      </c>
      <c r="BQ22">
        <f t="shared" si="38"/>
        <v>528.24915296631821</v>
      </c>
      <c r="BR22">
        <f t="shared" si="39"/>
        <v>0.65053641640227688</v>
      </c>
      <c r="BS22">
        <f t="shared" si="40"/>
        <v>0.60913930044980835</v>
      </c>
      <c r="BT22">
        <f t="shared" si="41"/>
        <v>0.48984175949009151</v>
      </c>
      <c r="BU22">
        <f t="shared" si="42"/>
        <v>0.66454960158192533</v>
      </c>
      <c r="BV22">
        <f t="shared" si="43"/>
        <v>0.51160391313535625</v>
      </c>
      <c r="BW22">
        <f t="shared" si="44"/>
        <v>0.35259312937783721</v>
      </c>
      <c r="BX22">
        <f t="shared" si="45"/>
        <v>0.64740687062216273</v>
      </c>
      <c r="DG22">
        <f t="shared" si="46"/>
        <v>799.98220000000003</v>
      </c>
      <c r="DH22">
        <f t="shared" si="47"/>
        <v>672.29524727489309</v>
      </c>
      <c r="DI22">
        <f t="shared" si="48"/>
        <v>0.84038775772122565</v>
      </c>
      <c r="DJ22">
        <f t="shared" si="49"/>
        <v>0.16034837240196545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1784645587.849999</v>
      </c>
      <c r="DQ22">
        <v>420.01276666666661</v>
      </c>
      <c r="DR22">
        <v>463.57263333333327</v>
      </c>
      <c r="DS22">
        <v>26.26784</v>
      </c>
      <c r="DT22">
        <v>23.13344</v>
      </c>
      <c r="DU22">
        <v>427.14836666666667</v>
      </c>
      <c r="DV22">
        <v>26.986630000000002</v>
      </c>
      <c r="DW22">
        <v>499.99453333333332</v>
      </c>
      <c r="DX22">
        <v>97.722430000000003</v>
      </c>
      <c r="DY22">
        <v>4.2882410000000003E-2</v>
      </c>
      <c r="DZ22">
        <v>28.70980333333333</v>
      </c>
      <c r="EA22">
        <v>28.528333333333329</v>
      </c>
      <c r="EB22">
        <v>999.9000000000002</v>
      </c>
      <c r="EC22">
        <v>0</v>
      </c>
      <c r="ED22">
        <v>0</v>
      </c>
      <c r="EE22">
        <v>9999.3333333333339</v>
      </c>
      <c r="EF22">
        <v>0</v>
      </c>
      <c r="EG22">
        <v>152.947</v>
      </c>
      <c r="EH22">
        <v>-43.559923333333337</v>
      </c>
      <c r="EI22">
        <v>431.34323333333327</v>
      </c>
      <c r="EJ22">
        <v>474.55063333333328</v>
      </c>
      <c r="EK22">
        <v>3.1344013333333329</v>
      </c>
      <c r="EL22">
        <v>463.57263333333327</v>
      </c>
      <c r="EM22">
        <v>23.13344</v>
      </c>
      <c r="EN22">
        <v>2.5669569999999999</v>
      </c>
      <c r="EO22">
        <v>2.2606563333333329</v>
      </c>
      <c r="EP22">
        <v>21.457376666666669</v>
      </c>
      <c r="EQ22">
        <v>19.398763333333331</v>
      </c>
      <c r="ER22">
        <v>799.98220000000003</v>
      </c>
      <c r="ES22">
        <v>0.98699599999999987</v>
      </c>
      <c r="ET22">
        <v>1.300399E-2</v>
      </c>
      <c r="EU22">
        <v>0</v>
      </c>
      <c r="EV22">
        <v>912.61686666666674</v>
      </c>
      <c r="EW22">
        <v>5.0010700000000003</v>
      </c>
      <c r="EX22">
        <v>10543.31333333333</v>
      </c>
      <c r="EY22">
        <v>7246.445999999999</v>
      </c>
      <c r="EZ22">
        <v>40.254133333333343</v>
      </c>
      <c r="FA22">
        <v>42.936999999999983</v>
      </c>
      <c r="FB22">
        <v>41.75</v>
      </c>
      <c r="FC22">
        <v>42.641533333333342</v>
      </c>
      <c r="FD22">
        <v>42.061999999999983</v>
      </c>
      <c r="FE22">
        <v>784.6429999999998</v>
      </c>
      <c r="FF22">
        <v>10.34</v>
      </c>
      <c r="FG22">
        <v>0</v>
      </c>
      <c r="FH22">
        <v>181.79999995231631</v>
      </c>
      <c r="FI22">
        <v>0</v>
      </c>
      <c r="FJ22">
        <v>912.60235294117649</v>
      </c>
      <c r="FK22">
        <v>3.4899510057866392</v>
      </c>
      <c r="FL22">
        <v>-169.92647237587411</v>
      </c>
      <c r="FM22">
        <v>10512.194117647059</v>
      </c>
      <c r="FN22">
        <v>10</v>
      </c>
      <c r="FO22">
        <v>1784645484.5999999</v>
      </c>
      <c r="FP22" t="s">
        <v>763</v>
      </c>
      <c r="FQ22">
        <v>1784645483.5999999</v>
      </c>
      <c r="FR22">
        <v>1784645484.5999999</v>
      </c>
      <c r="FS22">
        <v>6</v>
      </c>
      <c r="FT22">
        <v>-9.4E-2</v>
      </c>
      <c r="FU22">
        <v>-5.0000000000000001E-3</v>
      </c>
      <c r="FV22">
        <v>-7.2969999999999997</v>
      </c>
      <c r="FW22">
        <v>-0.80200000000000005</v>
      </c>
      <c r="FX22">
        <v>464</v>
      </c>
      <c r="FY22">
        <v>23</v>
      </c>
      <c r="FZ22">
        <v>0.2</v>
      </c>
      <c r="GA22">
        <v>0.1</v>
      </c>
      <c r="GB22">
        <v>420.0134333333333</v>
      </c>
      <c r="GC22">
        <v>-0.28706562847633171</v>
      </c>
      <c r="GD22">
        <v>6.231194820329157E-2</v>
      </c>
      <c r="GE22">
        <v>-1</v>
      </c>
      <c r="GF22">
        <v>912.33832352941181</v>
      </c>
      <c r="GG22">
        <v>3.6071963381720682</v>
      </c>
      <c r="GH22">
        <v>0.51507136687626398</v>
      </c>
      <c r="GI22">
        <v>1</v>
      </c>
      <c r="GJ22">
        <v>3.1211407499999999</v>
      </c>
      <c r="GK22">
        <v>0.2066162476547786</v>
      </c>
      <c r="GL22">
        <v>2.2235754359533209E-2</v>
      </c>
      <c r="GM22">
        <v>1</v>
      </c>
      <c r="GN22">
        <v>2</v>
      </c>
      <c r="GO22">
        <v>2</v>
      </c>
      <c r="GP22" t="s">
        <v>424</v>
      </c>
      <c r="GQ22">
        <v>3.13171</v>
      </c>
      <c r="GR22">
        <v>2.71896</v>
      </c>
      <c r="GS22">
        <v>9.1593300000000002E-2</v>
      </c>
      <c r="GT22">
        <v>9.8086900000000005E-2</v>
      </c>
      <c r="GU22">
        <v>0.121417</v>
      </c>
      <c r="GV22">
        <v>0.109236</v>
      </c>
      <c r="GW22">
        <v>22746.5</v>
      </c>
      <c r="GX22">
        <v>30311.7</v>
      </c>
      <c r="GY22">
        <v>27161.599999999999</v>
      </c>
      <c r="GZ22">
        <v>34558.699999999997</v>
      </c>
      <c r="HA22">
        <v>34944</v>
      </c>
      <c r="HB22">
        <v>38859.800000000003</v>
      </c>
      <c r="HC22">
        <v>40103</v>
      </c>
      <c r="HD22">
        <v>43705.8</v>
      </c>
      <c r="HE22">
        <v>1.9645999999999999</v>
      </c>
      <c r="HF22">
        <v>1.8266</v>
      </c>
      <c r="HG22">
        <v>-2.1904699999999999E-2</v>
      </c>
      <c r="HH22">
        <v>0</v>
      </c>
      <c r="HI22">
        <v>28.888200000000001</v>
      </c>
      <c r="HJ22">
        <v>999.9</v>
      </c>
      <c r="HK22">
        <v>62.5</v>
      </c>
      <c r="HL22">
        <v>32.4</v>
      </c>
      <c r="HM22">
        <v>31.238299999999999</v>
      </c>
      <c r="HN22">
        <v>60.4465</v>
      </c>
      <c r="HO22">
        <v>3.7379799999999999</v>
      </c>
      <c r="HP22">
        <v>1</v>
      </c>
      <c r="HQ22">
        <v>0.52939000000000003</v>
      </c>
      <c r="HR22">
        <v>2.8980399999999999</v>
      </c>
      <c r="HS22">
        <v>20.254100000000001</v>
      </c>
      <c r="HT22">
        <v>5.2088999999999999</v>
      </c>
      <c r="HU22">
        <v>11.908099999999999</v>
      </c>
      <c r="HV22">
        <v>4.9836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1.86707</v>
      </c>
      <c r="IC22">
        <v>1.8626400000000001</v>
      </c>
      <c r="ID22">
        <v>1.86209</v>
      </c>
      <c r="IE22">
        <v>1.8615699999999999</v>
      </c>
      <c r="IF22">
        <v>1.8615999999999999</v>
      </c>
      <c r="IG22">
        <v>1.8623400000000001</v>
      </c>
      <c r="IH22">
        <v>1.8632500000000001</v>
      </c>
      <c r="II22">
        <v>1.86121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-7.1349999999999998</v>
      </c>
      <c r="IX22">
        <v>-0.71899999999999997</v>
      </c>
      <c r="IY22">
        <v>-5.1435783123105576</v>
      </c>
      <c r="IZ22">
        <v>-5.6215304933332991E-3</v>
      </c>
      <c r="JA22">
        <v>2.3979931213773931E-6</v>
      </c>
      <c r="JB22">
        <v>-3.6297174575716598E-10</v>
      </c>
      <c r="JC22">
        <v>-1.19576529081757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1.9</v>
      </c>
      <c r="JL22">
        <v>1.9</v>
      </c>
      <c r="JM22">
        <v>1.17432</v>
      </c>
      <c r="JN22">
        <v>2.49756</v>
      </c>
      <c r="JO22">
        <v>1.50024</v>
      </c>
      <c r="JP22">
        <v>2.2753899999999998</v>
      </c>
      <c r="JQ22">
        <v>1.4477500000000001</v>
      </c>
      <c r="JR22">
        <v>2.3571800000000001</v>
      </c>
      <c r="JS22">
        <v>37.698700000000002</v>
      </c>
      <c r="JT22">
        <v>14.674899999999999</v>
      </c>
      <c r="JU22">
        <v>18</v>
      </c>
      <c r="JV22">
        <v>541.28399999999999</v>
      </c>
      <c r="JW22">
        <v>464.81299999999999</v>
      </c>
      <c r="JX22">
        <v>26.127300000000002</v>
      </c>
      <c r="JY22">
        <v>33.723199999999999</v>
      </c>
      <c r="JZ22">
        <v>30.0001</v>
      </c>
      <c r="KA22">
        <v>34.186700000000002</v>
      </c>
      <c r="KB22">
        <v>34.260599999999997</v>
      </c>
      <c r="KC22">
        <v>23.4924</v>
      </c>
      <c r="KD22">
        <v>34.206600000000002</v>
      </c>
      <c r="KE22">
        <v>31.2059</v>
      </c>
      <c r="KF22">
        <v>26.104099999999999</v>
      </c>
      <c r="KG22">
        <v>463.32100000000003</v>
      </c>
      <c r="KH22">
        <v>23.09</v>
      </c>
      <c r="KI22">
        <v>100.23399999999999</v>
      </c>
      <c r="KJ22">
        <v>98.473299999999995</v>
      </c>
    </row>
    <row r="23" spans="1:296" x14ac:dyDescent="0.3">
      <c r="A23">
        <v>7</v>
      </c>
      <c r="B23">
        <v>1784645778.0999999</v>
      </c>
      <c r="C23">
        <v>1118.5</v>
      </c>
      <c r="D23" t="s">
        <v>764</v>
      </c>
      <c r="E23" t="s">
        <v>765</v>
      </c>
      <c r="F23">
        <v>15</v>
      </c>
      <c r="H23">
        <v>1784645770.099999</v>
      </c>
      <c r="I23">
        <f t="shared" si="0"/>
        <v>2.3699210166432706E-3</v>
      </c>
      <c r="J23">
        <f t="shared" si="1"/>
        <v>2.3699210166432705</v>
      </c>
      <c r="K23">
        <f t="shared" si="2"/>
        <v>38.746655094120335</v>
      </c>
      <c r="L23">
        <f t="shared" si="3"/>
        <v>426.41854838709679</v>
      </c>
      <c r="M23">
        <f t="shared" si="4"/>
        <v>50.593832476340822</v>
      </c>
      <c r="N23">
        <f t="shared" si="5"/>
        <v>4.9453593176448694</v>
      </c>
      <c r="O23">
        <f t="shared" si="6"/>
        <v>41.680830217178404</v>
      </c>
      <c r="P23">
        <f t="shared" si="7"/>
        <v>0.17209395331138683</v>
      </c>
      <c r="Q23">
        <f t="shared" si="8"/>
        <v>2.8894229275740635</v>
      </c>
      <c r="R23">
        <f t="shared" si="9"/>
        <v>0.16659570478057492</v>
      </c>
      <c r="S23">
        <f t="shared" si="10"/>
        <v>0.1046016780247073</v>
      </c>
      <c r="T23">
        <f t="shared" si="11"/>
        <v>96.348002053998869</v>
      </c>
      <c r="U23">
        <f t="shared" si="12"/>
        <v>28.574695674567838</v>
      </c>
      <c r="V23">
        <f t="shared" si="13"/>
        <v>28.5014</v>
      </c>
      <c r="W23">
        <f t="shared" si="14"/>
        <v>3.9071869906968448</v>
      </c>
      <c r="X23">
        <f t="shared" si="15"/>
        <v>65.126633680983275</v>
      </c>
      <c r="Y23">
        <f t="shared" si="16"/>
        <v>2.5627080783929315</v>
      </c>
      <c r="Z23">
        <f t="shared" si="17"/>
        <v>3.9349616793432278</v>
      </c>
      <c r="AA23">
        <f t="shared" si="18"/>
        <v>1.3444789123039134</v>
      </c>
      <c r="AB23">
        <f t="shared" si="19"/>
        <v>-104.51351683396824</v>
      </c>
      <c r="AC23">
        <f t="shared" si="20"/>
        <v>19.00700989535423</v>
      </c>
      <c r="AD23">
        <f t="shared" si="21"/>
        <v>1.4419344558823031</v>
      </c>
      <c r="AE23">
        <f t="shared" si="22"/>
        <v>12.283429571267163</v>
      </c>
      <c r="AF23">
        <f t="shared" si="23"/>
        <v>38.746655094120335</v>
      </c>
      <c r="AG23">
        <f t="shared" si="24"/>
        <v>2.3699210166432705</v>
      </c>
      <c r="AH23">
        <f t="shared" si="25"/>
        <v>30.542704649573292</v>
      </c>
      <c r="AI23">
        <v>467.56361656545471</v>
      </c>
      <c r="AJ23">
        <v>437.74193939393928</v>
      </c>
      <c r="AK23">
        <v>-1.475639442150442</v>
      </c>
      <c r="AL23">
        <v>67.074089313464043</v>
      </c>
      <c r="AM23">
        <f t="shared" si="26"/>
        <v>2.361665410789322</v>
      </c>
      <c r="AN23">
        <v>23.429312135703821</v>
      </c>
      <c r="AO23">
        <v>26.197027272727279</v>
      </c>
      <c r="AP23">
        <v>-1.3202946117999901E-3</v>
      </c>
      <c r="AQ23">
        <v>78.201765328197013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51398.205534478519</v>
      </c>
      <c r="AW23" t="s">
        <v>463</v>
      </c>
      <c r="AX23">
        <v>5075.7299999999996</v>
      </c>
      <c r="AY23">
        <v>610.24117647058824</v>
      </c>
      <c r="AZ23">
        <v>2455.79</v>
      </c>
      <c r="BA23">
        <f t="shared" si="30"/>
        <v>0.75150921843048946</v>
      </c>
      <c r="BB23">
        <v>-4.0591547578554286</v>
      </c>
      <c r="BC23" t="s">
        <v>766</v>
      </c>
      <c r="BD23">
        <v>5087.75</v>
      </c>
      <c r="BE23">
        <v>903.03917647058825</v>
      </c>
      <c r="BF23">
        <v>1716.2</v>
      </c>
      <c r="BG23">
        <f t="shared" si="31"/>
        <v>0.47381472062079699</v>
      </c>
      <c r="BH23">
        <v>0.5</v>
      </c>
      <c r="BI23">
        <f t="shared" si="32"/>
        <v>504.31272591800047</v>
      </c>
      <c r="BJ23">
        <f t="shared" si="33"/>
        <v>38.746655094120335</v>
      </c>
      <c r="BK23">
        <f t="shared" si="34"/>
        <v>119.47539666817498</v>
      </c>
      <c r="BL23">
        <f t="shared" si="35"/>
        <v>8.4879495701910654E-2</v>
      </c>
      <c r="BM23">
        <f t="shared" si="36"/>
        <v>0.43094627665773216</v>
      </c>
      <c r="BN23">
        <f t="shared" si="37"/>
        <v>551.21379806987932</v>
      </c>
      <c r="BO23" t="s">
        <v>408</v>
      </c>
      <c r="BP23">
        <v>0</v>
      </c>
      <c r="BQ23">
        <f t="shared" si="38"/>
        <v>551.21379806987932</v>
      </c>
      <c r="BR23">
        <f t="shared" si="39"/>
        <v>0.67881727183901686</v>
      </c>
      <c r="BS23">
        <f t="shared" si="40"/>
        <v>0.69800039020392401</v>
      </c>
      <c r="BT23">
        <f t="shared" si="41"/>
        <v>0.38832260911928357</v>
      </c>
      <c r="BU23">
        <f t="shared" si="42"/>
        <v>0.73525415795716254</v>
      </c>
      <c r="BV23">
        <f t="shared" si="43"/>
        <v>0.40074258159457105</v>
      </c>
      <c r="BW23">
        <f t="shared" si="44"/>
        <v>0.42605842156516216</v>
      </c>
      <c r="BX23">
        <f t="shared" si="45"/>
        <v>0.57394157843483784</v>
      </c>
      <c r="DG23">
        <f t="shared" si="46"/>
        <v>600.01064516129043</v>
      </c>
      <c r="DH23">
        <f t="shared" si="47"/>
        <v>504.31272591800047</v>
      </c>
      <c r="DI23">
        <f t="shared" si="48"/>
        <v>0.84050629765482721</v>
      </c>
      <c r="DJ23">
        <f t="shared" si="49"/>
        <v>0.16057715447381657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1784645770.099999</v>
      </c>
      <c r="DQ23">
        <v>426.41854838709679</v>
      </c>
      <c r="DR23">
        <v>474.12580645161302</v>
      </c>
      <c r="DS23">
        <v>26.217958064516129</v>
      </c>
      <c r="DT23">
        <v>23.448696774193539</v>
      </c>
      <c r="DU23">
        <v>433.54706451612913</v>
      </c>
      <c r="DV23">
        <v>26.942270967741941</v>
      </c>
      <c r="DW23">
        <v>500.01490322580639</v>
      </c>
      <c r="DX23">
        <v>97.703325806451616</v>
      </c>
      <c r="DY23">
        <v>4.2962141935483873E-2</v>
      </c>
      <c r="DZ23">
        <v>28.623416129032261</v>
      </c>
      <c r="EA23">
        <v>28.5014</v>
      </c>
      <c r="EB23">
        <v>999.90000000000032</v>
      </c>
      <c r="EC23">
        <v>0</v>
      </c>
      <c r="ED23">
        <v>0</v>
      </c>
      <c r="EE23">
        <v>10002.741935483869</v>
      </c>
      <c r="EF23">
        <v>0</v>
      </c>
      <c r="EG23">
        <v>138.99109677419349</v>
      </c>
      <c r="EH23">
        <v>-47.707274193548393</v>
      </c>
      <c r="EI23">
        <v>437.89935483870971</v>
      </c>
      <c r="EJ23">
        <v>485.51058064516121</v>
      </c>
      <c r="EK23">
        <v>2.7692451612903231</v>
      </c>
      <c r="EL23">
        <v>474.12580645161302</v>
      </c>
      <c r="EM23">
        <v>23.448696774193539</v>
      </c>
      <c r="EN23">
        <v>2.5615816129032258</v>
      </c>
      <c r="EO23">
        <v>2.2910161290322582</v>
      </c>
      <c r="EP23">
        <v>21.423151612903229</v>
      </c>
      <c r="EQ23">
        <v>19.61336774193548</v>
      </c>
      <c r="ER23">
        <v>600.01064516129043</v>
      </c>
      <c r="ES23">
        <v>0.9829813870967743</v>
      </c>
      <c r="ET23">
        <v>1.7018654838709679E-2</v>
      </c>
      <c r="EU23">
        <v>0</v>
      </c>
      <c r="EV23">
        <v>899.37309677419353</v>
      </c>
      <c r="EW23">
        <v>5.0010700000000003</v>
      </c>
      <c r="EX23">
        <v>8272.2022580645153</v>
      </c>
      <c r="EY23">
        <v>5415.1690322580653</v>
      </c>
      <c r="EZ23">
        <v>39.789999999999992</v>
      </c>
      <c r="FA23">
        <v>42.875</v>
      </c>
      <c r="FB23">
        <v>41.469516129032243</v>
      </c>
      <c r="FC23">
        <v>42.559999999999981</v>
      </c>
      <c r="FD23">
        <v>41.711387096774168</v>
      </c>
      <c r="FE23">
        <v>584.88322580645161</v>
      </c>
      <c r="FF23">
        <v>10.12612903225806</v>
      </c>
      <c r="FG23">
        <v>0</v>
      </c>
      <c r="FH23">
        <v>181.5999999046326</v>
      </c>
      <c r="FI23">
        <v>0</v>
      </c>
      <c r="FJ23">
        <v>903.03917647058825</v>
      </c>
      <c r="FK23">
        <v>46.198284418875481</v>
      </c>
      <c r="FL23">
        <v>-952.79412542769592</v>
      </c>
      <c r="FM23">
        <v>8281.3058823529409</v>
      </c>
      <c r="FN23">
        <v>10</v>
      </c>
      <c r="FO23">
        <v>1784645711.5999999</v>
      </c>
      <c r="FP23" t="s">
        <v>767</v>
      </c>
      <c r="FQ23">
        <v>1784645711.5999999</v>
      </c>
      <c r="FR23">
        <v>1784645711.0999999</v>
      </c>
      <c r="FS23">
        <v>7</v>
      </c>
      <c r="FT23">
        <v>3.1E-2</v>
      </c>
      <c r="FU23">
        <v>-4.0000000000000001E-3</v>
      </c>
      <c r="FV23">
        <v>-7.2560000000000002</v>
      </c>
      <c r="FW23">
        <v>-0.80400000000000005</v>
      </c>
      <c r="FX23">
        <v>462</v>
      </c>
      <c r="FY23">
        <v>23</v>
      </c>
      <c r="FZ23">
        <v>0.21</v>
      </c>
      <c r="GA23">
        <v>0.12</v>
      </c>
      <c r="GB23">
        <v>424.41122580645163</v>
      </c>
      <c r="GC23">
        <v>119.8398870967731</v>
      </c>
      <c r="GD23">
        <v>11.48353650908391</v>
      </c>
      <c r="GE23">
        <v>-1</v>
      </c>
      <c r="GF23">
        <v>897.86591176470574</v>
      </c>
      <c r="GG23">
        <v>37.501955620992248</v>
      </c>
      <c r="GH23">
        <v>5.6857210540070584</v>
      </c>
      <c r="GI23">
        <v>0</v>
      </c>
      <c r="GJ23">
        <v>2.773426097560975</v>
      </c>
      <c r="GK23">
        <v>-6.7971219512191677E-2</v>
      </c>
      <c r="GL23">
        <v>9.6887933448023544E-3</v>
      </c>
      <c r="GM23">
        <v>1</v>
      </c>
      <c r="GN23">
        <v>1</v>
      </c>
      <c r="GO23">
        <v>2</v>
      </c>
      <c r="GP23" t="s">
        <v>411</v>
      </c>
      <c r="GQ23">
        <v>3.1320999999999999</v>
      </c>
      <c r="GR23">
        <v>2.7183000000000002</v>
      </c>
      <c r="GS23">
        <v>9.2467499999999994E-2</v>
      </c>
      <c r="GT23">
        <v>9.6665500000000001E-2</v>
      </c>
      <c r="GU23">
        <v>0.121201</v>
      </c>
      <c r="GV23">
        <v>0.110183</v>
      </c>
      <c r="GW23">
        <v>22721</v>
      </c>
      <c r="GX23">
        <v>30356.1</v>
      </c>
      <c r="GY23">
        <v>27157.5</v>
      </c>
      <c r="GZ23">
        <v>34555.1</v>
      </c>
      <c r="HA23">
        <v>34948.699999999997</v>
      </c>
      <c r="HB23">
        <v>38813.5</v>
      </c>
      <c r="HC23">
        <v>40098.1</v>
      </c>
      <c r="HD23">
        <v>43700.2</v>
      </c>
      <c r="HE23">
        <v>1.9645999999999999</v>
      </c>
      <c r="HF23">
        <v>1.8228</v>
      </c>
      <c r="HG23">
        <v>-3.7103900000000002E-2</v>
      </c>
      <c r="HH23">
        <v>0</v>
      </c>
      <c r="HI23">
        <v>29.096699999999998</v>
      </c>
      <c r="HJ23">
        <v>999.9</v>
      </c>
      <c r="HK23">
        <v>60.7</v>
      </c>
      <c r="HL23">
        <v>32.700000000000003</v>
      </c>
      <c r="HM23">
        <v>30.861499999999999</v>
      </c>
      <c r="HN23">
        <v>60.776499999999999</v>
      </c>
      <c r="HO23">
        <v>3.6818900000000001</v>
      </c>
      <c r="HP23">
        <v>1</v>
      </c>
      <c r="HQ23">
        <v>0.53414600000000001</v>
      </c>
      <c r="HR23">
        <v>2.7806099999999998</v>
      </c>
      <c r="HS23">
        <v>20.257400000000001</v>
      </c>
      <c r="HT23">
        <v>5.2053099999999999</v>
      </c>
      <c r="HU23">
        <v>11.908099999999999</v>
      </c>
      <c r="HV23">
        <v>4.9855999999999998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1.86707</v>
      </c>
      <c r="IC23">
        <v>1.8626400000000001</v>
      </c>
      <c r="ID23">
        <v>1.86212</v>
      </c>
      <c r="IE23">
        <v>1.8615699999999999</v>
      </c>
      <c r="IF23">
        <v>1.8616299999999999</v>
      </c>
      <c r="IG23">
        <v>1.8623400000000001</v>
      </c>
      <c r="IH23">
        <v>1.8632200000000001</v>
      </c>
      <c r="II23">
        <v>1.86117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-7.1260000000000003</v>
      </c>
      <c r="IX23">
        <v>-0.7248</v>
      </c>
      <c r="IY23">
        <v>-5.1126360245542362</v>
      </c>
      <c r="IZ23">
        <v>-5.6215304933332991E-3</v>
      </c>
      <c r="JA23">
        <v>2.3979931213773931E-6</v>
      </c>
      <c r="JB23">
        <v>-3.6297174575716598E-10</v>
      </c>
      <c r="JC23">
        <v>-1.2000090736340689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1.1000000000000001</v>
      </c>
      <c r="JL23">
        <v>1.1000000000000001</v>
      </c>
      <c r="JM23">
        <v>1.16943</v>
      </c>
      <c r="JN23">
        <v>2.50244</v>
      </c>
      <c r="JO23">
        <v>1.50024</v>
      </c>
      <c r="JP23">
        <v>2.2753899999999998</v>
      </c>
      <c r="JQ23">
        <v>1.4477500000000001</v>
      </c>
      <c r="JR23">
        <v>2.34619</v>
      </c>
      <c r="JS23">
        <v>37.819499999999998</v>
      </c>
      <c r="JT23">
        <v>14.6486</v>
      </c>
      <c r="JU23">
        <v>18</v>
      </c>
      <c r="JV23">
        <v>541.70500000000004</v>
      </c>
      <c r="JW23">
        <v>462.74200000000002</v>
      </c>
      <c r="JX23">
        <v>26.068899999999999</v>
      </c>
      <c r="JY23">
        <v>33.771700000000003</v>
      </c>
      <c r="JZ23">
        <v>30.000399999999999</v>
      </c>
      <c r="KA23">
        <v>34.238</v>
      </c>
      <c r="KB23">
        <v>34.317500000000003</v>
      </c>
      <c r="KC23">
        <v>23.3995</v>
      </c>
      <c r="KD23">
        <v>32.517200000000003</v>
      </c>
      <c r="KE23">
        <v>27.817399999999999</v>
      </c>
      <c r="KF23">
        <v>26.070699999999999</v>
      </c>
      <c r="KG23">
        <v>455.35899999999998</v>
      </c>
      <c r="KH23">
        <v>23.460899999999999</v>
      </c>
      <c r="KI23">
        <v>100.221</v>
      </c>
      <c r="KJ23">
        <v>98.4619</v>
      </c>
    </row>
    <row r="24" spans="1:296" x14ac:dyDescent="0.3">
      <c r="A24">
        <v>8</v>
      </c>
      <c r="B24">
        <v>1784645961</v>
      </c>
      <c r="C24">
        <v>1301.400000095367</v>
      </c>
      <c r="D24" t="s">
        <v>768</v>
      </c>
      <c r="E24" t="s">
        <v>769</v>
      </c>
      <c r="F24">
        <v>15</v>
      </c>
      <c r="H24">
        <v>1784645953</v>
      </c>
      <c r="I24">
        <f t="shared" si="0"/>
        <v>1.505991003584608E-3</v>
      </c>
      <c r="J24">
        <f t="shared" si="1"/>
        <v>1.505991003584608</v>
      </c>
      <c r="K24">
        <f t="shared" si="2"/>
        <v>22.498627360352263</v>
      </c>
      <c r="L24">
        <f t="shared" si="3"/>
        <v>420.20754838709678</v>
      </c>
      <c r="M24">
        <f t="shared" si="4"/>
        <v>69.623919375748002</v>
      </c>
      <c r="N24">
        <f t="shared" si="5"/>
        <v>6.8057469216887094</v>
      </c>
      <c r="O24">
        <f t="shared" si="6"/>
        <v>41.075340982627907</v>
      </c>
      <c r="P24">
        <f t="shared" si="7"/>
        <v>0.10618499760201172</v>
      </c>
      <c r="Q24">
        <f t="shared" si="8"/>
        <v>2.8892397587963869</v>
      </c>
      <c r="R24">
        <f t="shared" si="9"/>
        <v>0.1040636703610566</v>
      </c>
      <c r="S24">
        <f t="shared" si="10"/>
        <v>6.522685704606522E-2</v>
      </c>
      <c r="T24">
        <f t="shared" si="11"/>
        <v>64.414395179735294</v>
      </c>
      <c r="U24">
        <f t="shared" si="12"/>
        <v>28.600896162623183</v>
      </c>
      <c r="V24">
        <f t="shared" si="13"/>
        <v>28.529909677419361</v>
      </c>
      <c r="W24">
        <f t="shared" si="14"/>
        <v>3.9136613295567932</v>
      </c>
      <c r="X24">
        <f t="shared" si="15"/>
        <v>64.736164556620963</v>
      </c>
      <c r="Y24">
        <f t="shared" si="16"/>
        <v>2.5457787516396606</v>
      </c>
      <c r="Z24">
        <f t="shared" si="17"/>
        <v>3.9325449214913184</v>
      </c>
      <c r="AA24">
        <f t="shared" si="18"/>
        <v>1.3678825779171326</v>
      </c>
      <c r="AB24">
        <f t="shared" si="19"/>
        <v>-66.414203258081216</v>
      </c>
      <c r="AC24">
        <f t="shared" si="20"/>
        <v>12.915907922865937</v>
      </c>
      <c r="AD24">
        <f t="shared" si="21"/>
        <v>0.97999282899809581</v>
      </c>
      <c r="AE24">
        <f t="shared" si="22"/>
        <v>11.896092673518108</v>
      </c>
      <c r="AF24">
        <f t="shared" si="23"/>
        <v>22.498627360352263</v>
      </c>
      <c r="AG24">
        <f t="shared" si="24"/>
        <v>1.505991003584608</v>
      </c>
      <c r="AH24">
        <f t="shared" si="25"/>
        <v>22.301153347285911</v>
      </c>
      <c r="AI24">
        <v>459.07647601622881</v>
      </c>
      <c r="AJ24">
        <v>431.47576969696951</v>
      </c>
      <c r="AK24">
        <v>3.315117401085018E-2</v>
      </c>
      <c r="AL24">
        <v>67.074089313464043</v>
      </c>
      <c r="AM24">
        <f t="shared" si="26"/>
        <v>1.564192615143875</v>
      </c>
      <c r="AN24">
        <v>24.285511393110671</v>
      </c>
      <c r="AO24">
        <v>26.113761212121201</v>
      </c>
      <c r="AP24">
        <v>-3.7597037832795957E-5</v>
      </c>
      <c r="AQ24">
        <v>78.201765328197013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51394.907104608203</v>
      </c>
      <c r="AW24" t="s">
        <v>463</v>
      </c>
      <c r="AX24">
        <v>5075.7299999999996</v>
      </c>
      <c r="AY24">
        <v>610.24117647058824</v>
      </c>
      <c r="AZ24">
        <v>2455.79</v>
      </c>
      <c r="BA24">
        <f t="shared" si="30"/>
        <v>0.75150921843048946</v>
      </c>
      <c r="BB24">
        <v>-4.0591547578554286</v>
      </c>
      <c r="BC24" t="s">
        <v>770</v>
      </c>
      <c r="BD24">
        <v>5089.8900000000003</v>
      </c>
      <c r="BE24">
        <v>865.85788235294126</v>
      </c>
      <c r="BF24">
        <v>1925.34</v>
      </c>
      <c r="BG24">
        <f t="shared" si="31"/>
        <v>0.55028312799145018</v>
      </c>
      <c r="BH24">
        <v>0.5</v>
      </c>
      <c r="BI24">
        <f t="shared" si="32"/>
        <v>336.30741019842549</v>
      </c>
      <c r="BJ24">
        <f t="shared" si="33"/>
        <v>22.498627360352263</v>
      </c>
      <c r="BK24">
        <f t="shared" si="34"/>
        <v>92.532146825346658</v>
      </c>
      <c r="BL24">
        <f t="shared" si="35"/>
        <v>7.8968768789656682E-2</v>
      </c>
      <c r="BM24">
        <f t="shared" si="36"/>
        <v>0.27550978009078919</v>
      </c>
      <c r="BN24">
        <f t="shared" si="37"/>
        <v>571.13999538306609</v>
      </c>
      <c r="BO24" t="s">
        <v>408</v>
      </c>
      <c r="BP24">
        <v>0</v>
      </c>
      <c r="BQ24">
        <f t="shared" si="38"/>
        <v>571.13999538306609</v>
      </c>
      <c r="BR24">
        <f t="shared" si="39"/>
        <v>0.7033562927155379</v>
      </c>
      <c r="BS24">
        <f t="shared" si="40"/>
        <v>0.78236753362495914</v>
      </c>
      <c r="BT24">
        <f t="shared" si="41"/>
        <v>0.28145809497812674</v>
      </c>
      <c r="BU24">
        <f t="shared" si="42"/>
        <v>0.80562927948156871</v>
      </c>
      <c r="BV24">
        <f t="shared" si="43"/>
        <v>0.2874212772033698</v>
      </c>
      <c r="BW24">
        <f t="shared" si="44"/>
        <v>0.51606781973058058</v>
      </c>
      <c r="BX24">
        <f t="shared" si="45"/>
        <v>0.48393218026941942</v>
      </c>
      <c r="DG24">
        <f t="shared" si="46"/>
        <v>400.01293548387099</v>
      </c>
      <c r="DH24">
        <f t="shared" si="47"/>
        <v>336.30741019842549</v>
      </c>
      <c r="DI24">
        <f t="shared" si="48"/>
        <v>0.84074133700605236</v>
      </c>
      <c r="DJ24">
        <f t="shared" si="49"/>
        <v>0.16103078042168104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1784645953</v>
      </c>
      <c r="DQ24">
        <v>420.20754838709678</v>
      </c>
      <c r="DR24">
        <v>447.96538709677412</v>
      </c>
      <c r="DS24">
        <v>26.04373870967741</v>
      </c>
      <c r="DT24">
        <v>24.28360967741936</v>
      </c>
      <c r="DU24">
        <v>427.31280645161303</v>
      </c>
      <c r="DV24">
        <v>26.842738709677409</v>
      </c>
      <c r="DW24">
        <v>499.99835483870982</v>
      </c>
      <c r="DX24">
        <v>97.707225806451618</v>
      </c>
      <c r="DY24">
        <v>4.2900625806451598E-2</v>
      </c>
      <c r="DZ24">
        <v>28.61282903225807</v>
      </c>
      <c r="EA24">
        <v>28.529909677419361</v>
      </c>
      <c r="EB24">
        <v>999.90000000000032</v>
      </c>
      <c r="EC24">
        <v>0</v>
      </c>
      <c r="ED24">
        <v>0</v>
      </c>
      <c r="EE24">
        <v>10001.290322580649</v>
      </c>
      <c r="EF24">
        <v>0</v>
      </c>
      <c r="EG24">
        <v>130.9256451612903</v>
      </c>
      <c r="EH24">
        <v>-27.75782580645161</v>
      </c>
      <c r="EI24">
        <v>431.47580645161298</v>
      </c>
      <c r="EJ24">
        <v>459.11432258064508</v>
      </c>
      <c r="EK24">
        <v>1.8319300000000001</v>
      </c>
      <c r="EL24">
        <v>447.96538709677412</v>
      </c>
      <c r="EM24">
        <v>24.28360967741936</v>
      </c>
      <c r="EN24">
        <v>2.551676774193548</v>
      </c>
      <c r="EO24">
        <v>2.3726835483870969</v>
      </c>
      <c r="EP24">
        <v>21.35992580645161</v>
      </c>
      <c r="EQ24">
        <v>20.178535483870959</v>
      </c>
      <c r="ER24">
        <v>400.01293548387099</v>
      </c>
      <c r="ES24">
        <v>0.97497635483870926</v>
      </c>
      <c r="ET24">
        <v>2.5023429032258061E-2</v>
      </c>
      <c r="EU24">
        <v>0</v>
      </c>
      <c r="EV24">
        <v>865.77454838709684</v>
      </c>
      <c r="EW24">
        <v>5.0010700000000003</v>
      </c>
      <c r="EX24">
        <v>6962.8535483870965</v>
      </c>
      <c r="EY24">
        <v>3583.7577419354839</v>
      </c>
      <c r="EZ24">
        <v>39.25</v>
      </c>
      <c r="FA24">
        <v>42.686999999999969</v>
      </c>
      <c r="FB24">
        <v>41.125</v>
      </c>
      <c r="FC24">
        <v>42.428999999999981</v>
      </c>
      <c r="FD24">
        <v>41.311999999999983</v>
      </c>
      <c r="FE24">
        <v>385.12806451612909</v>
      </c>
      <c r="FF24">
        <v>9.8848387096774175</v>
      </c>
      <c r="FG24">
        <v>0</v>
      </c>
      <c r="FH24">
        <v>182.5</v>
      </c>
      <c r="FI24">
        <v>0</v>
      </c>
      <c r="FJ24">
        <v>865.85788235294126</v>
      </c>
      <c r="FK24">
        <v>1.7539214910300329</v>
      </c>
      <c r="FL24">
        <v>-4771.5907397434976</v>
      </c>
      <c r="FM24">
        <v>6574.8564705882354</v>
      </c>
      <c r="FN24">
        <v>10</v>
      </c>
      <c r="FO24">
        <v>1784645983.5</v>
      </c>
      <c r="FP24" t="s">
        <v>771</v>
      </c>
      <c r="FQ24">
        <v>1784645711.5999999</v>
      </c>
      <c r="FR24">
        <v>1784645983.5</v>
      </c>
      <c r="FS24">
        <v>8</v>
      </c>
      <c r="FT24">
        <v>3.1E-2</v>
      </c>
      <c r="FU24">
        <v>-2.1000000000000001E-2</v>
      </c>
      <c r="FV24">
        <v>-7.2560000000000002</v>
      </c>
      <c r="FW24">
        <v>-0.79900000000000004</v>
      </c>
      <c r="FX24">
        <v>462</v>
      </c>
      <c r="FY24">
        <v>24</v>
      </c>
      <c r="FZ24">
        <v>0.21</v>
      </c>
      <c r="GA24">
        <v>0.17</v>
      </c>
      <c r="GB24">
        <v>420.20760000000001</v>
      </c>
      <c r="GC24">
        <v>-0.45303670745276903</v>
      </c>
      <c r="GD24">
        <v>7.0265022118642426E-2</v>
      </c>
      <c r="GE24">
        <v>-1</v>
      </c>
      <c r="GF24">
        <v>865.78676470588221</v>
      </c>
      <c r="GG24">
        <v>0.66682963158294684</v>
      </c>
      <c r="GH24">
        <v>0.28886288817722139</v>
      </c>
      <c r="GI24">
        <v>1</v>
      </c>
      <c r="GJ24">
        <v>1.83292375</v>
      </c>
      <c r="GK24">
        <v>-2.8042288930581138E-2</v>
      </c>
      <c r="GL24">
        <v>4.179186336776582E-3</v>
      </c>
      <c r="GM24">
        <v>1</v>
      </c>
      <c r="GN24">
        <v>2</v>
      </c>
      <c r="GO24">
        <v>2</v>
      </c>
      <c r="GP24" t="s">
        <v>424</v>
      </c>
      <c r="GQ24">
        <v>3.13198</v>
      </c>
      <c r="GR24">
        <v>2.7186300000000001</v>
      </c>
      <c r="GS24">
        <v>9.1560000000000002E-2</v>
      </c>
      <c r="GT24">
        <v>9.5574400000000004E-2</v>
      </c>
      <c r="GU24">
        <v>0.120923</v>
      </c>
      <c r="GV24">
        <v>0.11304</v>
      </c>
      <c r="GW24">
        <v>22741.5</v>
      </c>
      <c r="GX24">
        <v>30388.9</v>
      </c>
      <c r="GY24">
        <v>27155.1</v>
      </c>
      <c r="GZ24">
        <v>34551.1</v>
      </c>
      <c r="HA24">
        <v>34958</v>
      </c>
      <c r="HB24">
        <v>38685.5</v>
      </c>
      <c r="HC24">
        <v>40095.699999999997</v>
      </c>
      <c r="HD24">
        <v>43696.5</v>
      </c>
      <c r="HE24">
        <v>1.962</v>
      </c>
      <c r="HF24">
        <v>1.8228</v>
      </c>
      <c r="HG24">
        <v>-3.6060799999999997E-2</v>
      </c>
      <c r="HH24">
        <v>0</v>
      </c>
      <c r="HI24">
        <v>29.139299999999999</v>
      </c>
      <c r="HJ24">
        <v>999.9</v>
      </c>
      <c r="HK24">
        <v>59.2</v>
      </c>
      <c r="HL24">
        <v>33</v>
      </c>
      <c r="HM24">
        <v>30.610499999999998</v>
      </c>
      <c r="HN24">
        <v>60.8065</v>
      </c>
      <c r="HO24">
        <v>3.9142600000000001</v>
      </c>
      <c r="HP24">
        <v>1</v>
      </c>
      <c r="HQ24">
        <v>0.54207300000000003</v>
      </c>
      <c r="HR24">
        <v>3.1798700000000002</v>
      </c>
      <c r="HS24">
        <v>20.251799999999999</v>
      </c>
      <c r="HT24">
        <v>5.2112999999999996</v>
      </c>
      <c r="HU24">
        <v>11.908099999999999</v>
      </c>
      <c r="HV24">
        <v>4.9859999999999998</v>
      </c>
      <c r="HW24">
        <v>3.2707999999999999</v>
      </c>
      <c r="HX24">
        <v>9999</v>
      </c>
      <c r="HY24">
        <v>9999</v>
      </c>
      <c r="HZ24">
        <v>9999</v>
      </c>
      <c r="IA24">
        <v>999.9</v>
      </c>
      <c r="IB24">
        <v>1.86707</v>
      </c>
      <c r="IC24">
        <v>1.86267</v>
      </c>
      <c r="ID24">
        <v>1.8621799999999999</v>
      </c>
      <c r="IE24">
        <v>1.8616299999999999</v>
      </c>
      <c r="IF24">
        <v>1.86172</v>
      </c>
      <c r="IG24">
        <v>1.8623400000000001</v>
      </c>
      <c r="IH24">
        <v>1.8632500000000001</v>
      </c>
      <c r="II24">
        <v>1.86124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-7.1050000000000004</v>
      </c>
      <c r="IX24">
        <v>-0.79900000000000004</v>
      </c>
      <c r="IY24">
        <v>-5.1126360245542362</v>
      </c>
      <c r="IZ24">
        <v>-5.6215304933332991E-3</v>
      </c>
      <c r="JA24">
        <v>2.3979931213773931E-6</v>
      </c>
      <c r="JB24">
        <v>-3.6297174575716598E-10</v>
      </c>
      <c r="JC24">
        <v>-1.2000090736340689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4.2</v>
      </c>
      <c r="JL24">
        <v>4.2</v>
      </c>
      <c r="JM24">
        <v>1.15723</v>
      </c>
      <c r="JN24">
        <v>2.50366</v>
      </c>
      <c r="JO24">
        <v>1.50024</v>
      </c>
      <c r="JP24">
        <v>2.2753899999999998</v>
      </c>
      <c r="JQ24">
        <v>1.4477500000000001</v>
      </c>
      <c r="JR24">
        <v>2.47559</v>
      </c>
      <c r="JS24">
        <v>37.989100000000001</v>
      </c>
      <c r="JT24">
        <v>14.6136</v>
      </c>
      <c r="JU24">
        <v>18</v>
      </c>
      <c r="JV24">
        <v>540.52</v>
      </c>
      <c r="JW24">
        <v>463.25</v>
      </c>
      <c r="JX24">
        <v>25.972300000000001</v>
      </c>
      <c r="JY24">
        <v>33.838700000000003</v>
      </c>
      <c r="JZ24">
        <v>30.000599999999999</v>
      </c>
      <c r="KA24">
        <v>34.304400000000001</v>
      </c>
      <c r="KB24">
        <v>34.386600000000001</v>
      </c>
      <c r="KC24">
        <v>23.1464</v>
      </c>
      <c r="KD24">
        <v>29.6479</v>
      </c>
      <c r="KE24">
        <v>25.196999999999999</v>
      </c>
      <c r="KF24">
        <v>25.949000000000002</v>
      </c>
      <c r="KG24">
        <v>447.81299999999999</v>
      </c>
      <c r="KH24">
        <v>24.376799999999999</v>
      </c>
      <c r="KI24">
        <v>100.214</v>
      </c>
      <c r="KJ24">
        <v>98.452100000000002</v>
      </c>
    </row>
    <row r="25" spans="1:296" x14ac:dyDescent="0.3">
      <c r="A25">
        <v>9</v>
      </c>
      <c r="B25">
        <v>1784646164.5</v>
      </c>
      <c r="C25">
        <v>1504.900000095367</v>
      </c>
      <c r="D25" t="s">
        <v>772</v>
      </c>
      <c r="E25" t="s">
        <v>773</v>
      </c>
      <c r="F25">
        <v>15</v>
      </c>
      <c r="H25">
        <v>1784646156.5</v>
      </c>
      <c r="I25">
        <f t="shared" si="0"/>
        <v>9.6278050505764967E-4</v>
      </c>
      <c r="J25">
        <f t="shared" si="1"/>
        <v>0.96278050505764967</v>
      </c>
      <c r="K25">
        <f t="shared" si="2"/>
        <v>16.218867245434073</v>
      </c>
      <c r="L25">
        <f t="shared" si="3"/>
        <v>420.29290322580653</v>
      </c>
      <c r="M25">
        <f t="shared" si="4"/>
        <v>22.579677288992713</v>
      </c>
      <c r="N25">
        <f t="shared" si="5"/>
        <v>2.2072003621371055</v>
      </c>
      <c r="O25">
        <f t="shared" si="6"/>
        <v>41.084318271274952</v>
      </c>
      <c r="P25">
        <f t="shared" si="7"/>
        <v>6.6832236946114384E-2</v>
      </c>
      <c r="Q25">
        <f t="shared" si="8"/>
        <v>2.8920231141047932</v>
      </c>
      <c r="R25">
        <f t="shared" si="9"/>
        <v>6.5985942646355655E-2</v>
      </c>
      <c r="S25">
        <f t="shared" si="10"/>
        <v>4.1316357408281934E-2</v>
      </c>
      <c r="T25">
        <f t="shared" si="11"/>
        <v>48.441121284590238</v>
      </c>
      <c r="U25">
        <f t="shared" si="12"/>
        <v>28.605202259641448</v>
      </c>
      <c r="V25">
        <f t="shared" si="13"/>
        <v>28.536361290322581</v>
      </c>
      <c r="W25">
        <f t="shared" si="14"/>
        <v>3.9151277412191177</v>
      </c>
      <c r="X25">
        <f t="shared" si="15"/>
        <v>64.647877297538599</v>
      </c>
      <c r="Y25">
        <f t="shared" si="16"/>
        <v>2.5359265086872185</v>
      </c>
      <c r="Z25">
        <f t="shared" si="17"/>
        <v>3.9226756000289762</v>
      </c>
      <c r="AA25">
        <f t="shared" si="18"/>
        <v>1.3792012325318992</v>
      </c>
      <c r="AB25">
        <f t="shared" si="19"/>
        <v>-42.458620273042349</v>
      </c>
      <c r="AC25">
        <f t="shared" si="20"/>
        <v>5.1723460977819693</v>
      </c>
      <c r="AD25">
        <f t="shared" si="21"/>
        <v>0.39200153158205642</v>
      </c>
      <c r="AE25">
        <f t="shared" si="22"/>
        <v>11.546848640911911</v>
      </c>
      <c r="AF25">
        <f t="shared" si="23"/>
        <v>16.218867245434073</v>
      </c>
      <c r="AG25">
        <f t="shared" si="24"/>
        <v>0.96278050505764967</v>
      </c>
      <c r="AH25">
        <f t="shared" si="25"/>
        <v>16.258161341998861</v>
      </c>
      <c r="AI25">
        <v>451.49591325778027</v>
      </c>
      <c r="AJ25">
        <v>431.47378181818158</v>
      </c>
      <c r="AK25">
        <v>3.7531400905003059E-3</v>
      </c>
      <c r="AL25">
        <v>67.094856001047489</v>
      </c>
      <c r="AM25">
        <f t="shared" si="26"/>
        <v>0.94158790599445386</v>
      </c>
      <c r="AN25">
        <v>24.912998765407639</v>
      </c>
      <c r="AO25">
        <v>26.00931454545454</v>
      </c>
      <c r="AP25">
        <v>6.5524680819982234E-4</v>
      </c>
      <c r="AQ25">
        <v>78.253334368031219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51481.171941332148</v>
      </c>
      <c r="AW25" t="s">
        <v>463</v>
      </c>
      <c r="AX25">
        <v>5075.7299999999996</v>
      </c>
      <c r="AY25">
        <v>610.24117647058824</v>
      </c>
      <c r="AZ25">
        <v>2455.79</v>
      </c>
      <c r="BA25">
        <f t="shared" si="30"/>
        <v>0.75150921843048946</v>
      </c>
      <c r="BB25">
        <v>-4.0591547578554286</v>
      </c>
      <c r="BC25" t="s">
        <v>774</v>
      </c>
      <c r="BD25">
        <v>5089.46</v>
      </c>
      <c r="BE25">
        <v>837.85117647058826</v>
      </c>
      <c r="BF25">
        <v>2021.9</v>
      </c>
      <c r="BG25">
        <f t="shared" si="31"/>
        <v>0.58561196079401145</v>
      </c>
      <c r="BH25">
        <v>0.5</v>
      </c>
      <c r="BI25">
        <f t="shared" si="32"/>
        <v>252.28096473044124</v>
      </c>
      <c r="BJ25">
        <f t="shared" si="33"/>
        <v>16.218867245434073</v>
      </c>
      <c r="BK25">
        <f t="shared" si="34"/>
        <v>73.869375213399266</v>
      </c>
      <c r="BL25">
        <f t="shared" si="35"/>
        <v>8.0378723876200056E-2</v>
      </c>
      <c r="BM25">
        <f t="shared" si="36"/>
        <v>0.21459518274889947</v>
      </c>
      <c r="BN25">
        <f t="shared" si="37"/>
        <v>579.34751392561213</v>
      </c>
      <c r="BO25" t="s">
        <v>408</v>
      </c>
      <c r="BP25">
        <v>0</v>
      </c>
      <c r="BQ25">
        <f t="shared" si="38"/>
        <v>579.34751392561213</v>
      </c>
      <c r="BR25">
        <f t="shared" si="39"/>
        <v>0.71346381427092731</v>
      </c>
      <c r="BS25">
        <f t="shared" si="40"/>
        <v>0.82080120824688951</v>
      </c>
      <c r="BT25">
        <f t="shared" si="41"/>
        <v>0.23123010868706112</v>
      </c>
      <c r="BU25">
        <f t="shared" si="42"/>
        <v>0.83876415731179843</v>
      </c>
      <c r="BV25">
        <f t="shared" si="43"/>
        <v>0.23510079737160916</v>
      </c>
      <c r="BW25">
        <f t="shared" si="44"/>
        <v>0.56755800168249437</v>
      </c>
      <c r="BX25">
        <f t="shared" si="45"/>
        <v>0.43244199831750563</v>
      </c>
      <c r="DG25">
        <f t="shared" si="46"/>
        <v>299.98709677419362</v>
      </c>
      <c r="DH25">
        <f t="shared" si="47"/>
        <v>252.28096473044124</v>
      </c>
      <c r="DI25">
        <f t="shared" si="48"/>
        <v>0.84097271997114675</v>
      </c>
      <c r="DJ25">
        <f t="shared" si="49"/>
        <v>0.16147734954431342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1784646156.5</v>
      </c>
      <c r="DQ25">
        <v>420.29290322580653</v>
      </c>
      <c r="DR25">
        <v>440.23735483870979</v>
      </c>
      <c r="DS25">
        <v>25.942548387096771</v>
      </c>
      <c r="DT25">
        <v>24.817396774193551</v>
      </c>
      <c r="DU25">
        <v>427.39848387096771</v>
      </c>
      <c r="DV25">
        <v>26.73854838709677</v>
      </c>
      <c r="DW25">
        <v>500.09448387096768</v>
      </c>
      <c r="DX25">
        <v>97.709103225806444</v>
      </c>
      <c r="DY25">
        <v>4.2531303225806463E-2</v>
      </c>
      <c r="DZ25">
        <v>28.569535483870968</v>
      </c>
      <c r="EA25">
        <v>28.536361290322581</v>
      </c>
      <c r="EB25">
        <v>999.90000000000032</v>
      </c>
      <c r="EC25">
        <v>0</v>
      </c>
      <c r="ED25">
        <v>0</v>
      </c>
      <c r="EE25">
        <v>10017.096774193549</v>
      </c>
      <c r="EF25">
        <v>0</v>
      </c>
      <c r="EG25">
        <v>130.36419354838711</v>
      </c>
      <c r="EH25">
        <v>-19.94435806451612</v>
      </c>
      <c r="EI25">
        <v>431.50670967741939</v>
      </c>
      <c r="EJ25">
        <v>451.440870967742</v>
      </c>
      <c r="EK25">
        <v>1.1701306451612909</v>
      </c>
      <c r="EL25">
        <v>440.23735483870979</v>
      </c>
      <c r="EM25">
        <v>24.817396774193551</v>
      </c>
      <c r="EN25">
        <v>2.539217741935484</v>
      </c>
      <c r="EO25">
        <v>2.4248854838709679</v>
      </c>
      <c r="EP25">
        <v>21.280090322580651</v>
      </c>
      <c r="EQ25">
        <v>20.530867741935481</v>
      </c>
      <c r="ER25">
        <v>299.98709677419362</v>
      </c>
      <c r="ES25">
        <v>0.967027935483871</v>
      </c>
      <c r="ET25">
        <v>3.2972135483870971E-2</v>
      </c>
      <c r="EU25">
        <v>0</v>
      </c>
      <c r="EV25">
        <v>838.02164516129028</v>
      </c>
      <c r="EW25">
        <v>5.0010700000000003</v>
      </c>
      <c r="EX25">
        <v>6700.3274193548395</v>
      </c>
      <c r="EY25">
        <v>2667.938709677419</v>
      </c>
      <c r="EZ25">
        <v>38.936999999999983</v>
      </c>
      <c r="FA25">
        <v>42.491870967741917</v>
      </c>
      <c r="FB25">
        <v>40.875</v>
      </c>
      <c r="FC25">
        <v>42.311999999999983</v>
      </c>
      <c r="FD25">
        <v>41.070129032258038</v>
      </c>
      <c r="FE25">
        <v>285.25903225806462</v>
      </c>
      <c r="FF25">
        <v>9.7267741935483905</v>
      </c>
      <c r="FG25">
        <v>0</v>
      </c>
      <c r="FH25">
        <v>202.5999999046326</v>
      </c>
      <c r="FI25">
        <v>0</v>
      </c>
      <c r="FJ25">
        <v>837.85117647058826</v>
      </c>
      <c r="FK25">
        <v>-1.7759803708513919</v>
      </c>
      <c r="FL25">
        <v>-1963.4632363357041</v>
      </c>
      <c r="FM25">
        <v>6641.727647058824</v>
      </c>
      <c r="FN25">
        <v>10</v>
      </c>
      <c r="FO25">
        <v>1784646186.5</v>
      </c>
      <c r="FP25" t="s">
        <v>775</v>
      </c>
      <c r="FQ25">
        <v>1784645711.5999999</v>
      </c>
      <c r="FR25">
        <v>1784646186.5</v>
      </c>
      <c r="FS25">
        <v>9</v>
      </c>
      <c r="FT25">
        <v>3.1E-2</v>
      </c>
      <c r="FU25">
        <v>-1.7000000000000001E-2</v>
      </c>
      <c r="FV25">
        <v>-7.2560000000000002</v>
      </c>
      <c r="FW25">
        <v>-0.79600000000000004</v>
      </c>
      <c r="FX25">
        <v>462</v>
      </c>
      <c r="FY25">
        <v>25</v>
      </c>
      <c r="FZ25">
        <v>0.21</v>
      </c>
      <c r="GA25">
        <v>0.25</v>
      </c>
      <c r="GB25">
        <v>420.29853333333341</v>
      </c>
      <c r="GC25">
        <v>-0.692929922136302</v>
      </c>
      <c r="GD25">
        <v>7.1095585110625151E-2</v>
      </c>
      <c r="GE25">
        <v>-1</v>
      </c>
      <c r="GF25">
        <v>838.1487647058824</v>
      </c>
      <c r="GG25">
        <v>-2.7377845622164072</v>
      </c>
      <c r="GH25">
        <v>0.35524035432727241</v>
      </c>
      <c r="GI25">
        <v>1</v>
      </c>
      <c r="GJ25">
        <v>1.190672</v>
      </c>
      <c r="GK25">
        <v>-0.52629973733583679</v>
      </c>
      <c r="GL25">
        <v>6.0050306418868493E-2</v>
      </c>
      <c r="GM25">
        <v>0</v>
      </c>
      <c r="GN25">
        <v>1</v>
      </c>
      <c r="GO25">
        <v>2</v>
      </c>
      <c r="GP25" t="s">
        <v>411</v>
      </c>
      <c r="GQ25">
        <v>3.1315499999999998</v>
      </c>
      <c r="GR25">
        <v>2.7191200000000002</v>
      </c>
      <c r="GS25">
        <v>9.1558500000000001E-2</v>
      </c>
      <c r="GT25">
        <v>9.4321799999999997E-2</v>
      </c>
      <c r="GU25">
        <v>0.120646</v>
      </c>
      <c r="GV25">
        <v>0.115076</v>
      </c>
      <c r="GW25">
        <v>22734.9</v>
      </c>
      <c r="GX25">
        <v>30421.4</v>
      </c>
      <c r="GY25">
        <v>27148</v>
      </c>
      <c r="GZ25">
        <v>34541.300000000003</v>
      </c>
      <c r="HA25">
        <v>34961.699999999997</v>
      </c>
      <c r="HB25">
        <v>38587.699999999997</v>
      </c>
      <c r="HC25">
        <v>40086.300000000003</v>
      </c>
      <c r="HD25">
        <v>43686.1</v>
      </c>
      <c r="HE25">
        <v>1.9596</v>
      </c>
      <c r="HF25">
        <v>1.8191999999999999</v>
      </c>
      <c r="HG25">
        <v>-4.0710000000000003E-2</v>
      </c>
      <c r="HH25">
        <v>0</v>
      </c>
      <c r="HI25">
        <v>29.207000000000001</v>
      </c>
      <c r="HJ25">
        <v>999.9</v>
      </c>
      <c r="HK25">
        <v>58</v>
      </c>
      <c r="HL25">
        <v>33.299999999999997</v>
      </c>
      <c r="HM25">
        <v>30.497699999999998</v>
      </c>
      <c r="HN25">
        <v>60.426499999999997</v>
      </c>
      <c r="HO25">
        <v>3.8461500000000002</v>
      </c>
      <c r="HP25">
        <v>1</v>
      </c>
      <c r="HQ25">
        <v>0.55817099999999997</v>
      </c>
      <c r="HR25">
        <v>3.4630700000000001</v>
      </c>
      <c r="HS25">
        <v>20.2468</v>
      </c>
      <c r="HT25">
        <v>5.2100999999999997</v>
      </c>
      <c r="HU25">
        <v>11.908099999999999</v>
      </c>
      <c r="HV25">
        <v>4.9855999999999998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1.86707</v>
      </c>
      <c r="IC25">
        <v>1.86267</v>
      </c>
      <c r="ID25">
        <v>1.86215</v>
      </c>
      <c r="IE25">
        <v>1.8615699999999999</v>
      </c>
      <c r="IF25">
        <v>1.8616299999999999</v>
      </c>
      <c r="IG25">
        <v>1.8623400000000001</v>
      </c>
      <c r="IH25">
        <v>1.8632500000000001</v>
      </c>
      <c r="II25">
        <v>1.86117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-7.1050000000000004</v>
      </c>
      <c r="IX25">
        <v>-0.79600000000000004</v>
      </c>
      <c r="IY25">
        <v>-5.1126360245542362</v>
      </c>
      <c r="IZ25">
        <v>-5.6215304933332991E-3</v>
      </c>
      <c r="JA25">
        <v>2.3979931213773931E-6</v>
      </c>
      <c r="JB25">
        <v>-3.6297174575716598E-10</v>
      </c>
      <c r="JC25">
        <v>-1.2208021823235149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7.5</v>
      </c>
      <c r="JL25">
        <v>3</v>
      </c>
      <c r="JM25">
        <v>1.1425799999999999</v>
      </c>
      <c r="JN25">
        <v>2.5109900000000001</v>
      </c>
      <c r="JO25">
        <v>1.50024</v>
      </c>
      <c r="JP25">
        <v>2.2741699999999998</v>
      </c>
      <c r="JQ25">
        <v>1.4477500000000001</v>
      </c>
      <c r="JR25">
        <v>2.34375</v>
      </c>
      <c r="JS25">
        <v>38.183700000000002</v>
      </c>
      <c r="JT25">
        <v>14.569800000000001</v>
      </c>
      <c r="JU25">
        <v>18</v>
      </c>
      <c r="JV25">
        <v>540.02</v>
      </c>
      <c r="JW25">
        <v>461.84300000000002</v>
      </c>
      <c r="JX25">
        <v>25.791</v>
      </c>
      <c r="JY25">
        <v>34.006799999999998</v>
      </c>
      <c r="JZ25">
        <v>30.000599999999999</v>
      </c>
      <c r="KA25">
        <v>34.437899999999999</v>
      </c>
      <c r="KB25">
        <v>34.517000000000003</v>
      </c>
      <c r="KC25">
        <v>22.849900000000002</v>
      </c>
      <c r="KD25">
        <v>27.797799999999999</v>
      </c>
      <c r="KE25">
        <v>24.081499999999998</v>
      </c>
      <c r="KF25">
        <v>25.769500000000001</v>
      </c>
      <c r="KG25">
        <v>440.03500000000003</v>
      </c>
      <c r="KH25">
        <v>24.936</v>
      </c>
      <c r="KI25">
        <v>100.18899999999999</v>
      </c>
      <c r="KJ25">
        <v>98.426699999999997</v>
      </c>
    </row>
    <row r="26" spans="1:296" x14ac:dyDescent="0.3">
      <c r="A26">
        <v>10</v>
      </c>
      <c r="B26">
        <v>1784646367.5</v>
      </c>
      <c r="C26">
        <v>1707.900000095367</v>
      </c>
      <c r="D26" t="s">
        <v>776</v>
      </c>
      <c r="E26" t="s">
        <v>777</v>
      </c>
      <c r="F26">
        <v>15</v>
      </c>
      <c r="H26">
        <v>1784646359.5</v>
      </c>
      <c r="I26">
        <f t="shared" si="0"/>
        <v>6.5998473464094743E-4</v>
      </c>
      <c r="J26">
        <f t="shared" si="1"/>
        <v>0.65998473464094742</v>
      </c>
      <c r="K26">
        <f t="shared" si="2"/>
        <v>10.595984708107155</v>
      </c>
      <c r="L26">
        <f t="shared" si="3"/>
        <v>420.34264516129019</v>
      </c>
      <c r="M26">
        <f t="shared" si="4"/>
        <v>41.09437081128398</v>
      </c>
      <c r="N26">
        <f t="shared" si="5"/>
        <v>4.0177812582964281</v>
      </c>
      <c r="O26">
        <f t="shared" si="6"/>
        <v>41.096743141472864</v>
      </c>
      <c r="P26">
        <f t="shared" si="7"/>
        <v>4.5686405411058582E-2</v>
      </c>
      <c r="Q26">
        <f t="shared" si="8"/>
        <v>2.8891884932282621</v>
      </c>
      <c r="R26">
        <f t="shared" si="9"/>
        <v>4.5288823650701263E-2</v>
      </c>
      <c r="S26">
        <f t="shared" si="10"/>
        <v>2.8340947417094198E-2</v>
      </c>
      <c r="T26">
        <f t="shared" si="11"/>
        <v>32.484294546969181</v>
      </c>
      <c r="U26">
        <f t="shared" si="12"/>
        <v>28.492971090220607</v>
      </c>
      <c r="V26">
        <f t="shared" si="13"/>
        <v>28.51021290322581</v>
      </c>
      <c r="W26">
        <f t="shared" si="14"/>
        <v>3.9091873381722437</v>
      </c>
      <c r="X26">
        <f t="shared" si="15"/>
        <v>64.894427519633609</v>
      </c>
      <c r="Y26">
        <f t="shared" si="16"/>
        <v>2.5313388748391024</v>
      </c>
      <c r="Z26">
        <f t="shared" si="17"/>
        <v>3.9007029903657808</v>
      </c>
      <c r="AA26">
        <f t="shared" si="18"/>
        <v>1.3778484633331414</v>
      </c>
      <c r="AB26">
        <f t="shared" si="19"/>
        <v>-29.105326797665782</v>
      </c>
      <c r="AC26">
        <f t="shared" si="20"/>
        <v>-5.8265010994319351</v>
      </c>
      <c r="AD26">
        <f t="shared" si="21"/>
        <v>-0.44174172732881101</v>
      </c>
      <c r="AE26">
        <f t="shared" si="22"/>
        <v>-2.8892750774573468</v>
      </c>
      <c r="AF26">
        <f t="shared" si="23"/>
        <v>10.595984708107155</v>
      </c>
      <c r="AG26">
        <f t="shared" si="24"/>
        <v>0.65998473464094742</v>
      </c>
      <c r="AH26">
        <f t="shared" si="25"/>
        <v>10.710173627557612</v>
      </c>
      <c r="AI26">
        <v>444.51636741483458</v>
      </c>
      <c r="AJ26">
        <v>431.4449575757576</v>
      </c>
      <c r="AK26">
        <v>-2.1381521910583751E-2</v>
      </c>
      <c r="AL26">
        <v>67.090413167874956</v>
      </c>
      <c r="AM26">
        <f t="shared" si="26"/>
        <v>0.63294823858417126</v>
      </c>
      <c r="AN26">
        <v>25.205900859368079</v>
      </c>
      <c r="AO26">
        <v>25.945196969696951</v>
      </c>
      <c r="AP26">
        <v>8.640366349188759E-5</v>
      </c>
      <c r="AQ26">
        <v>78.243749264051729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51417.738463052592</v>
      </c>
      <c r="AW26" t="s">
        <v>463</v>
      </c>
      <c r="AX26">
        <v>5075.7299999999996</v>
      </c>
      <c r="AY26">
        <v>610.24117647058824</v>
      </c>
      <c r="AZ26">
        <v>2455.79</v>
      </c>
      <c r="BA26">
        <f t="shared" si="30"/>
        <v>0.75150921843048946</v>
      </c>
      <c r="BB26">
        <v>-4.0591547578554286</v>
      </c>
      <c r="BC26" t="s">
        <v>778</v>
      </c>
      <c r="BD26">
        <v>5090.3</v>
      </c>
      <c r="BE26">
        <v>809.65047058823529</v>
      </c>
      <c r="BF26">
        <v>2148.35</v>
      </c>
      <c r="BG26">
        <f t="shared" si="31"/>
        <v>0.62312915931378254</v>
      </c>
      <c r="BH26">
        <v>0.5</v>
      </c>
      <c r="BI26">
        <f t="shared" si="32"/>
        <v>168.28856963657105</v>
      </c>
      <c r="BJ26">
        <f t="shared" si="33"/>
        <v>10.595984708107155</v>
      </c>
      <c r="BK26">
        <f t="shared" si="34"/>
        <v>52.432757459877735</v>
      </c>
      <c r="BL26">
        <f t="shared" si="35"/>
        <v>8.708339192383184E-2</v>
      </c>
      <c r="BM26">
        <f t="shared" si="36"/>
        <v>0.14310517373798501</v>
      </c>
      <c r="BN26">
        <f t="shared" si="37"/>
        <v>589.2859805129259</v>
      </c>
      <c r="BO26" t="s">
        <v>408</v>
      </c>
      <c r="BP26">
        <v>0</v>
      </c>
      <c r="BQ26">
        <f t="shared" si="38"/>
        <v>589.2859805129259</v>
      </c>
      <c r="BR26">
        <f t="shared" si="39"/>
        <v>0.72570299042850284</v>
      </c>
      <c r="BS26">
        <f t="shared" si="40"/>
        <v>0.85865590679989634</v>
      </c>
      <c r="BT26">
        <f t="shared" si="41"/>
        <v>0.1647143519597061</v>
      </c>
      <c r="BU26">
        <f t="shared" si="42"/>
        <v>0.87035423562549119</v>
      </c>
      <c r="BV26">
        <f t="shared" si="43"/>
        <v>0.16658459320087476</v>
      </c>
      <c r="BW26">
        <f t="shared" si="44"/>
        <v>0.62495349084917196</v>
      </c>
      <c r="BX26">
        <f t="shared" si="45"/>
        <v>0.37504650915082804</v>
      </c>
      <c r="DG26">
        <f t="shared" si="46"/>
        <v>199.99496774193551</v>
      </c>
      <c r="DH26">
        <f t="shared" si="47"/>
        <v>168.28856963657105</v>
      </c>
      <c r="DI26">
        <f t="shared" si="48"/>
        <v>0.84146402050337099</v>
      </c>
      <c r="DJ26">
        <f t="shared" si="49"/>
        <v>0.16242555957150606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1784646359.5</v>
      </c>
      <c r="DQ26">
        <v>420.34264516129019</v>
      </c>
      <c r="DR26">
        <v>433.39058064516132</v>
      </c>
      <c r="DS26">
        <v>25.89085161290323</v>
      </c>
      <c r="DT26">
        <v>25.119383870967742</v>
      </c>
      <c r="DU26">
        <v>427.44841935483868</v>
      </c>
      <c r="DV26">
        <v>26.69285161290323</v>
      </c>
      <c r="DW26">
        <v>500.00574193548391</v>
      </c>
      <c r="DX26">
        <v>97.726412903225835</v>
      </c>
      <c r="DY26">
        <v>4.3212935483870972E-2</v>
      </c>
      <c r="DZ26">
        <v>28.472806451612911</v>
      </c>
      <c r="EA26">
        <v>28.51021290322581</v>
      </c>
      <c r="EB26">
        <v>999.90000000000032</v>
      </c>
      <c r="EC26">
        <v>0</v>
      </c>
      <c r="ED26">
        <v>0</v>
      </c>
      <c r="EE26">
        <v>9999.032258064517</v>
      </c>
      <c r="EF26">
        <v>0</v>
      </c>
      <c r="EG26">
        <v>134.13367741935491</v>
      </c>
      <c r="EH26">
        <v>-13.04804516129032</v>
      </c>
      <c r="EI26">
        <v>431.52948387096768</v>
      </c>
      <c r="EJ26">
        <v>444.5575483870968</v>
      </c>
      <c r="EK26">
        <v>0.80441477419354834</v>
      </c>
      <c r="EL26">
        <v>433.39058064516132</v>
      </c>
      <c r="EM26">
        <v>25.119383870967742</v>
      </c>
      <c r="EN26">
        <v>2.53343935483871</v>
      </c>
      <c r="EO26">
        <v>2.4548264516129028</v>
      </c>
      <c r="EP26">
        <v>21.24294193548387</v>
      </c>
      <c r="EQ26">
        <v>20.730012903225809</v>
      </c>
      <c r="ER26">
        <v>199.99496774193551</v>
      </c>
      <c r="ES26">
        <v>0.94996338709677419</v>
      </c>
      <c r="ET26">
        <v>5.0036612903225787E-2</v>
      </c>
      <c r="EU26">
        <v>0</v>
      </c>
      <c r="EV26">
        <v>809.47290322580648</v>
      </c>
      <c r="EW26">
        <v>5.0010700000000003</v>
      </c>
      <c r="EX26">
        <v>5641.6116129032253</v>
      </c>
      <c r="EY26">
        <v>1751.7577419354841</v>
      </c>
      <c r="EZ26">
        <v>38.811999999999983</v>
      </c>
      <c r="FA26">
        <v>42.375</v>
      </c>
      <c r="FB26">
        <v>40.758000000000003</v>
      </c>
      <c r="FC26">
        <v>42.316064516129011</v>
      </c>
      <c r="FD26">
        <v>41.037999999999982</v>
      </c>
      <c r="FE26">
        <v>185.23612903225799</v>
      </c>
      <c r="FF26">
        <v>9.759999999999998</v>
      </c>
      <c r="FG26">
        <v>0</v>
      </c>
      <c r="FH26">
        <v>202.4000000953674</v>
      </c>
      <c r="FI26">
        <v>0</v>
      </c>
      <c r="FJ26">
        <v>809.65047058823529</v>
      </c>
      <c r="FK26">
        <v>3.418627489202648</v>
      </c>
      <c r="FL26">
        <v>-39.024531426651357</v>
      </c>
      <c r="FM26">
        <v>5619.2482352941179</v>
      </c>
      <c r="FN26">
        <v>10</v>
      </c>
      <c r="FO26">
        <v>1784646386.5</v>
      </c>
      <c r="FP26" t="s">
        <v>779</v>
      </c>
      <c r="FQ26">
        <v>1784645711.5999999</v>
      </c>
      <c r="FR26">
        <v>1784646386.5</v>
      </c>
      <c r="FS26">
        <v>10</v>
      </c>
      <c r="FT26">
        <v>3.1E-2</v>
      </c>
      <c r="FU26">
        <v>-1.4E-2</v>
      </c>
      <c r="FV26">
        <v>-7.2560000000000002</v>
      </c>
      <c r="FW26">
        <v>-0.80200000000000005</v>
      </c>
      <c r="FX26">
        <v>462</v>
      </c>
      <c r="FY26">
        <v>25</v>
      </c>
      <c r="FZ26">
        <v>0.21</v>
      </c>
      <c r="GA26">
        <v>0.48</v>
      </c>
      <c r="GB26">
        <v>420.35399999999998</v>
      </c>
      <c r="GC26">
        <v>-0.56740378198046348</v>
      </c>
      <c r="GD26">
        <v>6.0462109346821259E-2</v>
      </c>
      <c r="GE26">
        <v>-1</v>
      </c>
      <c r="GF26">
        <v>809.2967941176471</v>
      </c>
      <c r="GG26">
        <v>3.3085867092018209</v>
      </c>
      <c r="GH26">
        <v>0.38457507332668439</v>
      </c>
      <c r="GI26">
        <v>1</v>
      </c>
      <c r="GJ26">
        <v>0.83726532499999995</v>
      </c>
      <c r="GK26">
        <v>-0.63303992870544301</v>
      </c>
      <c r="GL26">
        <v>6.3564517451714958E-2</v>
      </c>
      <c r="GM26">
        <v>0</v>
      </c>
      <c r="GN26">
        <v>1</v>
      </c>
      <c r="GO26">
        <v>2</v>
      </c>
      <c r="GP26" t="s">
        <v>411</v>
      </c>
      <c r="GQ26">
        <v>3.1319900000000001</v>
      </c>
      <c r="GR26">
        <v>2.7164299999999999</v>
      </c>
      <c r="GS26">
        <v>9.1535000000000005E-2</v>
      </c>
      <c r="GT26">
        <v>9.31641E-2</v>
      </c>
      <c r="GU26">
        <v>0.120452</v>
      </c>
      <c r="GV26">
        <v>0.115969</v>
      </c>
      <c r="GW26">
        <v>22725.1</v>
      </c>
      <c r="GX26">
        <v>30446.2</v>
      </c>
      <c r="GY26">
        <v>27136.9</v>
      </c>
      <c r="GZ26">
        <v>34527.199999999997</v>
      </c>
      <c r="HA26">
        <v>34957.4</v>
      </c>
      <c r="HB26">
        <v>38536.1</v>
      </c>
      <c r="HC26">
        <v>40070.800000000003</v>
      </c>
      <c r="HD26">
        <v>43671.1</v>
      </c>
      <c r="HE26">
        <v>1.9570000000000001</v>
      </c>
      <c r="HF26">
        <v>1.8129999999999999</v>
      </c>
      <c r="HG26">
        <v>-5.4657499999999998E-2</v>
      </c>
      <c r="HH26">
        <v>0</v>
      </c>
      <c r="HI26">
        <v>29.398700000000002</v>
      </c>
      <c r="HJ26">
        <v>999.9</v>
      </c>
      <c r="HK26">
        <v>57.3</v>
      </c>
      <c r="HL26">
        <v>33.5</v>
      </c>
      <c r="HM26">
        <v>30.4648</v>
      </c>
      <c r="HN26">
        <v>60.676499999999997</v>
      </c>
      <c r="HO26">
        <v>4.0064099999999998</v>
      </c>
      <c r="HP26">
        <v>1</v>
      </c>
      <c r="HQ26">
        <v>0.58589400000000003</v>
      </c>
      <c r="HR26">
        <v>3.6880199999999999</v>
      </c>
      <c r="HS26">
        <v>20.2409</v>
      </c>
      <c r="HT26">
        <v>5.1945300000000003</v>
      </c>
      <c r="HU26">
        <v>11.908099999999999</v>
      </c>
      <c r="HV26">
        <v>4.9787999999999997</v>
      </c>
      <c r="HW26">
        <v>3.2675999999999998</v>
      </c>
      <c r="HX26">
        <v>9999</v>
      </c>
      <c r="HY26">
        <v>9999</v>
      </c>
      <c r="HZ26">
        <v>9999</v>
      </c>
      <c r="IA26">
        <v>999.9</v>
      </c>
      <c r="IB26">
        <v>1.86707</v>
      </c>
      <c r="IC26">
        <v>1.8627</v>
      </c>
      <c r="ID26">
        <v>1.8621799999999999</v>
      </c>
      <c r="IE26">
        <v>1.8616600000000001</v>
      </c>
      <c r="IF26">
        <v>1.86172</v>
      </c>
      <c r="IG26">
        <v>1.8623400000000001</v>
      </c>
      <c r="IH26">
        <v>1.8632500000000001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-7.1059999999999999</v>
      </c>
      <c r="IX26">
        <v>-0.80200000000000005</v>
      </c>
      <c r="IY26">
        <v>-5.1126360245542362</v>
      </c>
      <c r="IZ26">
        <v>-5.6215304933332991E-3</v>
      </c>
      <c r="JA26">
        <v>2.3979931213773931E-6</v>
      </c>
      <c r="JB26">
        <v>-3.6297174575716598E-10</v>
      </c>
      <c r="JC26">
        <v>-1.237514269202568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10.9</v>
      </c>
      <c r="JL26">
        <v>3</v>
      </c>
      <c r="JM26">
        <v>1.1291500000000001</v>
      </c>
      <c r="JN26">
        <v>2.5109900000000001</v>
      </c>
      <c r="JO26">
        <v>1.50024</v>
      </c>
      <c r="JP26">
        <v>2.2741699999999998</v>
      </c>
      <c r="JQ26">
        <v>1.4477500000000001</v>
      </c>
      <c r="JR26">
        <v>2.36694</v>
      </c>
      <c r="JS26">
        <v>38.427900000000001</v>
      </c>
      <c r="JT26">
        <v>14.5261</v>
      </c>
      <c r="JU26">
        <v>18</v>
      </c>
      <c r="JV26">
        <v>540.18600000000004</v>
      </c>
      <c r="JW26">
        <v>459.40899999999999</v>
      </c>
      <c r="JX26">
        <v>25.519500000000001</v>
      </c>
      <c r="JY26">
        <v>34.307499999999997</v>
      </c>
      <c r="JZ26">
        <v>30.000800000000002</v>
      </c>
      <c r="KA26">
        <v>34.670200000000001</v>
      </c>
      <c r="KB26">
        <v>34.738399999999999</v>
      </c>
      <c r="KC26">
        <v>22.578700000000001</v>
      </c>
      <c r="KD26">
        <v>27.4589</v>
      </c>
      <c r="KE26">
        <v>23.711099999999998</v>
      </c>
      <c r="KF26">
        <v>25.515899999999998</v>
      </c>
      <c r="KG26">
        <v>433.15600000000001</v>
      </c>
      <c r="KH26">
        <v>25.170100000000001</v>
      </c>
      <c r="KI26">
        <v>100.15</v>
      </c>
      <c r="KJ26">
        <v>98.390199999999993</v>
      </c>
    </row>
    <row r="27" spans="1:296" x14ac:dyDescent="0.3">
      <c r="A27">
        <v>11</v>
      </c>
      <c r="B27">
        <v>1784646567.5</v>
      </c>
      <c r="C27">
        <v>1907.900000095367</v>
      </c>
      <c r="D27" t="s">
        <v>780</v>
      </c>
      <c r="E27" t="s">
        <v>781</v>
      </c>
      <c r="F27">
        <v>15</v>
      </c>
      <c r="H27">
        <v>1784646559.5</v>
      </c>
      <c r="I27">
        <f t="shared" si="0"/>
        <v>1.2403826552318163E-4</v>
      </c>
      <c r="J27">
        <f t="shared" si="1"/>
        <v>0.12403826552318162</v>
      </c>
      <c r="K27">
        <f t="shared" si="2"/>
        <v>2.9519591667984653</v>
      </c>
      <c r="L27">
        <f t="shared" si="3"/>
        <v>420.38387096774198</v>
      </c>
      <c r="M27">
        <f t="shared" si="4"/>
        <v>-141.73732330144006</v>
      </c>
      <c r="N27">
        <f t="shared" si="5"/>
        <v>-13.859901013681686</v>
      </c>
      <c r="O27">
        <f t="shared" si="6"/>
        <v>41.107583406028951</v>
      </c>
      <c r="P27">
        <f t="shared" si="7"/>
        <v>8.4633050711535006E-3</v>
      </c>
      <c r="Q27">
        <f t="shared" si="8"/>
        <v>2.8896411749894977</v>
      </c>
      <c r="R27">
        <f t="shared" si="9"/>
        <v>8.4495582868833428E-3</v>
      </c>
      <c r="S27">
        <f t="shared" si="10"/>
        <v>5.2822071366515049E-3</v>
      </c>
      <c r="T27">
        <f t="shared" si="11"/>
        <v>16.51105301545272</v>
      </c>
      <c r="U27">
        <f t="shared" si="12"/>
        <v>28.478550005141102</v>
      </c>
      <c r="V27">
        <f t="shared" si="13"/>
        <v>28.512599999999999</v>
      </c>
      <c r="W27">
        <f t="shared" si="14"/>
        <v>3.9097293136785258</v>
      </c>
      <c r="X27">
        <f t="shared" si="15"/>
        <v>64.867245049788266</v>
      </c>
      <c r="Y27">
        <f t="shared" si="16"/>
        <v>2.5214522755348425</v>
      </c>
      <c r="Z27">
        <f t="shared" si="17"/>
        <v>3.8870962896597883</v>
      </c>
      <c r="AA27">
        <f t="shared" si="18"/>
        <v>1.3882770381436833</v>
      </c>
      <c r="AB27">
        <f t="shared" si="19"/>
        <v>-5.47008750957231</v>
      </c>
      <c r="AC27">
        <f t="shared" si="20"/>
        <v>-15.568080234745704</v>
      </c>
      <c r="AD27">
        <f t="shared" si="21"/>
        <v>-1.1797848954063705</v>
      </c>
      <c r="AE27">
        <f t="shared" si="22"/>
        <v>-5.7068996242716636</v>
      </c>
      <c r="AF27">
        <f t="shared" si="23"/>
        <v>2.9519591667984653</v>
      </c>
      <c r="AG27">
        <f t="shared" si="24"/>
        <v>0.12403826552318162</v>
      </c>
      <c r="AH27">
        <f t="shared" si="25"/>
        <v>2.9738170180520331</v>
      </c>
      <c r="AI27">
        <v>435.04407924931257</v>
      </c>
      <c r="AJ27">
        <v>431.42424242424249</v>
      </c>
      <c r="AK27">
        <v>-8.1952319320806686E-3</v>
      </c>
      <c r="AL27">
        <v>67.072422083113111</v>
      </c>
      <c r="AM27">
        <f t="shared" si="26"/>
        <v>0.16057157512668749</v>
      </c>
      <c r="AN27">
        <v>25.65778511960691</v>
      </c>
      <c r="AO27">
        <v>25.833584848484861</v>
      </c>
      <c r="AP27">
        <v>1.9548662863354271E-3</v>
      </c>
      <c r="AQ27">
        <v>78.194531751454619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51441.168397109039</v>
      </c>
      <c r="AW27" t="s">
        <v>463</v>
      </c>
      <c r="AX27">
        <v>5075.7299999999996</v>
      </c>
      <c r="AY27">
        <v>610.24117647058824</v>
      </c>
      <c r="AZ27">
        <v>2455.79</v>
      </c>
      <c r="BA27">
        <f t="shared" si="30"/>
        <v>0.75150921843048946</v>
      </c>
      <c r="BB27">
        <v>-4.0591547578554286</v>
      </c>
      <c r="BC27" t="s">
        <v>782</v>
      </c>
      <c r="BD27">
        <v>5090.87</v>
      </c>
      <c r="BE27">
        <v>777.0035294117647</v>
      </c>
      <c r="BF27">
        <v>2245.39</v>
      </c>
      <c r="BG27">
        <f t="shared" si="31"/>
        <v>0.65395609252211662</v>
      </c>
      <c r="BH27">
        <v>0.5</v>
      </c>
      <c r="BI27">
        <f t="shared" si="32"/>
        <v>84.290261407973176</v>
      </c>
      <c r="BJ27">
        <f t="shared" si="33"/>
        <v>2.9519591667984653</v>
      </c>
      <c r="BK27">
        <f t="shared" si="34"/>
        <v>27.561064994012952</v>
      </c>
      <c r="BL27">
        <f t="shared" si="35"/>
        <v>8.3178220206476888E-2</v>
      </c>
      <c r="BM27">
        <f t="shared" si="36"/>
        <v>9.3703098348171185E-2</v>
      </c>
      <c r="BN27">
        <f t="shared" si="37"/>
        <v>596.35542438088453</v>
      </c>
      <c r="BO27" t="s">
        <v>408</v>
      </c>
      <c r="BP27">
        <v>0</v>
      </c>
      <c r="BQ27">
        <f t="shared" si="38"/>
        <v>596.35542438088453</v>
      </c>
      <c r="BR27">
        <f t="shared" si="39"/>
        <v>0.73440897822610562</v>
      </c>
      <c r="BS27">
        <f t="shared" si="40"/>
        <v>0.8904522029424049</v>
      </c>
      <c r="BT27">
        <f t="shared" si="41"/>
        <v>0.11315267703352537</v>
      </c>
      <c r="BU27">
        <f t="shared" si="42"/>
        <v>0.89801396023315738</v>
      </c>
      <c r="BV27">
        <f t="shared" si="43"/>
        <v>0.11400402813382793</v>
      </c>
      <c r="BW27">
        <f t="shared" si="44"/>
        <v>0.68342804282836123</v>
      </c>
      <c r="BX27">
        <f t="shared" si="45"/>
        <v>0.31657195717163877</v>
      </c>
      <c r="DG27">
        <f t="shared" si="46"/>
        <v>100.0062612903226</v>
      </c>
      <c r="DH27">
        <f t="shared" si="47"/>
        <v>84.290261407973176</v>
      </c>
      <c r="DI27">
        <f t="shared" si="48"/>
        <v>0.84284984080421543</v>
      </c>
      <c r="DJ27">
        <f t="shared" si="49"/>
        <v>0.16510019275213583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1784646559.5</v>
      </c>
      <c r="DQ27">
        <v>420.38387096774198</v>
      </c>
      <c r="DR27">
        <v>423.98899999999998</v>
      </c>
      <c r="DS27">
        <v>25.785458064516131</v>
      </c>
      <c r="DT27">
        <v>25.640441935483871</v>
      </c>
      <c r="DU27">
        <v>427.49087096774201</v>
      </c>
      <c r="DV27">
        <v>26.590458064516131</v>
      </c>
      <c r="DW27">
        <v>499.97148387096769</v>
      </c>
      <c r="DX27">
        <v>97.742367741935482</v>
      </c>
      <c r="DY27">
        <v>4.3456703225806442E-2</v>
      </c>
      <c r="DZ27">
        <v>28.41266774193549</v>
      </c>
      <c r="EA27">
        <v>28.512599999999999</v>
      </c>
      <c r="EB27">
        <v>999.90000000000032</v>
      </c>
      <c r="EC27">
        <v>0</v>
      </c>
      <c r="ED27">
        <v>0</v>
      </c>
      <c r="EE27">
        <v>10000</v>
      </c>
      <c r="EF27">
        <v>0</v>
      </c>
      <c r="EG27">
        <v>142.83687096774199</v>
      </c>
      <c r="EH27">
        <v>-3.603971612903226</v>
      </c>
      <c r="EI27">
        <v>431.52009677419358</v>
      </c>
      <c r="EJ27">
        <v>435.14632258064518</v>
      </c>
      <c r="EK27">
        <v>0.16384529032258061</v>
      </c>
      <c r="EL27">
        <v>423.98899999999998</v>
      </c>
      <c r="EM27">
        <v>25.640441935483871</v>
      </c>
      <c r="EN27">
        <v>2.5221709677419359</v>
      </c>
      <c r="EO27">
        <v>2.5061574193548388</v>
      </c>
      <c r="EP27">
        <v>21.170287096774199</v>
      </c>
      <c r="EQ27">
        <v>21.06653870967742</v>
      </c>
      <c r="ER27">
        <v>100.0062612903226</v>
      </c>
      <c r="ES27">
        <v>0.90000383870967782</v>
      </c>
      <c r="ET27">
        <v>9.9996341935483901E-2</v>
      </c>
      <c r="EU27">
        <v>0</v>
      </c>
      <c r="EV27">
        <v>776.59754838709671</v>
      </c>
      <c r="EW27">
        <v>5.0010700000000003</v>
      </c>
      <c r="EX27">
        <v>4123.1454838709678</v>
      </c>
      <c r="EY27">
        <v>836.62732258064511</v>
      </c>
      <c r="EZ27">
        <v>38.625</v>
      </c>
      <c r="FA27">
        <v>42.241870967741917</v>
      </c>
      <c r="FB27">
        <v>40.628999999999998</v>
      </c>
      <c r="FC27">
        <v>42.266000000000012</v>
      </c>
      <c r="FD27">
        <v>40.928999999999988</v>
      </c>
      <c r="FE27">
        <v>85.504516129032282</v>
      </c>
      <c r="FF27">
        <v>9.5</v>
      </c>
      <c r="FG27">
        <v>0</v>
      </c>
      <c r="FH27">
        <v>199.5999999046326</v>
      </c>
      <c r="FI27">
        <v>0</v>
      </c>
      <c r="FJ27">
        <v>777.0035294117647</v>
      </c>
      <c r="FK27">
        <v>5.5458332981566709</v>
      </c>
      <c r="FL27">
        <v>-756.39461198115805</v>
      </c>
      <c r="FM27">
        <v>4076.4494117647059</v>
      </c>
      <c r="FN27">
        <v>10</v>
      </c>
      <c r="FO27">
        <v>1784646591.5</v>
      </c>
      <c r="FP27" t="s">
        <v>531</v>
      </c>
      <c r="FQ27">
        <v>1784646591.5</v>
      </c>
      <c r="FR27">
        <v>1784646581.5</v>
      </c>
      <c r="FS27">
        <v>11</v>
      </c>
      <c r="FT27">
        <v>1.2E-2</v>
      </c>
      <c r="FU27">
        <v>-1.4999999999999999E-2</v>
      </c>
      <c r="FV27">
        <v>-7.1070000000000002</v>
      </c>
      <c r="FW27">
        <v>-0.80500000000000005</v>
      </c>
      <c r="FX27">
        <v>424</v>
      </c>
      <c r="FY27">
        <v>26</v>
      </c>
      <c r="FZ27">
        <v>1.26</v>
      </c>
      <c r="GA27">
        <v>0.61</v>
      </c>
      <c r="GB27">
        <v>420.39090322580643</v>
      </c>
      <c r="GC27">
        <v>-0.59661290322608351</v>
      </c>
      <c r="GD27">
        <v>6.6860642185560162E-2</v>
      </c>
      <c r="GE27">
        <v>-1</v>
      </c>
      <c r="GF27">
        <v>776.14549999999986</v>
      </c>
      <c r="GG27">
        <v>8.5456531635103588</v>
      </c>
      <c r="GH27">
        <v>0.87998196004234841</v>
      </c>
      <c r="GI27">
        <v>1</v>
      </c>
      <c r="GJ27">
        <v>0.18670741463414631</v>
      </c>
      <c r="GK27">
        <v>-0.301853268292683</v>
      </c>
      <c r="GL27">
        <v>4.0125776976886192E-2</v>
      </c>
      <c r="GM27">
        <v>1</v>
      </c>
      <c r="GN27">
        <v>2</v>
      </c>
      <c r="GO27">
        <v>2</v>
      </c>
      <c r="GP27" t="s">
        <v>424</v>
      </c>
      <c r="GQ27">
        <v>3.13198</v>
      </c>
      <c r="GR27">
        <v>2.7197399999999998</v>
      </c>
      <c r="GS27">
        <v>9.1481999999999994E-2</v>
      </c>
      <c r="GT27">
        <v>9.1597100000000001E-2</v>
      </c>
      <c r="GU27">
        <v>0.120102</v>
      </c>
      <c r="GV27">
        <v>0.117329</v>
      </c>
      <c r="GW27">
        <v>22715.7</v>
      </c>
      <c r="GX27">
        <v>30484.9</v>
      </c>
      <c r="GY27">
        <v>27125.5</v>
      </c>
      <c r="GZ27">
        <v>34513.5</v>
      </c>
      <c r="HA27">
        <v>34959.199999999997</v>
      </c>
      <c r="HB27">
        <v>38465.599999999999</v>
      </c>
      <c r="HC27">
        <v>40055.199999999997</v>
      </c>
      <c r="HD27">
        <v>43657.8</v>
      </c>
      <c r="HE27">
        <v>1.9541999999999999</v>
      </c>
      <c r="HF27">
        <v>1.8076000000000001</v>
      </c>
      <c r="HG27">
        <v>-5.79953E-2</v>
      </c>
      <c r="HH27">
        <v>0</v>
      </c>
      <c r="HI27">
        <v>29.462</v>
      </c>
      <c r="HJ27">
        <v>999.9</v>
      </c>
      <c r="HK27">
        <v>56.6</v>
      </c>
      <c r="HL27">
        <v>33.799999999999997</v>
      </c>
      <c r="HM27">
        <v>30.597799999999999</v>
      </c>
      <c r="HN27">
        <v>60.926499999999997</v>
      </c>
      <c r="HO27">
        <v>4.09856</v>
      </c>
      <c r="HP27">
        <v>1</v>
      </c>
      <c r="HQ27">
        <v>0.612927</v>
      </c>
      <c r="HR27">
        <v>3.8469899999999999</v>
      </c>
      <c r="HS27">
        <v>20.240600000000001</v>
      </c>
      <c r="HT27">
        <v>5.2100999999999997</v>
      </c>
      <c r="HU27">
        <v>11.908099999999999</v>
      </c>
      <c r="HV27">
        <v>4.9855999999999998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1.86707</v>
      </c>
      <c r="IC27">
        <v>1.8627</v>
      </c>
      <c r="ID27">
        <v>1.86215</v>
      </c>
      <c r="IE27">
        <v>1.8616900000000001</v>
      </c>
      <c r="IF27">
        <v>1.8616900000000001</v>
      </c>
      <c r="IG27">
        <v>1.8623400000000001</v>
      </c>
      <c r="IH27">
        <v>1.8632500000000001</v>
      </c>
      <c r="II27">
        <v>1.86127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-7.1070000000000002</v>
      </c>
      <c r="IX27">
        <v>-0.80500000000000005</v>
      </c>
      <c r="IY27">
        <v>-5.1126360245542362</v>
      </c>
      <c r="IZ27">
        <v>-5.6215304933332991E-3</v>
      </c>
      <c r="JA27">
        <v>2.3979931213773931E-6</v>
      </c>
      <c r="JB27">
        <v>-3.6297174575716598E-10</v>
      </c>
      <c r="JC27">
        <v>-1.251668546068166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14.3</v>
      </c>
      <c r="JL27">
        <v>3</v>
      </c>
      <c r="JM27">
        <v>1.1096200000000001</v>
      </c>
      <c r="JN27">
        <v>2.5097700000000001</v>
      </c>
      <c r="JO27">
        <v>1.50024</v>
      </c>
      <c r="JP27">
        <v>2.2729499999999998</v>
      </c>
      <c r="JQ27">
        <v>1.4477500000000001</v>
      </c>
      <c r="JR27">
        <v>2.4023400000000001</v>
      </c>
      <c r="JS27">
        <v>38.648699999999998</v>
      </c>
      <c r="JT27">
        <v>14.491</v>
      </c>
      <c r="JU27">
        <v>18</v>
      </c>
      <c r="JV27">
        <v>540.40700000000004</v>
      </c>
      <c r="JW27">
        <v>457.65800000000002</v>
      </c>
      <c r="JX27">
        <v>25.456199999999999</v>
      </c>
      <c r="JY27">
        <v>34.606400000000001</v>
      </c>
      <c r="JZ27">
        <v>30.000900000000001</v>
      </c>
      <c r="KA27">
        <v>34.926600000000001</v>
      </c>
      <c r="KB27">
        <v>34.984099999999998</v>
      </c>
      <c r="KC27">
        <v>22.201699999999999</v>
      </c>
      <c r="KD27">
        <v>26.4618</v>
      </c>
      <c r="KE27">
        <v>23.339600000000001</v>
      </c>
      <c r="KF27">
        <v>25.453700000000001</v>
      </c>
      <c r="KG27">
        <v>423.81</v>
      </c>
      <c r="KH27">
        <v>25.6784</v>
      </c>
      <c r="KI27">
        <v>100.10899999999999</v>
      </c>
      <c r="KJ27">
        <v>98.356099999999998</v>
      </c>
    </row>
    <row r="28" spans="1:296" x14ac:dyDescent="0.3">
      <c r="A28">
        <v>12</v>
      </c>
      <c r="B28">
        <v>1784646772.5</v>
      </c>
      <c r="C28">
        <v>2112.900000095367</v>
      </c>
      <c r="D28" t="s">
        <v>783</v>
      </c>
      <c r="E28" t="s">
        <v>784</v>
      </c>
      <c r="F28">
        <v>15</v>
      </c>
      <c r="H28">
        <v>1784646764.5</v>
      </c>
      <c r="I28">
        <f t="shared" si="0"/>
        <v>3.6034140563145109E-4</v>
      </c>
      <c r="J28">
        <f t="shared" si="1"/>
        <v>0.36034140563145106</v>
      </c>
      <c r="K28">
        <f t="shared" si="2"/>
        <v>1.244633367381097</v>
      </c>
      <c r="L28">
        <f t="shared" si="3"/>
        <v>420.22096774193551</v>
      </c>
      <c r="M28">
        <f t="shared" si="4"/>
        <v>330.20305059369417</v>
      </c>
      <c r="N28">
        <f t="shared" si="5"/>
        <v>32.290224515684898</v>
      </c>
      <c r="O28">
        <f t="shared" si="6"/>
        <v>41.092986179833325</v>
      </c>
      <c r="P28">
        <f t="shared" si="7"/>
        <v>2.4624946495312966E-2</v>
      </c>
      <c r="Q28">
        <f t="shared" si="8"/>
        <v>2.8899181553824298</v>
      </c>
      <c r="R28">
        <f t="shared" si="9"/>
        <v>2.4508967755571345E-2</v>
      </c>
      <c r="S28">
        <f t="shared" si="10"/>
        <v>1.5328479417071095E-2</v>
      </c>
      <c r="T28">
        <f t="shared" si="11"/>
        <v>8.2413493431109881</v>
      </c>
      <c r="U28">
        <f t="shared" si="12"/>
        <v>28.320175554433721</v>
      </c>
      <c r="V28">
        <f t="shared" si="13"/>
        <v>28.49985483870968</v>
      </c>
      <c r="W28">
        <f t="shared" si="14"/>
        <v>3.9068363629196128</v>
      </c>
      <c r="X28">
        <f t="shared" si="15"/>
        <v>64.911698375482743</v>
      </c>
      <c r="Y28">
        <f t="shared" si="16"/>
        <v>2.5163184104454328</v>
      </c>
      <c r="Z28">
        <f t="shared" si="17"/>
        <v>3.8765253004007838</v>
      </c>
      <c r="AA28">
        <f t="shared" si="18"/>
        <v>1.39051795247418</v>
      </c>
      <c r="AB28">
        <f t="shared" si="19"/>
        <v>-15.891055988346993</v>
      </c>
      <c r="AC28">
        <f t="shared" si="20"/>
        <v>-20.882898289535341</v>
      </c>
      <c r="AD28">
        <f t="shared" si="21"/>
        <v>-1.5819332070728234</v>
      </c>
      <c r="AE28">
        <f t="shared" si="22"/>
        <v>-30.114538141844168</v>
      </c>
      <c r="AF28">
        <f t="shared" si="23"/>
        <v>1.244633367381097</v>
      </c>
      <c r="AG28">
        <f t="shared" si="24"/>
        <v>0.36034140563145106</v>
      </c>
      <c r="AH28">
        <f t="shared" si="25"/>
        <v>1.1614775193275997</v>
      </c>
      <c r="AI28">
        <v>432.6999367406591</v>
      </c>
      <c r="AJ28">
        <v>431.30082424242408</v>
      </c>
      <c r="AK28">
        <v>-5.9174810085988348E-3</v>
      </c>
      <c r="AL28">
        <v>67.076818873179235</v>
      </c>
      <c r="AM28">
        <f t="shared" si="26"/>
        <v>0.32465606957290355</v>
      </c>
      <c r="AN28">
        <v>25.306210938275989</v>
      </c>
      <c r="AO28">
        <v>25.700438787878792</v>
      </c>
      <c r="AP28">
        <v>-2.3978800719633062E-3</v>
      </c>
      <c r="AQ28">
        <v>78.210199156293186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51457.079309318236</v>
      </c>
      <c r="AW28" t="s">
        <v>463</v>
      </c>
      <c r="AX28">
        <v>5075.7299999999996</v>
      </c>
      <c r="AY28">
        <v>610.24117647058824</v>
      </c>
      <c r="AZ28">
        <v>2455.79</v>
      </c>
      <c r="BA28">
        <f t="shared" si="30"/>
        <v>0.75150921843048946</v>
      </c>
      <c r="BB28">
        <v>-4.0591547578554286</v>
      </c>
      <c r="BC28" t="s">
        <v>785</v>
      </c>
      <c r="BD28">
        <v>5086.97</v>
      </c>
      <c r="BE28">
        <v>740.35823529411766</v>
      </c>
      <c r="BF28">
        <v>2333.21</v>
      </c>
      <c r="BG28">
        <f t="shared" si="31"/>
        <v>0.68268684117841194</v>
      </c>
      <c r="BH28">
        <v>0.5</v>
      </c>
      <c r="BI28">
        <f t="shared" si="32"/>
        <v>42.138682796530844</v>
      </c>
      <c r="BJ28">
        <f t="shared" si="33"/>
        <v>1.244633367381097</v>
      </c>
      <c r="BK28">
        <f t="shared" si="34"/>
        <v>14.383762124891366</v>
      </c>
      <c r="BL28">
        <f t="shared" si="35"/>
        <v>0.12586506680444154</v>
      </c>
      <c r="BM28">
        <f t="shared" si="36"/>
        <v>5.25370626733127E-2</v>
      </c>
      <c r="BN28">
        <f t="shared" si="37"/>
        <v>602.37715728086221</v>
      </c>
      <c r="BO28" t="s">
        <v>408</v>
      </c>
      <c r="BP28">
        <v>0</v>
      </c>
      <c r="BQ28">
        <f t="shared" si="38"/>
        <v>602.37715728086221</v>
      </c>
      <c r="BR28">
        <f t="shared" si="39"/>
        <v>0.74182471475741052</v>
      </c>
      <c r="BS28">
        <f t="shared" si="40"/>
        <v>0.92028052934534854</v>
      </c>
      <c r="BT28">
        <f t="shared" si="41"/>
        <v>6.6137450423707597E-2</v>
      </c>
      <c r="BU28">
        <f t="shared" si="42"/>
        <v>0.92448089771178144</v>
      </c>
      <c r="BV28">
        <f t="shared" si="43"/>
        <v>6.6419266961238663E-2</v>
      </c>
      <c r="BW28">
        <f t="shared" si="44"/>
        <v>0.74876720854972667</v>
      </c>
      <c r="BX28">
        <f t="shared" si="45"/>
        <v>0.25123279145027333</v>
      </c>
      <c r="DG28">
        <f t="shared" si="46"/>
        <v>50.004316129032247</v>
      </c>
      <c r="DH28">
        <f t="shared" si="47"/>
        <v>42.138682796530844</v>
      </c>
      <c r="DI28">
        <f t="shared" si="48"/>
        <v>0.84270091181319728</v>
      </c>
      <c r="DJ28">
        <f t="shared" si="49"/>
        <v>0.16481275979947066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1784646764.5</v>
      </c>
      <c r="DQ28">
        <v>420.22096774193551</v>
      </c>
      <c r="DR28">
        <v>421.89635483870978</v>
      </c>
      <c r="DS28">
        <v>25.732122580645161</v>
      </c>
      <c r="DT28">
        <v>25.31080967741935</v>
      </c>
      <c r="DU28">
        <v>427.33864516129029</v>
      </c>
      <c r="DV28">
        <v>26.536135483870961</v>
      </c>
      <c r="DW28">
        <v>499.96435483870982</v>
      </c>
      <c r="DX28">
        <v>97.745306451612905</v>
      </c>
      <c r="DY28">
        <v>4.3688706451612901E-2</v>
      </c>
      <c r="DZ28">
        <v>28.36581935483871</v>
      </c>
      <c r="EA28">
        <v>28.49985483870968</v>
      </c>
      <c r="EB28">
        <v>999.90000000000032</v>
      </c>
      <c r="EC28">
        <v>0</v>
      </c>
      <c r="ED28">
        <v>0</v>
      </c>
      <c r="EE28">
        <v>10001.290322580649</v>
      </c>
      <c r="EF28">
        <v>0</v>
      </c>
      <c r="EG28">
        <v>151.0444516129032</v>
      </c>
      <c r="EH28">
        <v>-1.6753777419354841</v>
      </c>
      <c r="EI28">
        <v>431.31977419354843</v>
      </c>
      <c r="EJ28">
        <v>432.85225806451609</v>
      </c>
      <c r="EK28">
        <v>0.42132061290322592</v>
      </c>
      <c r="EL28">
        <v>421.89635483870978</v>
      </c>
      <c r="EM28">
        <v>25.31080967741935</v>
      </c>
      <c r="EN28">
        <v>2.5151941935483868</v>
      </c>
      <c r="EO28">
        <v>2.4740116129032259</v>
      </c>
      <c r="EP28">
        <v>21.125151612903231</v>
      </c>
      <c r="EQ28">
        <v>20.856541935483872</v>
      </c>
      <c r="ER28">
        <v>50.004316129032247</v>
      </c>
      <c r="ES28">
        <v>0.89996841935483873</v>
      </c>
      <c r="ET28">
        <v>0.1000316741935484</v>
      </c>
      <c r="EU28">
        <v>0</v>
      </c>
      <c r="EV28">
        <v>740.1696774193548</v>
      </c>
      <c r="EW28">
        <v>5.0010700000000003</v>
      </c>
      <c r="EX28">
        <v>3779.1819354838699</v>
      </c>
      <c r="EY28">
        <v>396.29851612903229</v>
      </c>
      <c r="EZ28">
        <v>38.340451612903209</v>
      </c>
      <c r="FA28">
        <v>41.936999999999983</v>
      </c>
      <c r="FB28">
        <v>40.375</v>
      </c>
      <c r="FC28">
        <v>42.070129032258038</v>
      </c>
      <c r="FD28">
        <v>40.686999999999983</v>
      </c>
      <c r="FE28">
        <v>40.501612903225791</v>
      </c>
      <c r="FF28">
        <v>4.5019354838709678</v>
      </c>
      <c r="FG28">
        <v>0</v>
      </c>
      <c r="FH28">
        <v>204.5999999046326</v>
      </c>
      <c r="FI28">
        <v>0</v>
      </c>
      <c r="FJ28">
        <v>740.35823529411766</v>
      </c>
      <c r="FK28">
        <v>5.0691176050572651</v>
      </c>
      <c r="FL28">
        <v>-702.16911682040325</v>
      </c>
      <c r="FM28">
        <v>3754.931176470589</v>
      </c>
      <c r="FN28">
        <v>10</v>
      </c>
      <c r="FO28">
        <v>1784646644</v>
      </c>
      <c r="FP28" t="s">
        <v>786</v>
      </c>
      <c r="FQ28">
        <v>1784646642.5</v>
      </c>
      <c r="FR28">
        <v>1784646644</v>
      </c>
      <c r="FS28">
        <v>12</v>
      </c>
      <c r="FT28">
        <v>-2.4E-2</v>
      </c>
      <c r="FU28">
        <v>-1E-3</v>
      </c>
      <c r="FV28">
        <v>-7.1319999999999997</v>
      </c>
      <c r="FW28">
        <v>-0.80900000000000005</v>
      </c>
      <c r="FX28">
        <v>424</v>
      </c>
      <c r="FY28">
        <v>26</v>
      </c>
      <c r="FZ28">
        <v>1.69</v>
      </c>
      <c r="GA28">
        <v>0.64</v>
      </c>
      <c r="GB28">
        <v>420.21879999999999</v>
      </c>
      <c r="GC28">
        <v>-5.1790878755427212E-2</v>
      </c>
      <c r="GD28">
        <v>4.5841320516171728E-2</v>
      </c>
      <c r="GE28">
        <v>-1</v>
      </c>
      <c r="GF28">
        <v>740.06676470588241</v>
      </c>
      <c r="GG28">
        <v>3.3295339929140981</v>
      </c>
      <c r="GH28">
        <v>0.41960366866166698</v>
      </c>
      <c r="GI28">
        <v>1</v>
      </c>
      <c r="GJ28">
        <v>0.40378317499999988</v>
      </c>
      <c r="GK28">
        <v>0.1794888517823639</v>
      </c>
      <c r="GL28">
        <v>3.6553560662326387E-2</v>
      </c>
      <c r="GM28">
        <v>1</v>
      </c>
      <c r="GN28">
        <v>2</v>
      </c>
      <c r="GO28">
        <v>2</v>
      </c>
      <c r="GP28" t="s">
        <v>424</v>
      </c>
      <c r="GQ28">
        <v>3.1325400000000001</v>
      </c>
      <c r="GR28">
        <v>2.7198600000000002</v>
      </c>
      <c r="GS28">
        <v>9.1420399999999999E-2</v>
      </c>
      <c r="GT28">
        <v>9.1258500000000006E-2</v>
      </c>
      <c r="GU28">
        <v>0.11966599999999999</v>
      </c>
      <c r="GV28">
        <v>0.116144</v>
      </c>
      <c r="GW28">
        <v>22710.400000000001</v>
      </c>
      <c r="GX28">
        <v>30485.5</v>
      </c>
      <c r="GY28">
        <v>27118.3</v>
      </c>
      <c r="GZ28">
        <v>34502.699999999997</v>
      </c>
      <c r="HA28">
        <v>34969.9</v>
      </c>
      <c r="HB28">
        <v>38507.5</v>
      </c>
      <c r="HC28">
        <v>40046.5</v>
      </c>
      <c r="HD28">
        <v>43646.2</v>
      </c>
      <c r="HE28">
        <v>1.9523999999999999</v>
      </c>
      <c r="HF28">
        <v>1.8024</v>
      </c>
      <c r="HG28">
        <v>-6.40154E-2</v>
      </c>
      <c r="HH28">
        <v>0</v>
      </c>
      <c r="HI28">
        <v>29.548500000000001</v>
      </c>
      <c r="HJ28">
        <v>999.9</v>
      </c>
      <c r="HK28">
        <v>56.2</v>
      </c>
      <c r="HL28">
        <v>34.1</v>
      </c>
      <c r="HM28">
        <v>30.894400000000001</v>
      </c>
      <c r="HN28">
        <v>60.496600000000001</v>
      </c>
      <c r="HO28">
        <v>4.1226000000000003</v>
      </c>
      <c r="HP28">
        <v>1</v>
      </c>
      <c r="HQ28">
        <v>0.62817100000000003</v>
      </c>
      <c r="HR28">
        <v>3.7084299999999999</v>
      </c>
      <c r="HS28">
        <v>20.244599999999998</v>
      </c>
      <c r="HT28">
        <v>5.2077099999999996</v>
      </c>
      <c r="HU28">
        <v>11.908099999999999</v>
      </c>
      <c r="HV28">
        <v>4.9824000000000002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1.8671</v>
      </c>
      <c r="IC28">
        <v>1.86276</v>
      </c>
      <c r="ID28">
        <v>1.8621799999999999</v>
      </c>
      <c r="IE28">
        <v>1.8616900000000001</v>
      </c>
      <c r="IF28">
        <v>1.8616900000000001</v>
      </c>
      <c r="IG28">
        <v>1.8624000000000001</v>
      </c>
      <c r="IH28">
        <v>1.8632500000000001</v>
      </c>
      <c r="II28">
        <v>1.86127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-7.117</v>
      </c>
      <c r="IX28">
        <v>-0.80510000000000004</v>
      </c>
      <c r="IY28">
        <v>-5.124939910481098</v>
      </c>
      <c r="IZ28">
        <v>-5.6215304933332991E-3</v>
      </c>
      <c r="JA28">
        <v>2.3979931213773931E-6</v>
      </c>
      <c r="JB28">
        <v>-3.6297174575716598E-10</v>
      </c>
      <c r="JC28">
        <v>-1.2679441736502011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2.2000000000000002</v>
      </c>
      <c r="JL28">
        <v>2.1</v>
      </c>
      <c r="JM28">
        <v>1.1059600000000001</v>
      </c>
      <c r="JN28">
        <v>2.50244</v>
      </c>
      <c r="JO28">
        <v>1.50024</v>
      </c>
      <c r="JP28">
        <v>2.2729499999999998</v>
      </c>
      <c r="JQ28">
        <v>1.4477500000000001</v>
      </c>
      <c r="JR28">
        <v>2.49268</v>
      </c>
      <c r="JS28">
        <v>38.870399999999997</v>
      </c>
      <c r="JT28">
        <v>14.4648</v>
      </c>
      <c r="JU28">
        <v>18</v>
      </c>
      <c r="JV28">
        <v>540.82399999999996</v>
      </c>
      <c r="JW28">
        <v>455.67</v>
      </c>
      <c r="JX28">
        <v>25.576799999999999</v>
      </c>
      <c r="JY28">
        <v>34.811799999999998</v>
      </c>
      <c r="JZ28">
        <v>30.000499999999999</v>
      </c>
      <c r="KA28">
        <v>35.126100000000001</v>
      </c>
      <c r="KB28">
        <v>35.179299999999998</v>
      </c>
      <c r="KC28">
        <v>22.113900000000001</v>
      </c>
      <c r="KD28">
        <v>28.1602</v>
      </c>
      <c r="KE28">
        <v>23.339600000000001</v>
      </c>
      <c r="KF28">
        <v>25.5745</v>
      </c>
      <c r="KG28">
        <v>421.714</v>
      </c>
      <c r="KH28">
        <v>25.341999999999999</v>
      </c>
      <c r="KI28">
        <v>100.086</v>
      </c>
      <c r="KJ28">
        <v>98.328100000000006</v>
      </c>
    </row>
    <row r="29" spans="1:296" x14ac:dyDescent="0.3">
      <c r="A29">
        <v>13</v>
      </c>
      <c r="B29">
        <v>1784646955</v>
      </c>
      <c r="C29">
        <v>2295.400000095367</v>
      </c>
      <c r="D29" t="s">
        <v>787</v>
      </c>
      <c r="E29" t="s">
        <v>788</v>
      </c>
      <c r="F29">
        <v>15</v>
      </c>
      <c r="H29">
        <v>1784646947</v>
      </c>
      <c r="I29">
        <f t="shared" si="0"/>
        <v>3.2330522033062927E-5</v>
      </c>
      <c r="J29">
        <f t="shared" si="1"/>
        <v>3.2330522033062928E-2</v>
      </c>
      <c r="K29">
        <f t="shared" si="2"/>
        <v>-2.3708319431283411</v>
      </c>
      <c r="L29">
        <f t="shared" si="3"/>
        <v>420.09425806451611</v>
      </c>
      <c r="M29">
        <f t="shared" si="4"/>
        <v>2119.6043922295471</v>
      </c>
      <c r="N29">
        <f t="shared" si="5"/>
        <v>207.28637404236983</v>
      </c>
      <c r="O29">
        <f t="shared" si="6"/>
        <v>41.083051077572321</v>
      </c>
      <c r="P29">
        <f t="shared" si="7"/>
        <v>2.1941554570345172E-3</v>
      </c>
      <c r="Q29">
        <f t="shared" si="8"/>
        <v>2.890167085456806</v>
      </c>
      <c r="R29">
        <f t="shared" si="9"/>
        <v>2.1932304574071942E-3</v>
      </c>
      <c r="S29">
        <f t="shared" si="10"/>
        <v>1.3708521089152693E-3</v>
      </c>
      <c r="T29">
        <f t="shared" si="11"/>
        <v>1.5966703903835998E-4</v>
      </c>
      <c r="U29">
        <f t="shared" si="12"/>
        <v>28.364284764983498</v>
      </c>
      <c r="V29">
        <f t="shared" si="13"/>
        <v>28.525590322580641</v>
      </c>
      <c r="W29">
        <f t="shared" si="14"/>
        <v>3.9126798346941842</v>
      </c>
      <c r="X29">
        <f t="shared" si="15"/>
        <v>64.941190610670162</v>
      </c>
      <c r="Y29">
        <f t="shared" si="16"/>
        <v>2.5184821424072585</v>
      </c>
      <c r="Z29">
        <f t="shared" si="17"/>
        <v>3.8780966574909996</v>
      </c>
      <c r="AA29">
        <f t="shared" si="18"/>
        <v>1.3941976922869257</v>
      </c>
      <c r="AB29">
        <f t="shared" si="19"/>
        <v>-1.425776021658075</v>
      </c>
      <c r="AC29">
        <f t="shared" si="20"/>
        <v>-23.808484312822074</v>
      </c>
      <c r="AD29">
        <f t="shared" si="21"/>
        <v>-1.8036920805767993</v>
      </c>
      <c r="AE29">
        <f t="shared" si="22"/>
        <v>-27.03779274801791</v>
      </c>
      <c r="AF29">
        <f t="shared" si="23"/>
        <v>-2.3708319431283411</v>
      </c>
      <c r="AG29">
        <f t="shared" si="24"/>
        <v>3.2330522033062928E-2</v>
      </c>
      <c r="AH29">
        <f t="shared" si="25"/>
        <v>-2.3881725259553188</v>
      </c>
      <c r="AI29">
        <v>428.25405978466398</v>
      </c>
      <c r="AJ29">
        <v>431.19324242424238</v>
      </c>
      <c r="AK29">
        <v>4.2178391657848407E-4</v>
      </c>
      <c r="AL29">
        <v>67.074949025027365</v>
      </c>
      <c r="AM29">
        <f t="shared" si="26"/>
        <v>3.2948003469357057E-2</v>
      </c>
      <c r="AN29">
        <v>25.71398847699135</v>
      </c>
      <c r="AO29">
        <v>25.751915151515131</v>
      </c>
      <c r="AP29">
        <v>9.7073051813605256E-5</v>
      </c>
      <c r="AQ29">
        <v>78.202004456603987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51463.076505358928</v>
      </c>
      <c r="AW29" t="s">
        <v>789</v>
      </c>
      <c r="AX29">
        <v>5085.58</v>
      </c>
      <c r="AY29">
        <v>606.51470588235293</v>
      </c>
      <c r="AZ29">
        <v>2594.25</v>
      </c>
      <c r="BA29">
        <f t="shared" si="30"/>
        <v>0.7662080732842429</v>
      </c>
      <c r="BB29">
        <v>-2.3708319431283411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-2.3708319431283411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1.3051285086486246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1784646947</v>
      </c>
      <c r="DQ29">
        <v>420.09425806451611</v>
      </c>
      <c r="DR29">
        <v>417.26561290322581</v>
      </c>
      <c r="DS29">
        <v>25.75270967741935</v>
      </c>
      <c r="DT29">
        <v>25.714912903225809</v>
      </c>
      <c r="DU29">
        <v>427.19903225806451</v>
      </c>
      <c r="DV29">
        <v>26.560870967741941</v>
      </c>
      <c r="DW29">
        <v>500.00970967741932</v>
      </c>
      <c r="DX29">
        <v>97.751400000000004</v>
      </c>
      <c r="DY29">
        <v>4.3440774193548387E-2</v>
      </c>
      <c r="DZ29">
        <v>28.372790322580649</v>
      </c>
      <c r="EA29">
        <v>28.525590322580641</v>
      </c>
      <c r="EB29">
        <v>999.90000000000032</v>
      </c>
      <c r="EC29">
        <v>0</v>
      </c>
      <c r="ED29">
        <v>0</v>
      </c>
      <c r="EE29">
        <v>10002.096774193549</v>
      </c>
      <c r="EF29">
        <v>0</v>
      </c>
      <c r="EG29">
        <v>157.64883870967739</v>
      </c>
      <c r="EH29">
        <v>2.828587419354839</v>
      </c>
      <c r="EI29">
        <v>431.19874193548401</v>
      </c>
      <c r="EJ29">
        <v>428.27880645161292</v>
      </c>
      <c r="EK29">
        <v>3.7786370967741942E-2</v>
      </c>
      <c r="EL29">
        <v>417.26561290322581</v>
      </c>
      <c r="EM29">
        <v>25.714912903225809</v>
      </c>
      <c r="EN29">
        <v>2.5173625806451612</v>
      </c>
      <c r="EO29">
        <v>2.5136693548387088</v>
      </c>
      <c r="EP29">
        <v>21.1392064516129</v>
      </c>
      <c r="EQ29">
        <v>21.115274193548391</v>
      </c>
      <c r="ER29">
        <v>1.00021E-2</v>
      </c>
      <c r="ES29">
        <v>0</v>
      </c>
      <c r="ET29">
        <v>0</v>
      </c>
      <c r="EU29">
        <v>0</v>
      </c>
      <c r="EV29">
        <v>607.19516129032263</v>
      </c>
      <c r="EW29">
        <v>1.00021E-2</v>
      </c>
      <c r="EX29">
        <v>3068.3903225806462</v>
      </c>
      <c r="EY29">
        <v>2.9645161290322579</v>
      </c>
      <c r="EZ29">
        <v>38</v>
      </c>
      <c r="FA29">
        <v>41.709354838709658</v>
      </c>
      <c r="FB29">
        <v>40.125</v>
      </c>
      <c r="FC29">
        <v>41.709354838709658</v>
      </c>
      <c r="FD29">
        <v>40.186999999999983</v>
      </c>
      <c r="FE29">
        <v>0</v>
      </c>
      <c r="FF29">
        <v>0</v>
      </c>
      <c r="FG29">
        <v>0</v>
      </c>
      <c r="FH29">
        <v>181.5999999046326</v>
      </c>
      <c r="FI29">
        <v>0</v>
      </c>
      <c r="FJ29">
        <v>606.51470588235293</v>
      </c>
      <c r="FK29">
        <v>-14.24019638142911</v>
      </c>
      <c r="FL29">
        <v>-210.7475478362752</v>
      </c>
      <c r="FM29">
        <v>3059.732352941176</v>
      </c>
      <c r="FN29">
        <v>10</v>
      </c>
      <c r="FO29">
        <v>1784646890.5</v>
      </c>
      <c r="FP29" t="s">
        <v>790</v>
      </c>
      <c r="FQ29">
        <v>1784646890.5</v>
      </c>
      <c r="FR29">
        <v>1784646886</v>
      </c>
      <c r="FS29">
        <v>13</v>
      </c>
      <c r="FT29">
        <v>1.2E-2</v>
      </c>
      <c r="FU29">
        <v>-5.0000000000000001E-3</v>
      </c>
      <c r="FV29">
        <v>-7.0960000000000001</v>
      </c>
      <c r="FW29">
        <v>-0.81299999999999994</v>
      </c>
      <c r="FX29">
        <v>418</v>
      </c>
      <c r="FY29">
        <v>26</v>
      </c>
      <c r="FZ29">
        <v>1.41</v>
      </c>
      <c r="GA29">
        <v>0.52</v>
      </c>
      <c r="GB29">
        <v>420.09209677419341</v>
      </c>
      <c r="GC29">
        <v>5.8499999999160383E-2</v>
      </c>
      <c r="GD29">
        <v>5.1428217959571317E-2</v>
      </c>
      <c r="GE29">
        <v>-1</v>
      </c>
      <c r="GF29">
        <v>607.439705882353</v>
      </c>
      <c r="GG29">
        <v>-6.084797460649451</v>
      </c>
      <c r="GH29">
        <v>4.1470361388616066</v>
      </c>
      <c r="GI29">
        <v>1</v>
      </c>
      <c r="GJ29">
        <v>3.7923026829268298E-2</v>
      </c>
      <c r="GK29">
        <v>-2.4523271080139349E-2</v>
      </c>
      <c r="GL29">
        <v>9.0379101140296916E-3</v>
      </c>
      <c r="GM29">
        <v>1</v>
      </c>
      <c r="GN29">
        <v>2</v>
      </c>
      <c r="GO29">
        <v>2</v>
      </c>
      <c r="GP29" t="s">
        <v>424</v>
      </c>
      <c r="GQ29">
        <v>3.1319900000000001</v>
      </c>
      <c r="GR29">
        <v>2.7198500000000001</v>
      </c>
      <c r="GS29">
        <v>9.1378600000000004E-2</v>
      </c>
      <c r="GT29">
        <v>9.0461600000000003E-2</v>
      </c>
      <c r="GU29">
        <v>0.119823</v>
      </c>
      <c r="GV29">
        <v>0.117311</v>
      </c>
      <c r="GW29">
        <v>22706.3</v>
      </c>
      <c r="GX29">
        <v>30507.1</v>
      </c>
      <c r="GY29">
        <v>27112.6</v>
      </c>
      <c r="GZ29">
        <v>34497.5</v>
      </c>
      <c r="HA29">
        <v>34957.1</v>
      </c>
      <c r="HB29">
        <v>38452.300000000003</v>
      </c>
      <c r="HC29">
        <v>40038.300000000003</v>
      </c>
      <c r="HD29">
        <v>43641.2</v>
      </c>
      <c r="HE29">
        <v>1.9514</v>
      </c>
      <c r="HF29">
        <v>1.7998000000000001</v>
      </c>
      <c r="HG29">
        <v>-6.1094799999999998E-2</v>
      </c>
      <c r="HH29">
        <v>0</v>
      </c>
      <c r="HI29">
        <v>29.525500000000001</v>
      </c>
      <c r="HJ29">
        <v>999.9</v>
      </c>
      <c r="HK29">
        <v>55.7</v>
      </c>
      <c r="HL29">
        <v>34.299999999999997</v>
      </c>
      <c r="HM29">
        <v>30.958200000000001</v>
      </c>
      <c r="HN29">
        <v>60.826599999999999</v>
      </c>
      <c r="HO29">
        <v>3.7019199999999999</v>
      </c>
      <c r="HP29">
        <v>1</v>
      </c>
      <c r="HQ29">
        <v>0.63762200000000002</v>
      </c>
      <c r="HR29">
        <v>3.79826</v>
      </c>
      <c r="HS29">
        <v>20.242899999999999</v>
      </c>
      <c r="HT29">
        <v>5.2088999999999999</v>
      </c>
      <c r="HU29">
        <v>11.908099999999999</v>
      </c>
      <c r="HV29">
        <v>4.9851999999999999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1.86713</v>
      </c>
      <c r="IC29">
        <v>1.86276</v>
      </c>
      <c r="ID29">
        <v>1.8621799999999999</v>
      </c>
      <c r="IE29">
        <v>1.86172</v>
      </c>
      <c r="IF29">
        <v>1.86172</v>
      </c>
      <c r="IG29">
        <v>1.86243</v>
      </c>
      <c r="IH29">
        <v>1.8632500000000001</v>
      </c>
      <c r="II29">
        <v>1.86124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-7.1050000000000004</v>
      </c>
      <c r="IX29">
        <v>-0.80820000000000003</v>
      </c>
      <c r="IY29">
        <v>-5.1126282668553884</v>
      </c>
      <c r="IZ29">
        <v>-5.6215304933332991E-3</v>
      </c>
      <c r="JA29">
        <v>2.3979931213773931E-6</v>
      </c>
      <c r="JB29">
        <v>-3.6297174575716598E-10</v>
      </c>
      <c r="JC29">
        <v>-1.272821212229984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1.1000000000000001</v>
      </c>
      <c r="JL29">
        <v>1.1000000000000001</v>
      </c>
      <c r="JM29">
        <v>1.09619</v>
      </c>
      <c r="JN29">
        <v>2.5061</v>
      </c>
      <c r="JO29">
        <v>1.50024</v>
      </c>
      <c r="JP29">
        <v>2.2717299999999998</v>
      </c>
      <c r="JQ29">
        <v>1.4477500000000001</v>
      </c>
      <c r="JR29">
        <v>2.4108900000000002</v>
      </c>
      <c r="JS29">
        <v>39.043599999999998</v>
      </c>
      <c r="JT29">
        <v>14.438499999999999</v>
      </c>
      <c r="JU29">
        <v>18</v>
      </c>
      <c r="JV29">
        <v>541.14499999999998</v>
      </c>
      <c r="JW29">
        <v>454.85899999999998</v>
      </c>
      <c r="JX29">
        <v>25.605499999999999</v>
      </c>
      <c r="JY29">
        <v>34.910400000000003</v>
      </c>
      <c r="JZ29">
        <v>30.000699999999998</v>
      </c>
      <c r="KA29">
        <v>35.2485</v>
      </c>
      <c r="KB29">
        <v>35.3035</v>
      </c>
      <c r="KC29">
        <v>21.928699999999999</v>
      </c>
      <c r="KD29">
        <v>27.759499999999999</v>
      </c>
      <c r="KE29">
        <v>23.339600000000001</v>
      </c>
      <c r="KF29">
        <v>25.605399999999999</v>
      </c>
      <c r="KG29">
        <v>417.07600000000002</v>
      </c>
      <c r="KH29">
        <v>25.648299999999999</v>
      </c>
      <c r="KI29">
        <v>100.065</v>
      </c>
      <c r="KJ29">
        <v>98.315100000000001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31DA-033C-4E31-ACF1-11247CB4BC02}">
  <dimension ref="A2:KJ29"/>
  <sheetViews>
    <sheetView workbookViewId="0">
      <selection sqref="A1:XFD104857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1784648876.5999999</v>
      </c>
      <c r="C17">
        <v>0</v>
      </c>
      <c r="D17" t="s">
        <v>791</v>
      </c>
      <c r="E17" t="s">
        <v>792</v>
      </c>
      <c r="F17">
        <v>15</v>
      </c>
      <c r="H17">
        <v>1784648868.599999</v>
      </c>
      <c r="I17">
        <f t="shared" ref="I17:I29" si="0">(J17)/1000</f>
        <v>3.7098248855226938E-3</v>
      </c>
      <c r="J17">
        <f t="shared" ref="J17:J29" si="1">IF(DO17, AM17, AG17)</f>
        <v>3.7098248855226936</v>
      </c>
      <c r="K17">
        <f t="shared" ref="K17:K29" si="2">IF(DO17, AH17, AF17)</f>
        <v>43.436390172091258</v>
      </c>
      <c r="L17">
        <f t="shared" ref="L17:L29" si="3">DQ17 - IF(AT17&gt;1, K17*DK17*100/(AV17), 0)</f>
        <v>419.42964516129041</v>
      </c>
      <c r="M17">
        <f t="shared" ref="M17:M29" si="4">((S17-I17/2)*L17-K17)/(S17+I17/2)</f>
        <v>140.86517109542109</v>
      </c>
      <c r="N17">
        <f t="shared" ref="N17:N29" si="5">M17*(DX17+DY17)/1000</f>
        <v>13.780422503337544</v>
      </c>
      <c r="O17">
        <f t="shared" ref="O17:O29" si="6">(DQ17 - IF(AT17&gt;1, K17*DK17*100/(AV17), 0))*(DX17+DY17)/1000</f>
        <v>41.031560007350933</v>
      </c>
      <c r="P17">
        <f t="shared" ref="P17:P29" si="7">2/((1/R17-1/Q17)+SIGN(R17)*SQRT((1/R17-1/Q17)*(1/R17-1/Q17) + 4*DL17/((DL17+1)*(DL17+1))*(2*1/R17*1/Q17-1/Q17*1/Q17)))</f>
        <v>0.26662780284436871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2.8904843013821915</v>
      </c>
      <c r="R17">
        <f t="shared" ref="R17:R29" si="9">I17*(1000-(1000*0.61365*EXP(17.502*V17/(240.97+V17))/(DX17+DY17)+DS17)/2)/(1000*0.61365*EXP(17.502*V17/(240.97+V17))/(DX17+DY17)-DS17)</f>
        <v>0.2536789013600248</v>
      </c>
      <c r="S17">
        <f t="shared" ref="S17:S29" si="10">1/((DL17+1)/(P17/1.6)+1/(Q17/1.37)) + DL17/((DL17+1)/(P17/1.6) + DL17/(Q17/1.37))</f>
        <v>0.15966030179377361</v>
      </c>
      <c r="T17">
        <f t="shared" ref="T17:T29" si="11">(DG17*DJ17)</f>
        <v>319.77508797051451</v>
      </c>
      <c r="U17">
        <f t="shared" ref="U17:U29" si="12">(DZ17+(T17+2*0.95*0.0000000567*(((DZ17+$B$7)+273)^4-(DZ17+273)^4)-44100*I17)/(1.84*29.3*Q17+8*0.95*0.0000000567*(DZ17+273)^3))</f>
        <v>28.640804454569544</v>
      </c>
      <c r="V17">
        <f t="shared" ref="V17:V29" si="13">($C$7*EA17+$D$7*EB17+$E$7*U17)</f>
        <v>27.980532258064521</v>
      </c>
      <c r="W17">
        <f t="shared" ref="W17:W29" si="14">0.61365*EXP(17.502*V17/(240.97+V17))</f>
        <v>3.7905350380724108</v>
      </c>
      <c r="X17">
        <f t="shared" ref="X17:X29" si="15">(Y17/Z17*100)</f>
        <v>64.467641545847414</v>
      </c>
      <c r="Y17">
        <f t="shared" ref="Y17:Y29" si="16">DS17*(DX17+DY17)/1000</f>
        <v>2.4052064923073107</v>
      </c>
      <c r="Z17">
        <f t="shared" ref="Z17:Z29" si="17">0.61365*EXP(17.502*DZ17/(240.97+DZ17))</f>
        <v>3.7308740239811642</v>
      </c>
      <c r="AA17">
        <f t="shared" ref="AA17:AA29" si="18">(W17-DS17*(DX17+DY17)/1000)</f>
        <v>1.3853285457651001</v>
      </c>
      <c r="AB17">
        <f t="shared" ref="AB17:AB29" si="19">(-I17*44100)</f>
        <v>-163.60327745155081</v>
      </c>
      <c r="AC17">
        <f t="shared" ref="AC17:AC29" si="20">2*29.3*Q17*0.92*(DZ17-V17)</f>
        <v>-42.358599210881152</v>
      </c>
      <c r="AD17">
        <f t="shared" ref="AD17:AD29" si="21">2*0.95*0.0000000567*(((DZ17+$B$7)+273)^4-(V17+273)^4)</f>
        <v>-3.1894002470546861</v>
      </c>
      <c r="AE17">
        <f t="shared" ref="AE17:AE29" si="22">T17+AD17+AB17+AC17</f>
        <v>110.62381106102788</v>
      </c>
      <c r="AF17">
        <f t="shared" ref="AF17:AF29" si="23">DW17*AT17*(DR17-DQ17*(1000-AT17*DT17)/(1000-AT17*DS17))/(100*DK17)</f>
        <v>43.436390172091258</v>
      </c>
      <c r="AG17">
        <f t="shared" ref="AG17:AG29" si="24">1000*DW17*AT17*(DS17-DT17)/(100*DK17*(1000-AT17*DS17))</f>
        <v>3.7098248855226936</v>
      </c>
      <c r="AH17">
        <f t="shared" ref="AH17:AH29" si="25">(AI17 - AJ17 - DX17*1000/(8.314*(DZ17+273.15)) * AL17/DW17 * AK17) * DW17/(100*DK17) * (1000 - DT17)/1000</f>
        <v>43.234355653919046</v>
      </c>
      <c r="AI17">
        <v>483.24562625484691</v>
      </c>
      <c r="AJ17">
        <v>430.30036363636361</v>
      </c>
      <c r="AK17">
        <v>-1.0279602871027401E-3</v>
      </c>
      <c r="AL17">
        <v>67.032973495376098</v>
      </c>
      <c r="AM17">
        <f t="shared" ref="AM17:AM29" si="26">(AO17 - AN17 + DX17*1000/(8.314*(DZ17+273.15)) * AQ17/DW17 * AP17) * DW17/(100*DK17) * 1000/(1000 - AO17)</f>
        <v>3.656394586887969</v>
      </c>
      <c r="AN17">
        <v>20.35288969286691</v>
      </c>
      <c r="AO17">
        <v>24.628307878787869</v>
      </c>
      <c r="AP17">
        <v>6.5332878156315025E-4</v>
      </c>
      <c r="AQ17">
        <v>78.051439752164086</v>
      </c>
      <c r="AR17">
        <v>87</v>
      </c>
      <c r="AS17">
        <v>17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51586.294070517804</v>
      </c>
      <c r="AW17" t="s">
        <v>789</v>
      </c>
      <c r="AX17">
        <v>5085.58</v>
      </c>
      <c r="AY17">
        <v>606.51470588235293</v>
      </c>
      <c r="AZ17">
        <v>2594.25</v>
      </c>
      <c r="BA17">
        <f t="shared" ref="BA17:BA29" si="30">1-AY17/AZ17</f>
        <v>0.7662080732842429</v>
      </c>
      <c r="BB17">
        <v>-2.3708319431283411</v>
      </c>
      <c r="BC17" t="s">
        <v>793</v>
      </c>
      <c r="BD17">
        <v>5073.25</v>
      </c>
      <c r="BE17">
        <v>889.2297647058823</v>
      </c>
      <c r="BF17">
        <v>1047.1199999999999</v>
      </c>
      <c r="BG17">
        <f t="shared" ref="BG17:BG29" si="31">1-BE17/BF17</f>
        <v>0.15078523501997632</v>
      </c>
      <c r="BH17">
        <v>0.5</v>
      </c>
      <c r="BI17">
        <f t="shared" ref="BI17:BI29" si="32">DH17</f>
        <v>1680.2903999847224</v>
      </c>
      <c r="BJ17">
        <f t="shared" ref="BJ17:BJ29" si="33">K17</f>
        <v>43.436390172091258</v>
      </c>
      <c r="BK17">
        <f t="shared" ref="BK17:BK29" si="34">BG17*BH17*BI17</f>
        <v>126.68149143175319</v>
      </c>
      <c r="BL17">
        <f t="shared" ref="BL17:BL29" si="35">(BJ17-BB17)/BI17</f>
        <v>2.7261491296763994E-2</v>
      </c>
      <c r="BM17">
        <f t="shared" ref="BM17:BM29" si="36">(AZ17-BF17)/BF17</f>
        <v>1.4775097410038966</v>
      </c>
      <c r="BN17">
        <f t="shared" ref="BN17:BN29" si="37">AY17/(BA17+AY17/BF17)</f>
        <v>450.79623162241188</v>
      </c>
      <c r="BO17" t="s">
        <v>408</v>
      </c>
      <c r="BP17">
        <v>0</v>
      </c>
      <c r="BQ17">
        <f t="shared" ref="BQ17:BQ29" si="38">IF(BP17&lt;&gt;0, BP17, BN17)</f>
        <v>450.79623162241188</v>
      </c>
      <c r="BR17">
        <f t="shared" ref="BR17:BR29" si="39">1-BQ17/BF17</f>
        <v>0.56948942659636725</v>
      </c>
      <c r="BS17">
        <f t="shared" ref="BS17:BS29" si="40">(BF17-BE17)/(BF17-BQ17)</f>
        <v>0.26477266824981321</v>
      </c>
      <c r="BT17">
        <f t="shared" ref="BT17:BT29" si="41">(AZ17-BF17)/(AZ17-BQ17)</f>
        <v>0.72179303459903676</v>
      </c>
      <c r="BU17">
        <f t="shared" ref="BU17:BU29" si="42">(BF17-BE17)/(BF17-AY17)</f>
        <v>0.35834847515917267</v>
      </c>
      <c r="BV17">
        <f t="shared" ref="BV17:BV29" si="43">(AZ17-BF17)/(AZ17-AY17)</f>
        <v>0.77833804359084391</v>
      </c>
      <c r="BW17">
        <f t="shared" ref="BW17:BW29" si="44">(BS17*BQ17/BE17)</f>
        <v>0.13422686219135424</v>
      </c>
      <c r="BX17">
        <f t="shared" ref="BX17:BX29" si="45">(1-BW17)</f>
        <v>0.86577313780864573</v>
      </c>
      <c r="DG17">
        <f t="shared" ref="DG17:DG29" si="46">$B$11*EF17+$C$11*EG17+$F$11*ER17*(1-EU17)</f>
        <v>1999.99</v>
      </c>
      <c r="DH17">
        <f t="shared" ref="DH17:DH29" si="47">DG17*DI17</f>
        <v>1680.2903999847224</v>
      </c>
      <c r="DI17">
        <f t="shared" ref="DI17:DI29" si="48">($B$11*$D$9+$C$11*$D$9+$F$11*((FE17+EW17)/MAX(FE17+EW17+FF17, 0.1)*$I$9+FF17/MAX(FE17+EW17+FF17, 0.1)*$J$9))/($B$11+$C$11+$F$11)</f>
        <v>0.84014940073936484</v>
      </c>
      <c r="DJ17">
        <f t="shared" ref="DJ17:DJ29" si="49">($B$11*$K$9+$C$11*$K$9+$F$11*((FE17+EW17)/MAX(FE17+EW17+FF17, 0.1)*$P$9+FF17/MAX(FE17+EW17+FF17, 0.1)*$Q$9))/($B$11+$C$11+$F$11)</f>
        <v>0.15988834342697439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1784648868.599999</v>
      </c>
      <c r="DQ17">
        <v>419.42964516129041</v>
      </c>
      <c r="DR17">
        <v>473.41790322580641</v>
      </c>
      <c r="DS17">
        <v>24.586316129032259</v>
      </c>
      <c r="DT17">
        <v>20.24419032258065</v>
      </c>
      <c r="DU17">
        <v>426.83064516129042</v>
      </c>
      <c r="DV17">
        <v>25.449316129032258</v>
      </c>
      <c r="DW17">
        <v>500.02429032258073</v>
      </c>
      <c r="DX17">
        <v>97.777093548387114</v>
      </c>
      <c r="DY17">
        <v>4.9944861290322592E-2</v>
      </c>
      <c r="DZ17">
        <v>27.70870967741935</v>
      </c>
      <c r="EA17">
        <v>27.980532258064521</v>
      </c>
      <c r="EB17">
        <v>999.90000000000032</v>
      </c>
      <c r="EC17">
        <v>0</v>
      </c>
      <c r="ED17">
        <v>0</v>
      </c>
      <c r="EE17">
        <v>10001.290322580649</v>
      </c>
      <c r="EF17">
        <v>0</v>
      </c>
      <c r="EG17">
        <v>1134.410580645161</v>
      </c>
      <c r="EH17">
        <v>-53.690716129032253</v>
      </c>
      <c r="EI17">
        <v>430.31693548387102</v>
      </c>
      <c r="EJ17">
        <v>483.19987096774202</v>
      </c>
      <c r="EK17">
        <v>4.3650977419354833</v>
      </c>
      <c r="EL17">
        <v>473.41790322580641</v>
      </c>
      <c r="EM17">
        <v>20.24419032258065</v>
      </c>
      <c r="EN17">
        <v>2.406224193548387</v>
      </c>
      <c r="EO17">
        <v>1.9794187096774201</v>
      </c>
      <c r="EP17">
        <v>20.405729032258069</v>
      </c>
      <c r="EQ17">
        <v>17.28055483870968</v>
      </c>
      <c r="ER17">
        <v>1999.99</v>
      </c>
      <c r="ES17">
        <v>0.9950059032258064</v>
      </c>
      <c r="ET17">
        <v>4.994432258064516E-3</v>
      </c>
      <c r="EU17">
        <v>0</v>
      </c>
      <c r="EV17">
        <v>889.35796774193545</v>
      </c>
      <c r="EW17">
        <v>5.0010700000000003</v>
      </c>
      <c r="EX17">
        <v>22843.54516129032</v>
      </c>
      <c r="EY17">
        <v>18241.567741935491</v>
      </c>
      <c r="EZ17">
        <v>44.001870967741922</v>
      </c>
      <c r="FA17">
        <v>45.642999999999979</v>
      </c>
      <c r="FB17">
        <v>44.65499999999998</v>
      </c>
      <c r="FC17">
        <v>45.193096774193528</v>
      </c>
      <c r="FD17">
        <v>44.971548387096767</v>
      </c>
      <c r="FE17">
        <v>1985.029032258064</v>
      </c>
      <c r="FF17">
        <v>9.9599999999999973</v>
      </c>
      <c r="FG17">
        <v>0</v>
      </c>
      <c r="FH17">
        <v>1920.900000095367</v>
      </c>
      <c r="FI17">
        <v>0</v>
      </c>
      <c r="FJ17">
        <v>889.2297647058823</v>
      </c>
      <c r="FK17">
        <v>-4.0909313743684192</v>
      </c>
      <c r="FL17">
        <v>-21.078432925034729</v>
      </c>
      <c r="FM17">
        <v>22846.799999999999</v>
      </c>
      <c r="FN17">
        <v>10</v>
      </c>
      <c r="FO17">
        <v>1784648907.5999999</v>
      </c>
      <c r="FP17" t="s">
        <v>794</v>
      </c>
      <c r="FQ17">
        <v>1784648907.5999999</v>
      </c>
      <c r="FR17">
        <v>1784648902.0999999</v>
      </c>
      <c r="FS17">
        <v>14</v>
      </c>
      <c r="FT17">
        <v>-9.9000000000000005E-2</v>
      </c>
      <c r="FU17">
        <v>9.1999999999999998E-2</v>
      </c>
      <c r="FV17">
        <v>-7.4009999999999998</v>
      </c>
      <c r="FW17">
        <v>-0.86299999999999999</v>
      </c>
      <c r="FX17">
        <v>474</v>
      </c>
      <c r="FY17">
        <v>20</v>
      </c>
      <c r="FZ17">
        <v>0.19</v>
      </c>
      <c r="GA17">
        <v>0.06</v>
      </c>
      <c r="GB17">
        <v>419.7299666666666</v>
      </c>
      <c r="GC17">
        <v>0.19170634037846779</v>
      </c>
      <c r="GD17">
        <v>5.7016069859492882E-2</v>
      </c>
      <c r="GE17">
        <v>-1</v>
      </c>
      <c r="GF17">
        <v>889.5068235294118</v>
      </c>
      <c r="GG17">
        <v>-3.159205501675606</v>
      </c>
      <c r="GH17">
        <v>0.39176602190204879</v>
      </c>
      <c r="GI17">
        <v>1</v>
      </c>
      <c r="GJ17">
        <v>4.3823074999999996</v>
      </c>
      <c r="GK17">
        <v>-0.65568585365854115</v>
      </c>
      <c r="GL17">
        <v>7.2455634106327424E-2</v>
      </c>
      <c r="GM17">
        <v>0</v>
      </c>
      <c r="GN17">
        <v>1</v>
      </c>
      <c r="GO17">
        <v>2</v>
      </c>
      <c r="GP17" t="s">
        <v>411</v>
      </c>
      <c r="GQ17">
        <v>3.1309900000000002</v>
      </c>
      <c r="GR17">
        <v>2.7263999999999999</v>
      </c>
      <c r="GS17">
        <v>9.0872400000000006E-2</v>
      </c>
      <c r="GT17">
        <v>9.9005399999999993E-2</v>
      </c>
      <c r="GU17">
        <v>0.11581900000000001</v>
      </c>
      <c r="GV17">
        <v>9.9149600000000004E-2</v>
      </c>
      <c r="GW17">
        <v>22648.2</v>
      </c>
      <c r="GX17">
        <v>30104.6</v>
      </c>
      <c r="GY17">
        <v>27038</v>
      </c>
      <c r="GZ17">
        <v>34380.400000000001</v>
      </c>
      <c r="HA17">
        <v>35036.699999999997</v>
      </c>
      <c r="HB17">
        <v>39146.199999999997</v>
      </c>
      <c r="HC17">
        <v>39936.9</v>
      </c>
      <c r="HD17">
        <v>43528.800000000003</v>
      </c>
      <c r="HE17">
        <v>1.7394000000000001</v>
      </c>
      <c r="HF17">
        <v>1.734</v>
      </c>
      <c r="HG17">
        <v>-7.1942800000000001E-2</v>
      </c>
      <c r="HH17">
        <v>0</v>
      </c>
      <c r="HI17">
        <v>29.171900000000001</v>
      </c>
      <c r="HJ17">
        <v>999.9</v>
      </c>
      <c r="HK17">
        <v>55.7</v>
      </c>
      <c r="HL17">
        <v>37.299999999999997</v>
      </c>
      <c r="HM17">
        <v>36.5092</v>
      </c>
      <c r="HN17">
        <v>61.645899999999997</v>
      </c>
      <c r="HO17">
        <v>2.8765999999999998</v>
      </c>
      <c r="HP17">
        <v>1</v>
      </c>
      <c r="HQ17">
        <v>0.82514200000000004</v>
      </c>
      <c r="HR17">
        <v>5.7436600000000002</v>
      </c>
      <c r="HS17">
        <v>20.136700000000001</v>
      </c>
      <c r="HT17">
        <v>5.2100999999999997</v>
      </c>
      <c r="HU17">
        <v>11.914099999999999</v>
      </c>
      <c r="HV17">
        <v>4.9832000000000001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1.86774</v>
      </c>
      <c r="IC17">
        <v>1.8633999999999999</v>
      </c>
      <c r="ID17">
        <v>1.8627899999999999</v>
      </c>
      <c r="IE17">
        <v>1.8623400000000001</v>
      </c>
      <c r="IF17">
        <v>1.8623400000000001</v>
      </c>
      <c r="IG17">
        <v>1.8629500000000001</v>
      </c>
      <c r="IH17">
        <v>1.8638600000000001</v>
      </c>
      <c r="II17">
        <v>1.86178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-7.4009999999999998</v>
      </c>
      <c r="IX17">
        <v>-0.86299999999999999</v>
      </c>
      <c r="IY17">
        <v>-5.1126282668553884</v>
      </c>
      <c r="IZ17">
        <v>-5.6215304933332991E-3</v>
      </c>
      <c r="JA17">
        <v>2.3979931213773931E-6</v>
      </c>
      <c r="JB17">
        <v>-3.6297174575716598E-10</v>
      </c>
      <c r="JC17">
        <v>-1.272821212229984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33.1</v>
      </c>
      <c r="JL17">
        <v>33.200000000000003</v>
      </c>
      <c r="JM17">
        <v>1.2072799999999999</v>
      </c>
      <c r="JN17">
        <v>2.52563</v>
      </c>
      <c r="JO17">
        <v>1.50024</v>
      </c>
      <c r="JP17">
        <v>2.2680699999999998</v>
      </c>
      <c r="JQ17">
        <v>1.4477500000000001</v>
      </c>
      <c r="JR17">
        <v>2.4218799999999998</v>
      </c>
      <c r="JS17">
        <v>43.6173</v>
      </c>
      <c r="JT17">
        <v>23.833600000000001</v>
      </c>
      <c r="JU17">
        <v>18</v>
      </c>
      <c r="JV17">
        <v>424.87900000000002</v>
      </c>
      <c r="JW17">
        <v>426.83800000000002</v>
      </c>
      <c r="JX17">
        <v>23.2699</v>
      </c>
      <c r="JY17">
        <v>37.046100000000003</v>
      </c>
      <c r="JZ17">
        <v>30.0001</v>
      </c>
      <c r="KA17">
        <v>37.339599999999997</v>
      </c>
      <c r="KB17">
        <v>37.375100000000003</v>
      </c>
      <c r="KC17">
        <v>24.146799999999999</v>
      </c>
      <c r="KD17">
        <v>46.392000000000003</v>
      </c>
      <c r="KE17">
        <v>38.999200000000002</v>
      </c>
      <c r="KF17">
        <v>23.2669</v>
      </c>
      <c r="KG17">
        <v>473.67500000000001</v>
      </c>
      <c r="KH17">
        <v>20.366099999999999</v>
      </c>
      <c r="KI17">
        <v>99.802700000000002</v>
      </c>
      <c r="KJ17">
        <v>98.026399999999995</v>
      </c>
    </row>
    <row r="18" spans="1:296" x14ac:dyDescent="0.3">
      <c r="A18">
        <v>2</v>
      </c>
      <c r="B18">
        <v>1784649088.5999999</v>
      </c>
      <c r="C18">
        <v>212</v>
      </c>
      <c r="D18" t="s">
        <v>795</v>
      </c>
      <c r="E18" t="s">
        <v>796</v>
      </c>
      <c r="F18">
        <v>15</v>
      </c>
      <c r="H18">
        <v>1784649080.849999</v>
      </c>
      <c r="I18">
        <f t="shared" si="0"/>
        <v>3.4057387886714894E-3</v>
      </c>
      <c r="J18">
        <f t="shared" si="1"/>
        <v>3.4057387886714894</v>
      </c>
      <c r="K18">
        <f t="shared" si="2"/>
        <v>42.007007994357551</v>
      </c>
      <c r="L18">
        <f t="shared" si="3"/>
        <v>420.03266666666673</v>
      </c>
      <c r="M18">
        <f t="shared" si="4"/>
        <v>134.93256762163193</v>
      </c>
      <c r="N18">
        <f t="shared" si="5"/>
        <v>13.200274890829277</v>
      </c>
      <c r="O18">
        <f t="shared" si="6"/>
        <v>41.091241061058575</v>
      </c>
      <c r="P18">
        <f t="shared" si="7"/>
        <v>0.25097299079495178</v>
      </c>
      <c r="Q18">
        <f t="shared" si="8"/>
        <v>2.8907488489232258</v>
      </c>
      <c r="R18">
        <f t="shared" si="9"/>
        <v>0.23946575518448124</v>
      </c>
      <c r="S18">
        <f t="shared" si="10"/>
        <v>0.15065600275348451</v>
      </c>
      <c r="T18">
        <f t="shared" si="11"/>
        <v>271.90544129321273</v>
      </c>
      <c r="U18">
        <f t="shared" si="12"/>
        <v>28.583436818051084</v>
      </c>
      <c r="V18">
        <f t="shared" si="13"/>
        <v>27.99682</v>
      </c>
      <c r="W18">
        <f t="shared" si="14"/>
        <v>3.7941362373559619</v>
      </c>
      <c r="X18">
        <f t="shared" si="15"/>
        <v>65.026515587224196</v>
      </c>
      <c r="Y18">
        <f t="shared" si="16"/>
        <v>2.4471762613835386</v>
      </c>
      <c r="Z18">
        <f t="shared" si="17"/>
        <v>3.7633513641077472</v>
      </c>
      <c r="AA18">
        <f t="shared" si="18"/>
        <v>1.3469599759724233</v>
      </c>
      <c r="AB18">
        <f t="shared" si="19"/>
        <v>-150.19308058041267</v>
      </c>
      <c r="AC18">
        <f t="shared" si="20"/>
        <v>-21.76753756173904</v>
      </c>
      <c r="AD18">
        <f t="shared" si="21"/>
        <v>-1.6401877612785898</v>
      </c>
      <c r="AE18">
        <f t="shared" si="22"/>
        <v>98.304635389782447</v>
      </c>
      <c r="AF18">
        <f t="shared" si="23"/>
        <v>42.007007994357551</v>
      </c>
      <c r="AG18">
        <f t="shared" si="24"/>
        <v>3.4057387886714894</v>
      </c>
      <c r="AH18">
        <f t="shared" si="25"/>
        <v>42.089992743504965</v>
      </c>
      <c r="AI18">
        <v>482.337208958102</v>
      </c>
      <c r="AJ18">
        <v>430.8200121212119</v>
      </c>
      <c r="AK18">
        <v>-1.392686681092087E-2</v>
      </c>
      <c r="AL18">
        <v>67.094825571382941</v>
      </c>
      <c r="AM18">
        <f t="shared" si="26"/>
        <v>3.348723612089668</v>
      </c>
      <c r="AN18">
        <v>21.051495603820811</v>
      </c>
      <c r="AO18">
        <v>25.00139696969697</v>
      </c>
      <c r="AP18">
        <v>-5.2519688678967823E-3</v>
      </c>
      <c r="AQ18">
        <v>78.253245320952871</v>
      </c>
      <c r="AR18">
        <v>80</v>
      </c>
      <c r="AS18">
        <v>16</v>
      </c>
      <c r="AT18">
        <f t="shared" si="27"/>
        <v>1</v>
      </c>
      <c r="AU18">
        <f t="shared" si="28"/>
        <v>0</v>
      </c>
      <c r="AV18">
        <f t="shared" si="29"/>
        <v>51568.385911623671</v>
      </c>
      <c r="AW18" t="s">
        <v>789</v>
      </c>
      <c r="AX18">
        <v>5085.58</v>
      </c>
      <c r="AY18">
        <v>606.51470588235293</v>
      </c>
      <c r="AZ18">
        <v>2594.25</v>
      </c>
      <c r="BA18">
        <f t="shared" si="30"/>
        <v>0.7662080732842429</v>
      </c>
      <c r="BB18">
        <v>-2.3708319431283411</v>
      </c>
      <c r="BC18" t="s">
        <v>797</v>
      </c>
      <c r="BD18">
        <v>5072.51</v>
      </c>
      <c r="BE18">
        <v>865.92705882352948</v>
      </c>
      <c r="BF18">
        <v>1064.8</v>
      </c>
      <c r="BG18">
        <f t="shared" si="31"/>
        <v>0.1867702302558889</v>
      </c>
      <c r="BH18">
        <v>0.5</v>
      </c>
      <c r="BI18">
        <f t="shared" si="32"/>
        <v>1428.2871816027011</v>
      </c>
      <c r="BJ18">
        <f t="shared" si="33"/>
        <v>42.007007994357551</v>
      </c>
      <c r="BK18">
        <f t="shared" si="34"/>
        <v>133.38076288973556</v>
      </c>
      <c r="BL18">
        <f t="shared" si="35"/>
        <v>3.1070670176910009E-2</v>
      </c>
      <c r="BM18">
        <f t="shared" si="36"/>
        <v>1.4363730277986477</v>
      </c>
      <c r="BN18">
        <f t="shared" si="37"/>
        <v>454.04182343852477</v>
      </c>
      <c r="BO18" t="s">
        <v>408</v>
      </c>
      <c r="BP18">
        <v>0</v>
      </c>
      <c r="BQ18">
        <f t="shared" si="38"/>
        <v>454.04182343852477</v>
      </c>
      <c r="BR18">
        <f t="shared" si="39"/>
        <v>0.57358957227786922</v>
      </c>
      <c r="BS18">
        <f t="shared" si="40"/>
        <v>0.32561650225644279</v>
      </c>
      <c r="BT18">
        <f t="shared" si="41"/>
        <v>0.71462674367372137</v>
      </c>
      <c r="BU18">
        <f t="shared" si="42"/>
        <v>0.43395008246853661</v>
      </c>
      <c r="BV18">
        <f t="shared" si="43"/>
        <v>0.76944349910480447</v>
      </c>
      <c r="BW18">
        <f t="shared" si="44"/>
        <v>0.17073436950573384</v>
      </c>
      <c r="BX18">
        <f t="shared" si="45"/>
        <v>0.82926563049426616</v>
      </c>
      <c r="DG18">
        <f t="shared" si="46"/>
        <v>1699.9786666666671</v>
      </c>
      <c r="DH18">
        <f t="shared" si="47"/>
        <v>1428.2871816027011</v>
      </c>
      <c r="DI18">
        <f t="shared" si="48"/>
        <v>0.84017947378322044</v>
      </c>
      <c r="DJ18">
        <f t="shared" si="49"/>
        <v>0.15994638440161563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1784649080.849999</v>
      </c>
      <c r="DQ18">
        <v>420.03266666666673</v>
      </c>
      <c r="DR18">
        <v>472.15486666666669</v>
      </c>
      <c r="DS18">
        <v>25.014916666666661</v>
      </c>
      <c r="DT18">
        <v>21.030480000000001</v>
      </c>
      <c r="DU18">
        <v>427.22199999999998</v>
      </c>
      <c r="DV18">
        <v>25.759209999999999</v>
      </c>
      <c r="DW18">
        <v>500.02719999999988</v>
      </c>
      <c r="DX18">
        <v>97.778493333333373</v>
      </c>
      <c r="DY18">
        <v>5.0186010000000003E-2</v>
      </c>
      <c r="DZ18">
        <v>27.857146666666669</v>
      </c>
      <c r="EA18">
        <v>27.99682</v>
      </c>
      <c r="EB18">
        <v>999.9000000000002</v>
      </c>
      <c r="EC18">
        <v>0</v>
      </c>
      <c r="ED18">
        <v>0</v>
      </c>
      <c r="EE18">
        <v>10002.66666666667</v>
      </c>
      <c r="EF18">
        <v>0</v>
      </c>
      <c r="EG18">
        <v>1438.4616666666659</v>
      </c>
      <c r="EH18">
        <v>-52.122196666666667</v>
      </c>
      <c r="EI18">
        <v>430.80919999999992</v>
      </c>
      <c r="EJ18">
        <v>482.29786666666672</v>
      </c>
      <c r="EK18">
        <v>3.9844429999999988</v>
      </c>
      <c r="EL18">
        <v>472.15486666666669</v>
      </c>
      <c r="EM18">
        <v>21.030480000000001</v>
      </c>
      <c r="EN18">
        <v>2.445921666666667</v>
      </c>
      <c r="EO18">
        <v>2.0563276666666672</v>
      </c>
      <c r="EP18">
        <v>20.671056666666669</v>
      </c>
      <c r="EQ18">
        <v>17.884863333333328</v>
      </c>
      <c r="ER18">
        <v>1699.9786666666671</v>
      </c>
      <c r="ES18">
        <v>0.99399690000000007</v>
      </c>
      <c r="ET18">
        <v>6.0027840000000006E-3</v>
      </c>
      <c r="EU18">
        <v>0</v>
      </c>
      <c r="EV18">
        <v>866.03246666666678</v>
      </c>
      <c r="EW18">
        <v>5.0010700000000003</v>
      </c>
      <c r="EX18">
        <v>19267.946666666659</v>
      </c>
      <c r="EY18">
        <v>15492.306666666669</v>
      </c>
      <c r="EZ18">
        <v>44.566199999999981</v>
      </c>
      <c r="FA18">
        <v>46.405999999999977</v>
      </c>
      <c r="FB18">
        <v>45.445399999999992</v>
      </c>
      <c r="FC18">
        <v>45.8645</v>
      </c>
      <c r="FD18">
        <v>45.620800000000003</v>
      </c>
      <c r="FE18">
        <v>1684.798666666667</v>
      </c>
      <c r="FF18">
        <v>10.17</v>
      </c>
      <c r="FG18">
        <v>0</v>
      </c>
      <c r="FH18">
        <v>211.4000000953674</v>
      </c>
      <c r="FI18">
        <v>0</v>
      </c>
      <c r="FJ18">
        <v>865.92705882352948</v>
      </c>
      <c r="FK18">
        <v>-3.1289215877143528</v>
      </c>
      <c r="FL18">
        <v>-163.57843037687729</v>
      </c>
      <c r="FM18">
        <v>19247.405882352941</v>
      </c>
      <c r="FN18">
        <v>10</v>
      </c>
      <c r="FO18">
        <v>1784648995.5999999</v>
      </c>
      <c r="FP18" t="s">
        <v>798</v>
      </c>
      <c r="FQ18">
        <v>1784648988.5999999</v>
      </c>
      <c r="FR18">
        <v>1784648995.5999999</v>
      </c>
      <c r="FS18">
        <v>15</v>
      </c>
      <c r="FT18">
        <v>1.4999999999999999E-2</v>
      </c>
      <c r="FU18">
        <v>-5.0000000000000001E-3</v>
      </c>
      <c r="FV18">
        <v>-7.3840000000000003</v>
      </c>
      <c r="FW18">
        <v>-0.86099999999999999</v>
      </c>
      <c r="FX18">
        <v>473</v>
      </c>
      <c r="FY18">
        <v>21</v>
      </c>
      <c r="FZ18">
        <v>0.17</v>
      </c>
      <c r="GA18">
        <v>0.05</v>
      </c>
      <c r="GB18">
        <v>420.03266666666673</v>
      </c>
      <c r="GC18">
        <v>0.37545717463832362</v>
      </c>
      <c r="GD18">
        <v>6.9156505277678998E-2</v>
      </c>
      <c r="GE18">
        <v>-1</v>
      </c>
      <c r="GF18">
        <v>866.17723529411774</v>
      </c>
      <c r="GG18">
        <v>-2.8067838034245511</v>
      </c>
      <c r="GH18">
        <v>0.36690983495896912</v>
      </c>
      <c r="GI18">
        <v>1</v>
      </c>
      <c r="GJ18">
        <v>3.983098</v>
      </c>
      <c r="GK18">
        <v>-6.4875422138845298E-2</v>
      </c>
      <c r="GL18">
        <v>2.0384062916896609E-2</v>
      </c>
      <c r="GM18">
        <v>1</v>
      </c>
      <c r="GN18">
        <v>2</v>
      </c>
      <c r="GO18">
        <v>2</v>
      </c>
      <c r="GP18" t="s">
        <v>424</v>
      </c>
      <c r="GQ18">
        <v>3.1308199999999999</v>
      </c>
      <c r="GR18">
        <v>2.7267000000000001</v>
      </c>
      <c r="GS18">
        <v>9.0901300000000004E-2</v>
      </c>
      <c r="GT18">
        <v>9.8669199999999999E-2</v>
      </c>
      <c r="GU18">
        <v>0.11668199999999999</v>
      </c>
      <c r="GV18">
        <v>0.101428</v>
      </c>
      <c r="GW18">
        <v>22643.3</v>
      </c>
      <c r="GX18">
        <v>30109.599999999999</v>
      </c>
      <c r="GY18">
        <v>27033.200000000001</v>
      </c>
      <c r="GZ18">
        <v>34373.5</v>
      </c>
      <c r="HA18">
        <v>34997.599999999999</v>
      </c>
      <c r="HB18">
        <v>39041.599999999999</v>
      </c>
      <c r="HC18">
        <v>39930.699999999997</v>
      </c>
      <c r="HD18">
        <v>43522.2</v>
      </c>
      <c r="HE18">
        <v>1.7527999999999999</v>
      </c>
      <c r="HF18">
        <v>1.7310000000000001</v>
      </c>
      <c r="HG18">
        <v>-7.7426400000000006E-2</v>
      </c>
      <c r="HH18">
        <v>0</v>
      </c>
      <c r="HI18">
        <v>29.254799999999999</v>
      </c>
      <c r="HJ18">
        <v>999.9</v>
      </c>
      <c r="HK18">
        <v>52.4</v>
      </c>
      <c r="HL18">
        <v>37.700000000000003</v>
      </c>
      <c r="HM18">
        <v>35.098700000000001</v>
      </c>
      <c r="HN18">
        <v>61.716000000000001</v>
      </c>
      <c r="HO18">
        <v>2.7684299999999999</v>
      </c>
      <c r="HP18">
        <v>1</v>
      </c>
      <c r="HQ18">
        <v>0.83292699999999997</v>
      </c>
      <c r="HR18">
        <v>5.8608500000000001</v>
      </c>
      <c r="HS18">
        <v>20.1343</v>
      </c>
      <c r="HT18">
        <v>5.2053099999999999</v>
      </c>
      <c r="HU18">
        <v>11.914099999999999</v>
      </c>
      <c r="HV18">
        <v>4.9836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1.86771</v>
      </c>
      <c r="IC18">
        <v>1.8633999999999999</v>
      </c>
      <c r="ID18">
        <v>1.8628199999999999</v>
      </c>
      <c r="IE18">
        <v>1.8623700000000001</v>
      </c>
      <c r="IF18">
        <v>1.8623700000000001</v>
      </c>
      <c r="IG18">
        <v>1.8629500000000001</v>
      </c>
      <c r="IH18">
        <v>1.8638600000000001</v>
      </c>
      <c r="II18">
        <v>1.86188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-7.1890000000000001</v>
      </c>
      <c r="IX18">
        <v>-0.74470000000000003</v>
      </c>
      <c r="IY18">
        <v>-5.1971279778582407</v>
      </c>
      <c r="IZ18">
        <v>-5.6215304933332991E-3</v>
      </c>
      <c r="JA18">
        <v>2.3979931213773931E-6</v>
      </c>
      <c r="JB18">
        <v>-3.6297174575716598E-10</v>
      </c>
      <c r="JC18">
        <v>-1.1859101212274501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1.7</v>
      </c>
      <c r="JL18">
        <v>1.6</v>
      </c>
      <c r="JM18">
        <v>1.2048300000000001</v>
      </c>
      <c r="JN18">
        <v>2.5354000000000001</v>
      </c>
      <c r="JO18">
        <v>1.50024</v>
      </c>
      <c r="JP18">
        <v>2.2692899999999998</v>
      </c>
      <c r="JQ18">
        <v>1.4477500000000001</v>
      </c>
      <c r="JR18">
        <v>2.4694799999999999</v>
      </c>
      <c r="JS18">
        <v>44.001899999999999</v>
      </c>
      <c r="JT18">
        <v>23.833600000000001</v>
      </c>
      <c r="JU18">
        <v>18</v>
      </c>
      <c r="JV18">
        <v>433.18599999999998</v>
      </c>
      <c r="JW18">
        <v>425.76499999999999</v>
      </c>
      <c r="JX18">
        <v>23.230699999999999</v>
      </c>
      <c r="JY18">
        <v>37.095599999999997</v>
      </c>
      <c r="JZ18">
        <v>29.9999</v>
      </c>
      <c r="KA18">
        <v>37.4499</v>
      </c>
      <c r="KB18">
        <v>37.5017</v>
      </c>
      <c r="KC18">
        <v>24.101900000000001</v>
      </c>
      <c r="KD18">
        <v>42.796399999999998</v>
      </c>
      <c r="KE18">
        <v>27.1084</v>
      </c>
      <c r="KF18">
        <v>23.241</v>
      </c>
      <c r="KG18">
        <v>472.178</v>
      </c>
      <c r="KH18">
        <v>21.122399999999999</v>
      </c>
      <c r="KI18">
        <v>99.786500000000004</v>
      </c>
      <c r="KJ18">
        <v>98.009399999999999</v>
      </c>
    </row>
    <row r="19" spans="1:296" x14ac:dyDescent="0.3">
      <c r="A19">
        <v>3</v>
      </c>
      <c r="B19">
        <v>1784649271.0999999</v>
      </c>
      <c r="C19">
        <v>394.5</v>
      </c>
      <c r="D19" t="s">
        <v>799</v>
      </c>
      <c r="E19" t="s">
        <v>800</v>
      </c>
      <c r="F19">
        <v>15</v>
      </c>
      <c r="H19">
        <v>1784649263.099999</v>
      </c>
      <c r="I19">
        <f t="shared" si="0"/>
        <v>3.2734069883087356E-3</v>
      </c>
      <c r="J19">
        <f t="shared" si="1"/>
        <v>3.2734069883087358</v>
      </c>
      <c r="K19">
        <f t="shared" si="2"/>
        <v>41.372702798745237</v>
      </c>
      <c r="L19">
        <f t="shared" si="3"/>
        <v>419.95080645161278</v>
      </c>
      <c r="M19">
        <f t="shared" si="4"/>
        <v>126.26979770132161</v>
      </c>
      <c r="N19">
        <f t="shared" si="5"/>
        <v>12.353674063753401</v>
      </c>
      <c r="O19">
        <f t="shared" si="6"/>
        <v>41.086114654156233</v>
      </c>
      <c r="P19">
        <f t="shared" si="7"/>
        <v>0.23931328100347074</v>
      </c>
      <c r="Q19">
        <f t="shared" si="8"/>
        <v>2.8907718172581127</v>
      </c>
      <c r="R19">
        <f t="shared" si="9"/>
        <v>0.2288264850069272</v>
      </c>
      <c r="S19">
        <f t="shared" si="10"/>
        <v>0.14392045352200375</v>
      </c>
      <c r="T19">
        <f t="shared" si="11"/>
        <v>255.91233786339347</v>
      </c>
      <c r="U19">
        <f t="shared" si="12"/>
        <v>28.560408216739653</v>
      </c>
      <c r="V19">
        <f t="shared" si="13"/>
        <v>28.023590322580649</v>
      </c>
      <c r="W19">
        <f t="shared" si="14"/>
        <v>3.8000616069568518</v>
      </c>
      <c r="X19">
        <f t="shared" si="15"/>
        <v>64.830925018324209</v>
      </c>
      <c r="Y19">
        <f t="shared" si="16"/>
        <v>2.4451749752907146</v>
      </c>
      <c r="Z19">
        <f t="shared" si="17"/>
        <v>3.7716182124496842</v>
      </c>
      <c r="AA19">
        <f t="shared" si="18"/>
        <v>1.3548866316661372</v>
      </c>
      <c r="AB19">
        <f t="shared" si="19"/>
        <v>-144.35724818441523</v>
      </c>
      <c r="AC19">
        <f t="shared" si="20"/>
        <v>-20.079163777640222</v>
      </c>
      <c r="AD19">
        <f t="shared" si="21"/>
        <v>-1.5134420048402755</v>
      </c>
      <c r="AE19">
        <f t="shared" si="22"/>
        <v>89.962483896497758</v>
      </c>
      <c r="AF19">
        <f t="shared" si="23"/>
        <v>41.372702798745237</v>
      </c>
      <c r="AG19">
        <f t="shared" si="24"/>
        <v>3.2734069883087358</v>
      </c>
      <c r="AH19">
        <f t="shared" si="25"/>
        <v>41.578745672772399</v>
      </c>
      <c r="AI19">
        <v>481.52026006714431</v>
      </c>
      <c r="AJ19">
        <v>430.66003030303023</v>
      </c>
      <c r="AK19">
        <v>-2.1370477561340431E-2</v>
      </c>
      <c r="AL19">
        <v>67.095038452815814</v>
      </c>
      <c r="AM19">
        <f t="shared" si="26"/>
        <v>3.2033476095198323</v>
      </c>
      <c r="AN19">
        <v>21.235257398025851</v>
      </c>
      <c r="AO19">
        <v>24.984098787878779</v>
      </c>
      <c r="AP19">
        <v>-1.5290057616000781E-4</v>
      </c>
      <c r="AQ19">
        <v>78.253805848818587</v>
      </c>
      <c r="AR19">
        <v>64</v>
      </c>
      <c r="AS19">
        <v>13</v>
      </c>
      <c r="AT19">
        <f t="shared" si="27"/>
        <v>1</v>
      </c>
      <c r="AU19">
        <f t="shared" si="28"/>
        <v>0</v>
      </c>
      <c r="AV19">
        <f t="shared" si="29"/>
        <v>51562.707357348088</v>
      </c>
      <c r="AW19" t="s">
        <v>789</v>
      </c>
      <c r="AX19">
        <v>5085.58</v>
      </c>
      <c r="AY19">
        <v>606.51470588235293</v>
      </c>
      <c r="AZ19">
        <v>2594.25</v>
      </c>
      <c r="BA19">
        <f t="shared" si="30"/>
        <v>0.7662080732842429</v>
      </c>
      <c r="BB19">
        <v>-2.3708319431283411</v>
      </c>
      <c r="BC19" t="s">
        <v>801</v>
      </c>
      <c r="BD19">
        <v>5070.4799999999996</v>
      </c>
      <c r="BE19">
        <v>857.18417647058834</v>
      </c>
      <c r="BF19">
        <v>1072.96</v>
      </c>
      <c r="BG19">
        <f t="shared" si="31"/>
        <v>0.2011033249416676</v>
      </c>
      <c r="BH19">
        <v>0.5</v>
      </c>
      <c r="BI19">
        <f t="shared" si="32"/>
        <v>1344.2756808585191</v>
      </c>
      <c r="BJ19">
        <f t="shared" si="33"/>
        <v>41.372702798745237</v>
      </c>
      <c r="BK19">
        <f t="shared" si="34"/>
        <v>135.1691545294361</v>
      </c>
      <c r="BL19">
        <f t="shared" si="35"/>
        <v>3.254059815612885E-2</v>
      </c>
      <c r="BM19">
        <f t="shared" si="36"/>
        <v>1.4178440948404414</v>
      </c>
      <c r="BN19">
        <f t="shared" si="37"/>
        <v>455.51902911494358</v>
      </c>
      <c r="BO19" t="s">
        <v>408</v>
      </c>
      <c r="BP19">
        <v>0</v>
      </c>
      <c r="BQ19">
        <f t="shared" si="38"/>
        <v>455.51902911494358</v>
      </c>
      <c r="BR19">
        <f t="shared" si="39"/>
        <v>0.57545572144819612</v>
      </c>
      <c r="BS19">
        <f t="shared" si="40"/>
        <v>0.34946793896769246</v>
      </c>
      <c r="BT19">
        <f t="shared" si="41"/>
        <v>0.71130498445555079</v>
      </c>
      <c r="BU19">
        <f t="shared" si="42"/>
        <v>0.46259620635166832</v>
      </c>
      <c r="BV19">
        <f t="shared" si="43"/>
        <v>0.76533832472663244</v>
      </c>
      <c r="BW19">
        <f t="shared" si="44"/>
        <v>0.18571189323724727</v>
      </c>
      <c r="BX19">
        <f t="shared" si="45"/>
        <v>0.81428810676275276</v>
      </c>
      <c r="DG19">
        <f t="shared" si="46"/>
        <v>1599.9861290322581</v>
      </c>
      <c r="DH19">
        <f t="shared" si="47"/>
        <v>1344.2756808585191</v>
      </c>
      <c r="DI19">
        <f t="shared" si="48"/>
        <v>0.8401795843515194</v>
      </c>
      <c r="DJ19">
        <f t="shared" si="49"/>
        <v>0.15994659779843248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1784649263.099999</v>
      </c>
      <c r="DQ19">
        <v>419.95080645161278</v>
      </c>
      <c r="DR19">
        <v>471.24667741935468</v>
      </c>
      <c r="DS19">
        <v>24.9927064516129</v>
      </c>
      <c r="DT19">
        <v>21.16286451612903</v>
      </c>
      <c r="DU19">
        <v>427.05012903225798</v>
      </c>
      <c r="DV19">
        <v>25.749099999999991</v>
      </c>
      <c r="DW19">
        <v>500.00951612903231</v>
      </c>
      <c r="DX19">
        <v>97.783777419354848</v>
      </c>
      <c r="DY19">
        <v>5.1764322580645172E-2</v>
      </c>
      <c r="DZ19">
        <v>27.894751612903221</v>
      </c>
      <c r="EA19">
        <v>28.023590322580649</v>
      </c>
      <c r="EB19">
        <v>999.90000000000032</v>
      </c>
      <c r="EC19">
        <v>0</v>
      </c>
      <c r="ED19">
        <v>0</v>
      </c>
      <c r="EE19">
        <v>10002.258064516131</v>
      </c>
      <c r="EF19">
        <v>0</v>
      </c>
      <c r="EG19">
        <v>1706.022580645161</v>
      </c>
      <c r="EH19">
        <v>-51.295887096774187</v>
      </c>
      <c r="EI19">
        <v>430.71564516129041</v>
      </c>
      <c r="EJ19">
        <v>481.43519354838702</v>
      </c>
      <c r="EK19">
        <v>3.829843548387097</v>
      </c>
      <c r="EL19">
        <v>471.24667741935468</v>
      </c>
      <c r="EM19">
        <v>21.16286451612903</v>
      </c>
      <c r="EN19">
        <v>2.4438799999999992</v>
      </c>
      <c r="EO19">
        <v>2.069384193548387</v>
      </c>
      <c r="EP19">
        <v>20.657503225806451</v>
      </c>
      <c r="EQ19">
        <v>17.985416129032259</v>
      </c>
      <c r="ER19">
        <v>1599.9861290322581</v>
      </c>
      <c r="ES19">
        <v>0.99399658064516128</v>
      </c>
      <c r="ET19">
        <v>6.0032512903225796E-3</v>
      </c>
      <c r="EU19">
        <v>0</v>
      </c>
      <c r="EV19">
        <v>857.19425806451613</v>
      </c>
      <c r="EW19">
        <v>5.0010700000000003</v>
      </c>
      <c r="EX19">
        <v>18544.938709677419</v>
      </c>
      <c r="EY19">
        <v>14578.35483870968</v>
      </c>
      <c r="EZ19">
        <v>44.765999999999991</v>
      </c>
      <c r="FA19">
        <v>46.727645161290333</v>
      </c>
      <c r="FB19">
        <v>45.75</v>
      </c>
      <c r="FC19">
        <v>46.186999999999969</v>
      </c>
      <c r="FD19">
        <v>45.816064516129003</v>
      </c>
      <c r="FE19">
        <v>1585.4061290322579</v>
      </c>
      <c r="FF19">
        <v>9.5777419354838695</v>
      </c>
      <c r="FG19">
        <v>0</v>
      </c>
      <c r="FH19">
        <v>182.20000004768369</v>
      </c>
      <c r="FI19">
        <v>0</v>
      </c>
      <c r="FJ19">
        <v>857.18417647058834</v>
      </c>
      <c r="FK19">
        <v>0.15441177071654799</v>
      </c>
      <c r="FL19">
        <v>61.299018748101517</v>
      </c>
      <c r="FM19">
        <v>18542.688235294121</v>
      </c>
      <c r="FN19">
        <v>10</v>
      </c>
      <c r="FO19">
        <v>1784649153.5999999</v>
      </c>
      <c r="FP19" t="s">
        <v>802</v>
      </c>
      <c r="FQ19">
        <v>1784649144.5999999</v>
      </c>
      <c r="FR19">
        <v>1784649153.5999999</v>
      </c>
      <c r="FS19">
        <v>16</v>
      </c>
      <c r="FT19">
        <v>8.8999999999999996E-2</v>
      </c>
      <c r="FU19">
        <v>-1.2E-2</v>
      </c>
      <c r="FV19">
        <v>-7.2910000000000004</v>
      </c>
      <c r="FW19">
        <v>-0.86299999999999999</v>
      </c>
      <c r="FX19">
        <v>472</v>
      </c>
      <c r="FY19">
        <v>21</v>
      </c>
      <c r="FZ19">
        <v>0.16</v>
      </c>
      <c r="GA19">
        <v>7.0000000000000007E-2</v>
      </c>
      <c r="GB19">
        <v>419.9518666666666</v>
      </c>
      <c r="GC19">
        <v>-0.2342869855399346</v>
      </c>
      <c r="GD19">
        <v>5.3897268535198002E-2</v>
      </c>
      <c r="GE19">
        <v>-1</v>
      </c>
      <c r="GF19">
        <v>857.25791176470591</v>
      </c>
      <c r="GG19">
        <v>-1.323957215680895</v>
      </c>
      <c r="GH19">
        <v>0.25754352774845057</v>
      </c>
      <c r="GI19">
        <v>1</v>
      </c>
      <c r="GJ19">
        <v>3.8392339999999998</v>
      </c>
      <c r="GK19">
        <v>-0.27276562851783059</v>
      </c>
      <c r="GL19">
        <v>4.8247094150839817E-2</v>
      </c>
      <c r="GM19">
        <v>1</v>
      </c>
      <c r="GN19">
        <v>2</v>
      </c>
      <c r="GO19">
        <v>2</v>
      </c>
      <c r="GP19" t="s">
        <v>424</v>
      </c>
      <c r="GQ19">
        <v>3.1305499999999999</v>
      </c>
      <c r="GR19">
        <v>2.7283499999999998</v>
      </c>
      <c r="GS19">
        <v>9.0877899999999998E-2</v>
      </c>
      <c r="GT19">
        <v>9.8594699999999993E-2</v>
      </c>
      <c r="GU19">
        <v>0.11665200000000001</v>
      </c>
      <c r="GV19">
        <v>0.102157</v>
      </c>
      <c r="GW19">
        <v>22641.200000000001</v>
      </c>
      <c r="GX19">
        <v>30111.3</v>
      </c>
      <c r="GY19">
        <v>27030.3</v>
      </c>
      <c r="GZ19">
        <v>34373</v>
      </c>
      <c r="HA19">
        <v>34995.199999999997</v>
      </c>
      <c r="HB19">
        <v>39010</v>
      </c>
      <c r="HC19">
        <v>39926.400000000001</v>
      </c>
      <c r="HD19">
        <v>43522.1</v>
      </c>
      <c r="HE19">
        <v>1.7818000000000001</v>
      </c>
      <c r="HF19">
        <v>1.7276</v>
      </c>
      <c r="HG19">
        <v>-7.7038999999999996E-2</v>
      </c>
      <c r="HH19">
        <v>0</v>
      </c>
      <c r="HI19">
        <v>29.294499999999999</v>
      </c>
      <c r="HJ19">
        <v>999.9</v>
      </c>
      <c r="HK19">
        <v>49.7</v>
      </c>
      <c r="HL19">
        <v>38</v>
      </c>
      <c r="HM19">
        <v>33.838299999999997</v>
      </c>
      <c r="HN19">
        <v>61.746000000000002</v>
      </c>
      <c r="HO19">
        <v>3.0809299999999999</v>
      </c>
      <c r="HP19">
        <v>1</v>
      </c>
      <c r="HQ19">
        <v>0.83979700000000002</v>
      </c>
      <c r="HR19">
        <v>6.0890399999999998</v>
      </c>
      <c r="HS19">
        <v>20.126899999999999</v>
      </c>
      <c r="HT19">
        <v>5.2100999999999997</v>
      </c>
      <c r="HU19">
        <v>11.914099999999999</v>
      </c>
      <c r="HV19">
        <v>4.9836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1.86768</v>
      </c>
      <c r="IC19">
        <v>1.8633999999999999</v>
      </c>
      <c r="ID19">
        <v>1.8628899999999999</v>
      </c>
      <c r="IE19">
        <v>1.8623400000000001</v>
      </c>
      <c r="IF19">
        <v>1.8623700000000001</v>
      </c>
      <c r="IG19">
        <v>1.8629500000000001</v>
      </c>
      <c r="IH19">
        <v>1.8638600000000001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-7.1</v>
      </c>
      <c r="IX19">
        <v>-0.75660000000000005</v>
      </c>
      <c r="IY19">
        <v>-5.1077192904420334</v>
      </c>
      <c r="IZ19">
        <v>-5.6215304933332991E-3</v>
      </c>
      <c r="JA19">
        <v>2.3979931213773931E-6</v>
      </c>
      <c r="JB19">
        <v>-3.6297174575716598E-10</v>
      </c>
      <c r="JC19">
        <v>-1.197725349352712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2.1</v>
      </c>
      <c r="JL19">
        <v>2</v>
      </c>
      <c r="JM19">
        <v>1.2036100000000001</v>
      </c>
      <c r="JN19">
        <v>2.5317400000000001</v>
      </c>
      <c r="JO19">
        <v>1.50024</v>
      </c>
      <c r="JP19">
        <v>2.2692899999999998</v>
      </c>
      <c r="JQ19">
        <v>1.4477500000000001</v>
      </c>
      <c r="JR19">
        <v>2.48291</v>
      </c>
      <c r="JS19">
        <v>44.334200000000003</v>
      </c>
      <c r="JT19">
        <v>23.833600000000001</v>
      </c>
      <c r="JU19">
        <v>18</v>
      </c>
      <c r="JV19">
        <v>450.55599999999998</v>
      </c>
      <c r="JW19">
        <v>424.14299999999997</v>
      </c>
      <c r="JX19">
        <v>23.223400000000002</v>
      </c>
      <c r="JY19">
        <v>37.143900000000002</v>
      </c>
      <c r="JZ19">
        <v>30.000800000000002</v>
      </c>
      <c r="KA19">
        <v>37.522399999999998</v>
      </c>
      <c r="KB19">
        <v>37.580800000000004</v>
      </c>
      <c r="KC19">
        <v>24.065899999999999</v>
      </c>
      <c r="KD19">
        <v>40.259900000000002</v>
      </c>
      <c r="KE19">
        <v>16.4343</v>
      </c>
      <c r="KF19">
        <v>23.202500000000001</v>
      </c>
      <c r="KG19">
        <v>471.29300000000001</v>
      </c>
      <c r="KH19">
        <v>21.2241</v>
      </c>
      <c r="KI19">
        <v>99.775599999999997</v>
      </c>
      <c r="KJ19">
        <v>98.008700000000005</v>
      </c>
    </row>
    <row r="20" spans="1:296" x14ac:dyDescent="0.3">
      <c r="A20">
        <v>4</v>
      </c>
      <c r="B20">
        <v>1784649454</v>
      </c>
      <c r="C20">
        <v>577.40000009536743</v>
      </c>
      <c r="D20" t="s">
        <v>803</v>
      </c>
      <c r="E20" t="s">
        <v>804</v>
      </c>
      <c r="F20">
        <v>15</v>
      </c>
      <c r="H20">
        <v>1784649446</v>
      </c>
      <c r="I20">
        <f t="shared" si="0"/>
        <v>3.066443461769138E-3</v>
      </c>
      <c r="J20">
        <f t="shared" si="1"/>
        <v>3.0664434617691381</v>
      </c>
      <c r="K20">
        <f t="shared" si="2"/>
        <v>39.919513858242041</v>
      </c>
      <c r="L20">
        <f t="shared" si="3"/>
        <v>420.09445161290319</v>
      </c>
      <c r="M20">
        <f t="shared" si="4"/>
        <v>119.16573186373175</v>
      </c>
      <c r="N20">
        <f t="shared" si="5"/>
        <v>11.659629930448141</v>
      </c>
      <c r="O20">
        <f t="shared" si="6"/>
        <v>41.103644185579505</v>
      </c>
      <c r="P20">
        <f t="shared" si="7"/>
        <v>0.22462696119755399</v>
      </c>
      <c r="Q20">
        <f t="shared" si="8"/>
        <v>2.8911399551119836</v>
      </c>
      <c r="R20">
        <f t="shared" si="9"/>
        <v>0.21536212889742756</v>
      </c>
      <c r="S20">
        <f t="shared" si="10"/>
        <v>0.13540189625008833</v>
      </c>
      <c r="T20">
        <f t="shared" si="11"/>
        <v>224.00761685264675</v>
      </c>
      <c r="U20">
        <f t="shared" si="12"/>
        <v>28.426851549421162</v>
      </c>
      <c r="V20">
        <f t="shared" si="13"/>
        <v>27.998670967741941</v>
      </c>
      <c r="W20">
        <f t="shared" si="14"/>
        <v>3.7945456728178799</v>
      </c>
      <c r="X20">
        <f t="shared" si="15"/>
        <v>64.838833380461296</v>
      </c>
      <c r="Y20">
        <f t="shared" si="16"/>
        <v>2.4458189098944159</v>
      </c>
      <c r="Z20">
        <f t="shared" si="17"/>
        <v>3.7721513210190571</v>
      </c>
      <c r="AA20">
        <f t="shared" si="18"/>
        <v>1.3487267629234641</v>
      </c>
      <c r="AB20">
        <f t="shared" si="19"/>
        <v>-135.23015666401898</v>
      </c>
      <c r="AC20">
        <f t="shared" si="20"/>
        <v>-15.820011634674557</v>
      </c>
      <c r="AD20">
        <f t="shared" si="21"/>
        <v>-1.1921281752792876</v>
      </c>
      <c r="AE20">
        <f t="shared" si="22"/>
        <v>71.76532037867392</v>
      </c>
      <c r="AF20">
        <f t="shared" si="23"/>
        <v>39.919513858242041</v>
      </c>
      <c r="AG20">
        <f t="shared" si="24"/>
        <v>3.0664434617691381</v>
      </c>
      <c r="AH20">
        <f t="shared" si="25"/>
        <v>39.763007804937054</v>
      </c>
      <c r="AI20">
        <v>479.78336505376132</v>
      </c>
      <c r="AJ20">
        <v>430.93960606060591</v>
      </c>
      <c r="AK20">
        <v>1.5901815853645251E-2</v>
      </c>
      <c r="AL20">
        <v>67.094981311340931</v>
      </c>
      <c r="AM20">
        <f t="shared" si="26"/>
        <v>3.0802329908887089</v>
      </c>
      <c r="AN20">
        <v>21.396345764500492</v>
      </c>
      <c r="AO20">
        <v>25.00023696969696</v>
      </c>
      <c r="AP20">
        <v>7.2703975393357134E-6</v>
      </c>
      <c r="AQ20">
        <v>78.253921831934051</v>
      </c>
      <c r="AR20">
        <v>58</v>
      </c>
      <c r="AS20">
        <v>12</v>
      </c>
      <c r="AT20">
        <f t="shared" si="27"/>
        <v>1</v>
      </c>
      <c r="AU20">
        <f t="shared" si="28"/>
        <v>0</v>
      </c>
      <c r="AV20">
        <f t="shared" si="29"/>
        <v>51572.921176274685</v>
      </c>
      <c r="AW20" t="s">
        <v>789</v>
      </c>
      <c r="AX20">
        <v>5085.58</v>
      </c>
      <c r="AY20">
        <v>606.51470588235293</v>
      </c>
      <c r="AZ20">
        <v>2594.25</v>
      </c>
      <c r="BA20">
        <f t="shared" si="30"/>
        <v>0.7662080732842429</v>
      </c>
      <c r="BB20">
        <v>-2.3708319431283411</v>
      </c>
      <c r="BC20" t="s">
        <v>805</v>
      </c>
      <c r="BD20">
        <v>5072.72</v>
      </c>
      <c r="BE20">
        <v>851.41088235294126</v>
      </c>
      <c r="BF20">
        <v>1112.25</v>
      </c>
      <c r="BG20">
        <f t="shared" si="31"/>
        <v>0.23451482818346481</v>
      </c>
      <c r="BH20">
        <v>0.5</v>
      </c>
      <c r="BI20">
        <f t="shared" si="32"/>
        <v>1176.3087595258567</v>
      </c>
      <c r="BJ20">
        <f t="shared" si="33"/>
        <v>39.919513858242041</v>
      </c>
      <c r="BK20">
        <f t="shared" si="34"/>
        <v>137.93092331545546</v>
      </c>
      <c r="BL20">
        <f t="shared" si="35"/>
        <v>3.5951739251195124E-2</v>
      </c>
      <c r="BM20">
        <f t="shared" si="36"/>
        <v>1.3324342548887391</v>
      </c>
      <c r="BN20">
        <f t="shared" si="37"/>
        <v>462.4544296969857</v>
      </c>
      <c r="BO20" t="s">
        <v>408</v>
      </c>
      <c r="BP20">
        <v>0</v>
      </c>
      <c r="BQ20">
        <f t="shared" si="38"/>
        <v>462.4544296969857</v>
      </c>
      <c r="BR20">
        <f t="shared" si="39"/>
        <v>0.58421719065229427</v>
      </c>
      <c r="BS20">
        <f t="shared" si="40"/>
        <v>0.40141719883597171</v>
      </c>
      <c r="BT20">
        <f t="shared" si="41"/>
        <v>0.69518861031752122</v>
      </c>
      <c r="BU20">
        <f t="shared" si="42"/>
        <v>0.51576214015702226</v>
      </c>
      <c r="BV20">
        <f t="shared" si="43"/>
        <v>0.7455721113297723</v>
      </c>
      <c r="BW20">
        <f t="shared" si="44"/>
        <v>0.2180347533792707</v>
      </c>
      <c r="BX20">
        <f t="shared" si="45"/>
        <v>0.7819652466207293</v>
      </c>
      <c r="DG20">
        <f t="shared" si="46"/>
        <v>1400.019354838709</v>
      </c>
      <c r="DH20">
        <f t="shared" si="47"/>
        <v>1176.3087595258567</v>
      </c>
      <c r="DI20">
        <f t="shared" si="48"/>
        <v>0.84020892672685576</v>
      </c>
      <c r="DJ20">
        <f t="shared" si="49"/>
        <v>0.16000322858283186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1784649446</v>
      </c>
      <c r="DQ20">
        <v>420.09445161290319</v>
      </c>
      <c r="DR20">
        <v>469.54458064516132</v>
      </c>
      <c r="DS20">
        <v>24.997174193548389</v>
      </c>
      <c r="DT20">
        <v>21.409361290322579</v>
      </c>
      <c r="DU20">
        <v>427.2425806451613</v>
      </c>
      <c r="DV20">
        <v>25.764909677419361</v>
      </c>
      <c r="DW20">
        <v>499.99112903225802</v>
      </c>
      <c r="DX20">
        <v>97.791835483870983</v>
      </c>
      <c r="DY20">
        <v>5.1980419354838707E-2</v>
      </c>
      <c r="DZ20">
        <v>27.897174193548381</v>
      </c>
      <c r="EA20">
        <v>27.998670967741941</v>
      </c>
      <c r="EB20">
        <v>999.90000000000032</v>
      </c>
      <c r="EC20">
        <v>0</v>
      </c>
      <c r="ED20">
        <v>0</v>
      </c>
      <c r="EE20">
        <v>10003.548387096769</v>
      </c>
      <c r="EF20">
        <v>0</v>
      </c>
      <c r="EG20">
        <v>1710.011935483871</v>
      </c>
      <c r="EH20">
        <v>-49.450100000000013</v>
      </c>
      <c r="EI20">
        <v>430.86490322580647</v>
      </c>
      <c r="EJ20">
        <v>479.81719354838708</v>
      </c>
      <c r="EK20">
        <v>3.5878061290322578</v>
      </c>
      <c r="EL20">
        <v>469.54458064516132</v>
      </c>
      <c r="EM20">
        <v>21.409361290322579</v>
      </c>
      <c r="EN20">
        <v>2.4445190322580652</v>
      </c>
      <c r="EO20">
        <v>2.09366064516129</v>
      </c>
      <c r="EP20">
        <v>20.661741935483871</v>
      </c>
      <c r="EQ20">
        <v>18.171032258064511</v>
      </c>
      <c r="ER20">
        <v>1400.019354838709</v>
      </c>
      <c r="ES20">
        <v>0.9930078064516128</v>
      </c>
      <c r="ET20">
        <v>6.9921222580645159E-3</v>
      </c>
      <c r="EU20">
        <v>0</v>
      </c>
      <c r="EV20">
        <v>851.62358064516127</v>
      </c>
      <c r="EW20">
        <v>5.0010700000000003</v>
      </c>
      <c r="EX20">
        <v>16621.206451612899</v>
      </c>
      <c r="EY20">
        <v>12745.75161290323</v>
      </c>
      <c r="EZ20">
        <v>44.758000000000003</v>
      </c>
      <c r="FA20">
        <v>46.945129032258038</v>
      </c>
      <c r="FB20">
        <v>45.936999999999969</v>
      </c>
      <c r="FC20">
        <v>46.316064516129003</v>
      </c>
      <c r="FD20">
        <v>45.891000000000012</v>
      </c>
      <c r="FE20">
        <v>1385.2612903225811</v>
      </c>
      <c r="FF20">
        <v>9.75</v>
      </c>
      <c r="FG20">
        <v>0</v>
      </c>
      <c r="FH20">
        <v>182.4000000953674</v>
      </c>
      <c r="FI20">
        <v>0</v>
      </c>
      <c r="FJ20">
        <v>851.41088235294126</v>
      </c>
      <c r="FK20">
        <v>-4.9080882270130486</v>
      </c>
      <c r="FL20">
        <v>71.176472199359694</v>
      </c>
      <c r="FM20">
        <v>16616.905882352941</v>
      </c>
      <c r="FN20">
        <v>10</v>
      </c>
      <c r="FO20">
        <v>1784649338.5</v>
      </c>
      <c r="FP20" t="s">
        <v>806</v>
      </c>
      <c r="FQ20">
        <v>1784649338.5</v>
      </c>
      <c r="FR20">
        <v>1784649334.5</v>
      </c>
      <c r="FS20">
        <v>17</v>
      </c>
      <c r="FT20">
        <v>-4.8000000000000001E-2</v>
      </c>
      <c r="FU20">
        <v>-1.2E-2</v>
      </c>
      <c r="FV20">
        <v>-7.335</v>
      </c>
      <c r="FW20">
        <v>-0.86599999999999999</v>
      </c>
      <c r="FX20">
        <v>471</v>
      </c>
      <c r="FY20">
        <v>21</v>
      </c>
      <c r="FZ20">
        <v>0.19</v>
      </c>
      <c r="GA20">
        <v>0.08</v>
      </c>
      <c r="GB20">
        <v>420.08496774193549</v>
      </c>
      <c r="GC20">
        <v>0.50380645161076143</v>
      </c>
      <c r="GD20">
        <v>6.3885221609249199E-2</v>
      </c>
      <c r="GE20">
        <v>-1</v>
      </c>
      <c r="GF20">
        <v>851.83523529411764</v>
      </c>
      <c r="GG20">
        <v>-3.4101451479561891</v>
      </c>
      <c r="GH20">
        <v>0.37749647905048128</v>
      </c>
      <c r="GI20">
        <v>1</v>
      </c>
      <c r="GJ20">
        <v>3.5940778048780491</v>
      </c>
      <c r="GK20">
        <v>-7.6327735191639545E-2</v>
      </c>
      <c r="GL20">
        <v>3.9577837387287991E-2</v>
      </c>
      <c r="GM20">
        <v>1</v>
      </c>
      <c r="GN20">
        <v>2</v>
      </c>
      <c r="GO20">
        <v>2</v>
      </c>
      <c r="GP20" t="s">
        <v>424</v>
      </c>
      <c r="GQ20">
        <v>3.1312500000000001</v>
      </c>
      <c r="GR20">
        <v>2.7276699999999998</v>
      </c>
      <c r="GS20">
        <v>9.0906899999999999E-2</v>
      </c>
      <c r="GT20">
        <v>9.8255099999999998E-2</v>
      </c>
      <c r="GU20">
        <v>0.11672299999999999</v>
      </c>
      <c r="GV20">
        <v>0.102602</v>
      </c>
      <c r="GW20">
        <v>22635.3</v>
      </c>
      <c r="GX20">
        <v>30114.400000000001</v>
      </c>
      <c r="GY20">
        <v>27024.400000000001</v>
      </c>
      <c r="GZ20">
        <v>34364.1</v>
      </c>
      <c r="HA20">
        <v>34986.400000000001</v>
      </c>
      <c r="HB20">
        <v>38982.400000000001</v>
      </c>
      <c r="HC20">
        <v>39919</v>
      </c>
      <c r="HD20">
        <v>43512.7</v>
      </c>
      <c r="HE20">
        <v>1.7944</v>
      </c>
      <c r="HF20">
        <v>1.724</v>
      </c>
      <c r="HG20">
        <v>-7.8380099999999994E-2</v>
      </c>
      <c r="HH20">
        <v>0</v>
      </c>
      <c r="HI20">
        <v>29.29</v>
      </c>
      <c r="HJ20">
        <v>999.9</v>
      </c>
      <c r="HK20">
        <v>47.6</v>
      </c>
      <c r="HL20">
        <v>38.4</v>
      </c>
      <c r="HM20">
        <v>33.1158</v>
      </c>
      <c r="HN20">
        <v>61.686100000000003</v>
      </c>
      <c r="HO20">
        <v>3.4415100000000001</v>
      </c>
      <c r="HP20">
        <v>1</v>
      </c>
      <c r="HQ20">
        <v>0.84723599999999999</v>
      </c>
      <c r="HR20">
        <v>5.7813299999999996</v>
      </c>
      <c r="HS20">
        <v>20.137899999999998</v>
      </c>
      <c r="HT20">
        <v>5.2088999999999999</v>
      </c>
      <c r="HU20">
        <v>11.914099999999999</v>
      </c>
      <c r="HV20">
        <v>4.9832000000000001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1.86771</v>
      </c>
      <c r="IC20">
        <v>1.8633999999999999</v>
      </c>
      <c r="ID20">
        <v>1.8628899999999999</v>
      </c>
      <c r="IE20">
        <v>1.8623700000000001</v>
      </c>
      <c r="IF20">
        <v>1.8624000000000001</v>
      </c>
      <c r="IG20">
        <v>1.8629500000000001</v>
      </c>
      <c r="IH20">
        <v>1.86389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-7.1479999999999997</v>
      </c>
      <c r="IX20">
        <v>-0.76759999999999995</v>
      </c>
      <c r="IY20">
        <v>-5.1558766368481521</v>
      </c>
      <c r="IZ20">
        <v>-5.6215304933332991E-3</v>
      </c>
      <c r="JA20">
        <v>2.3979931213773931E-6</v>
      </c>
      <c r="JB20">
        <v>-3.6297174575716598E-10</v>
      </c>
      <c r="JC20">
        <v>-1.2095224698609579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1.9</v>
      </c>
      <c r="JL20">
        <v>2</v>
      </c>
      <c r="JM20">
        <v>1.1999500000000001</v>
      </c>
      <c r="JN20">
        <v>2.5390600000000001</v>
      </c>
      <c r="JO20">
        <v>1.50024</v>
      </c>
      <c r="JP20">
        <v>2.2705099999999998</v>
      </c>
      <c r="JQ20">
        <v>1.4477500000000001</v>
      </c>
      <c r="JR20">
        <v>2.3596200000000001</v>
      </c>
      <c r="JS20">
        <v>44.613199999999999</v>
      </c>
      <c r="JT20">
        <v>23.8248</v>
      </c>
      <c r="JU20">
        <v>18</v>
      </c>
      <c r="JV20">
        <v>458.66399999999999</v>
      </c>
      <c r="JW20">
        <v>422.48500000000001</v>
      </c>
      <c r="JX20">
        <v>23.348500000000001</v>
      </c>
      <c r="JY20">
        <v>37.228000000000002</v>
      </c>
      <c r="JZ20">
        <v>30.0002</v>
      </c>
      <c r="KA20">
        <v>37.616100000000003</v>
      </c>
      <c r="KB20">
        <v>37.673900000000003</v>
      </c>
      <c r="KC20">
        <v>23.9924</v>
      </c>
      <c r="KD20">
        <v>38.566299999999998</v>
      </c>
      <c r="KE20">
        <v>7.3329500000000003</v>
      </c>
      <c r="KF20">
        <v>23.3504</v>
      </c>
      <c r="KG20">
        <v>469.26</v>
      </c>
      <c r="KH20">
        <v>21.3874</v>
      </c>
      <c r="KI20">
        <v>99.756100000000004</v>
      </c>
      <c r="KJ20">
        <v>97.985699999999994</v>
      </c>
    </row>
    <row r="21" spans="1:296" x14ac:dyDescent="0.3">
      <c r="A21">
        <v>5</v>
      </c>
      <c r="B21">
        <v>1784649636.5</v>
      </c>
      <c r="C21">
        <v>759.90000009536743</v>
      </c>
      <c r="D21" t="s">
        <v>807</v>
      </c>
      <c r="E21" t="s">
        <v>808</v>
      </c>
      <c r="F21">
        <v>15</v>
      </c>
      <c r="H21">
        <v>1784649628.75</v>
      </c>
      <c r="I21">
        <f t="shared" si="0"/>
        <v>2.5029526605728149E-3</v>
      </c>
      <c r="J21">
        <f t="shared" si="1"/>
        <v>2.5029526605728147</v>
      </c>
      <c r="K21">
        <f t="shared" si="2"/>
        <v>35.3616698952818</v>
      </c>
      <c r="L21">
        <f t="shared" si="3"/>
        <v>419.80073333333343</v>
      </c>
      <c r="M21">
        <f t="shared" si="4"/>
        <v>96.458444891284913</v>
      </c>
      <c r="N21">
        <f t="shared" si="5"/>
        <v>9.4385289659398701</v>
      </c>
      <c r="O21">
        <f t="shared" si="6"/>
        <v>41.077806986783209</v>
      </c>
      <c r="P21">
        <f t="shared" si="7"/>
        <v>0.18354679591873377</v>
      </c>
      <c r="Q21">
        <f t="shared" si="8"/>
        <v>2.8907298394707563</v>
      </c>
      <c r="R21">
        <f t="shared" si="9"/>
        <v>0.1773093768993399</v>
      </c>
      <c r="S21">
        <f t="shared" si="10"/>
        <v>0.11136110964828705</v>
      </c>
      <c r="T21">
        <f t="shared" si="11"/>
        <v>160.1755412098988</v>
      </c>
      <c r="U21">
        <f t="shared" si="12"/>
        <v>28.233004167172417</v>
      </c>
      <c r="V21">
        <f t="shared" si="13"/>
        <v>28.012630000000001</v>
      </c>
      <c r="W21">
        <f t="shared" si="14"/>
        <v>3.7976346630216957</v>
      </c>
      <c r="X21">
        <f t="shared" si="15"/>
        <v>65.081339148811296</v>
      </c>
      <c r="Y21">
        <f t="shared" si="16"/>
        <v>2.4605152429466672</v>
      </c>
      <c r="Z21">
        <f t="shared" si="17"/>
        <v>3.7806770345038427</v>
      </c>
      <c r="AA21">
        <f t="shared" si="18"/>
        <v>1.3371194200750285</v>
      </c>
      <c r="AB21">
        <f t="shared" si="19"/>
        <v>-110.38021233126113</v>
      </c>
      <c r="AC21">
        <f t="shared" si="20"/>
        <v>-11.96162531377599</v>
      </c>
      <c r="AD21">
        <f t="shared" si="21"/>
        <v>-0.90174125857456711</v>
      </c>
      <c r="AE21">
        <f t="shared" si="22"/>
        <v>36.931962306287112</v>
      </c>
      <c r="AF21">
        <f t="shared" si="23"/>
        <v>35.3616698952818</v>
      </c>
      <c r="AG21">
        <f t="shared" si="24"/>
        <v>2.5029526605728147</v>
      </c>
      <c r="AH21">
        <f t="shared" si="25"/>
        <v>35.256900164650141</v>
      </c>
      <c r="AI21">
        <v>474.3492664455917</v>
      </c>
      <c r="AJ21">
        <v>430.74727272727267</v>
      </c>
      <c r="AK21">
        <v>6.3370912620592107E-2</v>
      </c>
      <c r="AL21">
        <v>67.094027856253177</v>
      </c>
      <c r="AM21">
        <f t="shared" si="26"/>
        <v>2.5094748210071391</v>
      </c>
      <c r="AN21">
        <v>22.204612792606252</v>
      </c>
      <c r="AO21">
        <v>25.140931515151511</v>
      </c>
      <c r="AP21">
        <v>-1.0600345926564911E-4</v>
      </c>
      <c r="AQ21">
        <v>78.255540010645376</v>
      </c>
      <c r="AR21">
        <v>54</v>
      </c>
      <c r="AS21">
        <v>11</v>
      </c>
      <c r="AT21">
        <f t="shared" si="27"/>
        <v>1</v>
      </c>
      <c r="AU21">
        <f t="shared" si="28"/>
        <v>0</v>
      </c>
      <c r="AV21">
        <f t="shared" si="29"/>
        <v>51554.788852514786</v>
      </c>
      <c r="AW21" t="s">
        <v>789</v>
      </c>
      <c r="AX21">
        <v>5085.58</v>
      </c>
      <c r="AY21">
        <v>606.51470588235293</v>
      </c>
      <c r="AZ21">
        <v>2594.25</v>
      </c>
      <c r="BA21">
        <f t="shared" si="30"/>
        <v>0.7662080732842429</v>
      </c>
      <c r="BB21">
        <v>-2.3708319431283411</v>
      </c>
      <c r="BC21" t="s">
        <v>809</v>
      </c>
      <c r="BD21">
        <v>5076.72</v>
      </c>
      <c r="BE21">
        <v>841.45699999999999</v>
      </c>
      <c r="BF21">
        <v>1243.98</v>
      </c>
      <c r="BG21">
        <f t="shared" si="31"/>
        <v>0.32357674560684258</v>
      </c>
      <c r="BH21">
        <v>0.5</v>
      </c>
      <c r="BI21">
        <f t="shared" si="32"/>
        <v>840.29828361134651</v>
      </c>
      <c r="BJ21">
        <f t="shared" si="33"/>
        <v>35.3616698952818</v>
      </c>
      <c r="BK21">
        <f t="shared" si="34"/>
        <v>135.95049197498756</v>
      </c>
      <c r="BL21">
        <f t="shared" si="35"/>
        <v>4.4903699762716791E-2</v>
      </c>
      <c r="BM21">
        <f t="shared" si="36"/>
        <v>1.0854434958761394</v>
      </c>
      <c r="BN21">
        <f t="shared" si="37"/>
        <v>483.75356649959417</v>
      </c>
      <c r="BO21" t="s">
        <v>408</v>
      </c>
      <c r="BP21">
        <v>0</v>
      </c>
      <c r="BQ21">
        <f t="shared" si="38"/>
        <v>483.75356649959417</v>
      </c>
      <c r="BR21">
        <f t="shared" si="39"/>
        <v>0.61112432153282681</v>
      </c>
      <c r="BS21">
        <f t="shared" si="40"/>
        <v>0.52947777433443466</v>
      </c>
      <c r="BT21">
        <f t="shared" si="41"/>
        <v>0.63978786155088763</v>
      </c>
      <c r="BU21">
        <f t="shared" si="42"/>
        <v>0.63144300358681582</v>
      </c>
      <c r="BV21">
        <f t="shared" si="43"/>
        <v>0.67930071171744377</v>
      </c>
      <c r="BW21">
        <f t="shared" si="44"/>
        <v>0.30439673294838598</v>
      </c>
      <c r="BX21">
        <f t="shared" si="45"/>
        <v>0.69560326705161402</v>
      </c>
      <c r="DG21">
        <f t="shared" si="46"/>
        <v>1000.0001</v>
      </c>
      <c r="DH21">
        <f t="shared" si="47"/>
        <v>840.29828361134651</v>
      </c>
      <c r="DI21">
        <f t="shared" si="48"/>
        <v>0.84029819958152652</v>
      </c>
      <c r="DJ21">
        <f t="shared" si="49"/>
        <v>0.16017552519234629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1784649628.75</v>
      </c>
      <c r="DQ21">
        <v>419.80073333333343</v>
      </c>
      <c r="DR21">
        <v>463.49576666666673</v>
      </c>
      <c r="DS21">
        <v>25.145600000000002</v>
      </c>
      <c r="DT21">
        <v>22.217573333333331</v>
      </c>
      <c r="DU21">
        <v>426.96933333333351</v>
      </c>
      <c r="DV21">
        <v>25.921583333333331</v>
      </c>
      <c r="DW21">
        <v>499.9984</v>
      </c>
      <c r="DX21">
        <v>97.798610000000011</v>
      </c>
      <c r="DY21">
        <v>5.2117083333333321E-2</v>
      </c>
      <c r="DZ21">
        <v>27.935876666666658</v>
      </c>
      <c r="EA21">
        <v>28.012630000000001</v>
      </c>
      <c r="EB21">
        <v>999.9000000000002</v>
      </c>
      <c r="EC21">
        <v>0</v>
      </c>
      <c r="ED21">
        <v>0</v>
      </c>
      <c r="EE21">
        <v>10000.5</v>
      </c>
      <c r="EF21">
        <v>0</v>
      </c>
      <c r="EG21">
        <v>1707.4829999999999</v>
      </c>
      <c r="EH21">
        <v>-43.694986666666679</v>
      </c>
      <c r="EI21">
        <v>430.62909999999999</v>
      </c>
      <c r="EJ21">
        <v>474.02740000000011</v>
      </c>
      <c r="EK21">
        <v>2.9280246666666661</v>
      </c>
      <c r="EL21">
        <v>463.49576666666673</v>
      </c>
      <c r="EM21">
        <v>22.217573333333331</v>
      </c>
      <c r="EN21">
        <v>2.4592056666666671</v>
      </c>
      <c r="EO21">
        <v>2.1728476666666672</v>
      </c>
      <c r="EP21">
        <v>20.758990000000001</v>
      </c>
      <c r="EQ21">
        <v>18.763516666666661</v>
      </c>
      <c r="ER21">
        <v>1000.0001</v>
      </c>
      <c r="ES21">
        <v>0.99001169999999994</v>
      </c>
      <c r="ET21">
        <v>9.987965666666666E-3</v>
      </c>
      <c r="EU21">
        <v>0</v>
      </c>
      <c r="EV21">
        <v>841.53283333333309</v>
      </c>
      <c r="EW21">
        <v>5.0010700000000003</v>
      </c>
      <c r="EX21">
        <v>12883.92</v>
      </c>
      <c r="EY21">
        <v>9080.3173333333325</v>
      </c>
      <c r="EZ21">
        <v>44.195399999999971</v>
      </c>
      <c r="FA21">
        <v>46.936999999999983</v>
      </c>
      <c r="FB21">
        <v>45.699599999999982</v>
      </c>
      <c r="FC21">
        <v>46.375</v>
      </c>
      <c r="FD21">
        <v>45.557866666666648</v>
      </c>
      <c r="FE21">
        <v>985.06033333333335</v>
      </c>
      <c r="FF21">
        <v>9.94</v>
      </c>
      <c r="FG21">
        <v>0</v>
      </c>
      <c r="FH21">
        <v>181.60000014305109</v>
      </c>
      <c r="FI21">
        <v>0</v>
      </c>
      <c r="FJ21">
        <v>841.45699999999999</v>
      </c>
      <c r="FK21">
        <v>-0.1340686002136198</v>
      </c>
      <c r="FL21">
        <v>57.132353059597598</v>
      </c>
      <c r="FM21">
        <v>12881.058823529411</v>
      </c>
      <c r="FN21">
        <v>10</v>
      </c>
      <c r="FO21">
        <v>1784649590.5</v>
      </c>
      <c r="FP21" t="s">
        <v>810</v>
      </c>
      <c r="FQ21">
        <v>1784649588.5</v>
      </c>
      <c r="FR21">
        <v>1784649590.5</v>
      </c>
      <c r="FS21">
        <v>18</v>
      </c>
      <c r="FT21">
        <v>-2.1999999999999999E-2</v>
      </c>
      <c r="FU21">
        <v>-1.2999999999999999E-2</v>
      </c>
      <c r="FV21">
        <v>-7.3339999999999996</v>
      </c>
      <c r="FW21">
        <v>-0.86399999999999999</v>
      </c>
      <c r="FX21">
        <v>464</v>
      </c>
      <c r="FY21">
        <v>22</v>
      </c>
      <c r="FZ21">
        <v>0.19</v>
      </c>
      <c r="GA21">
        <v>0.11</v>
      </c>
      <c r="GB21">
        <v>419.80073333333343</v>
      </c>
      <c r="GC21">
        <v>-0.85385539488299933</v>
      </c>
      <c r="GD21">
        <v>0.12913944229226029</v>
      </c>
      <c r="GE21">
        <v>-1</v>
      </c>
      <c r="GF21">
        <v>841.47679411764705</v>
      </c>
      <c r="GG21">
        <v>0.20273491776581229</v>
      </c>
      <c r="GH21">
        <v>0.26115679079274212</v>
      </c>
      <c r="GI21">
        <v>1</v>
      </c>
      <c r="GJ21">
        <v>2.9175117500000001</v>
      </c>
      <c r="GK21">
        <v>0.20682067542213561</v>
      </c>
      <c r="GL21">
        <v>2.3439181501014449E-2</v>
      </c>
      <c r="GM21">
        <v>1</v>
      </c>
      <c r="GN21">
        <v>2</v>
      </c>
      <c r="GO21">
        <v>2</v>
      </c>
      <c r="GP21" t="s">
        <v>424</v>
      </c>
      <c r="GQ21">
        <v>3.1307</v>
      </c>
      <c r="GR21">
        <v>2.72818</v>
      </c>
      <c r="GS21">
        <v>9.0856199999999998E-2</v>
      </c>
      <c r="GT21">
        <v>9.7381099999999998E-2</v>
      </c>
      <c r="GU21">
        <v>0.11718099999999999</v>
      </c>
      <c r="GV21">
        <v>0.10540099999999999</v>
      </c>
      <c r="GW21">
        <v>22634.6</v>
      </c>
      <c r="GX21">
        <v>30141.5</v>
      </c>
      <c r="GY21">
        <v>27022.3</v>
      </c>
      <c r="GZ21">
        <v>34362</v>
      </c>
      <c r="HA21">
        <v>34965.699999999997</v>
      </c>
      <c r="HB21">
        <v>38858.800000000003</v>
      </c>
      <c r="HC21">
        <v>39915.699999999997</v>
      </c>
      <c r="HD21">
        <v>43510.1</v>
      </c>
      <c r="HE21">
        <v>1.7994000000000001</v>
      </c>
      <c r="HF21">
        <v>1.7216</v>
      </c>
      <c r="HG21">
        <v>-8.5085599999999997E-2</v>
      </c>
      <c r="HH21">
        <v>0</v>
      </c>
      <c r="HI21">
        <v>29.401199999999999</v>
      </c>
      <c r="HJ21">
        <v>999.9</v>
      </c>
      <c r="HK21">
        <v>45.9</v>
      </c>
      <c r="HL21">
        <v>38.700000000000003</v>
      </c>
      <c r="HM21">
        <v>32.448999999999998</v>
      </c>
      <c r="HN21">
        <v>61.6661</v>
      </c>
      <c r="HO21">
        <v>3.2291599999999998</v>
      </c>
      <c r="HP21">
        <v>1</v>
      </c>
      <c r="HQ21">
        <v>0.85195100000000001</v>
      </c>
      <c r="HR21">
        <v>5.87277</v>
      </c>
      <c r="HS21">
        <v>20.138100000000001</v>
      </c>
      <c r="HT21">
        <v>5.2088999999999999</v>
      </c>
      <c r="HU21">
        <v>11.914099999999999</v>
      </c>
      <c r="HV21">
        <v>4.9828000000000001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1.86768</v>
      </c>
      <c r="IC21">
        <v>1.8633999999999999</v>
      </c>
      <c r="ID21">
        <v>1.8628899999999999</v>
      </c>
      <c r="IE21">
        <v>1.8623400000000001</v>
      </c>
      <c r="IF21">
        <v>1.86246</v>
      </c>
      <c r="IG21">
        <v>1.8629500000000001</v>
      </c>
      <c r="IH21">
        <v>1.8638600000000001</v>
      </c>
      <c r="II21">
        <v>1.86185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-7.1689999999999996</v>
      </c>
      <c r="IX21">
        <v>-0.7762</v>
      </c>
      <c r="IY21">
        <v>-5.1773345721754911</v>
      </c>
      <c r="IZ21">
        <v>-5.6215304933332991E-3</v>
      </c>
      <c r="JA21">
        <v>2.3979931213773931E-6</v>
      </c>
      <c r="JB21">
        <v>-3.6297174575716598E-10</v>
      </c>
      <c r="JC21">
        <v>-1.22224067397113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0.8</v>
      </c>
      <c r="JL21">
        <v>0.8</v>
      </c>
      <c r="JM21">
        <v>1.18896</v>
      </c>
      <c r="JN21">
        <v>2.5354000000000001</v>
      </c>
      <c r="JO21">
        <v>1.50024</v>
      </c>
      <c r="JP21">
        <v>2.2729499999999998</v>
      </c>
      <c r="JQ21">
        <v>1.4477500000000001</v>
      </c>
      <c r="JR21">
        <v>2.4389599999999998</v>
      </c>
      <c r="JS21">
        <v>44.893999999999998</v>
      </c>
      <c r="JT21">
        <v>23.833600000000001</v>
      </c>
      <c r="JU21">
        <v>18</v>
      </c>
      <c r="JV21">
        <v>462.125</v>
      </c>
      <c r="JW21">
        <v>421.47</v>
      </c>
      <c r="JX21">
        <v>23.558800000000002</v>
      </c>
      <c r="JY21">
        <v>37.277200000000001</v>
      </c>
      <c r="JZ21">
        <v>30.0001</v>
      </c>
      <c r="KA21">
        <v>37.6858</v>
      </c>
      <c r="KB21">
        <v>37.75</v>
      </c>
      <c r="KC21">
        <v>23.7835</v>
      </c>
      <c r="KD21">
        <v>36.0227</v>
      </c>
      <c r="KE21">
        <v>0</v>
      </c>
      <c r="KF21">
        <v>23.5459</v>
      </c>
      <c r="KG21">
        <v>463.71100000000001</v>
      </c>
      <c r="KH21">
        <v>22.2196</v>
      </c>
      <c r="KI21">
        <v>99.747900000000001</v>
      </c>
      <c r="KJ21">
        <v>97.979600000000005</v>
      </c>
    </row>
    <row r="22" spans="1:296" x14ac:dyDescent="0.3">
      <c r="A22">
        <v>6</v>
      </c>
      <c r="B22">
        <v>1784649819</v>
      </c>
      <c r="C22">
        <v>942.40000009536743</v>
      </c>
      <c r="D22" t="s">
        <v>811</v>
      </c>
      <c r="E22" t="s">
        <v>812</v>
      </c>
      <c r="F22">
        <v>15</v>
      </c>
      <c r="H22">
        <v>1784649811.25</v>
      </c>
      <c r="I22">
        <f t="shared" si="0"/>
        <v>2.4150300955253215E-3</v>
      </c>
      <c r="J22">
        <f t="shared" si="1"/>
        <v>2.4150300955253217</v>
      </c>
      <c r="K22">
        <f t="shared" si="2"/>
        <v>32.876718881608021</v>
      </c>
      <c r="L22">
        <f t="shared" si="3"/>
        <v>420.05239999999998</v>
      </c>
      <c r="M22">
        <f t="shared" si="4"/>
        <v>106.72657257871873</v>
      </c>
      <c r="N22">
        <f t="shared" si="5"/>
        <v>10.443809937344648</v>
      </c>
      <c r="O22">
        <f t="shared" si="6"/>
        <v>41.104547099456141</v>
      </c>
      <c r="P22">
        <f t="shared" si="7"/>
        <v>0.17608123754938337</v>
      </c>
      <c r="Q22">
        <f t="shared" si="8"/>
        <v>2.8904887467806288</v>
      </c>
      <c r="R22">
        <f t="shared" si="9"/>
        <v>0.17033188547638567</v>
      </c>
      <c r="S22">
        <f t="shared" si="10"/>
        <v>0.10695834650356555</v>
      </c>
      <c r="T22">
        <f t="shared" si="11"/>
        <v>128.27926665782428</v>
      </c>
      <c r="U22">
        <f t="shared" si="12"/>
        <v>28.054453922043006</v>
      </c>
      <c r="V22">
        <f t="shared" si="13"/>
        <v>28.009106666666661</v>
      </c>
      <c r="W22">
        <f t="shared" si="14"/>
        <v>3.7968547786944638</v>
      </c>
      <c r="X22">
        <f t="shared" si="15"/>
        <v>64.944942712089798</v>
      </c>
      <c r="Y22">
        <f t="shared" si="16"/>
        <v>2.4537302617065153</v>
      </c>
      <c r="Z22">
        <f t="shared" si="17"/>
        <v>3.778169876266197</v>
      </c>
      <c r="AA22">
        <f t="shared" si="18"/>
        <v>1.3431245169879484</v>
      </c>
      <c r="AB22">
        <f t="shared" si="19"/>
        <v>-106.50282721266667</v>
      </c>
      <c r="AC22">
        <f t="shared" si="20"/>
        <v>-13.183909120266176</v>
      </c>
      <c r="AD22">
        <f t="shared" si="21"/>
        <v>-0.99389367744998824</v>
      </c>
      <c r="AE22">
        <f t="shared" si="22"/>
        <v>7.5986366474414417</v>
      </c>
      <c r="AF22">
        <f t="shared" si="23"/>
        <v>32.876718881608021</v>
      </c>
      <c r="AG22">
        <f t="shared" si="24"/>
        <v>2.4150300955253217</v>
      </c>
      <c r="AH22">
        <f t="shared" si="25"/>
        <v>33.086548948357823</v>
      </c>
      <c r="AI22">
        <v>471.09156850791038</v>
      </c>
      <c r="AJ22">
        <v>430.76606666666657</v>
      </c>
      <c r="AK22">
        <v>-5.3400684753783262E-2</v>
      </c>
      <c r="AL22">
        <v>67.095196977242722</v>
      </c>
      <c r="AM22">
        <f t="shared" si="26"/>
        <v>2.400830087804859</v>
      </c>
      <c r="AN22">
        <v>22.24698368500384</v>
      </c>
      <c r="AO22">
        <v>25.058983030303018</v>
      </c>
      <c r="AP22">
        <v>-5.4434093270482107E-4</v>
      </c>
      <c r="AQ22">
        <v>78.254672037540345</v>
      </c>
      <c r="AR22">
        <v>41</v>
      </c>
      <c r="AS22">
        <v>8</v>
      </c>
      <c r="AT22">
        <f t="shared" si="27"/>
        <v>1</v>
      </c>
      <c r="AU22">
        <f t="shared" si="28"/>
        <v>0</v>
      </c>
      <c r="AV22">
        <f t="shared" si="29"/>
        <v>51549.985815233049</v>
      </c>
      <c r="AW22" t="s">
        <v>789</v>
      </c>
      <c r="AX22">
        <v>5085.58</v>
      </c>
      <c r="AY22">
        <v>606.51470588235293</v>
      </c>
      <c r="AZ22">
        <v>2594.25</v>
      </c>
      <c r="BA22">
        <f t="shared" si="30"/>
        <v>0.7662080732842429</v>
      </c>
      <c r="BB22">
        <v>-2.3708319431283411</v>
      </c>
      <c r="BC22" t="s">
        <v>813</v>
      </c>
      <c r="BD22">
        <v>5079.2</v>
      </c>
      <c r="BE22">
        <v>848.26188235294114</v>
      </c>
      <c r="BF22">
        <v>1385.15</v>
      </c>
      <c r="BG22">
        <f t="shared" si="31"/>
        <v>0.38760287163632745</v>
      </c>
      <c r="BH22">
        <v>0.5</v>
      </c>
      <c r="BI22">
        <f t="shared" si="32"/>
        <v>672.3160039470589</v>
      </c>
      <c r="BJ22">
        <f t="shared" si="33"/>
        <v>32.876718881608021</v>
      </c>
      <c r="BK22">
        <f t="shared" si="34"/>
        <v>130.29580688847025</v>
      </c>
      <c r="BL22">
        <f t="shared" si="35"/>
        <v>5.2427059028498021E-2</v>
      </c>
      <c r="BM22">
        <f t="shared" si="36"/>
        <v>0.87290185178500512</v>
      </c>
      <c r="BN22">
        <f t="shared" si="37"/>
        <v>503.71737147433129</v>
      </c>
      <c r="BO22" t="s">
        <v>408</v>
      </c>
      <c r="BP22">
        <v>0</v>
      </c>
      <c r="BQ22">
        <f t="shared" si="38"/>
        <v>503.71737147433129</v>
      </c>
      <c r="BR22">
        <f t="shared" si="39"/>
        <v>0.6363445320186758</v>
      </c>
      <c r="BS22">
        <f t="shared" si="40"/>
        <v>0.60910851297289348</v>
      </c>
      <c r="BT22">
        <f t="shared" si="41"/>
        <v>0.57836935118908328</v>
      </c>
      <c r="BU22">
        <f t="shared" si="42"/>
        <v>0.68952450743382088</v>
      </c>
      <c r="BV22">
        <f t="shared" si="43"/>
        <v>0.60828018880487689</v>
      </c>
      <c r="BW22">
        <f t="shared" si="44"/>
        <v>0.36170261269583348</v>
      </c>
      <c r="BX22">
        <f t="shared" si="45"/>
        <v>0.63829738730416652</v>
      </c>
      <c r="DG22">
        <f t="shared" si="46"/>
        <v>800.0072666666664</v>
      </c>
      <c r="DH22">
        <f t="shared" si="47"/>
        <v>672.3160039470589</v>
      </c>
      <c r="DI22">
        <f t="shared" si="48"/>
        <v>0.84038737141520026</v>
      </c>
      <c r="DJ22">
        <f t="shared" si="49"/>
        <v>0.16034762683133669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1784649811.25</v>
      </c>
      <c r="DQ22">
        <v>420.05239999999998</v>
      </c>
      <c r="DR22">
        <v>460.71990000000011</v>
      </c>
      <c r="DS22">
        <v>25.07497</v>
      </c>
      <c r="DT22">
        <v>22.249733333333332</v>
      </c>
      <c r="DU22">
        <v>427.23133333333328</v>
      </c>
      <c r="DV22">
        <v>25.859259999999999</v>
      </c>
      <c r="DW22">
        <v>500.02323333333328</v>
      </c>
      <c r="DX22">
        <v>97.803000000000011</v>
      </c>
      <c r="DY22">
        <v>5.2760613333333331E-2</v>
      </c>
      <c r="DZ22">
        <v>27.924503333333341</v>
      </c>
      <c r="EA22">
        <v>28.009106666666661</v>
      </c>
      <c r="EB22">
        <v>999.9000000000002</v>
      </c>
      <c r="EC22">
        <v>0</v>
      </c>
      <c r="ED22">
        <v>0</v>
      </c>
      <c r="EE22">
        <v>9998.6666666666661</v>
      </c>
      <c r="EF22">
        <v>0</v>
      </c>
      <c r="EG22">
        <v>1663.6986666666669</v>
      </c>
      <c r="EH22">
        <v>-40.667400000000008</v>
      </c>
      <c r="EI22">
        <v>430.85613333333328</v>
      </c>
      <c r="EJ22">
        <v>471.2041333333334</v>
      </c>
      <c r="EK22">
        <v>2.8252306666666671</v>
      </c>
      <c r="EL22">
        <v>460.71990000000011</v>
      </c>
      <c r="EM22">
        <v>22.249733333333332</v>
      </c>
      <c r="EN22">
        <v>2.452407</v>
      </c>
      <c r="EO22">
        <v>2.1760913333333329</v>
      </c>
      <c r="EP22">
        <v>20.71404333333334</v>
      </c>
      <c r="EQ22">
        <v>18.787373333333331</v>
      </c>
      <c r="ER22">
        <v>800.0072666666664</v>
      </c>
      <c r="ES22">
        <v>0.98700583333333336</v>
      </c>
      <c r="ET22">
        <v>1.299441666666667E-2</v>
      </c>
      <c r="EU22">
        <v>0</v>
      </c>
      <c r="EV22">
        <v>848.15206666666677</v>
      </c>
      <c r="EW22">
        <v>5.0010700000000003</v>
      </c>
      <c r="EX22">
        <v>11132.16</v>
      </c>
      <c r="EY22">
        <v>7246.7020000000002</v>
      </c>
      <c r="EZ22">
        <v>43.75</v>
      </c>
      <c r="FA22">
        <v>46.801666666666648</v>
      </c>
      <c r="FB22">
        <v>45.436999999999983</v>
      </c>
      <c r="FC22">
        <v>46.25</v>
      </c>
      <c r="FD22">
        <v>45.218499999999977</v>
      </c>
      <c r="FE22">
        <v>784.67633333333345</v>
      </c>
      <c r="FF22">
        <v>10.33</v>
      </c>
      <c r="FG22">
        <v>0</v>
      </c>
      <c r="FH22">
        <v>182</v>
      </c>
      <c r="FI22">
        <v>0</v>
      </c>
      <c r="FJ22">
        <v>848.26188235294114</v>
      </c>
      <c r="FK22">
        <v>1.8870097548654761</v>
      </c>
      <c r="FL22">
        <v>438.67647157925973</v>
      </c>
      <c r="FM22">
        <v>11153.952941176471</v>
      </c>
      <c r="FN22">
        <v>10</v>
      </c>
      <c r="FO22">
        <v>1784649728</v>
      </c>
      <c r="FP22" t="s">
        <v>814</v>
      </c>
      <c r="FQ22">
        <v>1784649728</v>
      </c>
      <c r="FR22">
        <v>1784649725</v>
      </c>
      <c r="FS22">
        <v>19</v>
      </c>
      <c r="FT22">
        <v>-8.9999999999999993E-3</v>
      </c>
      <c r="FU22">
        <v>-7.0000000000000001E-3</v>
      </c>
      <c r="FV22">
        <v>-7.3339999999999996</v>
      </c>
      <c r="FW22">
        <v>-0.86399999999999999</v>
      </c>
      <c r="FX22">
        <v>462</v>
      </c>
      <c r="FY22">
        <v>22</v>
      </c>
      <c r="FZ22">
        <v>0.21</v>
      </c>
      <c r="GA22">
        <v>0.11</v>
      </c>
      <c r="GB22">
        <v>420.05383870967739</v>
      </c>
      <c r="GC22">
        <v>0.1463709677413999</v>
      </c>
      <c r="GD22">
        <v>5.2522251366993719E-2</v>
      </c>
      <c r="GE22">
        <v>-1</v>
      </c>
      <c r="GF22">
        <v>848.10511764705893</v>
      </c>
      <c r="GG22">
        <v>1.202505723964383</v>
      </c>
      <c r="GH22">
        <v>0.26099557858615718</v>
      </c>
      <c r="GI22">
        <v>1</v>
      </c>
      <c r="GJ22">
        <v>2.812393170731708</v>
      </c>
      <c r="GK22">
        <v>0.16083094076654611</v>
      </c>
      <c r="GL22">
        <v>2.2672994297936611E-2</v>
      </c>
      <c r="GM22">
        <v>1</v>
      </c>
      <c r="GN22">
        <v>2</v>
      </c>
      <c r="GO22">
        <v>2</v>
      </c>
      <c r="GP22" t="s">
        <v>424</v>
      </c>
      <c r="GQ22">
        <v>3.13083</v>
      </c>
      <c r="GR22">
        <v>2.7282500000000001</v>
      </c>
      <c r="GS22">
        <v>9.0862600000000002E-2</v>
      </c>
      <c r="GT22">
        <v>9.6852099999999997E-2</v>
      </c>
      <c r="GU22">
        <v>0.116935</v>
      </c>
      <c r="GV22">
        <v>0.10553</v>
      </c>
      <c r="GW22">
        <v>22631.3</v>
      </c>
      <c r="GX22">
        <v>30154.3</v>
      </c>
      <c r="GY22">
        <v>27018.9</v>
      </c>
      <c r="GZ22">
        <v>34356.9</v>
      </c>
      <c r="HA22">
        <v>34971.800000000003</v>
      </c>
      <c r="HB22">
        <v>38849.599999999999</v>
      </c>
      <c r="HC22">
        <v>39911.300000000003</v>
      </c>
      <c r="HD22">
        <v>43505.9</v>
      </c>
      <c r="HE22">
        <v>1.8228</v>
      </c>
      <c r="HF22">
        <v>1.7194</v>
      </c>
      <c r="HG22">
        <v>-8.74698E-2</v>
      </c>
      <c r="HH22">
        <v>0</v>
      </c>
      <c r="HI22">
        <v>29.434100000000001</v>
      </c>
      <c r="HJ22">
        <v>999.9</v>
      </c>
      <c r="HK22">
        <v>45.2</v>
      </c>
      <c r="HL22">
        <v>39</v>
      </c>
      <c r="HM22">
        <v>32.4741</v>
      </c>
      <c r="HN22">
        <v>61.426200000000001</v>
      </c>
      <c r="HO22">
        <v>3.3453499999999998</v>
      </c>
      <c r="HP22">
        <v>1</v>
      </c>
      <c r="HQ22">
        <v>0.856707</v>
      </c>
      <c r="HR22">
        <v>5.6422699999999999</v>
      </c>
      <c r="HS22">
        <v>20.147200000000002</v>
      </c>
      <c r="HT22">
        <v>5.2088999999999999</v>
      </c>
      <c r="HU22">
        <v>11.914099999999999</v>
      </c>
      <c r="HV22">
        <v>4.9824000000000002</v>
      </c>
      <c r="HW22">
        <v>3.2709999999999999</v>
      </c>
      <c r="HX22">
        <v>9999</v>
      </c>
      <c r="HY22">
        <v>9999</v>
      </c>
      <c r="HZ22">
        <v>9999</v>
      </c>
      <c r="IA22">
        <v>999.9</v>
      </c>
      <c r="IB22">
        <v>1.8677999999999999</v>
      </c>
      <c r="IC22">
        <v>1.8633999999999999</v>
      </c>
      <c r="ID22">
        <v>1.8629500000000001</v>
      </c>
      <c r="IE22">
        <v>1.8624000000000001</v>
      </c>
      <c r="IF22">
        <v>1.86246</v>
      </c>
      <c r="IG22">
        <v>1.8629500000000001</v>
      </c>
      <c r="IH22">
        <v>1.8638600000000001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-7.1790000000000003</v>
      </c>
      <c r="IX22">
        <v>-0.78469999999999995</v>
      </c>
      <c r="IY22">
        <v>-5.1866608657226561</v>
      </c>
      <c r="IZ22">
        <v>-5.6215304933332991E-3</v>
      </c>
      <c r="JA22">
        <v>2.3979931213773931E-6</v>
      </c>
      <c r="JB22">
        <v>-3.6297174575716598E-10</v>
      </c>
      <c r="JC22">
        <v>-1.2287757391297141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1.6</v>
      </c>
      <c r="JM22">
        <v>1.18286</v>
      </c>
      <c r="JN22">
        <v>2.5354000000000001</v>
      </c>
      <c r="JO22">
        <v>1.50024</v>
      </c>
      <c r="JP22">
        <v>2.2729499999999998</v>
      </c>
      <c r="JQ22">
        <v>1.4477500000000001</v>
      </c>
      <c r="JR22">
        <v>2.4462899999999999</v>
      </c>
      <c r="JS22">
        <v>45.148400000000002</v>
      </c>
      <c r="JT22">
        <v>23.833600000000001</v>
      </c>
      <c r="JU22">
        <v>18</v>
      </c>
      <c r="JV22">
        <v>476.90800000000002</v>
      </c>
      <c r="JW22">
        <v>420.55700000000002</v>
      </c>
      <c r="JX22">
        <v>23.715199999999999</v>
      </c>
      <c r="JY22">
        <v>37.347700000000003</v>
      </c>
      <c r="JZ22">
        <v>30.000399999999999</v>
      </c>
      <c r="KA22">
        <v>37.759099999999997</v>
      </c>
      <c r="KB22">
        <v>37.823</v>
      </c>
      <c r="KC22">
        <v>23.6616</v>
      </c>
      <c r="KD22">
        <v>36.347000000000001</v>
      </c>
      <c r="KE22">
        <v>0</v>
      </c>
      <c r="KF22">
        <v>23.707899999999999</v>
      </c>
      <c r="KG22">
        <v>460.66399999999999</v>
      </c>
      <c r="KH22">
        <v>22.238600000000002</v>
      </c>
      <c r="KI22">
        <v>99.736199999999997</v>
      </c>
      <c r="KJ22">
        <v>97.968000000000004</v>
      </c>
    </row>
    <row r="23" spans="1:296" x14ac:dyDescent="0.3">
      <c r="A23">
        <v>7</v>
      </c>
      <c r="B23">
        <v>1784650001.5</v>
      </c>
      <c r="C23">
        <v>1124.900000095367</v>
      </c>
      <c r="D23" t="s">
        <v>815</v>
      </c>
      <c r="E23" t="s">
        <v>816</v>
      </c>
      <c r="F23">
        <v>15</v>
      </c>
      <c r="H23">
        <v>1784649993.75</v>
      </c>
      <c r="I23">
        <f t="shared" si="0"/>
        <v>1.8457768725921849E-3</v>
      </c>
      <c r="J23">
        <f t="shared" si="1"/>
        <v>1.8457768725921848</v>
      </c>
      <c r="K23">
        <f t="shared" si="2"/>
        <v>28.403040758597811</v>
      </c>
      <c r="L23">
        <f t="shared" si="3"/>
        <v>420.04663333333338</v>
      </c>
      <c r="M23">
        <f t="shared" si="4"/>
        <v>66.019152509444737</v>
      </c>
      <c r="N23">
        <f t="shared" si="5"/>
        <v>6.4609193702649481</v>
      </c>
      <c r="O23">
        <f t="shared" si="6"/>
        <v>41.107577521987452</v>
      </c>
      <c r="P23">
        <f t="shared" si="7"/>
        <v>0.1332467998439828</v>
      </c>
      <c r="Q23">
        <f t="shared" si="8"/>
        <v>2.8908146423112275</v>
      </c>
      <c r="R23">
        <f t="shared" si="9"/>
        <v>0.12992641228839541</v>
      </c>
      <c r="S23">
        <f t="shared" si="10"/>
        <v>8.1495439801701597E-2</v>
      </c>
      <c r="T23">
        <f t="shared" si="11"/>
        <v>96.348007920574986</v>
      </c>
      <c r="U23">
        <f t="shared" si="12"/>
        <v>27.95525037722896</v>
      </c>
      <c r="V23">
        <f t="shared" si="13"/>
        <v>27.980876666666671</v>
      </c>
      <c r="W23">
        <f t="shared" si="14"/>
        <v>3.7906111555084294</v>
      </c>
      <c r="X23">
        <f t="shared" si="15"/>
        <v>64.924558533610522</v>
      </c>
      <c r="Y23">
        <f t="shared" si="16"/>
        <v>2.4446085952224315</v>
      </c>
      <c r="Z23">
        <f t="shared" si="17"/>
        <v>3.7653064578897246</v>
      </c>
      <c r="AA23">
        <f t="shared" si="18"/>
        <v>1.346002560285998</v>
      </c>
      <c r="AB23">
        <f t="shared" si="19"/>
        <v>-81.398760081315345</v>
      </c>
      <c r="AC23">
        <f t="shared" si="20"/>
        <v>-17.896209452743371</v>
      </c>
      <c r="AD23">
        <f t="shared" si="21"/>
        <v>-1.3484044559599362</v>
      </c>
      <c r="AE23">
        <f t="shared" si="22"/>
        <v>-4.2953660694436664</v>
      </c>
      <c r="AF23">
        <f t="shared" si="23"/>
        <v>28.403040758597811</v>
      </c>
      <c r="AG23">
        <f t="shared" si="24"/>
        <v>1.8457768725921848</v>
      </c>
      <c r="AH23">
        <f t="shared" si="25"/>
        <v>28.141060286730127</v>
      </c>
      <c r="AI23">
        <v>465.48544363450941</v>
      </c>
      <c r="AJ23">
        <v>430.89270303030281</v>
      </c>
      <c r="AK23">
        <v>5.8366323900129521E-3</v>
      </c>
      <c r="AL23">
        <v>67.095196977242722</v>
      </c>
      <c r="AM23">
        <f t="shared" si="26"/>
        <v>1.993214734083895</v>
      </c>
      <c r="AN23">
        <v>22.8078077231431</v>
      </c>
      <c r="AO23">
        <v>25.0951206060606</v>
      </c>
      <c r="AP23">
        <v>7.3243654160220321E-3</v>
      </c>
      <c r="AQ23">
        <v>78.254672037540345</v>
      </c>
      <c r="AR23">
        <v>45</v>
      </c>
      <c r="AS23">
        <v>9</v>
      </c>
      <c r="AT23">
        <f t="shared" si="27"/>
        <v>1</v>
      </c>
      <c r="AU23">
        <f t="shared" si="28"/>
        <v>0</v>
      </c>
      <c r="AV23">
        <f t="shared" si="29"/>
        <v>51569.441496266176</v>
      </c>
      <c r="AW23" t="s">
        <v>789</v>
      </c>
      <c r="AX23">
        <v>5085.58</v>
      </c>
      <c r="AY23">
        <v>606.51470588235293</v>
      </c>
      <c r="AZ23">
        <v>2594.25</v>
      </c>
      <c r="BA23">
        <f t="shared" si="30"/>
        <v>0.7662080732842429</v>
      </c>
      <c r="BB23">
        <v>-2.3708319431283411</v>
      </c>
      <c r="BC23" t="s">
        <v>817</v>
      </c>
      <c r="BD23">
        <v>5082.25</v>
      </c>
      <c r="BE23">
        <v>846.84994117647057</v>
      </c>
      <c r="BF23">
        <v>1564.84</v>
      </c>
      <c r="BG23">
        <f t="shared" si="31"/>
        <v>0.45882649908203355</v>
      </c>
      <c r="BH23">
        <v>0.5</v>
      </c>
      <c r="BI23">
        <f t="shared" si="32"/>
        <v>504.31171025936521</v>
      </c>
      <c r="BJ23">
        <f t="shared" si="33"/>
        <v>28.403040758597811</v>
      </c>
      <c r="BK23">
        <f t="shared" si="34"/>
        <v>115.6957882321887</v>
      </c>
      <c r="BL23">
        <f t="shared" si="35"/>
        <v>6.1021531080250525E-2</v>
      </c>
      <c r="BM23">
        <f t="shared" si="36"/>
        <v>0.6578372229748729</v>
      </c>
      <c r="BN23">
        <f t="shared" si="37"/>
        <v>525.66845740901056</v>
      </c>
      <c r="BO23" t="s">
        <v>408</v>
      </c>
      <c r="BP23">
        <v>0</v>
      </c>
      <c r="BQ23">
        <f t="shared" si="38"/>
        <v>525.66845740901056</v>
      </c>
      <c r="BR23">
        <f t="shared" si="39"/>
        <v>0.66407526813667173</v>
      </c>
      <c r="BS23">
        <f t="shared" si="40"/>
        <v>0.69092544339055795</v>
      </c>
      <c r="BT23">
        <f t="shared" si="41"/>
        <v>0.49764052265042386</v>
      </c>
      <c r="BU23">
        <f t="shared" si="42"/>
        <v>0.74921330286351251</v>
      </c>
      <c r="BV23">
        <f t="shared" si="43"/>
        <v>0.51788082801888058</v>
      </c>
      <c r="BW23">
        <f t="shared" si="44"/>
        <v>0.42888083750373246</v>
      </c>
      <c r="BX23">
        <f t="shared" si="45"/>
        <v>0.57111916249626749</v>
      </c>
      <c r="DG23">
        <f t="shared" si="46"/>
        <v>600.00929999999994</v>
      </c>
      <c r="DH23">
        <f t="shared" si="47"/>
        <v>504.31171025936521</v>
      </c>
      <c r="DI23">
        <f t="shared" si="48"/>
        <v>0.8405064892483588</v>
      </c>
      <c r="DJ23">
        <f t="shared" si="49"/>
        <v>0.16057752424933247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1784649993.75</v>
      </c>
      <c r="DQ23">
        <v>420.04663333333338</v>
      </c>
      <c r="DR23">
        <v>455.06496666666658</v>
      </c>
      <c r="DS23">
        <v>24.979569999999999</v>
      </c>
      <c r="DT23">
        <v>22.819700000000001</v>
      </c>
      <c r="DU23">
        <v>427.22546666666659</v>
      </c>
      <c r="DV23">
        <v>25.845569999999999</v>
      </c>
      <c r="DW23">
        <v>499.93846666666673</v>
      </c>
      <c r="DX23">
        <v>97.811523333333326</v>
      </c>
      <c r="DY23">
        <v>5.2795196666666662E-2</v>
      </c>
      <c r="DZ23">
        <v>27.866046666666669</v>
      </c>
      <c r="EA23">
        <v>27.980876666666671</v>
      </c>
      <c r="EB23">
        <v>999.9000000000002</v>
      </c>
      <c r="EC23">
        <v>0</v>
      </c>
      <c r="ED23">
        <v>0</v>
      </c>
      <c r="EE23">
        <v>9999.6666666666661</v>
      </c>
      <c r="EF23">
        <v>0</v>
      </c>
      <c r="EG23">
        <v>1725.2819999999999</v>
      </c>
      <c r="EH23">
        <v>-35.018389999999997</v>
      </c>
      <c r="EI23">
        <v>430.84396666666657</v>
      </c>
      <c r="EJ23">
        <v>465.69193333333328</v>
      </c>
      <c r="EK23">
        <v>2.241166666666667</v>
      </c>
      <c r="EL23">
        <v>455.06496666666658</v>
      </c>
      <c r="EM23">
        <v>22.819700000000001</v>
      </c>
      <c r="EN23">
        <v>2.451242999999999</v>
      </c>
      <c r="EO23">
        <v>2.2320303333333329</v>
      </c>
      <c r="EP23">
        <v>20.706326666666669</v>
      </c>
      <c r="EQ23">
        <v>19.19407</v>
      </c>
      <c r="ER23">
        <v>600.00929999999994</v>
      </c>
      <c r="ES23">
        <v>0.98298040000000009</v>
      </c>
      <c r="ET23">
        <v>1.701954666666667E-2</v>
      </c>
      <c r="EU23">
        <v>0</v>
      </c>
      <c r="EV23">
        <v>846.80319999999995</v>
      </c>
      <c r="EW23">
        <v>5.0010700000000003</v>
      </c>
      <c r="EX23">
        <v>9349.2080000000024</v>
      </c>
      <c r="EY23">
        <v>5415.1553333333331</v>
      </c>
      <c r="EZ23">
        <v>43.155999999999992</v>
      </c>
      <c r="FA23">
        <v>46.5</v>
      </c>
      <c r="FB23">
        <v>45</v>
      </c>
      <c r="FC23">
        <v>46.008266666666671</v>
      </c>
      <c r="FD23">
        <v>44.766533333333342</v>
      </c>
      <c r="FE23">
        <v>584.88166666666655</v>
      </c>
      <c r="FF23">
        <v>10.130000000000001</v>
      </c>
      <c r="FG23">
        <v>0</v>
      </c>
      <c r="FH23">
        <v>181.60000014305109</v>
      </c>
      <c r="FI23">
        <v>0</v>
      </c>
      <c r="FJ23">
        <v>846.84994117647057</v>
      </c>
      <c r="FK23">
        <v>1.144117603938114</v>
      </c>
      <c r="FL23">
        <v>-328.5906861757615</v>
      </c>
      <c r="FM23">
        <v>9339.8705882352933</v>
      </c>
      <c r="FN23">
        <v>10</v>
      </c>
      <c r="FO23">
        <v>1784650022.5</v>
      </c>
      <c r="FP23" t="s">
        <v>818</v>
      </c>
      <c r="FQ23">
        <v>1784649728</v>
      </c>
      <c r="FR23">
        <v>1784650022.5</v>
      </c>
      <c r="FS23">
        <v>20</v>
      </c>
      <c r="FT23">
        <v>-8.9999999999999993E-3</v>
      </c>
      <c r="FU23">
        <v>-2.1000000000000001E-2</v>
      </c>
      <c r="FV23">
        <v>-7.3339999999999996</v>
      </c>
      <c r="FW23">
        <v>-0.86599999999999999</v>
      </c>
      <c r="FX23">
        <v>462</v>
      </c>
      <c r="FY23">
        <v>23</v>
      </c>
      <c r="FZ23">
        <v>0.21</v>
      </c>
      <c r="GA23">
        <v>0.14000000000000001</v>
      </c>
      <c r="GB23">
        <v>420.04870967741942</v>
      </c>
      <c r="GC23">
        <v>-3.0096774194532661E-2</v>
      </c>
      <c r="GD23">
        <v>6.0950108390388981E-2</v>
      </c>
      <c r="GE23">
        <v>-1</v>
      </c>
      <c r="GF23">
        <v>846.74179411764703</v>
      </c>
      <c r="GG23">
        <v>1.042184871220512</v>
      </c>
      <c r="GH23">
        <v>0.23632614296296339</v>
      </c>
      <c r="GI23">
        <v>1</v>
      </c>
      <c r="GJ23">
        <v>2.225081219512195</v>
      </c>
      <c r="GK23">
        <v>0.27775149825784201</v>
      </c>
      <c r="GL23">
        <v>2.9682869921984899E-2</v>
      </c>
      <c r="GM23">
        <v>1</v>
      </c>
      <c r="GN23">
        <v>2</v>
      </c>
      <c r="GO23">
        <v>2</v>
      </c>
      <c r="GP23" t="s">
        <v>424</v>
      </c>
      <c r="GQ23">
        <v>3.1314700000000002</v>
      </c>
      <c r="GR23">
        <v>2.7295099999999999</v>
      </c>
      <c r="GS23">
        <v>9.0851399999999999E-2</v>
      </c>
      <c r="GT23">
        <v>9.6034599999999998E-2</v>
      </c>
      <c r="GU23">
        <v>0.117063</v>
      </c>
      <c r="GV23">
        <v>0.107374</v>
      </c>
      <c r="GW23">
        <v>22630.6</v>
      </c>
      <c r="GX23">
        <v>30181.8</v>
      </c>
      <c r="GY23">
        <v>27017.9</v>
      </c>
      <c r="GZ23">
        <v>34357.300000000003</v>
      </c>
      <c r="HA23">
        <v>34965.699999999997</v>
      </c>
      <c r="HB23">
        <v>38769.699999999997</v>
      </c>
      <c r="HC23">
        <v>39909.800000000003</v>
      </c>
      <c r="HD23">
        <v>43505.9</v>
      </c>
      <c r="HE23">
        <v>1.8158000000000001</v>
      </c>
      <c r="HF23">
        <v>1.7181999999999999</v>
      </c>
      <c r="HG23">
        <v>-9.4473399999999999E-2</v>
      </c>
      <c r="HH23">
        <v>0</v>
      </c>
      <c r="HI23">
        <v>29.512799999999999</v>
      </c>
      <c r="HJ23">
        <v>999.9</v>
      </c>
      <c r="HK23">
        <v>44.7</v>
      </c>
      <c r="HL23">
        <v>39.200000000000003</v>
      </c>
      <c r="HM23">
        <v>32.456200000000003</v>
      </c>
      <c r="HN23">
        <v>61.706200000000003</v>
      </c>
      <c r="HO23">
        <v>3.40144</v>
      </c>
      <c r="HP23">
        <v>1</v>
      </c>
      <c r="HQ23">
        <v>0.855549</v>
      </c>
      <c r="HR23">
        <v>5.1545699999999997</v>
      </c>
      <c r="HS23">
        <v>20.165199999999999</v>
      </c>
      <c r="HT23">
        <v>5.2100999999999997</v>
      </c>
      <c r="HU23">
        <v>11.914099999999999</v>
      </c>
      <c r="HV23">
        <v>4.9836</v>
      </c>
      <c r="HW23">
        <v>3.2709999999999999</v>
      </c>
      <c r="HX23">
        <v>9999</v>
      </c>
      <c r="HY23">
        <v>9999</v>
      </c>
      <c r="HZ23">
        <v>9999</v>
      </c>
      <c r="IA23">
        <v>999.9</v>
      </c>
      <c r="IB23">
        <v>1.86771</v>
      </c>
      <c r="IC23">
        <v>1.8633999999999999</v>
      </c>
      <c r="ID23">
        <v>1.8628899999999999</v>
      </c>
      <c r="IE23">
        <v>1.8623700000000001</v>
      </c>
      <c r="IF23">
        <v>1.8624000000000001</v>
      </c>
      <c r="IG23">
        <v>1.8629500000000001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-7.1790000000000003</v>
      </c>
      <c r="IX23">
        <v>-0.86599999999999999</v>
      </c>
      <c r="IY23">
        <v>-5.1866608657226561</v>
      </c>
      <c r="IZ23">
        <v>-5.6215304933332991E-3</v>
      </c>
      <c r="JA23">
        <v>2.3979931213773931E-6</v>
      </c>
      <c r="JB23">
        <v>-3.6297174575716598E-10</v>
      </c>
      <c r="JC23">
        <v>-1.2287757391297141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4.5999999999999996</v>
      </c>
      <c r="JL23">
        <v>4.5999999999999996</v>
      </c>
      <c r="JM23">
        <v>1.17188</v>
      </c>
      <c r="JN23">
        <v>2.5427200000000001</v>
      </c>
      <c r="JO23">
        <v>1.50024</v>
      </c>
      <c r="JP23">
        <v>2.2717299999999998</v>
      </c>
      <c r="JQ23">
        <v>1.4477500000000001</v>
      </c>
      <c r="JR23">
        <v>2.47925</v>
      </c>
      <c r="JS23">
        <v>45.404299999999999</v>
      </c>
      <c r="JT23">
        <v>23.833600000000001</v>
      </c>
      <c r="JU23">
        <v>18</v>
      </c>
      <c r="JV23">
        <v>472.87400000000002</v>
      </c>
      <c r="JW23">
        <v>420.09399999999999</v>
      </c>
      <c r="JX23">
        <v>23.717700000000001</v>
      </c>
      <c r="JY23">
        <v>37.386600000000001</v>
      </c>
      <c r="JZ23">
        <v>29.997299999999999</v>
      </c>
      <c r="KA23">
        <v>37.801099999999998</v>
      </c>
      <c r="KB23">
        <v>37.868200000000002</v>
      </c>
      <c r="KC23">
        <v>23.4422</v>
      </c>
      <c r="KD23">
        <v>35.2181</v>
      </c>
      <c r="KE23">
        <v>0</v>
      </c>
      <c r="KF23">
        <v>23.769600000000001</v>
      </c>
      <c r="KG23">
        <v>455.12799999999999</v>
      </c>
      <c r="KH23">
        <v>22.788499999999999</v>
      </c>
      <c r="KI23">
        <v>99.732600000000005</v>
      </c>
      <c r="KJ23">
        <v>97.968400000000003</v>
      </c>
    </row>
    <row r="24" spans="1:296" x14ac:dyDescent="0.3">
      <c r="A24">
        <v>8</v>
      </c>
      <c r="B24">
        <v>1784650203.5</v>
      </c>
      <c r="C24">
        <v>1326.900000095367</v>
      </c>
      <c r="D24" t="s">
        <v>819</v>
      </c>
      <c r="E24" t="s">
        <v>820</v>
      </c>
      <c r="F24">
        <v>15</v>
      </c>
      <c r="H24">
        <v>1784650195.5</v>
      </c>
      <c r="I24">
        <f t="shared" si="0"/>
        <v>1.1090437531603087E-3</v>
      </c>
      <c r="J24">
        <f t="shared" si="1"/>
        <v>1.1090437531603088</v>
      </c>
      <c r="K24">
        <f t="shared" si="2"/>
        <v>20.122210696742201</v>
      </c>
      <c r="L24">
        <f t="shared" si="3"/>
        <v>420.24035483870972</v>
      </c>
      <c r="M24">
        <f t="shared" si="4"/>
        <v>-4.007758958168818</v>
      </c>
      <c r="N24">
        <f t="shared" si="5"/>
        <v>-0.39222954921813091</v>
      </c>
      <c r="O24">
        <f t="shared" si="6"/>
        <v>41.127893833457271</v>
      </c>
      <c r="P24">
        <f t="shared" si="7"/>
        <v>7.7739832583490778E-2</v>
      </c>
      <c r="Q24">
        <f t="shared" si="8"/>
        <v>2.8909237901548259</v>
      </c>
      <c r="R24">
        <f t="shared" si="9"/>
        <v>7.6596869376710855E-2</v>
      </c>
      <c r="S24">
        <f t="shared" si="10"/>
        <v>4.7974334157318901E-2</v>
      </c>
      <c r="T24">
        <f t="shared" si="11"/>
        <v>64.413137265205776</v>
      </c>
      <c r="U24">
        <f t="shared" si="12"/>
        <v>27.942791000152976</v>
      </c>
      <c r="V24">
        <f t="shared" si="13"/>
        <v>28.041964516129031</v>
      </c>
      <c r="W24">
        <f t="shared" si="14"/>
        <v>3.8041332398639796</v>
      </c>
      <c r="X24">
        <f t="shared" si="15"/>
        <v>64.656080529261089</v>
      </c>
      <c r="Y24">
        <f t="shared" si="16"/>
        <v>2.4322602255608046</v>
      </c>
      <c r="Z24">
        <f t="shared" si="17"/>
        <v>3.7618429784961194</v>
      </c>
      <c r="AA24">
        <f t="shared" si="18"/>
        <v>1.371873014303175</v>
      </c>
      <c r="AB24">
        <f t="shared" si="19"/>
        <v>-48.908829514369614</v>
      </c>
      <c r="AC24">
        <f t="shared" si="20"/>
        <v>-29.875485124458955</v>
      </c>
      <c r="AD24">
        <f t="shared" si="21"/>
        <v>-2.2514163964581768</v>
      </c>
      <c r="AE24">
        <f t="shared" si="22"/>
        <v>-16.622593770080968</v>
      </c>
      <c r="AF24">
        <f t="shared" si="23"/>
        <v>20.122210696742201</v>
      </c>
      <c r="AG24">
        <f t="shared" si="24"/>
        <v>1.1090437531603088</v>
      </c>
      <c r="AH24">
        <f t="shared" si="25"/>
        <v>20.194018783572307</v>
      </c>
      <c r="AI24">
        <v>455.76687517474988</v>
      </c>
      <c r="AJ24">
        <v>430.9409454545455</v>
      </c>
      <c r="AK24">
        <v>1.522196561704292E-3</v>
      </c>
      <c r="AL24">
        <v>67.09234482970345</v>
      </c>
      <c r="AM24">
        <f t="shared" si="26"/>
        <v>1.1524304740746094</v>
      </c>
      <c r="AN24">
        <v>23.564045942774339</v>
      </c>
      <c r="AO24">
        <v>24.91216424242424</v>
      </c>
      <c r="AP24">
        <v>6.1633068854467075E-5</v>
      </c>
      <c r="AQ24">
        <v>78.248760566004435</v>
      </c>
      <c r="AR24">
        <v>45</v>
      </c>
      <c r="AS24">
        <v>9</v>
      </c>
      <c r="AT24">
        <f t="shared" si="27"/>
        <v>1</v>
      </c>
      <c r="AU24">
        <f t="shared" si="28"/>
        <v>0</v>
      </c>
      <c r="AV24">
        <f t="shared" si="29"/>
        <v>51575.306807667497</v>
      </c>
      <c r="AW24" t="s">
        <v>789</v>
      </c>
      <c r="AX24">
        <v>5085.58</v>
      </c>
      <c r="AY24">
        <v>606.51470588235293</v>
      </c>
      <c r="AZ24">
        <v>2594.25</v>
      </c>
      <c r="BA24">
        <f t="shared" si="30"/>
        <v>0.7662080732842429</v>
      </c>
      <c r="BB24">
        <v>-2.3708319431283411</v>
      </c>
      <c r="BC24" t="s">
        <v>821</v>
      </c>
      <c r="BD24">
        <v>5082.83</v>
      </c>
      <c r="BE24">
        <v>827.84829411764713</v>
      </c>
      <c r="BF24">
        <v>1764.96</v>
      </c>
      <c r="BG24">
        <f t="shared" si="31"/>
        <v>0.53095350936131869</v>
      </c>
      <c r="BH24">
        <v>0.5</v>
      </c>
      <c r="BI24">
        <f t="shared" si="32"/>
        <v>336.29938080597316</v>
      </c>
      <c r="BJ24">
        <f t="shared" si="33"/>
        <v>20.122210696742201</v>
      </c>
      <c r="BK24">
        <f t="shared" si="34"/>
        <v>89.279668217484968</v>
      </c>
      <c r="BL24">
        <f t="shared" si="35"/>
        <v>6.688398469828831E-2</v>
      </c>
      <c r="BM24">
        <f t="shared" si="36"/>
        <v>0.46986333967908617</v>
      </c>
      <c r="BN24">
        <f t="shared" si="37"/>
        <v>546.48336826472018</v>
      </c>
      <c r="BO24" t="s">
        <v>408</v>
      </c>
      <c r="BP24">
        <v>0</v>
      </c>
      <c r="BQ24">
        <f t="shared" si="38"/>
        <v>546.48336826472018</v>
      </c>
      <c r="BR24">
        <f t="shared" si="39"/>
        <v>0.69037067793903528</v>
      </c>
      <c r="BS24">
        <f t="shared" si="40"/>
        <v>0.76908467628778054</v>
      </c>
      <c r="BT24">
        <f t="shared" si="41"/>
        <v>0.40497290421089566</v>
      </c>
      <c r="BU24">
        <f t="shared" si="42"/>
        <v>0.80893911058279422</v>
      </c>
      <c r="BV24">
        <f t="shared" si="43"/>
        <v>0.41720343873459298</v>
      </c>
      <c r="BW24">
        <f t="shared" si="44"/>
        <v>0.50769203411416319</v>
      </c>
      <c r="BX24">
        <f t="shared" si="45"/>
        <v>0.49230796588583681</v>
      </c>
      <c r="DG24">
        <f t="shared" si="46"/>
        <v>400.003193548387</v>
      </c>
      <c r="DH24">
        <f t="shared" si="47"/>
        <v>336.29938080597316</v>
      </c>
      <c r="DI24">
        <f t="shared" si="48"/>
        <v>0.84074173964136667</v>
      </c>
      <c r="DJ24">
        <f t="shared" si="49"/>
        <v>0.1610315575078376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1784650195.5</v>
      </c>
      <c r="DQ24">
        <v>420.24035483870972</v>
      </c>
      <c r="DR24">
        <v>444.94683870967742</v>
      </c>
      <c r="DS24">
        <v>24.852570967741929</v>
      </c>
      <c r="DT24">
        <v>23.55476451612903</v>
      </c>
      <c r="DU24">
        <v>427.4201290322581</v>
      </c>
      <c r="DV24">
        <v>25.71657096774193</v>
      </c>
      <c r="DW24">
        <v>499.98880645161302</v>
      </c>
      <c r="DX24">
        <v>97.814393548387102</v>
      </c>
      <c r="DY24">
        <v>5.3156200000000001E-2</v>
      </c>
      <c r="DZ24">
        <v>27.850277419354839</v>
      </c>
      <c r="EA24">
        <v>28.041964516129031</v>
      </c>
      <c r="EB24">
        <v>999.90000000000032</v>
      </c>
      <c r="EC24">
        <v>0</v>
      </c>
      <c r="ED24">
        <v>0</v>
      </c>
      <c r="EE24">
        <v>10000</v>
      </c>
      <c r="EF24">
        <v>0</v>
      </c>
      <c r="EG24">
        <v>1722.6090322580651</v>
      </c>
      <c r="EH24">
        <v>-24.706406451612899</v>
      </c>
      <c r="EI24">
        <v>430.97487096774199</v>
      </c>
      <c r="EJ24">
        <v>455.68029032258067</v>
      </c>
      <c r="EK24">
        <v>1.3527380645161291</v>
      </c>
      <c r="EL24">
        <v>444.94683870967742</v>
      </c>
      <c r="EM24">
        <v>23.55476451612903</v>
      </c>
      <c r="EN24">
        <v>2.436313225806451</v>
      </c>
      <c r="EO24">
        <v>2.3039948387096771</v>
      </c>
      <c r="EP24">
        <v>20.607180645161289</v>
      </c>
      <c r="EQ24">
        <v>19.704361290322581</v>
      </c>
      <c r="ER24">
        <v>400.003193548387</v>
      </c>
      <c r="ES24">
        <v>0.97496964516128992</v>
      </c>
      <c r="ET24">
        <v>2.5030151612903222E-2</v>
      </c>
      <c r="EU24">
        <v>0</v>
      </c>
      <c r="EV24">
        <v>827.99606451612897</v>
      </c>
      <c r="EW24">
        <v>5.0010700000000003</v>
      </c>
      <c r="EX24">
        <v>7476.2348387096754</v>
      </c>
      <c r="EY24">
        <v>3583.6609677419351</v>
      </c>
      <c r="EZ24">
        <v>42.622967741935483</v>
      </c>
      <c r="FA24">
        <v>46.25</v>
      </c>
      <c r="FB24">
        <v>44.625</v>
      </c>
      <c r="FC24">
        <v>45.870935483870959</v>
      </c>
      <c r="FD24">
        <v>44.366870967741917</v>
      </c>
      <c r="FE24">
        <v>385.11451612903221</v>
      </c>
      <c r="FF24">
        <v>9.889999999999997</v>
      </c>
      <c r="FG24">
        <v>0</v>
      </c>
      <c r="FH24">
        <v>201.20000004768369</v>
      </c>
      <c r="FI24">
        <v>0</v>
      </c>
      <c r="FJ24">
        <v>827.84829411764713</v>
      </c>
      <c r="FK24">
        <v>-3.018872537371843</v>
      </c>
      <c r="FL24">
        <v>437.84803922891302</v>
      </c>
      <c r="FM24">
        <v>7483.6594117647064</v>
      </c>
      <c r="FN24">
        <v>10</v>
      </c>
      <c r="FO24">
        <v>1784650220.5</v>
      </c>
      <c r="FP24" t="s">
        <v>822</v>
      </c>
      <c r="FQ24">
        <v>1784649728</v>
      </c>
      <c r="FR24">
        <v>1784650220.5</v>
      </c>
      <c r="FS24">
        <v>21</v>
      </c>
      <c r="FT24">
        <v>-8.9999999999999993E-3</v>
      </c>
      <c r="FU24">
        <v>-1.9E-2</v>
      </c>
      <c r="FV24">
        <v>-7.3339999999999996</v>
      </c>
      <c r="FW24">
        <v>-0.86399999999999999</v>
      </c>
      <c r="FX24">
        <v>462</v>
      </c>
      <c r="FY24">
        <v>24</v>
      </c>
      <c r="FZ24">
        <v>0.21</v>
      </c>
      <c r="GA24">
        <v>0.26</v>
      </c>
      <c r="GB24">
        <v>420.24264516129028</v>
      </c>
      <c r="GC24">
        <v>-0.55538709677527609</v>
      </c>
      <c r="GD24">
        <v>5.9480844510510403E-2</v>
      </c>
      <c r="GE24">
        <v>-1</v>
      </c>
      <c r="GF24">
        <v>828.11861764705873</v>
      </c>
      <c r="GG24">
        <v>-2.9441252866387568</v>
      </c>
      <c r="GH24">
        <v>0.37126334515177939</v>
      </c>
      <c r="GI24">
        <v>1</v>
      </c>
      <c r="GJ24">
        <v>1.388248780487805</v>
      </c>
      <c r="GK24">
        <v>-0.50340815331010558</v>
      </c>
      <c r="GL24">
        <v>6.0099832116770592E-2</v>
      </c>
      <c r="GM24">
        <v>0</v>
      </c>
      <c r="GN24">
        <v>1</v>
      </c>
      <c r="GO24">
        <v>2</v>
      </c>
      <c r="GP24" t="s">
        <v>411</v>
      </c>
      <c r="GQ24">
        <v>3.1315</v>
      </c>
      <c r="GR24">
        <v>2.7290899999999998</v>
      </c>
      <c r="GS24">
        <v>9.0883400000000003E-2</v>
      </c>
      <c r="GT24">
        <v>9.4353599999999996E-2</v>
      </c>
      <c r="GU24">
        <v>0.116521</v>
      </c>
      <c r="GV24">
        <v>0.10989599999999999</v>
      </c>
      <c r="GW24">
        <v>22624.9</v>
      </c>
      <c r="GX24">
        <v>30230.400000000001</v>
      </c>
      <c r="GY24">
        <v>27012.5</v>
      </c>
      <c r="GZ24">
        <v>34349.300000000003</v>
      </c>
      <c r="HA24">
        <v>34981.1</v>
      </c>
      <c r="HB24">
        <v>38654.1</v>
      </c>
      <c r="HC24">
        <v>39902.6</v>
      </c>
      <c r="HD24">
        <v>43498.7</v>
      </c>
      <c r="HE24">
        <v>1.8158000000000001</v>
      </c>
      <c r="HF24">
        <v>1.7154</v>
      </c>
      <c r="HG24">
        <v>-9.8049600000000001E-2</v>
      </c>
      <c r="HH24">
        <v>0</v>
      </c>
      <c r="HI24">
        <v>29.6173</v>
      </c>
      <c r="HJ24">
        <v>999.9</v>
      </c>
      <c r="HK24">
        <v>44.1</v>
      </c>
      <c r="HL24">
        <v>39.6</v>
      </c>
      <c r="HM24">
        <v>32.7166</v>
      </c>
      <c r="HN24">
        <v>61.696300000000001</v>
      </c>
      <c r="HO24">
        <v>3.6257999999999999</v>
      </c>
      <c r="HP24">
        <v>1</v>
      </c>
      <c r="HQ24">
        <v>0.875</v>
      </c>
      <c r="HR24">
        <v>6.2766900000000003</v>
      </c>
      <c r="HS24">
        <v>20.1294</v>
      </c>
      <c r="HT24">
        <v>5.2100999999999997</v>
      </c>
      <c r="HU24">
        <v>11.914099999999999</v>
      </c>
      <c r="HV24">
        <v>4.9828000000000001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1.8677699999999999</v>
      </c>
      <c r="IC24">
        <v>1.8634299999999999</v>
      </c>
      <c r="ID24">
        <v>1.8629500000000001</v>
      </c>
      <c r="IE24">
        <v>1.86246</v>
      </c>
      <c r="IF24">
        <v>1.86246</v>
      </c>
      <c r="IG24">
        <v>1.8629800000000001</v>
      </c>
      <c r="IH24">
        <v>1.8638600000000001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-7.18</v>
      </c>
      <c r="IX24">
        <v>-0.86399999999999999</v>
      </c>
      <c r="IY24">
        <v>-5.1866608657226561</v>
      </c>
      <c r="IZ24">
        <v>-5.6215304933332991E-3</v>
      </c>
      <c r="JA24">
        <v>2.3979931213773931E-6</v>
      </c>
      <c r="JB24">
        <v>-3.6297174575716598E-10</v>
      </c>
      <c r="JC24">
        <v>-1.2494688403308221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7.9</v>
      </c>
      <c r="JL24">
        <v>3</v>
      </c>
      <c r="JM24">
        <v>1.1511199999999999</v>
      </c>
      <c r="JN24">
        <v>2.5476100000000002</v>
      </c>
      <c r="JO24">
        <v>1.50024</v>
      </c>
      <c r="JP24">
        <v>2.2717299999999998</v>
      </c>
      <c r="JQ24">
        <v>1.4477500000000001</v>
      </c>
      <c r="JR24">
        <v>2.3730500000000001</v>
      </c>
      <c r="JS24">
        <v>45.6905</v>
      </c>
      <c r="JT24">
        <v>23.816099999999999</v>
      </c>
      <c r="JU24">
        <v>18</v>
      </c>
      <c r="JV24">
        <v>473.52699999999999</v>
      </c>
      <c r="JW24">
        <v>418.964</v>
      </c>
      <c r="JX24">
        <v>23.4665</v>
      </c>
      <c r="JY24">
        <v>37.496400000000001</v>
      </c>
      <c r="JZ24">
        <v>30.000399999999999</v>
      </c>
      <c r="KA24">
        <v>37.8994</v>
      </c>
      <c r="KB24">
        <v>37.966000000000001</v>
      </c>
      <c r="KC24">
        <v>23.0334</v>
      </c>
      <c r="KD24">
        <v>33.459099999999999</v>
      </c>
      <c r="KE24">
        <v>0</v>
      </c>
      <c r="KF24">
        <v>23.4756</v>
      </c>
      <c r="KG24">
        <v>444.71499999999997</v>
      </c>
      <c r="KH24">
        <v>23.623799999999999</v>
      </c>
      <c r="KI24">
        <v>99.713700000000003</v>
      </c>
      <c r="KJ24">
        <v>97.949399999999997</v>
      </c>
    </row>
    <row r="25" spans="1:296" x14ac:dyDescent="0.3">
      <c r="A25">
        <v>9</v>
      </c>
      <c r="B25">
        <v>1784650401.5</v>
      </c>
      <c r="C25">
        <v>1524.900000095367</v>
      </c>
      <c r="D25" t="s">
        <v>823</v>
      </c>
      <c r="E25" t="s">
        <v>824</v>
      </c>
      <c r="F25">
        <v>15</v>
      </c>
      <c r="H25">
        <v>1784650393.75</v>
      </c>
      <c r="I25">
        <f t="shared" si="0"/>
        <v>1.2164089016578495E-3</v>
      </c>
      <c r="J25">
        <f t="shared" si="1"/>
        <v>1.2164089016578494</v>
      </c>
      <c r="K25">
        <f t="shared" si="2"/>
        <v>16.337077651072413</v>
      </c>
      <c r="L25">
        <f t="shared" si="3"/>
        <v>420.38446666666658</v>
      </c>
      <c r="M25">
        <f t="shared" si="4"/>
        <v>104.62528896255334</v>
      </c>
      <c r="N25">
        <f t="shared" si="5"/>
        <v>10.239914551096099</v>
      </c>
      <c r="O25">
        <f t="shared" si="6"/>
        <v>41.143982109482884</v>
      </c>
      <c r="P25">
        <f t="shared" si="7"/>
        <v>8.5587626278391657E-2</v>
      </c>
      <c r="Q25">
        <f t="shared" si="8"/>
        <v>2.8913114572045457</v>
      </c>
      <c r="R25">
        <f t="shared" si="9"/>
        <v>8.4204648038978133E-2</v>
      </c>
      <c r="S25">
        <f t="shared" si="10"/>
        <v>5.2750298636712385E-2</v>
      </c>
      <c r="T25">
        <f t="shared" si="11"/>
        <v>48.442537722399059</v>
      </c>
      <c r="U25">
        <f t="shared" si="12"/>
        <v>27.753051045730132</v>
      </c>
      <c r="V25">
        <f t="shared" si="13"/>
        <v>28.014749999999989</v>
      </c>
      <c r="W25">
        <f t="shared" si="14"/>
        <v>3.798103989050897</v>
      </c>
      <c r="X25">
        <f t="shared" si="15"/>
        <v>64.825650275646723</v>
      </c>
      <c r="Y25">
        <f t="shared" si="16"/>
        <v>2.4292341151264902</v>
      </c>
      <c r="Z25">
        <f t="shared" si="17"/>
        <v>3.7473347429560446</v>
      </c>
      <c r="AA25">
        <f t="shared" si="18"/>
        <v>1.3688698739244067</v>
      </c>
      <c r="AB25">
        <f t="shared" si="19"/>
        <v>-53.643632563111161</v>
      </c>
      <c r="AC25">
        <f t="shared" si="20"/>
        <v>-35.955485743437933</v>
      </c>
      <c r="AD25">
        <f t="shared" si="21"/>
        <v>-2.7079808705629942</v>
      </c>
      <c r="AE25">
        <f t="shared" si="22"/>
        <v>-43.864561454713026</v>
      </c>
      <c r="AF25">
        <f t="shared" si="23"/>
        <v>16.337077651072413</v>
      </c>
      <c r="AG25">
        <f t="shared" si="24"/>
        <v>1.2164089016578494</v>
      </c>
      <c r="AH25">
        <f t="shared" si="25"/>
        <v>16.207310348451834</v>
      </c>
      <c r="AI25">
        <v>451.02751196536911</v>
      </c>
      <c r="AJ25">
        <v>431.07620606060578</v>
      </c>
      <c r="AK25">
        <v>7.028803037190094E-3</v>
      </c>
      <c r="AL25">
        <v>67.09537374002231</v>
      </c>
      <c r="AM25">
        <f t="shared" si="26"/>
        <v>1.1359429810376589</v>
      </c>
      <c r="AN25">
        <v>23.398909915299789</v>
      </c>
      <c r="AO25">
        <v>24.775978181818179</v>
      </c>
      <c r="AP25">
        <v>-7.7999634326594456E-3</v>
      </c>
      <c r="AQ25">
        <v>78.25738294739034</v>
      </c>
      <c r="AR25">
        <v>30</v>
      </c>
      <c r="AS25">
        <v>6</v>
      </c>
      <c r="AT25">
        <f t="shared" si="27"/>
        <v>1</v>
      </c>
      <c r="AU25">
        <f t="shared" si="28"/>
        <v>0</v>
      </c>
      <c r="AV25">
        <f t="shared" si="29"/>
        <v>51597.755023208716</v>
      </c>
      <c r="AW25" t="s">
        <v>789</v>
      </c>
      <c r="AX25">
        <v>5085.58</v>
      </c>
      <c r="AY25">
        <v>606.51470588235293</v>
      </c>
      <c r="AZ25">
        <v>2594.25</v>
      </c>
      <c r="BA25">
        <f t="shared" si="30"/>
        <v>0.7662080732842429</v>
      </c>
      <c r="BB25">
        <v>-2.3708319431283411</v>
      </c>
      <c r="BC25" t="s">
        <v>825</v>
      </c>
      <c r="BD25">
        <v>5084.3900000000003</v>
      </c>
      <c r="BE25">
        <v>811.33864705882365</v>
      </c>
      <c r="BF25">
        <v>1909.58</v>
      </c>
      <c r="BG25">
        <f t="shared" si="31"/>
        <v>0.57512193934853539</v>
      </c>
      <c r="BH25">
        <v>0.5</v>
      </c>
      <c r="BI25">
        <f t="shared" si="32"/>
        <v>252.28846634321198</v>
      </c>
      <c r="BJ25">
        <f t="shared" si="33"/>
        <v>16.337077651072413</v>
      </c>
      <c r="BK25">
        <f t="shared" si="34"/>
        <v>72.548316019287881</v>
      </c>
      <c r="BL25">
        <f t="shared" si="35"/>
        <v>7.4152853142127412E-2</v>
      </c>
      <c r="BM25">
        <f t="shared" si="36"/>
        <v>0.35854481090082641</v>
      </c>
      <c r="BN25">
        <f t="shared" si="37"/>
        <v>559.60581443444562</v>
      </c>
      <c r="BO25" t="s">
        <v>408</v>
      </c>
      <c r="BP25">
        <v>0</v>
      </c>
      <c r="BQ25">
        <f t="shared" si="38"/>
        <v>559.60581443444562</v>
      </c>
      <c r="BR25">
        <f t="shared" si="39"/>
        <v>0.70694822189463358</v>
      </c>
      <c r="BS25">
        <f t="shared" si="40"/>
        <v>0.8135276694058281</v>
      </c>
      <c r="BT25">
        <f t="shared" si="41"/>
        <v>0.33650601164433458</v>
      </c>
      <c r="BU25">
        <f t="shared" si="42"/>
        <v>0.84281375453624952</v>
      </c>
      <c r="BV25">
        <f t="shared" si="43"/>
        <v>0.34444727224301974</v>
      </c>
      <c r="BW25">
        <f t="shared" si="44"/>
        <v>0.56111565208084813</v>
      </c>
      <c r="BX25">
        <f t="shared" si="45"/>
        <v>0.43888434791915187</v>
      </c>
      <c r="DG25">
        <f t="shared" si="46"/>
        <v>299.9960333333334</v>
      </c>
      <c r="DH25">
        <f t="shared" si="47"/>
        <v>252.28846634321198</v>
      </c>
      <c r="DI25">
        <f t="shared" si="48"/>
        <v>0.84097267400495157</v>
      </c>
      <c r="DJ25">
        <f t="shared" si="49"/>
        <v>0.16147726082955668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1784650393.75</v>
      </c>
      <c r="DQ25">
        <v>420.38446666666658</v>
      </c>
      <c r="DR25">
        <v>440.6022999999999</v>
      </c>
      <c r="DS25">
        <v>24.820453333333329</v>
      </c>
      <c r="DT25">
        <v>23.39701333333333</v>
      </c>
      <c r="DU25">
        <v>427.43086666666659</v>
      </c>
      <c r="DV25">
        <v>25.637229999999999</v>
      </c>
      <c r="DW25">
        <v>500.00720000000001</v>
      </c>
      <c r="DX25">
        <v>97.818236666666664</v>
      </c>
      <c r="DY25">
        <v>5.4033533333333328E-2</v>
      </c>
      <c r="DZ25">
        <v>27.784083333333339</v>
      </c>
      <c r="EA25">
        <v>28.014749999999989</v>
      </c>
      <c r="EB25">
        <v>999.9000000000002</v>
      </c>
      <c r="EC25">
        <v>0</v>
      </c>
      <c r="ED25">
        <v>0</v>
      </c>
      <c r="EE25">
        <v>10001.83333333333</v>
      </c>
      <c r="EF25">
        <v>0</v>
      </c>
      <c r="EG25">
        <v>1716.314333333333</v>
      </c>
      <c r="EH25">
        <v>-20.217913333333339</v>
      </c>
      <c r="EI25">
        <v>431.08409999999998</v>
      </c>
      <c r="EJ25">
        <v>451.15796666666671</v>
      </c>
      <c r="EK25">
        <v>1.423440333333333</v>
      </c>
      <c r="EL25">
        <v>440.6022999999999</v>
      </c>
      <c r="EM25">
        <v>23.39701333333333</v>
      </c>
      <c r="EN25">
        <v>2.4278930000000001</v>
      </c>
      <c r="EO25">
        <v>2.2886549999999999</v>
      </c>
      <c r="EP25">
        <v>20.551026666666669</v>
      </c>
      <c r="EQ25">
        <v>19.596766666666671</v>
      </c>
      <c r="ER25">
        <v>299.9960333333334</v>
      </c>
      <c r="ES25">
        <v>0.96703450000000013</v>
      </c>
      <c r="ET25">
        <v>3.2965316666666668E-2</v>
      </c>
      <c r="EU25">
        <v>0</v>
      </c>
      <c r="EV25">
        <v>811.50243333333333</v>
      </c>
      <c r="EW25">
        <v>5.0010700000000003</v>
      </c>
      <c r="EX25">
        <v>6496.4693333333353</v>
      </c>
      <c r="EY25">
        <v>2668.0266666666662</v>
      </c>
      <c r="EZ25">
        <v>42.180799999999977</v>
      </c>
      <c r="FA25">
        <v>45.936999999999983</v>
      </c>
      <c r="FB25">
        <v>44.2624</v>
      </c>
      <c r="FC25">
        <v>45.561999999999983</v>
      </c>
      <c r="FD25">
        <v>43.978999999999992</v>
      </c>
      <c r="FE25">
        <v>285.27</v>
      </c>
      <c r="FF25">
        <v>9.7266666666666666</v>
      </c>
      <c r="FG25">
        <v>0</v>
      </c>
      <c r="FH25">
        <v>197.5999999046326</v>
      </c>
      <c r="FI25">
        <v>0</v>
      </c>
      <c r="FJ25">
        <v>811.33864705882365</v>
      </c>
      <c r="FK25">
        <v>-1.8990196288145971</v>
      </c>
      <c r="FL25">
        <v>-131.21324068651441</v>
      </c>
      <c r="FM25">
        <v>6483.5541176470588</v>
      </c>
      <c r="FN25">
        <v>10</v>
      </c>
      <c r="FO25">
        <v>1784650305.5</v>
      </c>
      <c r="FP25" t="s">
        <v>826</v>
      </c>
      <c r="FQ25">
        <v>1784650305.5</v>
      </c>
      <c r="FR25">
        <v>1784650304</v>
      </c>
      <c r="FS25">
        <v>22</v>
      </c>
      <c r="FT25">
        <v>0.13300000000000001</v>
      </c>
      <c r="FU25">
        <v>1.2999999999999999E-2</v>
      </c>
      <c r="FV25">
        <v>-7.1319999999999997</v>
      </c>
      <c r="FW25">
        <v>-0.86499999999999999</v>
      </c>
      <c r="FX25">
        <v>443</v>
      </c>
      <c r="FY25">
        <v>23</v>
      </c>
      <c r="FZ25">
        <v>0.41</v>
      </c>
      <c r="GA25">
        <v>0.17</v>
      </c>
      <c r="GB25">
        <v>420.38753333333341</v>
      </c>
      <c r="GC25">
        <v>-0.23428698553845961</v>
      </c>
      <c r="GD25">
        <v>5.053891789722452E-2</v>
      </c>
      <c r="GE25">
        <v>-1</v>
      </c>
      <c r="GF25">
        <v>811.6900588235294</v>
      </c>
      <c r="GG25">
        <v>-3.2547593579900238</v>
      </c>
      <c r="GH25">
        <v>0.43426909123101742</v>
      </c>
      <c r="GI25">
        <v>1</v>
      </c>
      <c r="GJ25">
        <v>1.4378457499999999</v>
      </c>
      <c r="GK25">
        <v>-0.26088709193246062</v>
      </c>
      <c r="GL25">
        <v>2.629614020036972E-2</v>
      </c>
      <c r="GM25">
        <v>1</v>
      </c>
      <c r="GN25">
        <v>2</v>
      </c>
      <c r="GO25">
        <v>2</v>
      </c>
      <c r="GP25" t="s">
        <v>424</v>
      </c>
      <c r="GQ25">
        <v>3.1321300000000001</v>
      </c>
      <c r="GR25">
        <v>2.7300599999999999</v>
      </c>
      <c r="GS25">
        <v>9.0850299999999995E-2</v>
      </c>
      <c r="GT25">
        <v>9.3643699999999996E-2</v>
      </c>
      <c r="GU25">
        <v>0.11609999999999999</v>
      </c>
      <c r="GV25">
        <v>0.10931399999999999</v>
      </c>
      <c r="GW25">
        <v>22622</v>
      </c>
      <c r="GX25">
        <v>30249.1</v>
      </c>
      <c r="GY25">
        <v>27008.5</v>
      </c>
      <c r="GZ25">
        <v>34344.300000000003</v>
      </c>
      <c r="HA25">
        <v>34994.1</v>
      </c>
      <c r="HB25">
        <v>38675.5</v>
      </c>
      <c r="HC25">
        <v>39898</v>
      </c>
      <c r="HD25">
        <v>43494.3</v>
      </c>
      <c r="HE25">
        <v>1.843</v>
      </c>
      <c r="HF25">
        <v>1.71</v>
      </c>
      <c r="HG25">
        <v>-9.6708500000000003E-2</v>
      </c>
      <c r="HH25">
        <v>0</v>
      </c>
      <c r="HI25">
        <v>29.597000000000001</v>
      </c>
      <c r="HJ25">
        <v>999.9</v>
      </c>
      <c r="HK25">
        <v>43.6</v>
      </c>
      <c r="HL25">
        <v>39.9</v>
      </c>
      <c r="HM25">
        <v>32.867699999999999</v>
      </c>
      <c r="HN25">
        <v>61.3964</v>
      </c>
      <c r="HO25">
        <v>3.5617000000000001</v>
      </c>
      <c r="HP25">
        <v>1</v>
      </c>
      <c r="HQ25">
        <v>0.88014199999999998</v>
      </c>
      <c r="HR25">
        <v>5.9328799999999999</v>
      </c>
      <c r="HS25">
        <v>20.141999999999999</v>
      </c>
      <c r="HT25">
        <v>5.2053099999999999</v>
      </c>
      <c r="HU25">
        <v>11.914099999999999</v>
      </c>
      <c r="HV25">
        <v>4.9820000000000002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1.86774</v>
      </c>
      <c r="IC25">
        <v>1.8634599999999999</v>
      </c>
      <c r="ID25">
        <v>1.8629500000000001</v>
      </c>
      <c r="IE25">
        <v>1.86243</v>
      </c>
      <c r="IF25">
        <v>1.86249</v>
      </c>
      <c r="IG25">
        <v>1.8629500000000001</v>
      </c>
      <c r="IH25">
        <v>1.86389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-7.0460000000000003</v>
      </c>
      <c r="IX25">
        <v>-0.81810000000000005</v>
      </c>
      <c r="IY25">
        <v>-5.0534483311975649</v>
      </c>
      <c r="IZ25">
        <v>-5.6215304933332991E-3</v>
      </c>
      <c r="JA25">
        <v>2.3979931213773931E-6</v>
      </c>
      <c r="JB25">
        <v>-3.6297174575716598E-10</v>
      </c>
      <c r="JC25">
        <v>-1.25492143494828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1.6</v>
      </c>
      <c r="JL25">
        <v>1.6</v>
      </c>
      <c r="JM25">
        <v>1.1425799999999999</v>
      </c>
      <c r="JN25">
        <v>2.5451700000000002</v>
      </c>
      <c r="JO25">
        <v>1.50024</v>
      </c>
      <c r="JP25">
        <v>2.2717299999999998</v>
      </c>
      <c r="JQ25">
        <v>1.4477500000000001</v>
      </c>
      <c r="JR25">
        <v>2.49146</v>
      </c>
      <c r="JS25">
        <v>45.920999999999999</v>
      </c>
      <c r="JT25">
        <v>23.8248</v>
      </c>
      <c r="JU25">
        <v>18</v>
      </c>
      <c r="JV25">
        <v>491.07600000000002</v>
      </c>
      <c r="JW25">
        <v>416.12299999999999</v>
      </c>
      <c r="JX25">
        <v>23.774799999999999</v>
      </c>
      <c r="JY25">
        <v>37.5854</v>
      </c>
      <c r="JZ25">
        <v>30.001000000000001</v>
      </c>
      <c r="KA25">
        <v>37.984000000000002</v>
      </c>
      <c r="KB25">
        <v>38.046599999999998</v>
      </c>
      <c r="KC25">
        <v>22.8492</v>
      </c>
      <c r="KD25">
        <v>34.172199999999997</v>
      </c>
      <c r="KE25">
        <v>0</v>
      </c>
      <c r="KF25">
        <v>23.759499999999999</v>
      </c>
      <c r="KG25">
        <v>440.315</v>
      </c>
      <c r="KH25">
        <v>23.4297</v>
      </c>
      <c r="KI25">
        <v>99.700900000000004</v>
      </c>
      <c r="KJ25">
        <v>97.9375</v>
      </c>
    </row>
    <row r="26" spans="1:296" x14ac:dyDescent="0.3">
      <c r="A26">
        <v>10</v>
      </c>
      <c r="B26">
        <v>1784650584</v>
      </c>
      <c r="C26">
        <v>1707.400000095367</v>
      </c>
      <c r="D26" t="s">
        <v>827</v>
      </c>
      <c r="E26" t="s">
        <v>828</v>
      </c>
      <c r="F26">
        <v>15</v>
      </c>
      <c r="H26">
        <v>1784650576.25</v>
      </c>
      <c r="I26">
        <f t="shared" si="0"/>
        <v>5.0229505036196789E-4</v>
      </c>
      <c r="J26">
        <f t="shared" si="1"/>
        <v>0.50229505036196787</v>
      </c>
      <c r="K26">
        <f t="shared" si="2"/>
        <v>8.3437653301624959</v>
      </c>
      <c r="L26">
        <f t="shared" si="3"/>
        <v>420.43476666666669</v>
      </c>
      <c r="M26">
        <f t="shared" si="4"/>
        <v>31.437816541926271</v>
      </c>
      <c r="N26">
        <f t="shared" si="5"/>
        <v>3.0768223359275226</v>
      </c>
      <c r="O26">
        <f t="shared" si="6"/>
        <v>41.147993823149086</v>
      </c>
      <c r="P26">
        <f t="shared" si="7"/>
        <v>3.4986041774415881E-2</v>
      </c>
      <c r="Q26">
        <f t="shared" si="8"/>
        <v>2.8910577984684735</v>
      </c>
      <c r="R26">
        <f t="shared" si="9"/>
        <v>3.4752524242883324E-2</v>
      </c>
      <c r="S26">
        <f t="shared" si="10"/>
        <v>2.1741178197979362E-2</v>
      </c>
      <c r="T26">
        <f t="shared" si="11"/>
        <v>32.486661038960129</v>
      </c>
      <c r="U26">
        <f t="shared" si="12"/>
        <v>27.803949867174694</v>
      </c>
      <c r="V26">
        <f t="shared" si="13"/>
        <v>27.978583333333329</v>
      </c>
      <c r="W26">
        <f t="shared" si="14"/>
        <v>3.7901043330903863</v>
      </c>
      <c r="X26">
        <f t="shared" si="15"/>
        <v>64.748389298953498</v>
      </c>
      <c r="Y26">
        <f t="shared" si="16"/>
        <v>2.4204222493505476</v>
      </c>
      <c r="Z26">
        <f t="shared" si="17"/>
        <v>3.7381968502337215</v>
      </c>
      <c r="AA26">
        <f t="shared" si="18"/>
        <v>1.3696820837398387</v>
      </c>
      <c r="AB26">
        <f t="shared" si="19"/>
        <v>-22.151211720962785</v>
      </c>
      <c r="AC26">
        <f t="shared" si="20"/>
        <v>-36.831396992452184</v>
      </c>
      <c r="AD26">
        <f t="shared" si="21"/>
        <v>-2.7731151781834908</v>
      </c>
      <c r="AE26">
        <f t="shared" si="22"/>
        <v>-29.269062852638331</v>
      </c>
      <c r="AF26">
        <f t="shared" si="23"/>
        <v>8.3437653301624959</v>
      </c>
      <c r="AG26">
        <f t="shared" si="24"/>
        <v>0.50229505036196787</v>
      </c>
      <c r="AH26">
        <f t="shared" si="25"/>
        <v>8.5135784851183303</v>
      </c>
      <c r="AI26">
        <v>441.31721400246738</v>
      </c>
      <c r="AJ26">
        <v>430.99545454545449</v>
      </c>
      <c r="AK26">
        <v>-2.8057507237392001E-2</v>
      </c>
      <c r="AL26">
        <v>67.09537374002231</v>
      </c>
      <c r="AM26">
        <f t="shared" si="26"/>
        <v>0.53932155474178622</v>
      </c>
      <c r="AN26">
        <v>24.149009667749159</v>
      </c>
      <c r="AO26">
        <v>24.779661818181818</v>
      </c>
      <c r="AP26">
        <v>8.0447867423066031E-5</v>
      </c>
      <c r="AQ26">
        <v>78.25738294739034</v>
      </c>
      <c r="AR26">
        <v>30</v>
      </c>
      <c r="AS26">
        <v>6</v>
      </c>
      <c r="AT26">
        <f t="shared" si="27"/>
        <v>1</v>
      </c>
      <c r="AU26">
        <f t="shared" si="28"/>
        <v>0</v>
      </c>
      <c r="AV26">
        <f t="shared" si="29"/>
        <v>51597.693162091426</v>
      </c>
      <c r="AW26" t="s">
        <v>789</v>
      </c>
      <c r="AX26">
        <v>5085.58</v>
      </c>
      <c r="AY26">
        <v>606.51470588235293</v>
      </c>
      <c r="AZ26">
        <v>2594.25</v>
      </c>
      <c r="BA26">
        <f t="shared" si="30"/>
        <v>0.7662080732842429</v>
      </c>
      <c r="BB26">
        <v>-2.3708319431283411</v>
      </c>
      <c r="BC26" t="s">
        <v>829</v>
      </c>
      <c r="BD26">
        <v>5086.28</v>
      </c>
      <c r="BE26">
        <v>795.04147058823526</v>
      </c>
      <c r="BF26">
        <v>1986.18</v>
      </c>
      <c r="BG26">
        <f t="shared" si="31"/>
        <v>0.59971328349483166</v>
      </c>
      <c r="BH26">
        <v>0.5</v>
      </c>
      <c r="BI26">
        <f t="shared" si="32"/>
        <v>168.30372940878763</v>
      </c>
      <c r="BJ26">
        <f t="shared" si="33"/>
        <v>8.3437653301624959</v>
      </c>
      <c r="BK26">
        <f t="shared" si="34"/>
        <v>50.466991094084847</v>
      </c>
      <c r="BL26">
        <f t="shared" si="35"/>
        <v>6.366226886907829E-2</v>
      </c>
      <c r="BM26">
        <f t="shared" si="36"/>
        <v>0.30615049995468685</v>
      </c>
      <c r="BN26">
        <f t="shared" si="37"/>
        <v>566.00276625506194</v>
      </c>
      <c r="BO26" t="s">
        <v>408</v>
      </c>
      <c r="BP26">
        <v>0</v>
      </c>
      <c r="BQ26">
        <f t="shared" si="38"/>
        <v>566.00276625506194</v>
      </c>
      <c r="BR26">
        <f t="shared" si="39"/>
        <v>0.71502947051371879</v>
      </c>
      <c r="BS26">
        <f t="shared" si="40"/>
        <v>0.83872526689559068</v>
      </c>
      <c r="BT26">
        <f t="shared" si="41"/>
        <v>0.29980072936042651</v>
      </c>
      <c r="BU26">
        <f t="shared" si="42"/>
        <v>0.8633532600191608</v>
      </c>
      <c r="BV26">
        <f t="shared" si="43"/>
        <v>0.30591095393812051</v>
      </c>
      <c r="BW26">
        <f t="shared" si="44"/>
        <v>0.59710196103315594</v>
      </c>
      <c r="BX26">
        <f t="shared" si="45"/>
        <v>0.40289803896684406</v>
      </c>
      <c r="DG26">
        <f t="shared" si="46"/>
        <v>200.01336666666671</v>
      </c>
      <c r="DH26">
        <f t="shared" si="47"/>
        <v>168.30372940878763</v>
      </c>
      <c r="DI26">
        <f t="shared" si="48"/>
        <v>0.84146240930624938</v>
      </c>
      <c r="DJ26">
        <f t="shared" si="49"/>
        <v>0.16242244996106156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1784650576.25</v>
      </c>
      <c r="DQ26">
        <v>420.43476666666669</v>
      </c>
      <c r="DR26">
        <v>430.70063333333331</v>
      </c>
      <c r="DS26">
        <v>24.730966666666671</v>
      </c>
      <c r="DT26">
        <v>24.143123333333332</v>
      </c>
      <c r="DU26">
        <v>427.48129999999998</v>
      </c>
      <c r="DV26">
        <v>25.59096666666667</v>
      </c>
      <c r="DW26">
        <v>500.00343333333342</v>
      </c>
      <c r="DX26">
        <v>97.817030000000003</v>
      </c>
      <c r="DY26">
        <v>5.3072773333333337E-2</v>
      </c>
      <c r="DZ26">
        <v>27.742276666666669</v>
      </c>
      <c r="EA26">
        <v>27.978583333333329</v>
      </c>
      <c r="EB26">
        <v>999.9000000000002</v>
      </c>
      <c r="EC26">
        <v>0</v>
      </c>
      <c r="ED26">
        <v>0</v>
      </c>
      <c r="EE26">
        <v>10000.5</v>
      </c>
      <c r="EF26">
        <v>0</v>
      </c>
      <c r="EG26">
        <v>1482.449333333333</v>
      </c>
      <c r="EH26">
        <v>-10.26597333333333</v>
      </c>
      <c r="EI26">
        <v>431.11470000000003</v>
      </c>
      <c r="EJ26">
        <v>441.35640000000001</v>
      </c>
      <c r="EK26">
        <v>0.6297446333333333</v>
      </c>
      <c r="EL26">
        <v>430.70063333333331</v>
      </c>
      <c r="EM26">
        <v>24.143123333333332</v>
      </c>
      <c r="EN26">
        <v>2.4232089999999999</v>
      </c>
      <c r="EO26">
        <v>2.3616083333333329</v>
      </c>
      <c r="EP26">
        <v>20.519703333333329</v>
      </c>
      <c r="EQ26">
        <v>20.102910000000001</v>
      </c>
      <c r="ER26">
        <v>200.01336666666671</v>
      </c>
      <c r="ES26">
        <v>0.94999510000000009</v>
      </c>
      <c r="ET26">
        <v>5.000507333333333E-2</v>
      </c>
      <c r="EU26">
        <v>0</v>
      </c>
      <c r="EV26">
        <v>794.95096666666677</v>
      </c>
      <c r="EW26">
        <v>5.0010700000000003</v>
      </c>
      <c r="EX26">
        <v>5233.0940000000001</v>
      </c>
      <c r="EY26">
        <v>1751.9449999999999</v>
      </c>
      <c r="EZ26">
        <v>41.760333333333328</v>
      </c>
      <c r="FA26">
        <v>45.722699999999989</v>
      </c>
      <c r="FB26">
        <v>43.951699999999981</v>
      </c>
      <c r="FC26">
        <v>45.322499999999977</v>
      </c>
      <c r="FD26">
        <v>43.647733333333328</v>
      </c>
      <c r="FE26">
        <v>185.26133333333331</v>
      </c>
      <c r="FF26">
        <v>9.75</v>
      </c>
      <c r="FG26">
        <v>0</v>
      </c>
      <c r="FH26">
        <v>181.79999995231631</v>
      </c>
      <c r="FI26">
        <v>0</v>
      </c>
      <c r="FJ26">
        <v>795.04147058823526</v>
      </c>
      <c r="FK26">
        <v>0.16789215372441199</v>
      </c>
      <c r="FL26">
        <v>3590.6887383665699</v>
      </c>
      <c r="FM26">
        <v>5472.3223529411771</v>
      </c>
      <c r="FN26">
        <v>10</v>
      </c>
      <c r="FO26">
        <v>1784650605</v>
      </c>
      <c r="FP26" t="s">
        <v>830</v>
      </c>
      <c r="FQ26">
        <v>1784650305.5</v>
      </c>
      <c r="FR26">
        <v>1784650605</v>
      </c>
      <c r="FS26">
        <v>23</v>
      </c>
      <c r="FT26">
        <v>0.13300000000000001</v>
      </c>
      <c r="FU26">
        <v>-2.5999999999999999E-2</v>
      </c>
      <c r="FV26">
        <v>-7.1319999999999997</v>
      </c>
      <c r="FW26">
        <v>-0.86</v>
      </c>
      <c r="FX26">
        <v>443</v>
      </c>
      <c r="FY26">
        <v>24</v>
      </c>
      <c r="FZ26">
        <v>0.41</v>
      </c>
      <c r="GA26">
        <v>0.52</v>
      </c>
      <c r="GB26">
        <v>420.44009677419342</v>
      </c>
      <c r="GC26">
        <v>-0.8911451612905571</v>
      </c>
      <c r="GD26">
        <v>8.6549391022513369E-2</v>
      </c>
      <c r="GE26">
        <v>-1</v>
      </c>
      <c r="GF26">
        <v>794.87482352941174</v>
      </c>
      <c r="GG26">
        <v>1.379770817097336</v>
      </c>
      <c r="GH26">
        <v>0.2665123847236196</v>
      </c>
      <c r="GI26">
        <v>1</v>
      </c>
      <c r="GJ26">
        <v>0.63130548780487805</v>
      </c>
      <c r="GK26">
        <v>-3.3273094076654172E-2</v>
      </c>
      <c r="GL26">
        <v>4.5873800170231106E-3</v>
      </c>
      <c r="GM26">
        <v>1</v>
      </c>
      <c r="GN26">
        <v>2</v>
      </c>
      <c r="GO26">
        <v>2</v>
      </c>
      <c r="GP26" t="s">
        <v>424</v>
      </c>
      <c r="GQ26">
        <v>3.1318999999999999</v>
      </c>
      <c r="GR26">
        <v>2.7287699999999999</v>
      </c>
      <c r="GS26">
        <v>9.0840699999999996E-2</v>
      </c>
      <c r="GT26">
        <v>9.2017100000000004E-2</v>
      </c>
      <c r="GU26">
        <v>0.116093</v>
      </c>
      <c r="GV26">
        <v>0.111744</v>
      </c>
      <c r="GW26">
        <v>22620.2</v>
      </c>
      <c r="GX26">
        <v>30300.2</v>
      </c>
      <c r="GY26">
        <v>27006.3</v>
      </c>
      <c r="GZ26">
        <v>34340.9</v>
      </c>
      <c r="HA26">
        <v>34991.599999999999</v>
      </c>
      <c r="HB26">
        <v>38568.1</v>
      </c>
      <c r="HC26">
        <v>39894.6</v>
      </c>
      <c r="HD26">
        <v>43491.9</v>
      </c>
      <c r="HE26">
        <v>1.841</v>
      </c>
      <c r="HF26">
        <v>1.7081999999999999</v>
      </c>
      <c r="HG26">
        <v>-9.9182099999999995E-2</v>
      </c>
      <c r="HH26">
        <v>0</v>
      </c>
      <c r="HI26">
        <v>29.581600000000002</v>
      </c>
      <c r="HJ26">
        <v>999.9</v>
      </c>
      <c r="HK26">
        <v>43.2</v>
      </c>
      <c r="HL26">
        <v>40.1</v>
      </c>
      <c r="HM26">
        <v>32.917400000000001</v>
      </c>
      <c r="HN26">
        <v>61.486499999999999</v>
      </c>
      <c r="HO26">
        <v>3.4294899999999999</v>
      </c>
      <c r="HP26">
        <v>1</v>
      </c>
      <c r="HQ26">
        <v>0.88109800000000005</v>
      </c>
      <c r="HR26">
        <v>5.52569</v>
      </c>
      <c r="HS26">
        <v>20.156099999999999</v>
      </c>
      <c r="HT26">
        <v>5.2088999999999999</v>
      </c>
      <c r="HU26">
        <v>11.914099999999999</v>
      </c>
      <c r="HV26">
        <v>4.9820000000000002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1.8677999999999999</v>
      </c>
      <c r="IC26">
        <v>1.8634599999999999</v>
      </c>
      <c r="ID26">
        <v>1.8629500000000001</v>
      </c>
      <c r="IE26">
        <v>1.86249</v>
      </c>
      <c r="IF26">
        <v>1.86249</v>
      </c>
      <c r="IG26">
        <v>1.8629800000000001</v>
      </c>
      <c r="IH26">
        <v>1.86398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-7.0469999999999997</v>
      </c>
      <c r="IX26">
        <v>-0.86</v>
      </c>
      <c r="IY26">
        <v>-5.0534483311975649</v>
      </c>
      <c r="IZ26">
        <v>-5.6215304933332991E-3</v>
      </c>
      <c r="JA26">
        <v>2.3979931213773931E-6</v>
      </c>
      <c r="JB26">
        <v>-3.6297174575716598E-10</v>
      </c>
      <c r="JC26">
        <v>-1.25492143494828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4.5999999999999996</v>
      </c>
      <c r="JL26">
        <v>4.7</v>
      </c>
      <c r="JM26">
        <v>1.1218300000000001</v>
      </c>
      <c r="JN26">
        <v>2.5390600000000001</v>
      </c>
      <c r="JO26">
        <v>1.50024</v>
      </c>
      <c r="JP26">
        <v>2.2717299999999998</v>
      </c>
      <c r="JQ26">
        <v>1.4477500000000001</v>
      </c>
      <c r="JR26">
        <v>2.50244</v>
      </c>
      <c r="JS26">
        <v>46.094700000000003</v>
      </c>
      <c r="JT26">
        <v>23.833600000000001</v>
      </c>
      <c r="JU26">
        <v>18</v>
      </c>
      <c r="JV26">
        <v>490.178</v>
      </c>
      <c r="JW26">
        <v>415.358</v>
      </c>
      <c r="JX26">
        <v>23.8688</v>
      </c>
      <c r="JY26">
        <v>37.631799999999998</v>
      </c>
      <c r="JZ26">
        <v>29.9999</v>
      </c>
      <c r="KA26">
        <v>38.037100000000002</v>
      </c>
      <c r="KB26">
        <v>38.102800000000002</v>
      </c>
      <c r="KC26">
        <v>22.4542</v>
      </c>
      <c r="KD26">
        <v>32.740099999999998</v>
      </c>
      <c r="KE26">
        <v>0</v>
      </c>
      <c r="KF26">
        <v>23.897600000000001</v>
      </c>
      <c r="KG26">
        <v>430.43900000000002</v>
      </c>
      <c r="KH26">
        <v>24.225100000000001</v>
      </c>
      <c r="KI26">
        <v>99.692700000000002</v>
      </c>
      <c r="KJ26">
        <v>97.930199999999999</v>
      </c>
    </row>
    <row r="27" spans="1:296" x14ac:dyDescent="0.3">
      <c r="A27">
        <v>11</v>
      </c>
      <c r="B27">
        <v>1784650786</v>
      </c>
      <c r="C27">
        <v>1909.400000095367</v>
      </c>
      <c r="D27" t="s">
        <v>831</v>
      </c>
      <c r="E27" t="s">
        <v>832</v>
      </c>
      <c r="F27">
        <v>15</v>
      </c>
      <c r="H27">
        <v>1784650778</v>
      </c>
      <c r="I27">
        <f t="shared" si="0"/>
        <v>3.3969258440302765E-4</v>
      </c>
      <c r="J27">
        <f t="shared" si="1"/>
        <v>0.33969258440302763</v>
      </c>
      <c r="K27">
        <f t="shared" si="2"/>
        <v>3.9672806064929675</v>
      </c>
      <c r="L27">
        <f t="shared" si="3"/>
        <v>420.38106451612907</v>
      </c>
      <c r="M27">
        <f t="shared" si="4"/>
        <v>143.50471061686076</v>
      </c>
      <c r="N27">
        <f t="shared" si="5"/>
        <v>14.045156544808703</v>
      </c>
      <c r="O27">
        <f t="shared" si="6"/>
        <v>41.143721583928595</v>
      </c>
      <c r="P27">
        <f t="shared" si="7"/>
        <v>2.3570397811805328E-2</v>
      </c>
      <c r="Q27">
        <f t="shared" si="8"/>
        <v>2.8917263445539252</v>
      </c>
      <c r="R27">
        <f t="shared" si="9"/>
        <v>2.3464182810455668E-2</v>
      </c>
      <c r="S27">
        <f t="shared" si="10"/>
        <v>1.4674617234025994E-2</v>
      </c>
      <c r="T27">
        <f t="shared" si="11"/>
        <v>16.510351055720314</v>
      </c>
      <c r="U27">
        <f t="shared" si="12"/>
        <v>27.827984808418787</v>
      </c>
      <c r="V27">
        <f t="shared" si="13"/>
        <v>28.00096774193549</v>
      </c>
      <c r="W27">
        <f t="shared" si="14"/>
        <v>3.7950537745951629</v>
      </c>
      <c r="X27">
        <f t="shared" si="15"/>
        <v>64.53236784295899</v>
      </c>
      <c r="Y27">
        <f t="shared" si="16"/>
        <v>2.4231584514414335</v>
      </c>
      <c r="Z27">
        <f t="shared" si="17"/>
        <v>3.7549504728204695</v>
      </c>
      <c r="AA27">
        <f t="shared" si="18"/>
        <v>1.3718953231537294</v>
      </c>
      <c r="AB27">
        <f t="shared" si="19"/>
        <v>-14.980442972173519</v>
      </c>
      <c r="AC27">
        <f t="shared" si="20"/>
        <v>-28.390671197799886</v>
      </c>
      <c r="AD27">
        <f t="shared" si="21"/>
        <v>-2.1381550782503083</v>
      </c>
      <c r="AE27">
        <f t="shared" si="22"/>
        <v>-28.9989181925034</v>
      </c>
      <c r="AF27">
        <f t="shared" si="23"/>
        <v>3.9672806064929675</v>
      </c>
      <c r="AG27">
        <f t="shared" si="24"/>
        <v>0.33969258440302763</v>
      </c>
      <c r="AH27">
        <f t="shared" si="25"/>
        <v>3.6642118785937141</v>
      </c>
      <c r="AI27">
        <v>435.6851237615661</v>
      </c>
      <c r="AJ27">
        <v>431.11654545454547</v>
      </c>
      <c r="AK27">
        <v>1.179701248686168E-2</v>
      </c>
      <c r="AL27">
        <v>67.092812692688412</v>
      </c>
      <c r="AM27">
        <f t="shared" si="26"/>
        <v>0.3328245112400674</v>
      </c>
      <c r="AN27">
        <v>24.417605354902928</v>
      </c>
      <c r="AO27">
        <v>24.78952242424241</v>
      </c>
      <c r="AP27">
        <v>2.8700876490789242E-3</v>
      </c>
      <c r="AQ27">
        <v>78.251074632161149</v>
      </c>
      <c r="AR27">
        <v>32</v>
      </c>
      <c r="AS27">
        <v>6</v>
      </c>
      <c r="AT27">
        <f t="shared" si="27"/>
        <v>1</v>
      </c>
      <c r="AU27">
        <f t="shared" si="28"/>
        <v>0</v>
      </c>
      <c r="AV27">
        <f t="shared" si="29"/>
        <v>51603.617367440937</v>
      </c>
      <c r="AW27" t="s">
        <v>789</v>
      </c>
      <c r="AX27">
        <v>5085.58</v>
      </c>
      <c r="AY27">
        <v>606.51470588235293</v>
      </c>
      <c r="AZ27">
        <v>2594.25</v>
      </c>
      <c r="BA27">
        <f t="shared" si="30"/>
        <v>0.7662080732842429</v>
      </c>
      <c r="BB27">
        <v>-2.3708319431283411</v>
      </c>
      <c r="BC27" t="s">
        <v>833</v>
      </c>
      <c r="BD27">
        <v>5088.1099999999997</v>
      </c>
      <c r="BE27">
        <v>759.30541176470592</v>
      </c>
      <c r="BF27">
        <v>2164.44</v>
      </c>
      <c r="BG27">
        <f t="shared" si="31"/>
        <v>0.64919082452518628</v>
      </c>
      <c r="BH27">
        <v>0.5</v>
      </c>
      <c r="BI27">
        <f t="shared" si="32"/>
        <v>84.286531352286929</v>
      </c>
      <c r="BJ27">
        <f t="shared" si="33"/>
        <v>3.9672806064929675</v>
      </c>
      <c r="BK27">
        <f t="shared" si="34"/>
        <v>27.359021392479558</v>
      </c>
      <c r="BL27">
        <f t="shared" si="35"/>
        <v>7.5197216541398687E-2</v>
      </c>
      <c r="BM27">
        <f t="shared" si="36"/>
        <v>0.19857792315795306</v>
      </c>
      <c r="BN27">
        <f t="shared" si="37"/>
        <v>579.60596831418684</v>
      </c>
      <c r="BO27" t="s">
        <v>408</v>
      </c>
      <c r="BP27">
        <v>0</v>
      </c>
      <c r="BQ27">
        <f t="shared" si="38"/>
        <v>579.60596831418684</v>
      </c>
      <c r="BR27">
        <f t="shared" si="39"/>
        <v>0.73221435183503036</v>
      </c>
      <c r="BS27">
        <f t="shared" si="40"/>
        <v>0.88661308385751292</v>
      </c>
      <c r="BT27">
        <f t="shared" si="41"/>
        <v>0.21334289990690994</v>
      </c>
      <c r="BU27">
        <f t="shared" si="42"/>
        <v>0.90192680839109929</v>
      </c>
      <c r="BV27">
        <f t="shared" si="43"/>
        <v>0.21623100483849486</v>
      </c>
      <c r="BW27">
        <f t="shared" si="44"/>
        <v>0.67678463372852204</v>
      </c>
      <c r="BX27">
        <f t="shared" si="45"/>
        <v>0.32321536627147796</v>
      </c>
      <c r="DG27">
        <f t="shared" si="46"/>
        <v>100.00181612903221</v>
      </c>
      <c r="DH27">
        <f t="shared" si="47"/>
        <v>84.286531352286929</v>
      </c>
      <c r="DI27">
        <f t="shared" si="48"/>
        <v>0.84285000627920725</v>
      </c>
      <c r="DJ27">
        <f t="shared" si="49"/>
        <v>0.16510051211887022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1784650778</v>
      </c>
      <c r="DQ27">
        <v>420.38106451612907</v>
      </c>
      <c r="DR27">
        <v>425.31299999999999</v>
      </c>
      <c r="DS27">
        <v>24.75833225806452</v>
      </c>
      <c r="DT27">
        <v>24.360806451612909</v>
      </c>
      <c r="DU27">
        <v>427.41906451612908</v>
      </c>
      <c r="DV27">
        <v>25.61533225806452</v>
      </c>
      <c r="DW27">
        <v>500.01638709677411</v>
      </c>
      <c r="DX27">
        <v>97.820035483870981</v>
      </c>
      <c r="DY27">
        <v>5.2407061290322569E-2</v>
      </c>
      <c r="DZ27">
        <v>27.818858064516121</v>
      </c>
      <c r="EA27">
        <v>28.00096774193549</v>
      </c>
      <c r="EB27">
        <v>999.90000000000032</v>
      </c>
      <c r="EC27">
        <v>0</v>
      </c>
      <c r="ED27">
        <v>0</v>
      </c>
      <c r="EE27">
        <v>10004.032258064521</v>
      </c>
      <c r="EF27">
        <v>0</v>
      </c>
      <c r="EG27">
        <v>1642.449032258065</v>
      </c>
      <c r="EH27">
        <v>-4.9403738709677416</v>
      </c>
      <c r="EI27">
        <v>431.05077419354842</v>
      </c>
      <c r="EJ27">
        <v>435.93264516129028</v>
      </c>
      <c r="EK27">
        <v>0.41162848387096779</v>
      </c>
      <c r="EL27">
        <v>425.31299999999999</v>
      </c>
      <c r="EM27">
        <v>24.360806451612909</v>
      </c>
      <c r="EN27">
        <v>2.4232403225806451</v>
      </c>
      <c r="EO27">
        <v>2.3829735483870969</v>
      </c>
      <c r="EP27">
        <v>20.519912903225801</v>
      </c>
      <c r="EQ27">
        <v>20.248477419354831</v>
      </c>
      <c r="ER27">
        <v>100.00181612903221</v>
      </c>
      <c r="ES27">
        <v>0.89998441935483897</v>
      </c>
      <c r="ET27">
        <v>0.10001571612903221</v>
      </c>
      <c r="EU27">
        <v>0</v>
      </c>
      <c r="EV27">
        <v>758.71983870967745</v>
      </c>
      <c r="EW27">
        <v>5.0010700000000003</v>
      </c>
      <c r="EX27">
        <v>4709.5532258064504</v>
      </c>
      <c r="EY27">
        <v>836.58212903225842</v>
      </c>
      <c r="EZ27">
        <v>41.18099999999999</v>
      </c>
      <c r="FA27">
        <v>45.186999999999969</v>
      </c>
      <c r="FB27">
        <v>43.42499999999999</v>
      </c>
      <c r="FC27">
        <v>44.875</v>
      </c>
      <c r="FD27">
        <v>43.128999999999998</v>
      </c>
      <c r="FE27">
        <v>85.498709677419384</v>
      </c>
      <c r="FF27">
        <v>9.5</v>
      </c>
      <c r="FG27">
        <v>0</v>
      </c>
      <c r="FH27">
        <v>201.20000004768369</v>
      </c>
      <c r="FI27">
        <v>0</v>
      </c>
      <c r="FJ27">
        <v>759.30541176470592</v>
      </c>
      <c r="FK27">
        <v>10.147794142996579</v>
      </c>
      <c r="FL27">
        <v>-693.8553930669591</v>
      </c>
      <c r="FM27">
        <v>4694.8847058823521</v>
      </c>
      <c r="FN27">
        <v>10</v>
      </c>
      <c r="FO27">
        <v>1784650803.5</v>
      </c>
      <c r="FP27" t="s">
        <v>834</v>
      </c>
      <c r="FQ27">
        <v>1784650803.5</v>
      </c>
      <c r="FR27">
        <v>1784650800</v>
      </c>
      <c r="FS27">
        <v>24</v>
      </c>
      <c r="FT27">
        <v>2.5999999999999999E-2</v>
      </c>
      <c r="FU27">
        <v>-4.0000000000000001E-3</v>
      </c>
      <c r="FV27">
        <v>-7.0380000000000003</v>
      </c>
      <c r="FW27">
        <v>-0.85699999999999998</v>
      </c>
      <c r="FX27">
        <v>425</v>
      </c>
      <c r="FY27">
        <v>24</v>
      </c>
      <c r="FZ27">
        <v>2.6</v>
      </c>
      <c r="GA27">
        <v>0.5</v>
      </c>
      <c r="GB27">
        <v>420.37258064516129</v>
      </c>
      <c r="GC27">
        <v>0.32216129032204399</v>
      </c>
      <c r="GD27">
        <v>6.278112218501021E-2</v>
      </c>
      <c r="GE27">
        <v>-1</v>
      </c>
      <c r="GF27">
        <v>758.25941176470599</v>
      </c>
      <c r="GG27">
        <v>10.59889992270053</v>
      </c>
      <c r="GH27">
        <v>1.068316518355406</v>
      </c>
      <c r="GI27">
        <v>0</v>
      </c>
      <c r="GJ27">
        <v>0.43496665853658528</v>
      </c>
      <c r="GK27">
        <v>-0.59330891289198651</v>
      </c>
      <c r="GL27">
        <v>6.5470816575434077E-2</v>
      </c>
      <c r="GM27">
        <v>0</v>
      </c>
      <c r="GN27">
        <v>0</v>
      </c>
      <c r="GO27">
        <v>2</v>
      </c>
      <c r="GP27" t="s">
        <v>720</v>
      </c>
      <c r="GQ27">
        <v>3.1305299999999998</v>
      </c>
      <c r="GR27">
        <v>2.7298399999999998</v>
      </c>
      <c r="GS27">
        <v>9.0865699999999994E-2</v>
      </c>
      <c r="GT27">
        <v>9.11574E-2</v>
      </c>
      <c r="GU27">
        <v>0.11622399999999999</v>
      </c>
      <c r="GV27">
        <v>0.11264100000000001</v>
      </c>
      <c r="GW27">
        <v>22623.7</v>
      </c>
      <c r="GX27">
        <v>30338.6</v>
      </c>
      <c r="GY27">
        <v>27010.6</v>
      </c>
      <c r="GZ27">
        <v>34351</v>
      </c>
      <c r="HA27">
        <v>34991.800000000003</v>
      </c>
      <c r="HB27">
        <v>38539.699999999997</v>
      </c>
      <c r="HC27">
        <v>39901.4</v>
      </c>
      <c r="HD27">
        <v>43504</v>
      </c>
      <c r="HE27">
        <v>1.837</v>
      </c>
      <c r="HF27">
        <v>1.7110000000000001</v>
      </c>
      <c r="HG27">
        <v>-8.35061E-2</v>
      </c>
      <c r="HH27">
        <v>0</v>
      </c>
      <c r="HI27">
        <v>29.370799999999999</v>
      </c>
      <c r="HJ27">
        <v>999.9</v>
      </c>
      <c r="HK27">
        <v>42.7</v>
      </c>
      <c r="HL27">
        <v>40.4</v>
      </c>
      <c r="HM27">
        <v>33.060699999999997</v>
      </c>
      <c r="HN27">
        <v>61.206499999999998</v>
      </c>
      <c r="HO27">
        <v>3.7379799999999999</v>
      </c>
      <c r="HP27">
        <v>1</v>
      </c>
      <c r="HQ27">
        <v>0.86798799999999998</v>
      </c>
      <c r="HR27">
        <v>5.2050299999999998</v>
      </c>
      <c r="HS27">
        <v>20.166499999999999</v>
      </c>
      <c r="HT27">
        <v>5.2077099999999996</v>
      </c>
      <c r="HU27">
        <v>11.914099999999999</v>
      </c>
      <c r="HV27">
        <v>4.9832000000000001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1.86771</v>
      </c>
      <c r="IC27">
        <v>1.8634599999999999</v>
      </c>
      <c r="ID27">
        <v>1.8629500000000001</v>
      </c>
      <c r="IE27">
        <v>1.86249</v>
      </c>
      <c r="IF27">
        <v>1.86249</v>
      </c>
      <c r="IG27">
        <v>1.8629800000000001</v>
      </c>
      <c r="IH27">
        <v>1.8638600000000001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-7.0380000000000003</v>
      </c>
      <c r="IX27">
        <v>-0.85699999999999998</v>
      </c>
      <c r="IY27">
        <v>-5.0534483311975649</v>
      </c>
      <c r="IZ27">
        <v>-5.6215304933332991E-3</v>
      </c>
      <c r="JA27">
        <v>2.3979931213773931E-6</v>
      </c>
      <c r="JB27">
        <v>-3.6297174575716598E-10</v>
      </c>
      <c r="JC27">
        <v>-1.2804195001587479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8</v>
      </c>
      <c r="JL27">
        <v>3</v>
      </c>
      <c r="JM27">
        <v>1.11206</v>
      </c>
      <c r="JN27">
        <v>2.5476100000000002</v>
      </c>
      <c r="JO27">
        <v>1.50024</v>
      </c>
      <c r="JP27">
        <v>2.2705099999999998</v>
      </c>
      <c r="JQ27">
        <v>1.4477500000000001</v>
      </c>
      <c r="JR27">
        <v>2.3706100000000001</v>
      </c>
      <c r="JS27">
        <v>46.24</v>
      </c>
      <c r="JT27">
        <v>23.833600000000001</v>
      </c>
      <c r="JU27">
        <v>18</v>
      </c>
      <c r="JV27">
        <v>487.17099999999999</v>
      </c>
      <c r="JW27">
        <v>416.654</v>
      </c>
      <c r="JX27">
        <v>24.337299999999999</v>
      </c>
      <c r="JY27">
        <v>37.514200000000002</v>
      </c>
      <c r="JZ27">
        <v>30.001100000000001</v>
      </c>
      <c r="KA27">
        <v>37.9664</v>
      </c>
      <c r="KB27">
        <v>38.032499999999999</v>
      </c>
      <c r="KC27">
        <v>22.2392</v>
      </c>
      <c r="KD27">
        <v>32.1905</v>
      </c>
      <c r="KE27">
        <v>0</v>
      </c>
      <c r="KF27">
        <v>24.314800000000002</v>
      </c>
      <c r="KG27">
        <v>424.93799999999999</v>
      </c>
      <c r="KH27">
        <v>24.501100000000001</v>
      </c>
      <c r="KI27">
        <v>99.709100000000007</v>
      </c>
      <c r="KJ27">
        <v>97.958200000000005</v>
      </c>
    </row>
    <row r="28" spans="1:296" x14ac:dyDescent="0.3">
      <c r="A28">
        <v>12</v>
      </c>
      <c r="B28">
        <v>1784650984.5999999</v>
      </c>
      <c r="C28">
        <v>2108</v>
      </c>
      <c r="D28" t="s">
        <v>835</v>
      </c>
      <c r="E28" t="s">
        <v>836</v>
      </c>
      <c r="F28">
        <v>15</v>
      </c>
      <c r="H28">
        <v>1784650976.849999</v>
      </c>
      <c r="I28">
        <f t="shared" si="0"/>
        <v>1.26169063776788E-4</v>
      </c>
      <c r="J28">
        <f t="shared" si="1"/>
        <v>0.12616906377678799</v>
      </c>
      <c r="K28">
        <f t="shared" si="2"/>
        <v>1.095627801525709</v>
      </c>
      <c r="L28">
        <f t="shared" si="3"/>
        <v>420.08613333333341</v>
      </c>
      <c r="M28">
        <f t="shared" si="4"/>
        <v>213.52590913101761</v>
      </c>
      <c r="N28">
        <f t="shared" si="5"/>
        <v>20.898391532462576</v>
      </c>
      <c r="O28">
        <f t="shared" si="6"/>
        <v>41.115031555123764</v>
      </c>
      <c r="P28">
        <f t="shared" si="7"/>
        <v>8.8090131128901548E-3</v>
      </c>
      <c r="Q28">
        <f t="shared" si="8"/>
        <v>2.8908449995573213</v>
      </c>
      <c r="R28">
        <f t="shared" si="9"/>
        <v>8.794127594422935E-3</v>
      </c>
      <c r="S28">
        <f t="shared" si="10"/>
        <v>5.4976650272762937E-3</v>
      </c>
      <c r="T28">
        <f t="shared" si="11"/>
        <v>8.2442601916895484</v>
      </c>
      <c r="U28">
        <f t="shared" si="12"/>
        <v>27.737881177550076</v>
      </c>
      <c r="V28">
        <f t="shared" si="13"/>
        <v>27.998133333333339</v>
      </c>
      <c r="W28">
        <f t="shared" si="14"/>
        <v>3.7944267437087813</v>
      </c>
      <c r="X28">
        <f t="shared" si="15"/>
        <v>65.214223027635711</v>
      </c>
      <c r="Y28">
        <f t="shared" si="16"/>
        <v>2.4349342028480354</v>
      </c>
      <c r="Z28">
        <f t="shared" si="17"/>
        <v>3.7337471640445488</v>
      </c>
      <c r="AA28">
        <f t="shared" si="18"/>
        <v>1.3594925408607459</v>
      </c>
      <c r="AB28">
        <f t="shared" si="19"/>
        <v>-5.5640557125563506</v>
      </c>
      <c r="AC28">
        <f t="shared" si="20"/>
        <v>-43.053384334840402</v>
      </c>
      <c r="AD28">
        <f t="shared" si="21"/>
        <v>-3.2418072249661751</v>
      </c>
      <c r="AE28">
        <f t="shared" si="22"/>
        <v>-43.61498708067338</v>
      </c>
      <c r="AF28">
        <f t="shared" si="23"/>
        <v>1.095627801525709</v>
      </c>
      <c r="AG28">
        <f t="shared" si="24"/>
        <v>0.12616906377678799</v>
      </c>
      <c r="AH28">
        <f t="shared" si="25"/>
        <v>1.1279519233504349</v>
      </c>
      <c r="AI28">
        <v>432.21025474732909</v>
      </c>
      <c r="AJ28">
        <v>430.83447272727273</v>
      </c>
      <c r="AK28">
        <v>-2.28784860384892E-3</v>
      </c>
      <c r="AL28">
        <v>67.03426206006128</v>
      </c>
      <c r="AM28">
        <f t="shared" si="26"/>
        <v>0.16482880933871005</v>
      </c>
      <c r="AN28">
        <v>24.734845390849429</v>
      </c>
      <c r="AO28">
        <v>24.91695939393939</v>
      </c>
      <c r="AP28">
        <v>1.759163089700368E-3</v>
      </c>
      <c r="AQ28">
        <v>78.063583291878729</v>
      </c>
      <c r="AR28">
        <v>24</v>
      </c>
      <c r="AS28">
        <v>5</v>
      </c>
      <c r="AT28">
        <f t="shared" si="27"/>
        <v>1</v>
      </c>
      <c r="AU28">
        <f t="shared" si="28"/>
        <v>0</v>
      </c>
      <c r="AV28">
        <f t="shared" si="29"/>
        <v>51595.20282099639</v>
      </c>
      <c r="AW28" t="s">
        <v>789</v>
      </c>
      <c r="AX28">
        <v>5085.58</v>
      </c>
      <c r="AY28">
        <v>606.51470588235293</v>
      </c>
      <c r="AZ28">
        <v>2594.25</v>
      </c>
      <c r="BA28">
        <f t="shared" si="30"/>
        <v>0.7662080732842429</v>
      </c>
      <c r="BB28">
        <v>-2.3708319431283411</v>
      </c>
      <c r="BC28" t="s">
        <v>837</v>
      </c>
      <c r="BD28">
        <v>5084.09</v>
      </c>
      <c r="BE28">
        <v>735.78411764705879</v>
      </c>
      <c r="BF28">
        <v>2214.0700000000002</v>
      </c>
      <c r="BG28">
        <f t="shared" si="31"/>
        <v>0.66767802388946207</v>
      </c>
      <c r="BH28">
        <v>0.5</v>
      </c>
      <c r="BI28">
        <f t="shared" si="32"/>
        <v>42.152169467196664</v>
      </c>
      <c r="BJ28">
        <f t="shared" si="33"/>
        <v>1.095627801525709</v>
      </c>
      <c r="BK28">
        <f t="shared" si="34"/>
        <v>14.072038606255793</v>
      </c>
      <c r="BL28">
        <f t="shared" si="35"/>
        <v>8.2236805091412707E-2</v>
      </c>
      <c r="BM28">
        <f t="shared" si="36"/>
        <v>0.17171092151557982</v>
      </c>
      <c r="BN28">
        <f t="shared" si="37"/>
        <v>583.10612777680774</v>
      </c>
      <c r="BO28" t="s">
        <v>408</v>
      </c>
      <c r="BP28">
        <v>0</v>
      </c>
      <c r="BQ28">
        <f t="shared" si="38"/>
        <v>583.10612777680774</v>
      </c>
      <c r="BR28">
        <f t="shared" si="39"/>
        <v>0.73663609200395297</v>
      </c>
      <c r="BS28">
        <f t="shared" si="40"/>
        <v>0.90638787745670091</v>
      </c>
      <c r="BT28">
        <f t="shared" si="41"/>
        <v>0.1890366995871533</v>
      </c>
      <c r="BU28">
        <f t="shared" si="42"/>
        <v>0.91958633570009851</v>
      </c>
      <c r="BV28">
        <f t="shared" si="43"/>
        <v>0.19126289155556864</v>
      </c>
      <c r="BW28">
        <f t="shared" si="44"/>
        <v>0.71830896157116753</v>
      </c>
      <c r="BX28">
        <f t="shared" si="45"/>
        <v>0.28169103842883247</v>
      </c>
      <c r="DG28">
        <f t="shared" si="46"/>
        <v>50.020133333333341</v>
      </c>
      <c r="DH28">
        <f t="shared" si="47"/>
        <v>42.152169467196664</v>
      </c>
      <c r="DI28">
        <f t="shared" si="48"/>
        <v>0.84270406050890156</v>
      </c>
      <c r="DJ28">
        <f t="shared" si="49"/>
        <v>0.16481883678217998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1784650976.849999</v>
      </c>
      <c r="DQ28">
        <v>420.08613333333341</v>
      </c>
      <c r="DR28">
        <v>421.46440000000001</v>
      </c>
      <c r="DS28">
        <v>24.878543333333329</v>
      </c>
      <c r="DT28">
        <v>24.730916666666669</v>
      </c>
      <c r="DU28">
        <v>427.12240000000003</v>
      </c>
      <c r="DV28">
        <v>25.728643333333331</v>
      </c>
      <c r="DW28">
        <v>500.03226666666671</v>
      </c>
      <c r="DX28">
        <v>97.819749999999985</v>
      </c>
      <c r="DY28">
        <v>5.3110570000000003E-2</v>
      </c>
      <c r="DZ28">
        <v>27.721886666666659</v>
      </c>
      <c r="EA28">
        <v>27.998133333333339</v>
      </c>
      <c r="EB28">
        <v>999.9000000000002</v>
      </c>
      <c r="EC28">
        <v>0</v>
      </c>
      <c r="ED28">
        <v>0</v>
      </c>
      <c r="EE28">
        <v>9999</v>
      </c>
      <c r="EF28">
        <v>0</v>
      </c>
      <c r="EG28">
        <v>1720.4796666666671</v>
      </c>
      <c r="EH28">
        <v>-1.3781863333333331</v>
      </c>
      <c r="EI28">
        <v>430.80396666666661</v>
      </c>
      <c r="EJ28">
        <v>432.15186666666671</v>
      </c>
      <c r="EK28">
        <v>0.14762187666666671</v>
      </c>
      <c r="EL28">
        <v>421.46440000000001</v>
      </c>
      <c r="EM28">
        <v>24.730916666666669</v>
      </c>
      <c r="EN28">
        <v>2.433612333333333</v>
      </c>
      <c r="EO28">
        <v>2.4191716666666658</v>
      </c>
      <c r="EP28">
        <v>20.589183333333331</v>
      </c>
      <c r="EQ28">
        <v>20.49269</v>
      </c>
      <c r="ER28">
        <v>50.020133333333341</v>
      </c>
      <c r="ES28">
        <v>0.89987300000000014</v>
      </c>
      <c r="ET28">
        <v>0.1001271633333333</v>
      </c>
      <c r="EU28">
        <v>0</v>
      </c>
      <c r="EV28">
        <v>735.68706666666685</v>
      </c>
      <c r="EW28">
        <v>5.0010700000000003</v>
      </c>
      <c r="EX28">
        <v>4388.0943333333335</v>
      </c>
      <c r="EY28">
        <v>396.42253333333332</v>
      </c>
      <c r="EZ28">
        <v>40.778933333333327</v>
      </c>
      <c r="FA28">
        <v>44.941199999999967</v>
      </c>
      <c r="FB28">
        <v>43.061999999999983</v>
      </c>
      <c r="FC28">
        <v>44.653933333333327</v>
      </c>
      <c r="FD28">
        <v>42.811999999999983</v>
      </c>
      <c r="FE28">
        <v>40.511333333333333</v>
      </c>
      <c r="FF28">
        <v>4.5086666666666666</v>
      </c>
      <c r="FG28">
        <v>0</v>
      </c>
      <c r="FH28">
        <v>198.20000004768369</v>
      </c>
      <c r="FI28">
        <v>0</v>
      </c>
      <c r="FJ28">
        <v>735.78411764705879</v>
      </c>
      <c r="FK28">
        <v>2.1674019160455158</v>
      </c>
      <c r="FL28">
        <v>2.0343139602057452</v>
      </c>
      <c r="FM28">
        <v>4387.7247058823523</v>
      </c>
      <c r="FN28">
        <v>10</v>
      </c>
      <c r="FO28">
        <v>1784650870.5</v>
      </c>
      <c r="FP28" t="s">
        <v>838</v>
      </c>
      <c r="FQ28">
        <v>1784650870.5</v>
      </c>
      <c r="FR28">
        <v>1784650866</v>
      </c>
      <c r="FS28">
        <v>25</v>
      </c>
      <c r="FT28">
        <v>-1.7000000000000001E-2</v>
      </c>
      <c r="FU28">
        <v>-6.0000000000000001E-3</v>
      </c>
      <c r="FV28">
        <v>-7.048</v>
      </c>
      <c r="FW28">
        <v>-0.85299999999999998</v>
      </c>
      <c r="FX28">
        <v>423</v>
      </c>
      <c r="FY28">
        <v>25</v>
      </c>
      <c r="FZ28">
        <v>1.4</v>
      </c>
      <c r="GA28">
        <v>0.63</v>
      </c>
      <c r="GB28">
        <v>420.08613333333341</v>
      </c>
      <c r="GC28">
        <v>0.26626918798652582</v>
      </c>
      <c r="GD28">
        <v>4.6832135215992297E-2</v>
      </c>
      <c r="GE28">
        <v>-1</v>
      </c>
      <c r="GF28">
        <v>735.5783529411766</v>
      </c>
      <c r="GG28">
        <v>2.2379831906293259</v>
      </c>
      <c r="GH28">
        <v>0.33606379667039687</v>
      </c>
      <c r="GI28">
        <v>1</v>
      </c>
      <c r="GJ28">
        <v>0.1354796925</v>
      </c>
      <c r="GK28">
        <v>0.32062838161350848</v>
      </c>
      <c r="GL28">
        <v>3.2301727871643239E-2</v>
      </c>
      <c r="GM28">
        <v>1</v>
      </c>
      <c r="GN28">
        <v>2</v>
      </c>
      <c r="GO28">
        <v>2</v>
      </c>
      <c r="GP28" t="s">
        <v>424</v>
      </c>
      <c r="GQ28">
        <v>3.1314600000000001</v>
      </c>
      <c r="GR28">
        <v>2.7297199999999999</v>
      </c>
      <c r="GS28">
        <v>9.0845999999999996E-2</v>
      </c>
      <c r="GT28">
        <v>9.0603799999999998E-2</v>
      </c>
      <c r="GU28">
        <v>0.11667</v>
      </c>
      <c r="GV28">
        <v>0.113689</v>
      </c>
      <c r="GW28">
        <v>22627.599999999999</v>
      </c>
      <c r="GX28">
        <v>30362.5</v>
      </c>
      <c r="GY28">
        <v>27014.3</v>
      </c>
      <c r="GZ28">
        <v>34356.400000000001</v>
      </c>
      <c r="HA28">
        <v>34978.400000000001</v>
      </c>
      <c r="HB28">
        <v>38499.199999999997</v>
      </c>
      <c r="HC28">
        <v>39906.6</v>
      </c>
      <c r="HD28">
        <v>43509.8</v>
      </c>
      <c r="HE28">
        <v>1.8537999999999999</v>
      </c>
      <c r="HF28">
        <v>1.7094</v>
      </c>
      <c r="HG28">
        <v>-9.2387200000000003E-2</v>
      </c>
      <c r="HH28">
        <v>0</v>
      </c>
      <c r="HI28">
        <v>29.525500000000001</v>
      </c>
      <c r="HJ28">
        <v>999.9</v>
      </c>
      <c r="HK28">
        <v>42.2</v>
      </c>
      <c r="HL28">
        <v>40.700000000000003</v>
      </c>
      <c r="HM28">
        <v>33.201099999999997</v>
      </c>
      <c r="HN28">
        <v>61.495600000000003</v>
      </c>
      <c r="HO28">
        <v>3.5697100000000002</v>
      </c>
      <c r="HP28">
        <v>1</v>
      </c>
      <c r="HQ28">
        <v>0.85882099999999995</v>
      </c>
      <c r="HR28">
        <v>5.2685599999999999</v>
      </c>
      <c r="HS28">
        <v>20.1661</v>
      </c>
      <c r="HT28">
        <v>5.2112999999999996</v>
      </c>
      <c r="HU28">
        <v>11.914099999999999</v>
      </c>
      <c r="HV28">
        <v>4.984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1.86771</v>
      </c>
      <c r="IC28">
        <v>1.8633999999999999</v>
      </c>
      <c r="ID28">
        <v>1.8629500000000001</v>
      </c>
      <c r="IE28">
        <v>1.86249</v>
      </c>
      <c r="IF28">
        <v>1.86246</v>
      </c>
      <c r="IG28">
        <v>1.8629500000000001</v>
      </c>
      <c r="IH28">
        <v>1.86389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-7.0359999999999996</v>
      </c>
      <c r="IX28">
        <v>-0.84909999999999997</v>
      </c>
      <c r="IY28">
        <v>-5.044362449823697</v>
      </c>
      <c r="IZ28">
        <v>-5.6215304933332991E-3</v>
      </c>
      <c r="JA28">
        <v>2.3979931213773931E-6</v>
      </c>
      <c r="JB28">
        <v>-3.6297174575716598E-10</v>
      </c>
      <c r="JC28">
        <v>-1.290837750440202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1.9</v>
      </c>
      <c r="JL28">
        <v>2</v>
      </c>
      <c r="JM28">
        <v>1.1047400000000001</v>
      </c>
      <c r="JN28">
        <v>2.5537100000000001</v>
      </c>
      <c r="JO28">
        <v>1.50024</v>
      </c>
      <c r="JP28">
        <v>2.2705099999999998</v>
      </c>
      <c r="JQ28">
        <v>1.4477500000000001</v>
      </c>
      <c r="JR28">
        <v>2.34863</v>
      </c>
      <c r="JS28">
        <v>46.385800000000003</v>
      </c>
      <c r="JT28">
        <v>23.833600000000001</v>
      </c>
      <c r="JU28">
        <v>18</v>
      </c>
      <c r="JV28">
        <v>497.202</v>
      </c>
      <c r="JW28">
        <v>415.197</v>
      </c>
      <c r="JX28">
        <v>24.103100000000001</v>
      </c>
      <c r="JY28">
        <v>37.414900000000003</v>
      </c>
      <c r="JZ28">
        <v>30.0002</v>
      </c>
      <c r="KA28">
        <v>37.878300000000003</v>
      </c>
      <c r="KB28">
        <v>37.955500000000001</v>
      </c>
      <c r="KC28">
        <v>22.098400000000002</v>
      </c>
      <c r="KD28">
        <v>31.629200000000001</v>
      </c>
      <c r="KE28">
        <v>0</v>
      </c>
      <c r="KF28">
        <v>24.082799999999999</v>
      </c>
      <c r="KG28">
        <v>421.339</v>
      </c>
      <c r="KH28">
        <v>24.706099999999999</v>
      </c>
      <c r="KI28">
        <v>99.722300000000004</v>
      </c>
      <c r="KJ28">
        <v>97.972300000000004</v>
      </c>
    </row>
    <row r="29" spans="1:296" x14ac:dyDescent="0.3">
      <c r="A29">
        <v>13</v>
      </c>
      <c r="B29">
        <v>1784651167.0999999</v>
      </c>
      <c r="C29">
        <v>2290.5</v>
      </c>
      <c r="D29" t="s">
        <v>839</v>
      </c>
      <c r="E29" t="s">
        <v>840</v>
      </c>
      <c r="F29">
        <v>15</v>
      </c>
      <c r="H29">
        <v>1784651159.349999</v>
      </c>
      <c r="I29">
        <f t="shared" si="0"/>
        <v>2.0051577598773562E-4</v>
      </c>
      <c r="J29">
        <f t="shared" si="1"/>
        <v>0.20051577598773562</v>
      </c>
      <c r="K29">
        <f t="shared" si="2"/>
        <v>-2.1570306834498378</v>
      </c>
      <c r="L29">
        <f t="shared" si="3"/>
        <v>420.07546666666661</v>
      </c>
      <c r="M29">
        <f t="shared" si="4"/>
        <v>656.0375044549163</v>
      </c>
      <c r="N29">
        <f t="shared" si="5"/>
        <v>64.209645403609358</v>
      </c>
      <c r="O29">
        <f t="shared" si="6"/>
        <v>41.114870071084468</v>
      </c>
      <c r="P29">
        <f t="shared" si="7"/>
        <v>1.3926557784996291E-2</v>
      </c>
      <c r="Q29">
        <f t="shared" si="8"/>
        <v>2.8908860125178353</v>
      </c>
      <c r="R29">
        <f t="shared" si="9"/>
        <v>1.3889393071885026E-2</v>
      </c>
      <c r="S29">
        <f t="shared" si="10"/>
        <v>8.6842014458328454E-3</v>
      </c>
      <c r="T29">
        <f t="shared" si="11"/>
        <v>1.5966703903835998E-4</v>
      </c>
      <c r="U29">
        <f t="shared" si="12"/>
        <v>27.58746826999495</v>
      </c>
      <c r="V29">
        <f t="shared" si="13"/>
        <v>27.975696666666671</v>
      </c>
      <c r="W29">
        <f t="shared" si="14"/>
        <v>3.7894664691501752</v>
      </c>
      <c r="X29">
        <f t="shared" si="15"/>
        <v>65.159600368454022</v>
      </c>
      <c r="Y29">
        <f t="shared" si="16"/>
        <v>2.4213149667553768</v>
      </c>
      <c r="Z29">
        <f t="shared" si="17"/>
        <v>3.7159757780338039</v>
      </c>
      <c r="AA29">
        <f t="shared" si="18"/>
        <v>1.3681515023947983</v>
      </c>
      <c r="AB29">
        <f t="shared" si="19"/>
        <v>-8.8427457210591403</v>
      </c>
      <c r="AC29">
        <f t="shared" si="20"/>
        <v>-52.282077720795698</v>
      </c>
      <c r="AD29">
        <f t="shared" si="21"/>
        <v>-3.9346057537424537</v>
      </c>
      <c r="AE29">
        <f t="shared" si="22"/>
        <v>-65.059269528558247</v>
      </c>
      <c r="AF29">
        <f t="shared" si="23"/>
        <v>-2.1570306834498378</v>
      </c>
      <c r="AG29">
        <f t="shared" si="24"/>
        <v>0.20051577598773562</v>
      </c>
      <c r="AH29">
        <f t="shared" si="25"/>
        <v>-2.1101408688110266</v>
      </c>
      <c r="AI29">
        <v>428.07497861684561</v>
      </c>
      <c r="AJ29">
        <v>430.70375757575772</v>
      </c>
      <c r="AK29">
        <v>-6.2724267057393578E-3</v>
      </c>
      <c r="AL29">
        <v>67.094477547843098</v>
      </c>
      <c r="AM29">
        <f t="shared" si="26"/>
        <v>0.18645977880757914</v>
      </c>
      <c r="AN29">
        <v>24.479855255988749</v>
      </c>
      <c r="AO29">
        <v>24.712626060606059</v>
      </c>
      <c r="AP29">
        <v>-2.3752109745781881E-3</v>
      </c>
      <c r="AQ29">
        <v>78.257078106377776</v>
      </c>
      <c r="AR29">
        <v>7</v>
      </c>
      <c r="AS29">
        <v>1</v>
      </c>
      <c r="AT29">
        <f t="shared" si="27"/>
        <v>1</v>
      </c>
      <c r="AU29">
        <f t="shared" si="28"/>
        <v>0</v>
      </c>
      <c r="AV29">
        <f t="shared" si="29"/>
        <v>51610.395189556453</v>
      </c>
      <c r="AW29" t="s">
        <v>841</v>
      </c>
      <c r="AX29">
        <v>5083.33</v>
      </c>
      <c r="AY29">
        <v>594.90294117647056</v>
      </c>
      <c r="AZ29">
        <v>2493.0500000000002</v>
      </c>
      <c r="BA29">
        <f t="shared" si="30"/>
        <v>0.76137544727283024</v>
      </c>
      <c r="BB29">
        <v>-2.1570306834497912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-2.1570306834498378</v>
      </c>
      <c r="BK29" t="e">
        <f t="shared" si="34"/>
        <v>#DIV/0!</v>
      </c>
      <c r="BL29">
        <f t="shared" si="35"/>
        <v>-5.5487843889810194E-11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1.313412461068844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1784651159.349999</v>
      </c>
      <c r="DQ29">
        <v>420.07546666666661</v>
      </c>
      <c r="DR29">
        <v>417.58803333333333</v>
      </c>
      <c r="DS29">
        <v>24.73886000000001</v>
      </c>
      <c r="DT29">
        <v>24.504186666666669</v>
      </c>
      <c r="DU29">
        <v>427.13283333333328</v>
      </c>
      <c r="DV29">
        <v>25.589923333333331</v>
      </c>
      <c r="DW29">
        <v>499.98500000000001</v>
      </c>
      <c r="DX29">
        <v>97.820423333333352</v>
      </c>
      <c r="DY29">
        <v>5.4538033333333319E-2</v>
      </c>
      <c r="DZ29">
        <v>27.640239999999999</v>
      </c>
      <c r="EA29">
        <v>27.975696666666671</v>
      </c>
      <c r="EB29">
        <v>999.9000000000002</v>
      </c>
      <c r="EC29">
        <v>0</v>
      </c>
      <c r="ED29">
        <v>0</v>
      </c>
      <c r="EE29">
        <v>9999.1666666666661</v>
      </c>
      <c r="EF29">
        <v>0</v>
      </c>
      <c r="EG29">
        <v>1722.7936666666669</v>
      </c>
      <c r="EH29">
        <v>2.4873189999999998</v>
      </c>
      <c r="EI29">
        <v>430.73116666666658</v>
      </c>
      <c r="EJ29">
        <v>428.07783333333339</v>
      </c>
      <c r="EK29">
        <v>0.2346620666666667</v>
      </c>
      <c r="EL29">
        <v>417.58803333333333</v>
      </c>
      <c r="EM29">
        <v>24.504186666666669</v>
      </c>
      <c r="EN29">
        <v>2.4199639999999998</v>
      </c>
      <c r="EO29">
        <v>2.3970096666666669</v>
      </c>
      <c r="EP29">
        <v>20.497986666666669</v>
      </c>
      <c r="EQ29">
        <v>20.34357666666666</v>
      </c>
      <c r="ER29">
        <v>1.00021E-2</v>
      </c>
      <c r="ES29">
        <v>0</v>
      </c>
      <c r="ET29">
        <v>0</v>
      </c>
      <c r="EU29">
        <v>0</v>
      </c>
      <c r="EV29">
        <v>595.14666666666676</v>
      </c>
      <c r="EW29">
        <v>1.00021E-2</v>
      </c>
      <c r="EX29">
        <v>3916.606666666667</v>
      </c>
      <c r="EY29">
        <v>3.0350000000000001</v>
      </c>
      <c r="EZ29">
        <v>40.5</v>
      </c>
      <c r="FA29">
        <v>44.875</v>
      </c>
      <c r="FB29">
        <v>42.875</v>
      </c>
      <c r="FC29">
        <v>44.436999999999983</v>
      </c>
      <c r="FD29">
        <v>42.375</v>
      </c>
      <c r="FE29">
        <v>0</v>
      </c>
      <c r="FF29">
        <v>0</v>
      </c>
      <c r="FG29">
        <v>0</v>
      </c>
      <c r="FH29">
        <v>181.70000004768369</v>
      </c>
      <c r="FI29">
        <v>0</v>
      </c>
      <c r="FJ29">
        <v>594.90294117647056</v>
      </c>
      <c r="FK29">
        <v>-5.1715692352789917</v>
      </c>
      <c r="FL29">
        <v>210.90686378216091</v>
      </c>
      <c r="FM29">
        <v>3909.338235294118</v>
      </c>
      <c r="FN29">
        <v>10</v>
      </c>
      <c r="FO29">
        <v>1784651114.0999999</v>
      </c>
      <c r="FP29" t="s">
        <v>842</v>
      </c>
      <c r="FQ29">
        <v>1784651114.0999999</v>
      </c>
      <c r="FR29">
        <v>1784651113.5999999</v>
      </c>
      <c r="FS29">
        <v>26</v>
      </c>
      <c r="FT29">
        <v>-2.1000000000000001E-2</v>
      </c>
      <c r="FU29">
        <v>3.0000000000000001E-3</v>
      </c>
      <c r="FV29">
        <v>-7.05</v>
      </c>
      <c r="FW29">
        <v>-0.85</v>
      </c>
      <c r="FX29">
        <v>418</v>
      </c>
      <c r="FY29">
        <v>25</v>
      </c>
      <c r="FZ29">
        <v>1.32</v>
      </c>
      <c r="GA29">
        <v>0.75</v>
      </c>
      <c r="GB29">
        <v>420.07319354838711</v>
      </c>
      <c r="GC29">
        <v>7.4129032257140529E-2</v>
      </c>
      <c r="GD29">
        <v>6.4419702132909554E-2</v>
      </c>
      <c r="GE29">
        <v>-1</v>
      </c>
      <c r="GF29">
        <v>596.02352941176468</v>
      </c>
      <c r="GG29">
        <v>-9.3827349579499817</v>
      </c>
      <c r="GH29">
        <v>3.7925087788125529</v>
      </c>
      <c r="GI29">
        <v>1</v>
      </c>
      <c r="GJ29">
        <v>0.2279050243902439</v>
      </c>
      <c r="GK29">
        <v>0.14560419512195169</v>
      </c>
      <c r="GL29">
        <v>2.1230743607357619E-2</v>
      </c>
      <c r="GM29">
        <v>1</v>
      </c>
      <c r="GN29">
        <v>2</v>
      </c>
      <c r="GO29">
        <v>2</v>
      </c>
      <c r="GP29" t="s">
        <v>424</v>
      </c>
      <c r="GQ29">
        <v>3.1317900000000001</v>
      </c>
      <c r="GR29">
        <v>2.7306699999999999</v>
      </c>
      <c r="GS29">
        <v>9.08389E-2</v>
      </c>
      <c r="GT29">
        <v>8.9934200000000006E-2</v>
      </c>
      <c r="GU29">
        <v>0.11604200000000001</v>
      </c>
      <c r="GV29">
        <v>0.112868</v>
      </c>
      <c r="GW29">
        <v>22626.2</v>
      </c>
      <c r="GX29">
        <v>30382.9</v>
      </c>
      <c r="GY29">
        <v>27012.6</v>
      </c>
      <c r="GZ29">
        <v>34354.5</v>
      </c>
      <c r="HA29">
        <v>35001.800000000003</v>
      </c>
      <c r="HB29">
        <v>38534.400000000001</v>
      </c>
      <c r="HC29">
        <v>39904.9</v>
      </c>
      <c r="HD29">
        <v>43509.4</v>
      </c>
      <c r="HE29">
        <v>1.8842000000000001</v>
      </c>
      <c r="HF29">
        <v>1.7063999999999999</v>
      </c>
      <c r="HG29">
        <v>-0.10102999999999999</v>
      </c>
      <c r="HH29">
        <v>0</v>
      </c>
      <c r="HI29">
        <v>29.635300000000001</v>
      </c>
      <c r="HJ29">
        <v>999.9</v>
      </c>
      <c r="HK29">
        <v>41.8</v>
      </c>
      <c r="HL29">
        <v>40.9</v>
      </c>
      <c r="HM29">
        <v>33.2361</v>
      </c>
      <c r="HN29">
        <v>61.435600000000001</v>
      </c>
      <c r="HO29">
        <v>4.1346100000000003</v>
      </c>
      <c r="HP29">
        <v>1</v>
      </c>
      <c r="HQ29">
        <v>0.86233700000000002</v>
      </c>
      <c r="HR29">
        <v>5.1694300000000002</v>
      </c>
      <c r="HS29">
        <v>20.170300000000001</v>
      </c>
      <c r="HT29">
        <v>5.2065099999999997</v>
      </c>
      <c r="HU29">
        <v>11.914099999999999</v>
      </c>
      <c r="HV29">
        <v>4.9836</v>
      </c>
      <c r="HW29">
        <v>3.2707999999999999</v>
      </c>
      <c r="HX29">
        <v>9999</v>
      </c>
      <c r="HY29">
        <v>9999</v>
      </c>
      <c r="HZ29">
        <v>9999</v>
      </c>
      <c r="IA29">
        <v>999.9</v>
      </c>
      <c r="IB29">
        <v>1.8677699999999999</v>
      </c>
      <c r="IC29">
        <v>1.8633999999999999</v>
      </c>
      <c r="ID29">
        <v>1.8629500000000001</v>
      </c>
      <c r="IE29">
        <v>1.86249</v>
      </c>
      <c r="IF29">
        <v>1.86249</v>
      </c>
      <c r="IG29">
        <v>1.8629800000000001</v>
      </c>
      <c r="IH29">
        <v>1.8638600000000001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-7.0570000000000004</v>
      </c>
      <c r="IX29">
        <v>-0.85170000000000001</v>
      </c>
      <c r="IY29">
        <v>-5.0655718306352329</v>
      </c>
      <c r="IZ29">
        <v>-5.6215304933332991E-3</v>
      </c>
      <c r="JA29">
        <v>2.3979931213773931E-6</v>
      </c>
      <c r="JB29">
        <v>-3.6297174575716598E-10</v>
      </c>
      <c r="JC29">
        <v>-1.287864815645055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0.9</v>
      </c>
      <c r="JL29">
        <v>0.9</v>
      </c>
      <c r="JM29">
        <v>1.09619</v>
      </c>
      <c r="JN29">
        <v>2.5427200000000001</v>
      </c>
      <c r="JO29">
        <v>1.50024</v>
      </c>
      <c r="JP29">
        <v>2.2705099999999998</v>
      </c>
      <c r="JQ29">
        <v>1.4477500000000001</v>
      </c>
      <c r="JR29">
        <v>2.52319</v>
      </c>
      <c r="JS29">
        <v>46.590800000000002</v>
      </c>
      <c r="JT29">
        <v>23.842300000000002</v>
      </c>
      <c r="JU29">
        <v>18</v>
      </c>
      <c r="JV29">
        <v>516.95899999999995</v>
      </c>
      <c r="JW29">
        <v>413.37599999999998</v>
      </c>
      <c r="JX29">
        <v>24.175799999999999</v>
      </c>
      <c r="JY29">
        <v>37.460900000000002</v>
      </c>
      <c r="JZ29">
        <v>30.0001</v>
      </c>
      <c r="KA29">
        <v>37.8889</v>
      </c>
      <c r="KB29">
        <v>37.959000000000003</v>
      </c>
      <c r="KC29">
        <v>21.938099999999999</v>
      </c>
      <c r="KD29">
        <v>32.461199999999998</v>
      </c>
      <c r="KE29">
        <v>0</v>
      </c>
      <c r="KF29">
        <v>24.171800000000001</v>
      </c>
      <c r="KG29">
        <v>417.48899999999998</v>
      </c>
      <c r="KH29">
        <v>24.4802</v>
      </c>
      <c r="KI29">
        <v>99.717299999999994</v>
      </c>
      <c r="KJ29">
        <v>97.969399999999993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4A408-07A5-4154-95BD-6110A7059E83}">
  <dimension ref="A2:KJ29"/>
  <sheetViews>
    <sheetView tabSelected="1" workbookViewId="0">
      <selection activeCell="N36" sqref="N36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1784652791.5999999</v>
      </c>
      <c r="C17">
        <v>0</v>
      </c>
      <c r="D17" t="s">
        <v>843</v>
      </c>
      <c r="E17" t="s">
        <v>844</v>
      </c>
      <c r="F17">
        <v>15</v>
      </c>
      <c r="H17">
        <v>1784652783.599999</v>
      </c>
      <c r="I17">
        <f t="shared" ref="I17:I29" si="0">(J17)/1000</f>
        <v>4.3483321949272452E-3</v>
      </c>
      <c r="J17">
        <f t="shared" ref="J17:J29" si="1">IF(DO17, AM17, AG17)</f>
        <v>4.3483321949272451</v>
      </c>
      <c r="K17">
        <f t="shared" ref="K17:K29" si="2">IF(DO17, AH17, AF17)</f>
        <v>47.482518627544302</v>
      </c>
      <c r="L17">
        <f t="shared" ref="L17:L29" si="3">DQ17 - IF(AT17&gt;1, K17*DK17*100/(AV17), 0)</f>
        <v>419.34490322580638</v>
      </c>
      <c r="M17">
        <f t="shared" ref="M17:M29" si="4">((S17-I17/2)*L17-K17)/(S17+I17/2)</f>
        <v>145.12160218549985</v>
      </c>
      <c r="N17">
        <f t="shared" ref="N17:N29" si="5">M17*(DX17+DY17)/1000</f>
        <v>14.207123109732473</v>
      </c>
      <c r="O17">
        <f t="shared" ref="O17:O29" si="6">(DQ17 - IF(AT17&gt;1, K17*DK17*100/(AV17), 0))*(DX17+DY17)/1000</f>
        <v>41.053051894731333</v>
      </c>
      <c r="P17">
        <f t="shared" ref="P17:P29" si="7">2/((1/R17-1/Q17)+SIGN(R17)*SQRT((1/R17-1/Q17)*(1/R17-1/Q17) + 4*DL17/((DL17+1)*(DL17+1))*(2*1/R17*1/Q17-1/Q17*1/Q17)))</f>
        <v>0.29809134656502922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2.8911911055059534</v>
      </c>
      <c r="R17">
        <f t="shared" ref="R17:R29" si="9">I17*(1000-(1000*0.61365*EXP(17.502*V17/(240.97+V17))/(DX17+DY17)+DS17)/2)/(1000*0.61365*EXP(17.502*V17/(240.97+V17))/(DX17+DY17)-DS17)</f>
        <v>0.28200877102989902</v>
      </c>
      <c r="S17">
        <f t="shared" ref="S17:S29" si="10">1/((DL17+1)/(P17/1.6)+1/(Q17/1.37)) + DL17/((DL17+1)/(P17/1.6) + DL17/(Q17/1.37))</f>
        <v>0.17762809499402737</v>
      </c>
      <c r="T17">
        <f t="shared" ref="T17:T29" si="11">(DG17*DJ17)</f>
        <v>319.77651578731724</v>
      </c>
      <c r="U17">
        <f t="shared" ref="U17:U29" si="12">(DZ17+(T17+2*0.95*0.0000000567*(((DZ17+$B$7)+273)^4-(DZ17+273)^4)-44100*I17)/(1.84*29.3*Q17+8*0.95*0.0000000567*(DZ17+273)^3))</f>
        <v>28.317291991007647</v>
      </c>
      <c r="V17">
        <f t="shared" ref="V17:V29" si="13">($C$7*EA17+$D$7*EB17+$E$7*U17)</f>
        <v>28.323977419354829</v>
      </c>
      <c r="W17">
        <f t="shared" ref="W17:W29" si="14">0.61365*EXP(17.502*V17/(240.97+V17))</f>
        <v>3.8671051881407736</v>
      </c>
      <c r="X17">
        <f t="shared" ref="X17:X29" si="15">(Y17/Z17*100)</f>
        <v>65.076329144168739</v>
      </c>
      <c r="Y17">
        <f t="shared" ref="Y17:Y29" si="16">DS17*(DX17+DY17)/1000</f>
        <v>2.4059641616943939</v>
      </c>
      <c r="Z17">
        <f t="shared" ref="Z17:Z29" si="17">0.61365*EXP(17.502*DZ17/(240.97+DZ17))</f>
        <v>3.6971417923163297</v>
      </c>
      <c r="AA17">
        <f t="shared" ref="AA17:AA29" si="18">(W17-DS17*(DX17+DY17)/1000)</f>
        <v>1.4611410264463798</v>
      </c>
      <c r="AB17">
        <f t="shared" ref="AB17:AB29" si="19">(-I17*44100)</f>
        <v>-191.76144979629152</v>
      </c>
      <c r="AC17">
        <f t="shared" ref="AC17:AC29" si="20">2*29.3*Q17*0.92*(DZ17-V17)</f>
        <v>-120.11937466790525</v>
      </c>
      <c r="AD17">
        <f t="shared" ref="AD17:AD29" si="21">2*0.95*0.0000000567*(((DZ17+$B$7)+273)^4-(V17+273)^4)</f>
        <v>-9.050699034576434</v>
      </c>
      <c r="AE17">
        <f t="shared" ref="AE17:AE29" si="22">T17+AD17+AB17+AC17</f>
        <v>-1.1550077114559656</v>
      </c>
      <c r="AF17">
        <f t="shared" ref="AF17:AF29" si="23">DW17*AT17*(DR17-DQ17*(1000-AT17*DT17)/(1000-AT17*DS17))/(100*DK17)</f>
        <v>47.482518627544302</v>
      </c>
      <c r="AG17">
        <f t="shared" ref="AG17:AG29" si="24">1000*DW17*AT17*(DS17-DT17)/(100*DK17*(1000-AT17*DS17))</f>
        <v>4.3483321949272451</v>
      </c>
      <c r="AH17">
        <f t="shared" ref="AH17:AH29" si="25">(AI17 - AJ17 - DX17*1000/(8.314*(DZ17+273.15)) * AL17/DW17 * AK17) * DW17/(100*DK17) * (1000 - DT17)/1000</f>
        <v>47.16203888767442</v>
      </c>
      <c r="AI17">
        <v>488.04599176777162</v>
      </c>
      <c r="AJ17">
        <v>430.32469090909098</v>
      </c>
      <c r="AK17">
        <v>5.9383945510176343E-4</v>
      </c>
      <c r="AL17">
        <v>67.029599666408373</v>
      </c>
      <c r="AM17">
        <f t="shared" ref="AM17:AM29" si="26">(AO17 - AN17 + DX17*1000/(8.314*(DZ17+273.15)) * AQ17/DW17 * AP17) * DW17/(100*DK17) * 1000/(1000 - AO17)</f>
        <v>4.3987262411758588</v>
      </c>
      <c r="AN17">
        <v>19.446665460273891</v>
      </c>
      <c r="AO17">
        <v>24.59522909090909</v>
      </c>
      <c r="AP17">
        <v>-1.206979701558441E-6</v>
      </c>
      <c r="AQ17">
        <v>78.052198575373268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51634.391229913395</v>
      </c>
      <c r="AW17" t="s">
        <v>841</v>
      </c>
      <c r="AX17">
        <v>5083.33</v>
      </c>
      <c r="AY17">
        <v>594.90294117647056</v>
      </c>
      <c r="AZ17">
        <v>2493.0500000000002</v>
      </c>
      <c r="BA17">
        <f t="shared" ref="BA17:BA29" si="30">1-AY17/AZ17</f>
        <v>0.76137544727283024</v>
      </c>
      <c r="BB17">
        <v>-2.1570306834497912</v>
      </c>
      <c r="BC17" t="s">
        <v>845</v>
      </c>
      <c r="BD17">
        <v>5068.58</v>
      </c>
      <c r="BE17">
        <v>898.04417647058824</v>
      </c>
      <c r="BF17">
        <v>1059.51</v>
      </c>
      <c r="BG17">
        <f t="shared" ref="BG17:BG29" si="31">1-BE17/BF17</f>
        <v>0.15239669614200124</v>
      </c>
      <c r="BH17">
        <v>0.5</v>
      </c>
      <c r="BI17">
        <f t="shared" ref="BI17:BI29" si="32">DH17</f>
        <v>1680.289674033208</v>
      </c>
      <c r="BJ17">
        <f t="shared" ref="BJ17:BJ29" si="33">K17</f>
        <v>47.482518627544302</v>
      </c>
      <c r="BK17">
        <f t="shared" ref="BK17:BK29" si="34">BG17*BH17*BI17</f>
        <v>128.03529744209055</v>
      </c>
      <c r="BL17">
        <f t="shared" ref="BL17:BL29" si="35">(BJ17-BB17)/BI17</f>
        <v>2.9542256956114017E-2</v>
      </c>
      <c r="BM17">
        <f t="shared" ref="BM17:BM29" si="36">(AZ17-BF17)/BF17</f>
        <v>1.3530216798331307</v>
      </c>
      <c r="BN17">
        <f t="shared" ref="BN17:BN29" si="37">AY17/(BA17+AY17/BF17)</f>
        <v>449.70824990450706</v>
      </c>
      <c r="BO17" t="s">
        <v>408</v>
      </c>
      <c r="BP17">
        <v>0</v>
      </c>
      <c r="BQ17">
        <f t="shared" ref="BQ17:BQ29" si="38">IF(BP17&lt;&gt;0, BP17, BN17)</f>
        <v>449.70824990450706</v>
      </c>
      <c r="BR17">
        <f t="shared" ref="BR17:BR29" si="39">1-BQ17/BF17</f>
        <v>0.5755507263692583</v>
      </c>
      <c r="BS17">
        <f t="shared" ref="BS17:BS29" si="40">(BF17-BE17)/(BF17-BQ17)</f>
        <v>0.26478412615924229</v>
      </c>
      <c r="BT17">
        <f t="shared" ref="BT17:BT29" si="41">(AZ17-BF17)/(AZ17-BQ17)</f>
        <v>0.70156644131262202</v>
      </c>
      <c r="BU17">
        <f t="shared" ref="BU17:BU29" si="42">(BF17-BE17)/(BF17-AY17)</f>
        <v>0.3475320068065107</v>
      </c>
      <c r="BV17">
        <f t="shared" ref="BV17:BV29" si="43">(AZ17-BF17)/(AZ17-AY17)</f>
        <v>0.75523126268652085</v>
      </c>
      <c r="BW17">
        <f t="shared" ref="BW17:BW29" si="44">(BS17*BQ17/BE17)</f>
        <v>0.13259437463928245</v>
      </c>
      <c r="BX17">
        <f t="shared" ref="BX17:BX29" si="45">(1-BW17)</f>
        <v>0.86740562536071752</v>
      </c>
      <c r="DG17">
        <f t="shared" ref="DG17:DG29" si="46">$B$11*EF17+$C$11*EG17+$F$11*ER17*(1-EU17)</f>
        <v>1999.988064516129</v>
      </c>
      <c r="DH17">
        <f t="shared" ref="DH17:DH29" si="47">DG17*DI17</f>
        <v>1680.289674033208</v>
      </c>
      <c r="DI17">
        <f t="shared" ref="DI17:DI29" si="48">($B$11*$D$9+$C$11*$D$9+$F$11*((FE17+EW17)/MAX(FE17+EW17+FF17, 0.1)*$I$9+FF17/MAX(FE17+EW17+FF17, 0.1)*$J$9))/($B$11+$C$11+$F$11)</f>
        <v>0.84014985081410076</v>
      </c>
      <c r="DJ17">
        <f t="shared" ref="DJ17:DJ29" si="49">($B$11*$K$9+$C$11*$K$9+$F$11*((FE17+EW17)/MAX(FE17+EW17+FF17, 0.1)*$P$9+FF17/MAX(FE17+EW17+FF17, 0.1)*$Q$9))/($B$11+$C$11+$F$11)</f>
        <v>0.15988921207121454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1784652783.599999</v>
      </c>
      <c r="DQ17">
        <v>419.34490322580638</v>
      </c>
      <c r="DR17">
        <v>478.5110322580644</v>
      </c>
      <c r="DS17">
        <v>24.57621935483871</v>
      </c>
      <c r="DT17">
        <v>19.486548387096772</v>
      </c>
      <c r="DU17">
        <v>426.81190322580642</v>
      </c>
      <c r="DV17">
        <v>25.464219354838711</v>
      </c>
      <c r="DW17">
        <v>500.00874193548401</v>
      </c>
      <c r="DX17">
        <v>97.838877419354816</v>
      </c>
      <c r="DY17">
        <v>5.9181145161290333E-2</v>
      </c>
      <c r="DZ17">
        <v>27.553338709677419</v>
      </c>
      <c r="EA17">
        <v>28.323977419354829</v>
      </c>
      <c r="EB17">
        <v>999.90000000000032</v>
      </c>
      <c r="EC17">
        <v>0</v>
      </c>
      <c r="ED17">
        <v>0</v>
      </c>
      <c r="EE17">
        <v>9999.032258064517</v>
      </c>
      <c r="EF17">
        <v>0</v>
      </c>
      <c r="EG17">
        <v>1388.133870967742</v>
      </c>
      <c r="EH17">
        <v>-58.755370967741953</v>
      </c>
      <c r="EI17">
        <v>430.34629032258073</v>
      </c>
      <c r="EJ17">
        <v>488.02093548387103</v>
      </c>
      <c r="EK17">
        <v>5.1230145161290332</v>
      </c>
      <c r="EL17">
        <v>478.5110322580644</v>
      </c>
      <c r="EM17">
        <v>19.486548387096772</v>
      </c>
      <c r="EN17">
        <v>2.4077712903225801</v>
      </c>
      <c r="EO17">
        <v>1.9065422580645159</v>
      </c>
      <c r="EP17">
        <v>20.416135483870971</v>
      </c>
      <c r="EQ17">
        <v>16.68874838709678</v>
      </c>
      <c r="ER17">
        <v>1999.988064516129</v>
      </c>
      <c r="ES17">
        <v>0.99499199999999999</v>
      </c>
      <c r="ET17">
        <v>5.0081051612903211E-3</v>
      </c>
      <c r="EU17">
        <v>0</v>
      </c>
      <c r="EV17">
        <v>898.3047096774194</v>
      </c>
      <c r="EW17">
        <v>5.0010700000000003</v>
      </c>
      <c r="EX17">
        <v>21920.31935483871</v>
      </c>
      <c r="EY17">
        <v>18241.47741935484</v>
      </c>
      <c r="EZ17">
        <v>43.7900322580645</v>
      </c>
      <c r="FA17">
        <v>45.552096774193537</v>
      </c>
      <c r="FB17">
        <v>44.39293548387095</v>
      </c>
      <c r="FC17">
        <v>45.21748387096774</v>
      </c>
      <c r="FD17">
        <v>44.759935483870947</v>
      </c>
      <c r="FE17">
        <v>1984.998064516129</v>
      </c>
      <c r="FF17">
        <v>9.990000000000002</v>
      </c>
      <c r="FG17">
        <v>0</v>
      </c>
      <c r="FH17">
        <v>1623.7000000476839</v>
      </c>
      <c r="FI17">
        <v>0</v>
      </c>
      <c r="FJ17">
        <v>898.04417647058824</v>
      </c>
      <c r="FK17">
        <v>-4.8330882294139927</v>
      </c>
      <c r="FL17">
        <v>269.65684891471648</v>
      </c>
      <c r="FM17">
        <v>21911.088235294119</v>
      </c>
      <c r="FN17">
        <v>10</v>
      </c>
      <c r="FO17">
        <v>1784652813.5999999</v>
      </c>
      <c r="FP17" t="s">
        <v>846</v>
      </c>
      <c r="FQ17">
        <v>1784652810.5999999</v>
      </c>
      <c r="FR17">
        <v>1784652813.5999999</v>
      </c>
      <c r="FS17">
        <v>27</v>
      </c>
      <c r="FT17">
        <v>-0.193</v>
      </c>
      <c r="FU17">
        <v>0.105</v>
      </c>
      <c r="FV17">
        <v>-7.4669999999999996</v>
      </c>
      <c r="FW17">
        <v>-0.88800000000000001</v>
      </c>
      <c r="FX17">
        <v>479</v>
      </c>
      <c r="FY17">
        <v>19</v>
      </c>
      <c r="FZ17">
        <v>0.18</v>
      </c>
      <c r="GA17">
        <v>7.0000000000000007E-2</v>
      </c>
      <c r="GB17">
        <v>419.7518</v>
      </c>
      <c r="GC17">
        <v>-4.5490545050338838E-2</v>
      </c>
      <c r="GD17">
        <v>8.9803637639757988E-2</v>
      </c>
      <c r="GE17">
        <v>-1</v>
      </c>
      <c r="GF17">
        <v>898.63447058823533</v>
      </c>
      <c r="GG17">
        <v>-5.7296867780456431</v>
      </c>
      <c r="GH17">
        <v>0.63432062941359701</v>
      </c>
      <c r="GI17">
        <v>1</v>
      </c>
      <c r="GJ17">
        <v>5.0890737499999998</v>
      </c>
      <c r="GK17">
        <v>0.6647186116322652</v>
      </c>
      <c r="GL17">
        <v>6.9391415307929111E-2</v>
      </c>
      <c r="GM17">
        <v>0</v>
      </c>
      <c r="GN17">
        <v>1</v>
      </c>
      <c r="GO17">
        <v>2</v>
      </c>
      <c r="GP17" t="s">
        <v>411</v>
      </c>
      <c r="GQ17">
        <v>3.1310099999999998</v>
      </c>
      <c r="GR17">
        <v>2.73489</v>
      </c>
      <c r="GS17">
        <v>9.04644E-2</v>
      </c>
      <c r="GT17">
        <v>9.9306199999999997E-2</v>
      </c>
      <c r="GU17">
        <v>0.115288</v>
      </c>
      <c r="GV17">
        <v>9.5513000000000001E-2</v>
      </c>
      <c r="GW17">
        <v>22575.8</v>
      </c>
      <c r="GX17">
        <v>29977.4</v>
      </c>
      <c r="GY17">
        <v>26949.9</v>
      </c>
      <c r="GZ17">
        <v>34262.199999999997</v>
      </c>
      <c r="HA17">
        <v>34962.9</v>
      </c>
      <c r="HB17">
        <v>39205.1</v>
      </c>
      <c r="HC17">
        <v>39817.4</v>
      </c>
      <c r="HD17">
        <v>43416</v>
      </c>
      <c r="HE17">
        <v>1.9196</v>
      </c>
      <c r="HF17">
        <v>1.6721999999999999</v>
      </c>
      <c r="HG17">
        <v>-0.10401000000000001</v>
      </c>
      <c r="HH17">
        <v>0</v>
      </c>
      <c r="HI17">
        <v>30.021899999999999</v>
      </c>
      <c r="HJ17">
        <v>999.9</v>
      </c>
      <c r="HK17">
        <v>38.9</v>
      </c>
      <c r="HL17">
        <v>42</v>
      </c>
      <c r="HM17">
        <v>32.773200000000003</v>
      </c>
      <c r="HN17">
        <v>61.396099999999997</v>
      </c>
      <c r="HO17">
        <v>4.1065699999999996</v>
      </c>
      <c r="HP17">
        <v>1</v>
      </c>
      <c r="HQ17">
        <v>1.04339</v>
      </c>
      <c r="HR17">
        <v>9.2810500000000005</v>
      </c>
      <c r="HS17">
        <v>19.992899999999999</v>
      </c>
      <c r="HT17">
        <v>5.2112999999999996</v>
      </c>
      <c r="HU17">
        <v>11.9201</v>
      </c>
      <c r="HV17">
        <v>4.9828000000000001</v>
      </c>
      <c r="HW17">
        <v>3.2709999999999999</v>
      </c>
      <c r="HX17">
        <v>9999</v>
      </c>
      <c r="HY17">
        <v>9999</v>
      </c>
      <c r="HZ17">
        <v>9999</v>
      </c>
      <c r="IA17">
        <v>999.9</v>
      </c>
      <c r="IB17">
        <v>1.86774</v>
      </c>
      <c r="IC17">
        <v>1.8634299999999999</v>
      </c>
      <c r="ID17">
        <v>1.8629500000000001</v>
      </c>
      <c r="IE17">
        <v>1.86249</v>
      </c>
      <c r="IF17">
        <v>1.86249</v>
      </c>
      <c r="IG17">
        <v>1.8629800000000001</v>
      </c>
      <c r="IH17">
        <v>1.8638600000000001</v>
      </c>
      <c r="II17">
        <v>1.86188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-7.4669999999999996</v>
      </c>
      <c r="IX17">
        <v>-0.88800000000000001</v>
      </c>
      <c r="IY17">
        <v>-5.0655718306352329</v>
      </c>
      <c r="IZ17">
        <v>-5.6215304933332991E-3</v>
      </c>
      <c r="JA17">
        <v>2.3979931213773931E-6</v>
      </c>
      <c r="JB17">
        <v>-3.6297174575716598E-10</v>
      </c>
      <c r="JC17">
        <v>-1.287864815645055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28</v>
      </c>
      <c r="JL17">
        <v>28</v>
      </c>
      <c r="JM17">
        <v>1.22559</v>
      </c>
      <c r="JN17">
        <v>2.5610400000000002</v>
      </c>
      <c r="JO17">
        <v>1.50024</v>
      </c>
      <c r="JP17">
        <v>2.2692899999999998</v>
      </c>
      <c r="JQ17">
        <v>1.4477500000000001</v>
      </c>
      <c r="JR17">
        <v>2.36328</v>
      </c>
      <c r="JS17">
        <v>46.6496</v>
      </c>
      <c r="JT17">
        <v>23.754799999999999</v>
      </c>
      <c r="JU17">
        <v>18</v>
      </c>
      <c r="JV17">
        <v>552.52599999999995</v>
      </c>
      <c r="JW17">
        <v>401.30700000000002</v>
      </c>
      <c r="JX17">
        <v>21.540400000000002</v>
      </c>
      <c r="JY17">
        <v>39.3307</v>
      </c>
      <c r="JZ17">
        <v>30.000800000000002</v>
      </c>
      <c r="KA17">
        <v>39.428600000000003</v>
      </c>
      <c r="KB17">
        <v>39.441600000000001</v>
      </c>
      <c r="KC17">
        <v>24.522500000000001</v>
      </c>
      <c r="KD17">
        <v>42.886499999999998</v>
      </c>
      <c r="KE17">
        <v>0</v>
      </c>
      <c r="KF17">
        <v>20.926400000000001</v>
      </c>
      <c r="KG17">
        <v>478.71199999999999</v>
      </c>
      <c r="KH17">
        <v>19.3855</v>
      </c>
      <c r="KI17">
        <v>99.493399999999994</v>
      </c>
      <c r="KJ17">
        <v>97.735799999999998</v>
      </c>
    </row>
    <row r="18" spans="1:296" x14ac:dyDescent="0.3">
      <c r="A18">
        <v>2</v>
      </c>
      <c r="B18">
        <v>1784652995</v>
      </c>
      <c r="C18">
        <v>203.4000000953674</v>
      </c>
      <c r="D18" t="s">
        <v>847</v>
      </c>
      <c r="E18" t="s">
        <v>848</v>
      </c>
      <c r="F18">
        <v>15</v>
      </c>
      <c r="H18">
        <v>1784652987.25</v>
      </c>
      <c r="I18">
        <f t="shared" si="0"/>
        <v>4.5314345142147047E-3</v>
      </c>
      <c r="J18">
        <f t="shared" si="1"/>
        <v>4.5314345142147046</v>
      </c>
      <c r="K18">
        <f t="shared" si="2"/>
        <v>47.731916709118615</v>
      </c>
      <c r="L18">
        <f t="shared" si="3"/>
        <v>419.68446666666671</v>
      </c>
      <c r="M18">
        <f t="shared" si="4"/>
        <v>158.11753291299763</v>
      </c>
      <c r="N18">
        <f t="shared" si="5"/>
        <v>15.47793035796348</v>
      </c>
      <c r="O18">
        <f t="shared" si="6"/>
        <v>41.082395024212644</v>
      </c>
      <c r="P18">
        <f t="shared" si="7"/>
        <v>0.31549733223921195</v>
      </c>
      <c r="Q18">
        <f t="shared" si="8"/>
        <v>2.890397093308577</v>
      </c>
      <c r="R18">
        <f t="shared" si="9"/>
        <v>0.29753784920165105</v>
      </c>
      <c r="S18">
        <f t="shared" si="10"/>
        <v>0.18748949634796677</v>
      </c>
      <c r="T18">
        <f t="shared" si="11"/>
        <v>271.90373542936857</v>
      </c>
      <c r="U18">
        <f t="shared" si="12"/>
        <v>28.102696609055265</v>
      </c>
      <c r="V18">
        <f t="shared" si="13"/>
        <v>28.31346666666667</v>
      </c>
      <c r="W18">
        <f t="shared" si="14"/>
        <v>3.8647419831444476</v>
      </c>
      <c r="X18">
        <f t="shared" si="15"/>
        <v>65.049423650930905</v>
      </c>
      <c r="Y18">
        <f t="shared" si="16"/>
        <v>2.4217893079466113</v>
      </c>
      <c r="Z18">
        <f t="shared" si="17"/>
        <v>3.7229988707393469</v>
      </c>
      <c r="AA18">
        <f t="shared" si="18"/>
        <v>1.4429526751978363</v>
      </c>
      <c r="AB18">
        <f t="shared" si="19"/>
        <v>-199.83626207686848</v>
      </c>
      <c r="AC18">
        <f t="shared" si="20"/>
        <v>-99.872697301496387</v>
      </c>
      <c r="AD18">
        <f t="shared" si="21"/>
        <v>-7.531304086020814</v>
      </c>
      <c r="AE18">
        <f t="shared" si="22"/>
        <v>-35.336528035017139</v>
      </c>
      <c r="AF18">
        <f t="shared" si="23"/>
        <v>47.731916709118615</v>
      </c>
      <c r="AG18">
        <f t="shared" si="24"/>
        <v>4.5314345142147046</v>
      </c>
      <c r="AH18">
        <f t="shared" si="25"/>
        <v>47.687589053320515</v>
      </c>
      <c r="AI18">
        <v>488.93058310025759</v>
      </c>
      <c r="AJ18">
        <v>430.43078787878773</v>
      </c>
      <c r="AK18">
        <v>2.6829025862781301E-2</v>
      </c>
      <c r="AL18">
        <v>67.085321048408233</v>
      </c>
      <c r="AM18">
        <f t="shared" si="26"/>
        <v>4.5723536023924582</v>
      </c>
      <c r="AN18">
        <v>19.410569392620271</v>
      </c>
      <c r="AO18">
        <v>24.75740484848485</v>
      </c>
      <c r="AP18">
        <v>6.7109971517174765E-4</v>
      </c>
      <c r="AQ18">
        <v>78.24530619532915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51591.169774531671</v>
      </c>
      <c r="AW18" t="s">
        <v>841</v>
      </c>
      <c r="AX18">
        <v>5083.33</v>
      </c>
      <c r="AY18">
        <v>594.90294117647056</v>
      </c>
      <c r="AZ18">
        <v>2493.0500000000002</v>
      </c>
      <c r="BA18">
        <f t="shared" si="30"/>
        <v>0.76137544727283024</v>
      </c>
      <c r="BB18">
        <v>-2.1570306834497912</v>
      </c>
      <c r="BC18" t="s">
        <v>849</v>
      </c>
      <c r="BD18">
        <v>5068.8100000000004</v>
      </c>
      <c r="BE18">
        <v>885.19523529411777</v>
      </c>
      <c r="BF18">
        <v>1101.92</v>
      </c>
      <c r="BG18">
        <f t="shared" si="31"/>
        <v>0.1966792187326506</v>
      </c>
      <c r="BH18">
        <v>0.5</v>
      </c>
      <c r="BI18">
        <f t="shared" si="32"/>
        <v>1428.2782198079631</v>
      </c>
      <c r="BJ18">
        <f t="shared" si="33"/>
        <v>47.731916709118615</v>
      </c>
      <c r="BK18">
        <f t="shared" si="34"/>
        <v>140.45632220234558</v>
      </c>
      <c r="BL18">
        <f t="shared" si="35"/>
        <v>3.4929432305756326E-2</v>
      </c>
      <c r="BM18">
        <f t="shared" si="36"/>
        <v>1.2624600696965298</v>
      </c>
      <c r="BN18">
        <f t="shared" si="37"/>
        <v>457.17665815846328</v>
      </c>
      <c r="BO18" t="s">
        <v>408</v>
      </c>
      <c r="BP18">
        <v>0</v>
      </c>
      <c r="BQ18">
        <f t="shared" si="38"/>
        <v>457.17665815846328</v>
      </c>
      <c r="BR18">
        <f t="shared" si="39"/>
        <v>0.58510902954981914</v>
      </c>
      <c r="BS18">
        <f t="shared" si="40"/>
        <v>0.33614114429916564</v>
      </c>
      <c r="BT18">
        <f t="shared" si="41"/>
        <v>0.68330871641634738</v>
      </c>
      <c r="BU18">
        <f t="shared" si="42"/>
        <v>0.42745063688540452</v>
      </c>
      <c r="BV18">
        <f t="shared" si="43"/>
        <v>0.73288842059593717</v>
      </c>
      <c r="BW18">
        <f t="shared" si="44"/>
        <v>0.17360676932382435</v>
      </c>
      <c r="BX18">
        <f t="shared" si="45"/>
        <v>0.82639323067617565</v>
      </c>
      <c r="DG18">
        <f t="shared" si="46"/>
        <v>1699.9680000000001</v>
      </c>
      <c r="DH18">
        <f t="shared" si="47"/>
        <v>1428.2782198079631</v>
      </c>
      <c r="DI18">
        <f t="shared" si="48"/>
        <v>0.8401794738536037</v>
      </c>
      <c r="DJ18">
        <f t="shared" si="49"/>
        <v>0.15994638453745513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1784652987.25</v>
      </c>
      <c r="DQ18">
        <v>419.68446666666671</v>
      </c>
      <c r="DR18">
        <v>479.24443333333329</v>
      </c>
      <c r="DS18">
        <v>24.740216666666669</v>
      </c>
      <c r="DT18">
        <v>19.43706666666667</v>
      </c>
      <c r="DU18">
        <v>426.92606666666671</v>
      </c>
      <c r="DV18">
        <v>25.480763333333339</v>
      </c>
      <c r="DW18">
        <v>500.00386666666668</v>
      </c>
      <c r="DX18">
        <v>97.83046666666668</v>
      </c>
      <c r="DY18">
        <v>5.8300460000000012E-2</v>
      </c>
      <c r="DZ18">
        <v>27.672546666666669</v>
      </c>
      <c r="EA18">
        <v>28.31346666666667</v>
      </c>
      <c r="EB18">
        <v>999.9000000000002</v>
      </c>
      <c r="EC18">
        <v>0</v>
      </c>
      <c r="ED18">
        <v>0</v>
      </c>
      <c r="EE18">
        <v>9995.3333333333339</v>
      </c>
      <c r="EF18">
        <v>0</v>
      </c>
      <c r="EG18">
        <v>1388.1046666666671</v>
      </c>
      <c r="EH18">
        <v>-59.560073333333342</v>
      </c>
      <c r="EI18">
        <v>430.3307999999999</v>
      </c>
      <c r="EJ18">
        <v>488.74430000000001</v>
      </c>
      <c r="EK18">
        <v>5.3031543333333344</v>
      </c>
      <c r="EL18">
        <v>479.24443333333329</v>
      </c>
      <c r="EM18">
        <v>19.43706666666667</v>
      </c>
      <c r="EN18">
        <v>2.420347</v>
      </c>
      <c r="EO18">
        <v>1.901536666666666</v>
      </c>
      <c r="EP18">
        <v>20.500546666666661</v>
      </c>
      <c r="EQ18">
        <v>16.647426666666671</v>
      </c>
      <c r="ER18">
        <v>1699.9680000000001</v>
      </c>
      <c r="ES18">
        <v>0.99400266666666659</v>
      </c>
      <c r="ET18">
        <v>5.9977523333333308E-3</v>
      </c>
      <c r="EU18">
        <v>0</v>
      </c>
      <c r="EV18">
        <v>885.04700000000003</v>
      </c>
      <c r="EW18">
        <v>5.0010700000000003</v>
      </c>
      <c r="EX18">
        <v>18634.866666666661</v>
      </c>
      <c r="EY18">
        <v>15492.23</v>
      </c>
      <c r="EZ18">
        <v>44.533066666666663</v>
      </c>
      <c r="FA18">
        <v>46.5</v>
      </c>
      <c r="FB18">
        <v>45.375</v>
      </c>
      <c r="FC18">
        <v>46.116599999999998</v>
      </c>
      <c r="FD18">
        <v>45.599800000000002</v>
      </c>
      <c r="FE18">
        <v>1684.798</v>
      </c>
      <c r="FF18">
        <v>10.17</v>
      </c>
      <c r="FG18">
        <v>0</v>
      </c>
      <c r="FH18">
        <v>203</v>
      </c>
      <c r="FI18">
        <v>0</v>
      </c>
      <c r="FJ18">
        <v>885.19523529411777</v>
      </c>
      <c r="FK18">
        <v>0.62328423785803899</v>
      </c>
      <c r="FL18">
        <v>1496.274512266019</v>
      </c>
      <c r="FM18">
        <v>18669.023529411759</v>
      </c>
      <c r="FN18">
        <v>10</v>
      </c>
      <c r="FO18">
        <v>1784652924</v>
      </c>
      <c r="FP18" t="s">
        <v>850</v>
      </c>
      <c r="FQ18">
        <v>1784652917</v>
      </c>
      <c r="FR18">
        <v>1784652924</v>
      </c>
      <c r="FS18">
        <v>28</v>
      </c>
      <c r="FT18">
        <v>8.0000000000000002E-3</v>
      </c>
      <c r="FU18">
        <v>8.9999999999999993E-3</v>
      </c>
      <c r="FV18">
        <v>-7.46</v>
      </c>
      <c r="FW18">
        <v>-0.88600000000000001</v>
      </c>
      <c r="FX18">
        <v>479</v>
      </c>
      <c r="FY18">
        <v>19</v>
      </c>
      <c r="FZ18">
        <v>0.21</v>
      </c>
      <c r="GA18">
        <v>7.0000000000000007E-2</v>
      </c>
      <c r="GB18">
        <v>419.68651612903233</v>
      </c>
      <c r="GC18">
        <v>4.9548387096404231E-2</v>
      </c>
      <c r="GD18">
        <v>8.2959714657073913E-2</v>
      </c>
      <c r="GE18">
        <v>-1</v>
      </c>
      <c r="GF18">
        <v>884.94923529411767</v>
      </c>
      <c r="GG18">
        <v>2.3463407108851788</v>
      </c>
      <c r="GH18">
        <v>0.48064454634459458</v>
      </c>
      <c r="GI18">
        <v>1</v>
      </c>
      <c r="GJ18">
        <v>5.2850963414634151</v>
      </c>
      <c r="GK18">
        <v>0.44208522648084031</v>
      </c>
      <c r="GL18">
        <v>4.616057085055663E-2</v>
      </c>
      <c r="GM18">
        <v>1</v>
      </c>
      <c r="GN18">
        <v>2</v>
      </c>
      <c r="GO18">
        <v>2</v>
      </c>
      <c r="GP18" t="s">
        <v>424</v>
      </c>
      <c r="GQ18">
        <v>3.1296900000000001</v>
      </c>
      <c r="GR18">
        <v>2.7354400000000001</v>
      </c>
      <c r="GS18">
        <v>9.0422699999999995E-2</v>
      </c>
      <c r="GT18">
        <v>9.9399899999999999E-2</v>
      </c>
      <c r="GU18">
        <v>0.115355</v>
      </c>
      <c r="GV18">
        <v>9.5331200000000005E-2</v>
      </c>
      <c r="GW18">
        <v>22565.8</v>
      </c>
      <c r="GX18">
        <v>29957.3</v>
      </c>
      <c r="GY18">
        <v>26937.9</v>
      </c>
      <c r="GZ18">
        <v>34244.699999999997</v>
      </c>
      <c r="HA18">
        <v>34946.9</v>
      </c>
      <c r="HB18">
        <v>39197.199999999997</v>
      </c>
      <c r="HC18">
        <v>39800.699999999997</v>
      </c>
      <c r="HD18">
        <v>43398.2</v>
      </c>
      <c r="HE18">
        <v>1.9159999999999999</v>
      </c>
      <c r="HF18">
        <v>1.667</v>
      </c>
      <c r="HG18">
        <v>-0.103146</v>
      </c>
      <c r="HH18">
        <v>0</v>
      </c>
      <c r="HI18">
        <v>30.0167</v>
      </c>
      <c r="HJ18">
        <v>999.9</v>
      </c>
      <c r="HK18">
        <v>38.700000000000003</v>
      </c>
      <c r="HL18">
        <v>42.1</v>
      </c>
      <c r="HM18">
        <v>32.782600000000002</v>
      </c>
      <c r="HN18">
        <v>61.426200000000001</v>
      </c>
      <c r="HO18">
        <v>4.2387800000000002</v>
      </c>
      <c r="HP18">
        <v>1</v>
      </c>
      <c r="HQ18">
        <v>1.06833</v>
      </c>
      <c r="HR18">
        <v>9.2810500000000005</v>
      </c>
      <c r="HS18">
        <v>19.994299999999999</v>
      </c>
      <c r="HT18">
        <v>5.2100999999999997</v>
      </c>
      <c r="HU18">
        <v>11.9201</v>
      </c>
      <c r="HV18">
        <v>4.9828000000000001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1.86771</v>
      </c>
      <c r="IC18">
        <v>1.8634299999999999</v>
      </c>
      <c r="ID18">
        <v>1.8629500000000001</v>
      </c>
      <c r="IE18">
        <v>1.86249</v>
      </c>
      <c r="IF18">
        <v>1.86249</v>
      </c>
      <c r="IG18">
        <v>1.8629500000000001</v>
      </c>
      <c r="IH18">
        <v>1.86389</v>
      </c>
      <c r="II18">
        <v>1.86188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-7.2409999999999997</v>
      </c>
      <c r="IX18">
        <v>-0.74009999999999998</v>
      </c>
      <c r="IY18">
        <v>-5.2504580341343221</v>
      </c>
      <c r="IZ18">
        <v>-5.6215304933332991E-3</v>
      </c>
      <c r="JA18">
        <v>2.3979931213773931E-6</v>
      </c>
      <c r="JB18">
        <v>-3.6297174575716598E-10</v>
      </c>
      <c r="JC18">
        <v>-1.174234167952408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1.3</v>
      </c>
      <c r="JL18">
        <v>1.2</v>
      </c>
      <c r="JM18">
        <v>1.22681</v>
      </c>
      <c r="JN18">
        <v>2.5537100000000001</v>
      </c>
      <c r="JO18">
        <v>1.50024</v>
      </c>
      <c r="JP18">
        <v>2.2692899999999998</v>
      </c>
      <c r="JQ18">
        <v>1.4477500000000001</v>
      </c>
      <c r="JR18">
        <v>2.50244</v>
      </c>
      <c r="JS18">
        <v>46.974400000000003</v>
      </c>
      <c r="JT18">
        <v>23.763500000000001</v>
      </c>
      <c r="JU18">
        <v>18</v>
      </c>
      <c r="JV18">
        <v>552.03399999999999</v>
      </c>
      <c r="JW18">
        <v>399.60199999999998</v>
      </c>
      <c r="JX18">
        <v>21.662800000000001</v>
      </c>
      <c r="JY18">
        <v>39.612299999999998</v>
      </c>
      <c r="JZ18">
        <v>30.000699999999998</v>
      </c>
      <c r="KA18">
        <v>39.688800000000001</v>
      </c>
      <c r="KB18">
        <v>39.692300000000003</v>
      </c>
      <c r="KC18">
        <v>24.533999999999999</v>
      </c>
      <c r="KD18">
        <v>43.132100000000001</v>
      </c>
      <c r="KE18">
        <v>0</v>
      </c>
      <c r="KF18">
        <v>21.012</v>
      </c>
      <c r="KG18">
        <v>479.45699999999999</v>
      </c>
      <c r="KH18">
        <v>19.41</v>
      </c>
      <c r="KI18">
        <v>99.450800000000001</v>
      </c>
      <c r="KJ18">
        <v>97.691299999999998</v>
      </c>
    </row>
    <row r="19" spans="1:296" x14ac:dyDescent="0.3">
      <c r="A19">
        <v>3</v>
      </c>
      <c r="B19">
        <v>1784653177.5</v>
      </c>
      <c r="C19">
        <v>385.90000009536737</v>
      </c>
      <c r="D19" t="s">
        <v>851</v>
      </c>
      <c r="E19" t="s">
        <v>852</v>
      </c>
      <c r="F19">
        <v>15</v>
      </c>
      <c r="H19">
        <v>1784653169.5</v>
      </c>
      <c r="I19">
        <f t="shared" si="0"/>
        <v>4.4732183897337619E-3</v>
      </c>
      <c r="J19">
        <f t="shared" si="1"/>
        <v>4.4732183897337618</v>
      </c>
      <c r="K19">
        <f t="shared" si="2"/>
        <v>47.431950963385617</v>
      </c>
      <c r="L19">
        <f t="shared" si="3"/>
        <v>420.02496774193548</v>
      </c>
      <c r="M19">
        <f t="shared" si="4"/>
        <v>154.59339823447195</v>
      </c>
      <c r="N19">
        <f t="shared" si="5"/>
        <v>15.13363751453314</v>
      </c>
      <c r="O19">
        <f t="shared" si="6"/>
        <v>41.117574757099327</v>
      </c>
      <c r="P19">
        <f t="shared" si="7"/>
        <v>0.30851257617879796</v>
      </c>
      <c r="Q19">
        <f t="shared" si="8"/>
        <v>2.8909361926995425</v>
      </c>
      <c r="R19">
        <f t="shared" si="9"/>
        <v>0.29131924635219991</v>
      </c>
      <c r="S19">
        <f t="shared" si="10"/>
        <v>0.18353938747628123</v>
      </c>
      <c r="T19">
        <f t="shared" si="11"/>
        <v>255.91132250040755</v>
      </c>
      <c r="U19">
        <f t="shared" si="12"/>
        <v>28.378239608750103</v>
      </c>
      <c r="V19">
        <f t="shared" si="13"/>
        <v>28.563722580645159</v>
      </c>
      <c r="W19">
        <f t="shared" si="14"/>
        <v>3.9213521203272026</v>
      </c>
      <c r="X19">
        <f t="shared" si="15"/>
        <v>64.908431517015472</v>
      </c>
      <c r="Y19">
        <f t="shared" si="16"/>
        <v>2.4672473033885995</v>
      </c>
      <c r="Z19">
        <f t="shared" si="17"/>
        <v>3.8011198941724866</v>
      </c>
      <c r="AA19">
        <f t="shared" si="18"/>
        <v>1.4541048169386031</v>
      </c>
      <c r="AB19">
        <f t="shared" si="19"/>
        <v>-197.2689309872589</v>
      </c>
      <c r="AC19">
        <f t="shared" si="20"/>
        <v>-83.438345127014486</v>
      </c>
      <c r="AD19">
        <f t="shared" si="21"/>
        <v>-6.3098497745813598</v>
      </c>
      <c r="AE19">
        <f t="shared" si="22"/>
        <v>-31.105803388447185</v>
      </c>
      <c r="AF19">
        <f t="shared" si="23"/>
        <v>47.431950963385617</v>
      </c>
      <c r="AG19">
        <f t="shared" si="24"/>
        <v>4.4732183897337618</v>
      </c>
      <c r="AH19">
        <f t="shared" si="25"/>
        <v>47.395699695913947</v>
      </c>
      <c r="AI19">
        <v>489.00497171976502</v>
      </c>
      <c r="AJ19">
        <v>430.91547878787901</v>
      </c>
      <c r="AK19">
        <v>1.044116535818653E-2</v>
      </c>
      <c r="AL19">
        <v>67.079835662375231</v>
      </c>
      <c r="AM19">
        <f t="shared" si="26"/>
        <v>4.4851197429691467</v>
      </c>
      <c r="AN19">
        <v>19.961504769740269</v>
      </c>
      <c r="AO19">
        <v>25.20791090909092</v>
      </c>
      <c r="AP19">
        <v>2.4423198550831531E-5</v>
      </c>
      <c r="AQ19">
        <v>78.55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51545.5692035018</v>
      </c>
      <c r="AW19" t="s">
        <v>841</v>
      </c>
      <c r="AX19">
        <v>5083.33</v>
      </c>
      <c r="AY19">
        <v>594.90294117647056</v>
      </c>
      <c r="AZ19">
        <v>2493.0500000000002</v>
      </c>
      <c r="BA19">
        <f t="shared" si="30"/>
        <v>0.76137544727283024</v>
      </c>
      <c r="BB19">
        <v>-2.1570306834497912</v>
      </c>
      <c r="BC19" t="s">
        <v>853</v>
      </c>
      <c r="BD19">
        <v>5069.1099999999997</v>
      </c>
      <c r="BE19">
        <v>876.87347058823525</v>
      </c>
      <c r="BF19">
        <v>1119.18</v>
      </c>
      <c r="BG19">
        <f t="shared" si="31"/>
        <v>0.21650362713036764</v>
      </c>
      <c r="BH19">
        <v>0.5</v>
      </c>
      <c r="BI19">
        <f t="shared" si="32"/>
        <v>1344.2724675499351</v>
      </c>
      <c r="BJ19">
        <f t="shared" si="33"/>
        <v>47.431950963385617</v>
      </c>
      <c r="BK19">
        <f t="shared" si="34"/>
        <v>145.51993253802519</v>
      </c>
      <c r="BL19">
        <f t="shared" si="35"/>
        <v>3.6889085244166356E-2</v>
      </c>
      <c r="BM19">
        <f t="shared" si="36"/>
        <v>1.2275683982916064</v>
      </c>
      <c r="BN19">
        <f t="shared" si="37"/>
        <v>460.1207179274511</v>
      </c>
      <c r="BO19" t="s">
        <v>408</v>
      </c>
      <c r="BP19">
        <v>0</v>
      </c>
      <c r="BQ19">
        <f t="shared" si="38"/>
        <v>460.1207179274511</v>
      </c>
      <c r="BR19">
        <f t="shared" si="39"/>
        <v>0.58887692960252047</v>
      </c>
      <c r="BS19">
        <f t="shared" si="40"/>
        <v>0.36765513513409831</v>
      </c>
      <c r="BT19">
        <f t="shared" si="41"/>
        <v>0.67580806283598549</v>
      </c>
      <c r="BU19">
        <f t="shared" si="42"/>
        <v>0.46217267250925936</v>
      </c>
      <c r="BV19">
        <f t="shared" si="43"/>
        <v>0.72379534220679609</v>
      </c>
      <c r="BW19">
        <f t="shared" si="44"/>
        <v>0.19291921856654357</v>
      </c>
      <c r="BX19">
        <f t="shared" si="45"/>
        <v>0.80708078143345641</v>
      </c>
      <c r="DG19">
        <f t="shared" si="46"/>
        <v>1599.9825806451611</v>
      </c>
      <c r="DH19">
        <f t="shared" si="47"/>
        <v>1344.2724675499351</v>
      </c>
      <c r="DI19">
        <f t="shared" si="48"/>
        <v>0.84017943933357331</v>
      </c>
      <c r="DJ19">
        <f t="shared" si="49"/>
        <v>0.15994631791379654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1784653169.5</v>
      </c>
      <c r="DQ19">
        <v>420.02496774193548</v>
      </c>
      <c r="DR19">
        <v>479.19890322580642</v>
      </c>
      <c r="DS19">
        <v>25.203467741935491</v>
      </c>
      <c r="DT19">
        <v>19.970809677419361</v>
      </c>
      <c r="DU19">
        <v>427.31935483870973</v>
      </c>
      <c r="DV19">
        <v>25.939970967741939</v>
      </c>
      <c r="DW19">
        <v>499.99190322580642</v>
      </c>
      <c r="DX19">
        <v>97.834025806451592</v>
      </c>
      <c r="DY19">
        <v>5.9142254838709683E-2</v>
      </c>
      <c r="DZ19">
        <v>28.02836774193549</v>
      </c>
      <c r="EA19">
        <v>28.563722580645159</v>
      </c>
      <c r="EB19">
        <v>999.90000000000032</v>
      </c>
      <c r="EC19">
        <v>0</v>
      </c>
      <c r="ED19">
        <v>0</v>
      </c>
      <c r="EE19">
        <v>9998.0645161290322</v>
      </c>
      <c r="EF19">
        <v>0</v>
      </c>
      <c r="EG19">
        <v>1410.1174193548391</v>
      </c>
      <c r="EH19">
        <v>-59.174022580645158</v>
      </c>
      <c r="EI19">
        <v>430.88477419354831</v>
      </c>
      <c r="EJ19">
        <v>488.9639032258064</v>
      </c>
      <c r="EK19">
        <v>5.2326503225806444</v>
      </c>
      <c r="EL19">
        <v>479.19890322580642</v>
      </c>
      <c r="EM19">
        <v>19.970809677419361</v>
      </c>
      <c r="EN19">
        <v>2.4657548387096782</v>
      </c>
      <c r="EO19">
        <v>1.953825161290323</v>
      </c>
      <c r="EP19">
        <v>20.802219354838719</v>
      </c>
      <c r="EQ19">
        <v>17.075003225806451</v>
      </c>
      <c r="ER19">
        <v>1599.9825806451611</v>
      </c>
      <c r="ES19">
        <v>0.99400009677419365</v>
      </c>
      <c r="ET19">
        <v>6.000060322580646E-3</v>
      </c>
      <c r="EU19">
        <v>0</v>
      </c>
      <c r="EV19">
        <v>876.87161290322581</v>
      </c>
      <c r="EW19">
        <v>5.0010700000000003</v>
      </c>
      <c r="EX19">
        <v>17541.380645161291</v>
      </c>
      <c r="EY19">
        <v>14578.35161290323</v>
      </c>
      <c r="EZ19">
        <v>44.311999999999969</v>
      </c>
      <c r="FA19">
        <v>46.066064516129003</v>
      </c>
      <c r="FB19">
        <v>45.158999999999999</v>
      </c>
      <c r="FC19">
        <v>45.936999999999969</v>
      </c>
      <c r="FD19">
        <v>45.493741935483861</v>
      </c>
      <c r="FE19">
        <v>1585.4125806451609</v>
      </c>
      <c r="FF19">
        <v>9.5699999999999985</v>
      </c>
      <c r="FG19">
        <v>0</v>
      </c>
      <c r="FH19">
        <v>181.60000014305109</v>
      </c>
      <c r="FI19">
        <v>0</v>
      </c>
      <c r="FJ19">
        <v>876.87347058823525</v>
      </c>
      <c r="FK19">
        <v>-5.7806373060865388</v>
      </c>
      <c r="FL19">
        <v>112.9411644479663</v>
      </c>
      <c r="FM19">
        <v>17594.905882352941</v>
      </c>
      <c r="FN19">
        <v>10</v>
      </c>
      <c r="FO19">
        <v>1784653067</v>
      </c>
      <c r="FP19" t="s">
        <v>854</v>
      </c>
      <c r="FQ19">
        <v>1784653063</v>
      </c>
      <c r="FR19">
        <v>1784653067</v>
      </c>
      <c r="FS19">
        <v>29</v>
      </c>
      <c r="FT19">
        <v>-5.0999999999999997E-2</v>
      </c>
      <c r="FU19">
        <v>-8.9999999999999993E-3</v>
      </c>
      <c r="FV19">
        <v>-7.5129999999999999</v>
      </c>
      <c r="FW19">
        <v>-0.88900000000000001</v>
      </c>
      <c r="FX19">
        <v>480</v>
      </c>
      <c r="FY19">
        <v>19</v>
      </c>
      <c r="FZ19">
        <v>0.18</v>
      </c>
      <c r="GA19">
        <v>0.05</v>
      </c>
      <c r="GB19">
        <v>420.02543333333341</v>
      </c>
      <c r="GC19">
        <v>-0.12395105673030379</v>
      </c>
      <c r="GD19">
        <v>5.1393698273449508E-2</v>
      </c>
      <c r="GE19">
        <v>-1</v>
      </c>
      <c r="GF19">
        <v>877.01255882352928</v>
      </c>
      <c r="GG19">
        <v>-1.942689081155144</v>
      </c>
      <c r="GH19">
        <v>0.63055350060722781</v>
      </c>
      <c r="GI19">
        <v>1</v>
      </c>
      <c r="GJ19">
        <v>5.2267677499999996</v>
      </c>
      <c r="GK19">
        <v>0.15118187617259199</v>
      </c>
      <c r="GL19">
        <v>1.5021394989730531E-2</v>
      </c>
      <c r="GM19">
        <v>1</v>
      </c>
      <c r="GN19">
        <v>2</v>
      </c>
      <c r="GO19">
        <v>2</v>
      </c>
      <c r="GP19" t="s">
        <v>424</v>
      </c>
      <c r="GQ19">
        <v>3.13131</v>
      </c>
      <c r="GR19">
        <v>2.73515</v>
      </c>
      <c r="GS19">
        <v>9.0480599999999994E-2</v>
      </c>
      <c r="GT19">
        <v>9.9326499999999998E-2</v>
      </c>
      <c r="GU19">
        <v>0.116782</v>
      </c>
      <c r="GV19">
        <v>9.7275899999999998E-2</v>
      </c>
      <c r="GW19">
        <v>22565.9</v>
      </c>
      <c r="GX19">
        <v>29964.9</v>
      </c>
      <c r="GY19">
        <v>26939.599999999999</v>
      </c>
      <c r="GZ19">
        <v>34250.300000000003</v>
      </c>
      <c r="HA19">
        <v>34892.6</v>
      </c>
      <c r="HB19">
        <v>39118.9</v>
      </c>
      <c r="HC19">
        <v>39802.5</v>
      </c>
      <c r="HD19">
        <v>43404.4</v>
      </c>
      <c r="HE19">
        <v>1.9181999999999999</v>
      </c>
      <c r="HF19">
        <v>1.6674</v>
      </c>
      <c r="HG19">
        <v>-9.7662200000000005E-2</v>
      </c>
      <c r="HH19">
        <v>0</v>
      </c>
      <c r="HI19">
        <v>30.165299999999998</v>
      </c>
      <c r="HJ19">
        <v>999.9</v>
      </c>
      <c r="HK19">
        <v>38.4</v>
      </c>
      <c r="HL19">
        <v>42.1</v>
      </c>
      <c r="HM19">
        <v>32.526600000000002</v>
      </c>
      <c r="HN19">
        <v>61.376199999999997</v>
      </c>
      <c r="HO19">
        <v>3.8501599999999998</v>
      </c>
      <c r="HP19">
        <v>1</v>
      </c>
      <c r="HQ19">
        <v>1.06433</v>
      </c>
      <c r="HR19">
        <v>9.2810500000000005</v>
      </c>
      <c r="HS19">
        <v>19.997199999999999</v>
      </c>
      <c r="HT19">
        <v>5.2088999999999999</v>
      </c>
      <c r="HU19">
        <v>11.9201</v>
      </c>
      <c r="HV19">
        <v>4.9820000000000002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1.8677699999999999</v>
      </c>
      <c r="IC19">
        <v>1.8633999999999999</v>
      </c>
      <c r="ID19">
        <v>1.8629500000000001</v>
      </c>
      <c r="IE19">
        <v>1.86249</v>
      </c>
      <c r="IF19">
        <v>1.86249</v>
      </c>
      <c r="IG19">
        <v>1.8630100000000001</v>
      </c>
      <c r="IH19">
        <v>1.86392</v>
      </c>
      <c r="II19">
        <v>1.86188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-7.2939999999999996</v>
      </c>
      <c r="IX19">
        <v>-0.73640000000000005</v>
      </c>
      <c r="IY19">
        <v>-5.3018041723383149</v>
      </c>
      <c r="IZ19">
        <v>-5.6215304933332991E-3</v>
      </c>
      <c r="JA19">
        <v>2.3979931213773931E-6</v>
      </c>
      <c r="JB19">
        <v>-3.6297174575716598E-10</v>
      </c>
      <c r="JC19">
        <v>-1.183293155405112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1.9</v>
      </c>
      <c r="JL19">
        <v>1.8</v>
      </c>
      <c r="JM19">
        <v>1.22681</v>
      </c>
      <c r="JN19">
        <v>2.5647000000000002</v>
      </c>
      <c r="JO19">
        <v>1.50024</v>
      </c>
      <c r="JP19">
        <v>2.2680699999999998</v>
      </c>
      <c r="JQ19">
        <v>1.4477500000000001</v>
      </c>
      <c r="JR19">
        <v>2.4084500000000002</v>
      </c>
      <c r="JS19">
        <v>46.944800000000001</v>
      </c>
      <c r="JT19">
        <v>23.745999999999999</v>
      </c>
      <c r="JU19">
        <v>18</v>
      </c>
      <c r="JV19">
        <v>553.72500000000002</v>
      </c>
      <c r="JW19">
        <v>399.97300000000001</v>
      </c>
      <c r="JX19">
        <v>21.892700000000001</v>
      </c>
      <c r="JY19">
        <v>39.565800000000003</v>
      </c>
      <c r="JZ19">
        <v>29.999700000000001</v>
      </c>
      <c r="KA19">
        <v>39.708500000000001</v>
      </c>
      <c r="KB19">
        <v>39.7149</v>
      </c>
      <c r="KC19">
        <v>24.525700000000001</v>
      </c>
      <c r="KD19">
        <v>41.2136</v>
      </c>
      <c r="KE19">
        <v>0</v>
      </c>
      <c r="KF19">
        <v>21.307400000000001</v>
      </c>
      <c r="KG19">
        <v>479.15600000000001</v>
      </c>
      <c r="KH19">
        <v>19.9436</v>
      </c>
      <c r="KI19">
        <v>99.4559</v>
      </c>
      <c r="KJ19">
        <v>97.706100000000006</v>
      </c>
    </row>
    <row r="20" spans="1:296" x14ac:dyDescent="0.3">
      <c r="A20">
        <v>4</v>
      </c>
      <c r="B20">
        <v>1784653360</v>
      </c>
      <c r="C20">
        <v>568.40000009536743</v>
      </c>
      <c r="D20" t="s">
        <v>855</v>
      </c>
      <c r="E20" t="s">
        <v>856</v>
      </c>
      <c r="F20">
        <v>15</v>
      </c>
      <c r="H20">
        <v>1784653352</v>
      </c>
      <c r="I20">
        <f t="shared" si="0"/>
        <v>4.1932070389406485E-3</v>
      </c>
      <c r="J20">
        <f t="shared" si="1"/>
        <v>4.1932070389406482</v>
      </c>
      <c r="K20">
        <f t="shared" si="2"/>
        <v>45.434156239891564</v>
      </c>
      <c r="L20">
        <f t="shared" si="3"/>
        <v>420.0016451612903</v>
      </c>
      <c r="M20">
        <f t="shared" si="4"/>
        <v>155.72181555462484</v>
      </c>
      <c r="N20">
        <f t="shared" si="5"/>
        <v>15.24446744950685</v>
      </c>
      <c r="O20">
        <f t="shared" si="6"/>
        <v>41.116277675009805</v>
      </c>
      <c r="P20">
        <f t="shared" si="7"/>
        <v>0.29607730477435729</v>
      </c>
      <c r="Q20">
        <f t="shared" si="8"/>
        <v>2.8915171106723632</v>
      </c>
      <c r="R20">
        <f t="shared" si="9"/>
        <v>0.28020679126776982</v>
      </c>
      <c r="S20">
        <f t="shared" si="10"/>
        <v>0.17648422183141077</v>
      </c>
      <c r="T20">
        <f t="shared" si="11"/>
        <v>224.00452456854191</v>
      </c>
      <c r="U20">
        <f t="shared" si="12"/>
        <v>28.113531557923547</v>
      </c>
      <c r="V20">
        <f t="shared" si="13"/>
        <v>28.360664516129042</v>
      </c>
      <c r="W20">
        <f t="shared" si="14"/>
        <v>3.8753636823114022</v>
      </c>
      <c r="X20">
        <f t="shared" si="15"/>
        <v>65.219700885471212</v>
      </c>
      <c r="Y20">
        <f t="shared" si="16"/>
        <v>2.4577746083355176</v>
      </c>
      <c r="Z20">
        <f t="shared" si="17"/>
        <v>3.7684542783345218</v>
      </c>
      <c r="AA20">
        <f t="shared" si="18"/>
        <v>1.4175890739758845</v>
      </c>
      <c r="AB20">
        <f t="shared" si="19"/>
        <v>-184.9204304172826</v>
      </c>
      <c r="AC20">
        <f t="shared" si="20"/>
        <v>-74.872249204206497</v>
      </c>
      <c r="AD20">
        <f t="shared" si="21"/>
        <v>-5.6510302960898304</v>
      </c>
      <c r="AE20">
        <f t="shared" si="22"/>
        <v>-41.439185349037018</v>
      </c>
      <c r="AF20">
        <f t="shared" si="23"/>
        <v>45.434156239891564</v>
      </c>
      <c r="AG20">
        <f t="shared" si="24"/>
        <v>4.1932070389406482</v>
      </c>
      <c r="AH20">
        <f t="shared" si="25"/>
        <v>45.284818042481923</v>
      </c>
      <c r="AI20">
        <v>486.54761916832979</v>
      </c>
      <c r="AJ20">
        <v>430.8886848484849</v>
      </c>
      <c r="AK20">
        <v>3.7203080673182412E-2</v>
      </c>
      <c r="AL20">
        <v>67.075476227739628</v>
      </c>
      <c r="AM20">
        <f t="shared" si="26"/>
        <v>4.156804379831172</v>
      </c>
      <c r="AN20">
        <v>20.214527390822511</v>
      </c>
      <c r="AO20">
        <v>25.084066060606059</v>
      </c>
      <c r="AP20">
        <v>-1.0337609057606829E-3</v>
      </c>
      <c r="AQ20">
        <v>78.55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51587.483126405124</v>
      </c>
      <c r="AW20" t="s">
        <v>841</v>
      </c>
      <c r="AX20">
        <v>5083.33</v>
      </c>
      <c r="AY20">
        <v>594.90294117647056</v>
      </c>
      <c r="AZ20">
        <v>2493.0500000000002</v>
      </c>
      <c r="BA20">
        <f t="shared" si="30"/>
        <v>0.76137544727283024</v>
      </c>
      <c r="BB20">
        <v>-2.1570306834497912</v>
      </c>
      <c r="BC20" t="s">
        <v>857</v>
      </c>
      <c r="BD20">
        <v>5071.3999999999996</v>
      </c>
      <c r="BE20">
        <v>869.66205882352949</v>
      </c>
      <c r="BF20">
        <v>1163.1600000000001</v>
      </c>
      <c r="BG20">
        <f t="shared" si="31"/>
        <v>0.25232809001037737</v>
      </c>
      <c r="BH20">
        <v>0.5</v>
      </c>
      <c r="BI20">
        <f t="shared" si="32"/>
        <v>1176.2924997764467</v>
      </c>
      <c r="BJ20">
        <f t="shared" si="33"/>
        <v>45.434156239891564</v>
      </c>
      <c r="BK20">
        <f t="shared" si="34"/>
        <v>148.40581988106152</v>
      </c>
      <c r="BL20">
        <f t="shared" si="35"/>
        <v>4.0458633318146649E-2</v>
      </c>
      <c r="BM20">
        <f t="shared" si="36"/>
        <v>1.1433422744936208</v>
      </c>
      <c r="BN20">
        <f t="shared" si="37"/>
        <v>467.38618409728667</v>
      </c>
      <c r="BO20" t="s">
        <v>408</v>
      </c>
      <c r="BP20">
        <v>0</v>
      </c>
      <c r="BQ20">
        <f t="shared" si="38"/>
        <v>467.38618409728667</v>
      </c>
      <c r="BR20">
        <f t="shared" si="39"/>
        <v>0.59817550113717233</v>
      </c>
      <c r="BS20">
        <f t="shared" si="40"/>
        <v>0.42182952917778233</v>
      </c>
      <c r="BT20">
        <f t="shared" si="41"/>
        <v>0.65652058824348902</v>
      </c>
      <c r="BU20">
        <f t="shared" si="42"/>
        <v>0.51648798130920437</v>
      </c>
      <c r="BV20">
        <f t="shared" si="43"/>
        <v>0.70062537769031707</v>
      </c>
      <c r="BW20">
        <f t="shared" si="44"/>
        <v>0.22670564040550559</v>
      </c>
      <c r="BX20">
        <f t="shared" si="45"/>
        <v>0.77329435959449444</v>
      </c>
      <c r="DG20">
        <f t="shared" si="46"/>
        <v>1400</v>
      </c>
      <c r="DH20">
        <f t="shared" si="47"/>
        <v>1176.2924997764467</v>
      </c>
      <c r="DI20">
        <f t="shared" si="48"/>
        <v>0.84020892841174755</v>
      </c>
      <c r="DJ20">
        <f t="shared" si="49"/>
        <v>0.1600032318346728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1784653352</v>
      </c>
      <c r="DQ20">
        <v>420.0016451612903</v>
      </c>
      <c r="DR20">
        <v>476.6377419354838</v>
      </c>
      <c r="DS20">
        <v>25.106099999999991</v>
      </c>
      <c r="DT20">
        <v>20.20043225806452</v>
      </c>
      <c r="DU20">
        <v>427.26409677419349</v>
      </c>
      <c r="DV20">
        <v>25.861270967741941</v>
      </c>
      <c r="DW20">
        <v>499.98477419354828</v>
      </c>
      <c r="DX20">
        <v>97.836677419354842</v>
      </c>
      <c r="DY20">
        <v>5.8838345161290342E-2</v>
      </c>
      <c r="DZ20">
        <v>27.88036774193549</v>
      </c>
      <c r="EA20">
        <v>28.360664516129042</v>
      </c>
      <c r="EB20">
        <v>999.90000000000032</v>
      </c>
      <c r="EC20">
        <v>0</v>
      </c>
      <c r="ED20">
        <v>0</v>
      </c>
      <c r="EE20">
        <v>10001.129032258061</v>
      </c>
      <c r="EF20">
        <v>0</v>
      </c>
      <c r="EG20">
        <v>1433.307419354838</v>
      </c>
      <c r="EH20">
        <v>-56.636090322580657</v>
      </c>
      <c r="EI20">
        <v>430.81790322580639</v>
      </c>
      <c r="EJ20">
        <v>486.46448387096768</v>
      </c>
      <c r="EK20">
        <v>4.905663870967742</v>
      </c>
      <c r="EL20">
        <v>476.6377419354838</v>
      </c>
      <c r="EM20">
        <v>20.20043225806452</v>
      </c>
      <c r="EN20">
        <v>2.4562970967741928</v>
      </c>
      <c r="EO20">
        <v>1.976343548387097</v>
      </c>
      <c r="EP20">
        <v>20.739780645161289</v>
      </c>
      <c r="EQ20">
        <v>17.256061290322581</v>
      </c>
      <c r="ER20">
        <v>1400</v>
      </c>
      <c r="ES20">
        <v>0.99301045161290302</v>
      </c>
      <c r="ET20">
        <v>6.9896651612903231E-3</v>
      </c>
      <c r="EU20">
        <v>0</v>
      </c>
      <c r="EV20">
        <v>869.91090322580635</v>
      </c>
      <c r="EW20">
        <v>5.0010700000000003</v>
      </c>
      <c r="EX20">
        <v>15737.590322580651</v>
      </c>
      <c r="EY20">
        <v>12745.574193548389</v>
      </c>
      <c r="EZ20">
        <v>43.811999999999969</v>
      </c>
      <c r="FA20">
        <v>45.711387096774168</v>
      </c>
      <c r="FB20">
        <v>44.811999999999969</v>
      </c>
      <c r="FC20">
        <v>45.59654838709676</v>
      </c>
      <c r="FD20">
        <v>45.118838709677412</v>
      </c>
      <c r="FE20">
        <v>1385.25</v>
      </c>
      <c r="FF20">
        <v>9.75</v>
      </c>
      <c r="FG20">
        <v>0</v>
      </c>
      <c r="FH20">
        <v>182</v>
      </c>
      <c r="FI20">
        <v>0</v>
      </c>
      <c r="FJ20">
        <v>869.66205882352949</v>
      </c>
      <c r="FK20">
        <v>-4.9872548905593801</v>
      </c>
      <c r="FL20">
        <v>-1624.166665123086</v>
      </c>
      <c r="FM20">
        <v>15695.064705882351</v>
      </c>
      <c r="FN20">
        <v>10</v>
      </c>
      <c r="FO20">
        <v>1784653280.5</v>
      </c>
      <c r="FP20" t="s">
        <v>858</v>
      </c>
      <c r="FQ20">
        <v>1784653280.5</v>
      </c>
      <c r="FR20">
        <v>1784653279</v>
      </c>
      <c r="FS20">
        <v>30</v>
      </c>
      <c r="FT20">
        <v>3.2000000000000001E-2</v>
      </c>
      <c r="FU20">
        <v>-1.6E-2</v>
      </c>
      <c r="FV20">
        <v>-7.4729999999999999</v>
      </c>
      <c r="FW20">
        <v>-0.88800000000000001</v>
      </c>
      <c r="FX20">
        <v>477</v>
      </c>
      <c r="FY20">
        <v>20</v>
      </c>
      <c r="FZ20">
        <v>0.19</v>
      </c>
      <c r="GA20">
        <v>0.06</v>
      </c>
      <c r="GB20">
        <v>419.99950000000001</v>
      </c>
      <c r="GC20">
        <v>0.19170634037905779</v>
      </c>
      <c r="GD20">
        <v>6.2715628036396492E-2</v>
      </c>
      <c r="GE20">
        <v>-1</v>
      </c>
      <c r="GF20">
        <v>869.82208823529413</v>
      </c>
      <c r="GG20">
        <v>0.38623376345418831</v>
      </c>
      <c r="GH20">
        <v>0.40138820637200578</v>
      </c>
      <c r="GI20">
        <v>1</v>
      </c>
      <c r="GJ20">
        <v>4.9136232499999997</v>
      </c>
      <c r="GK20">
        <v>-0.19675711069419319</v>
      </c>
      <c r="GL20">
        <v>2.3609237534014098E-2</v>
      </c>
      <c r="GM20">
        <v>1</v>
      </c>
      <c r="GN20">
        <v>2</v>
      </c>
      <c r="GO20">
        <v>2</v>
      </c>
      <c r="GP20" t="s">
        <v>424</v>
      </c>
      <c r="GQ20">
        <v>3.1306799999999999</v>
      </c>
      <c r="GR20">
        <v>2.7373599999999998</v>
      </c>
      <c r="GS20">
        <v>9.0492299999999998E-2</v>
      </c>
      <c r="GT20">
        <v>9.8939200000000005E-2</v>
      </c>
      <c r="GU20">
        <v>0.116463</v>
      </c>
      <c r="GV20">
        <v>9.8291100000000006E-2</v>
      </c>
      <c r="GW20">
        <v>22570.9</v>
      </c>
      <c r="GX20">
        <v>29982.2</v>
      </c>
      <c r="GY20">
        <v>26945.4</v>
      </c>
      <c r="GZ20">
        <v>34254.400000000001</v>
      </c>
      <c r="HA20">
        <v>34911.800000000003</v>
      </c>
      <c r="HB20">
        <v>39079.699999999997</v>
      </c>
      <c r="HC20">
        <v>39810.699999999997</v>
      </c>
      <c r="HD20">
        <v>43409.7</v>
      </c>
      <c r="HE20">
        <v>1.9188000000000001</v>
      </c>
      <c r="HF20">
        <v>1.6712</v>
      </c>
      <c r="HG20">
        <v>-0.104606</v>
      </c>
      <c r="HH20">
        <v>0</v>
      </c>
      <c r="HI20">
        <v>30.074000000000002</v>
      </c>
      <c r="HJ20">
        <v>999.9</v>
      </c>
      <c r="HK20">
        <v>38</v>
      </c>
      <c r="HL20">
        <v>42.2</v>
      </c>
      <c r="HM20">
        <v>32.353999999999999</v>
      </c>
      <c r="HN20">
        <v>61.376199999999997</v>
      </c>
      <c r="HO20">
        <v>4.0665100000000001</v>
      </c>
      <c r="HP20">
        <v>1</v>
      </c>
      <c r="HQ20">
        <v>1.05341</v>
      </c>
      <c r="HR20">
        <v>9.2810500000000005</v>
      </c>
      <c r="HS20">
        <v>19.998899999999999</v>
      </c>
      <c r="HT20">
        <v>5.2065099999999997</v>
      </c>
      <c r="HU20">
        <v>11.9201</v>
      </c>
      <c r="HV20">
        <v>4.9824000000000002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1.8629500000000001</v>
      </c>
      <c r="IE20">
        <v>1.86249</v>
      </c>
      <c r="IF20">
        <v>1.86243</v>
      </c>
      <c r="IG20">
        <v>1.8629800000000001</v>
      </c>
      <c r="IH20">
        <v>1.86392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-7.2619999999999996</v>
      </c>
      <c r="IX20">
        <v>-0.75590000000000002</v>
      </c>
      <c r="IY20">
        <v>-5.2699208347345863</v>
      </c>
      <c r="IZ20">
        <v>-5.6215304933332991E-3</v>
      </c>
      <c r="JA20">
        <v>2.3979931213773931E-6</v>
      </c>
      <c r="JB20">
        <v>-3.6297174575716598E-10</v>
      </c>
      <c r="JC20">
        <v>-1.199708396591713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1.3</v>
      </c>
      <c r="JL20">
        <v>1.4</v>
      </c>
      <c r="JM20">
        <v>1.2206999999999999</v>
      </c>
      <c r="JN20">
        <v>2.5683600000000002</v>
      </c>
      <c r="JO20">
        <v>1.50024</v>
      </c>
      <c r="JP20">
        <v>2.2680699999999998</v>
      </c>
      <c r="JQ20">
        <v>1.4477500000000001</v>
      </c>
      <c r="JR20">
        <v>2.3730500000000001</v>
      </c>
      <c r="JS20">
        <v>46.856000000000002</v>
      </c>
      <c r="JT20">
        <v>23.754799999999999</v>
      </c>
      <c r="JU20">
        <v>18</v>
      </c>
      <c r="JV20">
        <v>553.60199999999998</v>
      </c>
      <c r="JW20">
        <v>401.928</v>
      </c>
      <c r="JX20">
        <v>21.815999999999999</v>
      </c>
      <c r="JY20">
        <v>39.457599999999999</v>
      </c>
      <c r="JZ20">
        <v>29.999600000000001</v>
      </c>
      <c r="KA20">
        <v>39.639600000000002</v>
      </c>
      <c r="KB20">
        <v>39.654699999999998</v>
      </c>
      <c r="KC20">
        <v>24.431899999999999</v>
      </c>
      <c r="KD20">
        <v>39.945700000000002</v>
      </c>
      <c r="KE20">
        <v>0</v>
      </c>
      <c r="KF20">
        <v>21.2529</v>
      </c>
      <c r="KG20">
        <v>476.61399999999998</v>
      </c>
      <c r="KH20">
        <v>20.2791</v>
      </c>
      <c r="KI20">
        <v>99.476799999999997</v>
      </c>
      <c r="KJ20">
        <v>97.718100000000007</v>
      </c>
    </row>
    <row r="21" spans="1:296" x14ac:dyDescent="0.3">
      <c r="A21">
        <v>5</v>
      </c>
      <c r="B21">
        <v>1784653542.5</v>
      </c>
      <c r="C21">
        <v>750.90000009536743</v>
      </c>
      <c r="D21" t="s">
        <v>859</v>
      </c>
      <c r="E21" t="s">
        <v>860</v>
      </c>
      <c r="F21">
        <v>15</v>
      </c>
      <c r="H21">
        <v>1784653534.5</v>
      </c>
      <c r="I21">
        <f t="shared" si="0"/>
        <v>3.7132632483969832E-3</v>
      </c>
      <c r="J21">
        <f t="shared" si="1"/>
        <v>3.713263248396983</v>
      </c>
      <c r="K21">
        <f t="shared" si="2"/>
        <v>40.204016519304624</v>
      </c>
      <c r="L21">
        <f t="shared" si="3"/>
        <v>420.065870967742</v>
      </c>
      <c r="M21">
        <f t="shared" si="4"/>
        <v>163.87820024336708</v>
      </c>
      <c r="N21">
        <f t="shared" si="5"/>
        <v>16.042521209481329</v>
      </c>
      <c r="O21">
        <f t="shared" si="6"/>
        <v>41.12148921803896</v>
      </c>
      <c r="P21">
        <f t="shared" si="7"/>
        <v>0.26924403100832045</v>
      </c>
      <c r="Q21">
        <f t="shared" si="8"/>
        <v>2.8917314690671669</v>
      </c>
      <c r="R21">
        <f t="shared" si="9"/>
        <v>0.25605191535996968</v>
      </c>
      <c r="S21">
        <f t="shared" si="10"/>
        <v>0.16116382740799101</v>
      </c>
      <c r="T21">
        <f t="shared" si="11"/>
        <v>160.17521543629624</v>
      </c>
      <c r="U21">
        <f t="shared" si="12"/>
        <v>27.349144968720072</v>
      </c>
      <c r="V21">
        <f t="shared" si="13"/>
        <v>27.885348387096769</v>
      </c>
      <c r="W21">
        <f t="shared" si="14"/>
        <v>3.7695495788717803</v>
      </c>
      <c r="X21">
        <f t="shared" si="15"/>
        <v>65.465861096462916</v>
      </c>
      <c r="Y21">
        <f t="shared" si="16"/>
        <v>2.3946028238150561</v>
      </c>
      <c r="Z21">
        <f t="shared" si="17"/>
        <v>3.6577886301482332</v>
      </c>
      <c r="AA21">
        <f t="shared" si="18"/>
        <v>1.3749467550567243</v>
      </c>
      <c r="AB21">
        <f t="shared" si="19"/>
        <v>-163.75490925430697</v>
      </c>
      <c r="AC21">
        <f t="shared" si="20"/>
        <v>-80.263356780317963</v>
      </c>
      <c r="AD21">
        <f t="shared" si="21"/>
        <v>-6.0278002503253143</v>
      </c>
      <c r="AE21">
        <f t="shared" si="22"/>
        <v>-89.870850848654015</v>
      </c>
      <c r="AF21">
        <f t="shared" si="23"/>
        <v>40.204016519304624</v>
      </c>
      <c r="AG21">
        <f t="shared" si="24"/>
        <v>3.713263248396983</v>
      </c>
      <c r="AH21">
        <f t="shared" si="25"/>
        <v>40.0587332992489</v>
      </c>
      <c r="AI21">
        <v>479.66949578207698</v>
      </c>
      <c r="AJ21">
        <v>430.60380000000009</v>
      </c>
      <c r="AK21">
        <v>1.971499098089826E-3</v>
      </c>
      <c r="AL21">
        <v>67.075938833901944</v>
      </c>
      <c r="AM21">
        <f t="shared" si="26"/>
        <v>3.7310869268930262</v>
      </c>
      <c r="AN21">
        <v>20.02629261900433</v>
      </c>
      <c r="AO21">
        <v>24.42813818181817</v>
      </c>
      <c r="AP21">
        <v>-5.5408831168775154E-3</v>
      </c>
      <c r="AQ21">
        <v>78.55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51681.103303963522</v>
      </c>
      <c r="AW21" t="s">
        <v>841</v>
      </c>
      <c r="AX21">
        <v>5083.33</v>
      </c>
      <c r="AY21">
        <v>594.90294117647056</v>
      </c>
      <c r="AZ21">
        <v>2493.0500000000002</v>
      </c>
      <c r="BA21">
        <f t="shared" si="30"/>
        <v>0.76137544727283024</v>
      </c>
      <c r="BB21">
        <v>-2.1570306834497912</v>
      </c>
      <c r="BC21" t="s">
        <v>861</v>
      </c>
      <c r="BD21">
        <v>5074.59</v>
      </c>
      <c r="BE21">
        <v>868.78170588235298</v>
      </c>
      <c r="BF21">
        <v>1324.34</v>
      </c>
      <c r="BG21">
        <f t="shared" si="31"/>
        <v>0.34398892589338614</v>
      </c>
      <c r="BH21">
        <v>0.5</v>
      </c>
      <c r="BI21">
        <f t="shared" si="32"/>
        <v>840.2993094054018</v>
      </c>
      <c r="BJ21">
        <f t="shared" si="33"/>
        <v>40.204016519304624</v>
      </c>
      <c r="BK21">
        <f t="shared" si="34"/>
        <v>144.52682843565916</v>
      </c>
      <c r="BL21">
        <f t="shared" si="35"/>
        <v>5.0411855309900486E-2</v>
      </c>
      <c r="BM21">
        <f t="shared" si="36"/>
        <v>0.88248486038328555</v>
      </c>
      <c r="BN21">
        <f t="shared" si="37"/>
        <v>491.41872949637605</v>
      </c>
      <c r="BO21" t="s">
        <v>408</v>
      </c>
      <c r="BP21">
        <v>0</v>
      </c>
      <c r="BQ21">
        <f t="shared" si="38"/>
        <v>491.41872949637605</v>
      </c>
      <c r="BR21">
        <f t="shared" si="39"/>
        <v>0.62893310668228997</v>
      </c>
      <c r="BS21">
        <f t="shared" si="40"/>
        <v>0.54694040151261203</v>
      </c>
      <c r="BT21">
        <f t="shared" si="41"/>
        <v>0.58387876789412108</v>
      </c>
      <c r="BU21">
        <f t="shared" si="42"/>
        <v>0.62453406857665406</v>
      </c>
      <c r="BV21">
        <f t="shared" si="43"/>
        <v>0.6157109874955452</v>
      </c>
      <c r="BW21">
        <f t="shared" si="44"/>
        <v>0.30937202682990461</v>
      </c>
      <c r="BX21">
        <f t="shared" si="45"/>
        <v>0.69062797317009539</v>
      </c>
      <c r="DG21">
        <f t="shared" si="46"/>
        <v>1000.001677419355</v>
      </c>
      <c r="DH21">
        <f t="shared" si="47"/>
        <v>840.2993094054018</v>
      </c>
      <c r="DI21">
        <f t="shared" si="48"/>
        <v>0.84029789987344061</v>
      </c>
      <c r="DJ21">
        <f t="shared" si="49"/>
        <v>0.16017494675574037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1784653534.5</v>
      </c>
      <c r="DQ21">
        <v>420.065870967742</v>
      </c>
      <c r="DR21">
        <v>470.18051612903218</v>
      </c>
      <c r="DS21">
        <v>24.461441935483869</v>
      </c>
      <c r="DT21">
        <v>20.114693548387091</v>
      </c>
      <c r="DU21">
        <v>427.33325806451609</v>
      </c>
      <c r="DV21">
        <v>25.234722580645158</v>
      </c>
      <c r="DW21">
        <v>500.01948387096769</v>
      </c>
      <c r="DX21">
        <v>97.834519354838704</v>
      </c>
      <c r="DY21">
        <v>5.8435203225806441E-2</v>
      </c>
      <c r="DZ21">
        <v>27.370506451612901</v>
      </c>
      <c r="EA21">
        <v>27.885348387096769</v>
      </c>
      <c r="EB21">
        <v>999.90000000000032</v>
      </c>
      <c r="EC21">
        <v>0</v>
      </c>
      <c r="ED21">
        <v>0</v>
      </c>
      <c r="EE21">
        <v>10002.58064516129</v>
      </c>
      <c r="EF21">
        <v>0</v>
      </c>
      <c r="EG21">
        <v>1457.001935483871</v>
      </c>
      <c r="EH21">
        <v>-50.114558064516117</v>
      </c>
      <c r="EI21">
        <v>430.59906451612898</v>
      </c>
      <c r="EJ21">
        <v>479.83206451612898</v>
      </c>
      <c r="EK21">
        <v>4.3467480645161301</v>
      </c>
      <c r="EL21">
        <v>470.18051612903218</v>
      </c>
      <c r="EM21">
        <v>20.114693548387091</v>
      </c>
      <c r="EN21">
        <v>2.3931725806451611</v>
      </c>
      <c r="EO21">
        <v>1.9679112903225811</v>
      </c>
      <c r="EP21">
        <v>20.31764193548387</v>
      </c>
      <c r="EQ21">
        <v>17.188400000000001</v>
      </c>
      <c r="ER21">
        <v>1000.001677419355</v>
      </c>
      <c r="ES21">
        <v>0.99001654838709663</v>
      </c>
      <c r="ET21">
        <v>9.9831293548387108E-3</v>
      </c>
      <c r="EU21">
        <v>0</v>
      </c>
      <c r="EV21">
        <v>868.66858064516111</v>
      </c>
      <c r="EW21">
        <v>5.0010700000000003</v>
      </c>
      <c r="EX21">
        <v>12367.81935483871</v>
      </c>
      <c r="EY21">
        <v>9080.35</v>
      </c>
      <c r="EZ21">
        <v>43.362806451612897</v>
      </c>
      <c r="FA21">
        <v>45.914999999999978</v>
      </c>
      <c r="FB21">
        <v>44.715451612903223</v>
      </c>
      <c r="FC21">
        <v>45.606709677419353</v>
      </c>
      <c r="FD21">
        <v>44.75</v>
      </c>
      <c r="FE21">
        <v>985.06935483870961</v>
      </c>
      <c r="FF21">
        <v>9.9300000000000015</v>
      </c>
      <c r="FG21">
        <v>0</v>
      </c>
      <c r="FH21">
        <v>181.5999999046326</v>
      </c>
      <c r="FI21">
        <v>0</v>
      </c>
      <c r="FJ21">
        <v>868.78170588235298</v>
      </c>
      <c r="FK21">
        <v>1.29485289196188</v>
      </c>
      <c r="FL21">
        <v>135.8578413233468</v>
      </c>
      <c r="FM21">
        <v>12381.523529411759</v>
      </c>
      <c r="FN21">
        <v>10</v>
      </c>
      <c r="FO21">
        <v>1784653469</v>
      </c>
      <c r="FP21" t="s">
        <v>862</v>
      </c>
      <c r="FQ21">
        <v>1784653466.5</v>
      </c>
      <c r="FR21">
        <v>1784653469</v>
      </c>
      <c r="FS21">
        <v>31</v>
      </c>
      <c r="FT21">
        <v>-5.0000000000000001E-3</v>
      </c>
      <c r="FU21">
        <v>0</v>
      </c>
      <c r="FV21">
        <v>-7.4560000000000004</v>
      </c>
      <c r="FW21">
        <v>-0.88700000000000001</v>
      </c>
      <c r="FX21">
        <v>471</v>
      </c>
      <c r="FY21">
        <v>20</v>
      </c>
      <c r="FZ21">
        <v>0.14000000000000001</v>
      </c>
      <c r="GA21">
        <v>7.0000000000000007E-2</v>
      </c>
      <c r="GB21">
        <v>420.0642580645162</v>
      </c>
      <c r="GC21">
        <v>2.695161290228195E-2</v>
      </c>
      <c r="GD21">
        <v>4.8420182237027397E-2</v>
      </c>
      <c r="GE21">
        <v>-1</v>
      </c>
      <c r="GF21">
        <v>868.63511764705891</v>
      </c>
      <c r="GG21">
        <v>1.505912901552066</v>
      </c>
      <c r="GH21">
        <v>0.31971336102514331</v>
      </c>
      <c r="GI21">
        <v>1</v>
      </c>
      <c r="GJ21">
        <v>4.3436456097560967</v>
      </c>
      <c r="GK21">
        <v>0.21659017421603741</v>
      </c>
      <c r="GL21">
        <v>4.2124904750491139E-2</v>
      </c>
      <c r="GM21">
        <v>1</v>
      </c>
      <c r="GN21">
        <v>2</v>
      </c>
      <c r="GO21">
        <v>2</v>
      </c>
      <c r="GP21" t="s">
        <v>424</v>
      </c>
      <c r="GQ21">
        <v>3.1299100000000002</v>
      </c>
      <c r="GR21">
        <v>2.7354500000000002</v>
      </c>
      <c r="GS21">
        <v>9.0487399999999996E-2</v>
      </c>
      <c r="GT21">
        <v>9.7943600000000006E-2</v>
      </c>
      <c r="GU21">
        <v>0.11444</v>
      </c>
      <c r="GV21">
        <v>9.7509100000000001E-2</v>
      </c>
      <c r="GW21">
        <v>22569.4</v>
      </c>
      <c r="GX21">
        <v>30014.799999999999</v>
      </c>
      <c r="GY21">
        <v>26943.7</v>
      </c>
      <c r="GZ21">
        <v>34254.1</v>
      </c>
      <c r="HA21">
        <v>34989.1</v>
      </c>
      <c r="HB21">
        <v>39113.199999999997</v>
      </c>
      <c r="HC21">
        <v>39808.699999999997</v>
      </c>
      <c r="HD21">
        <v>43409.599999999999</v>
      </c>
      <c r="HE21">
        <v>1.9161999999999999</v>
      </c>
      <c r="HF21">
        <v>1.6704000000000001</v>
      </c>
      <c r="HG21">
        <v>-0.13530300000000001</v>
      </c>
      <c r="HH21">
        <v>0</v>
      </c>
      <c r="HI21">
        <v>30.055700000000002</v>
      </c>
      <c r="HJ21">
        <v>999.9</v>
      </c>
      <c r="HK21">
        <v>37.700000000000003</v>
      </c>
      <c r="HL21">
        <v>42.2</v>
      </c>
      <c r="HM21">
        <v>32.100900000000003</v>
      </c>
      <c r="HN21">
        <v>61.296300000000002</v>
      </c>
      <c r="HO21">
        <v>4.3068900000000001</v>
      </c>
      <c r="HP21">
        <v>1</v>
      </c>
      <c r="HQ21">
        <v>1.05236</v>
      </c>
      <c r="HR21">
        <v>7.4259700000000004</v>
      </c>
      <c r="HS21">
        <v>20.087900000000001</v>
      </c>
      <c r="HT21">
        <v>5.2100999999999997</v>
      </c>
      <c r="HU21">
        <v>11.916499999999999</v>
      </c>
      <c r="HV21">
        <v>4.9836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1.8677999999999999</v>
      </c>
      <c r="IC21">
        <v>1.8634299999999999</v>
      </c>
      <c r="ID21">
        <v>1.8629500000000001</v>
      </c>
      <c r="IE21">
        <v>1.86249</v>
      </c>
      <c r="IF21">
        <v>1.86249</v>
      </c>
      <c r="IG21">
        <v>1.8630100000000001</v>
      </c>
      <c r="IH21">
        <v>1.8638600000000001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-7.2670000000000003</v>
      </c>
      <c r="IX21">
        <v>-0.77410000000000001</v>
      </c>
      <c r="IY21">
        <v>-5.2746177896262596</v>
      </c>
      <c r="IZ21">
        <v>-5.6215304933332991E-3</v>
      </c>
      <c r="JA21">
        <v>2.3979931213773931E-6</v>
      </c>
      <c r="JB21">
        <v>-3.6297174575716598E-10</v>
      </c>
      <c r="JC21">
        <v>-1.199989541798685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1.3</v>
      </c>
      <c r="JL21">
        <v>1.2</v>
      </c>
      <c r="JM21">
        <v>1.2072799999999999</v>
      </c>
      <c r="JN21">
        <v>2.5659200000000002</v>
      </c>
      <c r="JO21">
        <v>1.50024</v>
      </c>
      <c r="JP21">
        <v>2.2692899999999998</v>
      </c>
      <c r="JQ21">
        <v>1.4477500000000001</v>
      </c>
      <c r="JR21">
        <v>2.3706100000000001</v>
      </c>
      <c r="JS21">
        <v>46.856000000000002</v>
      </c>
      <c r="JT21">
        <v>23.7898</v>
      </c>
      <c r="JU21">
        <v>18</v>
      </c>
      <c r="JV21">
        <v>551.87599999999998</v>
      </c>
      <c r="JW21">
        <v>401.55200000000002</v>
      </c>
      <c r="JX21">
        <v>21.7486</v>
      </c>
      <c r="JY21">
        <v>39.4908</v>
      </c>
      <c r="JZ21">
        <v>29.997900000000001</v>
      </c>
      <c r="KA21">
        <v>39.6509</v>
      </c>
      <c r="KB21">
        <v>39.674300000000002</v>
      </c>
      <c r="KC21">
        <v>24.163599999999999</v>
      </c>
      <c r="KD21">
        <v>40.427100000000003</v>
      </c>
      <c r="KE21">
        <v>0</v>
      </c>
      <c r="KF21">
        <v>22.2912</v>
      </c>
      <c r="KG21">
        <v>470.14400000000001</v>
      </c>
      <c r="KH21">
        <v>19.9757</v>
      </c>
      <c r="KI21">
        <v>99.471199999999996</v>
      </c>
      <c r="KJ21">
        <v>97.717500000000001</v>
      </c>
    </row>
    <row r="22" spans="1:296" x14ac:dyDescent="0.3">
      <c r="A22">
        <v>6</v>
      </c>
      <c r="B22">
        <v>1784653724.5</v>
      </c>
      <c r="C22">
        <v>932.90000009536743</v>
      </c>
      <c r="D22" t="s">
        <v>863</v>
      </c>
      <c r="E22" t="s">
        <v>864</v>
      </c>
      <c r="F22">
        <v>15</v>
      </c>
      <c r="H22">
        <v>1784653716.75</v>
      </c>
      <c r="I22">
        <f t="shared" si="0"/>
        <v>3.1463853745453628E-3</v>
      </c>
      <c r="J22">
        <f t="shared" si="1"/>
        <v>3.1463853745453627</v>
      </c>
      <c r="K22">
        <f t="shared" si="2"/>
        <v>37.292182053571594</v>
      </c>
      <c r="L22">
        <f t="shared" si="3"/>
        <v>420.11459999999988</v>
      </c>
      <c r="M22">
        <f t="shared" si="4"/>
        <v>132.06579596431521</v>
      </c>
      <c r="N22">
        <f t="shared" si="5"/>
        <v>12.928148380145062</v>
      </c>
      <c r="O22">
        <f t="shared" si="6"/>
        <v>41.125742254511174</v>
      </c>
      <c r="P22">
        <f t="shared" si="7"/>
        <v>0.2196054305830149</v>
      </c>
      <c r="Q22">
        <f t="shared" si="8"/>
        <v>2.8915168993277445</v>
      </c>
      <c r="R22">
        <f t="shared" si="9"/>
        <v>0.21074251542649122</v>
      </c>
      <c r="S22">
        <f t="shared" si="10"/>
        <v>0.13248056468177685</v>
      </c>
      <c r="T22">
        <f t="shared" si="11"/>
        <v>128.27992429945652</v>
      </c>
      <c r="U22">
        <f t="shared" si="12"/>
        <v>27.608282858198137</v>
      </c>
      <c r="V22">
        <f t="shared" si="13"/>
        <v>28.137123333333339</v>
      </c>
      <c r="W22">
        <f t="shared" si="14"/>
        <v>3.8252809323413026</v>
      </c>
      <c r="X22">
        <f t="shared" si="15"/>
        <v>64.747649256789714</v>
      </c>
      <c r="Y22">
        <f t="shared" si="16"/>
        <v>2.4103063308938806</v>
      </c>
      <c r="Z22">
        <f t="shared" si="17"/>
        <v>3.7226159691675993</v>
      </c>
      <c r="AA22">
        <f t="shared" si="18"/>
        <v>1.414974601447422</v>
      </c>
      <c r="AB22">
        <f t="shared" si="19"/>
        <v>-138.7555950174505</v>
      </c>
      <c r="AC22">
        <f t="shared" si="20"/>
        <v>-72.696038040898202</v>
      </c>
      <c r="AD22">
        <f t="shared" si="21"/>
        <v>-5.4749500854304678</v>
      </c>
      <c r="AE22">
        <f t="shared" si="22"/>
        <v>-88.646658844322644</v>
      </c>
      <c r="AF22">
        <f t="shared" si="23"/>
        <v>37.292182053571594</v>
      </c>
      <c r="AG22">
        <f t="shared" si="24"/>
        <v>3.1463853745453627</v>
      </c>
      <c r="AH22">
        <f t="shared" si="25"/>
        <v>37.234356605953458</v>
      </c>
      <c r="AI22">
        <v>476.35946727762342</v>
      </c>
      <c r="AJ22">
        <v>430.76930909090919</v>
      </c>
      <c r="AK22">
        <v>-8.8153927934424628E-3</v>
      </c>
      <c r="AL22">
        <v>67.075938833901944</v>
      </c>
      <c r="AM22">
        <f t="shared" si="26"/>
        <v>3.278290283681347</v>
      </c>
      <c r="AN22">
        <v>20.939123207575761</v>
      </c>
      <c r="AO22">
        <v>24.772219393939391</v>
      </c>
      <c r="AP22">
        <v>5.4740968122933076E-4</v>
      </c>
      <c r="AQ22">
        <v>78.55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51623.357336236833</v>
      </c>
      <c r="AW22" t="s">
        <v>841</v>
      </c>
      <c r="AX22">
        <v>5083.33</v>
      </c>
      <c r="AY22">
        <v>594.90294117647056</v>
      </c>
      <c r="AZ22">
        <v>2493.0500000000002</v>
      </c>
      <c r="BA22">
        <f t="shared" si="30"/>
        <v>0.76137544727283024</v>
      </c>
      <c r="BB22">
        <v>-2.1570306834497912</v>
      </c>
      <c r="BC22" t="s">
        <v>865</v>
      </c>
      <c r="BD22">
        <v>5077.4399999999996</v>
      </c>
      <c r="BE22">
        <v>871.7448823529412</v>
      </c>
      <c r="BF22">
        <v>1474.2</v>
      </c>
      <c r="BG22">
        <f t="shared" si="31"/>
        <v>0.40866579680305171</v>
      </c>
      <c r="BH22">
        <v>0.5</v>
      </c>
      <c r="BI22">
        <f t="shared" si="32"/>
        <v>672.3202069530862</v>
      </c>
      <c r="BJ22">
        <f t="shared" si="33"/>
        <v>37.292182053571594</v>
      </c>
      <c r="BK22">
        <f t="shared" si="34"/>
        <v>137.37713654063779</v>
      </c>
      <c r="BL22">
        <f t="shared" si="35"/>
        <v>5.8676226490057153E-2</v>
      </c>
      <c r="BM22">
        <f t="shared" si="36"/>
        <v>0.69112060778727458</v>
      </c>
      <c r="BN22">
        <f t="shared" si="37"/>
        <v>510.6820948122554</v>
      </c>
      <c r="BO22" t="s">
        <v>408</v>
      </c>
      <c r="BP22">
        <v>0</v>
      </c>
      <c r="BQ22">
        <f t="shared" si="38"/>
        <v>510.6820948122554</v>
      </c>
      <c r="BR22">
        <f t="shared" si="39"/>
        <v>0.65358696593931942</v>
      </c>
      <c r="BS22">
        <f t="shared" si="40"/>
        <v>0.62526613610742243</v>
      </c>
      <c r="BT22">
        <f t="shared" si="41"/>
        <v>0.51395606099842883</v>
      </c>
      <c r="BU22">
        <f t="shared" si="42"/>
        <v>0.68515538816099752</v>
      </c>
      <c r="BV22">
        <f t="shared" si="43"/>
        <v>0.53676030804034891</v>
      </c>
      <c r="BW22">
        <f t="shared" si="44"/>
        <v>0.36629090306861606</v>
      </c>
      <c r="BX22">
        <f t="shared" si="45"/>
        <v>0.63370909693138389</v>
      </c>
      <c r="DG22">
        <f t="shared" si="46"/>
        <v>800.01236666666648</v>
      </c>
      <c r="DH22">
        <f t="shared" si="47"/>
        <v>672.3202069530862</v>
      </c>
      <c r="DI22">
        <f t="shared" si="48"/>
        <v>0.84038726770484462</v>
      </c>
      <c r="DJ22">
        <f t="shared" si="49"/>
        <v>0.1603474266703501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1784653716.75</v>
      </c>
      <c r="DQ22">
        <v>420.11459999999988</v>
      </c>
      <c r="DR22">
        <v>466.45100000000002</v>
      </c>
      <c r="DS22">
        <v>24.622166666666669</v>
      </c>
      <c r="DT22">
        <v>20.939503333333331</v>
      </c>
      <c r="DU22">
        <v>427.38216666666659</v>
      </c>
      <c r="DV22">
        <v>25.512166666666669</v>
      </c>
      <c r="DW22">
        <v>500.00463333333329</v>
      </c>
      <c r="DX22">
        <v>97.833036666666658</v>
      </c>
      <c r="DY22">
        <v>5.8686816666666662E-2</v>
      </c>
      <c r="DZ22">
        <v>27.670786666666672</v>
      </c>
      <c r="EA22">
        <v>28.137123333333339</v>
      </c>
      <c r="EB22">
        <v>999.9000000000002</v>
      </c>
      <c r="EC22">
        <v>0</v>
      </c>
      <c r="ED22">
        <v>0</v>
      </c>
      <c r="EE22">
        <v>10001.5</v>
      </c>
      <c r="EF22">
        <v>0</v>
      </c>
      <c r="EG22">
        <v>1435.5256666666669</v>
      </c>
      <c r="EH22">
        <v>-46.336289999999991</v>
      </c>
      <c r="EI22">
        <v>430.77496666666673</v>
      </c>
      <c r="EJ22">
        <v>476.42716666666672</v>
      </c>
      <c r="EK22">
        <v>3.807256333333334</v>
      </c>
      <c r="EL22">
        <v>466.45100000000002</v>
      </c>
      <c r="EM22">
        <v>20.939503333333331</v>
      </c>
      <c r="EN22">
        <v>2.4210500000000001</v>
      </c>
      <c r="EO22">
        <v>2.048575333333333</v>
      </c>
      <c r="EP22">
        <v>20.50526</v>
      </c>
      <c r="EQ22">
        <v>17.824860000000001</v>
      </c>
      <c r="ER22">
        <v>800.01236666666648</v>
      </c>
      <c r="ES22">
        <v>0.98701246666666675</v>
      </c>
      <c r="ET22">
        <v>1.298788666666667E-2</v>
      </c>
      <c r="EU22">
        <v>0</v>
      </c>
      <c r="EV22">
        <v>871.65300000000002</v>
      </c>
      <c r="EW22">
        <v>5.0010700000000003</v>
      </c>
      <c r="EX22">
        <v>10125.40266666667</v>
      </c>
      <c r="EY22">
        <v>7246.7676666666684</v>
      </c>
      <c r="EZ22">
        <v>43.041333333333327</v>
      </c>
      <c r="FA22">
        <v>46.066199999999967</v>
      </c>
      <c r="FB22">
        <v>44.625</v>
      </c>
      <c r="FC22">
        <v>45.849799999999981</v>
      </c>
      <c r="FD22">
        <v>44.633266666666671</v>
      </c>
      <c r="FE22">
        <v>784.6866666666665</v>
      </c>
      <c r="FF22">
        <v>10.32733333333333</v>
      </c>
      <c r="FG22">
        <v>0</v>
      </c>
      <c r="FH22">
        <v>181.4000000953674</v>
      </c>
      <c r="FI22">
        <v>0</v>
      </c>
      <c r="FJ22">
        <v>871.7448823529412</v>
      </c>
      <c r="FK22">
        <v>0.2919117545157176</v>
      </c>
      <c r="FL22">
        <v>882.08331669168922</v>
      </c>
      <c r="FM22">
        <v>10206.187058823531</v>
      </c>
      <c r="FN22">
        <v>10</v>
      </c>
      <c r="FO22">
        <v>1784653754.5</v>
      </c>
      <c r="FP22" t="s">
        <v>866</v>
      </c>
      <c r="FQ22">
        <v>1784653466.5</v>
      </c>
      <c r="FR22">
        <v>1784653754.5</v>
      </c>
      <c r="FS22">
        <v>32</v>
      </c>
      <c r="FT22">
        <v>-5.0000000000000001E-3</v>
      </c>
      <c r="FU22">
        <v>-2.3E-2</v>
      </c>
      <c r="FV22">
        <v>-7.4560000000000004</v>
      </c>
      <c r="FW22">
        <v>-0.89</v>
      </c>
      <c r="FX22">
        <v>471</v>
      </c>
      <c r="FY22">
        <v>21</v>
      </c>
      <c r="FZ22">
        <v>0.14000000000000001</v>
      </c>
      <c r="GA22">
        <v>7.0000000000000007E-2</v>
      </c>
      <c r="GB22">
        <v>420.11554838709691</v>
      </c>
      <c r="GC22">
        <v>-3.7790322580444652E-2</v>
      </c>
      <c r="GD22">
        <v>6.1810239630703243E-2</v>
      </c>
      <c r="GE22">
        <v>-1</v>
      </c>
      <c r="GF22">
        <v>871.57008823529407</v>
      </c>
      <c r="GG22">
        <v>1.0496715021612131</v>
      </c>
      <c r="GH22">
        <v>0.40600096838822519</v>
      </c>
      <c r="GI22">
        <v>1</v>
      </c>
      <c r="GJ22">
        <v>3.7925129268292679</v>
      </c>
      <c r="GK22">
        <v>0.26718480836236358</v>
      </c>
      <c r="GL22">
        <v>2.6712450211684401E-2</v>
      </c>
      <c r="GM22">
        <v>1</v>
      </c>
      <c r="GN22">
        <v>2</v>
      </c>
      <c r="GO22">
        <v>2</v>
      </c>
      <c r="GP22" t="s">
        <v>424</v>
      </c>
      <c r="GQ22">
        <v>3.13103</v>
      </c>
      <c r="GR22">
        <v>2.7345999999999999</v>
      </c>
      <c r="GS22">
        <v>9.0454199999999998E-2</v>
      </c>
      <c r="GT22">
        <v>9.7354200000000002E-2</v>
      </c>
      <c r="GU22">
        <v>0.11547200000000001</v>
      </c>
      <c r="GV22">
        <v>0.100648</v>
      </c>
      <c r="GW22">
        <v>22562.400000000001</v>
      </c>
      <c r="GX22">
        <v>30023</v>
      </c>
      <c r="GY22">
        <v>26935</v>
      </c>
      <c r="GZ22">
        <v>34242.1</v>
      </c>
      <c r="HA22">
        <v>34939.800000000003</v>
      </c>
      <c r="HB22">
        <v>38965.5</v>
      </c>
      <c r="HC22">
        <v>39797.599999999999</v>
      </c>
      <c r="HD22">
        <v>43395.6</v>
      </c>
      <c r="HE22">
        <v>1.9159999999999999</v>
      </c>
      <c r="HF22">
        <v>1.6672</v>
      </c>
      <c r="HG22">
        <v>-0.121146</v>
      </c>
      <c r="HH22">
        <v>0</v>
      </c>
      <c r="HI22">
        <v>30.0974</v>
      </c>
      <c r="HJ22">
        <v>999.9</v>
      </c>
      <c r="HK22">
        <v>37.6</v>
      </c>
      <c r="HL22">
        <v>42.3</v>
      </c>
      <c r="HM22">
        <v>32.185299999999998</v>
      </c>
      <c r="HN22">
        <v>61.336300000000001</v>
      </c>
      <c r="HO22">
        <v>3.7700300000000002</v>
      </c>
      <c r="HP22">
        <v>1</v>
      </c>
      <c r="HQ22">
        <v>1.07236</v>
      </c>
      <c r="HR22">
        <v>9.2810500000000005</v>
      </c>
      <c r="HS22">
        <v>20.003499999999999</v>
      </c>
      <c r="HT22">
        <v>5.2100999999999997</v>
      </c>
      <c r="HU22">
        <v>11.9201</v>
      </c>
      <c r="HV22">
        <v>4.9828000000000001</v>
      </c>
      <c r="HW22">
        <v>3.2707999999999999</v>
      </c>
      <c r="HX22">
        <v>9999</v>
      </c>
      <c r="HY22">
        <v>9999</v>
      </c>
      <c r="HZ22">
        <v>9999</v>
      </c>
      <c r="IA22">
        <v>999.9</v>
      </c>
      <c r="IB22">
        <v>1.86774</v>
      </c>
      <c r="IC22">
        <v>1.8634299999999999</v>
      </c>
      <c r="ID22">
        <v>1.8629500000000001</v>
      </c>
      <c r="IE22">
        <v>1.86249</v>
      </c>
      <c r="IF22">
        <v>1.86249</v>
      </c>
      <c r="IG22">
        <v>1.8629800000000001</v>
      </c>
      <c r="IH22">
        <v>1.86398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-7.2670000000000003</v>
      </c>
      <c r="IX22">
        <v>-0.89</v>
      </c>
      <c r="IY22">
        <v>-5.2746177896262596</v>
      </c>
      <c r="IZ22">
        <v>-5.6215304933332991E-3</v>
      </c>
      <c r="JA22">
        <v>2.3979931213773931E-6</v>
      </c>
      <c r="JB22">
        <v>-3.6297174575716598E-10</v>
      </c>
      <c r="JC22">
        <v>-1.199989541798685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4.3</v>
      </c>
      <c r="JL22">
        <v>4.3</v>
      </c>
      <c r="JM22">
        <v>1.2011700000000001</v>
      </c>
      <c r="JN22">
        <v>2.5683600000000002</v>
      </c>
      <c r="JO22">
        <v>1.50024</v>
      </c>
      <c r="JP22">
        <v>2.2680699999999998</v>
      </c>
      <c r="JQ22">
        <v>1.4477500000000001</v>
      </c>
      <c r="JR22">
        <v>2.4243199999999998</v>
      </c>
      <c r="JS22">
        <v>47.033700000000003</v>
      </c>
      <c r="JT22">
        <v>23.763500000000001</v>
      </c>
      <c r="JU22">
        <v>18</v>
      </c>
      <c r="JV22">
        <v>552.87699999999995</v>
      </c>
      <c r="JW22">
        <v>400.411</v>
      </c>
      <c r="JX22">
        <v>21.885200000000001</v>
      </c>
      <c r="JY22">
        <v>39.651200000000003</v>
      </c>
      <c r="JZ22">
        <v>30.000399999999999</v>
      </c>
      <c r="KA22">
        <v>39.798999999999999</v>
      </c>
      <c r="KB22">
        <v>39.813000000000002</v>
      </c>
      <c r="KC22">
        <v>24.012</v>
      </c>
      <c r="KD22">
        <v>38.263100000000001</v>
      </c>
      <c r="KE22">
        <v>0</v>
      </c>
      <c r="KF22">
        <v>21.0137</v>
      </c>
      <c r="KG22">
        <v>466.37200000000001</v>
      </c>
      <c r="KH22">
        <v>20.8994</v>
      </c>
      <c r="KI22">
        <v>99.441800000000001</v>
      </c>
      <c r="KJ22">
        <v>97.684700000000007</v>
      </c>
    </row>
    <row r="23" spans="1:296" x14ac:dyDescent="0.3">
      <c r="A23">
        <v>7</v>
      </c>
      <c r="B23">
        <v>1784653935.5</v>
      </c>
      <c r="C23">
        <v>1143.900000095367</v>
      </c>
      <c r="D23" t="s">
        <v>867</v>
      </c>
      <c r="E23" t="s">
        <v>868</v>
      </c>
      <c r="F23">
        <v>15</v>
      </c>
      <c r="H23">
        <v>1784653927.75</v>
      </c>
      <c r="I23">
        <f t="shared" si="0"/>
        <v>2.9994896060593773E-3</v>
      </c>
      <c r="J23">
        <f t="shared" si="1"/>
        <v>2.9994896060593774</v>
      </c>
      <c r="K23">
        <f t="shared" si="2"/>
        <v>31.444302913833077</v>
      </c>
      <c r="L23">
        <f t="shared" si="3"/>
        <v>420.11583333333328</v>
      </c>
      <c r="M23">
        <f t="shared" si="4"/>
        <v>171.53396886479348</v>
      </c>
      <c r="N23">
        <f t="shared" si="5"/>
        <v>16.791843091431197</v>
      </c>
      <c r="O23">
        <f t="shared" si="6"/>
        <v>41.126076661350417</v>
      </c>
      <c r="P23">
        <f t="shared" si="7"/>
        <v>0.21545877942048841</v>
      </c>
      <c r="Q23">
        <f t="shared" si="8"/>
        <v>2.8915823620673375</v>
      </c>
      <c r="R23">
        <f t="shared" si="9"/>
        <v>0.20692059612439495</v>
      </c>
      <c r="S23">
        <f t="shared" si="10"/>
        <v>0.1300643017503198</v>
      </c>
      <c r="T23">
        <f t="shared" si="11"/>
        <v>96.344891237379514</v>
      </c>
      <c r="U23">
        <f t="shared" si="12"/>
        <v>27.201845498475485</v>
      </c>
      <c r="V23">
        <f t="shared" si="13"/>
        <v>27.875783333333342</v>
      </c>
      <c r="W23">
        <f t="shared" si="14"/>
        <v>3.767446360158091</v>
      </c>
      <c r="X23">
        <f t="shared" si="15"/>
        <v>65.248745420425891</v>
      </c>
      <c r="Y23">
        <f t="shared" si="16"/>
        <v>2.3930663269084533</v>
      </c>
      <c r="Z23">
        <f t="shared" si="17"/>
        <v>3.6676051186714655</v>
      </c>
      <c r="AA23">
        <f t="shared" si="18"/>
        <v>1.3743800332496376</v>
      </c>
      <c r="AB23">
        <f t="shared" si="19"/>
        <v>-132.27749162721855</v>
      </c>
      <c r="AC23">
        <f t="shared" si="20"/>
        <v>-71.633468035469249</v>
      </c>
      <c r="AD23">
        <f t="shared" si="21"/>
        <v>-5.3809416774754872</v>
      </c>
      <c r="AE23">
        <f t="shared" si="22"/>
        <v>-112.94701010278378</v>
      </c>
      <c r="AF23">
        <f t="shared" si="23"/>
        <v>31.444302913833077</v>
      </c>
      <c r="AG23">
        <f t="shared" si="24"/>
        <v>2.9994896060593774</v>
      </c>
      <c r="AH23">
        <f t="shared" si="25"/>
        <v>31.392917269849093</v>
      </c>
      <c r="AI23">
        <v>469.02677440923202</v>
      </c>
      <c r="AJ23">
        <v>430.60467272727283</v>
      </c>
      <c r="AK23">
        <v>-1.083032378219312E-2</v>
      </c>
      <c r="AL23">
        <v>67.085572642764106</v>
      </c>
      <c r="AM23">
        <f t="shared" si="26"/>
        <v>3.3518885604758952</v>
      </c>
      <c r="AN23">
        <v>20.935466246103889</v>
      </c>
      <c r="AO23">
        <v>24.650996969696958</v>
      </c>
      <c r="AP23">
        <v>3.3781766233769842E-2</v>
      </c>
      <c r="AQ23">
        <v>78.55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51668.964340038365</v>
      </c>
      <c r="AW23" t="s">
        <v>841</v>
      </c>
      <c r="AX23">
        <v>5083.33</v>
      </c>
      <c r="AY23">
        <v>594.90294117647056</v>
      </c>
      <c r="AZ23">
        <v>2493.0500000000002</v>
      </c>
      <c r="BA23">
        <f t="shared" si="30"/>
        <v>0.76137544727283024</v>
      </c>
      <c r="BB23">
        <v>-2.1570306834497912</v>
      </c>
      <c r="BC23" t="s">
        <v>869</v>
      </c>
      <c r="BD23">
        <v>5078.8100000000004</v>
      </c>
      <c r="BE23">
        <v>863.53105882352941</v>
      </c>
      <c r="BF23">
        <v>1650.39</v>
      </c>
      <c r="BG23">
        <f t="shared" si="31"/>
        <v>0.47677151532454187</v>
      </c>
      <c r="BH23">
        <v>0.5</v>
      </c>
      <c r="BI23">
        <f t="shared" si="32"/>
        <v>504.29802899346078</v>
      </c>
      <c r="BJ23">
        <f t="shared" si="33"/>
        <v>31.444302913833077</v>
      </c>
      <c r="BK23">
        <f t="shared" si="34"/>
        <v>120.21746772919602</v>
      </c>
      <c r="BL23">
        <f t="shared" si="35"/>
        <v>6.6629912602173935E-2</v>
      </c>
      <c r="BM23">
        <f t="shared" si="36"/>
        <v>0.51058234720278239</v>
      </c>
      <c r="BN23">
        <f t="shared" si="37"/>
        <v>530.29333529884696</v>
      </c>
      <c r="BO23" t="s">
        <v>408</v>
      </c>
      <c r="BP23">
        <v>0</v>
      </c>
      <c r="BQ23">
        <f t="shared" si="38"/>
        <v>530.29333529884696</v>
      </c>
      <c r="BR23">
        <f t="shared" si="39"/>
        <v>0.67868604675328448</v>
      </c>
      <c r="BS23">
        <f t="shared" si="40"/>
        <v>0.70249199553362485</v>
      </c>
      <c r="BT23">
        <f t="shared" si="41"/>
        <v>0.42932474267170678</v>
      </c>
      <c r="BU23">
        <f t="shared" si="42"/>
        <v>0.74549368900223378</v>
      </c>
      <c r="BV23">
        <f t="shared" si="43"/>
        <v>0.4439382059903621</v>
      </c>
      <c r="BW23">
        <f t="shared" si="44"/>
        <v>0.43139944941852748</v>
      </c>
      <c r="BX23">
        <f t="shared" si="45"/>
        <v>0.56860055058147252</v>
      </c>
      <c r="DG23">
        <f t="shared" si="46"/>
        <v>599.99336666666647</v>
      </c>
      <c r="DH23">
        <f t="shared" si="47"/>
        <v>504.29802899346078</v>
      </c>
      <c r="DI23">
        <f t="shared" si="48"/>
        <v>0.8405060072499595</v>
      </c>
      <c r="DJ23">
        <f t="shared" si="49"/>
        <v>0.16057659399242172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1784653927.75</v>
      </c>
      <c r="DQ23">
        <v>420.11583333333328</v>
      </c>
      <c r="DR23">
        <v>459.36319999999989</v>
      </c>
      <c r="DS23">
        <v>24.445926666666669</v>
      </c>
      <c r="DT23">
        <v>20.93434666666667</v>
      </c>
      <c r="DU23">
        <v>427.29750000000001</v>
      </c>
      <c r="DV23">
        <v>25.242826666666669</v>
      </c>
      <c r="DW23">
        <v>499.97396666666668</v>
      </c>
      <c r="DX23">
        <v>97.833453333333324</v>
      </c>
      <c r="DY23">
        <v>5.8778756666666661E-2</v>
      </c>
      <c r="DZ23">
        <v>27.416273333333329</v>
      </c>
      <c r="EA23">
        <v>27.875783333333342</v>
      </c>
      <c r="EB23">
        <v>999.9000000000002</v>
      </c>
      <c r="EC23">
        <v>0</v>
      </c>
      <c r="ED23">
        <v>0</v>
      </c>
      <c r="EE23">
        <v>10001.83333333333</v>
      </c>
      <c r="EF23">
        <v>0</v>
      </c>
      <c r="EG23">
        <v>1479.8083333333341</v>
      </c>
      <c r="EH23">
        <v>-39.247486666666667</v>
      </c>
      <c r="EI23">
        <v>430.64326666666659</v>
      </c>
      <c r="EJ23">
        <v>469.18543333333338</v>
      </c>
      <c r="EK23">
        <v>3.5115863333333328</v>
      </c>
      <c r="EL23">
        <v>459.36319999999989</v>
      </c>
      <c r="EM23">
        <v>20.93434666666667</v>
      </c>
      <c r="EN23">
        <v>2.3916293333333329</v>
      </c>
      <c r="EO23">
        <v>2.0480793333333329</v>
      </c>
      <c r="EP23">
        <v>20.307073333333339</v>
      </c>
      <c r="EQ23">
        <v>17.821006666666669</v>
      </c>
      <c r="ER23">
        <v>599.99336666666647</v>
      </c>
      <c r="ES23">
        <v>0.98298973333333328</v>
      </c>
      <c r="ET23">
        <v>1.701014666666667E-2</v>
      </c>
      <c r="EU23">
        <v>0</v>
      </c>
      <c r="EV23">
        <v>863.59856666666678</v>
      </c>
      <c r="EW23">
        <v>5.0010700000000003</v>
      </c>
      <c r="EX23">
        <v>8565.39</v>
      </c>
      <c r="EY23">
        <v>5415.0279999999993</v>
      </c>
      <c r="EZ23">
        <v>42.375</v>
      </c>
      <c r="FA23">
        <v>45.561999999999983</v>
      </c>
      <c r="FB23">
        <v>44.116599999999991</v>
      </c>
      <c r="FC23">
        <v>45.379133333333343</v>
      </c>
      <c r="FD23">
        <v>44.053733333333319</v>
      </c>
      <c r="FE23">
        <v>584.87033333333318</v>
      </c>
      <c r="FF23">
        <v>10.119999999999999</v>
      </c>
      <c r="FG23">
        <v>0</v>
      </c>
      <c r="FH23">
        <v>210.4000000953674</v>
      </c>
      <c r="FI23">
        <v>0</v>
      </c>
      <c r="FJ23">
        <v>863.53105882352941</v>
      </c>
      <c r="FK23">
        <v>-4.1953431344115293</v>
      </c>
      <c r="FL23">
        <v>-541.48038197848325</v>
      </c>
      <c r="FM23">
        <v>8562.9994117647075</v>
      </c>
      <c r="FN23">
        <v>10</v>
      </c>
      <c r="FO23">
        <v>1784653825.5</v>
      </c>
      <c r="FP23" t="s">
        <v>870</v>
      </c>
      <c r="FQ23">
        <v>1784653817</v>
      </c>
      <c r="FR23">
        <v>1784653825.5</v>
      </c>
      <c r="FS23">
        <v>33</v>
      </c>
      <c r="FT23">
        <v>8.5999999999999993E-2</v>
      </c>
      <c r="FU23">
        <v>-1E-3</v>
      </c>
      <c r="FV23">
        <v>-7.3339999999999996</v>
      </c>
      <c r="FW23">
        <v>-0.89100000000000001</v>
      </c>
      <c r="FX23">
        <v>461</v>
      </c>
      <c r="FY23">
        <v>21</v>
      </c>
      <c r="FZ23">
        <v>0.26</v>
      </c>
      <c r="GA23">
        <v>7.0000000000000007E-2</v>
      </c>
      <c r="GB23">
        <v>420.11583333333328</v>
      </c>
      <c r="GC23">
        <v>-0.89061624026701702</v>
      </c>
      <c r="GD23">
        <v>9.1812157268094607E-2</v>
      </c>
      <c r="GE23">
        <v>-1</v>
      </c>
      <c r="GF23">
        <v>863.49347058823537</v>
      </c>
      <c r="GG23">
        <v>0.551016044407731</v>
      </c>
      <c r="GH23">
        <v>0.37557910072267758</v>
      </c>
      <c r="GI23">
        <v>1</v>
      </c>
      <c r="GJ23">
        <v>3.4970937499999999</v>
      </c>
      <c r="GK23">
        <v>0.75604896810506583</v>
      </c>
      <c r="GL23">
        <v>9.4557369879018457E-2</v>
      </c>
      <c r="GM23">
        <v>0</v>
      </c>
      <c r="GN23">
        <v>1</v>
      </c>
      <c r="GO23">
        <v>2</v>
      </c>
      <c r="GP23" t="s">
        <v>411</v>
      </c>
      <c r="GQ23">
        <v>3.13131</v>
      </c>
      <c r="GR23">
        <v>2.73447</v>
      </c>
      <c r="GS23">
        <v>9.0432499999999999E-2</v>
      </c>
      <c r="GT23">
        <v>9.6219299999999994E-2</v>
      </c>
      <c r="GU23">
        <v>0.115202</v>
      </c>
      <c r="GV23">
        <v>0.10062500000000001</v>
      </c>
      <c r="GW23">
        <v>22564.6</v>
      </c>
      <c r="GX23">
        <v>30063.9</v>
      </c>
      <c r="GY23">
        <v>26937.1</v>
      </c>
      <c r="GZ23">
        <v>34245.699999999997</v>
      </c>
      <c r="HA23">
        <v>34952.800000000003</v>
      </c>
      <c r="HB23">
        <v>38971.699999999997</v>
      </c>
      <c r="HC23">
        <v>39800.400000000001</v>
      </c>
      <c r="HD23">
        <v>43401.5</v>
      </c>
      <c r="HE23">
        <v>1.9161999999999999</v>
      </c>
      <c r="HF23">
        <v>1.6674</v>
      </c>
      <c r="HG23">
        <v>-0.13065299999999999</v>
      </c>
      <c r="HH23">
        <v>0</v>
      </c>
      <c r="HI23">
        <v>30.0167</v>
      </c>
      <c r="HJ23">
        <v>999.9</v>
      </c>
      <c r="HK23">
        <v>37.4</v>
      </c>
      <c r="HL23">
        <v>42.3</v>
      </c>
      <c r="HM23">
        <v>32.0124</v>
      </c>
      <c r="HN23">
        <v>61.386400000000002</v>
      </c>
      <c r="HO23">
        <v>4.0544900000000004</v>
      </c>
      <c r="HP23">
        <v>1</v>
      </c>
      <c r="HQ23">
        <v>1.0555099999999999</v>
      </c>
      <c r="HR23">
        <v>7.1866500000000002</v>
      </c>
      <c r="HS23">
        <v>20.100899999999999</v>
      </c>
      <c r="HT23">
        <v>5.2088999999999999</v>
      </c>
      <c r="HU23">
        <v>11.916499999999999</v>
      </c>
      <c r="HV23">
        <v>4.9832000000000001</v>
      </c>
      <c r="HW23">
        <v>3.2707999999999999</v>
      </c>
      <c r="HX23">
        <v>9999</v>
      </c>
      <c r="HY23">
        <v>9999</v>
      </c>
      <c r="HZ23">
        <v>9999</v>
      </c>
      <c r="IA23">
        <v>999.9</v>
      </c>
      <c r="IB23">
        <v>1.86768</v>
      </c>
      <c r="IC23">
        <v>1.8634299999999999</v>
      </c>
      <c r="ID23">
        <v>1.8629500000000001</v>
      </c>
      <c r="IE23">
        <v>1.86249</v>
      </c>
      <c r="IF23">
        <v>1.86249</v>
      </c>
      <c r="IG23">
        <v>1.8629500000000001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-7.181</v>
      </c>
      <c r="IX23">
        <v>-0.79079999999999995</v>
      </c>
      <c r="IY23">
        <v>-5.189168050993791</v>
      </c>
      <c r="IZ23">
        <v>-5.6215304933332991E-3</v>
      </c>
      <c r="JA23">
        <v>2.3979931213773931E-6</v>
      </c>
      <c r="JB23">
        <v>-3.6297174575716598E-10</v>
      </c>
      <c r="JC23">
        <v>-1.2238528815402281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2</v>
      </c>
      <c r="JL23">
        <v>1.8</v>
      </c>
      <c r="JM23">
        <v>1.1853</v>
      </c>
      <c r="JN23">
        <v>2.5647000000000002</v>
      </c>
      <c r="JO23">
        <v>1.50024</v>
      </c>
      <c r="JP23">
        <v>2.2680699999999998</v>
      </c>
      <c r="JQ23">
        <v>1.4477500000000001</v>
      </c>
      <c r="JR23">
        <v>2.36328</v>
      </c>
      <c r="JS23">
        <v>47.063400000000001</v>
      </c>
      <c r="JT23">
        <v>23.7986</v>
      </c>
      <c r="JU23">
        <v>18</v>
      </c>
      <c r="JV23">
        <v>553.16600000000005</v>
      </c>
      <c r="JW23">
        <v>400.63900000000001</v>
      </c>
      <c r="JX23">
        <v>22.398599999999998</v>
      </c>
      <c r="JY23">
        <v>39.658999999999999</v>
      </c>
      <c r="JZ23">
        <v>29.995999999999999</v>
      </c>
      <c r="KA23">
        <v>39.818100000000001</v>
      </c>
      <c r="KB23">
        <v>39.831899999999997</v>
      </c>
      <c r="KC23">
        <v>23.7239</v>
      </c>
      <c r="KD23">
        <v>38.397100000000002</v>
      </c>
      <c r="KE23">
        <v>0</v>
      </c>
      <c r="KF23">
        <v>22.4621</v>
      </c>
      <c r="KG23">
        <v>459.43900000000002</v>
      </c>
      <c r="KH23">
        <v>20.695</v>
      </c>
      <c r="KI23">
        <v>99.448999999999998</v>
      </c>
      <c r="KJ23">
        <v>97.696700000000007</v>
      </c>
    </row>
    <row r="24" spans="1:296" x14ac:dyDescent="0.3">
      <c r="A24">
        <v>8</v>
      </c>
      <c r="B24">
        <v>1784654117.5</v>
      </c>
      <c r="C24">
        <v>1325.900000095367</v>
      </c>
      <c r="D24" t="s">
        <v>871</v>
      </c>
      <c r="E24" t="s">
        <v>872</v>
      </c>
      <c r="F24">
        <v>15</v>
      </c>
      <c r="H24">
        <v>1784654109.75</v>
      </c>
      <c r="I24">
        <f t="shared" si="0"/>
        <v>2.1316953424838758E-3</v>
      </c>
      <c r="J24">
        <f t="shared" si="1"/>
        <v>2.1316953424838756</v>
      </c>
      <c r="K24">
        <f t="shared" si="2"/>
        <v>23.58487188310291</v>
      </c>
      <c r="L24">
        <f t="shared" si="3"/>
        <v>420.10726666666682</v>
      </c>
      <c r="M24">
        <f t="shared" si="4"/>
        <v>152.64533471130059</v>
      </c>
      <c r="N24">
        <f t="shared" si="5"/>
        <v>14.942531979130827</v>
      </c>
      <c r="O24">
        <f t="shared" si="6"/>
        <v>41.124520960332895</v>
      </c>
      <c r="P24">
        <f t="shared" si="7"/>
        <v>0.14826485184961175</v>
      </c>
      <c r="Q24">
        <f t="shared" si="8"/>
        <v>2.8908796994235857</v>
      </c>
      <c r="R24">
        <f t="shared" si="9"/>
        <v>0.14416629961586372</v>
      </c>
      <c r="S24">
        <f t="shared" si="10"/>
        <v>9.046273887499276E-2</v>
      </c>
      <c r="T24">
        <f t="shared" si="11"/>
        <v>64.41579498716861</v>
      </c>
      <c r="U24">
        <f t="shared" si="12"/>
        <v>27.430263413571623</v>
      </c>
      <c r="V24">
        <f t="shared" si="13"/>
        <v>28.009</v>
      </c>
      <c r="W24">
        <f t="shared" si="14"/>
        <v>3.7968311703737858</v>
      </c>
      <c r="X24">
        <f t="shared" si="15"/>
        <v>64.581742074674835</v>
      </c>
      <c r="Y24">
        <f t="shared" si="16"/>
        <v>2.3951648127677148</v>
      </c>
      <c r="Z24">
        <f t="shared" si="17"/>
        <v>3.7087336696464828</v>
      </c>
      <c r="AA24">
        <f t="shared" si="18"/>
        <v>1.4016663576060711</v>
      </c>
      <c r="AB24">
        <f t="shared" si="19"/>
        <v>-94.007764603538917</v>
      </c>
      <c r="AC24">
        <f t="shared" si="20"/>
        <v>-62.673209658666536</v>
      </c>
      <c r="AD24">
        <f t="shared" si="21"/>
        <v>-4.7166232123556986</v>
      </c>
      <c r="AE24">
        <f t="shared" si="22"/>
        <v>-96.981802487392542</v>
      </c>
      <c r="AF24">
        <f t="shared" si="23"/>
        <v>23.58487188310291</v>
      </c>
      <c r="AG24">
        <f t="shared" si="24"/>
        <v>2.1316953424838756</v>
      </c>
      <c r="AH24">
        <f t="shared" si="25"/>
        <v>23.497445159859044</v>
      </c>
      <c r="AI24">
        <v>459.59632795459459</v>
      </c>
      <c r="AJ24">
        <v>430.72238181818182</v>
      </c>
      <c r="AK24">
        <v>8.722963588691195E-3</v>
      </c>
      <c r="AL24">
        <v>67.085572642764106</v>
      </c>
      <c r="AM24">
        <f t="shared" si="26"/>
        <v>2.2116408358342277</v>
      </c>
      <c r="AN24">
        <v>21.974519982294371</v>
      </c>
      <c r="AO24">
        <v>24.562479999999979</v>
      </c>
      <c r="AP24">
        <v>1.006616541353954E-4</v>
      </c>
      <c r="AQ24">
        <v>78.55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51616.183234231925</v>
      </c>
      <c r="AW24" t="s">
        <v>841</v>
      </c>
      <c r="AX24">
        <v>5083.33</v>
      </c>
      <c r="AY24">
        <v>594.90294117647056</v>
      </c>
      <c r="AZ24">
        <v>2493.0500000000002</v>
      </c>
      <c r="BA24">
        <f t="shared" si="30"/>
        <v>0.76137544727283024</v>
      </c>
      <c r="BB24">
        <v>-2.1570306834497912</v>
      </c>
      <c r="BC24" t="s">
        <v>873</v>
      </c>
      <c r="BD24">
        <v>5079.26</v>
      </c>
      <c r="BE24">
        <v>826.45376470588235</v>
      </c>
      <c r="BF24">
        <v>1847.43</v>
      </c>
      <c r="BG24">
        <f t="shared" si="31"/>
        <v>0.55264677703302301</v>
      </c>
      <c r="BH24">
        <v>0.5</v>
      </c>
      <c r="BI24">
        <f t="shared" si="32"/>
        <v>336.31611081200447</v>
      </c>
      <c r="BJ24">
        <f t="shared" si="33"/>
        <v>23.58487188310291</v>
      </c>
      <c r="BK24">
        <f t="shared" si="34"/>
        <v>92.932007352267647</v>
      </c>
      <c r="BL24">
        <f t="shared" si="35"/>
        <v>7.6540795219120578E-2</v>
      </c>
      <c r="BM24">
        <f t="shared" si="36"/>
        <v>0.34946926270548823</v>
      </c>
      <c r="BN24">
        <f t="shared" si="37"/>
        <v>549.11146708780711</v>
      </c>
      <c r="BO24" t="s">
        <v>408</v>
      </c>
      <c r="BP24">
        <v>0</v>
      </c>
      <c r="BQ24">
        <f t="shared" si="38"/>
        <v>549.11146708780711</v>
      </c>
      <c r="BR24">
        <f t="shared" si="39"/>
        <v>0.70277008217480108</v>
      </c>
      <c r="BS24">
        <f t="shared" si="40"/>
        <v>0.7863834717078384</v>
      </c>
      <c r="BT24">
        <f t="shared" si="41"/>
        <v>0.33211955474374172</v>
      </c>
      <c r="BU24">
        <f t="shared" si="42"/>
        <v>0.81513307684793479</v>
      </c>
      <c r="BV24">
        <f t="shared" si="43"/>
        <v>0.34013170739265847</v>
      </c>
      <c r="BW24">
        <f t="shared" si="44"/>
        <v>0.52248800874755186</v>
      </c>
      <c r="BX24">
        <f t="shared" si="45"/>
        <v>0.47751199125244814</v>
      </c>
      <c r="DG24">
        <f t="shared" si="46"/>
        <v>400.02346666666671</v>
      </c>
      <c r="DH24">
        <f t="shared" si="47"/>
        <v>336.31611081200447</v>
      </c>
      <c r="DI24">
        <f t="shared" si="48"/>
        <v>0.84074095356073553</v>
      </c>
      <c r="DJ24">
        <f t="shared" si="49"/>
        <v>0.16103004037221966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1784654109.75</v>
      </c>
      <c r="DQ24">
        <v>420.10726666666682</v>
      </c>
      <c r="DR24">
        <v>449.48146666666668</v>
      </c>
      <c r="DS24">
        <v>24.467790000000001</v>
      </c>
      <c r="DT24">
        <v>21.972539999999999</v>
      </c>
      <c r="DU24">
        <v>427.28886666666659</v>
      </c>
      <c r="DV24">
        <v>25.357790000000001</v>
      </c>
      <c r="DW24">
        <v>500.03906666666671</v>
      </c>
      <c r="DX24">
        <v>97.831483333333324</v>
      </c>
      <c r="DY24">
        <v>5.9041833333333342E-2</v>
      </c>
      <c r="DZ24">
        <v>27.606870000000001</v>
      </c>
      <c r="EA24">
        <v>28.009</v>
      </c>
      <c r="EB24">
        <v>999.9000000000002</v>
      </c>
      <c r="EC24">
        <v>0</v>
      </c>
      <c r="ED24">
        <v>0</v>
      </c>
      <c r="EE24">
        <v>9998</v>
      </c>
      <c r="EF24">
        <v>0</v>
      </c>
      <c r="EG24">
        <v>1505.268333333333</v>
      </c>
      <c r="EH24">
        <v>-29.37424</v>
      </c>
      <c r="EI24">
        <v>430.68656666666658</v>
      </c>
      <c r="EJ24">
        <v>459.57953333333347</v>
      </c>
      <c r="EK24">
        <v>2.5915966666666659</v>
      </c>
      <c r="EL24">
        <v>449.48146666666668</v>
      </c>
      <c r="EM24">
        <v>21.972539999999999</v>
      </c>
      <c r="EN24">
        <v>2.4031449999999999</v>
      </c>
      <c r="EO24">
        <v>2.149605666666667</v>
      </c>
      <c r="EP24">
        <v>20.384983333333331</v>
      </c>
      <c r="EQ24">
        <v>18.5916</v>
      </c>
      <c r="ER24">
        <v>400.02346666666671</v>
      </c>
      <c r="ES24">
        <v>0.97499329999999984</v>
      </c>
      <c r="ET24">
        <v>2.5006649999999998E-2</v>
      </c>
      <c r="EU24">
        <v>0</v>
      </c>
      <c r="EV24">
        <v>826.57613333333336</v>
      </c>
      <c r="EW24">
        <v>5.0010700000000003</v>
      </c>
      <c r="EX24">
        <v>6674.9123333333328</v>
      </c>
      <c r="EY24">
        <v>3583.878666666667</v>
      </c>
      <c r="EZ24">
        <v>42.201699999999988</v>
      </c>
      <c r="FA24">
        <v>45.926666666666641</v>
      </c>
      <c r="FB24">
        <v>44.125</v>
      </c>
      <c r="FC24">
        <v>45.625</v>
      </c>
      <c r="FD24">
        <v>44</v>
      </c>
      <c r="FE24">
        <v>385.14400000000012</v>
      </c>
      <c r="FF24">
        <v>9.879999999999999</v>
      </c>
      <c r="FG24">
        <v>0</v>
      </c>
      <c r="FH24">
        <v>181.60000014305109</v>
      </c>
      <c r="FI24">
        <v>0</v>
      </c>
      <c r="FJ24">
        <v>826.45376470588235</v>
      </c>
      <c r="FK24">
        <v>-3.4056372575315459</v>
      </c>
      <c r="FL24">
        <v>82.995104871377336</v>
      </c>
      <c r="FM24">
        <v>6648.3394117647058</v>
      </c>
      <c r="FN24">
        <v>10</v>
      </c>
      <c r="FO24">
        <v>1784654142</v>
      </c>
      <c r="FP24" t="s">
        <v>874</v>
      </c>
      <c r="FQ24">
        <v>1784653817</v>
      </c>
      <c r="FR24">
        <v>1784654142</v>
      </c>
      <c r="FS24">
        <v>34</v>
      </c>
      <c r="FT24">
        <v>8.5999999999999993E-2</v>
      </c>
      <c r="FU24">
        <v>-2.8000000000000001E-2</v>
      </c>
      <c r="FV24">
        <v>-7.3339999999999996</v>
      </c>
      <c r="FW24">
        <v>-0.89</v>
      </c>
      <c r="FX24">
        <v>461</v>
      </c>
      <c r="FY24">
        <v>22</v>
      </c>
      <c r="FZ24">
        <v>0.26</v>
      </c>
      <c r="GA24">
        <v>0.15</v>
      </c>
      <c r="GB24">
        <v>420.09896666666668</v>
      </c>
      <c r="GC24">
        <v>0.26528142380614578</v>
      </c>
      <c r="GD24">
        <v>6.802670227360999E-2</v>
      </c>
      <c r="GE24">
        <v>-1</v>
      </c>
      <c r="GF24">
        <v>826.65005882352932</v>
      </c>
      <c r="GG24">
        <v>-1.192177232264064</v>
      </c>
      <c r="GH24">
        <v>0.2806153889931749</v>
      </c>
      <c r="GI24">
        <v>1</v>
      </c>
      <c r="GJ24">
        <v>2.5966830000000001</v>
      </c>
      <c r="GK24">
        <v>-8.4744765478426021E-2</v>
      </c>
      <c r="GL24">
        <v>8.9252261035786037E-3</v>
      </c>
      <c r="GM24">
        <v>1</v>
      </c>
      <c r="GN24">
        <v>2</v>
      </c>
      <c r="GO24">
        <v>2</v>
      </c>
      <c r="GP24" t="s">
        <v>424</v>
      </c>
      <c r="GQ24">
        <v>3.1303999999999998</v>
      </c>
      <c r="GR24">
        <v>2.7349100000000002</v>
      </c>
      <c r="GS24">
        <v>9.0429999999999996E-2</v>
      </c>
      <c r="GT24">
        <v>9.4625799999999996E-2</v>
      </c>
      <c r="GU24">
        <v>0.114852</v>
      </c>
      <c r="GV24">
        <v>0.104133</v>
      </c>
      <c r="GW24">
        <v>22558.6</v>
      </c>
      <c r="GX24">
        <v>30107.7</v>
      </c>
      <c r="GY24">
        <v>26930.1</v>
      </c>
      <c r="GZ24">
        <v>34235.4</v>
      </c>
      <c r="HA24">
        <v>34958</v>
      </c>
      <c r="HB24">
        <v>38811.1</v>
      </c>
      <c r="HC24">
        <v>39790.400000000001</v>
      </c>
      <c r="HD24">
        <v>43391</v>
      </c>
      <c r="HE24">
        <v>1.9136</v>
      </c>
      <c r="HF24">
        <v>1.6679999999999999</v>
      </c>
      <c r="HG24">
        <v>-0.13089200000000001</v>
      </c>
      <c r="HH24">
        <v>0</v>
      </c>
      <c r="HI24">
        <v>30.146999999999998</v>
      </c>
      <c r="HJ24">
        <v>999.9</v>
      </c>
      <c r="HK24">
        <v>37.299999999999997</v>
      </c>
      <c r="HL24">
        <v>42.4</v>
      </c>
      <c r="HM24">
        <v>32.095799999999997</v>
      </c>
      <c r="HN24">
        <v>61.186399999999999</v>
      </c>
      <c r="HO24">
        <v>3.9262800000000002</v>
      </c>
      <c r="HP24">
        <v>1</v>
      </c>
      <c r="HQ24">
        <v>1.0740000000000001</v>
      </c>
      <c r="HR24">
        <v>8.2227200000000007</v>
      </c>
      <c r="HS24">
        <v>20.052800000000001</v>
      </c>
      <c r="HT24">
        <v>5.2112999999999996</v>
      </c>
      <c r="HU24">
        <v>11.9201</v>
      </c>
      <c r="HV24">
        <v>4.9832000000000001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1.86771</v>
      </c>
      <c r="IC24">
        <v>1.8633999999999999</v>
      </c>
      <c r="ID24">
        <v>1.8629500000000001</v>
      </c>
      <c r="IE24">
        <v>1.86249</v>
      </c>
      <c r="IF24">
        <v>1.86246</v>
      </c>
      <c r="IG24">
        <v>1.8629500000000001</v>
      </c>
      <c r="IH24">
        <v>1.8638600000000001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-7.1820000000000004</v>
      </c>
      <c r="IX24">
        <v>-0.89</v>
      </c>
      <c r="IY24">
        <v>-5.189168050993791</v>
      </c>
      <c r="IZ24">
        <v>-5.6215304933332991E-3</v>
      </c>
      <c r="JA24">
        <v>2.3979931213773931E-6</v>
      </c>
      <c r="JB24">
        <v>-3.6297174575716598E-10</v>
      </c>
      <c r="JC24">
        <v>-1.2238528815402281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5</v>
      </c>
      <c r="JL24">
        <v>4.9000000000000004</v>
      </c>
      <c r="JM24">
        <v>1.16455</v>
      </c>
      <c r="JN24">
        <v>2.5585900000000001</v>
      </c>
      <c r="JO24">
        <v>1.50024</v>
      </c>
      <c r="JP24">
        <v>2.2680699999999998</v>
      </c>
      <c r="JQ24">
        <v>1.4477500000000001</v>
      </c>
      <c r="JR24">
        <v>2.5158700000000001</v>
      </c>
      <c r="JS24">
        <v>47.271999999999998</v>
      </c>
      <c r="JT24">
        <v>23.780999999999999</v>
      </c>
      <c r="JU24">
        <v>18</v>
      </c>
      <c r="JV24">
        <v>552.14300000000003</v>
      </c>
      <c r="JW24">
        <v>401.67700000000002</v>
      </c>
      <c r="JX24">
        <v>22.520499999999998</v>
      </c>
      <c r="JY24">
        <v>39.725200000000001</v>
      </c>
      <c r="JZ24">
        <v>30.0002</v>
      </c>
      <c r="KA24">
        <v>39.921300000000002</v>
      </c>
      <c r="KB24">
        <v>39.951000000000001</v>
      </c>
      <c r="KC24">
        <v>23.308</v>
      </c>
      <c r="KD24">
        <v>36.204000000000001</v>
      </c>
      <c r="KE24">
        <v>0</v>
      </c>
      <c r="KF24">
        <v>22.5305</v>
      </c>
      <c r="KG24">
        <v>449.25299999999999</v>
      </c>
      <c r="KH24">
        <v>21.967700000000001</v>
      </c>
      <c r="KI24">
        <v>99.4238</v>
      </c>
      <c r="KJ24">
        <v>97.670500000000004</v>
      </c>
    </row>
    <row r="25" spans="1:296" x14ac:dyDescent="0.3">
      <c r="A25">
        <v>9</v>
      </c>
      <c r="B25">
        <v>1784654323</v>
      </c>
      <c r="C25">
        <v>1531.400000095367</v>
      </c>
      <c r="D25" t="s">
        <v>875</v>
      </c>
      <c r="E25" t="s">
        <v>876</v>
      </c>
      <c r="F25">
        <v>15</v>
      </c>
      <c r="H25">
        <v>1784654315</v>
      </c>
      <c r="I25">
        <f t="shared" si="0"/>
        <v>1.7063362133395883E-3</v>
      </c>
      <c r="J25">
        <f t="shared" si="1"/>
        <v>1.7063362133395883</v>
      </c>
      <c r="K25">
        <f t="shared" si="2"/>
        <v>17.365741753661112</v>
      </c>
      <c r="L25">
        <f t="shared" si="3"/>
        <v>420.09645161290308</v>
      </c>
      <c r="M25">
        <f t="shared" si="4"/>
        <v>172.35156594972804</v>
      </c>
      <c r="N25">
        <f t="shared" si="5"/>
        <v>16.870090134451953</v>
      </c>
      <c r="O25">
        <f t="shared" si="6"/>
        <v>41.119817883988837</v>
      </c>
      <c r="P25">
        <f t="shared" si="7"/>
        <v>0.11764722706185031</v>
      </c>
      <c r="Q25">
        <f t="shared" si="8"/>
        <v>2.8915180591448877</v>
      </c>
      <c r="R25">
        <f t="shared" si="9"/>
        <v>0.11505124008879676</v>
      </c>
      <c r="S25">
        <f t="shared" si="10"/>
        <v>7.2135493167767475E-2</v>
      </c>
      <c r="T25">
        <f t="shared" si="11"/>
        <v>48.444665369204358</v>
      </c>
      <c r="U25">
        <f t="shared" si="12"/>
        <v>27.416186087723439</v>
      </c>
      <c r="V25">
        <f t="shared" si="13"/>
        <v>28.01491935483871</v>
      </c>
      <c r="W25">
        <f t="shared" si="14"/>
        <v>3.7981414830419231</v>
      </c>
      <c r="X25">
        <f t="shared" si="15"/>
        <v>64.621958171563378</v>
      </c>
      <c r="Y25">
        <f t="shared" si="16"/>
        <v>2.3923520837168057</v>
      </c>
      <c r="Z25">
        <f t="shared" si="17"/>
        <v>3.7020730281267618</v>
      </c>
      <c r="AA25">
        <f t="shared" si="18"/>
        <v>1.4057893993251174</v>
      </c>
      <c r="AB25">
        <f t="shared" si="19"/>
        <v>-75.249427008275845</v>
      </c>
      <c r="AC25">
        <f t="shared" si="20"/>
        <v>-68.401935891189069</v>
      </c>
      <c r="AD25">
        <f t="shared" si="21"/>
        <v>-5.1459792667056732</v>
      </c>
      <c r="AE25">
        <f t="shared" si="22"/>
        <v>-100.35267679696622</v>
      </c>
      <c r="AF25">
        <f t="shared" si="23"/>
        <v>17.365741753661112</v>
      </c>
      <c r="AG25">
        <f t="shared" si="24"/>
        <v>1.7063362133395883</v>
      </c>
      <c r="AH25">
        <f t="shared" si="25"/>
        <v>17.483544105138481</v>
      </c>
      <c r="AI25">
        <v>451.70018625278561</v>
      </c>
      <c r="AJ25">
        <v>430.50813333333332</v>
      </c>
      <c r="AK25">
        <v>-5.0978250048920037E-2</v>
      </c>
      <c r="AL25">
        <v>67.092181482805742</v>
      </c>
      <c r="AM25">
        <f t="shared" si="26"/>
        <v>1.6526327704218309</v>
      </c>
      <c r="AN25">
        <v>22.469782905930749</v>
      </c>
      <c r="AO25">
        <v>24.41531696969696</v>
      </c>
      <c r="AP25">
        <v>-1.789783549780757E-3</v>
      </c>
      <c r="AQ25">
        <v>78.55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51639.420673251174</v>
      </c>
      <c r="AW25" t="s">
        <v>841</v>
      </c>
      <c r="AX25">
        <v>5083.33</v>
      </c>
      <c r="AY25">
        <v>594.90294117647056</v>
      </c>
      <c r="AZ25">
        <v>2493.0500000000002</v>
      </c>
      <c r="BA25">
        <f t="shared" si="30"/>
        <v>0.76137544727283024</v>
      </c>
      <c r="BB25">
        <v>-2.1570306834497912</v>
      </c>
      <c r="BC25" t="s">
        <v>877</v>
      </c>
      <c r="BD25">
        <v>5079.88</v>
      </c>
      <c r="BE25">
        <v>797.40282352941176</v>
      </c>
      <c r="BF25">
        <v>1925.18</v>
      </c>
      <c r="BG25">
        <f t="shared" si="31"/>
        <v>0.58580349706032075</v>
      </c>
      <c r="BH25">
        <v>0.5</v>
      </c>
      <c r="BI25">
        <f t="shared" si="32"/>
        <v>252.29599282041343</v>
      </c>
      <c r="BJ25">
        <f t="shared" si="33"/>
        <v>17.365741753661112</v>
      </c>
      <c r="BK25">
        <f t="shared" si="34"/>
        <v>73.89793744425188</v>
      </c>
      <c r="BL25">
        <f t="shared" si="35"/>
        <v>7.7380430100637346E-2</v>
      </c>
      <c r="BM25">
        <f t="shared" si="36"/>
        <v>0.29496982100375035</v>
      </c>
      <c r="BN25">
        <f t="shared" si="37"/>
        <v>555.7830187148196</v>
      </c>
      <c r="BO25" t="s">
        <v>408</v>
      </c>
      <c r="BP25">
        <v>0</v>
      </c>
      <c r="BQ25">
        <f t="shared" si="38"/>
        <v>555.7830187148196</v>
      </c>
      <c r="BR25">
        <f t="shared" si="39"/>
        <v>0.71130854324540072</v>
      </c>
      <c r="BS25">
        <f t="shared" si="40"/>
        <v>0.82355751610622674</v>
      </c>
      <c r="BT25">
        <f t="shared" si="41"/>
        <v>0.2931294475598174</v>
      </c>
      <c r="BU25">
        <f t="shared" si="42"/>
        <v>0.84777615985347599</v>
      </c>
      <c r="BV25">
        <f t="shared" si="43"/>
        <v>0.29917070827587278</v>
      </c>
      <c r="BW25">
        <f t="shared" si="44"/>
        <v>0.57401261806532178</v>
      </c>
      <c r="BX25">
        <f t="shared" si="45"/>
        <v>0.42598738193467822</v>
      </c>
      <c r="DG25">
        <f t="shared" si="46"/>
        <v>300.00451612903231</v>
      </c>
      <c r="DH25">
        <f t="shared" si="47"/>
        <v>252.29599282041343</v>
      </c>
      <c r="DI25">
        <f t="shared" si="48"/>
        <v>0.84097398291131265</v>
      </c>
      <c r="DJ25">
        <f t="shared" si="49"/>
        <v>0.16147978701883356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1784654315</v>
      </c>
      <c r="DQ25">
        <v>420.09645161290308</v>
      </c>
      <c r="DR25">
        <v>441.79322580645157</v>
      </c>
      <c r="DS25">
        <v>24.441222580645171</v>
      </c>
      <c r="DT25">
        <v>22.44387741935483</v>
      </c>
      <c r="DU25">
        <v>427.2719677419355</v>
      </c>
      <c r="DV25">
        <v>25.265235483870971</v>
      </c>
      <c r="DW25">
        <v>500.05316129032258</v>
      </c>
      <c r="DX25">
        <v>97.822532258064513</v>
      </c>
      <c r="DY25">
        <v>5.9317793548387107E-2</v>
      </c>
      <c r="DZ25">
        <v>27.576129032258059</v>
      </c>
      <c r="EA25">
        <v>28.01491935483871</v>
      </c>
      <c r="EB25">
        <v>999.90000000000032</v>
      </c>
      <c r="EC25">
        <v>0</v>
      </c>
      <c r="ED25">
        <v>0</v>
      </c>
      <c r="EE25">
        <v>10002.58064516129</v>
      </c>
      <c r="EF25">
        <v>0</v>
      </c>
      <c r="EG25">
        <v>1525.848709677419</v>
      </c>
      <c r="EH25">
        <v>-21.69674516129033</v>
      </c>
      <c r="EI25">
        <v>430.62135483870958</v>
      </c>
      <c r="EJ25">
        <v>451.93632258064508</v>
      </c>
      <c r="EK25">
        <v>1.9973448387096771</v>
      </c>
      <c r="EL25">
        <v>441.79322580645157</v>
      </c>
      <c r="EM25">
        <v>22.44387741935483</v>
      </c>
      <c r="EN25">
        <v>2.3909029032258071</v>
      </c>
      <c r="EO25">
        <v>2.1955161290322578</v>
      </c>
      <c r="EP25">
        <v>20.302283870967742</v>
      </c>
      <c r="EQ25">
        <v>18.92963870967742</v>
      </c>
      <c r="ER25">
        <v>300.00451612903231</v>
      </c>
      <c r="ES25">
        <v>0.96698512903225786</v>
      </c>
      <c r="ET25">
        <v>3.3014780645161293E-2</v>
      </c>
      <c r="EU25">
        <v>0</v>
      </c>
      <c r="EV25">
        <v>797.43641935483868</v>
      </c>
      <c r="EW25">
        <v>5.0010700000000003</v>
      </c>
      <c r="EX25">
        <v>5785.5387096774184</v>
      </c>
      <c r="EY25">
        <v>2668.0516129032262</v>
      </c>
      <c r="EZ25">
        <v>42.061999999999983</v>
      </c>
      <c r="FA25">
        <v>45.936999999999969</v>
      </c>
      <c r="FB25">
        <v>44.070129032258052</v>
      </c>
      <c r="FC25">
        <v>45.686999999999969</v>
      </c>
      <c r="FD25">
        <v>43.875</v>
      </c>
      <c r="FE25">
        <v>285.26419354838708</v>
      </c>
      <c r="FF25">
        <v>9.740000000000002</v>
      </c>
      <c r="FG25">
        <v>0</v>
      </c>
      <c r="FH25">
        <v>205</v>
      </c>
      <c r="FI25">
        <v>0</v>
      </c>
      <c r="FJ25">
        <v>797.40282352941176</v>
      </c>
      <c r="FK25">
        <v>-8.088195102305986E-3</v>
      </c>
      <c r="FL25">
        <v>369.27696145035361</v>
      </c>
      <c r="FM25">
        <v>5780.1894117647062</v>
      </c>
      <c r="FN25">
        <v>10</v>
      </c>
      <c r="FO25">
        <v>1784654243.5</v>
      </c>
      <c r="FP25" t="s">
        <v>878</v>
      </c>
      <c r="FQ25">
        <v>1784654239.5</v>
      </c>
      <c r="FR25">
        <v>1784654243.5</v>
      </c>
      <c r="FS25">
        <v>35</v>
      </c>
      <c r="FT25">
        <v>6.0000000000000001E-3</v>
      </c>
      <c r="FU25">
        <v>0</v>
      </c>
      <c r="FV25">
        <v>-7.2629999999999999</v>
      </c>
      <c r="FW25">
        <v>-0.89100000000000001</v>
      </c>
      <c r="FX25">
        <v>443</v>
      </c>
      <c r="FY25">
        <v>22</v>
      </c>
      <c r="FZ25">
        <v>0.32</v>
      </c>
      <c r="GA25">
        <v>0.12</v>
      </c>
      <c r="GB25">
        <v>420.10006666666658</v>
      </c>
      <c r="GC25">
        <v>-7.2400444938843719E-2</v>
      </c>
      <c r="GD25">
        <v>6.0155317489164813E-2</v>
      </c>
      <c r="GE25">
        <v>-1</v>
      </c>
      <c r="GF25">
        <v>797.45935294117646</v>
      </c>
      <c r="GG25">
        <v>-0.36898395195447609</v>
      </c>
      <c r="GH25">
        <v>0.21326507702759179</v>
      </c>
      <c r="GI25">
        <v>1</v>
      </c>
      <c r="GJ25">
        <v>2.0113815000000002</v>
      </c>
      <c r="GK25">
        <v>-0.34058859287054521</v>
      </c>
      <c r="GL25">
        <v>3.6086602122532938E-2</v>
      </c>
      <c r="GM25">
        <v>1</v>
      </c>
      <c r="GN25">
        <v>2</v>
      </c>
      <c r="GO25">
        <v>2</v>
      </c>
      <c r="GP25" t="s">
        <v>424</v>
      </c>
      <c r="GQ25">
        <v>3.1301700000000001</v>
      </c>
      <c r="GR25">
        <v>2.7353499999999999</v>
      </c>
      <c r="GS25">
        <v>9.0382900000000002E-2</v>
      </c>
      <c r="GT25">
        <v>9.3359399999999995E-2</v>
      </c>
      <c r="GU25">
        <v>0.11442099999999999</v>
      </c>
      <c r="GV25">
        <v>0.10587299999999999</v>
      </c>
      <c r="GW25">
        <v>22554.400000000001</v>
      </c>
      <c r="GX25">
        <v>30142.1</v>
      </c>
      <c r="GY25">
        <v>26924.3</v>
      </c>
      <c r="GZ25">
        <v>34227.4</v>
      </c>
      <c r="HA25">
        <v>34968.1</v>
      </c>
      <c r="HB25">
        <v>38729.699999999997</v>
      </c>
      <c r="HC25">
        <v>39782.1</v>
      </c>
      <c r="HD25">
        <v>43383.7</v>
      </c>
      <c r="HE25">
        <v>1.9112</v>
      </c>
      <c r="HF25">
        <v>1.6668000000000001</v>
      </c>
      <c r="HG25">
        <v>-0.13187499999999999</v>
      </c>
      <c r="HH25">
        <v>0</v>
      </c>
      <c r="HI25">
        <v>30.154800000000002</v>
      </c>
      <c r="HJ25">
        <v>999.9</v>
      </c>
      <c r="HK25">
        <v>37.299999999999997</v>
      </c>
      <c r="HL25">
        <v>42.5</v>
      </c>
      <c r="HM25">
        <v>32.268700000000003</v>
      </c>
      <c r="HN25">
        <v>61.256500000000003</v>
      </c>
      <c r="HO25">
        <v>4.0825300000000002</v>
      </c>
      <c r="HP25">
        <v>1</v>
      </c>
      <c r="HQ25">
        <v>1.0865899999999999</v>
      </c>
      <c r="HR25">
        <v>8.3302800000000001</v>
      </c>
      <c r="HS25">
        <v>20.0487</v>
      </c>
      <c r="HT25">
        <v>5.2100999999999997</v>
      </c>
      <c r="HU25">
        <v>11.9177</v>
      </c>
      <c r="HV25">
        <v>4.9828000000000001</v>
      </c>
      <c r="HW25">
        <v>3.2709999999999999</v>
      </c>
      <c r="HX25">
        <v>9999</v>
      </c>
      <c r="HY25">
        <v>9999</v>
      </c>
      <c r="HZ25">
        <v>9999</v>
      </c>
      <c r="IA25">
        <v>999.9</v>
      </c>
      <c r="IB25">
        <v>1.86768</v>
      </c>
      <c r="IC25">
        <v>1.8633999999999999</v>
      </c>
      <c r="ID25">
        <v>1.8629500000000001</v>
      </c>
      <c r="IE25">
        <v>1.86249</v>
      </c>
      <c r="IF25">
        <v>1.86246</v>
      </c>
      <c r="IG25">
        <v>1.8629500000000001</v>
      </c>
      <c r="IH25">
        <v>1.8638600000000001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-7.1760000000000002</v>
      </c>
      <c r="IX25">
        <v>-0.82479999999999998</v>
      </c>
      <c r="IY25">
        <v>-5.1830612303252019</v>
      </c>
      <c r="IZ25">
        <v>-5.6215304933332991E-3</v>
      </c>
      <c r="JA25">
        <v>2.3979931213773931E-6</v>
      </c>
      <c r="JB25">
        <v>-3.6297174575716598E-10</v>
      </c>
      <c r="JC25">
        <v>-1.251590570707932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1.4</v>
      </c>
      <c r="JL25">
        <v>1.3</v>
      </c>
      <c r="JM25">
        <v>1.1486799999999999</v>
      </c>
      <c r="JN25">
        <v>2.5610400000000002</v>
      </c>
      <c r="JO25">
        <v>1.50024</v>
      </c>
      <c r="JP25">
        <v>2.2692899999999998</v>
      </c>
      <c r="JQ25">
        <v>1.4477500000000001</v>
      </c>
      <c r="JR25">
        <v>2.3840300000000001</v>
      </c>
      <c r="JS25">
        <v>47.511699999999998</v>
      </c>
      <c r="JT25">
        <v>23.772300000000001</v>
      </c>
      <c r="JU25">
        <v>18</v>
      </c>
      <c r="JV25">
        <v>551.5</v>
      </c>
      <c r="JW25">
        <v>401.70400000000001</v>
      </c>
      <c r="JX25">
        <v>22.5289</v>
      </c>
      <c r="JY25">
        <v>39.8581</v>
      </c>
      <c r="JZ25">
        <v>30.000900000000001</v>
      </c>
      <c r="KA25">
        <v>40.055700000000002</v>
      </c>
      <c r="KB25">
        <v>40.082900000000002</v>
      </c>
      <c r="KC25">
        <v>22.992000000000001</v>
      </c>
      <c r="KD25">
        <v>34.900100000000002</v>
      </c>
      <c r="KE25">
        <v>0</v>
      </c>
      <c r="KF25">
        <v>22.529399999999999</v>
      </c>
      <c r="KG25">
        <v>441.72899999999998</v>
      </c>
      <c r="KH25">
        <v>22.605799999999999</v>
      </c>
      <c r="KI25">
        <v>99.402799999999999</v>
      </c>
      <c r="KJ25">
        <v>97.651200000000003</v>
      </c>
    </row>
    <row r="26" spans="1:296" x14ac:dyDescent="0.3">
      <c r="A26">
        <v>10</v>
      </c>
      <c r="B26">
        <v>1784654505.5</v>
      </c>
      <c r="C26">
        <v>1713.900000095367</v>
      </c>
      <c r="D26" t="s">
        <v>879</v>
      </c>
      <c r="E26" t="s">
        <v>880</v>
      </c>
      <c r="F26">
        <v>15</v>
      </c>
      <c r="H26">
        <v>1784654497.75</v>
      </c>
      <c r="I26">
        <f t="shared" si="0"/>
        <v>1.2046632221068929E-3</v>
      </c>
      <c r="J26">
        <f t="shared" si="1"/>
        <v>1.2046632221068929</v>
      </c>
      <c r="K26">
        <f t="shared" si="2"/>
        <v>10.788927670977216</v>
      </c>
      <c r="L26">
        <f t="shared" si="3"/>
        <v>420.13956666666672</v>
      </c>
      <c r="M26">
        <f t="shared" si="4"/>
        <v>199.43524585697494</v>
      </c>
      <c r="N26">
        <f t="shared" si="5"/>
        <v>19.521764862952082</v>
      </c>
      <c r="O26">
        <f t="shared" si="6"/>
        <v>41.125458014433512</v>
      </c>
      <c r="P26">
        <f t="shared" si="7"/>
        <v>8.201087294209887E-2</v>
      </c>
      <c r="Q26">
        <f t="shared" si="8"/>
        <v>2.8907185169855567</v>
      </c>
      <c r="R26">
        <f t="shared" si="9"/>
        <v>8.0739888751210701E-2</v>
      </c>
      <c r="S26">
        <f t="shared" si="10"/>
        <v>5.0574982515170397E-2</v>
      </c>
      <c r="T26">
        <f t="shared" si="11"/>
        <v>32.489164592121831</v>
      </c>
      <c r="U26">
        <f t="shared" si="12"/>
        <v>27.418378276945276</v>
      </c>
      <c r="V26">
        <f t="shared" si="13"/>
        <v>28.020373333333339</v>
      </c>
      <c r="W26">
        <f t="shared" si="14"/>
        <v>3.7993491288590664</v>
      </c>
      <c r="X26">
        <f t="shared" si="15"/>
        <v>64.554021530058691</v>
      </c>
      <c r="Y26">
        <f t="shared" si="16"/>
        <v>2.3850085355010147</v>
      </c>
      <c r="Z26">
        <f t="shared" si="17"/>
        <v>3.6945932708320397</v>
      </c>
      <c r="AA26">
        <f t="shared" si="18"/>
        <v>1.4143405933580517</v>
      </c>
      <c r="AB26">
        <f t="shared" si="19"/>
        <v>-53.125648094913977</v>
      </c>
      <c r="AC26">
        <f t="shared" si="20"/>
        <v>-74.62194307980468</v>
      </c>
      <c r="AD26">
        <f t="shared" si="21"/>
        <v>-5.614657417588421</v>
      </c>
      <c r="AE26">
        <f t="shared" si="22"/>
        <v>-100.87308400018524</v>
      </c>
      <c r="AF26">
        <f t="shared" si="23"/>
        <v>10.788927670977216</v>
      </c>
      <c r="AG26">
        <f t="shared" si="24"/>
        <v>1.2046632221068929</v>
      </c>
      <c r="AH26">
        <f t="shared" si="25"/>
        <v>11.033789664894101</v>
      </c>
      <c r="AI26">
        <v>443.82439959705829</v>
      </c>
      <c r="AJ26">
        <v>430.50991515151497</v>
      </c>
      <c r="AK26">
        <v>-4.5349613445638988E-2</v>
      </c>
      <c r="AL26">
        <v>67.028262504223676</v>
      </c>
      <c r="AM26">
        <f t="shared" si="26"/>
        <v>1.0894333287682156</v>
      </c>
      <c r="AN26">
        <v>23.0003427428483</v>
      </c>
      <c r="AO26">
        <v>24.31430727272727</v>
      </c>
      <c r="AP26">
        <v>-6.2794918547702909E-3</v>
      </c>
      <c r="AQ26">
        <v>78.048503561924036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51622.693404300953</v>
      </c>
      <c r="AW26" t="s">
        <v>841</v>
      </c>
      <c r="AX26">
        <v>5083.33</v>
      </c>
      <c r="AY26">
        <v>594.90294117647056</v>
      </c>
      <c r="AZ26">
        <v>2493.0500000000002</v>
      </c>
      <c r="BA26">
        <f t="shared" si="30"/>
        <v>0.76137544727283024</v>
      </c>
      <c r="BB26">
        <v>-2.1570306834497912</v>
      </c>
      <c r="BC26" t="s">
        <v>881</v>
      </c>
      <c r="BD26">
        <v>5081.3900000000003</v>
      </c>
      <c r="BE26">
        <v>767.85882352941178</v>
      </c>
      <c r="BF26">
        <v>1992.19</v>
      </c>
      <c r="BG26">
        <f t="shared" si="31"/>
        <v>0.61456546638151388</v>
      </c>
      <c r="BH26">
        <v>0.5</v>
      </c>
      <c r="BI26">
        <f t="shared" si="32"/>
        <v>168.31969307363821</v>
      </c>
      <c r="BJ26">
        <f t="shared" si="33"/>
        <v>10.788927670977216</v>
      </c>
      <c r="BK26">
        <f t="shared" si="34"/>
        <v>51.721735337496867</v>
      </c>
      <c r="BL26">
        <f t="shared" si="35"/>
        <v>7.6912915642991811E-2</v>
      </c>
      <c r="BM26">
        <f t="shared" si="36"/>
        <v>0.25141176293425832</v>
      </c>
      <c r="BN26">
        <f t="shared" si="37"/>
        <v>561.23288572976685</v>
      </c>
      <c r="BO26" t="s">
        <v>408</v>
      </c>
      <c r="BP26">
        <v>0</v>
      </c>
      <c r="BQ26">
        <f t="shared" si="38"/>
        <v>561.23288572976685</v>
      </c>
      <c r="BR26">
        <f t="shared" si="39"/>
        <v>0.7182834540230767</v>
      </c>
      <c r="BS26">
        <f t="shared" si="40"/>
        <v>0.85560298366801779</v>
      </c>
      <c r="BT26">
        <f t="shared" si="41"/>
        <v>0.25926884915770398</v>
      </c>
      <c r="BU26">
        <f t="shared" si="42"/>
        <v>0.87622022170693781</v>
      </c>
      <c r="BV26">
        <f t="shared" si="43"/>
        <v>0.26386785874769514</v>
      </c>
      <c r="BW26">
        <f t="shared" si="44"/>
        <v>0.62536564906010628</v>
      </c>
      <c r="BX26">
        <f t="shared" si="45"/>
        <v>0.37463435093989372</v>
      </c>
      <c r="DG26">
        <f t="shared" si="46"/>
        <v>200.03273333333331</v>
      </c>
      <c r="DH26">
        <f t="shared" si="47"/>
        <v>168.31969307363821</v>
      </c>
      <c r="DI26">
        <f t="shared" si="48"/>
        <v>0.84146074629271461</v>
      </c>
      <c r="DJ26">
        <f t="shared" si="49"/>
        <v>0.1624192403449394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1784654497.75</v>
      </c>
      <c r="DQ26">
        <v>420.13956666666672</v>
      </c>
      <c r="DR26">
        <v>433.69439999999997</v>
      </c>
      <c r="DS26">
        <v>24.365356666666671</v>
      </c>
      <c r="DT26">
        <v>22.954903333333331</v>
      </c>
      <c r="DU26">
        <v>427.32486666666671</v>
      </c>
      <c r="DV26">
        <v>25.212583333333331</v>
      </c>
      <c r="DW26">
        <v>499.97166666666669</v>
      </c>
      <c r="DX26">
        <v>97.825689999999994</v>
      </c>
      <c r="DY26">
        <v>5.9539760000000011E-2</v>
      </c>
      <c r="DZ26">
        <v>27.541550000000012</v>
      </c>
      <c r="EA26">
        <v>28.020373333333339</v>
      </c>
      <c r="EB26">
        <v>999.9000000000002</v>
      </c>
      <c r="EC26">
        <v>0</v>
      </c>
      <c r="ED26">
        <v>0</v>
      </c>
      <c r="EE26">
        <v>9997.6666666666661</v>
      </c>
      <c r="EF26">
        <v>0</v>
      </c>
      <c r="EG26">
        <v>1449.971</v>
      </c>
      <c r="EH26">
        <v>-13.55477333333334</v>
      </c>
      <c r="EI26">
        <v>430.63199999999989</v>
      </c>
      <c r="EJ26">
        <v>443.88363333333342</v>
      </c>
      <c r="EK26">
        <v>1.410461333333334</v>
      </c>
      <c r="EL26">
        <v>433.69439999999997</v>
      </c>
      <c r="EM26">
        <v>22.954903333333331</v>
      </c>
      <c r="EN26">
        <v>2.3835579999999998</v>
      </c>
      <c r="EO26">
        <v>2.2455780000000001</v>
      </c>
      <c r="EP26">
        <v>20.252490000000002</v>
      </c>
      <c r="EQ26">
        <v>19.291219999999999</v>
      </c>
      <c r="ER26">
        <v>200.03273333333331</v>
      </c>
      <c r="ES26">
        <v>0.95006626666666683</v>
      </c>
      <c r="ET26">
        <v>4.9933473333333339E-2</v>
      </c>
      <c r="EU26">
        <v>0</v>
      </c>
      <c r="EV26">
        <v>767.85806666666679</v>
      </c>
      <c r="EW26">
        <v>5.0010700000000003</v>
      </c>
      <c r="EX26">
        <v>4646.8586666666661</v>
      </c>
      <c r="EY26">
        <v>1752.1669999999999</v>
      </c>
      <c r="EZ26">
        <v>41.875</v>
      </c>
      <c r="FA26">
        <v>45.936999999999983</v>
      </c>
      <c r="FB26">
        <v>44</v>
      </c>
      <c r="FC26">
        <v>45.699599999999982</v>
      </c>
      <c r="FD26">
        <v>43.785133333333327</v>
      </c>
      <c r="FE26">
        <v>185.29366666666661</v>
      </c>
      <c r="FF26">
        <v>9.740000000000002</v>
      </c>
      <c r="FG26">
        <v>0</v>
      </c>
      <c r="FH26">
        <v>182.20000004768369</v>
      </c>
      <c r="FI26">
        <v>0</v>
      </c>
      <c r="FJ26">
        <v>767.85882352941178</v>
      </c>
      <c r="FK26">
        <v>3.1149509757959768</v>
      </c>
      <c r="FL26">
        <v>251.77696115382281</v>
      </c>
      <c r="FM26">
        <v>4649.934117647058</v>
      </c>
      <c r="FN26">
        <v>10</v>
      </c>
      <c r="FO26">
        <v>1784654435.5</v>
      </c>
      <c r="FP26" t="s">
        <v>882</v>
      </c>
      <c r="FQ26">
        <v>1784654435.5</v>
      </c>
      <c r="FR26">
        <v>1784654432.5</v>
      </c>
      <c r="FS26">
        <v>36</v>
      </c>
      <c r="FT26">
        <v>-0.01</v>
      </c>
      <c r="FU26">
        <v>-2.1999999999999999E-2</v>
      </c>
      <c r="FV26">
        <v>-7.242</v>
      </c>
      <c r="FW26">
        <v>-0.89100000000000001</v>
      </c>
      <c r="FX26">
        <v>435</v>
      </c>
      <c r="FY26">
        <v>23</v>
      </c>
      <c r="FZ26">
        <v>0.56999999999999995</v>
      </c>
      <c r="GA26">
        <v>0.19</v>
      </c>
      <c r="GB26">
        <v>420.13956666666672</v>
      </c>
      <c r="GC26">
        <v>-0.24563292547358301</v>
      </c>
      <c r="GD26">
        <v>5.6395439137889962E-2</v>
      </c>
      <c r="GE26">
        <v>-1</v>
      </c>
      <c r="GF26">
        <v>767.80058823529419</v>
      </c>
      <c r="GG26">
        <v>1.6343468287138121</v>
      </c>
      <c r="GH26">
        <v>0.35362984283561838</v>
      </c>
      <c r="GI26">
        <v>1</v>
      </c>
      <c r="GJ26">
        <v>1.4452910000000001</v>
      </c>
      <c r="GK26">
        <v>-0.87773606003752636</v>
      </c>
      <c r="GL26">
        <v>8.5461386391750035E-2</v>
      </c>
      <c r="GM26">
        <v>0</v>
      </c>
      <c r="GN26">
        <v>1</v>
      </c>
      <c r="GO26">
        <v>2</v>
      </c>
      <c r="GP26" t="s">
        <v>411</v>
      </c>
      <c r="GQ26">
        <v>3.1307999999999998</v>
      </c>
      <c r="GR26">
        <v>2.7357999999999998</v>
      </c>
      <c r="GS26">
        <v>9.0337799999999996E-2</v>
      </c>
      <c r="GT26">
        <v>9.2074400000000001E-2</v>
      </c>
      <c r="GU26">
        <v>0.114148</v>
      </c>
      <c r="GV26">
        <v>0.107514</v>
      </c>
      <c r="GW26">
        <v>22549.3</v>
      </c>
      <c r="GX26">
        <v>30177.3</v>
      </c>
      <c r="GY26">
        <v>26917.599999999999</v>
      </c>
      <c r="GZ26">
        <v>34219.800000000003</v>
      </c>
      <c r="HA26">
        <v>34971.300000000003</v>
      </c>
      <c r="HB26">
        <v>38651.5</v>
      </c>
      <c r="HC26">
        <v>39773</v>
      </c>
      <c r="HD26">
        <v>43375</v>
      </c>
      <c r="HE26">
        <v>1.9096</v>
      </c>
      <c r="HF26">
        <v>1.6637999999999999</v>
      </c>
      <c r="HG26">
        <v>-0.12925300000000001</v>
      </c>
      <c r="HH26">
        <v>0</v>
      </c>
      <c r="HI26">
        <v>30.1418</v>
      </c>
      <c r="HJ26">
        <v>999.9</v>
      </c>
      <c r="HK26">
        <v>37.200000000000003</v>
      </c>
      <c r="HL26">
        <v>42.6</v>
      </c>
      <c r="HM26">
        <v>32.348599999999998</v>
      </c>
      <c r="HN26">
        <v>61.296500000000002</v>
      </c>
      <c r="HO26">
        <v>4.1346100000000003</v>
      </c>
      <c r="HP26">
        <v>1</v>
      </c>
      <c r="HQ26">
        <v>1.1002400000000001</v>
      </c>
      <c r="HR26">
        <v>8.4206099999999999</v>
      </c>
      <c r="HS26">
        <v>20.045300000000001</v>
      </c>
      <c r="HT26">
        <v>5.2100999999999997</v>
      </c>
      <c r="HU26">
        <v>11.9201</v>
      </c>
      <c r="HV26">
        <v>4.9820000000000002</v>
      </c>
      <c r="HW26">
        <v>3.2709999999999999</v>
      </c>
      <c r="HX26">
        <v>9999</v>
      </c>
      <c r="HY26">
        <v>9999</v>
      </c>
      <c r="HZ26">
        <v>9999</v>
      </c>
      <c r="IA26">
        <v>999.9</v>
      </c>
      <c r="IB26">
        <v>1.86771</v>
      </c>
      <c r="IC26">
        <v>1.8633999999999999</v>
      </c>
      <c r="ID26">
        <v>1.8629500000000001</v>
      </c>
      <c r="IE26">
        <v>1.86249</v>
      </c>
      <c r="IF26">
        <v>1.86249</v>
      </c>
      <c r="IG26">
        <v>1.8629500000000001</v>
      </c>
      <c r="IH26">
        <v>1.86389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-7.1849999999999996</v>
      </c>
      <c r="IX26">
        <v>-0.84870000000000001</v>
      </c>
      <c r="IY26">
        <v>-5.1926395630069528</v>
      </c>
      <c r="IZ26">
        <v>-5.6215304933332991E-3</v>
      </c>
      <c r="JA26">
        <v>2.3979931213773931E-6</v>
      </c>
      <c r="JB26">
        <v>-3.6297174575716598E-10</v>
      </c>
      <c r="JC26">
        <v>-1.2733142228080661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1.2</v>
      </c>
      <c r="JL26">
        <v>1.2</v>
      </c>
      <c r="JM26">
        <v>1.1328100000000001</v>
      </c>
      <c r="JN26">
        <v>2.5659200000000002</v>
      </c>
      <c r="JO26">
        <v>1.50024</v>
      </c>
      <c r="JP26">
        <v>2.2680699999999998</v>
      </c>
      <c r="JQ26">
        <v>1.4477500000000001</v>
      </c>
      <c r="JR26">
        <v>2.3535200000000001</v>
      </c>
      <c r="JS26">
        <v>47.752800000000001</v>
      </c>
      <c r="JT26">
        <v>23.763500000000001</v>
      </c>
      <c r="JU26">
        <v>18</v>
      </c>
      <c r="JV26">
        <v>551.38699999999994</v>
      </c>
      <c r="JW26">
        <v>400.6</v>
      </c>
      <c r="JX26">
        <v>22.506799999999998</v>
      </c>
      <c r="JY26">
        <v>40.006799999999998</v>
      </c>
      <c r="JZ26">
        <v>30.0001</v>
      </c>
      <c r="KA26">
        <v>40.186900000000001</v>
      </c>
      <c r="KB26">
        <v>40.209400000000002</v>
      </c>
      <c r="KC26">
        <v>22.651800000000001</v>
      </c>
      <c r="KD26">
        <v>33.409700000000001</v>
      </c>
      <c r="KE26">
        <v>0</v>
      </c>
      <c r="KF26">
        <v>22.52</v>
      </c>
      <c r="KG26">
        <v>433.74599999999998</v>
      </c>
      <c r="KH26">
        <v>23.1616</v>
      </c>
      <c r="KI26">
        <v>99.379199999999997</v>
      </c>
      <c r="KJ26">
        <v>97.630899999999997</v>
      </c>
    </row>
    <row r="27" spans="1:296" x14ac:dyDescent="0.3">
      <c r="A27">
        <v>11</v>
      </c>
      <c r="B27">
        <v>1784654688.0999999</v>
      </c>
      <c r="C27">
        <v>1896.5</v>
      </c>
      <c r="D27" t="s">
        <v>883</v>
      </c>
      <c r="E27" t="s">
        <v>884</v>
      </c>
      <c r="F27">
        <v>15</v>
      </c>
      <c r="H27">
        <v>1784654680.099999</v>
      </c>
      <c r="I27">
        <f t="shared" si="0"/>
        <v>5.7027737890919287E-4</v>
      </c>
      <c r="J27">
        <f t="shared" si="1"/>
        <v>0.57027737890919283</v>
      </c>
      <c r="K27">
        <f t="shared" si="2"/>
        <v>3.6698423478156799</v>
      </c>
      <c r="L27">
        <f t="shared" si="3"/>
        <v>420.10235483870969</v>
      </c>
      <c r="M27">
        <f t="shared" si="4"/>
        <v>262.70495987001675</v>
      </c>
      <c r="N27">
        <f t="shared" si="5"/>
        <v>25.71517602625293</v>
      </c>
      <c r="O27">
        <f t="shared" si="6"/>
        <v>41.122200391899668</v>
      </c>
      <c r="P27">
        <f t="shared" si="7"/>
        <v>3.9539803685619455E-2</v>
      </c>
      <c r="Q27">
        <f t="shared" si="8"/>
        <v>2.891345924179805</v>
      </c>
      <c r="R27">
        <f t="shared" si="9"/>
        <v>3.9241849852082497E-2</v>
      </c>
      <c r="S27">
        <f t="shared" si="10"/>
        <v>2.4552738826779247E-2</v>
      </c>
      <c r="T27">
        <f t="shared" si="11"/>
        <v>16.506549966113816</v>
      </c>
      <c r="U27">
        <f t="shared" si="12"/>
        <v>27.450611041931811</v>
      </c>
      <c r="V27">
        <f t="shared" si="13"/>
        <v>27.980145161290331</v>
      </c>
      <c r="W27">
        <f t="shared" si="14"/>
        <v>3.7904494877535182</v>
      </c>
      <c r="X27">
        <f t="shared" si="15"/>
        <v>65.46241177627185</v>
      </c>
      <c r="Y27">
        <f t="shared" si="16"/>
        <v>2.4130065387478274</v>
      </c>
      <c r="Z27">
        <f t="shared" si="17"/>
        <v>3.6860947729739308</v>
      </c>
      <c r="AA27">
        <f t="shared" si="18"/>
        <v>1.3774429490056908</v>
      </c>
      <c r="AB27">
        <f t="shared" si="19"/>
        <v>-25.149232409895404</v>
      </c>
      <c r="AC27">
        <f t="shared" si="20"/>
        <v>-74.503262590495538</v>
      </c>
      <c r="AD27">
        <f t="shared" si="21"/>
        <v>-5.6022870485876428</v>
      </c>
      <c r="AE27">
        <f t="shared" si="22"/>
        <v>-88.748232082864774</v>
      </c>
      <c r="AF27">
        <f t="shared" si="23"/>
        <v>3.6698423478156799</v>
      </c>
      <c r="AG27">
        <f t="shared" si="24"/>
        <v>0.57027737890919283</v>
      </c>
      <c r="AH27">
        <f t="shared" si="25"/>
        <v>3.9630193900881534</v>
      </c>
      <c r="AI27">
        <v>435.14655023526961</v>
      </c>
      <c r="AJ27">
        <v>430.55350909090902</v>
      </c>
      <c r="AK27">
        <v>-5.3223211211558007E-2</v>
      </c>
      <c r="AL27">
        <v>67.090150765843234</v>
      </c>
      <c r="AM27">
        <f t="shared" si="26"/>
        <v>0.58583018838769152</v>
      </c>
      <c r="AN27">
        <v>23.982439244891779</v>
      </c>
      <c r="AO27">
        <v>24.667294545454538</v>
      </c>
      <c r="AP27">
        <v>1.313873428157758E-4</v>
      </c>
      <c r="AQ27">
        <v>78.55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51647.328951596872</v>
      </c>
      <c r="AW27" t="s">
        <v>841</v>
      </c>
      <c r="AX27">
        <v>5083.33</v>
      </c>
      <c r="AY27">
        <v>594.90294117647056</v>
      </c>
      <c r="AZ27">
        <v>2493.0500000000002</v>
      </c>
      <c r="BA27">
        <f t="shared" si="30"/>
        <v>0.76137544727283024</v>
      </c>
      <c r="BB27">
        <v>-2.1570306834497912</v>
      </c>
      <c r="BC27" t="s">
        <v>885</v>
      </c>
      <c r="BD27">
        <v>5081.9399999999996</v>
      </c>
      <c r="BE27">
        <v>738.1747058823529</v>
      </c>
      <c r="BF27">
        <v>2056.8200000000002</v>
      </c>
      <c r="BG27">
        <f t="shared" si="31"/>
        <v>0.64110874754117875</v>
      </c>
      <c r="BH27">
        <v>0.5</v>
      </c>
      <c r="BI27">
        <f t="shared" si="32"/>
        <v>84.265748936478829</v>
      </c>
      <c r="BJ27">
        <f t="shared" si="33"/>
        <v>3.6698423478156799</v>
      </c>
      <c r="BK27">
        <f t="shared" si="34"/>
        <v>27.011754380642678</v>
      </c>
      <c r="BL27">
        <f t="shared" si="35"/>
        <v>6.9148771651669313E-2</v>
      </c>
      <c r="BM27">
        <f t="shared" si="36"/>
        <v>0.21208953627444307</v>
      </c>
      <c r="BN27">
        <f t="shared" si="37"/>
        <v>566.24539172351729</v>
      </c>
      <c r="BO27" t="s">
        <v>408</v>
      </c>
      <c r="BP27">
        <v>0</v>
      </c>
      <c r="BQ27">
        <f t="shared" si="38"/>
        <v>566.24539172351729</v>
      </c>
      <c r="BR27">
        <f t="shared" si="39"/>
        <v>0.72469861644503786</v>
      </c>
      <c r="BS27">
        <f t="shared" si="40"/>
        <v>0.8846556802965847</v>
      </c>
      <c r="BT27">
        <f t="shared" si="41"/>
        <v>0.2264007456314969</v>
      </c>
      <c r="BU27">
        <f t="shared" si="42"/>
        <v>0.9019973370984673</v>
      </c>
      <c r="BV27">
        <f t="shared" si="43"/>
        <v>0.22981886359762613</v>
      </c>
      <c r="BW27">
        <f t="shared" si="44"/>
        <v>0.67860927533570992</v>
      </c>
      <c r="BX27">
        <f t="shared" si="45"/>
        <v>0.32139072466429008</v>
      </c>
      <c r="DG27">
        <f t="shared" si="46"/>
        <v>99.976974193548386</v>
      </c>
      <c r="DH27">
        <f t="shared" si="47"/>
        <v>84.265748936478829</v>
      </c>
      <c r="DI27">
        <f t="shared" si="48"/>
        <v>0.84285156273429784</v>
      </c>
      <c r="DJ27">
        <f t="shared" si="49"/>
        <v>0.1651035160771949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1784654680.099999</v>
      </c>
      <c r="DQ27">
        <v>420.10235483870969</v>
      </c>
      <c r="DR27">
        <v>424.79370967741937</v>
      </c>
      <c r="DS27">
        <v>24.651154838709679</v>
      </c>
      <c r="DT27">
        <v>23.983683870967742</v>
      </c>
      <c r="DU27">
        <v>427.27677419354831</v>
      </c>
      <c r="DV27">
        <v>25.506409677419359</v>
      </c>
      <c r="DW27">
        <v>499.9942258064516</v>
      </c>
      <c r="DX27">
        <v>97.82706129032259</v>
      </c>
      <c r="DY27">
        <v>5.9084593548387097E-2</v>
      </c>
      <c r="DZ27">
        <v>27.50218709677419</v>
      </c>
      <c r="EA27">
        <v>27.980145161290331</v>
      </c>
      <c r="EB27">
        <v>999.90000000000032</v>
      </c>
      <c r="EC27">
        <v>0</v>
      </c>
      <c r="ED27">
        <v>0</v>
      </c>
      <c r="EE27">
        <v>10001.129032258061</v>
      </c>
      <c r="EF27">
        <v>0</v>
      </c>
      <c r="EG27">
        <v>1486.658709677419</v>
      </c>
      <c r="EH27">
        <v>-4.6913419354838712</v>
      </c>
      <c r="EI27">
        <v>430.72012903225811</v>
      </c>
      <c r="EJ27">
        <v>435.23209677419368</v>
      </c>
      <c r="EK27">
        <v>0.66746832258064526</v>
      </c>
      <c r="EL27">
        <v>424.79370967741937</v>
      </c>
      <c r="EM27">
        <v>23.983683870967742</v>
      </c>
      <c r="EN27">
        <v>2.411550000000001</v>
      </c>
      <c r="EO27">
        <v>2.3462541935483872</v>
      </c>
      <c r="EP27">
        <v>20.44154838709677</v>
      </c>
      <c r="EQ27">
        <v>19.99752258064516</v>
      </c>
      <c r="ER27">
        <v>99.976974193548386</v>
      </c>
      <c r="ES27">
        <v>0.89995203225806442</v>
      </c>
      <c r="ET27">
        <v>0.1000480516129033</v>
      </c>
      <c r="EU27">
        <v>0</v>
      </c>
      <c r="EV27">
        <v>738.15861290322584</v>
      </c>
      <c r="EW27">
        <v>5.0010700000000003</v>
      </c>
      <c r="EX27">
        <v>3786.2764516129041</v>
      </c>
      <c r="EY27">
        <v>836.35222580645166</v>
      </c>
      <c r="EZ27">
        <v>41.459354838709658</v>
      </c>
      <c r="FA27">
        <v>45.572161290322548</v>
      </c>
      <c r="FB27">
        <v>43.658999999999999</v>
      </c>
      <c r="FC27">
        <v>45.408999999999999</v>
      </c>
      <c r="FD27">
        <v>43.455290322580623</v>
      </c>
      <c r="FE27">
        <v>85.474838709677414</v>
      </c>
      <c r="FF27">
        <v>9.5032258064516117</v>
      </c>
      <c r="FG27">
        <v>0</v>
      </c>
      <c r="FH27">
        <v>181.80000019073489</v>
      </c>
      <c r="FI27">
        <v>0</v>
      </c>
      <c r="FJ27">
        <v>738.1747058823529</v>
      </c>
      <c r="FK27">
        <v>5.384558844724264</v>
      </c>
      <c r="FL27">
        <v>1665.654420500568</v>
      </c>
      <c r="FM27">
        <v>3794.5388235294122</v>
      </c>
      <c r="FN27">
        <v>10</v>
      </c>
      <c r="FO27">
        <v>1784654613</v>
      </c>
      <c r="FP27" t="s">
        <v>886</v>
      </c>
      <c r="FQ27">
        <v>1784654613</v>
      </c>
      <c r="FR27">
        <v>1784654612.5</v>
      </c>
      <c r="FS27">
        <v>37</v>
      </c>
      <c r="FT27">
        <v>1.0999999999999999E-2</v>
      </c>
      <c r="FU27">
        <v>-1.6E-2</v>
      </c>
      <c r="FV27">
        <v>-7.1959999999999997</v>
      </c>
      <c r="FW27">
        <v>-0.89200000000000002</v>
      </c>
      <c r="FX27">
        <v>426</v>
      </c>
      <c r="FY27">
        <v>23</v>
      </c>
      <c r="FZ27">
        <v>1.66</v>
      </c>
      <c r="GA27">
        <v>0.36</v>
      </c>
      <c r="GB27">
        <v>420.10235483870969</v>
      </c>
      <c r="GC27">
        <v>-0.59419354838809235</v>
      </c>
      <c r="GD27">
        <v>6.3520150923639787E-2</v>
      </c>
      <c r="GE27">
        <v>-1</v>
      </c>
      <c r="GF27">
        <v>738.08676470588227</v>
      </c>
      <c r="GG27">
        <v>1.5272421755456891</v>
      </c>
      <c r="GH27">
        <v>0.32097013410846392</v>
      </c>
      <c r="GI27">
        <v>1</v>
      </c>
      <c r="GJ27">
        <v>0.66049824390243905</v>
      </c>
      <c r="GK27">
        <v>0.16428242508710819</v>
      </c>
      <c r="GL27">
        <v>1.654140502154677E-2</v>
      </c>
      <c r="GM27">
        <v>1</v>
      </c>
      <c r="GN27">
        <v>2</v>
      </c>
      <c r="GO27">
        <v>2</v>
      </c>
      <c r="GP27" t="s">
        <v>424</v>
      </c>
      <c r="GQ27">
        <v>3.13104</v>
      </c>
      <c r="GR27">
        <v>2.7356699999999998</v>
      </c>
      <c r="GS27">
        <v>9.03616E-2</v>
      </c>
      <c r="GT27">
        <v>9.0646599999999994E-2</v>
      </c>
      <c r="GU27">
        <v>0.11530899999999999</v>
      </c>
      <c r="GV27">
        <v>0.110698</v>
      </c>
      <c r="GW27">
        <v>22551.1</v>
      </c>
      <c r="GX27">
        <v>30226.3</v>
      </c>
      <c r="GY27">
        <v>26920.3</v>
      </c>
      <c r="GZ27">
        <v>34221.300000000003</v>
      </c>
      <c r="HA27">
        <v>34929.199999999997</v>
      </c>
      <c r="HB27">
        <v>38518.699999999997</v>
      </c>
      <c r="HC27">
        <v>39776.6</v>
      </c>
      <c r="HD27">
        <v>43380.1</v>
      </c>
      <c r="HE27">
        <v>1.9101999999999999</v>
      </c>
      <c r="HF27">
        <v>1.6637999999999999</v>
      </c>
      <c r="HG27">
        <v>-0.12665999999999999</v>
      </c>
      <c r="HH27">
        <v>0</v>
      </c>
      <c r="HI27">
        <v>30.0505</v>
      </c>
      <c r="HJ27">
        <v>999.9</v>
      </c>
      <c r="HK27">
        <v>37</v>
      </c>
      <c r="HL27">
        <v>42.7</v>
      </c>
      <c r="HM27">
        <v>32.345799999999997</v>
      </c>
      <c r="HN27">
        <v>61.372999999999998</v>
      </c>
      <c r="HO27">
        <v>3.98638</v>
      </c>
      <c r="HP27">
        <v>1</v>
      </c>
      <c r="HQ27">
        <v>1.09494</v>
      </c>
      <c r="HR27">
        <v>8.0511300000000006</v>
      </c>
      <c r="HS27">
        <v>20.063700000000001</v>
      </c>
      <c r="HT27">
        <v>5.2100999999999997</v>
      </c>
      <c r="HU27">
        <v>11.9201</v>
      </c>
      <c r="HV27">
        <v>4.9828000000000001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1.86774</v>
      </c>
      <c r="IC27">
        <v>1.8634299999999999</v>
      </c>
      <c r="ID27">
        <v>1.8629500000000001</v>
      </c>
      <c r="IE27">
        <v>1.86249</v>
      </c>
      <c r="IF27">
        <v>1.86249</v>
      </c>
      <c r="IG27">
        <v>1.8630100000000001</v>
      </c>
      <c r="IH27">
        <v>1.86389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-7.1749999999999998</v>
      </c>
      <c r="IX27">
        <v>-0.85470000000000002</v>
      </c>
      <c r="IY27">
        <v>-5.1819640759794616</v>
      </c>
      <c r="IZ27">
        <v>-5.6215304933332991E-3</v>
      </c>
      <c r="JA27">
        <v>2.3979931213773931E-6</v>
      </c>
      <c r="JB27">
        <v>-3.6297174575716598E-10</v>
      </c>
      <c r="JC27">
        <v>-1.2896779562476619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1.3</v>
      </c>
      <c r="JL27">
        <v>1.3</v>
      </c>
      <c r="JM27">
        <v>1.1145</v>
      </c>
      <c r="JN27">
        <v>2.5647000000000002</v>
      </c>
      <c r="JO27">
        <v>1.50024</v>
      </c>
      <c r="JP27">
        <v>2.2680699999999998</v>
      </c>
      <c r="JQ27">
        <v>1.4477500000000001</v>
      </c>
      <c r="JR27">
        <v>2.4401899999999999</v>
      </c>
      <c r="JS27">
        <v>47.904299999999999</v>
      </c>
      <c r="JT27">
        <v>23.772300000000001</v>
      </c>
      <c r="JU27">
        <v>18</v>
      </c>
      <c r="JV27">
        <v>551.923</v>
      </c>
      <c r="JW27">
        <v>400.68599999999998</v>
      </c>
      <c r="JX27">
        <v>22.592199999999998</v>
      </c>
      <c r="JY27">
        <v>39.991900000000001</v>
      </c>
      <c r="JZ27">
        <v>29.9998</v>
      </c>
      <c r="KA27">
        <v>40.202399999999997</v>
      </c>
      <c r="KB27">
        <v>40.224800000000002</v>
      </c>
      <c r="KC27">
        <v>22.290800000000001</v>
      </c>
      <c r="KD27">
        <v>31.810300000000002</v>
      </c>
      <c r="KE27">
        <v>0</v>
      </c>
      <c r="KF27">
        <v>22.594100000000001</v>
      </c>
      <c r="KG27">
        <v>424.81200000000001</v>
      </c>
      <c r="KH27">
        <v>23.883099999999999</v>
      </c>
      <c r="KI27">
        <v>99.388599999999997</v>
      </c>
      <c r="KJ27">
        <v>97.638999999999996</v>
      </c>
    </row>
    <row r="28" spans="1:296" x14ac:dyDescent="0.3">
      <c r="A28">
        <v>12</v>
      </c>
      <c r="B28">
        <v>1784654870.5999999</v>
      </c>
      <c r="C28">
        <v>2079</v>
      </c>
      <c r="D28" t="s">
        <v>887</v>
      </c>
      <c r="E28" t="s">
        <v>888</v>
      </c>
      <c r="F28">
        <v>15</v>
      </c>
      <c r="H28">
        <v>1784654862.599999</v>
      </c>
      <c r="I28">
        <f t="shared" si="0"/>
        <v>3.17813118457299E-4</v>
      </c>
      <c r="J28">
        <f t="shared" si="1"/>
        <v>0.31781311845729898</v>
      </c>
      <c r="K28">
        <f t="shared" si="2"/>
        <v>0.85051532536533214</v>
      </c>
      <c r="L28">
        <f t="shared" si="3"/>
        <v>420.00461290322579</v>
      </c>
      <c r="M28">
        <f t="shared" si="4"/>
        <v>347.95180934538183</v>
      </c>
      <c r="N28">
        <f t="shared" si="5"/>
        <v>34.061681269885348</v>
      </c>
      <c r="O28">
        <f t="shared" si="6"/>
        <v>41.115070743577753</v>
      </c>
      <c r="P28">
        <f t="shared" si="7"/>
        <v>2.1673336698020292E-2</v>
      </c>
      <c r="Q28">
        <f t="shared" si="8"/>
        <v>2.8914464207763886</v>
      </c>
      <c r="R28">
        <f t="shared" si="9"/>
        <v>2.1583487229304161E-2</v>
      </c>
      <c r="S28">
        <f t="shared" si="10"/>
        <v>1.3497720977389036E-2</v>
      </c>
      <c r="T28">
        <f t="shared" si="11"/>
        <v>8.240918125959114</v>
      </c>
      <c r="U28">
        <f t="shared" si="12"/>
        <v>27.493179702111647</v>
      </c>
      <c r="V28">
        <f t="shared" si="13"/>
        <v>28.021487096774202</v>
      </c>
      <c r="W28">
        <f t="shared" si="14"/>
        <v>3.7995957848351116</v>
      </c>
      <c r="X28">
        <f t="shared" si="15"/>
        <v>65.116312738863883</v>
      </c>
      <c r="Y28">
        <f t="shared" si="16"/>
        <v>2.403825892723304</v>
      </c>
      <c r="Z28">
        <f t="shared" si="17"/>
        <v>3.6915878550485086</v>
      </c>
      <c r="AA28">
        <f t="shared" si="18"/>
        <v>1.3957698921118076</v>
      </c>
      <c r="AB28">
        <f t="shared" si="19"/>
        <v>-14.015558523966886</v>
      </c>
      <c r="AC28">
        <f t="shared" si="20"/>
        <v>-76.982893787656735</v>
      </c>
      <c r="AD28">
        <f t="shared" si="21"/>
        <v>-5.7904710756743656</v>
      </c>
      <c r="AE28">
        <f t="shared" si="22"/>
        <v>-88.548005261338872</v>
      </c>
      <c r="AF28">
        <f t="shared" si="23"/>
        <v>0.85051532536533214</v>
      </c>
      <c r="AG28">
        <f t="shared" si="24"/>
        <v>0.31781311845729898</v>
      </c>
      <c r="AH28">
        <f t="shared" si="25"/>
        <v>0.74112337911267345</v>
      </c>
      <c r="AI28">
        <v>431.76772029567991</v>
      </c>
      <c r="AJ28">
        <v>430.66505454545438</v>
      </c>
      <c r="AK28">
        <v>3.6428688795490549E-2</v>
      </c>
      <c r="AL28">
        <v>67.091286802110616</v>
      </c>
      <c r="AM28">
        <f t="shared" si="26"/>
        <v>0.30190597971792166</v>
      </c>
      <c r="AN28">
        <v>24.182760818311689</v>
      </c>
      <c r="AO28">
        <v>24.537356969696958</v>
      </c>
      <c r="AP28">
        <v>-1.9610293410327271E-4</v>
      </c>
      <c r="AQ28">
        <v>78.55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51645.93503531217</v>
      </c>
      <c r="AW28" t="s">
        <v>841</v>
      </c>
      <c r="AX28">
        <v>5083.33</v>
      </c>
      <c r="AY28">
        <v>594.90294117647056</v>
      </c>
      <c r="AZ28">
        <v>2493.0500000000002</v>
      </c>
      <c r="BA28">
        <f t="shared" si="30"/>
        <v>0.76137544727283024</v>
      </c>
      <c r="BB28">
        <v>-2.1570306834497912</v>
      </c>
      <c r="BC28" t="s">
        <v>889</v>
      </c>
      <c r="BD28">
        <v>5077.7</v>
      </c>
      <c r="BE28">
        <v>715.89052941176476</v>
      </c>
      <c r="BF28">
        <v>2112.77</v>
      </c>
      <c r="BG28">
        <f t="shared" si="31"/>
        <v>0.66116021648747147</v>
      </c>
      <c r="BH28">
        <v>0.5</v>
      </c>
      <c r="BI28">
        <f t="shared" si="32"/>
        <v>42.137516400212796</v>
      </c>
      <c r="BJ28">
        <f t="shared" si="33"/>
        <v>0.85051532536533214</v>
      </c>
      <c r="BK28">
        <f t="shared" si="34"/>
        <v>13.929824732704535</v>
      </c>
      <c r="BL28">
        <f t="shared" si="35"/>
        <v>7.1374543773537039E-2</v>
      </c>
      <c r="BM28">
        <f t="shared" si="36"/>
        <v>0.17999119639146721</v>
      </c>
      <c r="BN28">
        <f t="shared" si="37"/>
        <v>570.40391137590245</v>
      </c>
      <c r="BO28" t="s">
        <v>408</v>
      </c>
      <c r="BP28">
        <v>0</v>
      </c>
      <c r="BQ28">
        <f t="shared" si="38"/>
        <v>570.40391137590245</v>
      </c>
      <c r="BR28">
        <f t="shared" si="39"/>
        <v>0.73002082035626104</v>
      </c>
      <c r="BS28">
        <f t="shared" si="40"/>
        <v>0.90567309596021583</v>
      </c>
      <c r="BT28">
        <f t="shared" si="41"/>
        <v>0.197789911648347</v>
      </c>
      <c r="BU28">
        <f t="shared" si="42"/>
        <v>0.920291050832166</v>
      </c>
      <c r="BV28">
        <f t="shared" si="43"/>
        <v>0.20034274912065952</v>
      </c>
      <c r="BW28">
        <f t="shared" si="44"/>
        <v>0.72161797808403938</v>
      </c>
      <c r="BX28">
        <f t="shared" si="45"/>
        <v>0.27838202191596062</v>
      </c>
      <c r="DG28">
        <f t="shared" si="46"/>
        <v>50.003070967741927</v>
      </c>
      <c r="DH28">
        <f t="shared" si="47"/>
        <v>42.137516400212796</v>
      </c>
      <c r="DI28">
        <f t="shared" si="48"/>
        <v>0.84269857000176307</v>
      </c>
      <c r="DJ28">
        <f t="shared" si="49"/>
        <v>0.16480824010340306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1784654862.599999</v>
      </c>
      <c r="DQ28">
        <v>420.00461290322579</v>
      </c>
      <c r="DR28">
        <v>421.18538709677421</v>
      </c>
      <c r="DS28">
        <v>24.555909677419361</v>
      </c>
      <c r="DT28">
        <v>24.183906451612899</v>
      </c>
      <c r="DU28">
        <v>427.1838064516129</v>
      </c>
      <c r="DV28">
        <v>25.416012903225809</v>
      </c>
      <c r="DW28">
        <v>500.01006451612909</v>
      </c>
      <c r="DX28">
        <v>97.832706451612893</v>
      </c>
      <c r="DY28">
        <v>5.9243970967741928E-2</v>
      </c>
      <c r="DZ28">
        <v>27.527638709677412</v>
      </c>
      <c r="EA28">
        <v>28.021487096774202</v>
      </c>
      <c r="EB28">
        <v>999.90000000000032</v>
      </c>
      <c r="EC28">
        <v>0</v>
      </c>
      <c r="ED28">
        <v>0</v>
      </c>
      <c r="EE28">
        <v>10001.129032258061</v>
      </c>
      <c r="EF28">
        <v>0</v>
      </c>
      <c r="EG28">
        <v>1552.6816129032261</v>
      </c>
      <c r="EH28">
        <v>-1.1808575483870969</v>
      </c>
      <c r="EI28">
        <v>430.57770967741942</v>
      </c>
      <c r="EJ28">
        <v>431.62361290322588</v>
      </c>
      <c r="EK28">
        <v>0.37200809677419372</v>
      </c>
      <c r="EL28">
        <v>421.18538709677421</v>
      </c>
      <c r="EM28">
        <v>24.183906451612899</v>
      </c>
      <c r="EN28">
        <v>2.402371612903226</v>
      </c>
      <c r="EO28">
        <v>2.3659770967741931</v>
      </c>
      <c r="EP28">
        <v>20.37976129032258</v>
      </c>
      <c r="EQ28">
        <v>20.132774193548379</v>
      </c>
      <c r="ER28">
        <v>50.003070967741927</v>
      </c>
      <c r="ES28">
        <v>0.90001906451612923</v>
      </c>
      <c r="ET28">
        <v>9.9981109677419341E-2</v>
      </c>
      <c r="EU28">
        <v>0</v>
      </c>
      <c r="EV28">
        <v>716.01235483870971</v>
      </c>
      <c r="EW28">
        <v>5.0010700000000003</v>
      </c>
      <c r="EX28">
        <v>3493.1212903225801</v>
      </c>
      <c r="EY28">
        <v>396.2956129032259</v>
      </c>
      <c r="EZ28">
        <v>41.186999999999983</v>
      </c>
      <c r="FA28">
        <v>45.5</v>
      </c>
      <c r="FB28">
        <v>43.445129032258038</v>
      </c>
      <c r="FC28">
        <v>45.307999999999979</v>
      </c>
      <c r="FD28">
        <v>43.25</v>
      </c>
      <c r="FE28">
        <v>40.502580645161302</v>
      </c>
      <c r="FF28">
        <v>4.4977419354838712</v>
      </c>
      <c r="FG28">
        <v>0</v>
      </c>
      <c r="FH28">
        <v>182</v>
      </c>
      <c r="FI28">
        <v>0</v>
      </c>
      <c r="FJ28">
        <v>715.89052941176476</v>
      </c>
      <c r="FK28">
        <v>-4.1379901682333369</v>
      </c>
      <c r="FL28">
        <v>119.9436248176559</v>
      </c>
      <c r="FM28">
        <v>3512.108235294118</v>
      </c>
      <c r="FN28">
        <v>10</v>
      </c>
      <c r="FO28">
        <v>1784654792.0999999</v>
      </c>
      <c r="FP28" t="s">
        <v>890</v>
      </c>
      <c r="FQ28">
        <v>1784654790.0999999</v>
      </c>
      <c r="FR28">
        <v>1784654792.0999999</v>
      </c>
      <c r="FS28">
        <v>38</v>
      </c>
      <c r="FT28">
        <v>-5.0000000000000001E-3</v>
      </c>
      <c r="FU28">
        <v>-2E-3</v>
      </c>
      <c r="FV28">
        <v>-7.1859999999999999</v>
      </c>
      <c r="FW28">
        <v>-0.88600000000000001</v>
      </c>
      <c r="FX28">
        <v>422</v>
      </c>
      <c r="FY28">
        <v>24</v>
      </c>
      <c r="FZ28">
        <v>1.66</v>
      </c>
      <c r="GA28">
        <v>0.34</v>
      </c>
      <c r="GB28">
        <v>420.00051612903229</v>
      </c>
      <c r="GC28">
        <v>0.2813709677400883</v>
      </c>
      <c r="GD28">
        <v>4.9187508883627683E-2</v>
      </c>
      <c r="GE28">
        <v>-1</v>
      </c>
      <c r="GF28">
        <v>716.01117647058811</v>
      </c>
      <c r="GG28">
        <v>-0.56913674555203664</v>
      </c>
      <c r="GH28">
        <v>0.25014871701217772</v>
      </c>
      <c r="GI28">
        <v>1</v>
      </c>
      <c r="GJ28">
        <v>0.37436958536585357</v>
      </c>
      <c r="GK28">
        <v>-5.8463916376305547E-2</v>
      </c>
      <c r="GL28">
        <v>7.6943586143755367E-3</v>
      </c>
      <c r="GM28">
        <v>1</v>
      </c>
      <c r="GN28">
        <v>2</v>
      </c>
      <c r="GO28">
        <v>2</v>
      </c>
      <c r="GP28" t="s">
        <v>424</v>
      </c>
      <c r="GQ28">
        <v>3.1308400000000001</v>
      </c>
      <c r="GR28">
        <v>2.7353999999999998</v>
      </c>
      <c r="GS28">
        <v>9.0345499999999995E-2</v>
      </c>
      <c r="GT28">
        <v>9.00701E-2</v>
      </c>
      <c r="GU28">
        <v>0.114916</v>
      </c>
      <c r="GV28">
        <v>0.111357</v>
      </c>
      <c r="GW28">
        <v>22552.3</v>
      </c>
      <c r="GX28">
        <v>30248.7</v>
      </c>
      <c r="GY28">
        <v>26921</v>
      </c>
      <c r="GZ28">
        <v>34224.6</v>
      </c>
      <c r="HA28">
        <v>34945.9</v>
      </c>
      <c r="HB28">
        <v>38493.199999999997</v>
      </c>
      <c r="HC28">
        <v>39778.400000000001</v>
      </c>
      <c r="HD28">
        <v>43383.5</v>
      </c>
      <c r="HE28">
        <v>1.9097999999999999</v>
      </c>
      <c r="HF28">
        <v>1.6644000000000001</v>
      </c>
      <c r="HG28">
        <v>-0.127584</v>
      </c>
      <c r="HH28">
        <v>0</v>
      </c>
      <c r="HI28">
        <v>30.090599999999998</v>
      </c>
      <c r="HJ28">
        <v>999.9</v>
      </c>
      <c r="HK28">
        <v>36.799999999999997</v>
      </c>
      <c r="HL28">
        <v>42.8</v>
      </c>
      <c r="HM28">
        <v>32.338799999999999</v>
      </c>
      <c r="HN28">
        <v>61.323</v>
      </c>
      <c r="HO28">
        <v>4.1426299999999996</v>
      </c>
      <c r="HP28">
        <v>1</v>
      </c>
      <c r="HQ28">
        <v>1.0908100000000001</v>
      </c>
      <c r="HR28">
        <v>8.1786899999999996</v>
      </c>
      <c r="HS28">
        <v>20.057099999999998</v>
      </c>
      <c r="HT28">
        <v>5.2100999999999997</v>
      </c>
      <c r="HU28">
        <v>11.9201</v>
      </c>
      <c r="HV28">
        <v>4.9820000000000002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1.86768</v>
      </c>
      <c r="IC28">
        <v>1.8634599999999999</v>
      </c>
      <c r="ID28">
        <v>1.8629500000000001</v>
      </c>
      <c r="IE28">
        <v>1.86249</v>
      </c>
      <c r="IF28">
        <v>1.86249</v>
      </c>
      <c r="IG28">
        <v>1.8629500000000001</v>
      </c>
      <c r="IH28">
        <v>1.86392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-7.1790000000000003</v>
      </c>
      <c r="IX28">
        <v>-0.86060000000000003</v>
      </c>
      <c r="IY28">
        <v>-5.1871937145314586</v>
      </c>
      <c r="IZ28">
        <v>-5.6215304933332991E-3</v>
      </c>
      <c r="JA28">
        <v>2.3979931213773931E-6</v>
      </c>
      <c r="JB28">
        <v>-3.6297174575716598E-10</v>
      </c>
      <c r="JC28">
        <v>-1.291951213916525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1.3</v>
      </c>
      <c r="JL28">
        <v>1.3</v>
      </c>
      <c r="JM28">
        <v>1.1071800000000001</v>
      </c>
      <c r="JN28">
        <v>2.5573700000000001</v>
      </c>
      <c r="JO28">
        <v>1.50024</v>
      </c>
      <c r="JP28">
        <v>2.2680699999999998</v>
      </c>
      <c r="JQ28">
        <v>1.4477500000000001</v>
      </c>
      <c r="JR28">
        <v>2.49146</v>
      </c>
      <c r="JS28">
        <v>48.0259</v>
      </c>
      <c r="JT28">
        <v>23.772300000000001</v>
      </c>
      <c r="JU28">
        <v>18</v>
      </c>
      <c r="JV28">
        <v>551.49800000000005</v>
      </c>
      <c r="JW28">
        <v>401.00700000000001</v>
      </c>
      <c r="JX28">
        <v>22.697199999999999</v>
      </c>
      <c r="JY28">
        <v>39.936700000000002</v>
      </c>
      <c r="JZ28">
        <v>30.000599999999999</v>
      </c>
      <c r="KA28">
        <v>40.183100000000003</v>
      </c>
      <c r="KB28">
        <v>40.217100000000002</v>
      </c>
      <c r="KC28">
        <v>22.139399999999998</v>
      </c>
      <c r="KD28">
        <v>31.121600000000001</v>
      </c>
      <c r="KE28">
        <v>0</v>
      </c>
      <c r="KF28">
        <v>22.674399999999999</v>
      </c>
      <c r="KG28">
        <v>421.142</v>
      </c>
      <c r="KH28">
        <v>24.148</v>
      </c>
      <c r="KI28">
        <v>99.392399999999995</v>
      </c>
      <c r="KJ28">
        <v>97.647499999999994</v>
      </c>
    </row>
    <row r="29" spans="1:296" x14ac:dyDescent="0.3">
      <c r="A29">
        <v>13</v>
      </c>
      <c r="B29">
        <v>1784655053.0999999</v>
      </c>
      <c r="C29">
        <v>2261.5</v>
      </c>
      <c r="D29" t="s">
        <v>891</v>
      </c>
      <c r="E29" t="s">
        <v>892</v>
      </c>
      <c r="F29">
        <v>15</v>
      </c>
      <c r="H29">
        <v>1784655045.099999</v>
      </c>
      <c r="I29">
        <f t="shared" si="0"/>
        <v>1.3675540668848691E-4</v>
      </c>
      <c r="J29">
        <f t="shared" si="1"/>
        <v>0.1367554066884869</v>
      </c>
      <c r="K29">
        <f t="shared" si="2"/>
        <v>-2.9825803340364248</v>
      </c>
      <c r="L29">
        <f t="shared" si="3"/>
        <v>420.03093548387102</v>
      </c>
      <c r="M29">
        <f t="shared" si="4"/>
        <v>913.60058656833439</v>
      </c>
      <c r="N29">
        <f t="shared" si="5"/>
        <v>89.436105920220953</v>
      </c>
      <c r="O29">
        <f t="shared" si="6"/>
        <v>41.118549821437938</v>
      </c>
      <c r="P29">
        <f t="shared" si="7"/>
        <v>9.3874662388446269E-3</v>
      </c>
      <c r="Q29">
        <f t="shared" si="8"/>
        <v>2.8910110970154568</v>
      </c>
      <c r="R29">
        <f t="shared" si="9"/>
        <v>9.3705645815154431E-3</v>
      </c>
      <c r="S29">
        <f t="shared" si="10"/>
        <v>5.8581188432029639E-3</v>
      </c>
      <c r="T29">
        <f t="shared" si="11"/>
        <v>1.5966703903835998E-4</v>
      </c>
      <c r="U29">
        <f t="shared" si="12"/>
        <v>27.425525343483429</v>
      </c>
      <c r="V29">
        <f t="shared" si="13"/>
        <v>27.950445161290322</v>
      </c>
      <c r="W29">
        <f t="shared" si="14"/>
        <v>3.7838906603543241</v>
      </c>
      <c r="X29">
        <f t="shared" si="15"/>
        <v>65.273849139970068</v>
      </c>
      <c r="Y29">
        <f t="shared" si="16"/>
        <v>2.4003364562163139</v>
      </c>
      <c r="Z29">
        <f t="shared" si="17"/>
        <v>3.6773324812960686</v>
      </c>
      <c r="AA29">
        <f t="shared" si="18"/>
        <v>1.3835542041380102</v>
      </c>
      <c r="AB29">
        <f t="shared" si="19"/>
        <v>-6.0309134349622724</v>
      </c>
      <c r="AC29">
        <f t="shared" si="20"/>
        <v>-76.20406921769694</v>
      </c>
      <c r="AD29">
        <f t="shared" si="21"/>
        <v>-5.7288322184083631</v>
      </c>
      <c r="AE29">
        <f t="shared" si="22"/>
        <v>-87.963655204028541</v>
      </c>
      <c r="AF29">
        <f t="shared" si="23"/>
        <v>-2.9825803340364248</v>
      </c>
      <c r="AG29">
        <f t="shared" si="24"/>
        <v>0.1367554066884869</v>
      </c>
      <c r="AH29">
        <f t="shared" si="25"/>
        <v>-3.0175348722991622</v>
      </c>
      <c r="AI29">
        <v>426.92497132125118</v>
      </c>
      <c r="AJ29">
        <v>430.60898787878801</v>
      </c>
      <c r="AK29">
        <v>5.2293136754050194E-3</v>
      </c>
      <c r="AL29">
        <v>67.080690996238573</v>
      </c>
      <c r="AM29">
        <f t="shared" si="26"/>
        <v>0.19729869731157751</v>
      </c>
      <c r="AN29">
        <v>24.36381857073594</v>
      </c>
      <c r="AO29">
        <v>24.563780000000001</v>
      </c>
      <c r="AP29">
        <v>5.0380952380898077E-3</v>
      </c>
      <c r="AQ29">
        <v>78.55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51644.967987236058</v>
      </c>
      <c r="AW29" t="s">
        <v>893</v>
      </c>
      <c r="AX29">
        <v>5077.41</v>
      </c>
      <c r="AY29">
        <v>602.75882352941187</v>
      </c>
      <c r="AZ29">
        <v>2440.0300000000002</v>
      </c>
      <c r="BA29">
        <f t="shared" si="30"/>
        <v>0.75297073251992319</v>
      </c>
      <c r="BB29">
        <v>-2.9825803340364718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-2.9825803340364248</v>
      </c>
      <c r="BK29" t="e">
        <f t="shared" si="34"/>
        <v>#DIV/0!</v>
      </c>
      <c r="BL29">
        <f t="shared" si="35"/>
        <v>5.6016299545903629E-11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1.3280728676576292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1784655045.099999</v>
      </c>
      <c r="DQ29">
        <v>420.03093548387102</v>
      </c>
      <c r="DR29">
        <v>416.52074193548401</v>
      </c>
      <c r="DS29">
        <v>24.519725806451611</v>
      </c>
      <c r="DT29">
        <v>24.359641935483879</v>
      </c>
      <c r="DU29">
        <v>427.1805161290323</v>
      </c>
      <c r="DV29">
        <v>25.38986774193549</v>
      </c>
      <c r="DW29">
        <v>499.9961612903225</v>
      </c>
      <c r="DX29">
        <v>97.835077419354832</v>
      </c>
      <c r="DY29">
        <v>5.9021200000000003E-2</v>
      </c>
      <c r="DZ29">
        <v>27.4615193548387</v>
      </c>
      <c r="EA29">
        <v>27.950445161290322</v>
      </c>
      <c r="EB29">
        <v>999.90000000000032</v>
      </c>
      <c r="EC29">
        <v>0</v>
      </c>
      <c r="ED29">
        <v>0</v>
      </c>
      <c r="EE29">
        <v>9998.3870967741932</v>
      </c>
      <c r="EF29">
        <v>0</v>
      </c>
      <c r="EG29">
        <v>1558.4164516129031</v>
      </c>
      <c r="EH29">
        <v>3.5100912903225798</v>
      </c>
      <c r="EI29">
        <v>430.58874193548388</v>
      </c>
      <c r="EJ29">
        <v>426.92045161290321</v>
      </c>
      <c r="EK29">
        <v>0.16009619354838711</v>
      </c>
      <c r="EL29">
        <v>416.52074193548401</v>
      </c>
      <c r="EM29">
        <v>24.359641935483879</v>
      </c>
      <c r="EN29">
        <v>2.3988890322580638</v>
      </c>
      <c r="EO29">
        <v>2.3832270967741929</v>
      </c>
      <c r="EP29">
        <v>20.356274193548391</v>
      </c>
      <c r="EQ29">
        <v>20.250241935483871</v>
      </c>
      <c r="ER29">
        <v>1.00021E-2</v>
      </c>
      <c r="ES29">
        <v>0</v>
      </c>
      <c r="ET29">
        <v>0</v>
      </c>
      <c r="EU29">
        <v>0</v>
      </c>
      <c r="EV29">
        <v>604.76612903225816</v>
      </c>
      <c r="EW29">
        <v>1.00021E-2</v>
      </c>
      <c r="EX29">
        <v>3232.295161290323</v>
      </c>
      <c r="EY29">
        <v>2.2838709677419349</v>
      </c>
      <c r="EZ29">
        <v>41.061999999999983</v>
      </c>
      <c r="FA29">
        <v>45.561999999999969</v>
      </c>
      <c r="FB29">
        <v>43.378999999999991</v>
      </c>
      <c r="FC29">
        <v>45.186999999999969</v>
      </c>
      <c r="FD29">
        <v>42.936999999999969</v>
      </c>
      <c r="FE29">
        <v>0</v>
      </c>
      <c r="FF29">
        <v>0</v>
      </c>
      <c r="FG29">
        <v>0</v>
      </c>
      <c r="FH29">
        <v>182.0999999046326</v>
      </c>
      <c r="FI29">
        <v>0</v>
      </c>
      <c r="FJ29">
        <v>602.75882352941187</v>
      </c>
      <c r="FK29">
        <v>-26.740195539979911</v>
      </c>
      <c r="FL29">
        <v>280.23284512845117</v>
      </c>
      <c r="FM29">
        <v>3240.8352941176472</v>
      </c>
      <c r="FN29">
        <v>10</v>
      </c>
      <c r="FO29">
        <v>1784654995.5999999</v>
      </c>
      <c r="FP29" t="s">
        <v>894</v>
      </c>
      <c r="FQ29">
        <v>1784654995.5999999</v>
      </c>
      <c r="FR29">
        <v>1784654995.5999999</v>
      </c>
      <c r="FS29">
        <v>39</v>
      </c>
      <c r="FT29">
        <v>0.03</v>
      </c>
      <c r="FU29">
        <v>-8.9999999999999993E-3</v>
      </c>
      <c r="FV29">
        <v>-7.1390000000000002</v>
      </c>
      <c r="FW29">
        <v>-0.88300000000000001</v>
      </c>
      <c r="FX29">
        <v>417</v>
      </c>
      <c r="FY29">
        <v>24</v>
      </c>
      <c r="FZ29">
        <v>1.66</v>
      </c>
      <c r="GA29">
        <v>0.81</v>
      </c>
      <c r="GB29">
        <v>420.03093548387102</v>
      </c>
      <c r="GC29">
        <v>-8.3080645164386319E-2</v>
      </c>
      <c r="GD29">
        <v>4.9591840824667013E-2</v>
      </c>
      <c r="GE29">
        <v>-1</v>
      </c>
      <c r="GF29">
        <v>605.0823529411764</v>
      </c>
      <c r="GG29">
        <v>-16.72268904463111</v>
      </c>
      <c r="GH29">
        <v>3.9093380354521008</v>
      </c>
      <c r="GI29">
        <v>0</v>
      </c>
      <c r="GJ29">
        <v>0.1455679073170732</v>
      </c>
      <c r="GK29">
        <v>0.33158129686411147</v>
      </c>
      <c r="GL29">
        <v>3.2970901867640137E-2</v>
      </c>
      <c r="GM29">
        <v>1</v>
      </c>
      <c r="GN29">
        <v>1</v>
      </c>
      <c r="GO29">
        <v>2</v>
      </c>
      <c r="GP29" t="s">
        <v>411</v>
      </c>
      <c r="GQ29">
        <v>3.1319400000000002</v>
      </c>
      <c r="GR29">
        <v>2.7353499999999999</v>
      </c>
      <c r="GS29">
        <v>9.0321200000000004E-2</v>
      </c>
      <c r="GT29">
        <v>8.9284000000000002E-2</v>
      </c>
      <c r="GU29">
        <v>0.11502</v>
      </c>
      <c r="GV29">
        <v>0.111927</v>
      </c>
      <c r="GW29">
        <v>22549.4</v>
      </c>
      <c r="GX29">
        <v>30268.400000000001</v>
      </c>
      <c r="GY29">
        <v>26917.200000000001</v>
      </c>
      <c r="GZ29">
        <v>34217.800000000003</v>
      </c>
      <c r="HA29">
        <v>34937.300000000003</v>
      </c>
      <c r="HB29">
        <v>38464.1</v>
      </c>
      <c r="HC29">
        <v>39772.800000000003</v>
      </c>
      <c r="HD29">
        <v>43378.3</v>
      </c>
      <c r="HE29">
        <v>1.9092</v>
      </c>
      <c r="HF29">
        <v>1.6632</v>
      </c>
      <c r="HG29">
        <v>-0.134856</v>
      </c>
      <c r="HH29">
        <v>0</v>
      </c>
      <c r="HI29">
        <v>30.1418</v>
      </c>
      <c r="HJ29">
        <v>999.9</v>
      </c>
      <c r="HK29">
        <v>36.6</v>
      </c>
      <c r="HL29">
        <v>42.9</v>
      </c>
      <c r="HM29">
        <v>32.329900000000002</v>
      </c>
      <c r="HN29">
        <v>61.323099999999997</v>
      </c>
      <c r="HO29">
        <v>3.70994</v>
      </c>
      <c r="HP29">
        <v>1</v>
      </c>
      <c r="HQ29">
        <v>1.0954900000000001</v>
      </c>
      <c r="HR29">
        <v>7.71882</v>
      </c>
      <c r="HS29">
        <v>20.079499999999999</v>
      </c>
      <c r="HT29">
        <v>5.2100999999999997</v>
      </c>
      <c r="HU29">
        <v>11.9201</v>
      </c>
      <c r="HV29">
        <v>4.9828000000000001</v>
      </c>
      <c r="HW29">
        <v>3.2709999999999999</v>
      </c>
      <c r="HX29">
        <v>9999</v>
      </c>
      <c r="HY29">
        <v>9999</v>
      </c>
      <c r="HZ29">
        <v>9999</v>
      </c>
      <c r="IA29">
        <v>999.9</v>
      </c>
      <c r="IB29">
        <v>1.86774</v>
      </c>
      <c r="IC29">
        <v>1.8634999999999999</v>
      </c>
      <c r="ID29">
        <v>1.8629500000000001</v>
      </c>
      <c r="IE29">
        <v>1.86249</v>
      </c>
      <c r="IF29">
        <v>1.86249</v>
      </c>
      <c r="IG29">
        <v>1.8629500000000001</v>
      </c>
      <c r="IH29">
        <v>1.86392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-7.149</v>
      </c>
      <c r="IX29">
        <v>-0.86880000000000002</v>
      </c>
      <c r="IY29">
        <v>-5.157570807861827</v>
      </c>
      <c r="IZ29">
        <v>-5.6215304933332991E-3</v>
      </c>
      <c r="JA29">
        <v>2.3979931213773931E-6</v>
      </c>
      <c r="JB29">
        <v>-3.6297174575716598E-10</v>
      </c>
      <c r="JC29">
        <v>-1.3012542236160261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1</v>
      </c>
      <c r="JL29">
        <v>1</v>
      </c>
      <c r="JM29">
        <v>1.09741</v>
      </c>
      <c r="JN29">
        <v>2.5647000000000002</v>
      </c>
      <c r="JO29">
        <v>1.50024</v>
      </c>
      <c r="JP29">
        <v>2.2680699999999998</v>
      </c>
      <c r="JQ29">
        <v>1.4477500000000001</v>
      </c>
      <c r="JR29">
        <v>2.4365199999999998</v>
      </c>
      <c r="JS29">
        <v>48.1479</v>
      </c>
      <c r="JT29">
        <v>23.772300000000001</v>
      </c>
      <c r="JU29">
        <v>18</v>
      </c>
      <c r="JV29">
        <v>551.58100000000002</v>
      </c>
      <c r="JW29">
        <v>400.67200000000003</v>
      </c>
      <c r="JX29">
        <v>22.815799999999999</v>
      </c>
      <c r="JY29">
        <v>40.019500000000001</v>
      </c>
      <c r="JZ29">
        <v>30.0002</v>
      </c>
      <c r="KA29">
        <v>40.249000000000002</v>
      </c>
      <c r="KB29">
        <v>40.2864</v>
      </c>
      <c r="KC29">
        <v>21.950700000000001</v>
      </c>
      <c r="KD29">
        <v>30.648299999999999</v>
      </c>
      <c r="KE29">
        <v>0</v>
      </c>
      <c r="KF29">
        <v>22.8521</v>
      </c>
      <c r="KG29">
        <v>416.60199999999998</v>
      </c>
      <c r="KH29">
        <v>24.2563</v>
      </c>
      <c r="KI29">
        <v>99.378299999999996</v>
      </c>
      <c r="KJ29">
        <v>97.632400000000004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48F9-D292-462F-9C3D-11EC2E0B20EF}">
  <dimension ref="A2:KJ29"/>
  <sheetViews>
    <sheetView workbookViewId="0">
      <selection activeCell="H30" sqref="H30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1784738456.5999999</v>
      </c>
      <c r="C17">
        <v>0</v>
      </c>
      <c r="D17" t="s">
        <v>895</v>
      </c>
      <c r="E17" t="s">
        <v>896</v>
      </c>
      <c r="F17">
        <v>15</v>
      </c>
      <c r="H17">
        <v>1784738448.599999</v>
      </c>
      <c r="I17">
        <f t="shared" ref="I17:I29" si="0">(J17)/1000</f>
        <v>3.3635240883204843E-3</v>
      </c>
      <c r="J17">
        <f t="shared" ref="J17:J29" si="1">IF(DO17, AM17, AG17)</f>
        <v>3.3635240883204842</v>
      </c>
      <c r="K17">
        <f t="shared" ref="K17:K29" si="2">IF(DO17, AH17, AF17)</f>
        <v>43.053392304821408</v>
      </c>
      <c r="L17">
        <f t="shared" ref="L17:L29" si="3">DQ17 - IF(AT17&gt;1, K17*DK17*100/(AV17), 0)</f>
        <v>420.05987096774192</v>
      </c>
      <c r="M17">
        <f t="shared" ref="M17:M29" si="4">((S17-I17/2)*L17-K17)/(S17+I17/2)</f>
        <v>170.51638732052027</v>
      </c>
      <c r="N17">
        <f t="shared" ref="N17:N29" si="5">M17*(DX17+DY17)/1000</f>
        <v>16.760842299628436</v>
      </c>
      <c r="O17">
        <f t="shared" ref="O17:O29" si="6">(DQ17 - IF(AT17&gt;1, K17*DK17*100/(AV17), 0))*(DX17+DY17)/1000</f>
        <v>41.289622448184005</v>
      </c>
      <c r="P17">
        <f t="shared" ref="P17:P29" si="7">2/((1/R17-1/Q17)+SIGN(R17)*SQRT((1/R17-1/Q17)*(1/R17-1/Q17) + 4*DL17/((DL17+1)*(DL17+1))*(2*1/R17*1/Q17-1/Q17*1/Q17)))</f>
        <v>0.29608612953380925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2.8984542313137327</v>
      </c>
      <c r="R17">
        <f t="shared" ref="R17:R29" si="9">I17*(1000-(1000*0.61365*EXP(17.502*V17/(240.97+V17))/(DX17+DY17)+DS17)/2)/(1000*0.61365*EXP(17.502*V17/(240.97+V17))/(DX17+DY17)-DS17)</f>
        <v>0.28025050200747631</v>
      </c>
      <c r="S17">
        <f t="shared" ref="S17:S29" si="10">1/((DL17+1)/(P17/1.6)+1/(Q17/1.37)) + DL17/((DL17+1)/(P17/1.6) + DL17/(Q17/1.37))</f>
        <v>0.17650872063027395</v>
      </c>
      <c r="T17">
        <f t="shared" ref="T17:T29" si="11">(DG17*DJ17)</f>
        <v>319.77835652956475</v>
      </c>
      <c r="U17">
        <f t="shared" ref="U17:U29" si="12">(DZ17+(T17+2*0.95*0.0000000567*(((DZ17+$B$7)+273)^4-(DZ17+273)^4)-44100*I17)/(1.84*29.3*Q17+8*0.95*0.0000000567*(DZ17+273)^3))</f>
        <v>25.577921602076209</v>
      </c>
      <c r="V17">
        <f t="shared" ref="V17:V29" si="13">($C$7*EA17+$D$7*EB17+$E$7*U17)</f>
        <v>25.02193225806452</v>
      </c>
      <c r="W17">
        <f t="shared" ref="W17:W29" si="14">0.61365*EXP(17.502*V17/(240.97+V17))</f>
        <v>3.183837653078458</v>
      </c>
      <c r="X17">
        <f t="shared" ref="X17:X29" si="15">(Y17/Z17*100)</f>
        <v>65.737833100191537</v>
      </c>
      <c r="Y17">
        <f t="shared" ref="Y17:Y29" si="16">DS17*(DX17+DY17)/1000</f>
        <v>2.0354410887800514</v>
      </c>
      <c r="Z17">
        <f t="shared" ref="Z17:Z29" si="17">0.61365*EXP(17.502*DZ17/(240.97+DZ17))</f>
        <v>3.0963008556698548</v>
      </c>
      <c r="AA17">
        <f t="shared" ref="AA17:AA29" si="18">(W17-DS17*(DX17+DY17)/1000)</f>
        <v>1.1483965642984066</v>
      </c>
      <c r="AB17">
        <f t="shared" ref="AB17:AB29" si="19">(-I17*44100)</f>
        <v>-148.33141229493336</v>
      </c>
      <c r="AC17">
        <f t="shared" ref="AC17:AC29" si="20">2*29.3*Q17*0.92*(DZ17-V17)</f>
        <v>-72.954949299047115</v>
      </c>
      <c r="AD17">
        <f t="shared" ref="AD17:AD29" si="21">2*0.95*0.0000000567*(((DZ17+$B$7)+273)^4-(V17+273)^4)</f>
        <v>-5.3128007183459722</v>
      </c>
      <c r="AE17">
        <f t="shared" ref="AE17:AE29" si="22">T17+AD17+AB17+AC17</f>
        <v>93.179194217238319</v>
      </c>
      <c r="AF17">
        <f t="shared" ref="AF17:AF29" si="23">DW17*AT17*(DR17-DQ17*(1000-AT17*DT17)/(1000-AT17*DS17))/(100*DK17)</f>
        <v>43.053392304821408</v>
      </c>
      <c r="AG17">
        <f t="shared" ref="AG17:AG29" si="24">1000*DW17*AT17*(DS17-DT17)/(100*DK17*(1000-AT17*DS17))</f>
        <v>3.3635240883204842</v>
      </c>
      <c r="AH17">
        <f t="shared" ref="AH17:AH29" si="25">(AI17 - AJ17 - DX17*1000/(8.314*(DZ17+273.15)) * AL17/DW17 * AK17) * DW17/(100*DK17) * (1000 - DT17)/1000</f>
        <v>43.005757805916147</v>
      </c>
      <c r="AI17">
        <v>481.49533049236737</v>
      </c>
      <c r="AJ17">
        <v>428.99576363636362</v>
      </c>
      <c r="AK17">
        <v>2.8172285461259281E-3</v>
      </c>
      <c r="AL17">
        <v>67.094740105558031</v>
      </c>
      <c r="AM17">
        <f t="shared" ref="AM17:AM29" si="26">(AO17 - AN17 + DX17*1000/(8.314*(DZ17+273.15)) * AQ17/DW17 * AP17) * DW17/(100*DK17) * 1000/(1000 - AO17)</f>
        <v>3.2841585259203119</v>
      </c>
      <c r="AN17">
        <v>16.65983603152203</v>
      </c>
      <c r="AO17">
        <v>20.61025939393938</v>
      </c>
      <c r="AP17">
        <v>-1.461540692194614E-2</v>
      </c>
      <c r="AQ17">
        <v>78.25301384087588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52372.354901368322</v>
      </c>
      <c r="AW17" t="s">
        <v>897</v>
      </c>
      <c r="AX17">
        <v>5150.17</v>
      </c>
      <c r="AY17">
        <v>596.47647058823532</v>
      </c>
      <c r="AZ17">
        <v>2397.11</v>
      </c>
      <c r="BA17">
        <f t="shared" ref="BA17:BA29" si="30">1-AY17/AZ17</f>
        <v>0.75116850266018864</v>
      </c>
      <c r="BB17">
        <v>-2.146882921728257</v>
      </c>
      <c r="BC17" t="s">
        <v>898</v>
      </c>
      <c r="BD17">
        <v>5138.18</v>
      </c>
      <c r="BE17">
        <v>832.71247058823519</v>
      </c>
      <c r="BF17">
        <v>980.19</v>
      </c>
      <c r="BG17">
        <f t="shared" ref="BG17:BG29" si="31">1-BE17/BF17</f>
        <v>0.15045810446114005</v>
      </c>
      <c r="BH17">
        <v>0.5</v>
      </c>
      <c r="BI17">
        <f t="shared" ref="BI17:BI29" si="32">DH17</f>
        <v>1680.3021095172401</v>
      </c>
      <c r="BJ17">
        <f t="shared" ref="BJ17:BJ29" si="33">K17</f>
        <v>43.053392304821408</v>
      </c>
      <c r="BK17">
        <f t="shared" ref="BK17:BK29" si="34">BG17*BH17*BI17</f>
        <v>126.40753516000945</v>
      </c>
      <c r="BL17">
        <f t="shared" ref="BL17:BL29" si="35">(BJ17-BB17)/BI17</f>
        <v>2.6900088365380884E-2</v>
      </c>
      <c r="BM17">
        <f t="shared" ref="BM17:BM29" si="36">(AZ17-BF17)/BF17</f>
        <v>1.4455564737448863</v>
      </c>
      <c r="BN17">
        <f t="shared" ref="BN17:BN29" si="37">AY17/(BA17+AY17/BF17)</f>
        <v>438.68241417209367</v>
      </c>
      <c r="BO17" t="s">
        <v>408</v>
      </c>
      <c r="BP17">
        <v>0</v>
      </c>
      <c r="BQ17">
        <f t="shared" ref="BQ17:BQ29" si="38">IF(BP17&lt;&gt;0, BP17, BN17)</f>
        <v>438.68241417209367</v>
      </c>
      <c r="BR17">
        <f t="shared" ref="BR17:BR29" si="39">1-BQ17/BF17</f>
        <v>0.55245165307532862</v>
      </c>
      <c r="BS17">
        <f t="shared" ref="BS17:BS29" si="40">(BF17-BE17)/(BF17-BQ17)</f>
        <v>0.27234619287241879</v>
      </c>
      <c r="BT17">
        <f t="shared" ref="BT17:BT29" si="41">(AZ17-BF17)/(AZ17-BQ17)</f>
        <v>0.72349879579591947</v>
      </c>
      <c r="BU17">
        <f t="shared" ref="BU17:BU29" si="42">(BF17-BE17)/(BF17-AY17)</f>
        <v>0.38434279249378789</v>
      </c>
      <c r="BV17">
        <f t="shared" ref="BV17:BV29" si="43">(AZ17-BF17)/(AZ17-AY17)</f>
        <v>0.7869008195481525</v>
      </c>
      <c r="BW17">
        <f t="shared" ref="BW17:BW29" si="44">(BS17*BQ17/BE17)</f>
        <v>0.14347507645160429</v>
      </c>
      <c r="BX17">
        <f t="shared" ref="BX17:BX29" si="45">(1-BW17)</f>
        <v>0.85652492354839571</v>
      </c>
      <c r="DG17">
        <f t="shared" ref="DG17:DG29" si="46">$B$11*EF17+$C$11*EG17+$F$11*ER17*(1-EU17)</f>
        <v>2000.0032258064509</v>
      </c>
      <c r="DH17">
        <f t="shared" ref="DH17:DH29" si="47">DG17*DI17</f>
        <v>1680.3021095172401</v>
      </c>
      <c r="DI17">
        <f t="shared" ref="DI17:DI29" si="48">($B$11*$D$9+$C$11*$D$9+$F$11*((FE17+EW17)/MAX(FE17+EW17+FF17, 0.1)*$I$9+FF17/MAX(FE17+EW17+FF17, 0.1)*$J$9))/($B$11+$C$11+$F$11)</f>
        <v>0.84014969967845954</v>
      </c>
      <c r="DJ17">
        <f t="shared" ref="DJ17:DJ29" si="49">($B$11*$K$9+$C$11*$K$9+$F$11*((FE17+EW17)/MAX(FE17+EW17+FF17, 0.1)*$P$9+FF17/MAX(FE17+EW17+FF17, 0.1)*$Q$9))/($B$11+$C$11+$F$11)</f>
        <v>0.15988892037942698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1784738448.599999</v>
      </c>
      <c r="DQ17">
        <v>420.05987096774192</v>
      </c>
      <c r="DR17">
        <v>473.41761290322569</v>
      </c>
      <c r="DS17">
        <v>20.70755483870968</v>
      </c>
      <c r="DT17">
        <v>16.755038709677422</v>
      </c>
      <c r="DU17">
        <v>427.22761290322592</v>
      </c>
      <c r="DV17">
        <v>21.497187096774191</v>
      </c>
      <c r="DW17">
        <v>500.01674193548382</v>
      </c>
      <c r="DX17">
        <v>98.241141935483881</v>
      </c>
      <c r="DY17">
        <v>5.3471051612903227E-2</v>
      </c>
      <c r="DZ17">
        <v>24.555054838709669</v>
      </c>
      <c r="EA17">
        <v>25.02193225806452</v>
      </c>
      <c r="EB17">
        <v>999.90000000000032</v>
      </c>
      <c r="EC17">
        <v>0</v>
      </c>
      <c r="ED17">
        <v>0</v>
      </c>
      <c r="EE17">
        <v>9999.677419354839</v>
      </c>
      <c r="EF17">
        <v>0</v>
      </c>
      <c r="EG17">
        <v>1631.533548387097</v>
      </c>
      <c r="EH17">
        <v>-53.357667741935479</v>
      </c>
      <c r="EI17">
        <v>428.9423870967741</v>
      </c>
      <c r="EJ17">
        <v>481.48503225806462</v>
      </c>
      <c r="EK17">
        <v>3.9525161290322579</v>
      </c>
      <c r="EL17">
        <v>473.41761290322569</v>
      </c>
      <c r="EM17">
        <v>16.755038709677422</v>
      </c>
      <c r="EN17">
        <v>2.0343335483870968</v>
      </c>
      <c r="EO17">
        <v>1.6460341935483871</v>
      </c>
      <c r="EP17">
        <v>17.714080645161289</v>
      </c>
      <c r="EQ17">
        <v>14.3965064516129</v>
      </c>
      <c r="ER17">
        <v>2000.0032258064509</v>
      </c>
      <c r="ES17">
        <v>0.9949965161290325</v>
      </c>
      <c r="ET17">
        <v>5.0034729032258068E-3</v>
      </c>
      <c r="EU17">
        <v>0</v>
      </c>
      <c r="EV17">
        <v>832.95374193548389</v>
      </c>
      <c r="EW17">
        <v>5.0010700000000003</v>
      </c>
      <c r="EX17">
        <v>21034.864516129041</v>
      </c>
      <c r="EY17">
        <v>18241.641935483869</v>
      </c>
      <c r="EZ17">
        <v>39.713419354838713</v>
      </c>
      <c r="FA17">
        <v>41.678999999999981</v>
      </c>
      <c r="FB17">
        <v>40.396999999999977</v>
      </c>
      <c r="FC17">
        <v>40.95122580645161</v>
      </c>
      <c r="FD17">
        <v>40.820129032258052</v>
      </c>
      <c r="FE17">
        <v>1985.023225806452</v>
      </c>
      <c r="FF17">
        <v>9.980000000000004</v>
      </c>
      <c r="FG17">
        <v>0</v>
      </c>
      <c r="FH17">
        <v>1312.2000000476839</v>
      </c>
      <c r="FI17">
        <v>0</v>
      </c>
      <c r="FJ17">
        <v>832.71247058823519</v>
      </c>
      <c r="FK17">
        <v>-5.367892168952455</v>
      </c>
      <c r="FL17">
        <v>-307.0588257432301</v>
      </c>
      <c r="FM17">
        <v>21020.77647058824</v>
      </c>
      <c r="FN17">
        <v>10</v>
      </c>
      <c r="FO17">
        <v>1784738359.0999999</v>
      </c>
      <c r="FP17" t="s">
        <v>899</v>
      </c>
      <c r="FQ17">
        <v>1784738354.0999999</v>
      </c>
      <c r="FR17">
        <v>1784738359.0999999</v>
      </c>
      <c r="FS17">
        <v>27</v>
      </c>
      <c r="FT17">
        <v>-3.6999999999999998E-2</v>
      </c>
      <c r="FU17">
        <v>3.4000000000000002E-2</v>
      </c>
      <c r="FV17">
        <v>-7.36</v>
      </c>
      <c r="FW17">
        <v>-0.878</v>
      </c>
      <c r="FX17">
        <v>472</v>
      </c>
      <c r="FY17">
        <v>17</v>
      </c>
      <c r="FZ17">
        <v>0.15</v>
      </c>
      <c r="GA17">
        <v>7.0000000000000007E-2</v>
      </c>
      <c r="GB17">
        <v>420.05439999999999</v>
      </c>
      <c r="GC17">
        <v>0.62442714126789012</v>
      </c>
      <c r="GD17">
        <v>7.5352327988815165E-2</v>
      </c>
      <c r="GE17">
        <v>-1</v>
      </c>
      <c r="GF17">
        <v>833.17817647058826</v>
      </c>
      <c r="GG17">
        <v>-4.0978762390316863</v>
      </c>
      <c r="GH17">
        <v>0.46767305514129548</v>
      </c>
      <c r="GI17">
        <v>1</v>
      </c>
      <c r="GJ17">
        <v>3.939114</v>
      </c>
      <c r="GK17">
        <v>0.26385568480299598</v>
      </c>
      <c r="GL17">
        <v>3.5324211088147497E-2</v>
      </c>
      <c r="GM17">
        <v>1</v>
      </c>
      <c r="GN17">
        <v>2</v>
      </c>
      <c r="GO17">
        <v>2</v>
      </c>
      <c r="GP17" t="s">
        <v>424</v>
      </c>
      <c r="GQ17">
        <v>3.1297000000000001</v>
      </c>
      <c r="GR17">
        <v>2.72899</v>
      </c>
      <c r="GS17">
        <v>9.2417799999999994E-2</v>
      </c>
      <c r="GT17">
        <v>0.100508</v>
      </c>
      <c r="GU17">
        <v>0.103919</v>
      </c>
      <c r="GV17">
        <v>8.71286E-2</v>
      </c>
      <c r="GW17">
        <v>22777.599999999999</v>
      </c>
      <c r="GX17">
        <v>30312.1</v>
      </c>
      <c r="GY17">
        <v>27217.7</v>
      </c>
      <c r="GZ17">
        <v>34643.599999999999</v>
      </c>
      <c r="HA17">
        <v>35719.699999999997</v>
      </c>
      <c r="HB17">
        <v>39897.9</v>
      </c>
      <c r="HC17">
        <v>40196.300000000003</v>
      </c>
      <c r="HD17">
        <v>43787</v>
      </c>
      <c r="HE17">
        <v>1.9827999999999999</v>
      </c>
      <c r="HF17">
        <v>1.8178000000000001</v>
      </c>
      <c r="HG17">
        <v>-7.5250899999999996E-2</v>
      </c>
      <c r="HH17">
        <v>0</v>
      </c>
      <c r="HI17">
        <v>26.253699999999998</v>
      </c>
      <c r="HJ17">
        <v>999.9</v>
      </c>
      <c r="HK17">
        <v>43.7</v>
      </c>
      <c r="HL17">
        <v>35.200000000000003</v>
      </c>
      <c r="HM17">
        <v>25.404900000000001</v>
      </c>
      <c r="HN17">
        <v>61.347700000000003</v>
      </c>
      <c r="HO17">
        <v>4.4631400000000001</v>
      </c>
      <c r="HP17">
        <v>1</v>
      </c>
      <c r="HQ17">
        <v>0.42195100000000002</v>
      </c>
      <c r="HR17">
        <v>6.1764099999999997</v>
      </c>
      <c r="HS17">
        <v>20.161799999999999</v>
      </c>
      <c r="HT17">
        <v>5.2100999999999997</v>
      </c>
      <c r="HU17">
        <v>11.908099999999999</v>
      </c>
      <c r="HV17">
        <v>4.9847999999999999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1.86707</v>
      </c>
      <c r="IC17">
        <v>1.86267</v>
      </c>
      <c r="ID17">
        <v>1.8621799999999999</v>
      </c>
      <c r="IE17">
        <v>1.86172</v>
      </c>
      <c r="IF17">
        <v>1.86172</v>
      </c>
      <c r="IG17">
        <v>1.8623400000000001</v>
      </c>
      <c r="IH17">
        <v>1.8632500000000001</v>
      </c>
      <c r="II17">
        <v>1.86124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-7.1680000000000001</v>
      </c>
      <c r="IX17">
        <v>-0.7923</v>
      </c>
      <c r="IY17">
        <v>-5.1753680182304151</v>
      </c>
      <c r="IZ17">
        <v>-5.6215304933332991E-3</v>
      </c>
      <c r="JA17">
        <v>2.3979931213773931E-6</v>
      </c>
      <c r="JB17">
        <v>-3.6297174575716598E-10</v>
      </c>
      <c r="JC17">
        <v>-1.1144416363713441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1.7</v>
      </c>
      <c r="JL17">
        <v>1.6</v>
      </c>
      <c r="JM17">
        <v>1.2048300000000001</v>
      </c>
      <c r="JN17">
        <v>2.52441</v>
      </c>
      <c r="JO17">
        <v>1.50024</v>
      </c>
      <c r="JP17">
        <v>2.2717299999999998</v>
      </c>
      <c r="JQ17">
        <v>1.4477500000000001</v>
      </c>
      <c r="JR17">
        <v>2.4426299999999999</v>
      </c>
      <c r="JS17">
        <v>39.591700000000003</v>
      </c>
      <c r="JT17">
        <v>14.1233</v>
      </c>
      <c r="JU17">
        <v>18</v>
      </c>
      <c r="JV17">
        <v>540.68700000000001</v>
      </c>
      <c r="JW17">
        <v>447.88</v>
      </c>
      <c r="JX17">
        <v>19.472999999999999</v>
      </c>
      <c r="JY17">
        <v>32.3795</v>
      </c>
      <c r="JZ17">
        <v>30.000900000000001</v>
      </c>
      <c r="KA17">
        <v>32.535800000000002</v>
      </c>
      <c r="KB17">
        <v>32.429600000000001</v>
      </c>
      <c r="KC17">
        <v>24.097200000000001</v>
      </c>
      <c r="KD17">
        <v>37.421599999999998</v>
      </c>
      <c r="KE17">
        <v>6.8876400000000002</v>
      </c>
      <c r="KF17">
        <v>19.470099999999999</v>
      </c>
      <c r="KG17">
        <v>473.2</v>
      </c>
      <c r="KH17">
        <v>16.723500000000001</v>
      </c>
      <c r="KI17">
        <v>100.45699999999999</v>
      </c>
      <c r="KJ17">
        <v>98.682400000000001</v>
      </c>
    </row>
    <row r="18" spans="1:296" x14ac:dyDescent="0.3">
      <c r="A18">
        <v>2</v>
      </c>
      <c r="B18">
        <v>1784738639.0999999</v>
      </c>
      <c r="C18">
        <v>182.5</v>
      </c>
      <c r="D18" t="s">
        <v>900</v>
      </c>
      <c r="E18" t="s">
        <v>901</v>
      </c>
      <c r="F18">
        <v>15</v>
      </c>
      <c r="H18">
        <v>1784738631.099999</v>
      </c>
      <c r="I18">
        <f t="shared" si="0"/>
        <v>2.8115267551257809E-3</v>
      </c>
      <c r="J18">
        <f t="shared" si="1"/>
        <v>2.8115267551257808</v>
      </c>
      <c r="K18">
        <f t="shared" si="2"/>
        <v>39.692198345851139</v>
      </c>
      <c r="L18">
        <f t="shared" si="3"/>
        <v>420.34841935483871</v>
      </c>
      <c r="M18">
        <f t="shared" si="4"/>
        <v>146.72502466603927</v>
      </c>
      <c r="N18">
        <f t="shared" si="5"/>
        <v>14.420179551019546</v>
      </c>
      <c r="O18">
        <f t="shared" si="6"/>
        <v>41.31196907194672</v>
      </c>
      <c r="P18">
        <f t="shared" si="7"/>
        <v>0.24629910169885247</v>
      </c>
      <c r="Q18">
        <f t="shared" si="8"/>
        <v>2.8987771349692957</v>
      </c>
      <c r="R18">
        <f t="shared" si="9"/>
        <v>0.23523553406534045</v>
      </c>
      <c r="S18">
        <f t="shared" si="10"/>
        <v>0.14797480848409911</v>
      </c>
      <c r="T18">
        <f t="shared" si="11"/>
        <v>271.9098081458709</v>
      </c>
      <c r="U18">
        <f t="shared" si="12"/>
        <v>25.585688897053014</v>
      </c>
      <c r="V18">
        <f t="shared" si="13"/>
        <v>24.97676774193549</v>
      </c>
      <c r="W18">
        <f t="shared" si="14"/>
        <v>3.1752761271592149</v>
      </c>
      <c r="X18">
        <f t="shared" si="15"/>
        <v>65.039411491517967</v>
      </c>
      <c r="Y18">
        <f t="shared" si="16"/>
        <v>2.0317505595040886</v>
      </c>
      <c r="Z18">
        <f t="shared" si="17"/>
        <v>3.123875989820506</v>
      </c>
      <c r="AA18">
        <f t="shared" si="18"/>
        <v>1.1435255676551264</v>
      </c>
      <c r="AB18">
        <f t="shared" si="19"/>
        <v>-123.98832990104694</v>
      </c>
      <c r="AC18">
        <f t="shared" si="20"/>
        <v>-42.728156227177038</v>
      </c>
      <c r="AD18">
        <f t="shared" si="21"/>
        <v>-3.1128627316111959</v>
      </c>
      <c r="AE18">
        <f t="shared" si="22"/>
        <v>102.08045928603573</v>
      </c>
      <c r="AF18">
        <f t="shared" si="23"/>
        <v>39.692198345851139</v>
      </c>
      <c r="AG18">
        <f t="shared" si="24"/>
        <v>2.8115267551257808</v>
      </c>
      <c r="AH18">
        <f t="shared" si="25"/>
        <v>39.681856964569597</v>
      </c>
      <c r="AI18">
        <v>477.53867704977762</v>
      </c>
      <c r="AJ18">
        <v>429.20239393939391</v>
      </c>
      <c r="AK18">
        <v>-2.2988224564923339E-2</v>
      </c>
      <c r="AL18">
        <v>67.092203319307799</v>
      </c>
      <c r="AM18">
        <f t="shared" si="26"/>
        <v>2.832977884619285</v>
      </c>
      <c r="AN18">
        <v>17.300629972785028</v>
      </c>
      <c r="AO18">
        <v>20.64613878787879</v>
      </c>
      <c r="AP18">
        <v>-2.6117102213972388E-3</v>
      </c>
      <c r="AQ18">
        <v>78.247129728472032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52355.301603962303</v>
      </c>
      <c r="AW18" t="s">
        <v>897</v>
      </c>
      <c r="AX18">
        <v>5150.17</v>
      </c>
      <c r="AY18">
        <v>596.47647058823532</v>
      </c>
      <c r="AZ18">
        <v>2397.11</v>
      </c>
      <c r="BA18">
        <f t="shared" si="30"/>
        <v>0.75116850266018864</v>
      </c>
      <c r="BB18">
        <v>-2.146882921728257</v>
      </c>
      <c r="BC18" t="s">
        <v>902</v>
      </c>
      <c r="BD18">
        <v>5139.1000000000004</v>
      </c>
      <c r="BE18">
        <v>811.45252941176477</v>
      </c>
      <c r="BF18">
        <v>991.68</v>
      </c>
      <c r="BG18">
        <f t="shared" si="31"/>
        <v>0.1817395435909116</v>
      </c>
      <c r="BH18">
        <v>0.5</v>
      </c>
      <c r="BI18">
        <f t="shared" si="32"/>
        <v>1428.3129288404136</v>
      </c>
      <c r="BJ18">
        <f t="shared" si="33"/>
        <v>39.692198345851139</v>
      </c>
      <c r="BK18">
        <f t="shared" si="34"/>
        <v>129.79046989622748</v>
      </c>
      <c r="BL18">
        <f t="shared" si="35"/>
        <v>2.9292657388144461E-2</v>
      </c>
      <c r="BM18">
        <f t="shared" si="36"/>
        <v>1.4172212810584064</v>
      </c>
      <c r="BN18">
        <f t="shared" si="37"/>
        <v>440.96904754725142</v>
      </c>
      <c r="BO18" t="s">
        <v>408</v>
      </c>
      <c r="BP18">
        <v>0</v>
      </c>
      <c r="BQ18">
        <f t="shared" si="38"/>
        <v>440.96904754725142</v>
      </c>
      <c r="BR18">
        <f t="shared" si="39"/>
        <v>0.55533130894315563</v>
      </c>
      <c r="BS18">
        <f t="shared" si="40"/>
        <v>0.32726327628956836</v>
      </c>
      <c r="BT18">
        <f t="shared" si="41"/>
        <v>0.71847072075137131</v>
      </c>
      <c r="BU18">
        <f t="shared" si="42"/>
        <v>0.45603709778729035</v>
      </c>
      <c r="BV18">
        <f t="shared" si="43"/>
        <v>0.7805197321073597</v>
      </c>
      <c r="BW18">
        <f t="shared" si="44"/>
        <v>0.17784524665567164</v>
      </c>
      <c r="BX18">
        <f t="shared" si="45"/>
        <v>0.8221547533443283</v>
      </c>
      <c r="DG18">
        <f t="shared" si="46"/>
        <v>1700.0096774193539</v>
      </c>
      <c r="DH18">
        <f t="shared" si="47"/>
        <v>1428.3129288404136</v>
      </c>
      <c r="DI18">
        <f t="shared" si="48"/>
        <v>0.84017929298415461</v>
      </c>
      <c r="DJ18">
        <f t="shared" si="49"/>
        <v>0.15994603545941868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1784738631.099999</v>
      </c>
      <c r="DQ18">
        <v>420.34841935483871</v>
      </c>
      <c r="DR18">
        <v>469.39593548387109</v>
      </c>
      <c r="DS18">
        <v>20.673019354838711</v>
      </c>
      <c r="DT18">
        <v>17.369022580645161</v>
      </c>
      <c r="DU18">
        <v>427.56848387096778</v>
      </c>
      <c r="DV18">
        <v>21.456574193548391</v>
      </c>
      <c r="DW18">
        <v>500.01332258064531</v>
      </c>
      <c r="DX18">
        <v>98.229229032258047</v>
      </c>
      <c r="DY18">
        <v>5.1071712903225819E-2</v>
      </c>
      <c r="DZ18">
        <v>24.703358064516131</v>
      </c>
      <c r="EA18">
        <v>24.97676774193549</v>
      </c>
      <c r="EB18">
        <v>999.90000000000032</v>
      </c>
      <c r="EC18">
        <v>0</v>
      </c>
      <c r="ED18">
        <v>0</v>
      </c>
      <c r="EE18">
        <v>10002.741935483869</v>
      </c>
      <c r="EF18">
        <v>0</v>
      </c>
      <c r="EG18">
        <v>1305.0323225806451</v>
      </c>
      <c r="EH18">
        <v>-49.047487096774177</v>
      </c>
      <c r="EI18">
        <v>429.22177419354841</v>
      </c>
      <c r="EJ18">
        <v>477.69303225806448</v>
      </c>
      <c r="EK18">
        <v>3.3040029032258058</v>
      </c>
      <c r="EL18">
        <v>469.39593548387109</v>
      </c>
      <c r="EM18">
        <v>17.369022580645161</v>
      </c>
      <c r="EN18">
        <v>2.0306958064516132</v>
      </c>
      <c r="EO18">
        <v>1.7061461290322579</v>
      </c>
      <c r="EP18">
        <v>17.685732258064519</v>
      </c>
      <c r="EQ18">
        <v>14.9524064516129</v>
      </c>
      <c r="ER18">
        <v>1700.0096774193539</v>
      </c>
      <c r="ES18">
        <v>0.9940052258064519</v>
      </c>
      <c r="ET18">
        <v>5.9947664516129019E-3</v>
      </c>
      <c r="EU18">
        <v>0</v>
      </c>
      <c r="EV18">
        <v>812.0548064516131</v>
      </c>
      <c r="EW18">
        <v>5.0010700000000003</v>
      </c>
      <c r="EX18">
        <v>17340.509677419359</v>
      </c>
      <c r="EY18">
        <v>15492.629032258061</v>
      </c>
      <c r="EZ18">
        <v>39.686999999999983</v>
      </c>
      <c r="FA18">
        <v>41.807999999999979</v>
      </c>
      <c r="FB18">
        <v>40.625</v>
      </c>
      <c r="FC18">
        <v>41.186999999999983</v>
      </c>
      <c r="FD18">
        <v>40.936999999999983</v>
      </c>
      <c r="FE18">
        <v>1684.849677419355</v>
      </c>
      <c r="FF18">
        <v>10.160000000000011</v>
      </c>
      <c r="FG18">
        <v>0</v>
      </c>
      <c r="FH18">
        <v>182</v>
      </c>
      <c r="FI18">
        <v>0</v>
      </c>
      <c r="FJ18">
        <v>811.45252941176477</v>
      </c>
      <c r="FK18">
        <v>-13.74950978318437</v>
      </c>
      <c r="FL18">
        <v>5895.0245131404672</v>
      </c>
      <c r="FM18">
        <v>17921.894117647062</v>
      </c>
      <c r="FN18">
        <v>10</v>
      </c>
      <c r="FO18">
        <v>1784738562.5999999</v>
      </c>
      <c r="FP18" t="s">
        <v>903</v>
      </c>
      <c r="FQ18">
        <v>1784738562.5999999</v>
      </c>
      <c r="FR18">
        <v>1784738562.5999999</v>
      </c>
      <c r="FS18">
        <v>28</v>
      </c>
      <c r="FT18">
        <v>-5.0999999999999997E-2</v>
      </c>
      <c r="FU18">
        <v>7.0000000000000001E-3</v>
      </c>
      <c r="FV18">
        <v>-7.4080000000000004</v>
      </c>
      <c r="FW18">
        <v>-0.88100000000000001</v>
      </c>
      <c r="FX18">
        <v>471</v>
      </c>
      <c r="FY18">
        <v>17</v>
      </c>
      <c r="FZ18">
        <v>0.2</v>
      </c>
      <c r="GA18">
        <v>0.06</v>
      </c>
      <c r="GB18">
        <v>420.34890000000001</v>
      </c>
      <c r="GC18">
        <v>0.42385761957782953</v>
      </c>
      <c r="GD18">
        <v>6.7221202012463441E-2</v>
      </c>
      <c r="GE18">
        <v>-1</v>
      </c>
      <c r="GF18">
        <v>812.48876470588243</v>
      </c>
      <c r="GG18">
        <v>-9.2398472096452693</v>
      </c>
      <c r="GH18">
        <v>0.93587678483943393</v>
      </c>
      <c r="GI18">
        <v>1</v>
      </c>
      <c r="GJ18">
        <v>3.2896822499999998</v>
      </c>
      <c r="GK18">
        <v>0.33384236397747458</v>
      </c>
      <c r="GL18">
        <v>3.6451619476197482E-2</v>
      </c>
      <c r="GM18">
        <v>1</v>
      </c>
      <c r="GN18">
        <v>2</v>
      </c>
      <c r="GO18">
        <v>2</v>
      </c>
      <c r="GP18" t="s">
        <v>424</v>
      </c>
      <c r="GQ18">
        <v>3.13022</v>
      </c>
      <c r="GR18">
        <v>2.7278899999999999</v>
      </c>
      <c r="GS18">
        <v>9.2436400000000002E-2</v>
      </c>
      <c r="GT18">
        <v>9.9885299999999996E-2</v>
      </c>
      <c r="GU18">
        <v>0.104006</v>
      </c>
      <c r="GV18">
        <v>8.9554800000000004E-2</v>
      </c>
      <c r="GW18">
        <v>22779.1</v>
      </c>
      <c r="GX18">
        <v>30336</v>
      </c>
      <c r="GY18">
        <v>27219.599999999999</v>
      </c>
      <c r="GZ18">
        <v>34646.400000000001</v>
      </c>
      <c r="HA18">
        <v>35718.9</v>
      </c>
      <c r="HB18">
        <v>39794.300000000003</v>
      </c>
      <c r="HC18">
        <v>40199.5</v>
      </c>
      <c r="HD18">
        <v>43790.1</v>
      </c>
      <c r="HE18">
        <v>1.9836</v>
      </c>
      <c r="HF18">
        <v>1.8180000000000001</v>
      </c>
      <c r="HG18">
        <v>-5.2839499999999998E-2</v>
      </c>
      <c r="HH18">
        <v>0</v>
      </c>
      <c r="HI18">
        <v>25.8751</v>
      </c>
      <c r="HJ18">
        <v>999.9</v>
      </c>
      <c r="HK18">
        <v>42.6</v>
      </c>
      <c r="HL18">
        <v>35.4</v>
      </c>
      <c r="HM18">
        <v>25.043199999999999</v>
      </c>
      <c r="HN18">
        <v>60.207799999999999</v>
      </c>
      <c r="HO18">
        <v>4.2708399999999997</v>
      </c>
      <c r="HP18">
        <v>1</v>
      </c>
      <c r="HQ18">
        <v>0.40548800000000002</v>
      </c>
      <c r="HR18">
        <v>4.5010000000000003</v>
      </c>
      <c r="HS18">
        <v>20.215599999999998</v>
      </c>
      <c r="HT18">
        <v>5.2088999999999999</v>
      </c>
      <c r="HU18">
        <v>11.908099999999999</v>
      </c>
      <c r="HV18">
        <v>4.9843999999999999</v>
      </c>
      <c r="HW18">
        <v>3.2707999999999999</v>
      </c>
      <c r="HX18">
        <v>9999</v>
      </c>
      <c r="HY18">
        <v>9999</v>
      </c>
      <c r="HZ18">
        <v>9999</v>
      </c>
      <c r="IA18">
        <v>999.9</v>
      </c>
      <c r="IB18">
        <v>1.8672200000000001</v>
      </c>
      <c r="IC18">
        <v>1.8627899999999999</v>
      </c>
      <c r="ID18">
        <v>1.8621799999999999</v>
      </c>
      <c r="IE18">
        <v>1.86172</v>
      </c>
      <c r="IF18">
        <v>1.86172</v>
      </c>
      <c r="IG18">
        <v>1.8624000000000001</v>
      </c>
      <c r="IH18">
        <v>1.8632500000000001</v>
      </c>
      <c r="II18">
        <v>1.86127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-7.22</v>
      </c>
      <c r="IX18">
        <v>-0.78439999999999999</v>
      </c>
      <c r="IY18">
        <v>-5.2264250745670777</v>
      </c>
      <c r="IZ18">
        <v>-5.6215304933332991E-3</v>
      </c>
      <c r="JA18">
        <v>2.3979931213773931E-6</v>
      </c>
      <c r="JB18">
        <v>-3.6297174575716598E-10</v>
      </c>
      <c r="JC18">
        <v>-1.1072811478401461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1.3</v>
      </c>
      <c r="JL18">
        <v>1.3</v>
      </c>
      <c r="JM18">
        <v>1.1962900000000001</v>
      </c>
      <c r="JN18">
        <v>2.52197</v>
      </c>
      <c r="JO18">
        <v>1.50024</v>
      </c>
      <c r="JP18">
        <v>2.2729499999999998</v>
      </c>
      <c r="JQ18">
        <v>1.4477500000000001</v>
      </c>
      <c r="JR18">
        <v>2.4682599999999999</v>
      </c>
      <c r="JS18">
        <v>39.616700000000002</v>
      </c>
      <c r="JT18">
        <v>14.158300000000001</v>
      </c>
      <c r="JU18">
        <v>18</v>
      </c>
      <c r="JV18">
        <v>541.26199999999994</v>
      </c>
      <c r="JW18">
        <v>448.06700000000001</v>
      </c>
      <c r="JX18">
        <v>20.846</v>
      </c>
      <c r="JY18">
        <v>32.314799999999998</v>
      </c>
      <c r="JZ18">
        <v>29.9999</v>
      </c>
      <c r="KA18">
        <v>32.541499999999999</v>
      </c>
      <c r="KB18">
        <v>32.438000000000002</v>
      </c>
      <c r="KC18">
        <v>23.9376</v>
      </c>
      <c r="KD18">
        <v>34.971200000000003</v>
      </c>
      <c r="KE18">
        <v>1.5747500000000001</v>
      </c>
      <c r="KF18">
        <v>20.4299</v>
      </c>
      <c r="KG18">
        <v>468.99900000000002</v>
      </c>
      <c r="KH18">
        <v>17.311900000000001</v>
      </c>
      <c r="KI18">
        <v>100.465</v>
      </c>
      <c r="KJ18">
        <v>98.689800000000005</v>
      </c>
    </row>
    <row r="19" spans="1:296" x14ac:dyDescent="0.3">
      <c r="A19">
        <v>3</v>
      </c>
      <c r="B19">
        <v>1784738822</v>
      </c>
      <c r="C19">
        <v>365.40000009536737</v>
      </c>
      <c r="D19" t="s">
        <v>904</v>
      </c>
      <c r="E19" t="s">
        <v>905</v>
      </c>
      <c r="F19">
        <v>15</v>
      </c>
      <c r="H19">
        <v>1784738814.25</v>
      </c>
      <c r="I19">
        <f t="shared" si="0"/>
        <v>2.8223666106036932E-3</v>
      </c>
      <c r="J19">
        <f t="shared" si="1"/>
        <v>2.8223666106036931</v>
      </c>
      <c r="K19">
        <f t="shared" si="2"/>
        <v>41.654384618936902</v>
      </c>
      <c r="L19">
        <f t="shared" si="3"/>
        <v>419.7557666666666</v>
      </c>
      <c r="M19">
        <f t="shared" si="4"/>
        <v>124.66748588240173</v>
      </c>
      <c r="N19">
        <f t="shared" si="5"/>
        <v>12.25235701433119</v>
      </c>
      <c r="O19">
        <f t="shared" si="6"/>
        <v>41.253719649690098</v>
      </c>
      <c r="P19">
        <f t="shared" si="7"/>
        <v>0.23902203163693717</v>
      </c>
      <c r="Q19">
        <f t="shared" si="8"/>
        <v>2.8965211852936923</v>
      </c>
      <c r="R19">
        <f t="shared" si="9"/>
        <v>0.22857993647765701</v>
      </c>
      <c r="S19">
        <f t="shared" si="10"/>
        <v>0.14376262422622921</v>
      </c>
      <c r="T19">
        <f t="shared" si="11"/>
        <v>255.91139127578569</v>
      </c>
      <c r="U19">
        <f t="shared" si="12"/>
        <v>25.512730352510886</v>
      </c>
      <c r="V19">
        <f t="shared" si="13"/>
        <v>25.062206666666668</v>
      </c>
      <c r="W19">
        <f t="shared" si="14"/>
        <v>3.1914892027012631</v>
      </c>
      <c r="X19">
        <f t="shared" si="15"/>
        <v>64.251099202992251</v>
      </c>
      <c r="Y19">
        <f t="shared" si="16"/>
        <v>2.010096689212256</v>
      </c>
      <c r="Z19">
        <f t="shared" si="17"/>
        <v>3.1285016352197181</v>
      </c>
      <c r="AA19">
        <f t="shared" si="18"/>
        <v>1.1813925134890071</v>
      </c>
      <c r="AB19">
        <f t="shared" si="19"/>
        <v>-124.46636752762288</v>
      </c>
      <c r="AC19">
        <f t="shared" si="20"/>
        <v>-52.169534651456608</v>
      </c>
      <c r="AD19">
        <f t="shared" si="21"/>
        <v>-3.8057649427379836</v>
      </c>
      <c r="AE19">
        <f t="shared" si="22"/>
        <v>75.469724153968201</v>
      </c>
      <c r="AF19">
        <f t="shared" si="23"/>
        <v>41.654384618936902</v>
      </c>
      <c r="AG19">
        <f t="shared" si="24"/>
        <v>2.8223666106036931</v>
      </c>
      <c r="AH19">
        <f t="shared" si="25"/>
        <v>41.774944867078737</v>
      </c>
      <c r="AI19">
        <v>479.6176911935915</v>
      </c>
      <c r="AJ19">
        <v>428.57318787878779</v>
      </c>
      <c r="AK19">
        <v>6.7085882170328463E-3</v>
      </c>
      <c r="AL19">
        <v>67.092203319307799</v>
      </c>
      <c r="AM19">
        <f t="shared" si="26"/>
        <v>2.7861913531494893</v>
      </c>
      <c r="AN19">
        <v>17.193242247341392</v>
      </c>
      <c r="AO19">
        <v>20.506950303030301</v>
      </c>
      <c r="AP19">
        <v>-6.2062626349552851E-3</v>
      </c>
      <c r="AQ19">
        <v>78.247129728472032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52285.979450507395</v>
      </c>
      <c r="AW19" t="s">
        <v>897</v>
      </c>
      <c r="AX19">
        <v>5150.17</v>
      </c>
      <c r="AY19">
        <v>596.47647058823532</v>
      </c>
      <c r="AZ19">
        <v>2397.11</v>
      </c>
      <c r="BA19">
        <f t="shared" si="30"/>
        <v>0.75116850266018864</v>
      </c>
      <c r="BB19">
        <v>-2.146882921728257</v>
      </c>
      <c r="BC19" t="s">
        <v>906</v>
      </c>
      <c r="BD19">
        <v>5137.88</v>
      </c>
      <c r="BE19">
        <v>814.44341176470584</v>
      </c>
      <c r="BF19">
        <v>1026.68</v>
      </c>
      <c r="BG19">
        <f t="shared" si="31"/>
        <v>0.20672126488808018</v>
      </c>
      <c r="BH19">
        <v>0.5</v>
      </c>
      <c r="BI19">
        <f t="shared" si="32"/>
        <v>1344.2758499874537</v>
      </c>
      <c r="BJ19">
        <f t="shared" si="33"/>
        <v>41.654384618936902</v>
      </c>
      <c r="BK19">
        <f t="shared" si="34"/>
        <v>138.94520203395277</v>
      </c>
      <c r="BL19">
        <f t="shared" si="35"/>
        <v>3.2583541198835018E-2</v>
      </c>
      <c r="BM19">
        <f t="shared" si="36"/>
        <v>1.3348170802976584</v>
      </c>
      <c r="BN19">
        <f t="shared" si="37"/>
        <v>447.75657289234908</v>
      </c>
      <c r="BO19" t="s">
        <v>408</v>
      </c>
      <c r="BP19">
        <v>0</v>
      </c>
      <c r="BQ19">
        <f t="shared" si="38"/>
        <v>447.75657289234908</v>
      </c>
      <c r="BR19">
        <f t="shared" si="39"/>
        <v>0.56387913186937599</v>
      </c>
      <c r="BS19">
        <f t="shared" si="40"/>
        <v>0.36660563089603349</v>
      </c>
      <c r="BT19">
        <f t="shared" si="41"/>
        <v>0.70301771907692112</v>
      </c>
      <c r="BU19">
        <f t="shared" si="42"/>
        <v>0.49333995126793628</v>
      </c>
      <c r="BV19">
        <f t="shared" si="43"/>
        <v>0.76108212893697214</v>
      </c>
      <c r="BW19">
        <f t="shared" si="44"/>
        <v>0.20154878598302015</v>
      </c>
      <c r="BX19">
        <f t="shared" si="45"/>
        <v>0.79845121401697983</v>
      </c>
      <c r="DG19">
        <f t="shared" si="46"/>
        <v>1599.9870000000001</v>
      </c>
      <c r="DH19">
        <f t="shared" si="47"/>
        <v>1344.2758499874537</v>
      </c>
      <c r="DI19">
        <f t="shared" si="48"/>
        <v>0.84017923269842421</v>
      </c>
      <c r="DJ19">
        <f t="shared" si="49"/>
        <v>0.1599459191079588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1784738814.25</v>
      </c>
      <c r="DQ19">
        <v>419.7557666666666</v>
      </c>
      <c r="DR19">
        <v>471.1676333333333</v>
      </c>
      <c r="DS19">
        <v>20.452693333333329</v>
      </c>
      <c r="DT19">
        <v>17.13480333333333</v>
      </c>
      <c r="DU19">
        <v>426.97353333333342</v>
      </c>
      <c r="DV19">
        <v>21.332693333333332</v>
      </c>
      <c r="DW19">
        <v>499.95176666666669</v>
      </c>
      <c r="DX19">
        <v>98.227353333333312</v>
      </c>
      <c r="DY19">
        <v>5.2939460000000008E-2</v>
      </c>
      <c r="DZ19">
        <v>24.72812333333334</v>
      </c>
      <c r="EA19">
        <v>25.062206666666668</v>
      </c>
      <c r="EB19">
        <v>999.9000000000002</v>
      </c>
      <c r="EC19">
        <v>0</v>
      </c>
      <c r="ED19">
        <v>0</v>
      </c>
      <c r="EE19">
        <v>9990</v>
      </c>
      <c r="EF19">
        <v>0</v>
      </c>
      <c r="EG19">
        <v>1635.16</v>
      </c>
      <c r="EH19">
        <v>-51.411776666666668</v>
      </c>
      <c r="EI19">
        <v>428.56096666666662</v>
      </c>
      <c r="EJ19">
        <v>479.38173333333327</v>
      </c>
      <c r="EK19">
        <v>3.411112666666666</v>
      </c>
      <c r="EL19">
        <v>471.1676333333333</v>
      </c>
      <c r="EM19">
        <v>17.13480333333333</v>
      </c>
      <c r="EN19">
        <v>2.0181719999999999</v>
      </c>
      <c r="EO19">
        <v>1.683108333333333</v>
      </c>
      <c r="EP19">
        <v>17.58761333333333</v>
      </c>
      <c r="EQ19">
        <v>14.741416666666661</v>
      </c>
      <c r="ER19">
        <v>1599.9870000000001</v>
      </c>
      <c r="ES19">
        <v>0.9940089999999997</v>
      </c>
      <c r="ET19">
        <v>5.9908499999999981E-3</v>
      </c>
      <c r="EU19">
        <v>0</v>
      </c>
      <c r="EV19">
        <v>814.20693333333327</v>
      </c>
      <c r="EW19">
        <v>5.0010700000000003</v>
      </c>
      <c r="EX19">
        <v>17133.27</v>
      </c>
      <c r="EY19">
        <v>14578.45</v>
      </c>
      <c r="EZ19">
        <v>39.731099999999998</v>
      </c>
      <c r="FA19">
        <v>42</v>
      </c>
      <c r="FB19">
        <v>40.75</v>
      </c>
      <c r="FC19">
        <v>41.332999999999991</v>
      </c>
      <c r="FD19">
        <v>41</v>
      </c>
      <c r="FE19">
        <v>1585.427000000001</v>
      </c>
      <c r="FF19">
        <v>9.5590000000000011</v>
      </c>
      <c r="FG19">
        <v>0</v>
      </c>
      <c r="FH19">
        <v>182.20000004768369</v>
      </c>
      <c r="FI19">
        <v>0</v>
      </c>
      <c r="FJ19">
        <v>814.44341176470584</v>
      </c>
      <c r="FK19">
        <v>6.992892209178394</v>
      </c>
      <c r="FL19">
        <v>196.5196083259282</v>
      </c>
      <c r="FM19">
        <v>17136.688235294121</v>
      </c>
      <c r="FN19">
        <v>10</v>
      </c>
      <c r="FO19">
        <v>1784738846</v>
      </c>
      <c r="FP19" t="s">
        <v>907</v>
      </c>
      <c r="FQ19">
        <v>1784738562.5999999</v>
      </c>
      <c r="FR19">
        <v>1784738846</v>
      </c>
      <c r="FS19">
        <v>29</v>
      </c>
      <c r="FT19">
        <v>-5.0999999999999997E-2</v>
      </c>
      <c r="FU19">
        <v>-1.4E-2</v>
      </c>
      <c r="FV19">
        <v>-7.4080000000000004</v>
      </c>
      <c r="FW19">
        <v>-0.88</v>
      </c>
      <c r="FX19">
        <v>471</v>
      </c>
      <c r="FY19">
        <v>17</v>
      </c>
      <c r="FZ19">
        <v>0.2</v>
      </c>
      <c r="GA19">
        <v>7.0000000000000007E-2</v>
      </c>
      <c r="GB19">
        <v>419.75893548387103</v>
      </c>
      <c r="GC19">
        <v>-7.8870967753420125E-3</v>
      </c>
      <c r="GD19">
        <v>6.866841105179898E-2</v>
      </c>
      <c r="GE19">
        <v>-1</v>
      </c>
      <c r="GF19">
        <v>813.95267647058824</v>
      </c>
      <c r="GG19">
        <v>5.2107715911365871</v>
      </c>
      <c r="GH19">
        <v>0.55914108082834879</v>
      </c>
      <c r="GI19">
        <v>1</v>
      </c>
      <c r="GJ19">
        <v>3.4762143902439031</v>
      </c>
      <c r="GK19">
        <v>-1.2068280836236871</v>
      </c>
      <c r="GL19">
        <v>0.1203721659149956</v>
      </c>
      <c r="GM19">
        <v>0</v>
      </c>
      <c r="GN19">
        <v>1</v>
      </c>
      <c r="GO19">
        <v>2</v>
      </c>
      <c r="GP19" t="s">
        <v>411</v>
      </c>
      <c r="GQ19">
        <v>3.1304799999999999</v>
      </c>
      <c r="GR19">
        <v>2.7287400000000002</v>
      </c>
      <c r="GS19">
        <v>9.23345E-2</v>
      </c>
      <c r="GT19">
        <v>0.100178</v>
      </c>
      <c r="GU19">
        <v>0.103559</v>
      </c>
      <c r="GV19">
        <v>8.9202600000000007E-2</v>
      </c>
      <c r="GW19">
        <v>22781.599999999999</v>
      </c>
      <c r="GX19">
        <v>30326.2</v>
      </c>
      <c r="GY19">
        <v>27219.599999999999</v>
      </c>
      <c r="GZ19">
        <v>34646.300000000003</v>
      </c>
      <c r="HA19">
        <v>35737.1</v>
      </c>
      <c r="HB19">
        <v>39810.300000000003</v>
      </c>
      <c r="HC19">
        <v>40200</v>
      </c>
      <c r="HD19">
        <v>43790.7</v>
      </c>
      <c r="HE19">
        <v>1.984</v>
      </c>
      <c r="HF19">
        <v>1.8171999999999999</v>
      </c>
      <c r="HG19">
        <v>-6.5684300000000001E-2</v>
      </c>
      <c r="HH19">
        <v>0</v>
      </c>
      <c r="HI19">
        <v>26.1325</v>
      </c>
      <c r="HJ19">
        <v>999.9</v>
      </c>
      <c r="HK19">
        <v>42.3</v>
      </c>
      <c r="HL19">
        <v>35.6</v>
      </c>
      <c r="HM19">
        <v>25.144600000000001</v>
      </c>
      <c r="HN19">
        <v>61.287799999999997</v>
      </c>
      <c r="HO19">
        <v>4.7195499999999999</v>
      </c>
      <c r="HP19">
        <v>1</v>
      </c>
      <c r="HQ19">
        <v>0.41483700000000001</v>
      </c>
      <c r="HR19">
        <v>6.2062999999999997</v>
      </c>
      <c r="HS19">
        <v>20.163</v>
      </c>
      <c r="HT19">
        <v>5.2088999999999999</v>
      </c>
      <c r="HU19">
        <v>11.908099999999999</v>
      </c>
      <c r="HV19">
        <v>4.9843999999999999</v>
      </c>
      <c r="HW19">
        <v>3.2702</v>
      </c>
      <c r="HX19">
        <v>9999</v>
      </c>
      <c r="HY19">
        <v>9999</v>
      </c>
      <c r="HZ19">
        <v>9999</v>
      </c>
      <c r="IA19">
        <v>999.9</v>
      </c>
      <c r="IB19">
        <v>1.8671</v>
      </c>
      <c r="IC19">
        <v>1.8627899999999999</v>
      </c>
      <c r="ID19">
        <v>1.8621799999999999</v>
      </c>
      <c r="IE19">
        <v>1.86172</v>
      </c>
      <c r="IF19">
        <v>1.86172</v>
      </c>
      <c r="IG19">
        <v>1.8624000000000001</v>
      </c>
      <c r="IH19">
        <v>1.8632500000000001</v>
      </c>
      <c r="II19">
        <v>1.86127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-7.2169999999999996</v>
      </c>
      <c r="IX19">
        <v>-0.88</v>
      </c>
      <c r="IY19">
        <v>-5.2264250745670777</v>
      </c>
      <c r="IZ19">
        <v>-5.6215304933332991E-3</v>
      </c>
      <c r="JA19">
        <v>2.3979931213773931E-6</v>
      </c>
      <c r="JB19">
        <v>-3.6297174575716598E-10</v>
      </c>
      <c r="JC19">
        <v>-1.1072811478401461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4.3</v>
      </c>
      <c r="JL19">
        <v>4.3</v>
      </c>
      <c r="JM19">
        <v>1.2023900000000001</v>
      </c>
      <c r="JN19">
        <v>2.5305200000000001</v>
      </c>
      <c r="JO19">
        <v>1.50024</v>
      </c>
      <c r="JP19">
        <v>2.2729499999999998</v>
      </c>
      <c r="JQ19">
        <v>1.4477500000000001</v>
      </c>
      <c r="JR19">
        <v>2.31934</v>
      </c>
      <c r="JS19">
        <v>39.717100000000002</v>
      </c>
      <c r="JT19">
        <v>14.0707</v>
      </c>
      <c r="JU19">
        <v>18</v>
      </c>
      <c r="JV19">
        <v>541.41600000000005</v>
      </c>
      <c r="JW19">
        <v>447.56200000000001</v>
      </c>
      <c r="JX19">
        <v>19.8871</v>
      </c>
      <c r="JY19">
        <v>32.293700000000001</v>
      </c>
      <c r="JZ19">
        <v>30.0001</v>
      </c>
      <c r="KA19">
        <v>32.529000000000003</v>
      </c>
      <c r="KB19">
        <v>32.438000000000002</v>
      </c>
      <c r="KC19">
        <v>24.044699999999999</v>
      </c>
      <c r="KD19">
        <v>35.468200000000003</v>
      </c>
      <c r="KE19">
        <v>0</v>
      </c>
      <c r="KF19">
        <v>19.849900000000002</v>
      </c>
      <c r="KG19">
        <v>471.54899999999998</v>
      </c>
      <c r="KH19">
        <v>17.3216</v>
      </c>
      <c r="KI19">
        <v>100.465</v>
      </c>
      <c r="KJ19">
        <v>98.690399999999997</v>
      </c>
    </row>
    <row r="20" spans="1:296" x14ac:dyDescent="0.3">
      <c r="A20">
        <v>4</v>
      </c>
      <c r="B20">
        <v>1784739027</v>
      </c>
      <c r="C20">
        <v>570.40000009536743</v>
      </c>
      <c r="D20" t="s">
        <v>908</v>
      </c>
      <c r="E20" t="s">
        <v>909</v>
      </c>
      <c r="F20">
        <v>15</v>
      </c>
      <c r="H20">
        <v>1784739019</v>
      </c>
      <c r="I20">
        <f t="shared" si="0"/>
        <v>2.7671280863248203E-3</v>
      </c>
      <c r="J20">
        <f t="shared" si="1"/>
        <v>2.7671280863248202</v>
      </c>
      <c r="K20">
        <f t="shared" si="2"/>
        <v>40.564349550422008</v>
      </c>
      <c r="L20">
        <f t="shared" si="3"/>
        <v>420.01690322580652</v>
      </c>
      <c r="M20">
        <f t="shared" si="4"/>
        <v>135.64779399911851</v>
      </c>
      <c r="N20">
        <f t="shared" si="5"/>
        <v>13.330862753937938</v>
      </c>
      <c r="O20">
        <f t="shared" si="6"/>
        <v>41.277395865896978</v>
      </c>
      <c r="P20">
        <f t="shared" si="7"/>
        <v>0.24176290202254416</v>
      </c>
      <c r="Q20">
        <f t="shared" si="8"/>
        <v>2.8974512624431483</v>
      </c>
      <c r="R20">
        <f t="shared" si="9"/>
        <v>0.23108896875198606</v>
      </c>
      <c r="S20">
        <f t="shared" si="10"/>
        <v>0.14535034187770363</v>
      </c>
      <c r="T20">
        <f t="shared" si="11"/>
        <v>224.00377766442742</v>
      </c>
      <c r="U20">
        <f t="shared" si="12"/>
        <v>25.219725941758746</v>
      </c>
      <c r="V20">
        <f t="shared" si="13"/>
        <v>24.97437096774194</v>
      </c>
      <c r="W20">
        <f t="shared" si="14"/>
        <v>3.1748223499056296</v>
      </c>
      <c r="X20">
        <f t="shared" si="15"/>
        <v>65.316650892963068</v>
      </c>
      <c r="Y20">
        <f t="shared" si="16"/>
        <v>2.0291988101894853</v>
      </c>
      <c r="Z20">
        <f t="shared" si="17"/>
        <v>3.1067098242909181</v>
      </c>
      <c r="AA20">
        <f t="shared" si="18"/>
        <v>1.1456235397161443</v>
      </c>
      <c r="AB20">
        <f t="shared" si="19"/>
        <v>-122.03034860692458</v>
      </c>
      <c r="AC20">
        <f t="shared" si="20"/>
        <v>-56.734524941776804</v>
      </c>
      <c r="AD20">
        <f t="shared" si="21"/>
        <v>-4.1331874799147794</v>
      </c>
      <c r="AE20">
        <f t="shared" si="22"/>
        <v>41.10571663581127</v>
      </c>
      <c r="AF20">
        <f t="shared" si="23"/>
        <v>40.564349550422008</v>
      </c>
      <c r="AG20">
        <f t="shared" si="24"/>
        <v>2.7671280863248202</v>
      </c>
      <c r="AH20">
        <f t="shared" si="25"/>
        <v>40.612823147107292</v>
      </c>
      <c r="AI20">
        <v>478.38177242112431</v>
      </c>
      <c r="AJ20">
        <v>428.84524848484853</v>
      </c>
      <c r="AK20">
        <v>-1.1365030819195279E-2</v>
      </c>
      <c r="AL20">
        <v>67.079243440573748</v>
      </c>
      <c r="AM20">
        <f t="shared" si="26"/>
        <v>2.7711734667839742</v>
      </c>
      <c r="AN20">
        <v>17.40762808390399</v>
      </c>
      <c r="AO20">
        <v>20.663399999999999</v>
      </c>
      <c r="AP20">
        <v>1.359998961935595E-4</v>
      </c>
      <c r="AQ20">
        <v>78.213118037029375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52333.199131930189</v>
      </c>
      <c r="AW20" t="s">
        <v>897</v>
      </c>
      <c r="AX20">
        <v>5150.17</v>
      </c>
      <c r="AY20">
        <v>596.47647058823532</v>
      </c>
      <c r="AZ20">
        <v>2397.11</v>
      </c>
      <c r="BA20">
        <f t="shared" si="30"/>
        <v>0.75116850266018864</v>
      </c>
      <c r="BB20">
        <v>-2.146882921728257</v>
      </c>
      <c r="BC20" t="s">
        <v>910</v>
      </c>
      <c r="BD20">
        <v>5137.87</v>
      </c>
      <c r="BE20">
        <v>820.01</v>
      </c>
      <c r="BF20">
        <v>1085.45</v>
      </c>
      <c r="BG20">
        <f t="shared" si="31"/>
        <v>0.24454373762034187</v>
      </c>
      <c r="BH20">
        <v>0.5</v>
      </c>
      <c r="BI20">
        <f t="shared" si="32"/>
        <v>1176.2830739695346</v>
      </c>
      <c r="BJ20">
        <f t="shared" si="33"/>
        <v>40.564349550422008</v>
      </c>
      <c r="BK20">
        <f t="shared" si="34"/>
        <v>143.82632970402753</v>
      </c>
      <c r="BL20">
        <f t="shared" si="35"/>
        <v>3.6310335001263884E-2</v>
      </c>
      <c r="BM20">
        <f t="shared" si="36"/>
        <v>1.2084020452346953</v>
      </c>
      <c r="BN20">
        <f t="shared" si="37"/>
        <v>458.58518395032115</v>
      </c>
      <c r="BO20" t="s">
        <v>408</v>
      </c>
      <c r="BP20">
        <v>0</v>
      </c>
      <c r="BQ20">
        <f t="shared" si="38"/>
        <v>458.58518395032115</v>
      </c>
      <c r="BR20">
        <f t="shared" si="39"/>
        <v>0.57751606803600253</v>
      </c>
      <c r="BS20">
        <f t="shared" si="40"/>
        <v>0.4234405779426676</v>
      </c>
      <c r="BT20">
        <f t="shared" si="41"/>
        <v>0.67662791269956379</v>
      </c>
      <c r="BU20">
        <f t="shared" si="42"/>
        <v>0.54285147157009594</v>
      </c>
      <c r="BV20">
        <f t="shared" si="43"/>
        <v>0.7284436164134388</v>
      </c>
      <c r="BW20">
        <f t="shared" si="44"/>
        <v>0.23680635032239669</v>
      </c>
      <c r="BX20">
        <f t="shared" si="45"/>
        <v>0.76319364967760328</v>
      </c>
      <c r="DG20">
        <f t="shared" si="46"/>
        <v>1399.988064516129</v>
      </c>
      <c r="DH20">
        <f t="shared" si="47"/>
        <v>1176.2830739695346</v>
      </c>
      <c r="DI20">
        <f t="shared" si="48"/>
        <v>0.84020935876770309</v>
      </c>
      <c r="DJ20">
        <f t="shared" si="49"/>
        <v>0.16000406242166695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1784739019</v>
      </c>
      <c r="DQ20">
        <v>420.01690322580652</v>
      </c>
      <c r="DR20">
        <v>470.08761290322582</v>
      </c>
      <c r="DS20">
        <v>20.64805161290322</v>
      </c>
      <c r="DT20">
        <v>17.39613870967742</v>
      </c>
      <c r="DU20">
        <v>427.24200000000002</v>
      </c>
      <c r="DV20">
        <v>21.446325806451611</v>
      </c>
      <c r="DW20">
        <v>500.01196774193551</v>
      </c>
      <c r="DX20">
        <v>98.222677419354838</v>
      </c>
      <c r="DY20">
        <v>5.2881370967741939E-2</v>
      </c>
      <c r="DZ20">
        <v>24.611170967741931</v>
      </c>
      <c r="EA20">
        <v>24.97437096774194</v>
      </c>
      <c r="EB20">
        <v>999.90000000000032</v>
      </c>
      <c r="EC20">
        <v>0</v>
      </c>
      <c r="ED20">
        <v>0</v>
      </c>
      <c r="EE20">
        <v>9995.8064516129034</v>
      </c>
      <c r="EF20">
        <v>0</v>
      </c>
      <c r="EG20">
        <v>1504.228387096774</v>
      </c>
      <c r="EH20">
        <v>-50.07086774193548</v>
      </c>
      <c r="EI20">
        <v>428.87212903225799</v>
      </c>
      <c r="EJ20">
        <v>478.41016129032272</v>
      </c>
      <c r="EK20">
        <v>3.2518961290322581</v>
      </c>
      <c r="EL20">
        <v>470.08761290322582</v>
      </c>
      <c r="EM20">
        <v>17.39613870967742</v>
      </c>
      <c r="EN20">
        <v>2.028106774193549</v>
      </c>
      <c r="EO20">
        <v>1.7086964516129031</v>
      </c>
      <c r="EP20">
        <v>17.6654870967742</v>
      </c>
      <c r="EQ20">
        <v>14.975661290322581</v>
      </c>
      <c r="ER20">
        <v>1399.988064516129</v>
      </c>
      <c r="ES20">
        <v>0.99299612903225831</v>
      </c>
      <c r="ET20">
        <v>7.0034593548387071E-3</v>
      </c>
      <c r="EU20">
        <v>0</v>
      </c>
      <c r="EV20">
        <v>820.06367741935469</v>
      </c>
      <c r="EW20">
        <v>5.0010700000000003</v>
      </c>
      <c r="EX20">
        <v>15577.583870967739</v>
      </c>
      <c r="EY20">
        <v>12745.390322580641</v>
      </c>
      <c r="EZ20">
        <v>39.875</v>
      </c>
      <c r="FA20">
        <v>42.561999999999983</v>
      </c>
      <c r="FB20">
        <v>41.061999999999983</v>
      </c>
      <c r="FC20">
        <v>41.84248387096774</v>
      </c>
      <c r="FD20">
        <v>41.191064516129018</v>
      </c>
      <c r="FE20">
        <v>1385.2180645161291</v>
      </c>
      <c r="FF20">
        <v>9.7699999999999978</v>
      </c>
      <c r="FG20">
        <v>0</v>
      </c>
      <c r="FH20">
        <v>204.20000004768369</v>
      </c>
      <c r="FI20">
        <v>0</v>
      </c>
      <c r="FJ20">
        <v>820.01</v>
      </c>
      <c r="FK20">
        <v>0.67303920698883213</v>
      </c>
      <c r="FL20">
        <v>-1058.6764637994131</v>
      </c>
      <c r="FM20">
        <v>15480.23529411765</v>
      </c>
      <c r="FN20">
        <v>10</v>
      </c>
      <c r="FO20">
        <v>1784738942.5</v>
      </c>
      <c r="FP20" t="s">
        <v>911</v>
      </c>
      <c r="FQ20">
        <v>1784738937</v>
      </c>
      <c r="FR20">
        <v>1784738942.5</v>
      </c>
      <c r="FS20">
        <v>30</v>
      </c>
      <c r="FT20">
        <v>-7.0000000000000001E-3</v>
      </c>
      <c r="FU20">
        <v>0</v>
      </c>
      <c r="FV20">
        <v>-7.4119999999999999</v>
      </c>
      <c r="FW20">
        <v>-0.879</v>
      </c>
      <c r="FX20">
        <v>471</v>
      </c>
      <c r="FY20">
        <v>17</v>
      </c>
      <c r="FZ20">
        <v>0.2</v>
      </c>
      <c r="GA20">
        <v>7.0000000000000007E-2</v>
      </c>
      <c r="GB20">
        <v>420.01725806451611</v>
      </c>
      <c r="GC20">
        <v>4.3838709676825668E-2</v>
      </c>
      <c r="GD20">
        <v>6.8792332535017042E-2</v>
      </c>
      <c r="GE20">
        <v>-1</v>
      </c>
      <c r="GF20">
        <v>820.02635294117636</v>
      </c>
      <c r="GG20">
        <v>0.23633307466046999</v>
      </c>
      <c r="GH20">
        <v>0.25564381037973471</v>
      </c>
      <c r="GI20">
        <v>1</v>
      </c>
      <c r="GJ20">
        <v>3.2505648780487801</v>
      </c>
      <c r="GK20">
        <v>1.865142857142538E-2</v>
      </c>
      <c r="GL20">
        <v>4.1222786274934071E-3</v>
      </c>
      <c r="GM20">
        <v>1</v>
      </c>
      <c r="GN20">
        <v>2</v>
      </c>
      <c r="GO20">
        <v>2</v>
      </c>
      <c r="GP20" t="s">
        <v>424</v>
      </c>
      <c r="GQ20">
        <v>3.12947</v>
      </c>
      <c r="GR20">
        <v>2.7297199999999999</v>
      </c>
      <c r="GS20">
        <v>9.2329700000000001E-2</v>
      </c>
      <c r="GT20">
        <v>9.9977099999999999E-2</v>
      </c>
      <c r="GU20">
        <v>0.10406</v>
      </c>
      <c r="GV20">
        <v>8.9818099999999998E-2</v>
      </c>
      <c r="GW20">
        <v>22771.3</v>
      </c>
      <c r="GX20">
        <v>30319.9</v>
      </c>
      <c r="GY20">
        <v>27208.400000000001</v>
      </c>
      <c r="GZ20">
        <v>34633.4</v>
      </c>
      <c r="HA20">
        <v>35704.5</v>
      </c>
      <c r="HB20">
        <v>39768.9</v>
      </c>
      <c r="HC20">
        <v>40184.699999999997</v>
      </c>
      <c r="HD20">
        <v>43774.5</v>
      </c>
      <c r="HE20">
        <v>1.98</v>
      </c>
      <c r="HF20">
        <v>1.8111999999999999</v>
      </c>
      <c r="HG20">
        <v>-8.9436799999999997E-2</v>
      </c>
      <c r="HH20">
        <v>0</v>
      </c>
      <c r="HI20">
        <v>26.4314</v>
      </c>
      <c r="HJ20">
        <v>999.9</v>
      </c>
      <c r="HK20">
        <v>42.3</v>
      </c>
      <c r="HL20">
        <v>35.799999999999997</v>
      </c>
      <c r="HM20">
        <v>25.424199999999999</v>
      </c>
      <c r="HN20">
        <v>61.037799999999997</v>
      </c>
      <c r="HO20">
        <v>4.80769</v>
      </c>
      <c r="HP20">
        <v>1</v>
      </c>
      <c r="HQ20">
        <v>0.43664599999999998</v>
      </c>
      <c r="HR20">
        <v>5.7927</v>
      </c>
      <c r="HS20">
        <v>20.180299999999999</v>
      </c>
      <c r="HT20">
        <v>5.2112999999999996</v>
      </c>
      <c r="HU20">
        <v>11.908099999999999</v>
      </c>
      <c r="HV20">
        <v>4.9847999999999999</v>
      </c>
      <c r="HW20">
        <v>3.2706</v>
      </c>
      <c r="HX20">
        <v>9999</v>
      </c>
      <c r="HY20">
        <v>9999</v>
      </c>
      <c r="HZ20">
        <v>9999</v>
      </c>
      <c r="IA20">
        <v>999.9</v>
      </c>
      <c r="IB20">
        <v>1.8671</v>
      </c>
      <c r="IC20">
        <v>1.8627899999999999</v>
      </c>
      <c r="ID20">
        <v>1.8621799999999999</v>
      </c>
      <c r="IE20">
        <v>1.8616900000000001</v>
      </c>
      <c r="IF20">
        <v>1.86172</v>
      </c>
      <c r="IG20">
        <v>1.86246</v>
      </c>
      <c r="IH20">
        <v>1.8632500000000001</v>
      </c>
      <c r="II20">
        <v>1.86127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-7.2249999999999996</v>
      </c>
      <c r="IX20">
        <v>-0.79800000000000004</v>
      </c>
      <c r="IY20">
        <v>-5.2328214307180598</v>
      </c>
      <c r="IZ20">
        <v>-5.6215304933332991E-3</v>
      </c>
      <c r="JA20">
        <v>2.3979931213773931E-6</v>
      </c>
      <c r="JB20">
        <v>-3.6297174575716598E-10</v>
      </c>
      <c r="JC20">
        <v>-1.1217529104247601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1.5</v>
      </c>
      <c r="JL20">
        <v>1.4</v>
      </c>
      <c r="JM20">
        <v>1.1987300000000001</v>
      </c>
      <c r="JN20">
        <v>2.51953</v>
      </c>
      <c r="JO20">
        <v>1.50024</v>
      </c>
      <c r="JP20">
        <v>2.2729499999999998</v>
      </c>
      <c r="JQ20">
        <v>1.4477500000000001</v>
      </c>
      <c r="JR20">
        <v>2.4316399999999998</v>
      </c>
      <c r="JS20">
        <v>39.9437</v>
      </c>
      <c r="JT20">
        <v>14.0707</v>
      </c>
      <c r="JU20">
        <v>18</v>
      </c>
      <c r="JV20">
        <v>540.59699999999998</v>
      </c>
      <c r="JW20">
        <v>445.30500000000001</v>
      </c>
      <c r="JX20">
        <v>19.964200000000002</v>
      </c>
      <c r="JY20">
        <v>32.591299999999997</v>
      </c>
      <c r="JZ20">
        <v>30.000399999999999</v>
      </c>
      <c r="KA20">
        <v>32.744599999999998</v>
      </c>
      <c r="KB20">
        <v>32.650100000000002</v>
      </c>
      <c r="KC20">
        <v>23.989699999999999</v>
      </c>
      <c r="KD20">
        <v>36.333399999999997</v>
      </c>
      <c r="KE20">
        <v>0</v>
      </c>
      <c r="KF20">
        <v>19.9649</v>
      </c>
      <c r="KG20">
        <v>470.11900000000003</v>
      </c>
      <c r="KH20">
        <v>17.2958</v>
      </c>
      <c r="KI20">
        <v>100.426</v>
      </c>
      <c r="KJ20">
        <v>98.653800000000004</v>
      </c>
    </row>
    <row r="21" spans="1:296" x14ac:dyDescent="0.3">
      <c r="A21">
        <v>5</v>
      </c>
      <c r="B21">
        <v>1784739209.5</v>
      </c>
      <c r="C21">
        <v>752.90000009536743</v>
      </c>
      <c r="D21" t="s">
        <v>912</v>
      </c>
      <c r="E21" t="s">
        <v>913</v>
      </c>
      <c r="F21">
        <v>15</v>
      </c>
      <c r="H21">
        <v>1784739201.75</v>
      </c>
      <c r="I21">
        <f t="shared" si="0"/>
        <v>2.3825050324866709E-3</v>
      </c>
      <c r="J21">
        <f t="shared" si="1"/>
        <v>2.3825050324866708</v>
      </c>
      <c r="K21">
        <f t="shared" si="2"/>
        <v>36.580822258121827</v>
      </c>
      <c r="L21">
        <f t="shared" si="3"/>
        <v>420.02103333333338</v>
      </c>
      <c r="M21">
        <f t="shared" si="4"/>
        <v>123.46193022361021</v>
      </c>
      <c r="N21">
        <f t="shared" si="5"/>
        <v>12.131995281604535</v>
      </c>
      <c r="O21">
        <f t="shared" si="6"/>
        <v>41.273396465983552</v>
      </c>
      <c r="P21">
        <f t="shared" si="7"/>
        <v>0.20767958199310535</v>
      </c>
      <c r="Q21">
        <f t="shared" si="8"/>
        <v>2.8995736372921792</v>
      </c>
      <c r="R21">
        <f t="shared" si="9"/>
        <v>0.19975558721671149</v>
      </c>
      <c r="S21">
        <f t="shared" si="10"/>
        <v>0.12553399074794352</v>
      </c>
      <c r="T21">
        <f t="shared" si="11"/>
        <v>160.17503214924906</v>
      </c>
      <c r="U21">
        <f t="shared" si="12"/>
        <v>25.049991337730102</v>
      </c>
      <c r="V21">
        <f t="shared" si="13"/>
        <v>24.958556666666659</v>
      </c>
      <c r="W21">
        <f t="shared" si="14"/>
        <v>3.1718296750094366</v>
      </c>
      <c r="X21">
        <f t="shared" si="15"/>
        <v>64.940268668399469</v>
      </c>
      <c r="Y21">
        <f t="shared" si="16"/>
        <v>2.0308386443584037</v>
      </c>
      <c r="Z21">
        <f t="shared" si="17"/>
        <v>3.1272409030648629</v>
      </c>
      <c r="AA21">
        <f t="shared" si="18"/>
        <v>1.1409910306510329</v>
      </c>
      <c r="AB21">
        <f t="shared" si="19"/>
        <v>-105.06847193266219</v>
      </c>
      <c r="AC21">
        <f t="shared" si="20"/>
        <v>-37.076407828793798</v>
      </c>
      <c r="AD21">
        <f t="shared" si="21"/>
        <v>-2.7003726988989216</v>
      </c>
      <c r="AE21">
        <f t="shared" si="22"/>
        <v>15.329779688894156</v>
      </c>
      <c r="AF21">
        <f t="shared" si="23"/>
        <v>36.580822258121827</v>
      </c>
      <c r="AG21">
        <f t="shared" si="24"/>
        <v>2.3825050324866708</v>
      </c>
      <c r="AH21">
        <f t="shared" si="25"/>
        <v>36.71001994298657</v>
      </c>
      <c r="AI21">
        <v>473.61698197597872</v>
      </c>
      <c r="AJ21">
        <v>428.94872727272741</v>
      </c>
      <c r="AK21">
        <v>-3.4144309221434438E-2</v>
      </c>
      <c r="AL21">
        <v>67.08586443730465</v>
      </c>
      <c r="AM21">
        <f t="shared" si="26"/>
        <v>2.3861870204147282</v>
      </c>
      <c r="AN21">
        <v>17.871728976067171</v>
      </c>
      <c r="AO21">
        <v>20.67502787878788</v>
      </c>
      <c r="AP21">
        <v>1.135734571786194E-4</v>
      </c>
      <c r="AQ21">
        <v>78.233302447557222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52374.701303486705</v>
      </c>
      <c r="AW21" t="s">
        <v>897</v>
      </c>
      <c r="AX21">
        <v>5150.17</v>
      </c>
      <c r="AY21">
        <v>596.47647058823532</v>
      </c>
      <c r="AZ21">
        <v>2397.11</v>
      </c>
      <c r="BA21">
        <f t="shared" si="30"/>
        <v>0.75116850266018864</v>
      </c>
      <c r="BB21">
        <v>-2.146882921728257</v>
      </c>
      <c r="BC21" t="s">
        <v>914</v>
      </c>
      <c r="BD21">
        <v>5140.8900000000003</v>
      </c>
      <c r="BE21">
        <v>819.48217647058834</v>
      </c>
      <c r="BF21">
        <v>1238.73</v>
      </c>
      <c r="BG21">
        <f t="shared" si="31"/>
        <v>0.33844972151268771</v>
      </c>
      <c r="BH21">
        <v>0.5</v>
      </c>
      <c r="BI21">
        <f t="shared" si="32"/>
        <v>840.29211286489578</v>
      </c>
      <c r="BJ21">
        <f t="shared" si="33"/>
        <v>36.580822258121827</v>
      </c>
      <c r="BK21">
        <f t="shared" si="34"/>
        <v>142.19831579421597</v>
      </c>
      <c r="BL21">
        <f t="shared" si="35"/>
        <v>4.608838353582978E-2</v>
      </c>
      <c r="BM21">
        <f t="shared" si="36"/>
        <v>0.93513517877180663</v>
      </c>
      <c r="BN21">
        <f t="shared" si="37"/>
        <v>483.881547453525</v>
      </c>
      <c r="BO21" t="s">
        <v>408</v>
      </c>
      <c r="BP21">
        <v>0</v>
      </c>
      <c r="BQ21">
        <f t="shared" si="38"/>
        <v>483.881547453525</v>
      </c>
      <c r="BR21">
        <f t="shared" si="39"/>
        <v>0.60937286781338551</v>
      </c>
      <c r="BS21">
        <f t="shared" si="40"/>
        <v>0.55540661455300411</v>
      </c>
      <c r="BT21">
        <f t="shared" si="41"/>
        <v>0.60545827575280708</v>
      </c>
      <c r="BU21">
        <f t="shared" si="42"/>
        <v>0.65277620803952241</v>
      </c>
      <c r="BV21">
        <f t="shared" si="43"/>
        <v>0.64331802172895358</v>
      </c>
      <c r="BW21">
        <f t="shared" si="44"/>
        <v>0.3279522359757836</v>
      </c>
      <c r="BX21">
        <f t="shared" si="45"/>
        <v>0.6720477640242164</v>
      </c>
      <c r="DG21">
        <f t="shared" si="46"/>
        <v>999.99229999999989</v>
      </c>
      <c r="DH21">
        <f t="shared" si="47"/>
        <v>840.29211286489578</v>
      </c>
      <c r="DI21">
        <f t="shared" si="48"/>
        <v>0.8402985831639862</v>
      </c>
      <c r="DJ21">
        <f t="shared" si="49"/>
        <v>0.16017626550649347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1784739201.75</v>
      </c>
      <c r="DQ21">
        <v>420.02103333333338</v>
      </c>
      <c r="DR21">
        <v>465.11533333333318</v>
      </c>
      <c r="DS21">
        <v>20.666943333333339</v>
      </c>
      <c r="DT21">
        <v>17.867243333333342</v>
      </c>
      <c r="DU21">
        <v>427.27816666666672</v>
      </c>
      <c r="DV21">
        <v>21.47076666666667</v>
      </c>
      <c r="DW21">
        <v>500.03913333333333</v>
      </c>
      <c r="DX21">
        <v>98.212649999999996</v>
      </c>
      <c r="DY21">
        <v>5.2420533333333331E-2</v>
      </c>
      <c r="DZ21">
        <v>24.721376666666661</v>
      </c>
      <c r="EA21">
        <v>24.958556666666659</v>
      </c>
      <c r="EB21">
        <v>999.9000000000002</v>
      </c>
      <c r="EC21">
        <v>0</v>
      </c>
      <c r="ED21">
        <v>0</v>
      </c>
      <c r="EE21">
        <v>10009</v>
      </c>
      <c r="EF21">
        <v>0</v>
      </c>
      <c r="EG21">
        <v>917.31960000000004</v>
      </c>
      <c r="EH21">
        <v>-45.094386666666672</v>
      </c>
      <c r="EI21">
        <v>428.88470000000001</v>
      </c>
      <c r="EJ21">
        <v>473.57690000000002</v>
      </c>
      <c r="EK21">
        <v>2.799685666666667</v>
      </c>
      <c r="EL21">
        <v>465.11533333333318</v>
      </c>
      <c r="EM21">
        <v>17.867243333333342</v>
      </c>
      <c r="EN21">
        <v>2.0297540000000001</v>
      </c>
      <c r="EO21">
        <v>1.754788666666667</v>
      </c>
      <c r="EP21">
        <v>17.678380000000001</v>
      </c>
      <c r="EQ21">
        <v>15.389786666666661</v>
      </c>
      <c r="ER21">
        <v>999.99229999999989</v>
      </c>
      <c r="ES21">
        <v>0.98999496666666642</v>
      </c>
      <c r="ET21">
        <v>1.000469666666667E-2</v>
      </c>
      <c r="EU21">
        <v>0</v>
      </c>
      <c r="EV21">
        <v>819.4653666666668</v>
      </c>
      <c r="EW21">
        <v>5.0010700000000003</v>
      </c>
      <c r="EX21">
        <v>11603.67666666667</v>
      </c>
      <c r="EY21">
        <v>9080.1943333333311</v>
      </c>
      <c r="EZ21">
        <v>39.337199999999982</v>
      </c>
      <c r="FA21">
        <v>42.378999999999991</v>
      </c>
      <c r="FB21">
        <v>40.887399999999992</v>
      </c>
      <c r="FC21">
        <v>41.766533333333342</v>
      </c>
      <c r="FD21">
        <v>40.891533333333342</v>
      </c>
      <c r="FE21">
        <v>985.03566666666677</v>
      </c>
      <c r="FF21">
        <v>9.9526666666666639</v>
      </c>
      <c r="FG21">
        <v>0</v>
      </c>
      <c r="FH21">
        <v>182</v>
      </c>
      <c r="FI21">
        <v>0</v>
      </c>
      <c r="FJ21">
        <v>819.48217647058834</v>
      </c>
      <c r="FK21">
        <v>0.71691179960945461</v>
      </c>
      <c r="FL21">
        <v>-1477.598044168406</v>
      </c>
      <c r="FM21">
        <v>11338.094117647061</v>
      </c>
      <c r="FN21">
        <v>10</v>
      </c>
      <c r="FO21">
        <v>1784739152.5</v>
      </c>
      <c r="FP21" t="s">
        <v>915</v>
      </c>
      <c r="FQ21">
        <v>1784739150</v>
      </c>
      <c r="FR21">
        <v>1784739152.5</v>
      </c>
      <c r="FS21">
        <v>31</v>
      </c>
      <c r="FT21">
        <v>-3.2000000000000001E-2</v>
      </c>
      <c r="FU21">
        <v>-6.0000000000000001E-3</v>
      </c>
      <c r="FV21">
        <v>-7.4260000000000002</v>
      </c>
      <c r="FW21">
        <v>-0.88400000000000001</v>
      </c>
      <c r="FX21">
        <v>466</v>
      </c>
      <c r="FY21">
        <v>17</v>
      </c>
      <c r="FZ21">
        <v>0.15</v>
      </c>
      <c r="GA21">
        <v>0.1</v>
      </c>
      <c r="GB21">
        <v>420.0050322580646</v>
      </c>
      <c r="GC21">
        <v>1.0643709677407871</v>
      </c>
      <c r="GD21">
        <v>9.9705852505926021E-2</v>
      </c>
      <c r="GE21">
        <v>-1</v>
      </c>
      <c r="GF21">
        <v>819.42770588235294</v>
      </c>
      <c r="GG21">
        <v>0.5413598199365649</v>
      </c>
      <c r="GH21">
        <v>0.23059150657943961</v>
      </c>
      <c r="GI21">
        <v>1</v>
      </c>
      <c r="GJ21">
        <v>2.798120975609756</v>
      </c>
      <c r="GK21">
        <v>2.8225714285711849E-2</v>
      </c>
      <c r="GL21">
        <v>3.9347165298324596E-3</v>
      </c>
      <c r="GM21">
        <v>1</v>
      </c>
      <c r="GN21">
        <v>2</v>
      </c>
      <c r="GO21">
        <v>2</v>
      </c>
      <c r="GP21" t="s">
        <v>424</v>
      </c>
      <c r="GQ21">
        <v>3.1298599999999999</v>
      </c>
      <c r="GR21">
        <v>2.7288999999999999</v>
      </c>
      <c r="GS21">
        <v>9.2299800000000001E-2</v>
      </c>
      <c r="GT21">
        <v>9.9100599999999997E-2</v>
      </c>
      <c r="GU21">
        <v>0.104099</v>
      </c>
      <c r="GV21">
        <v>9.1625799999999993E-2</v>
      </c>
      <c r="GW21">
        <v>22765.1</v>
      </c>
      <c r="GX21">
        <v>30337.200000000001</v>
      </c>
      <c r="GY21">
        <v>27200.9</v>
      </c>
      <c r="GZ21">
        <v>34620.6</v>
      </c>
      <c r="HA21">
        <v>35694</v>
      </c>
      <c r="HB21">
        <v>39678.1</v>
      </c>
      <c r="HC21">
        <v>40173.9</v>
      </c>
      <c r="HD21">
        <v>43761.4</v>
      </c>
      <c r="HE21">
        <v>1.9770000000000001</v>
      </c>
      <c r="HF21">
        <v>1.8082</v>
      </c>
      <c r="HG21">
        <v>-8.1956399999999999E-2</v>
      </c>
      <c r="HH21">
        <v>0</v>
      </c>
      <c r="HI21">
        <v>26.293700000000001</v>
      </c>
      <c r="HJ21">
        <v>999.9</v>
      </c>
      <c r="HK21">
        <v>42.4</v>
      </c>
      <c r="HL21">
        <v>36</v>
      </c>
      <c r="HM21">
        <v>25.770299999999999</v>
      </c>
      <c r="HN21">
        <v>60.627899999999997</v>
      </c>
      <c r="HO21">
        <v>4.7075300000000002</v>
      </c>
      <c r="HP21">
        <v>1</v>
      </c>
      <c r="HQ21">
        <v>0.444878</v>
      </c>
      <c r="HR21">
        <v>4.6079999999999997</v>
      </c>
      <c r="HS21">
        <v>20.217199999999998</v>
      </c>
      <c r="HT21">
        <v>5.2112999999999996</v>
      </c>
      <c r="HU21">
        <v>11.908099999999999</v>
      </c>
      <c r="HV21">
        <v>4.9843999999999999</v>
      </c>
      <c r="HW21">
        <v>3.2706</v>
      </c>
      <c r="HX21">
        <v>9999</v>
      </c>
      <c r="HY21">
        <v>9999</v>
      </c>
      <c r="HZ21">
        <v>9999</v>
      </c>
      <c r="IA21">
        <v>999.9</v>
      </c>
      <c r="IB21">
        <v>1.8671899999999999</v>
      </c>
      <c r="IC21">
        <v>1.8627899999999999</v>
      </c>
      <c r="ID21">
        <v>1.8621799999999999</v>
      </c>
      <c r="IE21">
        <v>1.86172</v>
      </c>
      <c r="IF21">
        <v>1.86172</v>
      </c>
      <c r="IG21">
        <v>1.86246</v>
      </c>
      <c r="IH21">
        <v>1.8632500000000001</v>
      </c>
      <c r="II21">
        <v>1.86127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-7.2569999999999997</v>
      </c>
      <c r="IX21">
        <v>-0.8034</v>
      </c>
      <c r="IY21">
        <v>-5.2646478788226636</v>
      </c>
      <c r="IZ21">
        <v>-5.6215304933332991E-3</v>
      </c>
      <c r="JA21">
        <v>2.3979931213773931E-6</v>
      </c>
      <c r="JB21">
        <v>-3.6297174575716598E-10</v>
      </c>
      <c r="JC21">
        <v>-1.1279427046568691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</v>
      </c>
      <c r="JL21">
        <v>0.9</v>
      </c>
      <c r="JM21">
        <v>1.18896</v>
      </c>
      <c r="JN21">
        <v>2.5293000000000001</v>
      </c>
      <c r="JO21">
        <v>1.50024</v>
      </c>
      <c r="JP21">
        <v>2.2729499999999998</v>
      </c>
      <c r="JQ21">
        <v>1.4477500000000001</v>
      </c>
      <c r="JR21">
        <v>2.34009</v>
      </c>
      <c r="JS21">
        <v>40.146000000000001</v>
      </c>
      <c r="JT21">
        <v>14.079499999999999</v>
      </c>
      <c r="JU21">
        <v>18</v>
      </c>
      <c r="JV21">
        <v>540.26499999999999</v>
      </c>
      <c r="JW21">
        <v>444.72199999999998</v>
      </c>
      <c r="JX21">
        <v>20.861999999999998</v>
      </c>
      <c r="JY21">
        <v>32.766500000000001</v>
      </c>
      <c r="JZ21">
        <v>29.999700000000001</v>
      </c>
      <c r="KA21">
        <v>32.940300000000001</v>
      </c>
      <c r="KB21">
        <v>32.831499999999998</v>
      </c>
      <c r="KC21">
        <v>23.787299999999998</v>
      </c>
      <c r="KD21">
        <v>35.392299999999999</v>
      </c>
      <c r="KE21">
        <v>0</v>
      </c>
      <c r="KF21">
        <v>20.879899999999999</v>
      </c>
      <c r="KG21">
        <v>464.976</v>
      </c>
      <c r="KH21">
        <v>17.802700000000002</v>
      </c>
      <c r="KI21">
        <v>100.399</v>
      </c>
      <c r="KJ21">
        <v>98.621300000000005</v>
      </c>
    </row>
    <row r="22" spans="1:296" x14ac:dyDescent="0.3">
      <c r="A22">
        <v>6</v>
      </c>
      <c r="B22">
        <v>1784739392</v>
      </c>
      <c r="C22">
        <v>935.40000009536743</v>
      </c>
      <c r="D22" t="s">
        <v>916</v>
      </c>
      <c r="E22" t="s">
        <v>917</v>
      </c>
      <c r="F22">
        <v>15</v>
      </c>
      <c r="H22">
        <v>1784739384</v>
      </c>
      <c r="I22">
        <f t="shared" si="0"/>
        <v>2.0671000415844304E-3</v>
      </c>
      <c r="J22">
        <f t="shared" si="1"/>
        <v>2.0671000415844305</v>
      </c>
      <c r="K22">
        <f t="shared" si="2"/>
        <v>33.80374674217871</v>
      </c>
      <c r="L22">
        <f t="shared" si="3"/>
        <v>419.96877419354843</v>
      </c>
      <c r="M22">
        <f t="shared" si="4"/>
        <v>106.41638552113967</v>
      </c>
      <c r="N22">
        <f t="shared" si="5"/>
        <v>10.456838679455124</v>
      </c>
      <c r="O22">
        <f t="shared" si="6"/>
        <v>41.267570784746013</v>
      </c>
      <c r="P22">
        <f t="shared" si="7"/>
        <v>0.18045156507285989</v>
      </c>
      <c r="Q22">
        <f t="shared" si="8"/>
        <v>2.8971248132430079</v>
      </c>
      <c r="R22">
        <f t="shared" si="9"/>
        <v>0.17443185872227313</v>
      </c>
      <c r="S22">
        <f t="shared" si="10"/>
        <v>0.109544029565127</v>
      </c>
      <c r="T22">
        <f t="shared" si="11"/>
        <v>128.27709223053469</v>
      </c>
      <c r="U22">
        <f t="shared" si="12"/>
        <v>25.094082694375135</v>
      </c>
      <c r="V22">
        <f t="shared" si="13"/>
        <v>24.98206129032258</v>
      </c>
      <c r="W22">
        <f t="shared" si="14"/>
        <v>3.1762785466649324</v>
      </c>
      <c r="X22">
        <f t="shared" si="15"/>
        <v>64.733545099177221</v>
      </c>
      <c r="Y22">
        <f t="shared" si="16"/>
        <v>2.0427343442612926</v>
      </c>
      <c r="Z22">
        <f t="shared" si="17"/>
        <v>3.1556040089132336</v>
      </c>
      <c r="AA22">
        <f t="shared" si="18"/>
        <v>1.1335442024036397</v>
      </c>
      <c r="AB22">
        <f t="shared" si="19"/>
        <v>-91.159111833873382</v>
      </c>
      <c r="AC22">
        <f t="shared" si="20"/>
        <v>-17.098751621670612</v>
      </c>
      <c r="AD22">
        <f t="shared" si="21"/>
        <v>-1.2474967664637944</v>
      </c>
      <c r="AE22">
        <f t="shared" si="22"/>
        <v>18.7717320085269</v>
      </c>
      <c r="AF22">
        <f t="shared" si="23"/>
        <v>33.80374674217871</v>
      </c>
      <c r="AG22">
        <f t="shared" si="24"/>
        <v>2.0671000415844305</v>
      </c>
      <c r="AH22">
        <f t="shared" si="25"/>
        <v>33.617960460225333</v>
      </c>
      <c r="AI22">
        <v>470.2916789523523</v>
      </c>
      <c r="AJ22">
        <v>428.99701818181791</v>
      </c>
      <c r="AK22">
        <v>3.7276029109468298E-2</v>
      </c>
      <c r="AL22">
        <v>67.094951466963664</v>
      </c>
      <c r="AM22">
        <f t="shared" si="26"/>
        <v>2.0862608269513121</v>
      </c>
      <c r="AN22">
        <v>18.360914222022281</v>
      </c>
      <c r="AO22">
        <v>20.808633333333329</v>
      </c>
      <c r="AP22">
        <v>5.9955605288599442E-4</v>
      </c>
      <c r="AQ22">
        <v>78.254268321512399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52277.654239704578</v>
      </c>
      <c r="AW22" t="s">
        <v>897</v>
      </c>
      <c r="AX22">
        <v>5150.17</v>
      </c>
      <c r="AY22">
        <v>596.47647058823532</v>
      </c>
      <c r="AZ22">
        <v>2397.11</v>
      </c>
      <c r="BA22">
        <f t="shared" si="30"/>
        <v>0.75116850266018864</v>
      </c>
      <c r="BB22">
        <v>-2.146882921728257</v>
      </c>
      <c r="BC22" t="s">
        <v>918</v>
      </c>
      <c r="BD22">
        <v>5144.51</v>
      </c>
      <c r="BE22">
        <v>822.70058823529416</v>
      </c>
      <c r="BF22">
        <v>1378.85</v>
      </c>
      <c r="BG22">
        <f t="shared" si="31"/>
        <v>0.40334293923538145</v>
      </c>
      <c r="BH22">
        <v>0.5</v>
      </c>
      <c r="BI22">
        <f t="shared" si="32"/>
        <v>672.30732215855892</v>
      </c>
      <c r="BJ22">
        <f t="shared" si="33"/>
        <v>33.80374674217871</v>
      </c>
      <c r="BK22">
        <f t="shared" si="34"/>
        <v>135.58520569445082</v>
      </c>
      <c r="BL22">
        <f t="shared" si="35"/>
        <v>5.3473506057440001E-2</v>
      </c>
      <c r="BM22">
        <f t="shared" si="36"/>
        <v>0.73848496935852359</v>
      </c>
      <c r="BN22">
        <f t="shared" si="37"/>
        <v>503.883656117702</v>
      </c>
      <c r="BO22" t="s">
        <v>408</v>
      </c>
      <c r="BP22">
        <v>0</v>
      </c>
      <c r="BQ22">
        <f t="shared" si="38"/>
        <v>503.883656117702</v>
      </c>
      <c r="BR22">
        <f t="shared" si="39"/>
        <v>0.6345623845104964</v>
      </c>
      <c r="BS22">
        <f t="shared" si="40"/>
        <v>0.63562377644953161</v>
      </c>
      <c r="BT22">
        <f t="shared" si="41"/>
        <v>0.5378437730334612</v>
      </c>
      <c r="BU22">
        <f t="shared" si="42"/>
        <v>0.71084896262128439</v>
      </c>
      <c r="BV22">
        <f t="shared" si="43"/>
        <v>0.56550096583653409</v>
      </c>
      <c r="BW22">
        <f t="shared" si="44"/>
        <v>0.38930376004682027</v>
      </c>
      <c r="BX22">
        <f t="shared" si="45"/>
        <v>0.61069623995317968</v>
      </c>
      <c r="DG22">
        <f t="shared" si="46"/>
        <v>799.99729032258085</v>
      </c>
      <c r="DH22">
        <f t="shared" si="47"/>
        <v>672.30732215855892</v>
      </c>
      <c r="DI22">
        <f t="shared" si="48"/>
        <v>0.84038699917029236</v>
      </c>
      <c r="DJ22">
        <f t="shared" si="49"/>
        <v>0.1603469083986645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1784739384</v>
      </c>
      <c r="DQ22">
        <v>419.96877419354843</v>
      </c>
      <c r="DR22">
        <v>461.5753548387097</v>
      </c>
      <c r="DS22">
        <v>20.788348387096779</v>
      </c>
      <c r="DT22">
        <v>18.359374193548391</v>
      </c>
      <c r="DU22">
        <v>427.24006451612911</v>
      </c>
      <c r="DV22">
        <v>21.602006451612901</v>
      </c>
      <c r="DW22">
        <v>499.99587096774189</v>
      </c>
      <c r="DX22">
        <v>98.212212903225819</v>
      </c>
      <c r="DY22">
        <v>5.1213619354838702E-2</v>
      </c>
      <c r="DZ22">
        <v>24.8725870967742</v>
      </c>
      <c r="EA22">
        <v>24.98206129032258</v>
      </c>
      <c r="EB22">
        <v>999.90000000000032</v>
      </c>
      <c r="EC22">
        <v>0</v>
      </c>
      <c r="ED22">
        <v>0</v>
      </c>
      <c r="EE22">
        <v>9995</v>
      </c>
      <c r="EF22">
        <v>0</v>
      </c>
      <c r="EG22">
        <v>652.04748387096765</v>
      </c>
      <c r="EH22">
        <v>-41.606561290322588</v>
      </c>
      <c r="EI22">
        <v>428.88458064516129</v>
      </c>
      <c r="EJ22">
        <v>470.20812903225811</v>
      </c>
      <c r="EK22">
        <v>2.4289880645161288</v>
      </c>
      <c r="EL22">
        <v>461.5753548387097</v>
      </c>
      <c r="EM22">
        <v>18.359374193548391</v>
      </c>
      <c r="EN22">
        <v>2.0416703225806461</v>
      </c>
      <c r="EO22">
        <v>1.803114193548387</v>
      </c>
      <c r="EP22">
        <v>17.771251612903232</v>
      </c>
      <c r="EQ22">
        <v>15.81381612903226</v>
      </c>
      <c r="ER22">
        <v>799.99729032258085</v>
      </c>
      <c r="ES22">
        <v>0.98702393548387102</v>
      </c>
      <c r="ET22">
        <v>1.297620322580645E-2</v>
      </c>
      <c r="EU22">
        <v>0</v>
      </c>
      <c r="EV22">
        <v>822.50851612903239</v>
      </c>
      <c r="EW22">
        <v>5.0010700000000003</v>
      </c>
      <c r="EX22">
        <v>9756.0216129032269</v>
      </c>
      <c r="EY22">
        <v>7246.660322580643</v>
      </c>
      <c r="EZ22">
        <v>38.512</v>
      </c>
      <c r="FA22">
        <v>41.548064516129031</v>
      </c>
      <c r="FB22">
        <v>40.148999999999987</v>
      </c>
      <c r="FC22">
        <v>41.133000000000003</v>
      </c>
      <c r="FD22">
        <v>40.195129032258052</v>
      </c>
      <c r="FE22">
        <v>784.68064516129027</v>
      </c>
      <c r="FF22">
        <v>10.32</v>
      </c>
      <c r="FG22">
        <v>0</v>
      </c>
      <c r="FH22">
        <v>181.60000014305109</v>
      </c>
      <c r="FI22">
        <v>0</v>
      </c>
      <c r="FJ22">
        <v>822.70058823529416</v>
      </c>
      <c r="FK22">
        <v>2.7870098625932509</v>
      </c>
      <c r="FL22">
        <v>-29.470587710404121</v>
      </c>
      <c r="FM22">
        <v>9770.5317647058837</v>
      </c>
      <c r="FN22">
        <v>10</v>
      </c>
      <c r="FO22">
        <v>1784739302.5</v>
      </c>
      <c r="FP22" t="s">
        <v>919</v>
      </c>
      <c r="FQ22">
        <v>1784739302.5</v>
      </c>
      <c r="FR22">
        <v>1784739299.5</v>
      </c>
      <c r="FS22">
        <v>32</v>
      </c>
      <c r="FT22">
        <v>-1.4E-2</v>
      </c>
      <c r="FU22">
        <v>-1.2999999999999999E-2</v>
      </c>
      <c r="FV22">
        <v>-7.4279999999999999</v>
      </c>
      <c r="FW22">
        <v>-0.88200000000000001</v>
      </c>
      <c r="FX22">
        <v>462</v>
      </c>
      <c r="FY22">
        <v>18</v>
      </c>
      <c r="FZ22">
        <v>0.15</v>
      </c>
      <c r="GA22">
        <v>0.1</v>
      </c>
      <c r="GB22">
        <v>419.96219354838712</v>
      </c>
      <c r="GC22">
        <v>6.7306451611457457E-2</v>
      </c>
      <c r="GD22">
        <v>7.0016781101363265E-2</v>
      </c>
      <c r="GE22">
        <v>-1</v>
      </c>
      <c r="GF22">
        <v>822.34985294117644</v>
      </c>
      <c r="GG22">
        <v>2.9588846497994461</v>
      </c>
      <c r="GH22">
        <v>0.40067987312397191</v>
      </c>
      <c r="GI22">
        <v>1</v>
      </c>
      <c r="GJ22">
        <v>2.422157804878049</v>
      </c>
      <c r="GK22">
        <v>0.1452167247386828</v>
      </c>
      <c r="GL22">
        <v>1.6901732991272522E-2</v>
      </c>
      <c r="GM22">
        <v>1</v>
      </c>
      <c r="GN22">
        <v>2</v>
      </c>
      <c r="GO22">
        <v>2</v>
      </c>
      <c r="GP22" t="s">
        <v>424</v>
      </c>
      <c r="GQ22">
        <v>3.1308400000000001</v>
      </c>
      <c r="GR22">
        <v>2.7266499999999998</v>
      </c>
      <c r="GS22">
        <v>9.2309000000000002E-2</v>
      </c>
      <c r="GT22">
        <v>9.8592899999999997E-2</v>
      </c>
      <c r="GU22">
        <v>0.104598</v>
      </c>
      <c r="GV22">
        <v>9.3446799999999997E-2</v>
      </c>
      <c r="GW22">
        <v>22772.799999999999</v>
      </c>
      <c r="GX22">
        <v>30366.1</v>
      </c>
      <c r="GY22">
        <v>27209.4</v>
      </c>
      <c r="GZ22">
        <v>34632.400000000001</v>
      </c>
      <c r="HA22">
        <v>35684</v>
      </c>
      <c r="HB22">
        <v>39609.599999999999</v>
      </c>
      <c r="HC22">
        <v>40186.1</v>
      </c>
      <c r="HD22">
        <v>43774.2</v>
      </c>
      <c r="HE22">
        <v>1.9822</v>
      </c>
      <c r="HF22">
        <v>1.8089999999999999</v>
      </c>
      <c r="HG22">
        <v>-6.6131400000000007E-2</v>
      </c>
      <c r="HH22">
        <v>0</v>
      </c>
      <c r="HI22">
        <v>26.0566</v>
      </c>
      <c r="HJ22">
        <v>999.9</v>
      </c>
      <c r="HK22">
        <v>42.2</v>
      </c>
      <c r="HL22">
        <v>36.200000000000003</v>
      </c>
      <c r="HM22">
        <v>25.930900000000001</v>
      </c>
      <c r="HN22">
        <v>60.567900000000002</v>
      </c>
      <c r="HO22">
        <v>4.3549699999999998</v>
      </c>
      <c r="HP22">
        <v>1</v>
      </c>
      <c r="HQ22">
        <v>0.425203</v>
      </c>
      <c r="HR22">
        <v>4.4836200000000002</v>
      </c>
      <c r="HS22">
        <v>20.222200000000001</v>
      </c>
      <c r="HT22">
        <v>5.2100999999999997</v>
      </c>
      <c r="HU22">
        <v>11.908099999999999</v>
      </c>
      <c r="HV22">
        <v>4.9847999999999999</v>
      </c>
      <c r="HW22">
        <v>3.2704</v>
      </c>
      <c r="HX22">
        <v>9999</v>
      </c>
      <c r="HY22">
        <v>9999</v>
      </c>
      <c r="HZ22">
        <v>9999</v>
      </c>
      <c r="IA22">
        <v>999.9</v>
      </c>
      <c r="IB22">
        <v>1.8671</v>
      </c>
      <c r="IC22">
        <v>1.8627899999999999</v>
      </c>
      <c r="ID22">
        <v>1.8621799999999999</v>
      </c>
      <c r="IE22">
        <v>1.86172</v>
      </c>
      <c r="IF22">
        <v>1.86172</v>
      </c>
      <c r="IG22">
        <v>1.86246</v>
      </c>
      <c r="IH22">
        <v>1.86328</v>
      </c>
      <c r="II22">
        <v>1.86127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-7.2709999999999999</v>
      </c>
      <c r="IX22">
        <v>-0.81310000000000004</v>
      </c>
      <c r="IY22">
        <v>-5.2789051121400146</v>
      </c>
      <c r="IZ22">
        <v>-5.6215304933332991E-3</v>
      </c>
      <c r="JA22">
        <v>2.3979931213773931E-6</v>
      </c>
      <c r="JB22">
        <v>-3.6297174575716598E-10</v>
      </c>
      <c r="JC22">
        <v>-1.141195667113494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1.5</v>
      </c>
      <c r="JL22">
        <v>1.5</v>
      </c>
      <c r="JM22">
        <v>1.18286</v>
      </c>
      <c r="JN22">
        <v>2.52075</v>
      </c>
      <c r="JO22">
        <v>1.50024</v>
      </c>
      <c r="JP22">
        <v>2.2729499999999998</v>
      </c>
      <c r="JQ22">
        <v>1.4477500000000001</v>
      </c>
      <c r="JR22">
        <v>2.48291</v>
      </c>
      <c r="JS22">
        <v>40.1967</v>
      </c>
      <c r="JT22">
        <v>14.0707</v>
      </c>
      <c r="JU22">
        <v>18</v>
      </c>
      <c r="JV22">
        <v>542.76499999999999</v>
      </c>
      <c r="JW22">
        <v>444.53100000000001</v>
      </c>
      <c r="JX22">
        <v>21.206700000000001</v>
      </c>
      <c r="JY22">
        <v>32.537599999999998</v>
      </c>
      <c r="JZ22">
        <v>29.999400000000001</v>
      </c>
      <c r="KA22">
        <v>32.828499999999998</v>
      </c>
      <c r="KB22">
        <v>32.7346</v>
      </c>
      <c r="KC22">
        <v>23.654</v>
      </c>
      <c r="KD22">
        <v>34.207000000000001</v>
      </c>
      <c r="KE22">
        <v>0</v>
      </c>
      <c r="KF22">
        <v>21.220600000000001</v>
      </c>
      <c r="KG22">
        <v>461.54599999999999</v>
      </c>
      <c r="KH22">
        <v>18.390499999999999</v>
      </c>
      <c r="KI22">
        <v>100.43</v>
      </c>
      <c r="KJ22">
        <v>98.652299999999997</v>
      </c>
    </row>
    <row r="23" spans="1:296" x14ac:dyDescent="0.3">
      <c r="A23">
        <v>7</v>
      </c>
      <c r="B23">
        <v>1784739574.5</v>
      </c>
      <c r="C23">
        <v>1117.900000095367</v>
      </c>
      <c r="D23" t="s">
        <v>920</v>
      </c>
      <c r="E23" t="s">
        <v>921</v>
      </c>
      <c r="F23">
        <v>15</v>
      </c>
      <c r="H23">
        <v>1784739566.75</v>
      </c>
      <c r="I23">
        <f t="shared" si="0"/>
        <v>1.9605209091878169E-3</v>
      </c>
      <c r="J23">
        <f t="shared" si="1"/>
        <v>1.9605209091878171</v>
      </c>
      <c r="K23">
        <f t="shared" si="2"/>
        <v>29.75116800198434</v>
      </c>
      <c r="L23">
        <f t="shared" si="3"/>
        <v>420.06683333333331</v>
      </c>
      <c r="M23">
        <f t="shared" si="4"/>
        <v>130.32360527390205</v>
      </c>
      <c r="N23">
        <f t="shared" si="5"/>
        <v>12.806558320598233</v>
      </c>
      <c r="O23">
        <f t="shared" si="6"/>
        <v>41.278864165290592</v>
      </c>
      <c r="P23">
        <f t="shared" si="7"/>
        <v>0.17197837429615542</v>
      </c>
      <c r="Q23">
        <f t="shared" si="8"/>
        <v>2.8994185682981364</v>
      </c>
      <c r="R23">
        <f t="shared" si="9"/>
        <v>0.16650566339163042</v>
      </c>
      <c r="S23">
        <f t="shared" si="10"/>
        <v>0.10454323362934466</v>
      </c>
      <c r="T23">
        <f t="shared" si="11"/>
        <v>96.342394108582766</v>
      </c>
      <c r="U23">
        <f t="shared" si="12"/>
        <v>24.984605440439857</v>
      </c>
      <c r="V23">
        <f t="shared" si="13"/>
        <v>25.024683333333329</v>
      </c>
      <c r="W23">
        <f t="shared" si="14"/>
        <v>3.1843598066272514</v>
      </c>
      <c r="X23">
        <f t="shared" si="15"/>
        <v>65.016589104833656</v>
      </c>
      <c r="Y23">
        <f t="shared" si="16"/>
        <v>2.0581747496947798</v>
      </c>
      <c r="Z23">
        <f t="shared" si="17"/>
        <v>3.1656147731406672</v>
      </c>
      <c r="AA23">
        <f t="shared" si="18"/>
        <v>1.1261850569324716</v>
      </c>
      <c r="AB23">
        <f t="shared" si="19"/>
        <v>-86.45897209518273</v>
      </c>
      <c r="AC23">
        <f t="shared" si="20"/>
        <v>-15.476595066093338</v>
      </c>
      <c r="AD23">
        <f t="shared" si="21"/>
        <v>-1.1287973697131284</v>
      </c>
      <c r="AE23">
        <f t="shared" si="22"/>
        <v>-6.7219704224064287</v>
      </c>
      <c r="AF23">
        <f t="shared" si="23"/>
        <v>29.75116800198434</v>
      </c>
      <c r="AG23">
        <f t="shared" si="24"/>
        <v>1.9605209091878171</v>
      </c>
      <c r="AH23">
        <f t="shared" si="25"/>
        <v>29.702636446660158</v>
      </c>
      <c r="AI23">
        <v>465.34088891892878</v>
      </c>
      <c r="AJ23">
        <v>429.06959999999981</v>
      </c>
      <c r="AK23">
        <v>-9.1223583864385258E-3</v>
      </c>
      <c r="AL23">
        <v>67.08563700111273</v>
      </c>
      <c r="AM23">
        <f t="shared" si="26"/>
        <v>1.948912579414207</v>
      </c>
      <c r="AN23">
        <v>18.643271626860901</v>
      </c>
      <c r="AO23">
        <v>20.933058181818179</v>
      </c>
      <c r="AP23">
        <v>-1.196784044092975E-5</v>
      </c>
      <c r="AQ23">
        <v>78.23334417453475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52334.420158084453</v>
      </c>
      <c r="AW23" t="s">
        <v>897</v>
      </c>
      <c r="AX23">
        <v>5150.17</v>
      </c>
      <c r="AY23">
        <v>596.47647058823532</v>
      </c>
      <c r="AZ23">
        <v>2397.11</v>
      </c>
      <c r="BA23">
        <f t="shared" si="30"/>
        <v>0.75116850266018864</v>
      </c>
      <c r="BB23">
        <v>-2.146882921728257</v>
      </c>
      <c r="BC23" t="s">
        <v>922</v>
      </c>
      <c r="BD23">
        <v>5144.72</v>
      </c>
      <c r="BE23">
        <v>814.40258823529405</v>
      </c>
      <c r="BF23">
        <v>1563.88</v>
      </c>
      <c r="BG23">
        <f t="shared" si="31"/>
        <v>0.47924227675058573</v>
      </c>
      <c r="BH23">
        <v>0.5</v>
      </c>
      <c r="BI23">
        <f t="shared" si="32"/>
        <v>504.28764747594948</v>
      </c>
      <c r="BJ23">
        <f t="shared" si="33"/>
        <v>29.75116800198434</v>
      </c>
      <c r="BK23">
        <f t="shared" si="34"/>
        <v>120.83798015678539</v>
      </c>
      <c r="BL23">
        <f t="shared" si="35"/>
        <v>6.3253682860105909E-2</v>
      </c>
      <c r="BM23">
        <f t="shared" si="36"/>
        <v>0.53279663401283983</v>
      </c>
      <c r="BN23">
        <f t="shared" si="37"/>
        <v>526.65442575747625</v>
      </c>
      <c r="BO23" t="s">
        <v>408</v>
      </c>
      <c r="BP23">
        <v>0</v>
      </c>
      <c r="BQ23">
        <f t="shared" si="38"/>
        <v>526.65442575747625</v>
      </c>
      <c r="BR23">
        <f t="shared" si="39"/>
        <v>0.66323859518794526</v>
      </c>
      <c r="BS23">
        <f t="shared" si="40"/>
        <v>0.72257899378545731</v>
      </c>
      <c r="BT23">
        <f t="shared" si="41"/>
        <v>0.44546901379223197</v>
      </c>
      <c r="BU23">
        <f t="shared" si="42"/>
        <v>0.77473090492075225</v>
      </c>
      <c r="BV23">
        <f t="shared" si="43"/>
        <v>0.46274268827605447</v>
      </c>
      <c r="BW23">
        <f t="shared" si="44"/>
        <v>0.46727433155768427</v>
      </c>
      <c r="BX23">
        <f t="shared" si="45"/>
        <v>0.53272566844231573</v>
      </c>
      <c r="DG23">
        <f t="shared" si="46"/>
        <v>599.98136666666664</v>
      </c>
      <c r="DH23">
        <f t="shared" si="47"/>
        <v>504.28764747594948</v>
      </c>
      <c r="DI23">
        <f t="shared" si="48"/>
        <v>0.8405055148256263</v>
      </c>
      <c r="DJ23">
        <f t="shared" si="49"/>
        <v>0.16057564361345905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1784739566.75</v>
      </c>
      <c r="DQ23">
        <v>420.06683333333331</v>
      </c>
      <c r="DR23">
        <v>456.75606666666658</v>
      </c>
      <c r="DS23">
        <v>20.94464</v>
      </c>
      <c r="DT23">
        <v>18.641316666666668</v>
      </c>
      <c r="DU23">
        <v>427.33030000000002</v>
      </c>
      <c r="DV23">
        <v>21.758546666666671</v>
      </c>
      <c r="DW23">
        <v>500.00583333333333</v>
      </c>
      <c r="DX23">
        <v>98.217003333333324</v>
      </c>
      <c r="DY23">
        <v>5.036959333333333E-2</v>
      </c>
      <c r="DZ23">
        <v>24.925673333333329</v>
      </c>
      <c r="EA23">
        <v>25.024683333333329</v>
      </c>
      <c r="EB23">
        <v>999.9000000000002</v>
      </c>
      <c r="EC23">
        <v>0</v>
      </c>
      <c r="ED23">
        <v>0</v>
      </c>
      <c r="EE23">
        <v>10007.66666666667</v>
      </c>
      <c r="EF23">
        <v>0</v>
      </c>
      <c r="EG23">
        <v>1081.2975666666671</v>
      </c>
      <c r="EH23">
        <v>-36.689229999999988</v>
      </c>
      <c r="EI23">
        <v>429.05326666666667</v>
      </c>
      <c r="EJ23">
        <v>465.43236666666678</v>
      </c>
      <c r="EK23">
        <v>2.3033203333333332</v>
      </c>
      <c r="EL23">
        <v>456.75606666666658</v>
      </c>
      <c r="EM23">
        <v>18.641316666666668</v>
      </c>
      <c r="EN23">
        <v>2.057119333333334</v>
      </c>
      <c r="EO23">
        <v>1.830894333333333</v>
      </c>
      <c r="EP23">
        <v>17.890976666666671</v>
      </c>
      <c r="EQ23">
        <v>16.05307333333333</v>
      </c>
      <c r="ER23">
        <v>599.98136666666664</v>
      </c>
      <c r="ES23">
        <v>0.98300893333333339</v>
      </c>
      <c r="ET23">
        <v>1.6990966666666669E-2</v>
      </c>
      <c r="EU23">
        <v>0</v>
      </c>
      <c r="EV23">
        <v>814.38746666666668</v>
      </c>
      <c r="EW23">
        <v>5.0010700000000003</v>
      </c>
      <c r="EX23">
        <v>8541.5919999999987</v>
      </c>
      <c r="EY23">
        <v>5414.9600000000009</v>
      </c>
      <c r="EZ23">
        <v>37.472700000000003</v>
      </c>
      <c r="FA23">
        <v>40.682866666666648</v>
      </c>
      <c r="FB23">
        <v>39.25</v>
      </c>
      <c r="FC23">
        <v>40.335099999999983</v>
      </c>
      <c r="FD23">
        <v>39.343499999999977</v>
      </c>
      <c r="FE23">
        <v>584.87133333333327</v>
      </c>
      <c r="FF23">
        <v>10.11</v>
      </c>
      <c r="FG23">
        <v>0</v>
      </c>
      <c r="FH23">
        <v>181.80000019073489</v>
      </c>
      <c r="FI23">
        <v>0</v>
      </c>
      <c r="FJ23">
        <v>814.40258823529405</v>
      </c>
      <c r="FK23">
        <v>0.45367647050918603</v>
      </c>
      <c r="FL23">
        <v>810.05146876330855</v>
      </c>
      <c r="FM23">
        <v>8506.0988235294117</v>
      </c>
      <c r="FN23">
        <v>10</v>
      </c>
      <c r="FO23">
        <v>1784739493.5</v>
      </c>
      <c r="FP23" t="s">
        <v>923</v>
      </c>
      <c r="FQ23">
        <v>1784739492</v>
      </c>
      <c r="FR23">
        <v>1784739493.5</v>
      </c>
      <c r="FS23">
        <v>33</v>
      </c>
      <c r="FT23">
        <v>8.0000000000000002E-3</v>
      </c>
      <c r="FU23">
        <v>-4.0000000000000001E-3</v>
      </c>
      <c r="FV23">
        <v>-7.4020000000000001</v>
      </c>
      <c r="FW23">
        <v>-0.878</v>
      </c>
      <c r="FX23">
        <v>457</v>
      </c>
      <c r="FY23">
        <v>18</v>
      </c>
      <c r="FZ23">
        <v>0.27</v>
      </c>
      <c r="GA23">
        <v>0.13</v>
      </c>
      <c r="GB23">
        <v>420.0653225806451</v>
      </c>
      <c r="GC23">
        <v>0.51561290322456965</v>
      </c>
      <c r="GD23">
        <v>6.5982102703770515E-2</v>
      </c>
      <c r="GE23">
        <v>-1</v>
      </c>
      <c r="GF23">
        <v>814.3472352941177</v>
      </c>
      <c r="GG23">
        <v>0.60699770717377377</v>
      </c>
      <c r="GH23">
        <v>0.18925598270495969</v>
      </c>
      <c r="GI23">
        <v>1</v>
      </c>
      <c r="GJ23">
        <v>2.309287073170732</v>
      </c>
      <c r="GK23">
        <v>-0.12412724738675381</v>
      </c>
      <c r="GL23">
        <v>1.2537837609471421E-2</v>
      </c>
      <c r="GM23">
        <v>1</v>
      </c>
      <c r="GN23">
        <v>2</v>
      </c>
      <c r="GO23">
        <v>2</v>
      </c>
      <c r="GP23" t="s">
        <v>424</v>
      </c>
      <c r="GQ23">
        <v>3.1310699999999998</v>
      </c>
      <c r="GR23">
        <v>2.7258100000000001</v>
      </c>
      <c r="GS23">
        <v>9.2394100000000007E-2</v>
      </c>
      <c r="GT23">
        <v>9.7873100000000005E-2</v>
      </c>
      <c r="GU23">
        <v>0.105119</v>
      </c>
      <c r="GV23">
        <v>9.4562199999999999E-2</v>
      </c>
      <c r="GW23">
        <v>22782.6</v>
      </c>
      <c r="GX23">
        <v>30409.8</v>
      </c>
      <c r="GY23">
        <v>27221.9</v>
      </c>
      <c r="GZ23">
        <v>34652.1</v>
      </c>
      <c r="HA23">
        <v>35678.199999999997</v>
      </c>
      <c r="HB23">
        <v>39578.800000000003</v>
      </c>
      <c r="HC23">
        <v>40204.5</v>
      </c>
      <c r="HD23">
        <v>43794.7</v>
      </c>
      <c r="HE23">
        <v>1.9863999999999999</v>
      </c>
      <c r="HF23">
        <v>1.8140000000000001</v>
      </c>
      <c r="HG23">
        <v>-6.0200700000000003E-2</v>
      </c>
      <c r="HH23">
        <v>0</v>
      </c>
      <c r="HI23">
        <v>26.006499999999999</v>
      </c>
      <c r="HJ23">
        <v>999.9</v>
      </c>
      <c r="HK23">
        <v>42</v>
      </c>
      <c r="HL23">
        <v>36.4</v>
      </c>
      <c r="HM23">
        <v>26.0899</v>
      </c>
      <c r="HN23">
        <v>60.067900000000002</v>
      </c>
      <c r="HO23">
        <v>4.5913500000000003</v>
      </c>
      <c r="HP23">
        <v>1</v>
      </c>
      <c r="HQ23">
        <v>0.39418700000000001</v>
      </c>
      <c r="HR23">
        <v>4.4225300000000001</v>
      </c>
      <c r="HS23">
        <v>20.226299999999998</v>
      </c>
      <c r="HT23">
        <v>5.2125000000000004</v>
      </c>
      <c r="HU23">
        <v>11.908099999999999</v>
      </c>
      <c r="HV23">
        <v>4.9859999999999998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1.8671899999999999</v>
      </c>
      <c r="IC23">
        <v>1.8627899999999999</v>
      </c>
      <c r="ID23">
        <v>1.8621799999999999</v>
      </c>
      <c r="IE23">
        <v>1.86172</v>
      </c>
      <c r="IF23">
        <v>1.86175</v>
      </c>
      <c r="IG23">
        <v>1.86243</v>
      </c>
      <c r="IH23">
        <v>1.8632500000000001</v>
      </c>
      <c r="II23">
        <v>1.86127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-7.2629999999999999</v>
      </c>
      <c r="IX23">
        <v>-0.81420000000000003</v>
      </c>
      <c r="IY23">
        <v>-5.2708063912038794</v>
      </c>
      <c r="IZ23">
        <v>-5.6215304933332991E-3</v>
      </c>
      <c r="JA23">
        <v>2.3979931213773931E-6</v>
      </c>
      <c r="JB23">
        <v>-3.6297174575716598E-10</v>
      </c>
      <c r="JC23">
        <v>-1.145558804950755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1.4</v>
      </c>
      <c r="JL23">
        <v>1.4</v>
      </c>
      <c r="JM23">
        <v>1.1731</v>
      </c>
      <c r="JN23">
        <v>2.5293000000000001</v>
      </c>
      <c r="JO23">
        <v>1.50024</v>
      </c>
      <c r="JP23">
        <v>2.2729499999999998</v>
      </c>
      <c r="JQ23">
        <v>1.4477500000000001</v>
      </c>
      <c r="JR23">
        <v>2.34619</v>
      </c>
      <c r="JS23">
        <v>39.994199999999999</v>
      </c>
      <c r="JT23">
        <v>14.044499999999999</v>
      </c>
      <c r="JU23">
        <v>18</v>
      </c>
      <c r="JV23">
        <v>543.18700000000001</v>
      </c>
      <c r="JW23">
        <v>445.786</v>
      </c>
      <c r="JX23">
        <v>21.453700000000001</v>
      </c>
      <c r="JY23">
        <v>32.171300000000002</v>
      </c>
      <c r="JZ23">
        <v>29.999500000000001</v>
      </c>
      <c r="KA23">
        <v>32.549999999999997</v>
      </c>
      <c r="KB23">
        <v>32.471699999999998</v>
      </c>
      <c r="KC23">
        <v>23.463200000000001</v>
      </c>
      <c r="KD23">
        <v>33.5672</v>
      </c>
      <c r="KE23">
        <v>0</v>
      </c>
      <c r="KF23">
        <v>21.425000000000001</v>
      </c>
      <c r="KG23">
        <v>456.65899999999999</v>
      </c>
      <c r="KH23">
        <v>18.6127</v>
      </c>
      <c r="KI23">
        <v>100.476</v>
      </c>
      <c r="KJ23">
        <v>98.702799999999996</v>
      </c>
    </row>
    <row r="24" spans="1:296" x14ac:dyDescent="0.3">
      <c r="A24">
        <v>8</v>
      </c>
      <c r="B24">
        <v>1784739757</v>
      </c>
      <c r="C24">
        <v>1300.400000095367</v>
      </c>
      <c r="D24" t="s">
        <v>924</v>
      </c>
      <c r="E24" t="s">
        <v>925</v>
      </c>
      <c r="F24">
        <v>15</v>
      </c>
      <c r="H24">
        <v>1784739749.25</v>
      </c>
      <c r="I24">
        <f t="shared" si="0"/>
        <v>1.6190378816749106E-3</v>
      </c>
      <c r="J24">
        <f t="shared" si="1"/>
        <v>1.6190378816749107</v>
      </c>
      <c r="K24">
        <f t="shared" si="2"/>
        <v>22.057923945921228</v>
      </c>
      <c r="L24">
        <f t="shared" si="3"/>
        <v>420.01029999999997</v>
      </c>
      <c r="M24">
        <f t="shared" si="4"/>
        <v>156.5672153204562</v>
      </c>
      <c r="N24">
        <f t="shared" si="5"/>
        <v>15.384593678177268</v>
      </c>
      <c r="O24">
        <f t="shared" si="6"/>
        <v>41.271014451676777</v>
      </c>
      <c r="P24">
        <f t="shared" si="7"/>
        <v>0.13994215224322668</v>
      </c>
      <c r="Q24">
        <f t="shared" si="8"/>
        <v>2.894675291158749</v>
      </c>
      <c r="R24">
        <f t="shared" si="9"/>
        <v>0.13628937074454506</v>
      </c>
      <c r="S24">
        <f t="shared" si="10"/>
        <v>8.5501103180724972E-2</v>
      </c>
      <c r="T24">
        <f t="shared" si="11"/>
        <v>64.411332706810811</v>
      </c>
      <c r="U24">
        <f t="shared" si="12"/>
        <v>24.797918314587768</v>
      </c>
      <c r="V24">
        <f t="shared" si="13"/>
        <v>24.988420000000009</v>
      </c>
      <c r="W24">
        <f t="shared" si="14"/>
        <v>3.1774830373965095</v>
      </c>
      <c r="X24">
        <f t="shared" si="15"/>
        <v>64.811763015685045</v>
      </c>
      <c r="Y24">
        <f t="shared" si="16"/>
        <v>2.0411864755542366</v>
      </c>
      <c r="Z24">
        <f t="shared" si="17"/>
        <v>3.1494074232485403</v>
      </c>
      <c r="AA24">
        <f t="shared" si="18"/>
        <v>1.1362965618422729</v>
      </c>
      <c r="AB24">
        <f t="shared" si="19"/>
        <v>-71.399570581863557</v>
      </c>
      <c r="AC24">
        <f t="shared" si="20"/>
        <v>-23.21618893890971</v>
      </c>
      <c r="AD24">
        <f t="shared" si="21"/>
        <v>-1.6950214902954965</v>
      </c>
      <c r="AE24">
        <f t="shared" si="22"/>
        <v>-31.899448304257952</v>
      </c>
      <c r="AF24">
        <f t="shared" si="23"/>
        <v>22.057923945921228</v>
      </c>
      <c r="AG24">
        <f t="shared" si="24"/>
        <v>1.6190378816749107</v>
      </c>
      <c r="AH24">
        <f t="shared" si="25"/>
        <v>21.924750897858498</v>
      </c>
      <c r="AI24">
        <v>455.99180298693841</v>
      </c>
      <c r="AJ24">
        <v>429.00847878787857</v>
      </c>
      <c r="AK24">
        <v>3.1360106194004617E-2</v>
      </c>
      <c r="AL24">
        <v>67.08655834068712</v>
      </c>
      <c r="AM24">
        <f t="shared" si="26"/>
        <v>1.6322829940157983</v>
      </c>
      <c r="AN24">
        <v>18.87305164428464</v>
      </c>
      <c r="AO24">
        <v>20.78954242424242</v>
      </c>
      <c r="AP24">
        <v>2.5542878342842438E-4</v>
      </c>
      <c r="AQ24">
        <v>78.235476193654947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52212.985668428817</v>
      </c>
      <c r="AW24" t="s">
        <v>897</v>
      </c>
      <c r="AX24">
        <v>5150.17</v>
      </c>
      <c r="AY24">
        <v>596.47647058823532</v>
      </c>
      <c r="AZ24">
        <v>2397.11</v>
      </c>
      <c r="BA24">
        <f t="shared" si="30"/>
        <v>0.75116850266018864</v>
      </c>
      <c r="BB24">
        <v>-2.146882921728257</v>
      </c>
      <c r="BC24" t="s">
        <v>926</v>
      </c>
      <c r="BD24">
        <v>5148.03</v>
      </c>
      <c r="BE24">
        <v>771.86676470588236</v>
      </c>
      <c r="BF24">
        <v>1740.48</v>
      </c>
      <c r="BG24">
        <f t="shared" si="31"/>
        <v>0.55652075019196867</v>
      </c>
      <c r="BH24">
        <v>0.5</v>
      </c>
      <c r="BI24">
        <f t="shared" si="32"/>
        <v>336.29754192062734</v>
      </c>
      <c r="BJ24">
        <f t="shared" si="33"/>
        <v>22.057923945921228</v>
      </c>
      <c r="BK24">
        <f t="shared" si="34"/>
        <v>93.578280158691285</v>
      </c>
      <c r="BL24">
        <f t="shared" si="35"/>
        <v>7.1974379382654788E-2</v>
      </c>
      <c r="BM24">
        <f t="shared" si="36"/>
        <v>0.37726948887663181</v>
      </c>
      <c r="BN24">
        <f t="shared" si="37"/>
        <v>545.28683378645508</v>
      </c>
      <c r="BO24" t="s">
        <v>408</v>
      </c>
      <c r="BP24">
        <v>0</v>
      </c>
      <c r="BQ24">
        <f t="shared" si="38"/>
        <v>545.28683378645508</v>
      </c>
      <c r="BR24">
        <f t="shared" si="39"/>
        <v>0.68670318889820336</v>
      </c>
      <c r="BS24">
        <f t="shared" si="40"/>
        <v>0.81042400732824793</v>
      </c>
      <c r="BT24">
        <f t="shared" si="41"/>
        <v>0.3545856926191408</v>
      </c>
      <c r="BU24">
        <f t="shared" si="42"/>
        <v>0.84668727883398143</v>
      </c>
      <c r="BV24">
        <f t="shared" si="43"/>
        <v>0.36466609627918545</v>
      </c>
      <c r="BW24">
        <f t="shared" si="44"/>
        <v>0.57252567565717261</v>
      </c>
      <c r="BX24">
        <f t="shared" si="45"/>
        <v>0.42747432434282739</v>
      </c>
      <c r="DG24">
        <f t="shared" si="46"/>
        <v>400.00200000000001</v>
      </c>
      <c r="DH24">
        <f t="shared" si="47"/>
        <v>336.29754192062734</v>
      </c>
      <c r="DI24">
        <f t="shared" si="48"/>
        <v>0.84073965110331284</v>
      </c>
      <c r="DJ24">
        <f t="shared" si="49"/>
        <v>0.16102752662939387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1784739749.25</v>
      </c>
      <c r="DQ24">
        <v>420.01029999999997</v>
      </c>
      <c r="DR24">
        <v>447.29663333333338</v>
      </c>
      <c r="DS24">
        <v>20.772916666666671</v>
      </c>
      <c r="DT24">
        <v>18.87037333333334</v>
      </c>
      <c r="DU24">
        <v>427.1953666666667</v>
      </c>
      <c r="DV24">
        <v>21.58967333333333</v>
      </c>
      <c r="DW24">
        <v>499.98516666666671</v>
      </c>
      <c r="DX24">
        <v>98.211863333333341</v>
      </c>
      <c r="DY24">
        <v>5.0047033333333352E-2</v>
      </c>
      <c r="DZ24">
        <v>24.839653333333342</v>
      </c>
      <c r="EA24">
        <v>24.988420000000009</v>
      </c>
      <c r="EB24">
        <v>999.9000000000002</v>
      </c>
      <c r="EC24">
        <v>0</v>
      </c>
      <c r="ED24">
        <v>0</v>
      </c>
      <c r="EE24">
        <v>9981</v>
      </c>
      <c r="EF24">
        <v>0</v>
      </c>
      <c r="EG24">
        <v>1056.2388333333331</v>
      </c>
      <c r="EH24">
        <v>-27.286323333333328</v>
      </c>
      <c r="EI24">
        <v>428.92020000000008</v>
      </c>
      <c r="EJ24">
        <v>455.89953333333341</v>
      </c>
      <c r="EK24">
        <v>1.902541333333333</v>
      </c>
      <c r="EL24">
        <v>447.29663333333338</v>
      </c>
      <c r="EM24">
        <v>18.87037333333334</v>
      </c>
      <c r="EN24">
        <v>2.0401473333333331</v>
      </c>
      <c r="EO24">
        <v>1.853294666666667</v>
      </c>
      <c r="EP24">
        <v>17.759399999999999</v>
      </c>
      <c r="EQ24">
        <v>16.24368333333333</v>
      </c>
      <c r="ER24">
        <v>400.00200000000001</v>
      </c>
      <c r="ES24">
        <v>0.97502719999999998</v>
      </c>
      <c r="ET24">
        <v>2.4972620000000001E-2</v>
      </c>
      <c r="EU24">
        <v>0</v>
      </c>
      <c r="EV24">
        <v>771.85130000000004</v>
      </c>
      <c r="EW24">
        <v>5.0010700000000003</v>
      </c>
      <c r="EX24">
        <v>6504.92</v>
      </c>
      <c r="EY24">
        <v>3583.7306666666668</v>
      </c>
      <c r="EZ24">
        <v>36.620800000000003</v>
      </c>
      <c r="FA24">
        <v>40.125</v>
      </c>
      <c r="FB24">
        <v>38.549600000000012</v>
      </c>
      <c r="FC24">
        <v>39.75</v>
      </c>
      <c r="FD24">
        <v>38.625</v>
      </c>
      <c r="FE24">
        <v>385.13633333333331</v>
      </c>
      <c r="FF24">
        <v>9.8620000000000001</v>
      </c>
      <c r="FG24">
        <v>0</v>
      </c>
      <c r="FH24">
        <v>182.20000004768369</v>
      </c>
      <c r="FI24">
        <v>0</v>
      </c>
      <c r="FJ24">
        <v>771.86676470588236</v>
      </c>
      <c r="FK24">
        <v>-0.16004902740292429</v>
      </c>
      <c r="FL24">
        <v>6633.0416776342117</v>
      </c>
      <c r="FM24">
        <v>6694.9470588235281</v>
      </c>
      <c r="FN24">
        <v>10</v>
      </c>
      <c r="FO24">
        <v>1784739707</v>
      </c>
      <c r="FP24" t="s">
        <v>927</v>
      </c>
      <c r="FQ24">
        <v>1784739706</v>
      </c>
      <c r="FR24">
        <v>1784739707</v>
      </c>
      <c r="FS24">
        <v>34</v>
      </c>
      <c r="FT24">
        <v>7.8E-2</v>
      </c>
      <c r="FU24">
        <v>2E-3</v>
      </c>
      <c r="FV24">
        <v>-7.2910000000000004</v>
      </c>
      <c r="FW24">
        <v>-0.871</v>
      </c>
      <c r="FX24">
        <v>448</v>
      </c>
      <c r="FY24">
        <v>19</v>
      </c>
      <c r="FZ24">
        <v>0.25</v>
      </c>
      <c r="GA24">
        <v>0.13</v>
      </c>
      <c r="GB24">
        <v>420.01029999999997</v>
      </c>
      <c r="GC24">
        <v>6.1321468298983828E-2</v>
      </c>
      <c r="GD24">
        <v>6.022134173198003E-2</v>
      </c>
      <c r="GE24">
        <v>-1</v>
      </c>
      <c r="GF24">
        <v>771.87682352941181</v>
      </c>
      <c r="GG24">
        <v>-0.25900687610069939</v>
      </c>
      <c r="GH24">
        <v>0.2057297585766617</v>
      </c>
      <c r="GI24">
        <v>1</v>
      </c>
      <c r="GJ24">
        <v>1.90880725</v>
      </c>
      <c r="GK24">
        <v>-4.5103902439032298E-2</v>
      </c>
      <c r="GL24">
        <v>1.33424223789198E-2</v>
      </c>
      <c r="GM24">
        <v>1</v>
      </c>
      <c r="GN24">
        <v>2</v>
      </c>
      <c r="GO24">
        <v>2</v>
      </c>
      <c r="GP24" t="s">
        <v>424</v>
      </c>
      <c r="GQ24">
        <v>3.13089</v>
      </c>
      <c r="GR24">
        <v>2.72689</v>
      </c>
      <c r="GS24">
        <v>9.2439599999999997E-2</v>
      </c>
      <c r="GT24">
        <v>9.6428299999999995E-2</v>
      </c>
      <c r="GU24">
        <v>0.104675</v>
      </c>
      <c r="GV24">
        <v>9.5452499999999996E-2</v>
      </c>
      <c r="GW24">
        <v>22788</v>
      </c>
      <c r="GX24">
        <v>30472.2</v>
      </c>
      <c r="GY24">
        <v>27228.6</v>
      </c>
      <c r="GZ24">
        <v>34665.9</v>
      </c>
      <c r="HA24">
        <v>35703.300000000003</v>
      </c>
      <c r="HB24">
        <v>39552.199999999997</v>
      </c>
      <c r="HC24">
        <v>40213.800000000003</v>
      </c>
      <c r="HD24">
        <v>43809.1</v>
      </c>
      <c r="HE24">
        <v>1.9856</v>
      </c>
      <c r="HF24">
        <v>1.8178000000000001</v>
      </c>
      <c r="HG24">
        <v>-6.7025399999999999E-2</v>
      </c>
      <c r="HH24">
        <v>0</v>
      </c>
      <c r="HI24">
        <v>26.112100000000002</v>
      </c>
      <c r="HJ24">
        <v>999.9</v>
      </c>
      <c r="HK24">
        <v>41.8</v>
      </c>
      <c r="HL24">
        <v>36.5</v>
      </c>
      <c r="HM24">
        <v>26.110499999999998</v>
      </c>
      <c r="HN24">
        <v>60.127800000000001</v>
      </c>
      <c r="HO24">
        <v>4.6674699999999998</v>
      </c>
      <c r="HP24">
        <v>1</v>
      </c>
      <c r="HQ24">
        <v>0.373699</v>
      </c>
      <c r="HR24">
        <v>3.94035</v>
      </c>
      <c r="HS24">
        <v>20.2394</v>
      </c>
      <c r="HT24">
        <v>5.2112999999999996</v>
      </c>
      <c r="HU24">
        <v>11.908099999999999</v>
      </c>
      <c r="HV24">
        <v>4.9851999999999999</v>
      </c>
      <c r="HW24">
        <v>3.2706</v>
      </c>
      <c r="HX24">
        <v>9999</v>
      </c>
      <c r="HY24">
        <v>9999</v>
      </c>
      <c r="HZ24">
        <v>9999</v>
      </c>
      <c r="IA24">
        <v>999.9</v>
      </c>
      <c r="IB24">
        <v>1.8672200000000001</v>
      </c>
      <c r="IC24">
        <v>1.8627899999999999</v>
      </c>
      <c r="ID24">
        <v>1.8622099999999999</v>
      </c>
      <c r="IE24">
        <v>1.86172</v>
      </c>
      <c r="IF24">
        <v>1.86175</v>
      </c>
      <c r="IG24">
        <v>1.86243</v>
      </c>
      <c r="IH24">
        <v>1.8632500000000001</v>
      </c>
      <c r="II24">
        <v>1.86127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-7.1849999999999996</v>
      </c>
      <c r="IX24">
        <v>-0.81630000000000003</v>
      </c>
      <c r="IY24">
        <v>-5.1928924924947877</v>
      </c>
      <c r="IZ24">
        <v>-5.6215304933332991E-3</v>
      </c>
      <c r="JA24">
        <v>2.3979931213773931E-6</v>
      </c>
      <c r="JB24">
        <v>-3.6297174575716598E-10</v>
      </c>
      <c r="JC24">
        <v>-1.143979694225344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0.8</v>
      </c>
      <c r="JL24">
        <v>0.8</v>
      </c>
      <c r="JM24">
        <v>1.15479</v>
      </c>
      <c r="JN24">
        <v>2.5317400000000001</v>
      </c>
      <c r="JO24">
        <v>1.50024</v>
      </c>
      <c r="JP24">
        <v>2.2717299999999998</v>
      </c>
      <c r="JQ24">
        <v>1.4477500000000001</v>
      </c>
      <c r="JR24">
        <v>2.3706100000000001</v>
      </c>
      <c r="JS24">
        <v>39.918399999999998</v>
      </c>
      <c r="JT24">
        <v>14.044499999999999</v>
      </c>
      <c r="JU24">
        <v>18</v>
      </c>
      <c r="JV24">
        <v>540.71199999999999</v>
      </c>
      <c r="JW24">
        <v>446.61799999999999</v>
      </c>
      <c r="JX24">
        <v>21.6557</v>
      </c>
      <c r="JY24">
        <v>31.9238</v>
      </c>
      <c r="JZ24">
        <v>29.9998</v>
      </c>
      <c r="KA24">
        <v>32.320500000000003</v>
      </c>
      <c r="KB24">
        <v>32.255600000000001</v>
      </c>
      <c r="KC24">
        <v>23.085000000000001</v>
      </c>
      <c r="KD24">
        <v>32.822099999999999</v>
      </c>
      <c r="KE24">
        <v>0</v>
      </c>
      <c r="KF24">
        <v>21.651299999999999</v>
      </c>
      <c r="KG24">
        <v>447.23599999999999</v>
      </c>
      <c r="KH24">
        <v>18.927</v>
      </c>
      <c r="KI24">
        <v>100.499</v>
      </c>
      <c r="KJ24">
        <v>98.738200000000006</v>
      </c>
    </row>
    <row r="25" spans="1:296" x14ac:dyDescent="0.3">
      <c r="A25">
        <v>9</v>
      </c>
      <c r="B25">
        <v>1784739939.5</v>
      </c>
      <c r="C25">
        <v>1482.900000095367</v>
      </c>
      <c r="D25" t="s">
        <v>928</v>
      </c>
      <c r="E25" t="s">
        <v>929</v>
      </c>
      <c r="F25">
        <v>15</v>
      </c>
      <c r="H25">
        <v>1784739931.75</v>
      </c>
      <c r="I25">
        <f t="shared" si="0"/>
        <v>1.2753685044155922E-3</v>
      </c>
      <c r="J25">
        <f t="shared" si="1"/>
        <v>1.2753685044155922</v>
      </c>
      <c r="K25">
        <f t="shared" si="2"/>
        <v>16.691290707919094</v>
      </c>
      <c r="L25">
        <f t="shared" si="3"/>
        <v>420.12253333333331</v>
      </c>
      <c r="M25">
        <f t="shared" si="4"/>
        <v>167.77456669667126</v>
      </c>
      <c r="N25">
        <f t="shared" si="5"/>
        <v>16.486474831029472</v>
      </c>
      <c r="O25">
        <f t="shared" si="6"/>
        <v>41.283608762172179</v>
      </c>
      <c r="P25">
        <f t="shared" si="7"/>
        <v>0.11016220263556739</v>
      </c>
      <c r="Q25">
        <f t="shared" si="8"/>
        <v>2.896498316030272</v>
      </c>
      <c r="R25">
        <f t="shared" si="9"/>
        <v>0.10788641835655635</v>
      </c>
      <c r="S25">
        <f t="shared" si="10"/>
        <v>6.7629565864896574E-2</v>
      </c>
      <c r="T25">
        <f t="shared" si="11"/>
        <v>48.441107244416429</v>
      </c>
      <c r="U25">
        <f t="shared" si="12"/>
        <v>24.806735639631686</v>
      </c>
      <c r="V25">
        <f t="shared" si="13"/>
        <v>24.976906666666661</v>
      </c>
      <c r="W25">
        <f t="shared" si="14"/>
        <v>3.1753024312842166</v>
      </c>
      <c r="X25">
        <f t="shared" si="15"/>
        <v>64.864657273218313</v>
      </c>
      <c r="Y25">
        <f t="shared" si="16"/>
        <v>2.044517811503606</v>
      </c>
      <c r="Z25">
        <f t="shared" si="17"/>
        <v>3.1519750468916112</v>
      </c>
      <c r="AA25">
        <f t="shared" si="18"/>
        <v>1.1307846197806106</v>
      </c>
      <c r="AB25">
        <f t="shared" si="19"/>
        <v>-56.243751044727617</v>
      </c>
      <c r="AC25">
        <f t="shared" si="20"/>
        <v>-19.300883727628602</v>
      </c>
      <c r="AD25">
        <f t="shared" si="21"/>
        <v>-1.4082920203407598</v>
      </c>
      <c r="AE25">
        <f t="shared" si="22"/>
        <v>-28.511819548280549</v>
      </c>
      <c r="AF25">
        <f t="shared" si="23"/>
        <v>16.691290707919094</v>
      </c>
      <c r="AG25">
        <f t="shared" si="24"/>
        <v>1.2753685044155922</v>
      </c>
      <c r="AH25">
        <f t="shared" si="25"/>
        <v>16.937284699824616</v>
      </c>
      <c r="AI25">
        <v>449.38576028467799</v>
      </c>
      <c r="AJ25">
        <v>428.93112727272728</v>
      </c>
      <c r="AK25">
        <v>-5.1042960425577377E-2</v>
      </c>
      <c r="AL25">
        <v>67.084721987179634</v>
      </c>
      <c r="AM25">
        <f t="shared" si="26"/>
        <v>1.2822634508820667</v>
      </c>
      <c r="AN25">
        <v>19.308409139575581</v>
      </c>
      <c r="AO25">
        <v>20.813805454545449</v>
      </c>
      <c r="AP25">
        <v>2.2312457304648781E-4</v>
      </c>
      <c r="AQ25">
        <v>78.23103467591929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52263.106209391903</v>
      </c>
      <c r="AW25" t="s">
        <v>897</v>
      </c>
      <c r="AX25">
        <v>5150.17</v>
      </c>
      <c r="AY25">
        <v>596.47647058823532</v>
      </c>
      <c r="AZ25">
        <v>2397.11</v>
      </c>
      <c r="BA25">
        <f t="shared" si="30"/>
        <v>0.75116850266018864</v>
      </c>
      <c r="BB25">
        <v>-2.146882921728257</v>
      </c>
      <c r="BC25" t="s">
        <v>930</v>
      </c>
      <c r="BD25">
        <v>5150.24</v>
      </c>
      <c r="BE25">
        <v>740.15294117647056</v>
      </c>
      <c r="BF25">
        <v>1818.98</v>
      </c>
      <c r="BG25">
        <f t="shared" si="31"/>
        <v>0.59309451386135603</v>
      </c>
      <c r="BH25">
        <v>0.5</v>
      </c>
      <c r="BI25">
        <f t="shared" si="32"/>
        <v>252.28272694529352</v>
      </c>
      <c r="BJ25">
        <f t="shared" si="33"/>
        <v>16.691290707919094</v>
      </c>
      <c r="BK25">
        <f t="shared" si="34"/>
        <v>74.813750646618047</v>
      </c>
      <c r="BL25">
        <f t="shared" si="35"/>
        <v>7.4670881584898721E-2</v>
      </c>
      <c r="BM25">
        <f t="shared" si="36"/>
        <v>0.31783197176439548</v>
      </c>
      <c r="BN25">
        <f t="shared" si="37"/>
        <v>552.76051762953773</v>
      </c>
      <c r="BO25" t="s">
        <v>408</v>
      </c>
      <c r="BP25">
        <v>0</v>
      </c>
      <c r="BQ25">
        <f t="shared" si="38"/>
        <v>552.76051762953773</v>
      </c>
      <c r="BR25">
        <f t="shared" si="39"/>
        <v>0.69611512076573812</v>
      </c>
      <c r="BS25">
        <f t="shared" si="40"/>
        <v>0.85200636528185514</v>
      </c>
      <c r="BT25">
        <f t="shared" si="41"/>
        <v>0.31346011454236683</v>
      </c>
      <c r="BU25">
        <f t="shared" si="42"/>
        <v>0.88247357399665882</v>
      </c>
      <c r="BV25">
        <f t="shared" si="43"/>
        <v>0.3210703291684594</v>
      </c>
      <c r="BW25">
        <f t="shared" si="44"/>
        <v>0.63629481597178705</v>
      </c>
      <c r="BX25">
        <f t="shared" si="45"/>
        <v>0.36370518402821295</v>
      </c>
      <c r="DG25">
        <f t="shared" si="46"/>
        <v>299.98943333333341</v>
      </c>
      <c r="DH25">
        <f t="shared" si="47"/>
        <v>252.28272694529352</v>
      </c>
      <c r="DI25">
        <f t="shared" si="48"/>
        <v>0.84097204405519654</v>
      </c>
      <c r="DJ25">
        <f t="shared" si="49"/>
        <v>0.16147604502652954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1784739931.75</v>
      </c>
      <c r="DQ25">
        <v>420.12253333333331</v>
      </c>
      <c r="DR25">
        <v>440.79629999999992</v>
      </c>
      <c r="DS25">
        <v>20.80603</v>
      </c>
      <c r="DT25">
        <v>19.30734</v>
      </c>
      <c r="DU25">
        <v>427.30203333333333</v>
      </c>
      <c r="DV25">
        <v>21.629026666666672</v>
      </c>
      <c r="DW25">
        <v>499.96989999999988</v>
      </c>
      <c r="DX25">
        <v>98.216233333333335</v>
      </c>
      <c r="DY25">
        <v>4.9404633333333323E-2</v>
      </c>
      <c r="DZ25">
        <v>24.853306666666661</v>
      </c>
      <c r="EA25">
        <v>24.976906666666661</v>
      </c>
      <c r="EB25">
        <v>999.9000000000002</v>
      </c>
      <c r="EC25">
        <v>0</v>
      </c>
      <c r="ED25">
        <v>0</v>
      </c>
      <c r="EE25">
        <v>9991</v>
      </c>
      <c r="EF25">
        <v>0</v>
      </c>
      <c r="EG25">
        <v>851.74823333333336</v>
      </c>
      <c r="EH25">
        <v>-20.67360333333334</v>
      </c>
      <c r="EI25">
        <v>429.04930000000002</v>
      </c>
      <c r="EJ25">
        <v>449.47426666666672</v>
      </c>
      <c r="EK25">
        <v>1.4987053333333329</v>
      </c>
      <c r="EL25">
        <v>440.79629999999992</v>
      </c>
      <c r="EM25">
        <v>19.30734</v>
      </c>
      <c r="EN25">
        <v>2.0434899999999998</v>
      </c>
      <c r="EO25">
        <v>1.8962933333333341</v>
      </c>
      <c r="EP25">
        <v>17.785396666666671</v>
      </c>
      <c r="EQ25">
        <v>16.603996666666671</v>
      </c>
      <c r="ER25">
        <v>299.98943333333341</v>
      </c>
      <c r="ES25">
        <v>0.96704383333333321</v>
      </c>
      <c r="ET25">
        <v>3.2956166666666648E-2</v>
      </c>
      <c r="EU25">
        <v>0</v>
      </c>
      <c r="EV25">
        <v>740.10353333333319</v>
      </c>
      <c r="EW25">
        <v>5.0010700000000003</v>
      </c>
      <c r="EX25">
        <v>4961.748333333333</v>
      </c>
      <c r="EY25">
        <v>2667.9769999999999</v>
      </c>
      <c r="EZ25">
        <v>35.843499999999992</v>
      </c>
      <c r="FA25">
        <v>39.472699999999989</v>
      </c>
      <c r="FB25">
        <v>37.826699999999988</v>
      </c>
      <c r="FC25">
        <v>39.214299999999987</v>
      </c>
      <c r="FD25">
        <v>37.955899999999993</v>
      </c>
      <c r="FE25">
        <v>285.26533333333327</v>
      </c>
      <c r="FF25">
        <v>9.7200000000000042</v>
      </c>
      <c r="FG25">
        <v>0</v>
      </c>
      <c r="FH25">
        <v>181.80000019073489</v>
      </c>
      <c r="FI25">
        <v>0</v>
      </c>
      <c r="FJ25">
        <v>740.15294117647056</v>
      </c>
      <c r="FK25">
        <v>7.557352937646419</v>
      </c>
      <c r="FL25">
        <v>1045.9558804405899</v>
      </c>
      <c r="FM25">
        <v>4968.3558823529411</v>
      </c>
      <c r="FN25">
        <v>10</v>
      </c>
      <c r="FO25">
        <v>1784739866.5</v>
      </c>
      <c r="FP25" t="s">
        <v>931</v>
      </c>
      <c r="FQ25">
        <v>1784739866.5</v>
      </c>
      <c r="FR25">
        <v>1784739862.5</v>
      </c>
      <c r="FS25">
        <v>35</v>
      </c>
      <c r="FT25">
        <v>6.0000000000000001E-3</v>
      </c>
      <c r="FU25">
        <v>-7.0000000000000001E-3</v>
      </c>
      <c r="FV25">
        <v>-7.26</v>
      </c>
      <c r="FW25">
        <v>-0.86799999999999999</v>
      </c>
      <c r="FX25">
        <v>442</v>
      </c>
      <c r="FY25">
        <v>19</v>
      </c>
      <c r="FZ25">
        <v>0.33</v>
      </c>
      <c r="GA25">
        <v>0.13</v>
      </c>
      <c r="GB25">
        <v>420.12925806451608</v>
      </c>
      <c r="GC25">
        <v>8.3709677418739664E-2</v>
      </c>
      <c r="GD25">
        <v>5.0663321174034423E-2</v>
      </c>
      <c r="GE25">
        <v>-1</v>
      </c>
      <c r="GF25">
        <v>740.10982352941164</v>
      </c>
      <c r="GG25">
        <v>0.18511842339730131</v>
      </c>
      <c r="GH25">
        <v>0.36000355150112812</v>
      </c>
      <c r="GI25">
        <v>1</v>
      </c>
      <c r="GJ25">
        <v>1.488938536585366</v>
      </c>
      <c r="GK25">
        <v>0.14603707317073311</v>
      </c>
      <c r="GL25">
        <v>1.525924982348381E-2</v>
      </c>
      <c r="GM25">
        <v>1</v>
      </c>
      <c r="GN25">
        <v>2</v>
      </c>
      <c r="GO25">
        <v>2</v>
      </c>
      <c r="GP25" t="s">
        <v>424</v>
      </c>
      <c r="GQ25">
        <v>3.1298699999999999</v>
      </c>
      <c r="GR25">
        <v>2.7257600000000002</v>
      </c>
      <c r="GS25">
        <v>9.2486399999999996E-2</v>
      </c>
      <c r="GT25">
        <v>9.5429700000000006E-2</v>
      </c>
      <c r="GU25">
        <v>0.104863</v>
      </c>
      <c r="GV25">
        <v>9.7049899999999995E-2</v>
      </c>
      <c r="GW25">
        <v>22795.3</v>
      </c>
      <c r="GX25">
        <v>30518.1</v>
      </c>
      <c r="GY25">
        <v>27237.5</v>
      </c>
      <c r="GZ25">
        <v>34678</v>
      </c>
      <c r="HA25">
        <v>35705.800000000003</v>
      </c>
      <c r="HB25">
        <v>39491.800000000003</v>
      </c>
      <c r="HC25">
        <v>40226.199999999997</v>
      </c>
      <c r="HD25">
        <v>43820.3</v>
      </c>
      <c r="HE25">
        <v>1.9896</v>
      </c>
      <c r="HF25">
        <v>1.823</v>
      </c>
      <c r="HG25">
        <v>-5.8412600000000002E-2</v>
      </c>
      <c r="HH25">
        <v>0</v>
      </c>
      <c r="HI25">
        <v>25.9298</v>
      </c>
      <c r="HJ25">
        <v>999.9</v>
      </c>
      <c r="HK25">
        <v>41.5</v>
      </c>
      <c r="HL25">
        <v>36.6</v>
      </c>
      <c r="HM25">
        <v>26.064599999999999</v>
      </c>
      <c r="HN25">
        <v>60.377800000000001</v>
      </c>
      <c r="HO25">
        <v>4.8317300000000003</v>
      </c>
      <c r="HP25">
        <v>1</v>
      </c>
      <c r="HQ25">
        <v>0.35089399999999998</v>
      </c>
      <c r="HR25">
        <v>3.5055299999999998</v>
      </c>
      <c r="HS25">
        <v>20.250399999999999</v>
      </c>
      <c r="HT25">
        <v>5.2100999999999997</v>
      </c>
      <c r="HU25">
        <v>11.908099999999999</v>
      </c>
      <c r="HV25">
        <v>4.9855999999999998</v>
      </c>
      <c r="HW25">
        <v>3.2702</v>
      </c>
      <c r="HX25">
        <v>9999</v>
      </c>
      <c r="HY25">
        <v>9999</v>
      </c>
      <c r="HZ25">
        <v>9999</v>
      </c>
      <c r="IA25">
        <v>999.9</v>
      </c>
      <c r="IB25">
        <v>1.8671899999999999</v>
      </c>
      <c r="IC25">
        <v>1.8627899999999999</v>
      </c>
      <c r="ID25">
        <v>1.8622099999999999</v>
      </c>
      <c r="IE25">
        <v>1.86172</v>
      </c>
      <c r="IF25">
        <v>1.86172</v>
      </c>
      <c r="IG25">
        <v>1.8624000000000001</v>
      </c>
      <c r="IH25">
        <v>1.8632500000000001</v>
      </c>
      <c r="II25">
        <v>1.86127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-7.1790000000000003</v>
      </c>
      <c r="IX25">
        <v>-0.8226</v>
      </c>
      <c r="IY25">
        <v>-5.1868130982767786</v>
      </c>
      <c r="IZ25">
        <v>-5.6215304933332991E-3</v>
      </c>
      <c r="JA25">
        <v>2.3979931213773931E-6</v>
      </c>
      <c r="JB25">
        <v>-3.6297174575716598E-10</v>
      </c>
      <c r="JC25">
        <v>-1.151250661678096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1.2</v>
      </c>
      <c r="JL25">
        <v>1.3</v>
      </c>
      <c r="JM25">
        <v>1.1413599999999999</v>
      </c>
      <c r="JN25">
        <v>2.5268600000000001</v>
      </c>
      <c r="JO25">
        <v>1.50024</v>
      </c>
      <c r="JP25">
        <v>2.2717299999999998</v>
      </c>
      <c r="JQ25">
        <v>1.4477500000000001</v>
      </c>
      <c r="JR25">
        <v>2.3596200000000001</v>
      </c>
      <c r="JS25">
        <v>39.742199999999997</v>
      </c>
      <c r="JT25">
        <v>14.0357</v>
      </c>
      <c r="JU25">
        <v>18</v>
      </c>
      <c r="JV25">
        <v>541.32299999999998</v>
      </c>
      <c r="JW25">
        <v>448.13400000000001</v>
      </c>
      <c r="JX25">
        <v>21.958100000000002</v>
      </c>
      <c r="JY25">
        <v>31.668299999999999</v>
      </c>
      <c r="JZ25">
        <v>29.999500000000001</v>
      </c>
      <c r="KA25">
        <v>32.082700000000003</v>
      </c>
      <c r="KB25">
        <v>32.015000000000001</v>
      </c>
      <c r="KC25">
        <v>22.829599999999999</v>
      </c>
      <c r="KD25">
        <v>31.623200000000001</v>
      </c>
      <c r="KE25">
        <v>0</v>
      </c>
      <c r="KF25">
        <v>21.965399999999999</v>
      </c>
      <c r="KG25">
        <v>440.80900000000003</v>
      </c>
      <c r="KH25">
        <v>19.286300000000001</v>
      </c>
      <c r="KI25">
        <v>100.53100000000001</v>
      </c>
      <c r="KJ25">
        <v>98.767499999999998</v>
      </c>
    </row>
    <row r="26" spans="1:296" x14ac:dyDescent="0.3">
      <c r="A26">
        <v>10</v>
      </c>
      <c r="B26">
        <v>1784740122</v>
      </c>
      <c r="C26">
        <v>1665.400000095367</v>
      </c>
      <c r="D26" t="s">
        <v>932</v>
      </c>
      <c r="E26" t="s">
        <v>933</v>
      </c>
      <c r="F26">
        <v>15</v>
      </c>
      <c r="H26">
        <v>1784740114</v>
      </c>
      <c r="I26">
        <f t="shared" si="0"/>
        <v>5.9381079374220202E-4</v>
      </c>
      <c r="J26">
        <f t="shared" si="1"/>
        <v>0.59381079374220203</v>
      </c>
      <c r="K26">
        <f t="shared" si="2"/>
        <v>10.850150438610624</v>
      </c>
      <c r="L26">
        <f t="shared" si="3"/>
        <v>420.04545161290321</v>
      </c>
      <c r="M26">
        <f t="shared" si="4"/>
        <v>65.368119329052874</v>
      </c>
      <c r="N26">
        <f t="shared" si="5"/>
        <v>6.4238462283516853</v>
      </c>
      <c r="O26">
        <f t="shared" si="6"/>
        <v>41.278644969070811</v>
      </c>
      <c r="P26">
        <f t="shared" si="7"/>
        <v>5.0003554991666942E-2</v>
      </c>
      <c r="Q26">
        <f t="shared" si="8"/>
        <v>2.8979479236344332</v>
      </c>
      <c r="R26">
        <f t="shared" si="9"/>
        <v>4.9529129678472256E-2</v>
      </c>
      <c r="S26">
        <f t="shared" si="10"/>
        <v>3.0997956020315909E-2</v>
      </c>
      <c r="T26">
        <f t="shared" si="11"/>
        <v>32.485438129705706</v>
      </c>
      <c r="U26">
        <f t="shared" si="12"/>
        <v>24.742817646378551</v>
      </c>
      <c r="V26">
        <f t="shared" si="13"/>
        <v>25.034316129032248</v>
      </c>
      <c r="W26">
        <f t="shared" si="14"/>
        <v>3.1861886991581909</v>
      </c>
      <c r="X26">
        <f t="shared" si="15"/>
        <v>65.274387321664335</v>
      </c>
      <c r="Y26">
        <f t="shared" si="16"/>
        <v>2.0393200628131374</v>
      </c>
      <c r="Z26">
        <f t="shared" si="17"/>
        <v>3.1242270459983223</v>
      </c>
      <c r="AA26">
        <f t="shared" si="18"/>
        <v>1.1468686363450535</v>
      </c>
      <c r="AB26">
        <f t="shared" si="19"/>
        <v>-26.18705600403111</v>
      </c>
      <c r="AC26">
        <f t="shared" si="20"/>
        <v>-51.413136971528459</v>
      </c>
      <c r="AD26">
        <f t="shared" si="21"/>
        <v>-3.7477808628630727</v>
      </c>
      <c r="AE26">
        <f t="shared" si="22"/>
        <v>-48.862535708716933</v>
      </c>
      <c r="AF26">
        <f t="shared" si="23"/>
        <v>10.850150438610624</v>
      </c>
      <c r="AG26">
        <f t="shared" si="24"/>
        <v>0.59381079374220203</v>
      </c>
      <c r="AH26">
        <f t="shared" si="25"/>
        <v>11.066885032097364</v>
      </c>
      <c r="AI26">
        <v>442.2677461811183</v>
      </c>
      <c r="AJ26">
        <v>428.85078787878768</v>
      </c>
      <c r="AK26">
        <v>-2.5289910200569241E-2</v>
      </c>
      <c r="AL26">
        <v>67.034968868721819</v>
      </c>
      <c r="AM26">
        <f t="shared" si="26"/>
        <v>0.65067791606719594</v>
      </c>
      <c r="AN26">
        <v>20.060979196617971</v>
      </c>
      <c r="AO26">
        <v>20.785206060606061</v>
      </c>
      <c r="AP26">
        <v>6.5120245859997278E-3</v>
      </c>
      <c r="AQ26">
        <v>78.062608923116386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52330.91166182189</v>
      </c>
      <c r="AW26" t="s">
        <v>897</v>
      </c>
      <c r="AX26">
        <v>5150.17</v>
      </c>
      <c r="AY26">
        <v>596.47647058823532</v>
      </c>
      <c r="AZ26">
        <v>2397.11</v>
      </c>
      <c r="BA26">
        <f t="shared" si="30"/>
        <v>0.75116850266018864</v>
      </c>
      <c r="BB26">
        <v>-2.146882921728257</v>
      </c>
      <c r="BC26" t="s">
        <v>934</v>
      </c>
      <c r="BD26">
        <v>5151.49</v>
      </c>
      <c r="BE26">
        <v>705.73741176470594</v>
      </c>
      <c r="BF26">
        <v>1887.37</v>
      </c>
      <c r="BG26">
        <f t="shared" si="31"/>
        <v>0.62607363062637111</v>
      </c>
      <c r="BH26">
        <v>0.5</v>
      </c>
      <c r="BI26">
        <f t="shared" si="32"/>
        <v>168.29453659403109</v>
      </c>
      <c r="BJ26">
        <f t="shared" si="33"/>
        <v>10.850150438610624</v>
      </c>
      <c r="BK26">
        <f t="shared" si="34"/>
        <v>52.682385770003854</v>
      </c>
      <c r="BL26">
        <f t="shared" si="35"/>
        <v>7.7227898322635435E-2</v>
      </c>
      <c r="BM26">
        <f t="shared" si="36"/>
        <v>0.27007952865627843</v>
      </c>
      <c r="BN26">
        <f t="shared" si="37"/>
        <v>558.91498395577298</v>
      </c>
      <c r="BO26" t="s">
        <v>408</v>
      </c>
      <c r="BP26">
        <v>0</v>
      </c>
      <c r="BQ26">
        <f t="shared" si="38"/>
        <v>558.91498395577298</v>
      </c>
      <c r="BR26">
        <f t="shared" si="39"/>
        <v>0.70386570521107517</v>
      </c>
      <c r="BS26">
        <f t="shared" si="40"/>
        <v>0.88947881107323479</v>
      </c>
      <c r="BT26">
        <f t="shared" si="41"/>
        <v>0.277304636097292</v>
      </c>
      <c r="BU26">
        <f t="shared" si="42"/>
        <v>0.91536022244510074</v>
      </c>
      <c r="BV26">
        <f t="shared" si="43"/>
        <v>0.28308925257352247</v>
      </c>
      <c r="BW26">
        <f t="shared" si="44"/>
        <v>0.70443060993023476</v>
      </c>
      <c r="BX26">
        <f t="shared" si="45"/>
        <v>0.29556939006976524</v>
      </c>
      <c r="DG26">
        <f t="shared" si="46"/>
        <v>200.00206451612911</v>
      </c>
      <c r="DH26">
        <f t="shared" si="47"/>
        <v>168.29453659403109</v>
      </c>
      <c r="DI26">
        <f t="shared" si="48"/>
        <v>0.84146399689018725</v>
      </c>
      <c r="DJ26">
        <f t="shared" si="49"/>
        <v>0.1624255139980614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1784740114</v>
      </c>
      <c r="DQ26">
        <v>420.04545161290321</v>
      </c>
      <c r="DR26">
        <v>433.36435483870969</v>
      </c>
      <c r="DS26">
        <v>20.751822580645161</v>
      </c>
      <c r="DT26">
        <v>20.05406774193548</v>
      </c>
      <c r="DU26">
        <v>427.13038709677431</v>
      </c>
      <c r="DV26">
        <v>21.581670967741939</v>
      </c>
      <c r="DW26">
        <v>500.02216129032252</v>
      </c>
      <c r="DX26">
        <v>98.220545161290318</v>
      </c>
      <c r="DY26">
        <v>5.1308064516129043E-2</v>
      </c>
      <c r="DZ26">
        <v>24.70523870967742</v>
      </c>
      <c r="EA26">
        <v>25.034316129032248</v>
      </c>
      <c r="EB26">
        <v>999.90000000000032</v>
      </c>
      <c r="EC26">
        <v>0</v>
      </c>
      <c r="ED26">
        <v>0</v>
      </c>
      <c r="EE26">
        <v>9998.8709677419356</v>
      </c>
      <c r="EF26">
        <v>0</v>
      </c>
      <c r="EG26">
        <v>1651.823225806452</v>
      </c>
      <c r="EH26">
        <v>-13.31892903225806</v>
      </c>
      <c r="EI26">
        <v>428.94690322580641</v>
      </c>
      <c r="EJ26">
        <v>442.23296774193551</v>
      </c>
      <c r="EK26">
        <v>0.69774558064516135</v>
      </c>
      <c r="EL26">
        <v>433.36435483870969</v>
      </c>
      <c r="EM26">
        <v>20.05406774193548</v>
      </c>
      <c r="EN26">
        <v>2.0382554838709681</v>
      </c>
      <c r="EO26">
        <v>1.969722580645161</v>
      </c>
      <c r="EP26">
        <v>17.744674193548381</v>
      </c>
      <c r="EQ26">
        <v>17.203022580645161</v>
      </c>
      <c r="ER26">
        <v>200.00206451612911</v>
      </c>
      <c r="ES26">
        <v>0.94993896774193565</v>
      </c>
      <c r="ET26">
        <v>5.0061145161290323E-2</v>
      </c>
      <c r="EU26">
        <v>0</v>
      </c>
      <c r="EV26">
        <v>705.83209677419347</v>
      </c>
      <c r="EW26">
        <v>5.0010700000000003</v>
      </c>
      <c r="EX26">
        <v>5709.9225806451605</v>
      </c>
      <c r="EY26">
        <v>1751.803225806452</v>
      </c>
      <c r="EZ26">
        <v>35.5</v>
      </c>
      <c r="FA26">
        <v>39.521999999999977</v>
      </c>
      <c r="FB26">
        <v>37.596548387096767</v>
      </c>
      <c r="FC26">
        <v>39.108741935483877</v>
      </c>
      <c r="FD26">
        <v>37.686999999999983</v>
      </c>
      <c r="FE26">
        <v>185.23935483870969</v>
      </c>
      <c r="FF26">
        <v>9.759999999999998</v>
      </c>
      <c r="FG26">
        <v>0</v>
      </c>
      <c r="FH26">
        <v>181.60000014305109</v>
      </c>
      <c r="FI26">
        <v>0</v>
      </c>
      <c r="FJ26">
        <v>705.73741176470594</v>
      </c>
      <c r="FK26">
        <v>-2.065441162632907</v>
      </c>
      <c r="FL26">
        <v>-1232.730386502674</v>
      </c>
      <c r="FM26">
        <v>5752.5429411764708</v>
      </c>
      <c r="FN26">
        <v>10</v>
      </c>
      <c r="FO26">
        <v>1784740045.5</v>
      </c>
      <c r="FP26" t="s">
        <v>935</v>
      </c>
      <c r="FQ26">
        <v>1784740041</v>
      </c>
      <c r="FR26">
        <v>1784740045.5</v>
      </c>
      <c r="FS26">
        <v>36</v>
      </c>
      <c r="FT26">
        <v>9.4E-2</v>
      </c>
      <c r="FU26">
        <v>-6.0000000000000001E-3</v>
      </c>
      <c r="FV26">
        <v>-7.1369999999999996</v>
      </c>
      <c r="FW26">
        <v>-0.86099999999999999</v>
      </c>
      <c r="FX26">
        <v>434</v>
      </c>
      <c r="FY26">
        <v>19</v>
      </c>
      <c r="FZ26">
        <v>0.67</v>
      </c>
      <c r="GA26">
        <v>0.25</v>
      </c>
      <c r="GB26">
        <v>420.05154838709677</v>
      </c>
      <c r="GC26">
        <v>-0.34035483871043859</v>
      </c>
      <c r="GD26">
        <v>6.4473970096303165E-2</v>
      </c>
      <c r="GE26">
        <v>-1</v>
      </c>
      <c r="GF26">
        <v>705.87664705882344</v>
      </c>
      <c r="GG26">
        <v>-1.455614976485482</v>
      </c>
      <c r="GH26">
        <v>0.23002504753038011</v>
      </c>
      <c r="GI26">
        <v>1</v>
      </c>
      <c r="GJ26">
        <v>0.69176119512195133</v>
      </c>
      <c r="GK26">
        <v>0.12728498257839621</v>
      </c>
      <c r="GL26">
        <v>1.314102169844494E-2</v>
      </c>
      <c r="GM26">
        <v>1</v>
      </c>
      <c r="GN26">
        <v>2</v>
      </c>
      <c r="GO26">
        <v>2</v>
      </c>
      <c r="GP26" t="s">
        <v>424</v>
      </c>
      <c r="GQ26">
        <v>3.1306600000000002</v>
      </c>
      <c r="GR26">
        <v>2.7279499999999999</v>
      </c>
      <c r="GS26">
        <v>9.2485100000000001E-2</v>
      </c>
      <c r="GT26">
        <v>9.4239100000000006E-2</v>
      </c>
      <c r="GU26">
        <v>0.104807</v>
      </c>
      <c r="GV26">
        <v>9.97778E-2</v>
      </c>
      <c r="GW26">
        <v>22797</v>
      </c>
      <c r="GX26">
        <v>30560.2</v>
      </c>
      <c r="GY26">
        <v>27239.3</v>
      </c>
      <c r="GZ26">
        <v>34679.699999999997</v>
      </c>
      <c r="HA26">
        <v>35710.9</v>
      </c>
      <c r="HB26">
        <v>39373.1</v>
      </c>
      <c r="HC26">
        <v>40229.699999999997</v>
      </c>
      <c r="HD26">
        <v>43821.599999999999</v>
      </c>
      <c r="HE26">
        <v>1.9867999999999999</v>
      </c>
      <c r="HF26">
        <v>1.8242</v>
      </c>
      <c r="HG26">
        <v>-9.0151999999999996E-2</v>
      </c>
      <c r="HH26">
        <v>0</v>
      </c>
      <c r="HI26">
        <v>26.486499999999999</v>
      </c>
      <c r="HJ26">
        <v>999.9</v>
      </c>
      <c r="HK26">
        <v>41.4</v>
      </c>
      <c r="HL26">
        <v>36.6</v>
      </c>
      <c r="HM26">
        <v>26.001300000000001</v>
      </c>
      <c r="HN26">
        <v>61.217799999999997</v>
      </c>
      <c r="HO26">
        <v>4.7836499999999997</v>
      </c>
      <c r="HP26">
        <v>1</v>
      </c>
      <c r="HQ26">
        <v>0.36219499999999999</v>
      </c>
      <c r="HR26">
        <v>5.9656200000000004</v>
      </c>
      <c r="HS26">
        <v>20.1844</v>
      </c>
      <c r="HT26">
        <v>5.2112999999999996</v>
      </c>
      <c r="HU26">
        <v>11.908099999999999</v>
      </c>
      <c r="HV26">
        <v>4.9851999999999999</v>
      </c>
      <c r="HW26">
        <v>3.2706</v>
      </c>
      <c r="HX26">
        <v>9999</v>
      </c>
      <c r="HY26">
        <v>9999</v>
      </c>
      <c r="HZ26">
        <v>9999</v>
      </c>
      <c r="IA26">
        <v>999.9</v>
      </c>
      <c r="IB26">
        <v>1.8671599999999999</v>
      </c>
      <c r="IC26">
        <v>1.8627899999999999</v>
      </c>
      <c r="ID26">
        <v>1.8621799999999999</v>
      </c>
      <c r="IE26">
        <v>1.86172</v>
      </c>
      <c r="IF26">
        <v>1.86172</v>
      </c>
      <c r="IG26">
        <v>1.8624000000000001</v>
      </c>
      <c r="IH26">
        <v>1.8632500000000001</v>
      </c>
      <c r="II26">
        <v>1.86127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-7.085</v>
      </c>
      <c r="IX26">
        <v>-0.82889999999999997</v>
      </c>
      <c r="IY26">
        <v>-5.0930431924328996</v>
      </c>
      <c r="IZ26">
        <v>-5.6215304933332991E-3</v>
      </c>
      <c r="JA26">
        <v>2.3979931213773931E-6</v>
      </c>
      <c r="JB26">
        <v>-3.6297174575716598E-10</v>
      </c>
      <c r="JC26">
        <v>-1.156856101924232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1.4</v>
      </c>
      <c r="JL26">
        <v>1.3</v>
      </c>
      <c r="JM26">
        <v>1.1267100000000001</v>
      </c>
      <c r="JN26">
        <v>2.5268600000000001</v>
      </c>
      <c r="JO26">
        <v>1.50024</v>
      </c>
      <c r="JP26">
        <v>2.2717299999999998</v>
      </c>
      <c r="JQ26">
        <v>1.4477500000000001</v>
      </c>
      <c r="JR26">
        <v>2.4414099999999999</v>
      </c>
      <c r="JS26">
        <v>39.742199999999997</v>
      </c>
      <c r="JT26">
        <v>13.956899999999999</v>
      </c>
      <c r="JU26">
        <v>18</v>
      </c>
      <c r="JV26">
        <v>538.57000000000005</v>
      </c>
      <c r="JW26">
        <v>448.22399999999999</v>
      </c>
      <c r="JX26">
        <v>20.0091</v>
      </c>
      <c r="JY26">
        <v>31.615500000000001</v>
      </c>
      <c r="JZ26">
        <v>30.000399999999999</v>
      </c>
      <c r="KA26">
        <v>31.976500000000001</v>
      </c>
      <c r="KB26">
        <v>31.924099999999999</v>
      </c>
      <c r="KC26">
        <v>22.544699999999999</v>
      </c>
      <c r="KD26">
        <v>29.769400000000001</v>
      </c>
      <c r="KE26">
        <v>0</v>
      </c>
      <c r="KF26">
        <v>20.016500000000001</v>
      </c>
      <c r="KG26">
        <v>433.48599999999999</v>
      </c>
      <c r="KH26">
        <v>19.9146</v>
      </c>
      <c r="KI26">
        <v>100.539</v>
      </c>
      <c r="KJ26">
        <v>98.771299999999997</v>
      </c>
    </row>
    <row r="27" spans="1:296" x14ac:dyDescent="0.3">
      <c r="A27">
        <v>11</v>
      </c>
      <c r="B27">
        <v>1784740304.5</v>
      </c>
      <c r="C27">
        <v>1847.900000095367</v>
      </c>
      <c r="D27" t="s">
        <v>936</v>
      </c>
      <c r="E27" t="s">
        <v>937</v>
      </c>
      <c r="F27">
        <v>15</v>
      </c>
      <c r="H27">
        <v>1784740296.5</v>
      </c>
      <c r="I27">
        <f t="shared" si="0"/>
        <v>7.0889280563577763E-4</v>
      </c>
      <c r="J27">
        <f t="shared" si="1"/>
        <v>0.70889280563577761</v>
      </c>
      <c r="K27">
        <f t="shared" si="2"/>
        <v>3.8307387408541165</v>
      </c>
      <c r="L27">
        <f t="shared" si="3"/>
        <v>420.0584516129033</v>
      </c>
      <c r="M27">
        <f t="shared" si="4"/>
        <v>308.9440255061466</v>
      </c>
      <c r="N27">
        <f t="shared" si="5"/>
        <v>30.359350195172095</v>
      </c>
      <c r="O27">
        <f t="shared" si="6"/>
        <v>41.278356537450378</v>
      </c>
      <c r="P27">
        <f t="shared" si="7"/>
        <v>5.945593403485492E-2</v>
      </c>
      <c r="Q27">
        <f t="shared" si="8"/>
        <v>2.8980193740130957</v>
      </c>
      <c r="R27">
        <f t="shared" si="9"/>
        <v>5.8786502084401247E-2</v>
      </c>
      <c r="S27">
        <f t="shared" si="10"/>
        <v>3.6801081459805526E-2</v>
      </c>
      <c r="T27">
        <f t="shared" si="11"/>
        <v>16.507726384902796</v>
      </c>
      <c r="U27">
        <f t="shared" si="12"/>
        <v>24.407815934827507</v>
      </c>
      <c r="V27">
        <f t="shared" si="13"/>
        <v>24.91857741935484</v>
      </c>
      <c r="W27">
        <f t="shared" si="14"/>
        <v>3.1642750526584114</v>
      </c>
      <c r="X27">
        <f t="shared" si="15"/>
        <v>65.16216375339171</v>
      </c>
      <c r="Y27">
        <f t="shared" si="16"/>
        <v>2.0104831072924143</v>
      </c>
      <c r="Z27">
        <f t="shared" si="17"/>
        <v>3.0853535111282548</v>
      </c>
      <c r="AA27">
        <f t="shared" si="18"/>
        <v>1.1537919453659971</v>
      </c>
      <c r="AB27">
        <f t="shared" si="19"/>
        <v>-31.262172728537795</v>
      </c>
      <c r="AC27">
        <f t="shared" si="20"/>
        <v>-66.044835223569748</v>
      </c>
      <c r="AD27">
        <f t="shared" si="21"/>
        <v>-4.8063688370716271</v>
      </c>
      <c r="AE27">
        <f t="shared" si="22"/>
        <v>-85.605650404276375</v>
      </c>
      <c r="AF27">
        <f t="shared" si="23"/>
        <v>3.8307387408541165</v>
      </c>
      <c r="AG27">
        <f t="shared" si="24"/>
        <v>0.70889280563577761</v>
      </c>
      <c r="AH27">
        <f t="shared" si="25"/>
        <v>3.7838589739984339</v>
      </c>
      <c r="AI27">
        <v>433.57964147651131</v>
      </c>
      <c r="AJ27">
        <v>428.88932727272709</v>
      </c>
      <c r="AK27">
        <v>1.114068502604838E-2</v>
      </c>
      <c r="AL27">
        <v>67.086191439431502</v>
      </c>
      <c r="AM27">
        <f t="shared" si="26"/>
        <v>0.71296104869137311</v>
      </c>
      <c r="AN27">
        <v>19.63131752014241</v>
      </c>
      <c r="AO27">
        <v>20.46869090909091</v>
      </c>
      <c r="AP27">
        <v>9.193645520054247E-5</v>
      </c>
      <c r="AQ27">
        <v>78.234332510889757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52369.750360925398</v>
      </c>
      <c r="AW27" t="s">
        <v>897</v>
      </c>
      <c r="AX27">
        <v>5150.17</v>
      </c>
      <c r="AY27">
        <v>596.47647058823532</v>
      </c>
      <c r="AZ27">
        <v>2397.11</v>
      </c>
      <c r="BA27">
        <f t="shared" si="30"/>
        <v>0.75116850266018864</v>
      </c>
      <c r="BB27">
        <v>-2.146882921728257</v>
      </c>
      <c r="BC27" t="s">
        <v>938</v>
      </c>
      <c r="BD27">
        <v>5151.01</v>
      </c>
      <c r="BE27">
        <v>672.6455882352941</v>
      </c>
      <c r="BF27">
        <v>1936.89</v>
      </c>
      <c r="BG27">
        <f t="shared" si="31"/>
        <v>0.65271874590952805</v>
      </c>
      <c r="BH27">
        <v>0.5</v>
      </c>
      <c r="BI27">
        <f t="shared" si="32"/>
        <v>84.27554386515105</v>
      </c>
      <c r="BJ27">
        <f t="shared" si="33"/>
        <v>3.8307387408541165</v>
      </c>
      <c r="BK27">
        <f t="shared" si="34"/>
        <v>27.504113651252407</v>
      </c>
      <c r="BL27">
        <f t="shared" si="35"/>
        <v>7.0929493758558726E-2</v>
      </c>
      <c r="BM27">
        <f t="shared" si="36"/>
        <v>0.23760771133105132</v>
      </c>
      <c r="BN27">
        <f t="shared" si="37"/>
        <v>563.1789209190888</v>
      </c>
      <c r="BO27" t="s">
        <v>408</v>
      </c>
      <c r="BP27">
        <v>0</v>
      </c>
      <c r="BQ27">
        <f t="shared" si="38"/>
        <v>563.1789209190888</v>
      </c>
      <c r="BR27">
        <f t="shared" si="39"/>
        <v>0.7092354646267528</v>
      </c>
      <c r="BS27">
        <f t="shared" si="40"/>
        <v>0.92031318012704344</v>
      </c>
      <c r="BT27">
        <f t="shared" si="41"/>
        <v>0.25094727127403438</v>
      </c>
      <c r="BU27">
        <f t="shared" si="42"/>
        <v>0.94317491134210996</v>
      </c>
      <c r="BV27">
        <f t="shared" si="43"/>
        <v>0.25558782088787707</v>
      </c>
      <c r="BW27">
        <f t="shared" si="44"/>
        <v>0.77054096950422524</v>
      </c>
      <c r="BX27">
        <f t="shared" si="45"/>
        <v>0.22945903049577476</v>
      </c>
      <c r="DG27">
        <f t="shared" si="46"/>
        <v>99.989103225806474</v>
      </c>
      <c r="DH27">
        <f t="shared" si="47"/>
        <v>84.27554386515105</v>
      </c>
      <c r="DI27">
        <f t="shared" si="48"/>
        <v>0.84284728181660629</v>
      </c>
      <c r="DJ27">
        <f t="shared" si="49"/>
        <v>0.16509525390605032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1784740296.5</v>
      </c>
      <c r="DQ27">
        <v>420.0584516129033</v>
      </c>
      <c r="DR27">
        <v>425.01209677419348</v>
      </c>
      <c r="DS27">
        <v>20.459158064516132</v>
      </c>
      <c r="DT27">
        <v>19.625987096774189</v>
      </c>
      <c r="DU27">
        <v>427.12351612903223</v>
      </c>
      <c r="DV27">
        <v>21.28451290322581</v>
      </c>
      <c r="DW27">
        <v>500.05783870967741</v>
      </c>
      <c r="DX27">
        <v>98.218232258064504</v>
      </c>
      <c r="DY27">
        <v>4.9892996774193538E-2</v>
      </c>
      <c r="DZ27">
        <v>24.495858064516121</v>
      </c>
      <c r="EA27">
        <v>24.91857741935484</v>
      </c>
      <c r="EB27">
        <v>999.90000000000032</v>
      </c>
      <c r="EC27">
        <v>0</v>
      </c>
      <c r="ED27">
        <v>0</v>
      </c>
      <c r="EE27">
        <v>9999.5161290322576</v>
      </c>
      <c r="EF27">
        <v>0</v>
      </c>
      <c r="EG27">
        <v>1030.992451612904</v>
      </c>
      <c r="EH27">
        <v>-4.9535480645161289</v>
      </c>
      <c r="EI27">
        <v>428.83206451612909</v>
      </c>
      <c r="EJ27">
        <v>433.52038709677419</v>
      </c>
      <c r="EK27">
        <v>0.8331729677419355</v>
      </c>
      <c r="EL27">
        <v>425.01209677419348</v>
      </c>
      <c r="EM27">
        <v>19.625987096774189</v>
      </c>
      <c r="EN27">
        <v>2.0094622580645161</v>
      </c>
      <c r="EO27">
        <v>1.927630322580645</v>
      </c>
      <c r="EP27">
        <v>17.519087096774189</v>
      </c>
      <c r="EQ27">
        <v>16.862080645161289</v>
      </c>
      <c r="ER27">
        <v>99.989103225806474</v>
      </c>
      <c r="ES27">
        <v>0.90008454838709662</v>
      </c>
      <c r="ET27">
        <v>9.9915383870967711E-2</v>
      </c>
      <c r="EU27">
        <v>0</v>
      </c>
      <c r="EV27">
        <v>672.7872258064516</v>
      </c>
      <c r="EW27">
        <v>5.0010700000000003</v>
      </c>
      <c r="EX27">
        <v>3800.9816129032251</v>
      </c>
      <c r="EY27">
        <v>836.50425806451608</v>
      </c>
      <c r="EZ27">
        <v>35.561999999999991</v>
      </c>
      <c r="FA27">
        <v>39.928999999999988</v>
      </c>
      <c r="FB27">
        <v>37.75</v>
      </c>
      <c r="FC27">
        <v>39.561999999999983</v>
      </c>
      <c r="FD27">
        <v>37.795999999999999</v>
      </c>
      <c r="FE27">
        <v>85.499032258064545</v>
      </c>
      <c r="FF27">
        <v>9.490000000000002</v>
      </c>
      <c r="FG27">
        <v>0</v>
      </c>
      <c r="FH27">
        <v>181.80000019073489</v>
      </c>
      <c r="FI27">
        <v>0</v>
      </c>
      <c r="FJ27">
        <v>672.6455882352941</v>
      </c>
      <c r="FK27">
        <v>-4.5012254550423458</v>
      </c>
      <c r="FL27">
        <v>-259.96323115141809</v>
      </c>
      <c r="FM27">
        <v>3800.504705882352</v>
      </c>
      <c r="FN27">
        <v>10</v>
      </c>
      <c r="FO27">
        <v>1784740230</v>
      </c>
      <c r="FP27" t="s">
        <v>939</v>
      </c>
      <c r="FQ27">
        <v>1784740222</v>
      </c>
      <c r="FR27">
        <v>1784740230</v>
      </c>
      <c r="FS27">
        <v>37</v>
      </c>
      <c r="FT27">
        <v>0.02</v>
      </c>
      <c r="FU27">
        <v>1.2E-2</v>
      </c>
      <c r="FV27">
        <v>-7.085</v>
      </c>
      <c r="FW27">
        <v>-0.872</v>
      </c>
      <c r="FX27">
        <v>425</v>
      </c>
      <c r="FY27">
        <v>19</v>
      </c>
      <c r="FZ27">
        <v>1.44</v>
      </c>
      <c r="GA27">
        <v>0.15</v>
      </c>
      <c r="GB27">
        <v>420.0584516129033</v>
      </c>
      <c r="GC27">
        <v>7.7951612901873746E-2</v>
      </c>
      <c r="GD27">
        <v>5.1546933646595551E-2</v>
      </c>
      <c r="GE27">
        <v>-1</v>
      </c>
      <c r="GF27">
        <v>672.93673529411763</v>
      </c>
      <c r="GG27">
        <v>-3.5049503414303902</v>
      </c>
      <c r="GH27">
        <v>0.40060706205219138</v>
      </c>
      <c r="GI27">
        <v>1</v>
      </c>
      <c r="GJ27">
        <v>0.82974902439024401</v>
      </c>
      <c r="GK27">
        <v>7.5185477351917607E-2</v>
      </c>
      <c r="GL27">
        <v>8.0867689784981569E-3</v>
      </c>
      <c r="GM27">
        <v>1</v>
      </c>
      <c r="GN27">
        <v>2</v>
      </c>
      <c r="GO27">
        <v>2</v>
      </c>
      <c r="GP27" t="s">
        <v>424</v>
      </c>
      <c r="GQ27">
        <v>3.1296200000000001</v>
      </c>
      <c r="GR27">
        <v>2.7271299999999998</v>
      </c>
      <c r="GS27">
        <v>9.2437800000000001E-2</v>
      </c>
      <c r="GT27">
        <v>9.2806700000000006E-2</v>
      </c>
      <c r="GU27">
        <v>0.10362399999999999</v>
      </c>
      <c r="GV27">
        <v>9.8218700000000006E-2</v>
      </c>
      <c r="GW27">
        <v>22785.4</v>
      </c>
      <c r="GX27">
        <v>30589.200000000001</v>
      </c>
      <c r="GY27">
        <v>27226</v>
      </c>
      <c r="GZ27">
        <v>34660.800000000003</v>
      </c>
      <c r="HA27">
        <v>35742.6</v>
      </c>
      <c r="HB27">
        <v>39424.400000000001</v>
      </c>
      <c r="HC27">
        <v>40210.199999999997</v>
      </c>
      <c r="HD27">
        <v>43802.1</v>
      </c>
      <c r="HE27">
        <v>1.9827999999999999</v>
      </c>
      <c r="HF27">
        <v>1.8168</v>
      </c>
      <c r="HG27">
        <v>-9.4771400000000006E-2</v>
      </c>
      <c r="HH27">
        <v>0</v>
      </c>
      <c r="HI27">
        <v>26.472100000000001</v>
      </c>
      <c r="HJ27">
        <v>999.9</v>
      </c>
      <c r="HK27">
        <v>41.6</v>
      </c>
      <c r="HL27">
        <v>36.700000000000003</v>
      </c>
      <c r="HM27">
        <v>26.2697</v>
      </c>
      <c r="HN27">
        <v>60.177799999999998</v>
      </c>
      <c r="HO27">
        <v>4.56731</v>
      </c>
      <c r="HP27">
        <v>1</v>
      </c>
      <c r="HQ27">
        <v>0.384797</v>
      </c>
      <c r="HR27">
        <v>4.1504099999999999</v>
      </c>
      <c r="HS27">
        <v>20.237400000000001</v>
      </c>
      <c r="HT27">
        <v>5.2100999999999997</v>
      </c>
      <c r="HU27">
        <v>11.908099999999999</v>
      </c>
      <c r="HV27">
        <v>4.9847999999999999</v>
      </c>
      <c r="HW27">
        <v>3.2706</v>
      </c>
      <c r="HX27">
        <v>9999</v>
      </c>
      <c r="HY27">
        <v>9999</v>
      </c>
      <c r="HZ27">
        <v>9999</v>
      </c>
      <c r="IA27">
        <v>999.9</v>
      </c>
      <c r="IB27">
        <v>1.8672200000000001</v>
      </c>
      <c r="IC27">
        <v>1.8627899999999999</v>
      </c>
      <c r="ID27">
        <v>1.8622399999999999</v>
      </c>
      <c r="IE27">
        <v>1.86172</v>
      </c>
      <c r="IF27">
        <v>1.86172</v>
      </c>
      <c r="IG27">
        <v>1.86249</v>
      </c>
      <c r="IH27">
        <v>1.86331</v>
      </c>
      <c r="II27">
        <v>1.86127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-7.0650000000000004</v>
      </c>
      <c r="IX27">
        <v>-0.82499999999999996</v>
      </c>
      <c r="IY27">
        <v>-5.0731250787433346</v>
      </c>
      <c r="IZ27">
        <v>-5.6215304933332991E-3</v>
      </c>
      <c r="JA27">
        <v>2.3979931213773931E-6</v>
      </c>
      <c r="JB27">
        <v>-3.6297174575716598E-10</v>
      </c>
      <c r="JC27">
        <v>-1.144621233185326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1.4</v>
      </c>
      <c r="JL27">
        <v>1.2</v>
      </c>
      <c r="JM27">
        <v>1.1096200000000001</v>
      </c>
      <c r="JN27">
        <v>2.51953</v>
      </c>
      <c r="JO27">
        <v>1.50024</v>
      </c>
      <c r="JP27">
        <v>2.2717299999999998</v>
      </c>
      <c r="JQ27">
        <v>1.4477500000000001</v>
      </c>
      <c r="JR27">
        <v>2.4182100000000002</v>
      </c>
      <c r="JS27">
        <v>39.994199999999999</v>
      </c>
      <c r="JT27">
        <v>13.991899999999999</v>
      </c>
      <c r="JU27">
        <v>18</v>
      </c>
      <c r="JV27">
        <v>538.26599999999996</v>
      </c>
      <c r="JW27">
        <v>445.315</v>
      </c>
      <c r="JX27">
        <v>21.193300000000001</v>
      </c>
      <c r="JY27">
        <v>32.040999999999997</v>
      </c>
      <c r="JZ27">
        <v>30.001000000000001</v>
      </c>
      <c r="KA27">
        <v>32.249499999999998</v>
      </c>
      <c r="KB27">
        <v>32.164400000000001</v>
      </c>
      <c r="KC27">
        <v>22.191199999999998</v>
      </c>
      <c r="KD27">
        <v>31.408799999999999</v>
      </c>
      <c r="KE27">
        <v>0</v>
      </c>
      <c r="KF27">
        <v>21.236899999999999</v>
      </c>
      <c r="KG27">
        <v>424.87700000000001</v>
      </c>
      <c r="KH27">
        <v>19.568100000000001</v>
      </c>
      <c r="KI27">
        <v>100.49</v>
      </c>
      <c r="KJ27">
        <v>98.722999999999999</v>
      </c>
    </row>
    <row r="28" spans="1:296" x14ac:dyDescent="0.3">
      <c r="A28">
        <v>12</v>
      </c>
      <c r="B28">
        <v>1784740487</v>
      </c>
      <c r="C28">
        <v>2030.400000095367</v>
      </c>
      <c r="D28" t="s">
        <v>940</v>
      </c>
      <c r="E28" t="s">
        <v>941</v>
      </c>
      <c r="F28">
        <v>15</v>
      </c>
      <c r="H28">
        <v>1784740479</v>
      </c>
      <c r="I28">
        <f t="shared" si="0"/>
        <v>3.8556706536553692E-6</v>
      </c>
      <c r="J28">
        <f t="shared" si="1"/>
        <v>3.8556706536553688E-3</v>
      </c>
      <c r="K28">
        <f t="shared" si="2"/>
        <v>0.59914687953224011</v>
      </c>
      <c r="L28">
        <f t="shared" si="3"/>
        <v>419.95780645161301</v>
      </c>
      <c r="M28">
        <f t="shared" si="4"/>
        <v>-2651.7160337189671</v>
      </c>
      <c r="N28">
        <f t="shared" si="5"/>
        <v>-260.5658106598874</v>
      </c>
      <c r="O28">
        <f t="shared" si="6"/>
        <v>41.266351634018839</v>
      </c>
      <c r="P28">
        <f t="shared" si="7"/>
        <v>3.0986346673824458E-4</v>
      </c>
      <c r="Q28">
        <f t="shared" si="8"/>
        <v>2.8962763398114362</v>
      </c>
      <c r="R28">
        <f t="shared" si="9"/>
        <v>3.0984505052343385E-4</v>
      </c>
      <c r="S28">
        <f t="shared" si="10"/>
        <v>1.9365481106800784E-4</v>
      </c>
      <c r="T28">
        <f t="shared" si="11"/>
        <v>8.2388338370133312</v>
      </c>
      <c r="U28">
        <f t="shared" si="12"/>
        <v>24.660406472692781</v>
      </c>
      <c r="V28">
        <f t="shared" si="13"/>
        <v>25.087067741935481</v>
      </c>
      <c r="W28">
        <f t="shared" si="14"/>
        <v>3.1962204608141094</v>
      </c>
      <c r="X28">
        <f t="shared" si="15"/>
        <v>64.559832863590302</v>
      </c>
      <c r="Y28">
        <f t="shared" si="16"/>
        <v>2.0058143385465677</v>
      </c>
      <c r="Z28">
        <f t="shared" si="17"/>
        <v>3.1069075763945837</v>
      </c>
      <c r="AA28">
        <f t="shared" si="18"/>
        <v>1.1904061222675417</v>
      </c>
      <c r="AB28">
        <f t="shared" si="19"/>
        <v>-0.17003507582620178</v>
      </c>
      <c r="AC28">
        <f t="shared" si="20"/>
        <v>-74.142231859992094</v>
      </c>
      <c r="AD28">
        <f t="shared" si="21"/>
        <v>-5.406652184385532</v>
      </c>
      <c r="AE28">
        <f t="shared" si="22"/>
        <v>-71.48008528319049</v>
      </c>
      <c r="AF28">
        <f t="shared" si="23"/>
        <v>0.59914687953224011</v>
      </c>
      <c r="AG28">
        <f t="shared" si="24"/>
        <v>3.8556706536553688E-3</v>
      </c>
      <c r="AH28">
        <f t="shared" si="25"/>
        <v>0.64351469420695373</v>
      </c>
      <c r="AI28">
        <v>429.57151081976491</v>
      </c>
      <c r="AJ28">
        <v>428.75229090909068</v>
      </c>
      <c r="AK28">
        <v>5.8106538254497986E-3</v>
      </c>
      <c r="AL28">
        <v>67.094207933140922</v>
      </c>
      <c r="AM28">
        <f t="shared" si="26"/>
        <v>-5.2888338792709884E-2</v>
      </c>
      <c r="AN28">
        <v>20.48489792323592</v>
      </c>
      <c r="AO28">
        <v>20.42209878787877</v>
      </c>
      <c r="AP28">
        <v>1.015728059408847E-4</v>
      </c>
      <c r="AQ28">
        <v>78.252113301806048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52298.924704992685</v>
      </c>
      <c r="AW28" t="s">
        <v>897</v>
      </c>
      <c r="AX28">
        <v>5150.17</v>
      </c>
      <c r="AY28">
        <v>596.47647058823532</v>
      </c>
      <c r="AZ28">
        <v>2397.11</v>
      </c>
      <c r="BA28">
        <f t="shared" si="30"/>
        <v>0.75116850266018864</v>
      </c>
      <c r="BB28">
        <v>-2.146882921728257</v>
      </c>
      <c r="BC28" t="s">
        <v>942</v>
      </c>
      <c r="BD28">
        <v>5145.38</v>
      </c>
      <c r="BE28">
        <v>649.09911764705885</v>
      </c>
      <c r="BF28">
        <v>1964.68</v>
      </c>
      <c r="BG28">
        <f t="shared" si="31"/>
        <v>0.66961585721488548</v>
      </c>
      <c r="BH28">
        <v>0.5</v>
      </c>
      <c r="BI28">
        <f t="shared" si="32"/>
        <v>42.124365982072767</v>
      </c>
      <c r="BJ28">
        <f t="shared" si="33"/>
        <v>0.59914687953224011</v>
      </c>
      <c r="BK28">
        <f t="shared" si="34"/>
        <v>14.103571718359609</v>
      </c>
      <c r="BL28">
        <f t="shared" si="35"/>
        <v>6.5188632214171455E-2</v>
      </c>
      <c r="BM28">
        <f t="shared" si="36"/>
        <v>0.22010200134373031</v>
      </c>
      <c r="BN28">
        <f t="shared" si="37"/>
        <v>565.50473181215182</v>
      </c>
      <c r="BO28" t="s">
        <v>408</v>
      </c>
      <c r="BP28">
        <v>0</v>
      </c>
      <c r="BQ28">
        <f t="shared" si="38"/>
        <v>565.50473181215182</v>
      </c>
      <c r="BR28">
        <f t="shared" si="39"/>
        <v>0.71216445842979426</v>
      </c>
      <c r="BS28">
        <f t="shared" si="40"/>
        <v>0.94025452869591175</v>
      </c>
      <c r="BT28">
        <f t="shared" si="41"/>
        <v>0.23609344628487405</v>
      </c>
      <c r="BU28">
        <f t="shared" si="42"/>
        <v>0.96153887493518764</v>
      </c>
      <c r="BV28">
        <f t="shared" si="43"/>
        <v>0.24015436397058945</v>
      </c>
      <c r="BW28">
        <f t="shared" si="44"/>
        <v>0.81916362328882308</v>
      </c>
      <c r="BX28">
        <f t="shared" si="45"/>
        <v>0.18083637671117692</v>
      </c>
      <c r="DG28">
        <f t="shared" si="46"/>
        <v>49.98713225806452</v>
      </c>
      <c r="DH28">
        <f t="shared" si="47"/>
        <v>42.124365982072767</v>
      </c>
      <c r="DI28">
        <f t="shared" si="48"/>
        <v>0.8427041936432903</v>
      </c>
      <c r="DJ28">
        <f t="shared" si="49"/>
        <v>0.16481909373155018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1784740479</v>
      </c>
      <c r="DQ28">
        <v>419.95780645161301</v>
      </c>
      <c r="DR28">
        <v>420.67870967741942</v>
      </c>
      <c r="DS28">
        <v>20.4126935483871</v>
      </c>
      <c r="DT28">
        <v>20.408161290322582</v>
      </c>
      <c r="DU28">
        <v>427.0479354838709</v>
      </c>
      <c r="DV28">
        <v>21.268851612903219</v>
      </c>
      <c r="DW28">
        <v>500.01116129032249</v>
      </c>
      <c r="DX28">
        <v>98.21038709677417</v>
      </c>
      <c r="DY28">
        <v>5.2702670967741942E-2</v>
      </c>
      <c r="DZ28">
        <v>24.612235483870968</v>
      </c>
      <c r="EA28">
        <v>25.087067741935481</v>
      </c>
      <c r="EB28">
        <v>999.90000000000032</v>
      </c>
      <c r="EC28">
        <v>0</v>
      </c>
      <c r="ED28">
        <v>0</v>
      </c>
      <c r="EE28">
        <v>9990.322580645161</v>
      </c>
      <c r="EF28">
        <v>0</v>
      </c>
      <c r="EG28">
        <v>1348.124193548387</v>
      </c>
      <c r="EH28">
        <v>-0.72074838709677413</v>
      </c>
      <c r="EI28">
        <v>428.70906451612899</v>
      </c>
      <c r="EJ28">
        <v>429.44280645161291</v>
      </c>
      <c r="EK28">
        <v>4.5282903225806461E-3</v>
      </c>
      <c r="EL28">
        <v>420.67870967741942</v>
      </c>
      <c r="EM28">
        <v>20.408161290322582</v>
      </c>
      <c r="EN28">
        <v>2.0047383870967752</v>
      </c>
      <c r="EO28">
        <v>2.0042935483870972</v>
      </c>
      <c r="EP28">
        <v>17.481816129032261</v>
      </c>
      <c r="EQ28">
        <v>17.47824838709677</v>
      </c>
      <c r="ER28">
        <v>49.98713225806452</v>
      </c>
      <c r="ES28">
        <v>0.89984990322580638</v>
      </c>
      <c r="ET28">
        <v>0.1001503548387097</v>
      </c>
      <c r="EU28">
        <v>0</v>
      </c>
      <c r="EV28">
        <v>649.25658064516131</v>
      </c>
      <c r="EW28">
        <v>5.0010700000000003</v>
      </c>
      <c r="EX28">
        <v>4154.4035483870957</v>
      </c>
      <c r="EY28">
        <v>396.1283548387097</v>
      </c>
      <c r="EZ28">
        <v>35.689032258064508</v>
      </c>
      <c r="FA28">
        <v>40.158999999999978</v>
      </c>
      <c r="FB28">
        <v>37.96748387096774</v>
      </c>
      <c r="FC28">
        <v>39.759935483870947</v>
      </c>
      <c r="FD28">
        <v>37.883000000000003</v>
      </c>
      <c r="FE28">
        <v>40.479999999999997</v>
      </c>
      <c r="FF28">
        <v>4.5058064516129024</v>
      </c>
      <c r="FG28">
        <v>0</v>
      </c>
      <c r="FH28">
        <v>182.20000004768369</v>
      </c>
      <c r="FI28">
        <v>0</v>
      </c>
      <c r="FJ28">
        <v>649.09911764705885</v>
      </c>
      <c r="FK28">
        <v>-5.931371789152301E-2</v>
      </c>
      <c r="FL28">
        <v>-1156.2009840499229</v>
      </c>
      <c r="FM28">
        <v>3962.3723529411759</v>
      </c>
      <c r="FN28">
        <v>10</v>
      </c>
      <c r="FO28">
        <v>1784740414.5</v>
      </c>
      <c r="FP28" t="s">
        <v>943</v>
      </c>
      <c r="FQ28">
        <v>1784740413.5</v>
      </c>
      <c r="FR28">
        <v>1784740414.5</v>
      </c>
      <c r="FS28">
        <v>38</v>
      </c>
      <c r="FT28">
        <v>-2.5000000000000001E-2</v>
      </c>
      <c r="FU28">
        <v>-0.03</v>
      </c>
      <c r="FV28">
        <v>-7.0919999999999996</v>
      </c>
      <c r="FW28">
        <v>-0.86799999999999999</v>
      </c>
      <c r="FX28">
        <v>420</v>
      </c>
      <c r="FY28">
        <v>20</v>
      </c>
      <c r="FZ28">
        <v>1.41</v>
      </c>
      <c r="GA28">
        <v>0.53</v>
      </c>
      <c r="GB28">
        <v>419.95400000000001</v>
      </c>
      <c r="GC28">
        <v>0.1687258064504884</v>
      </c>
      <c r="GD28">
        <v>4.7735832216682962E-2</v>
      </c>
      <c r="GE28">
        <v>-1</v>
      </c>
      <c r="GF28">
        <v>649.33155882352946</v>
      </c>
      <c r="GG28">
        <v>-2.4954163496536839</v>
      </c>
      <c r="GH28">
        <v>0.32659897978808328</v>
      </c>
      <c r="GI28">
        <v>1</v>
      </c>
      <c r="GJ28">
        <v>2.63138756097561E-2</v>
      </c>
      <c r="GK28">
        <v>-0.50666102508710786</v>
      </c>
      <c r="GL28">
        <v>5.5129026820722057E-2</v>
      </c>
      <c r="GM28">
        <v>0</v>
      </c>
      <c r="GN28">
        <v>1</v>
      </c>
      <c r="GO28">
        <v>2</v>
      </c>
      <c r="GP28" t="s">
        <v>411</v>
      </c>
      <c r="GQ28">
        <v>3.1305200000000002</v>
      </c>
      <c r="GR28">
        <v>2.7290800000000002</v>
      </c>
      <c r="GS28">
        <v>9.2340099999999994E-2</v>
      </c>
      <c r="GT28">
        <v>9.2034500000000005E-2</v>
      </c>
      <c r="GU28">
        <v>0.103479</v>
      </c>
      <c r="GV28">
        <v>0.10119</v>
      </c>
      <c r="GW28">
        <v>22774.5</v>
      </c>
      <c r="GX28">
        <v>30592.6</v>
      </c>
      <c r="GY28">
        <v>27211.5</v>
      </c>
      <c r="GZ28">
        <v>34637.199999999997</v>
      </c>
      <c r="HA28">
        <v>35731.800000000003</v>
      </c>
      <c r="HB28">
        <v>39272.6</v>
      </c>
      <c r="HC28">
        <v>40190.199999999997</v>
      </c>
      <c r="HD28">
        <v>43777.4</v>
      </c>
      <c r="HE28">
        <v>1.9805999999999999</v>
      </c>
      <c r="HF28">
        <v>1.8104</v>
      </c>
      <c r="HG28">
        <v>-0.101298</v>
      </c>
      <c r="HH28">
        <v>0</v>
      </c>
      <c r="HI28">
        <v>26.735499999999998</v>
      </c>
      <c r="HJ28">
        <v>999.9</v>
      </c>
      <c r="HK28">
        <v>41.6</v>
      </c>
      <c r="HL28">
        <v>36.9</v>
      </c>
      <c r="HM28">
        <v>26.561299999999999</v>
      </c>
      <c r="HN28">
        <v>61.377800000000001</v>
      </c>
      <c r="HO28">
        <v>4.8036899999999996</v>
      </c>
      <c r="HP28">
        <v>1</v>
      </c>
      <c r="HQ28">
        <v>0.42615900000000001</v>
      </c>
      <c r="HR28">
        <v>6.1009799999999998</v>
      </c>
      <c r="HS28">
        <v>20.178799999999999</v>
      </c>
      <c r="HT28">
        <v>5.2125000000000004</v>
      </c>
      <c r="HU28">
        <v>11.908099999999999</v>
      </c>
      <c r="HV28">
        <v>4.9847999999999999</v>
      </c>
      <c r="HW28">
        <v>3.2706</v>
      </c>
      <c r="HX28">
        <v>9999</v>
      </c>
      <c r="HY28">
        <v>9999</v>
      </c>
      <c r="HZ28">
        <v>9999</v>
      </c>
      <c r="IA28">
        <v>999.9</v>
      </c>
      <c r="IB28">
        <v>1.8672200000000001</v>
      </c>
      <c r="IC28">
        <v>1.8627899999999999</v>
      </c>
      <c r="ID28">
        <v>1.8621799999999999</v>
      </c>
      <c r="IE28">
        <v>1.86175</v>
      </c>
      <c r="IF28">
        <v>1.86175</v>
      </c>
      <c r="IG28">
        <v>1.86246</v>
      </c>
      <c r="IH28">
        <v>1.86328</v>
      </c>
      <c r="II28">
        <v>1.8613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-7.09</v>
      </c>
      <c r="IX28">
        <v>-0.85589999999999999</v>
      </c>
      <c r="IY28">
        <v>-5.0984598120950118</v>
      </c>
      <c r="IZ28">
        <v>-5.6215304933332991E-3</v>
      </c>
      <c r="JA28">
        <v>2.3979931213773931E-6</v>
      </c>
      <c r="JB28">
        <v>-3.6297174575716598E-10</v>
      </c>
      <c r="JC28">
        <v>-1.175014611558393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1.2</v>
      </c>
      <c r="JL28">
        <v>1.2</v>
      </c>
      <c r="JM28">
        <v>1.10107</v>
      </c>
      <c r="JN28">
        <v>2.51953</v>
      </c>
      <c r="JO28">
        <v>1.50024</v>
      </c>
      <c r="JP28">
        <v>2.2717299999999998</v>
      </c>
      <c r="JQ28">
        <v>1.4477500000000001</v>
      </c>
      <c r="JR28">
        <v>2.4194300000000002</v>
      </c>
      <c r="JS28">
        <v>40.247399999999999</v>
      </c>
      <c r="JT28">
        <v>13.904400000000001</v>
      </c>
      <c r="JU28">
        <v>18</v>
      </c>
      <c r="JV28">
        <v>539.24199999999996</v>
      </c>
      <c r="JW28">
        <v>443.399</v>
      </c>
      <c r="JX28">
        <v>20.377700000000001</v>
      </c>
      <c r="JY28">
        <v>32.357700000000001</v>
      </c>
      <c r="JZ28">
        <v>30.002300000000002</v>
      </c>
      <c r="KA28">
        <v>32.536999999999999</v>
      </c>
      <c r="KB28">
        <v>32.454799999999999</v>
      </c>
      <c r="KC28">
        <v>22.022200000000002</v>
      </c>
      <c r="KD28">
        <v>29.303100000000001</v>
      </c>
      <c r="KE28">
        <v>0</v>
      </c>
      <c r="KF28">
        <v>20.383900000000001</v>
      </c>
      <c r="KG28">
        <v>420.74900000000002</v>
      </c>
      <c r="KH28">
        <v>20.501100000000001</v>
      </c>
      <c r="KI28">
        <v>100.43899999999999</v>
      </c>
      <c r="KJ28">
        <v>98.662300000000002</v>
      </c>
    </row>
    <row r="29" spans="1:296" x14ac:dyDescent="0.3">
      <c r="A29">
        <v>13</v>
      </c>
      <c r="B29">
        <v>1784740669.5999999</v>
      </c>
      <c r="C29">
        <v>2213</v>
      </c>
      <c r="D29" t="s">
        <v>944</v>
      </c>
      <c r="E29" t="s">
        <v>945</v>
      </c>
      <c r="F29">
        <v>15</v>
      </c>
      <c r="H29">
        <v>1784740661.849999</v>
      </c>
      <c r="I29">
        <f t="shared" si="0"/>
        <v>2.8105434940872481E-4</v>
      </c>
      <c r="J29">
        <f t="shared" si="1"/>
        <v>0.28105434940872481</v>
      </c>
      <c r="K29">
        <f t="shared" si="2"/>
        <v>-3.4090879133521459</v>
      </c>
      <c r="L29">
        <f t="shared" si="3"/>
        <v>420.0227000000001</v>
      </c>
      <c r="M29">
        <f t="shared" si="4"/>
        <v>647.4028062485105</v>
      </c>
      <c r="N29">
        <f t="shared" si="5"/>
        <v>63.616486178767339</v>
      </c>
      <c r="O29">
        <f t="shared" si="6"/>
        <v>41.273173411395021</v>
      </c>
      <c r="P29">
        <f t="shared" si="7"/>
        <v>2.3019789005897684E-2</v>
      </c>
      <c r="Q29">
        <f t="shared" si="8"/>
        <v>2.8969176875998626</v>
      </c>
      <c r="R29">
        <f t="shared" si="9"/>
        <v>2.2918647643506793E-2</v>
      </c>
      <c r="S29">
        <f t="shared" si="10"/>
        <v>1.433320476677814E-2</v>
      </c>
      <c r="T29">
        <f t="shared" si="11"/>
        <v>1.5966703903835998E-4</v>
      </c>
      <c r="U29">
        <f t="shared" si="12"/>
        <v>24.321683068549294</v>
      </c>
      <c r="V29">
        <f t="shared" si="13"/>
        <v>24.96335666666667</v>
      </c>
      <c r="W29">
        <f t="shared" si="14"/>
        <v>3.1727377592146442</v>
      </c>
      <c r="X29">
        <f t="shared" si="15"/>
        <v>65.193617742724058</v>
      </c>
      <c r="Y29">
        <f t="shared" si="16"/>
        <v>1.9994251975117867</v>
      </c>
      <c r="Z29">
        <f t="shared" si="17"/>
        <v>3.066903274799369</v>
      </c>
      <c r="AA29">
        <f t="shared" si="18"/>
        <v>1.1733125617028575</v>
      </c>
      <c r="AB29">
        <f t="shared" si="19"/>
        <v>-12.394496808924764</v>
      </c>
      <c r="AC29">
        <f t="shared" si="20"/>
        <v>-88.660003215348397</v>
      </c>
      <c r="AD29">
        <f t="shared" si="21"/>
        <v>-6.4528272436389988</v>
      </c>
      <c r="AE29">
        <f t="shared" si="22"/>
        <v>-107.50716760087312</v>
      </c>
      <c r="AF29">
        <f t="shared" si="23"/>
        <v>-3.4090879133521459</v>
      </c>
      <c r="AG29">
        <f t="shared" si="24"/>
        <v>0.28105434940872481</v>
      </c>
      <c r="AH29">
        <f t="shared" si="25"/>
        <v>-3.5435531082435379</v>
      </c>
      <c r="AI29">
        <v>424.65586333580012</v>
      </c>
      <c r="AJ29">
        <v>428.82615151515171</v>
      </c>
      <c r="AK29">
        <v>3.1708412209699027E-2</v>
      </c>
      <c r="AL29">
        <v>67.094207933140922</v>
      </c>
      <c r="AM29">
        <f t="shared" si="26"/>
        <v>0.28689664388097219</v>
      </c>
      <c r="AN29">
        <v>20.020362234560579</v>
      </c>
      <c r="AO29">
        <v>20.357773333333341</v>
      </c>
      <c r="AP29">
        <v>-2.195191200649048E-5</v>
      </c>
      <c r="AQ29">
        <v>78.252113301806048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52355.517367396002</v>
      </c>
      <c r="AW29" t="s">
        <v>946</v>
      </c>
      <c r="AX29">
        <v>5143.8100000000004</v>
      </c>
      <c r="AY29">
        <v>572.13529411764716</v>
      </c>
      <c r="AZ29">
        <v>2278.5700000000002</v>
      </c>
      <c r="BA29">
        <f t="shared" si="30"/>
        <v>0.74890598308691536</v>
      </c>
      <c r="BB29">
        <v>-3.4090879133521459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-3.4090879133521459</v>
      </c>
      <c r="BK29" t="e">
        <f t="shared" si="34"/>
        <v>#DIV/0!</v>
      </c>
      <c r="BL29">
        <f t="shared" si="35"/>
        <v>0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1.3352810934666328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1784740661.849999</v>
      </c>
      <c r="DQ29">
        <v>420.0227000000001</v>
      </c>
      <c r="DR29">
        <v>416.07336666666669</v>
      </c>
      <c r="DS29">
        <v>20.347453333333331</v>
      </c>
      <c r="DT29">
        <v>20.01704333333333</v>
      </c>
      <c r="DU29">
        <v>427.14170000000013</v>
      </c>
      <c r="DV29">
        <v>21.226453333333328</v>
      </c>
      <c r="DW29">
        <v>499.98899999999998</v>
      </c>
      <c r="DX29">
        <v>98.212009999999992</v>
      </c>
      <c r="DY29">
        <v>5.2139560000000001E-2</v>
      </c>
      <c r="DZ29">
        <v>24.395673333333331</v>
      </c>
      <c r="EA29">
        <v>24.96335666666667</v>
      </c>
      <c r="EB29">
        <v>999.9000000000002</v>
      </c>
      <c r="EC29">
        <v>0</v>
      </c>
      <c r="ED29">
        <v>0</v>
      </c>
      <c r="EE29">
        <v>9993.8333333333339</v>
      </c>
      <c r="EF29">
        <v>0</v>
      </c>
      <c r="EG29">
        <v>1130.0409999999999</v>
      </c>
      <c r="EH29">
        <v>3.9779266666666668</v>
      </c>
      <c r="EI29">
        <v>428.7852666666667</v>
      </c>
      <c r="EJ29">
        <v>424.57206666666667</v>
      </c>
      <c r="EK29">
        <v>0.35214183333333332</v>
      </c>
      <c r="EL29">
        <v>416.07336666666669</v>
      </c>
      <c r="EM29">
        <v>20.01704333333333</v>
      </c>
      <c r="EN29">
        <v>2.0004996666666668</v>
      </c>
      <c r="EO29">
        <v>1.9659139999999999</v>
      </c>
      <c r="EP29">
        <v>17.44828</v>
      </c>
      <c r="EQ29">
        <v>17.17243666666667</v>
      </c>
      <c r="ER29">
        <v>1.00021E-2</v>
      </c>
      <c r="ES29">
        <v>0</v>
      </c>
      <c r="ET29">
        <v>0</v>
      </c>
      <c r="EU29">
        <v>0</v>
      </c>
      <c r="EV29">
        <v>571.3266666666666</v>
      </c>
      <c r="EW29">
        <v>1.00021E-2</v>
      </c>
      <c r="EX29">
        <v>3646.271666666667</v>
      </c>
      <c r="EY29">
        <v>2.8066666666666662</v>
      </c>
      <c r="EZ29">
        <v>35.883266666666671</v>
      </c>
      <c r="FA29">
        <v>40.641533333333342</v>
      </c>
      <c r="FB29">
        <v>38.258266666666671</v>
      </c>
      <c r="FC29">
        <v>40.103999999999999</v>
      </c>
      <c r="FD29">
        <v>37.945399999999992</v>
      </c>
      <c r="FE29">
        <v>0</v>
      </c>
      <c r="FF29">
        <v>0</v>
      </c>
      <c r="FG29">
        <v>0</v>
      </c>
      <c r="FH29">
        <v>181.9000000953674</v>
      </c>
      <c r="FI29">
        <v>0</v>
      </c>
      <c r="FJ29">
        <v>572.13529411764716</v>
      </c>
      <c r="FK29">
        <v>-15.232843438691971</v>
      </c>
      <c r="FL29">
        <v>-762.70833128425261</v>
      </c>
      <c r="FM29">
        <v>3509.15</v>
      </c>
      <c r="FN29">
        <v>10</v>
      </c>
      <c r="FO29">
        <v>1784740686.0999999</v>
      </c>
      <c r="FP29" t="s">
        <v>947</v>
      </c>
      <c r="FQ29">
        <v>1784740686.0999999</v>
      </c>
      <c r="FR29">
        <v>1784740683.5999999</v>
      </c>
      <c r="FS29">
        <v>39</v>
      </c>
      <c r="FT29">
        <v>-4.2999999999999997E-2</v>
      </c>
      <c r="FU29">
        <v>-1.4E-2</v>
      </c>
      <c r="FV29">
        <v>-7.1189999999999998</v>
      </c>
      <c r="FW29">
        <v>-0.879</v>
      </c>
      <c r="FX29">
        <v>416</v>
      </c>
      <c r="FY29">
        <v>20</v>
      </c>
      <c r="FZ29">
        <v>1.39</v>
      </c>
      <c r="GA29">
        <v>0.65</v>
      </c>
      <c r="GB29">
        <v>420.05380000000002</v>
      </c>
      <c r="GC29">
        <v>-0.44919243603961978</v>
      </c>
      <c r="GD29">
        <v>6.2273804016346773E-2</v>
      </c>
      <c r="GE29">
        <v>-1</v>
      </c>
      <c r="GF29">
        <v>570.99558823529412</v>
      </c>
      <c r="GG29">
        <v>2.6715049172723861</v>
      </c>
      <c r="GH29">
        <v>4.6349276224924942</v>
      </c>
      <c r="GI29">
        <v>1</v>
      </c>
      <c r="GJ29">
        <v>0.33565247500000001</v>
      </c>
      <c r="GK29">
        <v>0.19854572983114349</v>
      </c>
      <c r="GL29">
        <v>3.3637171060441083E-2</v>
      </c>
      <c r="GM29">
        <v>1</v>
      </c>
      <c r="GN29">
        <v>2</v>
      </c>
      <c r="GO29">
        <v>2</v>
      </c>
      <c r="GP29" t="s">
        <v>424</v>
      </c>
      <c r="GQ29">
        <v>3.13062</v>
      </c>
      <c r="GR29">
        <v>2.7295699999999998</v>
      </c>
      <c r="GS29">
        <v>9.2242599999999994E-2</v>
      </c>
      <c r="GT29">
        <v>9.1157000000000002E-2</v>
      </c>
      <c r="GU29">
        <v>0.10313</v>
      </c>
      <c r="GV29">
        <v>9.9413100000000004E-2</v>
      </c>
      <c r="GW29">
        <v>22757</v>
      </c>
      <c r="GX29">
        <v>30592.9</v>
      </c>
      <c r="GY29">
        <v>27190.6</v>
      </c>
      <c r="GZ29">
        <v>34608.400000000001</v>
      </c>
      <c r="HA29">
        <v>35721.800000000003</v>
      </c>
      <c r="HB29">
        <v>39323.1</v>
      </c>
      <c r="HC29">
        <v>40160.800000000003</v>
      </c>
      <c r="HD29">
        <v>43746.1</v>
      </c>
      <c r="HE29">
        <v>1.9754</v>
      </c>
      <c r="HF29">
        <v>1.8006</v>
      </c>
      <c r="HG29">
        <v>-0.116676</v>
      </c>
      <c r="HH29">
        <v>0</v>
      </c>
      <c r="HI29">
        <v>26.869499999999999</v>
      </c>
      <c r="HJ29">
        <v>999.9</v>
      </c>
      <c r="HK29">
        <v>41.6</v>
      </c>
      <c r="HL29">
        <v>37</v>
      </c>
      <c r="HM29">
        <v>26.7059</v>
      </c>
      <c r="HN29">
        <v>61.213299999999997</v>
      </c>
      <c r="HO29">
        <v>4.5953499999999998</v>
      </c>
      <c r="HP29">
        <v>1</v>
      </c>
      <c r="HQ29">
        <v>0.47</v>
      </c>
      <c r="HR29">
        <v>5.52257</v>
      </c>
      <c r="HS29">
        <v>20.200199999999999</v>
      </c>
      <c r="HT29">
        <v>5.2088999999999999</v>
      </c>
      <c r="HU29">
        <v>11.908099999999999</v>
      </c>
      <c r="HV29">
        <v>4.9847999999999999</v>
      </c>
      <c r="HW29">
        <v>3.2706</v>
      </c>
      <c r="HX29">
        <v>9999</v>
      </c>
      <c r="HY29">
        <v>9999</v>
      </c>
      <c r="HZ29">
        <v>9999</v>
      </c>
      <c r="IA29">
        <v>999.9</v>
      </c>
      <c r="IB29">
        <v>1.8672200000000001</v>
      </c>
      <c r="IC29">
        <v>1.8627899999999999</v>
      </c>
      <c r="ID29">
        <v>1.8622099999999999</v>
      </c>
      <c r="IE29">
        <v>1.86182</v>
      </c>
      <c r="IF29">
        <v>1.86175</v>
      </c>
      <c r="IG29">
        <v>1.86249</v>
      </c>
      <c r="IH29">
        <v>1.86331</v>
      </c>
      <c r="II29">
        <v>1.8613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-7.1189999999999998</v>
      </c>
      <c r="IX29">
        <v>-0.879</v>
      </c>
      <c r="IY29">
        <v>-5.0984598120950118</v>
      </c>
      <c r="IZ29">
        <v>-5.6215304933332991E-3</v>
      </c>
      <c r="JA29">
        <v>2.3979931213773931E-6</v>
      </c>
      <c r="JB29">
        <v>-3.6297174575716598E-10</v>
      </c>
      <c r="JC29">
        <v>-1.175014611558393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4.3</v>
      </c>
      <c r="JL29">
        <v>4.3</v>
      </c>
      <c r="JM29">
        <v>1.09131</v>
      </c>
      <c r="JN29">
        <v>2.52075</v>
      </c>
      <c r="JO29">
        <v>1.50024</v>
      </c>
      <c r="JP29">
        <v>2.2717299999999998</v>
      </c>
      <c r="JQ29">
        <v>1.4477500000000001</v>
      </c>
      <c r="JR29">
        <v>2.4243199999999998</v>
      </c>
      <c r="JS29">
        <v>40.6554</v>
      </c>
      <c r="JT29">
        <v>13.8956</v>
      </c>
      <c r="JU29">
        <v>18</v>
      </c>
      <c r="JV29">
        <v>540.09799999999996</v>
      </c>
      <c r="JW29">
        <v>440.68</v>
      </c>
      <c r="JX29">
        <v>20.327300000000001</v>
      </c>
      <c r="JY29">
        <v>32.9801</v>
      </c>
      <c r="JZ29">
        <v>30.000299999999999</v>
      </c>
      <c r="KA29">
        <v>33.046799999999998</v>
      </c>
      <c r="KB29">
        <v>32.9345</v>
      </c>
      <c r="KC29">
        <v>21.821100000000001</v>
      </c>
      <c r="KD29">
        <v>31.586200000000002</v>
      </c>
      <c r="KE29">
        <v>0</v>
      </c>
      <c r="KF29">
        <v>20.362400000000001</v>
      </c>
      <c r="KG29">
        <v>416.07</v>
      </c>
      <c r="KH29">
        <v>19.965199999999999</v>
      </c>
      <c r="KI29">
        <v>100.364</v>
      </c>
      <c r="KJ29">
        <v>98.586600000000004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F5E5-68BB-448A-BBB5-63F745528690}">
  <dimension ref="A2:KJ29"/>
  <sheetViews>
    <sheetView workbookViewId="0">
      <selection activeCell="M10" sqref="M10"/>
    </sheetView>
  </sheetViews>
  <sheetFormatPr defaultRowHeight="14.4" x14ac:dyDescent="0.3"/>
  <sheetData>
    <row r="2" spans="1:296" x14ac:dyDescent="0.3">
      <c r="A2" t="s">
        <v>0</v>
      </c>
      <c r="B2" t="s">
        <v>1</v>
      </c>
      <c r="C2" t="s">
        <v>2</v>
      </c>
    </row>
    <row r="3" spans="1:296" x14ac:dyDescent="0.3">
      <c r="B3" t="s">
        <v>3</v>
      </c>
      <c r="C3" t="s">
        <v>4</v>
      </c>
    </row>
    <row r="4" spans="1:296" x14ac:dyDescent="0.3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</row>
    <row r="5" spans="1:296" x14ac:dyDescent="0.3">
      <c r="B5" t="s">
        <v>16</v>
      </c>
      <c r="C5" t="s">
        <v>17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9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296" x14ac:dyDescent="0.3">
      <c r="B7">
        <v>0</v>
      </c>
      <c r="C7">
        <v>1</v>
      </c>
      <c r="D7">
        <v>0</v>
      </c>
      <c r="E7">
        <v>0</v>
      </c>
    </row>
    <row r="8" spans="1:296" x14ac:dyDescent="0.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</row>
    <row r="9" spans="1:296" x14ac:dyDescent="0.3">
      <c r="B9" t="s">
        <v>40</v>
      </c>
      <c r="C9" t="s">
        <v>41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6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29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96" x14ac:dyDescent="0.3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</row>
    <row r="13" spans="1:296" x14ac:dyDescent="0.3">
      <c r="B13">
        <v>-6276</v>
      </c>
      <c r="C13">
        <v>6.6</v>
      </c>
      <c r="D13">
        <v>1.7090000000000001E-5</v>
      </c>
      <c r="E13">
        <v>3.11</v>
      </c>
      <c r="F13" t="s">
        <v>56</v>
      </c>
      <c r="G13" t="s">
        <v>57</v>
      </c>
      <c r="H13">
        <v>0</v>
      </c>
    </row>
    <row r="14" spans="1:296" x14ac:dyDescent="0.3">
      <c r="A14" t="s">
        <v>58</v>
      </c>
      <c r="B14" t="s">
        <v>58</v>
      </c>
      <c r="C14" t="s">
        <v>58</v>
      </c>
      <c r="D14" t="s">
        <v>58</v>
      </c>
      <c r="E14" t="s">
        <v>58</v>
      </c>
      <c r="F14" t="s">
        <v>58</v>
      </c>
      <c r="G14" t="s">
        <v>59</v>
      </c>
      <c r="H14" t="s">
        <v>60</v>
      </c>
      <c r="I14" t="s">
        <v>60</v>
      </c>
      <c r="J14" t="s">
        <v>60</v>
      </c>
      <c r="K14" t="s">
        <v>60</v>
      </c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62</v>
      </c>
      <c r="AS14" t="s">
        <v>62</v>
      </c>
      <c r="AT14" t="s">
        <v>62</v>
      </c>
      <c r="AU14" t="s">
        <v>62</v>
      </c>
      <c r="AV14" t="s">
        <v>62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  <c r="BK14" t="s">
        <v>63</v>
      </c>
      <c r="BL14" t="s">
        <v>63</v>
      </c>
      <c r="BM14" t="s">
        <v>63</v>
      </c>
      <c r="BN14" t="s">
        <v>63</v>
      </c>
      <c r="BO14" t="s">
        <v>63</v>
      </c>
      <c r="BP14" t="s">
        <v>63</v>
      </c>
      <c r="BQ14" t="s">
        <v>63</v>
      </c>
      <c r="BR14" t="s">
        <v>63</v>
      </c>
      <c r="BS14" t="s">
        <v>63</v>
      </c>
      <c r="BT14" t="s">
        <v>63</v>
      </c>
      <c r="BU14" t="s">
        <v>63</v>
      </c>
      <c r="BV14" t="s">
        <v>63</v>
      </c>
      <c r="BW14" t="s">
        <v>63</v>
      </c>
      <c r="BX14" t="s">
        <v>63</v>
      </c>
      <c r="BY14" t="s">
        <v>64</v>
      </c>
      <c r="BZ14" t="s">
        <v>64</v>
      </c>
      <c r="CA14" t="s">
        <v>64</v>
      </c>
      <c r="CB14" t="s">
        <v>64</v>
      </c>
      <c r="CC14" t="s">
        <v>64</v>
      </c>
      <c r="CD14" t="s">
        <v>64</v>
      </c>
      <c r="CE14" t="s">
        <v>64</v>
      </c>
      <c r="CF14" t="s">
        <v>64</v>
      </c>
      <c r="CG14" t="s">
        <v>64</v>
      </c>
      <c r="CH14" t="s">
        <v>64</v>
      </c>
      <c r="CI14" t="s">
        <v>64</v>
      </c>
      <c r="CJ14" t="s">
        <v>64</v>
      </c>
      <c r="CK14" t="s">
        <v>64</v>
      </c>
      <c r="CL14" t="s">
        <v>64</v>
      </c>
      <c r="CM14" t="s">
        <v>64</v>
      </c>
      <c r="CN14" t="s">
        <v>64</v>
      </c>
      <c r="CO14" t="s">
        <v>64</v>
      </c>
      <c r="CP14" t="s">
        <v>64</v>
      </c>
      <c r="CQ14" t="s">
        <v>64</v>
      </c>
      <c r="CR14" t="s">
        <v>64</v>
      </c>
      <c r="CS14" t="s">
        <v>64</v>
      </c>
      <c r="CT14" t="s">
        <v>65</v>
      </c>
      <c r="CU14" t="s">
        <v>65</v>
      </c>
      <c r="CV14" t="s">
        <v>65</v>
      </c>
      <c r="CW14" t="s">
        <v>65</v>
      </c>
      <c r="CX14" t="s">
        <v>65</v>
      </c>
      <c r="CY14" t="s">
        <v>65</v>
      </c>
      <c r="CZ14" t="s">
        <v>65</v>
      </c>
      <c r="DA14" t="s">
        <v>65</v>
      </c>
      <c r="DB14" t="s">
        <v>65</v>
      </c>
      <c r="DC14" t="s">
        <v>65</v>
      </c>
      <c r="DD14" t="s">
        <v>65</v>
      </c>
      <c r="DE14" t="s">
        <v>65</v>
      </c>
      <c r="DF14" t="s">
        <v>65</v>
      </c>
      <c r="DG14" t="s">
        <v>66</v>
      </c>
      <c r="DH14" t="s">
        <v>66</v>
      </c>
      <c r="DI14" t="s">
        <v>66</v>
      </c>
      <c r="DJ14" t="s">
        <v>66</v>
      </c>
      <c r="DK14" t="s">
        <v>67</v>
      </c>
      <c r="DL14" t="s">
        <v>67</v>
      </c>
      <c r="DM14" t="s">
        <v>67</v>
      </c>
      <c r="DN14" t="s">
        <v>67</v>
      </c>
      <c r="DO14" t="s">
        <v>67</v>
      </c>
      <c r="DP14" t="s">
        <v>68</v>
      </c>
      <c r="DQ14" t="s">
        <v>68</v>
      </c>
      <c r="DR14" t="s">
        <v>68</v>
      </c>
      <c r="DS14" t="s">
        <v>68</v>
      </c>
      <c r="DT14" t="s">
        <v>68</v>
      </c>
      <c r="DU14" t="s">
        <v>68</v>
      </c>
      <c r="DV14" t="s">
        <v>68</v>
      </c>
      <c r="DW14" t="s">
        <v>68</v>
      </c>
      <c r="DX14" t="s">
        <v>68</v>
      </c>
      <c r="DY14" t="s">
        <v>68</v>
      </c>
      <c r="DZ14" t="s">
        <v>68</v>
      </c>
      <c r="EA14" t="s">
        <v>68</v>
      </c>
      <c r="EB14" t="s">
        <v>68</v>
      </c>
      <c r="EC14" t="s">
        <v>68</v>
      </c>
      <c r="ED14" t="s">
        <v>68</v>
      </c>
      <c r="EE14" t="s">
        <v>68</v>
      </c>
      <c r="EF14" t="s">
        <v>68</v>
      </c>
      <c r="EG14" t="s">
        <v>68</v>
      </c>
      <c r="EH14" t="s">
        <v>69</v>
      </c>
      <c r="EI14" t="s">
        <v>69</v>
      </c>
      <c r="EJ14" t="s">
        <v>69</v>
      </c>
      <c r="EK14" t="s">
        <v>69</v>
      </c>
      <c r="EL14" t="s">
        <v>69</v>
      </c>
      <c r="EM14" t="s">
        <v>69</v>
      </c>
      <c r="EN14" t="s">
        <v>69</v>
      </c>
      <c r="EO14" t="s">
        <v>69</v>
      </c>
      <c r="EP14" t="s">
        <v>69</v>
      </c>
      <c r="EQ14" t="s">
        <v>69</v>
      </c>
      <c r="ER14" t="s">
        <v>70</v>
      </c>
      <c r="ES14" t="s">
        <v>70</v>
      </c>
      <c r="ET14" t="s">
        <v>70</v>
      </c>
      <c r="EU14" t="s">
        <v>70</v>
      </c>
      <c r="EV14" t="s">
        <v>70</v>
      </c>
      <c r="EW14" t="s">
        <v>70</v>
      </c>
      <c r="EX14" t="s">
        <v>70</v>
      </c>
      <c r="EY14" t="s">
        <v>70</v>
      </c>
      <c r="EZ14" t="s">
        <v>70</v>
      </c>
      <c r="FA14" t="s">
        <v>70</v>
      </c>
      <c r="FB14" t="s">
        <v>70</v>
      </c>
      <c r="FC14" t="s">
        <v>70</v>
      </c>
      <c r="FD14" t="s">
        <v>70</v>
      </c>
      <c r="FE14" t="s">
        <v>70</v>
      </c>
      <c r="FF14" t="s">
        <v>70</v>
      </c>
      <c r="FG14" t="s">
        <v>70</v>
      </c>
      <c r="FH14" t="s">
        <v>70</v>
      </c>
      <c r="FI14" t="s">
        <v>70</v>
      </c>
      <c r="FJ14" t="s">
        <v>71</v>
      </c>
      <c r="FK14" t="s">
        <v>71</v>
      </c>
      <c r="FL14" t="s">
        <v>71</v>
      </c>
      <c r="FM14" t="s">
        <v>71</v>
      </c>
      <c r="FN14" t="s">
        <v>71</v>
      </c>
      <c r="FO14" t="s">
        <v>72</v>
      </c>
      <c r="FP14" t="s">
        <v>72</v>
      </c>
      <c r="FQ14" t="s">
        <v>72</v>
      </c>
      <c r="FR14" t="s">
        <v>72</v>
      </c>
      <c r="FS14" t="s">
        <v>72</v>
      </c>
      <c r="FT14" t="s">
        <v>72</v>
      </c>
      <c r="FU14" t="s">
        <v>72</v>
      </c>
      <c r="FV14" t="s">
        <v>72</v>
      </c>
      <c r="FW14" t="s">
        <v>72</v>
      </c>
      <c r="FX14" t="s">
        <v>72</v>
      </c>
      <c r="FY14" t="s">
        <v>72</v>
      </c>
      <c r="FZ14" t="s">
        <v>72</v>
      </c>
      <c r="GA14" t="s">
        <v>72</v>
      </c>
      <c r="GB14" t="s">
        <v>73</v>
      </c>
      <c r="GC14" t="s">
        <v>73</v>
      </c>
      <c r="GD14" t="s">
        <v>73</v>
      </c>
      <c r="GE14" t="s">
        <v>73</v>
      </c>
      <c r="GF14" t="s">
        <v>73</v>
      </c>
      <c r="GG14" t="s">
        <v>73</v>
      </c>
      <c r="GH14" t="s">
        <v>73</v>
      </c>
      <c r="GI14" t="s">
        <v>73</v>
      </c>
      <c r="GJ14" t="s">
        <v>73</v>
      </c>
      <c r="GK14" t="s">
        <v>73</v>
      </c>
      <c r="GL14" t="s">
        <v>73</v>
      </c>
      <c r="GM14" t="s">
        <v>73</v>
      </c>
      <c r="GN14" t="s">
        <v>73</v>
      </c>
      <c r="GO14" t="s">
        <v>73</v>
      </c>
      <c r="GP14" t="s">
        <v>73</v>
      </c>
      <c r="GQ14" t="s">
        <v>74</v>
      </c>
      <c r="GR14" t="s">
        <v>74</v>
      </c>
      <c r="GS14" t="s">
        <v>74</v>
      </c>
      <c r="GT14" t="s">
        <v>74</v>
      </c>
      <c r="GU14" t="s">
        <v>74</v>
      </c>
      <c r="GV14" t="s">
        <v>74</v>
      </c>
      <c r="GW14" t="s">
        <v>74</v>
      </c>
      <c r="GX14" t="s">
        <v>74</v>
      </c>
      <c r="GY14" t="s">
        <v>74</v>
      </c>
      <c r="GZ14" t="s">
        <v>74</v>
      </c>
      <c r="HA14" t="s">
        <v>74</v>
      </c>
      <c r="HB14" t="s">
        <v>74</v>
      </c>
      <c r="HC14" t="s">
        <v>74</v>
      </c>
      <c r="HD14" t="s">
        <v>74</v>
      </c>
      <c r="HE14" t="s">
        <v>74</v>
      </c>
      <c r="HF14" t="s">
        <v>74</v>
      </c>
      <c r="HG14" t="s">
        <v>74</v>
      </c>
      <c r="HH14" t="s">
        <v>74</v>
      </c>
      <c r="HI14" t="s">
        <v>75</v>
      </c>
      <c r="HJ14" t="s">
        <v>75</v>
      </c>
      <c r="HK14" t="s">
        <v>75</v>
      </c>
      <c r="HL14" t="s">
        <v>75</v>
      </c>
      <c r="HM14" t="s">
        <v>75</v>
      </c>
      <c r="HN14" t="s">
        <v>75</v>
      </c>
      <c r="HO14" t="s">
        <v>75</v>
      </c>
      <c r="HP14" t="s">
        <v>75</v>
      </c>
      <c r="HQ14" t="s">
        <v>75</v>
      </c>
      <c r="HR14" t="s">
        <v>75</v>
      </c>
      <c r="HS14" t="s">
        <v>75</v>
      </c>
      <c r="HT14" t="s">
        <v>75</v>
      </c>
      <c r="HU14" t="s">
        <v>75</v>
      </c>
      <c r="HV14" t="s">
        <v>75</v>
      </c>
      <c r="HW14" t="s">
        <v>75</v>
      </c>
      <c r="HX14" t="s">
        <v>75</v>
      </c>
      <c r="HY14" t="s">
        <v>75</v>
      </c>
      <c r="HZ14" t="s">
        <v>75</v>
      </c>
      <c r="IA14" t="s">
        <v>75</v>
      </c>
      <c r="IB14" t="s">
        <v>76</v>
      </c>
      <c r="IC14" t="s">
        <v>76</v>
      </c>
      <c r="ID14" t="s">
        <v>76</v>
      </c>
      <c r="IE14" t="s">
        <v>76</v>
      </c>
      <c r="IF14" t="s">
        <v>76</v>
      </c>
      <c r="IG14" t="s">
        <v>76</v>
      </c>
      <c r="IH14" t="s">
        <v>76</v>
      </c>
      <c r="II14" t="s">
        <v>76</v>
      </c>
      <c r="IJ14" t="s">
        <v>76</v>
      </c>
      <c r="IK14" t="s">
        <v>76</v>
      </c>
      <c r="IL14" t="s">
        <v>76</v>
      </c>
      <c r="IM14" t="s">
        <v>76</v>
      </c>
      <c r="IN14" t="s">
        <v>76</v>
      </c>
      <c r="IO14" t="s">
        <v>76</v>
      </c>
      <c r="IP14" t="s">
        <v>76</v>
      </c>
      <c r="IQ14" t="s">
        <v>76</v>
      </c>
      <c r="IR14" t="s">
        <v>76</v>
      </c>
      <c r="IS14" t="s">
        <v>76</v>
      </c>
      <c r="IT14" t="s">
        <v>76</v>
      </c>
      <c r="IU14" t="s">
        <v>77</v>
      </c>
      <c r="IV14" t="s">
        <v>77</v>
      </c>
      <c r="IW14" t="s">
        <v>77</v>
      </c>
      <c r="IX14" t="s">
        <v>77</v>
      </c>
      <c r="IY14" t="s">
        <v>77</v>
      </c>
      <c r="IZ14" t="s">
        <v>77</v>
      </c>
      <c r="JA14" t="s">
        <v>77</v>
      </c>
      <c r="JB14" t="s">
        <v>77</v>
      </c>
      <c r="JC14" t="s">
        <v>77</v>
      </c>
      <c r="JD14" t="s">
        <v>77</v>
      </c>
      <c r="JE14" t="s">
        <v>77</v>
      </c>
      <c r="JF14" t="s">
        <v>77</v>
      </c>
      <c r="JG14" t="s">
        <v>77</v>
      </c>
      <c r="JH14" t="s">
        <v>77</v>
      </c>
      <c r="JI14" t="s">
        <v>77</v>
      </c>
      <c r="JJ14" t="s">
        <v>77</v>
      </c>
      <c r="JK14" t="s">
        <v>77</v>
      </c>
      <c r="JL14" t="s">
        <v>77</v>
      </c>
      <c r="JM14" t="s">
        <v>78</v>
      </c>
      <c r="JN14" t="s">
        <v>78</v>
      </c>
      <c r="JO14" t="s">
        <v>78</v>
      </c>
      <c r="JP14" t="s">
        <v>78</v>
      </c>
      <c r="JQ14" t="s">
        <v>78</v>
      </c>
      <c r="JR14" t="s">
        <v>78</v>
      </c>
      <c r="JS14" t="s">
        <v>78</v>
      </c>
      <c r="JT14" t="s">
        <v>78</v>
      </c>
      <c r="JU14" t="s">
        <v>79</v>
      </c>
      <c r="JV14" t="s">
        <v>79</v>
      </c>
      <c r="JW14" t="s">
        <v>79</v>
      </c>
      <c r="JX14" t="s">
        <v>79</v>
      </c>
      <c r="JY14" t="s">
        <v>79</v>
      </c>
      <c r="JZ14" t="s">
        <v>79</v>
      </c>
      <c r="KA14" t="s">
        <v>79</v>
      </c>
      <c r="KB14" t="s">
        <v>79</v>
      </c>
      <c r="KC14" t="s">
        <v>79</v>
      </c>
      <c r="KD14" t="s">
        <v>79</v>
      </c>
      <c r="KE14" t="s">
        <v>79</v>
      </c>
      <c r="KF14" t="s">
        <v>79</v>
      </c>
      <c r="KG14" t="s">
        <v>79</v>
      </c>
      <c r="KH14" t="s">
        <v>79</v>
      </c>
      <c r="KI14" t="s">
        <v>79</v>
      </c>
      <c r="KJ14" t="s">
        <v>79</v>
      </c>
    </row>
    <row r="15" spans="1:296" x14ac:dyDescent="0.3">
      <c r="A15" t="s">
        <v>80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93</v>
      </c>
      <c r="O15" t="s">
        <v>94</v>
      </c>
      <c r="P15" t="s">
        <v>95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105</v>
      </c>
      <c r="AA15" t="s">
        <v>106</v>
      </c>
      <c r="AB15" t="s">
        <v>107</v>
      </c>
      <c r="AC15" t="s">
        <v>108</v>
      </c>
      <c r="AD15" t="s">
        <v>109</v>
      </c>
      <c r="AE15" t="s">
        <v>110</v>
      </c>
      <c r="AF15" t="s">
        <v>111</v>
      </c>
      <c r="AG15" t="s">
        <v>112</v>
      </c>
      <c r="AH15" t="s">
        <v>113</v>
      </c>
      <c r="AI15" t="s">
        <v>114</v>
      </c>
      <c r="AJ15" t="s">
        <v>115</v>
      </c>
      <c r="AK15" t="s">
        <v>116</v>
      </c>
      <c r="AL15" t="s">
        <v>117</v>
      </c>
      <c r="AM15" t="s">
        <v>118</v>
      </c>
      <c r="AN15" t="s">
        <v>119</v>
      </c>
      <c r="AO15" t="s">
        <v>120</v>
      </c>
      <c r="AP15" t="s">
        <v>121</v>
      </c>
      <c r="AQ15" t="s">
        <v>122</v>
      </c>
      <c r="AR15" t="s">
        <v>62</v>
      </c>
      <c r="AS15" t="s">
        <v>123</v>
      </c>
      <c r="AT15" t="s">
        <v>124</v>
      </c>
      <c r="AU15" t="s">
        <v>125</v>
      </c>
      <c r="AV15" t="s">
        <v>126</v>
      </c>
      <c r="AW15" t="s">
        <v>127</v>
      </c>
      <c r="AX15" t="s">
        <v>128</v>
      </c>
      <c r="AY15" t="s">
        <v>129</v>
      </c>
      <c r="AZ15" t="s">
        <v>130</v>
      </c>
      <c r="BA15" t="s">
        <v>131</v>
      </c>
      <c r="BB15" t="s">
        <v>132</v>
      </c>
      <c r="BC15" t="s">
        <v>133</v>
      </c>
      <c r="BD15" t="s">
        <v>134</v>
      </c>
      <c r="BE15" t="s">
        <v>135</v>
      </c>
      <c r="BF15" t="s">
        <v>136</v>
      </c>
      <c r="BG15" t="s">
        <v>137</v>
      </c>
      <c r="BH15" t="s">
        <v>138</v>
      </c>
      <c r="BI15" t="s">
        <v>139</v>
      </c>
      <c r="BJ15" t="s">
        <v>140</v>
      </c>
      <c r="BK15" t="s">
        <v>141</v>
      </c>
      <c r="BL15" t="s">
        <v>142</v>
      </c>
      <c r="BM15" t="s">
        <v>143</v>
      </c>
      <c r="BN15" t="s">
        <v>144</v>
      </c>
      <c r="BO15" t="s">
        <v>145</v>
      </c>
      <c r="BP15" t="s">
        <v>146</v>
      </c>
      <c r="BQ15" t="s">
        <v>147</v>
      </c>
      <c r="BR15" t="s">
        <v>148</v>
      </c>
      <c r="BS15" t="s">
        <v>149</v>
      </c>
      <c r="BT15" t="s">
        <v>150</v>
      </c>
      <c r="BU15" t="s">
        <v>151</v>
      </c>
      <c r="BV15" t="s">
        <v>152</v>
      </c>
      <c r="BW15" t="s">
        <v>153</v>
      </c>
      <c r="BX15" t="s">
        <v>154</v>
      </c>
      <c r="BY15" t="s">
        <v>155</v>
      </c>
      <c r="BZ15" t="s">
        <v>156</v>
      </c>
      <c r="CA15" t="s">
        <v>157</v>
      </c>
      <c r="CB15" t="s">
        <v>158</v>
      </c>
      <c r="CC15" t="s">
        <v>159</v>
      </c>
      <c r="CD15" t="s">
        <v>160</v>
      </c>
      <c r="CE15" t="s">
        <v>161</v>
      </c>
      <c r="CF15" t="s">
        <v>162</v>
      </c>
      <c r="CG15" t="s">
        <v>163</v>
      </c>
      <c r="CH15" t="s">
        <v>164</v>
      </c>
      <c r="CI15" t="s">
        <v>165</v>
      </c>
      <c r="CJ15" t="s">
        <v>166</v>
      </c>
      <c r="CK15" t="s">
        <v>167</v>
      </c>
      <c r="CL15" t="s">
        <v>168</v>
      </c>
      <c r="CM15" t="s">
        <v>169</v>
      </c>
      <c r="CN15" t="s">
        <v>170</v>
      </c>
      <c r="CO15" t="s">
        <v>171</v>
      </c>
      <c r="CP15" t="s">
        <v>172</v>
      </c>
      <c r="CQ15" t="s">
        <v>173</v>
      </c>
      <c r="CR15" t="s">
        <v>174</v>
      </c>
      <c r="CS15" t="s">
        <v>175</v>
      </c>
      <c r="CT15" t="s">
        <v>155</v>
      </c>
      <c r="CU15" t="s">
        <v>176</v>
      </c>
      <c r="CV15" t="s">
        <v>177</v>
      </c>
      <c r="CW15" t="s">
        <v>178</v>
      </c>
      <c r="CX15" t="s">
        <v>129</v>
      </c>
      <c r="CY15" t="s">
        <v>179</v>
      </c>
      <c r="CZ15" t="s">
        <v>180</v>
      </c>
      <c r="DA15" t="s">
        <v>181</v>
      </c>
      <c r="DB15" t="s">
        <v>182</v>
      </c>
      <c r="DC15" t="s">
        <v>183</v>
      </c>
      <c r="DD15" t="s">
        <v>184</v>
      </c>
      <c r="DE15" t="s">
        <v>185</v>
      </c>
      <c r="DF15" t="s">
        <v>186</v>
      </c>
      <c r="DG15" t="s">
        <v>187</v>
      </c>
      <c r="DH15" t="s">
        <v>188</v>
      </c>
      <c r="DI15" t="s">
        <v>189</v>
      </c>
      <c r="DJ15" t="s">
        <v>190</v>
      </c>
      <c r="DK15" t="s">
        <v>191</v>
      </c>
      <c r="DL15" t="s">
        <v>192</v>
      </c>
      <c r="DM15" t="s">
        <v>193</v>
      </c>
      <c r="DN15" t="s">
        <v>194</v>
      </c>
      <c r="DO15" t="s">
        <v>195</v>
      </c>
      <c r="DP15" t="s">
        <v>87</v>
      </c>
      <c r="DQ15" t="s">
        <v>196</v>
      </c>
      <c r="DR15" t="s">
        <v>197</v>
      </c>
      <c r="DS15" t="s">
        <v>198</v>
      </c>
      <c r="DT15" t="s">
        <v>199</v>
      </c>
      <c r="DU15" t="s">
        <v>200</v>
      </c>
      <c r="DV15" t="s">
        <v>201</v>
      </c>
      <c r="DW15" t="s">
        <v>202</v>
      </c>
      <c r="DX15" t="s">
        <v>203</v>
      </c>
      <c r="DY15" t="s">
        <v>204</v>
      </c>
      <c r="DZ15" t="s">
        <v>205</v>
      </c>
      <c r="EA15" t="s">
        <v>206</v>
      </c>
      <c r="EB15" t="s">
        <v>207</v>
      </c>
      <c r="EC15" t="s">
        <v>208</v>
      </c>
      <c r="ED15" t="s">
        <v>209</v>
      </c>
      <c r="EE15" t="s">
        <v>210</v>
      </c>
      <c r="EF15" t="s">
        <v>211</v>
      </c>
      <c r="EG15" t="s">
        <v>212</v>
      </c>
      <c r="EH15" t="s">
        <v>213</v>
      </c>
      <c r="EI15" t="s">
        <v>214</v>
      </c>
      <c r="EJ15" t="s">
        <v>215</v>
      </c>
      <c r="EK15" t="s">
        <v>216</v>
      </c>
      <c r="EL15" t="s">
        <v>217</v>
      </c>
      <c r="EM15" t="s">
        <v>218</v>
      </c>
      <c r="EN15" t="s">
        <v>219</v>
      </c>
      <c r="EO15" t="s">
        <v>220</v>
      </c>
      <c r="EP15" t="s">
        <v>221</v>
      </c>
      <c r="EQ15" t="s">
        <v>222</v>
      </c>
      <c r="ER15" t="s">
        <v>223</v>
      </c>
      <c r="ES15" t="s">
        <v>224</v>
      </c>
      <c r="ET15" t="s">
        <v>225</v>
      </c>
      <c r="EU15" t="s">
        <v>226</v>
      </c>
      <c r="EV15" t="s">
        <v>227</v>
      </c>
      <c r="EW15" t="s">
        <v>228</v>
      </c>
      <c r="EX15" t="s">
        <v>229</v>
      </c>
      <c r="EY15" t="s">
        <v>230</v>
      </c>
      <c r="EZ15" t="s">
        <v>231</v>
      </c>
      <c r="FA15" t="s">
        <v>232</v>
      </c>
      <c r="FB15" t="s">
        <v>233</v>
      </c>
      <c r="FC15" t="s">
        <v>234</v>
      </c>
      <c r="FD15" t="s">
        <v>235</v>
      </c>
      <c r="FE15" t="s">
        <v>236</v>
      </c>
      <c r="FF15" t="s">
        <v>237</v>
      </c>
      <c r="FG15" t="s">
        <v>238</v>
      </c>
      <c r="FH15" t="s">
        <v>239</v>
      </c>
      <c r="FI15" t="s">
        <v>240</v>
      </c>
      <c r="FJ15" t="s">
        <v>241</v>
      </c>
      <c r="FK15" t="s">
        <v>242</v>
      </c>
      <c r="FL15" t="s">
        <v>243</v>
      </c>
      <c r="FM15" t="s">
        <v>244</v>
      </c>
      <c r="FN15" t="s">
        <v>245</v>
      </c>
      <c r="FO15" t="s">
        <v>81</v>
      </c>
      <c r="FP15" t="s">
        <v>84</v>
      </c>
      <c r="FQ15" t="s">
        <v>246</v>
      </c>
      <c r="FR15" t="s">
        <v>247</v>
      </c>
      <c r="FS15" t="s">
        <v>248</v>
      </c>
      <c r="FT15" t="s">
        <v>249</v>
      </c>
      <c r="FU15" t="s">
        <v>250</v>
      </c>
      <c r="FV15" t="s">
        <v>251</v>
      </c>
      <c r="FW15" t="s">
        <v>252</v>
      </c>
      <c r="FX15" t="s">
        <v>253</v>
      </c>
      <c r="FY15" t="s">
        <v>254</v>
      </c>
      <c r="FZ15" t="s">
        <v>255</v>
      </c>
      <c r="GA15" t="s">
        <v>256</v>
      </c>
      <c r="GB15" t="s">
        <v>257</v>
      </c>
      <c r="GC15" t="s">
        <v>258</v>
      </c>
      <c r="GD15" t="s">
        <v>259</v>
      </c>
      <c r="GE15" t="s">
        <v>260</v>
      </c>
      <c r="GF15" t="s">
        <v>261</v>
      </c>
      <c r="GG15" t="s">
        <v>262</v>
      </c>
      <c r="GH15" t="s">
        <v>263</v>
      </c>
      <c r="GI15" t="s">
        <v>264</v>
      </c>
      <c r="GJ15" t="s">
        <v>265</v>
      </c>
      <c r="GK15" t="s">
        <v>266</v>
      </c>
      <c r="GL15" t="s">
        <v>267</v>
      </c>
      <c r="GM15" t="s">
        <v>268</v>
      </c>
      <c r="GN15" t="s">
        <v>269</v>
      </c>
      <c r="GO15" t="s">
        <v>270</v>
      </c>
      <c r="GP15" t="s">
        <v>271</v>
      </c>
      <c r="GQ15" t="s">
        <v>272</v>
      </c>
      <c r="GR15" t="s">
        <v>273</v>
      </c>
      <c r="GS15" t="s">
        <v>274</v>
      </c>
      <c r="GT15" t="s">
        <v>275</v>
      </c>
      <c r="GU15" t="s">
        <v>276</v>
      </c>
      <c r="GV15" t="s">
        <v>277</v>
      </c>
      <c r="GW15" t="s">
        <v>278</v>
      </c>
      <c r="GX15" t="s">
        <v>279</v>
      </c>
      <c r="GY15" t="s">
        <v>280</v>
      </c>
      <c r="GZ15" t="s">
        <v>281</v>
      </c>
      <c r="HA15" t="s">
        <v>282</v>
      </c>
      <c r="HB15" t="s">
        <v>283</v>
      </c>
      <c r="HC15" t="s">
        <v>284</v>
      </c>
      <c r="HD15" t="s">
        <v>285</v>
      </c>
      <c r="HE15" t="s">
        <v>286</v>
      </c>
      <c r="HF15" t="s">
        <v>287</v>
      </c>
      <c r="HG15" t="s">
        <v>288</v>
      </c>
      <c r="HH15" t="s">
        <v>289</v>
      </c>
      <c r="HI15" t="s">
        <v>290</v>
      </c>
      <c r="HJ15" t="s">
        <v>291</v>
      </c>
      <c r="HK15" t="s">
        <v>292</v>
      </c>
      <c r="HL15" t="s">
        <v>293</v>
      </c>
      <c r="HM15" t="s">
        <v>294</v>
      </c>
      <c r="HN15" t="s">
        <v>295</v>
      </c>
      <c r="HO15" t="s">
        <v>296</v>
      </c>
      <c r="HP15" t="s">
        <v>297</v>
      </c>
      <c r="HQ15" t="s">
        <v>298</v>
      </c>
      <c r="HR15" t="s">
        <v>299</v>
      </c>
      <c r="HS15" t="s">
        <v>300</v>
      </c>
      <c r="HT15" t="s">
        <v>301</v>
      </c>
      <c r="HU15" t="s">
        <v>302</v>
      </c>
      <c r="HV15" t="s">
        <v>303</v>
      </c>
      <c r="HW15" t="s">
        <v>304</v>
      </c>
      <c r="HX15" t="s">
        <v>305</v>
      </c>
      <c r="HY15" t="s">
        <v>306</v>
      </c>
      <c r="HZ15" t="s">
        <v>307</v>
      </c>
      <c r="IA15" t="s">
        <v>308</v>
      </c>
      <c r="IB15" t="s">
        <v>309</v>
      </c>
      <c r="IC15" t="s">
        <v>310</v>
      </c>
      <c r="ID15" t="s">
        <v>311</v>
      </c>
      <c r="IE15" t="s">
        <v>312</v>
      </c>
      <c r="IF15" t="s">
        <v>313</v>
      </c>
      <c r="IG15" t="s">
        <v>314</v>
      </c>
      <c r="IH15" t="s">
        <v>315</v>
      </c>
      <c r="II15" t="s">
        <v>316</v>
      </c>
      <c r="IJ15" t="s">
        <v>317</v>
      </c>
      <c r="IK15" t="s">
        <v>318</v>
      </c>
      <c r="IL15" t="s">
        <v>319</v>
      </c>
      <c r="IM15" t="s">
        <v>320</v>
      </c>
      <c r="IN15" t="s">
        <v>321</v>
      </c>
      <c r="IO15" t="s">
        <v>322</v>
      </c>
      <c r="IP15" t="s">
        <v>323</v>
      </c>
      <c r="IQ15" t="s">
        <v>324</v>
      </c>
      <c r="IR15" t="s">
        <v>325</v>
      </c>
      <c r="IS15" t="s">
        <v>326</v>
      </c>
      <c r="IT15" t="s">
        <v>327</v>
      </c>
      <c r="IU15" t="s">
        <v>328</v>
      </c>
      <c r="IV15" t="s">
        <v>329</v>
      </c>
      <c r="IW15" t="s">
        <v>330</v>
      </c>
      <c r="IX15" t="s">
        <v>331</v>
      </c>
      <c r="IY15" t="s">
        <v>332</v>
      </c>
      <c r="IZ15" t="s">
        <v>333</v>
      </c>
      <c r="JA15" t="s">
        <v>334</v>
      </c>
      <c r="JB15" t="s">
        <v>335</v>
      </c>
      <c r="JC15" t="s">
        <v>336</v>
      </c>
      <c r="JD15" t="s">
        <v>337</v>
      </c>
      <c r="JE15" t="s">
        <v>338</v>
      </c>
      <c r="JF15" t="s">
        <v>339</v>
      </c>
      <c r="JG15" t="s">
        <v>340</v>
      </c>
      <c r="JH15" t="s">
        <v>341</v>
      </c>
      <c r="JI15" t="s">
        <v>342</v>
      </c>
      <c r="JJ15" t="s">
        <v>343</v>
      </c>
      <c r="JK15" t="s">
        <v>344</v>
      </c>
      <c r="JL15" t="s">
        <v>345</v>
      </c>
      <c r="JM15" t="s">
        <v>346</v>
      </c>
      <c r="JN15" t="s">
        <v>347</v>
      </c>
      <c r="JO15" t="s">
        <v>348</v>
      </c>
      <c r="JP15" t="s">
        <v>349</v>
      </c>
      <c r="JQ15" t="s">
        <v>350</v>
      </c>
      <c r="JR15" t="s">
        <v>351</v>
      </c>
      <c r="JS15" t="s">
        <v>352</v>
      </c>
      <c r="JT15" t="s">
        <v>353</v>
      </c>
      <c r="JU15" t="s">
        <v>354</v>
      </c>
      <c r="JV15" t="s">
        <v>355</v>
      </c>
      <c r="JW15" t="s">
        <v>356</v>
      </c>
      <c r="JX15" t="s">
        <v>357</v>
      </c>
      <c r="JY15" t="s">
        <v>358</v>
      </c>
      <c r="JZ15" t="s">
        <v>359</v>
      </c>
      <c r="KA15" t="s">
        <v>360</v>
      </c>
      <c r="KB15" t="s">
        <v>361</v>
      </c>
      <c r="KC15" t="s">
        <v>362</v>
      </c>
      <c r="KD15" t="s">
        <v>363</v>
      </c>
      <c r="KE15" t="s">
        <v>364</v>
      </c>
      <c r="KF15" t="s">
        <v>365</v>
      </c>
      <c r="KG15" t="s">
        <v>366</v>
      </c>
      <c r="KH15" t="s">
        <v>367</v>
      </c>
      <c r="KI15" t="s">
        <v>368</v>
      </c>
      <c r="KJ15" t="s">
        <v>369</v>
      </c>
    </row>
    <row r="16" spans="1:296" x14ac:dyDescent="0.3">
      <c r="B16" t="s">
        <v>370</v>
      </c>
      <c r="C16" t="s">
        <v>370</v>
      </c>
      <c r="F16" t="s">
        <v>370</v>
      </c>
      <c r="H16" t="s">
        <v>370</v>
      </c>
      <c r="I16" t="s">
        <v>371</v>
      </c>
      <c r="J16" t="s">
        <v>372</v>
      </c>
      <c r="K16" t="s">
        <v>373</v>
      </c>
      <c r="L16" t="s">
        <v>374</v>
      </c>
      <c r="M16" t="s">
        <v>374</v>
      </c>
      <c r="N16" t="s">
        <v>203</v>
      </c>
      <c r="O16" t="s">
        <v>203</v>
      </c>
      <c r="P16" t="s">
        <v>371</v>
      </c>
      <c r="Q16" t="s">
        <v>371</v>
      </c>
      <c r="R16" t="s">
        <v>371</v>
      </c>
      <c r="S16" t="s">
        <v>371</v>
      </c>
      <c r="T16" t="s">
        <v>375</v>
      </c>
      <c r="U16" t="s">
        <v>376</v>
      </c>
      <c r="V16" t="s">
        <v>376</v>
      </c>
      <c r="W16" t="s">
        <v>377</v>
      </c>
      <c r="X16" t="s">
        <v>378</v>
      </c>
      <c r="Y16" t="s">
        <v>377</v>
      </c>
      <c r="Z16" t="s">
        <v>377</v>
      </c>
      <c r="AA16" t="s">
        <v>377</v>
      </c>
      <c r="AB16" t="s">
        <v>375</v>
      </c>
      <c r="AC16" t="s">
        <v>375</v>
      </c>
      <c r="AD16" t="s">
        <v>375</v>
      </c>
      <c r="AE16" t="s">
        <v>375</v>
      </c>
      <c r="AF16" t="s">
        <v>373</v>
      </c>
      <c r="AG16" t="s">
        <v>372</v>
      </c>
      <c r="AH16" t="s">
        <v>373</v>
      </c>
      <c r="AI16" t="s">
        <v>374</v>
      </c>
      <c r="AJ16" t="s">
        <v>374</v>
      </c>
      <c r="AK16" t="s">
        <v>379</v>
      </c>
      <c r="AL16" t="s">
        <v>380</v>
      </c>
      <c r="AM16" t="s">
        <v>372</v>
      </c>
      <c r="AN16" t="s">
        <v>381</v>
      </c>
      <c r="AO16" t="s">
        <v>381</v>
      </c>
      <c r="AP16" t="s">
        <v>382</v>
      </c>
      <c r="AQ16" t="s">
        <v>380</v>
      </c>
      <c r="AR16" t="s">
        <v>383</v>
      </c>
      <c r="AS16" t="s">
        <v>378</v>
      </c>
      <c r="AU16" t="s">
        <v>378</v>
      </c>
      <c r="AV16" t="s">
        <v>383</v>
      </c>
      <c r="BB16" t="s">
        <v>373</v>
      </c>
      <c r="BI16" t="s">
        <v>373</v>
      </c>
      <c r="BJ16" t="s">
        <v>373</v>
      </c>
      <c r="BK16" t="s">
        <v>373</v>
      </c>
      <c r="BL16" t="s">
        <v>384</v>
      </c>
      <c r="BZ16" t="s">
        <v>385</v>
      </c>
      <c r="CB16" t="s">
        <v>385</v>
      </c>
      <c r="CC16" t="s">
        <v>373</v>
      </c>
      <c r="CF16" t="s">
        <v>385</v>
      </c>
      <c r="CG16" t="s">
        <v>378</v>
      </c>
      <c r="CJ16" t="s">
        <v>386</v>
      </c>
      <c r="CK16" t="s">
        <v>386</v>
      </c>
      <c r="CM16" t="s">
        <v>387</v>
      </c>
      <c r="CN16" t="s">
        <v>385</v>
      </c>
      <c r="CP16" t="s">
        <v>385</v>
      </c>
      <c r="CQ16" t="s">
        <v>373</v>
      </c>
      <c r="CU16" t="s">
        <v>385</v>
      </c>
      <c r="CW16" t="s">
        <v>388</v>
      </c>
      <c r="CZ16" t="s">
        <v>385</v>
      </c>
      <c r="DA16" t="s">
        <v>385</v>
      </c>
      <c r="DC16" t="s">
        <v>385</v>
      </c>
      <c r="DE16" t="s">
        <v>385</v>
      </c>
      <c r="DG16" t="s">
        <v>373</v>
      </c>
      <c r="DH16" t="s">
        <v>373</v>
      </c>
      <c r="DJ16" t="s">
        <v>389</v>
      </c>
      <c r="DK16" t="s">
        <v>390</v>
      </c>
      <c r="DN16" t="s">
        <v>371</v>
      </c>
      <c r="DP16" t="s">
        <v>370</v>
      </c>
      <c r="DQ16" t="s">
        <v>374</v>
      </c>
      <c r="DR16" t="s">
        <v>374</v>
      </c>
      <c r="DS16" t="s">
        <v>381</v>
      </c>
      <c r="DT16" t="s">
        <v>381</v>
      </c>
      <c r="DU16" t="s">
        <v>374</v>
      </c>
      <c r="DV16" t="s">
        <v>381</v>
      </c>
      <c r="DW16" t="s">
        <v>383</v>
      </c>
      <c r="DX16" t="s">
        <v>377</v>
      </c>
      <c r="DY16" t="s">
        <v>377</v>
      </c>
      <c r="DZ16" t="s">
        <v>376</v>
      </c>
      <c r="EA16" t="s">
        <v>376</v>
      </c>
      <c r="EB16" t="s">
        <v>376</v>
      </c>
      <c r="EC16" t="s">
        <v>376</v>
      </c>
      <c r="ED16" t="s">
        <v>376</v>
      </c>
      <c r="EE16" t="s">
        <v>391</v>
      </c>
      <c r="EF16" t="s">
        <v>373</v>
      </c>
      <c r="EG16" t="s">
        <v>373</v>
      </c>
      <c r="EH16" t="s">
        <v>374</v>
      </c>
      <c r="EI16" t="s">
        <v>374</v>
      </c>
      <c r="EJ16" t="s">
        <v>374</v>
      </c>
      <c r="EK16" t="s">
        <v>381</v>
      </c>
      <c r="EL16" t="s">
        <v>374</v>
      </c>
      <c r="EM16" t="s">
        <v>381</v>
      </c>
      <c r="EN16" t="s">
        <v>377</v>
      </c>
      <c r="EO16" t="s">
        <v>377</v>
      </c>
      <c r="EP16" t="s">
        <v>376</v>
      </c>
      <c r="EQ16" t="s">
        <v>376</v>
      </c>
      <c r="ER16" t="s">
        <v>373</v>
      </c>
      <c r="EW16" t="s">
        <v>373</v>
      </c>
      <c r="EZ16" t="s">
        <v>376</v>
      </c>
      <c r="FA16" t="s">
        <v>376</v>
      </c>
      <c r="FB16" t="s">
        <v>376</v>
      </c>
      <c r="FC16" t="s">
        <v>376</v>
      </c>
      <c r="FD16" t="s">
        <v>376</v>
      </c>
      <c r="FE16" t="s">
        <v>373</v>
      </c>
      <c r="FF16" t="s">
        <v>373</v>
      </c>
      <c r="FG16" t="s">
        <v>373</v>
      </c>
      <c r="FH16" t="s">
        <v>370</v>
      </c>
      <c r="FK16" t="s">
        <v>392</v>
      </c>
      <c r="FL16" t="s">
        <v>392</v>
      </c>
      <c r="FN16" t="s">
        <v>370</v>
      </c>
      <c r="FO16" t="s">
        <v>393</v>
      </c>
      <c r="FQ16" t="s">
        <v>370</v>
      </c>
      <c r="FR16" t="s">
        <v>370</v>
      </c>
      <c r="FT16" t="s">
        <v>394</v>
      </c>
      <c r="FU16" t="s">
        <v>395</v>
      </c>
      <c r="FV16" t="s">
        <v>394</v>
      </c>
      <c r="FW16" t="s">
        <v>395</v>
      </c>
      <c r="FX16" t="s">
        <v>394</v>
      </c>
      <c r="FY16" t="s">
        <v>395</v>
      </c>
      <c r="FZ16" t="s">
        <v>378</v>
      </c>
      <c r="GA16" t="s">
        <v>378</v>
      </c>
      <c r="GB16" t="s">
        <v>374</v>
      </c>
      <c r="GC16" t="s">
        <v>396</v>
      </c>
      <c r="GD16" t="s">
        <v>374</v>
      </c>
      <c r="GG16" t="s">
        <v>397</v>
      </c>
      <c r="GJ16" t="s">
        <v>381</v>
      </c>
      <c r="GK16" t="s">
        <v>398</v>
      </c>
      <c r="GL16" t="s">
        <v>381</v>
      </c>
      <c r="GQ16" t="s">
        <v>399</v>
      </c>
      <c r="GR16" t="s">
        <v>399</v>
      </c>
      <c r="HE16" t="s">
        <v>399</v>
      </c>
      <c r="HF16" t="s">
        <v>399</v>
      </c>
      <c r="HG16" t="s">
        <v>400</v>
      </c>
      <c r="HH16" t="s">
        <v>400</v>
      </c>
      <c r="HI16" t="s">
        <v>376</v>
      </c>
      <c r="HJ16" t="s">
        <v>376</v>
      </c>
      <c r="HK16" t="s">
        <v>378</v>
      </c>
      <c r="HL16" t="s">
        <v>376</v>
      </c>
      <c r="HM16" t="s">
        <v>381</v>
      </c>
      <c r="HN16" t="s">
        <v>378</v>
      </c>
      <c r="HO16" t="s">
        <v>378</v>
      </c>
      <c r="HQ16" t="s">
        <v>399</v>
      </c>
      <c r="HR16" t="s">
        <v>399</v>
      </c>
      <c r="HS16" t="s">
        <v>399</v>
      </c>
      <c r="HT16" t="s">
        <v>399</v>
      </c>
      <c r="HU16" t="s">
        <v>399</v>
      </c>
      <c r="HV16" t="s">
        <v>399</v>
      </c>
      <c r="HW16" t="s">
        <v>399</v>
      </c>
      <c r="HX16" t="s">
        <v>401</v>
      </c>
      <c r="HY16" t="s">
        <v>401</v>
      </c>
      <c r="HZ16" t="s">
        <v>401</v>
      </c>
      <c r="IA16" t="s">
        <v>402</v>
      </c>
      <c r="IB16" t="s">
        <v>399</v>
      </c>
      <c r="IC16" t="s">
        <v>399</v>
      </c>
      <c r="ID16" t="s">
        <v>399</v>
      </c>
      <c r="IE16" t="s">
        <v>399</v>
      </c>
      <c r="IF16" t="s">
        <v>399</v>
      </c>
      <c r="IG16" t="s">
        <v>399</v>
      </c>
      <c r="IH16" t="s">
        <v>399</v>
      </c>
      <c r="II16" t="s">
        <v>399</v>
      </c>
      <c r="IJ16" t="s">
        <v>399</v>
      </c>
      <c r="IK16" t="s">
        <v>399</v>
      </c>
      <c r="IL16" t="s">
        <v>399</v>
      </c>
      <c r="IM16" t="s">
        <v>399</v>
      </c>
      <c r="IT16" t="s">
        <v>399</v>
      </c>
      <c r="IU16" t="s">
        <v>378</v>
      </c>
      <c r="IV16" t="s">
        <v>378</v>
      </c>
      <c r="IW16" t="s">
        <v>394</v>
      </c>
      <c r="IX16" t="s">
        <v>395</v>
      </c>
      <c r="IY16" t="s">
        <v>394</v>
      </c>
      <c r="JC16" t="s">
        <v>395</v>
      </c>
      <c r="JG16" t="s">
        <v>374</v>
      </c>
      <c r="JH16" t="s">
        <v>374</v>
      </c>
      <c r="JI16" t="s">
        <v>381</v>
      </c>
      <c r="JJ16" t="s">
        <v>381</v>
      </c>
      <c r="JK16" t="s">
        <v>403</v>
      </c>
      <c r="JL16" t="s">
        <v>403</v>
      </c>
      <c r="JM16" t="s">
        <v>399</v>
      </c>
      <c r="JN16" t="s">
        <v>399</v>
      </c>
      <c r="JO16" t="s">
        <v>399</v>
      </c>
      <c r="JP16" t="s">
        <v>399</v>
      </c>
      <c r="JQ16" t="s">
        <v>399</v>
      </c>
      <c r="JR16" t="s">
        <v>399</v>
      </c>
      <c r="JS16" t="s">
        <v>376</v>
      </c>
      <c r="JT16" t="s">
        <v>399</v>
      </c>
      <c r="JV16" t="s">
        <v>383</v>
      </c>
      <c r="JW16" t="s">
        <v>383</v>
      </c>
      <c r="JX16" t="s">
        <v>376</v>
      </c>
      <c r="JY16" t="s">
        <v>376</v>
      </c>
      <c r="JZ16" t="s">
        <v>376</v>
      </c>
      <c r="KA16" t="s">
        <v>376</v>
      </c>
      <c r="KB16" t="s">
        <v>376</v>
      </c>
      <c r="KC16" t="s">
        <v>378</v>
      </c>
      <c r="KD16" t="s">
        <v>378</v>
      </c>
      <c r="KE16" t="s">
        <v>378</v>
      </c>
      <c r="KF16" t="s">
        <v>376</v>
      </c>
      <c r="KG16" t="s">
        <v>374</v>
      </c>
      <c r="KH16" t="s">
        <v>381</v>
      </c>
      <c r="KI16" t="s">
        <v>378</v>
      </c>
      <c r="KJ16" t="s">
        <v>378</v>
      </c>
    </row>
    <row r="17" spans="1:296" x14ac:dyDescent="0.3">
      <c r="A17">
        <v>1</v>
      </c>
      <c r="B17">
        <v>1784742600</v>
      </c>
      <c r="C17">
        <v>0</v>
      </c>
      <c r="D17" t="s">
        <v>948</v>
      </c>
      <c r="E17" t="s">
        <v>949</v>
      </c>
      <c r="F17">
        <v>15</v>
      </c>
      <c r="H17">
        <v>1784742592</v>
      </c>
      <c r="I17">
        <f t="shared" ref="I17:I29" si="0">(J17)/1000</f>
        <v>1.8088021300202487E-3</v>
      </c>
      <c r="J17">
        <f t="shared" ref="J17:J29" si="1">IF(DO17, AM17, AG17)</f>
        <v>1.8088021300202486</v>
      </c>
      <c r="K17">
        <f t="shared" ref="K17:K29" si="2">IF(DO17, AH17, AF17)</f>
        <v>27.128129564277881</v>
      </c>
      <c r="L17">
        <f t="shared" ref="L17:L29" si="3">DQ17 - IF(AT17&gt;1, K17*DK17*100/(AV17), 0)</f>
        <v>419.91496774193553</v>
      </c>
      <c r="M17">
        <f t="shared" ref="M17:M29" si="4">((S17-I17/2)*L17-K17)/(S17+I17/2)</f>
        <v>129.36694094857629</v>
      </c>
      <c r="N17">
        <f t="shared" ref="N17:N29" si="5">M17*(DX17+DY17)/1000</f>
        <v>12.715004894710459</v>
      </c>
      <c r="O17">
        <f t="shared" ref="O17:O29" si="6">(DQ17 - IF(AT17&gt;1, K17*DK17*100/(AV17), 0))*(DX17+DY17)/1000</f>
        <v>41.271910977034302</v>
      </c>
      <c r="P17">
        <f t="shared" ref="P17:P29" si="7">2/((1/R17-1/Q17)+SIGN(R17)*SQRT((1/R17-1/Q17)*(1/R17-1/Q17) + 4*DL17/((DL17+1)*(DL17+1))*(2*1/R17*1/Q17-1/Q17*1/Q17)))</f>
        <v>0.15601315093425155</v>
      </c>
      <c r="Q17">
        <f t="shared" ref="Q17:Q29" si="8">IF(LEFT(DM17,1)&lt;&gt;"0",IF(LEFT(DM17,1)="1",3,DN17),$D$5+$E$5*(EE17*DX17/($K$5*1000))+$F$5*(EE17*DX17/($K$5*1000))*MAX(MIN(DK17,$J$5),$I$5)*MAX(MIN(DK17,$J$5),$I$5)+$G$5*MAX(MIN(DK17,$J$5),$I$5)*(EE17*DX17/($K$5*1000))+$H$5*(EE17*DX17/($K$5*1000))*(EE17*DX17/($K$5*1000)))</f>
        <v>2.8984237777467614</v>
      </c>
      <c r="R17">
        <f t="shared" ref="R17:R29" si="9">I17*(1000-(1000*0.61365*EXP(17.502*V17/(240.97+V17))/(DX17+DY17)+DS17)/2)/(1000*0.61365*EXP(17.502*V17/(240.97+V17))/(DX17+DY17)-DS17)</f>
        <v>0.1514934995338352</v>
      </c>
      <c r="S17">
        <f t="shared" ref="S17:S29" si="10">1/((DL17+1)/(P17/1.6)+1/(Q17/1.37)) + DL17/((DL17+1)/(P17/1.6) + DL17/(Q17/1.37))</f>
        <v>9.5078603741940007E-2</v>
      </c>
      <c r="T17">
        <f t="shared" ref="T17:T29" si="11">(DG17*DJ17)</f>
        <v>319.77804762633866</v>
      </c>
      <c r="U17">
        <f t="shared" ref="U17:U29" si="12">(DZ17+(T17+2*0.95*0.0000000567*(((DZ17+$B$7)+273)^4-(DZ17+273)^4)-44100*I17)/(1.84*29.3*Q17+8*0.95*0.0000000567*(DZ17+273)^3))</f>
        <v>26.140466527073016</v>
      </c>
      <c r="V17">
        <f t="shared" ref="V17:V29" si="13">($C$7*EA17+$D$7*EB17+$E$7*U17)</f>
        <v>24.990241935483869</v>
      </c>
      <c r="W17">
        <f t="shared" ref="W17:W29" si="14">0.61365*EXP(17.502*V17/(240.97+V17))</f>
        <v>3.1778282288365722</v>
      </c>
      <c r="X17">
        <f t="shared" ref="X17:X29" si="15">(Y17/Z17*100)</f>
        <v>65.136510689463805</v>
      </c>
      <c r="Y17">
        <f t="shared" ref="Y17:Y29" si="16">DS17*(DX17+DY17)/1000</f>
        <v>2.0354314357178973</v>
      </c>
      <c r="Z17">
        <f t="shared" ref="Z17:Z29" si="17">0.61365*EXP(17.502*DZ17/(240.97+DZ17))</f>
        <v>3.1248702366354109</v>
      </c>
      <c r="AA17">
        <f t="shared" ref="AA17:AA29" si="18">(W17-DS17*(DX17+DY17)/1000)</f>
        <v>1.1423967931186749</v>
      </c>
      <c r="AB17">
        <f t="shared" ref="AB17:AB29" si="19">(-I17*44100)</f>
        <v>-79.768173933892967</v>
      </c>
      <c r="AC17">
        <f t="shared" ref="AC17:AC29" si="20">2*29.3*Q17*0.92*(DZ17-V17)</f>
        <v>-43.996213242702119</v>
      </c>
      <c r="AD17">
        <f t="shared" ref="AD17:AD29" si="21">2*0.95*0.0000000567*(((DZ17+$B$7)+273)^4-(V17+273)^4)</f>
        <v>-3.2059384722058493</v>
      </c>
      <c r="AE17">
        <f t="shared" ref="AE17:AE29" si="22">T17+AD17+AB17+AC17</f>
        <v>192.80772197753774</v>
      </c>
      <c r="AF17">
        <f t="shared" ref="AF17:AF29" si="23">DW17*AT17*(DR17-DQ17*(1000-AT17*DT17)/(1000-AT17*DS17))/(100*DK17)</f>
        <v>27.128129564277881</v>
      </c>
      <c r="AG17">
        <f t="shared" ref="AG17:AG29" si="24">1000*DW17*AT17*(DS17-DT17)/(100*DK17*(1000-AT17*DS17))</f>
        <v>1.8088021300202486</v>
      </c>
      <c r="AH17">
        <f t="shared" ref="AH17:AH29" si="25">(AI17 - AJ17 - DX17*1000/(8.314*(DZ17+273.15)) * AL17/DW17 * AK17) * DW17/(100*DK17) * (1000 - DT17)/1000</f>
        <v>27.379286349961419</v>
      </c>
      <c r="AI17">
        <v>461.94559994109409</v>
      </c>
      <c r="AJ17">
        <v>428.66247272727259</v>
      </c>
      <c r="AK17">
        <v>-3.5918480975683689E-2</v>
      </c>
      <c r="AL17">
        <v>67.088439437129637</v>
      </c>
      <c r="AM17">
        <f t="shared" ref="AM17:AM29" si="26">(AO17 - AN17 + DX17*1000/(8.314*(DZ17+273.15)) * AQ17/DW17 * AP17) * DW17/(100*DK17) * 1000/(1000 - AO17)</f>
        <v>1.8029377341588608</v>
      </c>
      <c r="AN17">
        <v>18.581908540488339</v>
      </c>
      <c r="AO17">
        <v>20.700487878787889</v>
      </c>
      <c r="AP17">
        <v>-4.6468110108812946E-6</v>
      </c>
      <c r="AQ17">
        <v>78.23898778073459</v>
      </c>
      <c r="AR17">
        <v>0</v>
      </c>
      <c r="AS17">
        <v>0</v>
      </c>
      <c r="AT17">
        <f t="shared" ref="AT17:AT29" si="27">IF(AR17*$H$13&gt;=AV17,1,(AV17/(AV17-AR17*$H$13)))</f>
        <v>1</v>
      </c>
      <c r="AU17">
        <f t="shared" ref="AU17:AU29" si="28">(AT17-1)*100</f>
        <v>0</v>
      </c>
      <c r="AV17">
        <f t="shared" ref="AV17:AV29" si="29">MAX(0,($B$13+$C$13*EE17)/(1+$D$13*EE17)*DX17/(DZ17+273)*$E$13)</f>
        <v>52344.380222153733</v>
      </c>
      <c r="AW17" t="s">
        <v>946</v>
      </c>
      <c r="AX17">
        <v>5143.8100000000004</v>
      </c>
      <c r="AY17">
        <v>572.13529411764716</v>
      </c>
      <c r="AZ17">
        <v>2278.5700000000002</v>
      </c>
      <c r="BA17">
        <f t="shared" ref="BA17:BA29" si="30">1-AY17/AZ17</f>
        <v>0.74890598308691536</v>
      </c>
      <c r="BB17">
        <v>-3.4090879133521459</v>
      </c>
      <c r="BC17" t="s">
        <v>950</v>
      </c>
      <c r="BD17">
        <v>5151.6899999999996</v>
      </c>
      <c r="BE17">
        <v>796.9522352941176</v>
      </c>
      <c r="BF17">
        <v>891.05</v>
      </c>
      <c r="BG17">
        <f t="shared" ref="BG17:BG29" si="31">1-BE17/BF17</f>
        <v>0.10560323742313271</v>
      </c>
      <c r="BH17">
        <v>0.5</v>
      </c>
      <c r="BI17">
        <f t="shared" ref="BI17:BI29" si="32">DH17</f>
        <v>1680.3004837107885</v>
      </c>
      <c r="BJ17">
        <f t="shared" ref="BJ17:BJ29" si="33">K17</f>
        <v>27.128129564277881</v>
      </c>
      <c r="BK17">
        <f t="shared" ref="BK17:BK29" si="34">BG17*BH17*BI17</f>
        <v>88.722585461757575</v>
      </c>
      <c r="BL17">
        <f t="shared" ref="BL17:BL29" si="35">(BJ17-BB17)/BI17</f>
        <v>1.8173664635382E-2</v>
      </c>
      <c r="BM17">
        <f t="shared" ref="BM17:BM29" si="36">(AZ17-BF17)/BF17</f>
        <v>1.5571741204197298</v>
      </c>
      <c r="BN17">
        <f t="shared" ref="BN17:BN29" si="37">AY17/(BA17+AY17/BF17)</f>
        <v>411.31307325526848</v>
      </c>
      <c r="BO17" t="s">
        <v>408</v>
      </c>
      <c r="BP17">
        <v>0</v>
      </c>
      <c r="BQ17">
        <f t="shared" ref="BQ17:BQ29" si="38">IF(BP17&lt;&gt;0, BP17, BN17)</f>
        <v>411.31307325526848</v>
      </c>
      <c r="BR17">
        <f t="shared" ref="BR17:BR29" si="39">1-BQ17/BF17</f>
        <v>0.53839506957491889</v>
      </c>
      <c r="BS17">
        <f t="shared" ref="BS17:BS29" si="40">(BF17-BE17)/(BF17-BQ17)</f>
        <v>0.19614451058496873</v>
      </c>
      <c r="BT17">
        <f t="shared" ref="BT17:BT29" si="41">(AZ17-BF17)/(AZ17-BQ17)</f>
        <v>0.74307931604191335</v>
      </c>
      <c r="BU17">
        <f t="shared" ref="BU17:BU29" si="42">(BF17-BE17)/(BF17-AY17)</f>
        <v>0.29505621086220746</v>
      </c>
      <c r="BV17">
        <f t="shared" ref="BV17:BV29" si="43">(AZ17-BF17)/(AZ17-AY17)</f>
        <v>0.81311051352682706</v>
      </c>
      <c r="BW17">
        <f t="shared" ref="BW17:BW29" si="44">(BS17*BQ17/BE17)</f>
        <v>0.10123166468198688</v>
      </c>
      <c r="BX17">
        <f t="shared" ref="BX17:BX29" si="45">(1-BW17)</f>
        <v>0.89876833531801315</v>
      </c>
      <c r="DG17">
        <f t="shared" ref="DG17:DG29" si="46">$B$11*EF17+$C$11*EG17+$F$11*ER17*(1-EU17)</f>
        <v>2000.00129032258</v>
      </c>
      <c r="DH17">
        <f t="shared" ref="DH17:DH29" si="47">DG17*DI17</f>
        <v>1680.3004837107885</v>
      </c>
      <c r="DI17">
        <f t="shared" ref="DI17:DI29" si="48">($B$11*$D$9+$C$11*$D$9+$F$11*((FE17+EW17)/MAX(FE17+EW17+FF17, 0.1)*$I$9+FF17/MAX(FE17+EW17+FF17, 0.1)*$J$9))/($B$11+$C$11+$F$11)</f>
        <v>0.8401496998233301</v>
      </c>
      <c r="DJ17">
        <f t="shared" ref="DJ17:DJ29" si="49">($B$11*$K$9+$C$11*$K$9+$F$11*((FE17+EW17)/MAX(FE17+EW17+FF17, 0.1)*$P$9+FF17/MAX(FE17+EW17+FF17, 0.1)*$Q$9))/($B$11+$C$11+$F$11)</f>
        <v>0.15988892065902702</v>
      </c>
      <c r="DK17">
        <v>6</v>
      </c>
      <c r="DL17">
        <v>0.5</v>
      </c>
      <c r="DM17" t="s">
        <v>409</v>
      </c>
      <c r="DN17">
        <v>2</v>
      </c>
      <c r="DO17" t="b">
        <v>0</v>
      </c>
      <c r="DP17">
        <v>1784742592</v>
      </c>
      <c r="DQ17">
        <v>419.91496774193553</v>
      </c>
      <c r="DR17">
        <v>453.37719354838708</v>
      </c>
      <c r="DS17">
        <v>20.709196774193551</v>
      </c>
      <c r="DT17">
        <v>18.58377419354839</v>
      </c>
      <c r="DU17">
        <v>427.13341935483868</v>
      </c>
      <c r="DV17">
        <v>21.541929032258071</v>
      </c>
      <c r="DW17">
        <v>500.04454838709682</v>
      </c>
      <c r="DX17">
        <v>98.237841935483871</v>
      </c>
      <c r="DY17">
        <v>4.8511606451612899E-2</v>
      </c>
      <c r="DZ17">
        <v>24.708683870967739</v>
      </c>
      <c r="EA17">
        <v>24.990241935483869</v>
      </c>
      <c r="EB17">
        <v>999.90000000000032</v>
      </c>
      <c r="EC17">
        <v>0</v>
      </c>
      <c r="ED17">
        <v>0</v>
      </c>
      <c r="EE17">
        <v>9999.8387096774186</v>
      </c>
      <c r="EF17">
        <v>0</v>
      </c>
      <c r="EG17">
        <v>378.71041935483868</v>
      </c>
      <c r="EH17">
        <v>-33.462206451612907</v>
      </c>
      <c r="EI17">
        <v>428.79500000000007</v>
      </c>
      <c r="EJ17">
        <v>461.96219354838701</v>
      </c>
      <c r="EK17">
        <v>2.1254196774193548</v>
      </c>
      <c r="EL17">
        <v>453.37719354838708</v>
      </c>
      <c r="EM17">
        <v>18.58377419354839</v>
      </c>
      <c r="EN17">
        <v>2.034427419354838</v>
      </c>
      <c r="EO17">
        <v>1.8256300000000001</v>
      </c>
      <c r="EP17">
        <v>17.714848387096779</v>
      </c>
      <c r="EQ17">
        <v>16.007990322580639</v>
      </c>
      <c r="ER17">
        <v>2000.00129032258</v>
      </c>
      <c r="ES17">
        <v>0.99499867741935466</v>
      </c>
      <c r="ET17">
        <v>5.0014638709677418E-3</v>
      </c>
      <c r="EU17">
        <v>0</v>
      </c>
      <c r="EV17">
        <v>797.250870967742</v>
      </c>
      <c r="EW17">
        <v>5.0010700000000003</v>
      </c>
      <c r="EX17">
        <v>18650.035483870972</v>
      </c>
      <c r="EY17">
        <v>18241.625806451619</v>
      </c>
      <c r="EZ17">
        <v>39.75</v>
      </c>
      <c r="FA17">
        <v>41.106709677419353</v>
      </c>
      <c r="FB17">
        <v>40.314064516129022</v>
      </c>
      <c r="FC17">
        <v>40.644999999999982</v>
      </c>
      <c r="FD17">
        <v>40.769999999999982</v>
      </c>
      <c r="FE17">
        <v>1985.0212903225799</v>
      </c>
      <c r="FF17">
        <v>9.980000000000004</v>
      </c>
      <c r="FG17">
        <v>0</v>
      </c>
      <c r="FH17">
        <v>1930</v>
      </c>
      <c r="FI17">
        <v>0</v>
      </c>
      <c r="FJ17">
        <v>796.9522352941176</v>
      </c>
      <c r="FK17">
        <v>-2.6531862830571429</v>
      </c>
      <c r="FL17">
        <v>-77.818627298958916</v>
      </c>
      <c r="FM17">
        <v>18644.99411764706</v>
      </c>
      <c r="FN17">
        <v>10</v>
      </c>
      <c r="FO17">
        <v>1784742478.5</v>
      </c>
      <c r="FP17" t="s">
        <v>951</v>
      </c>
      <c r="FQ17">
        <v>1784742478.5</v>
      </c>
      <c r="FR17">
        <v>1784742470.5</v>
      </c>
      <c r="FS17">
        <v>40</v>
      </c>
      <c r="FT17">
        <v>-8.5000000000000006E-2</v>
      </c>
      <c r="FU17">
        <v>0.03</v>
      </c>
      <c r="FV17">
        <v>-7.3460000000000001</v>
      </c>
      <c r="FW17">
        <v>-0.88500000000000001</v>
      </c>
      <c r="FX17">
        <v>454</v>
      </c>
      <c r="FY17">
        <v>19</v>
      </c>
      <c r="FZ17">
        <v>0.28000000000000003</v>
      </c>
      <c r="GA17">
        <v>0.11</v>
      </c>
      <c r="GB17">
        <v>419.91496774193553</v>
      </c>
      <c r="GC17">
        <v>-0.43320967742136451</v>
      </c>
      <c r="GD17">
        <v>7.2426373680993139E-2</v>
      </c>
      <c r="GE17">
        <v>-1</v>
      </c>
      <c r="GF17">
        <v>797.42444117647062</v>
      </c>
      <c r="GG17">
        <v>-4.8787624180101039</v>
      </c>
      <c r="GH17">
        <v>0.52977571231920073</v>
      </c>
      <c r="GI17">
        <v>1</v>
      </c>
      <c r="GJ17">
        <v>2.1208558536585369</v>
      </c>
      <c r="GK17">
        <v>4.2655400696868927E-2</v>
      </c>
      <c r="GL17">
        <v>1.2521201332454209E-2</v>
      </c>
      <c r="GM17">
        <v>1</v>
      </c>
      <c r="GN17">
        <v>2</v>
      </c>
      <c r="GO17">
        <v>2</v>
      </c>
      <c r="GP17" t="s">
        <v>424</v>
      </c>
      <c r="GQ17">
        <v>3.13029</v>
      </c>
      <c r="GR17">
        <v>2.7245499999999998</v>
      </c>
      <c r="GS17">
        <v>9.2413800000000004E-2</v>
      </c>
      <c r="GT17">
        <v>9.7406800000000002E-2</v>
      </c>
      <c r="GU17">
        <v>0.104437</v>
      </c>
      <c r="GV17">
        <v>9.4375700000000007E-2</v>
      </c>
      <c r="GW17">
        <v>22778</v>
      </c>
      <c r="GX17">
        <v>30425.3</v>
      </c>
      <c r="GY17">
        <v>27216.6</v>
      </c>
      <c r="GZ17">
        <v>34651.1</v>
      </c>
      <c r="HA17">
        <v>35700.300000000003</v>
      </c>
      <c r="HB17">
        <v>39581.4</v>
      </c>
      <c r="HC17">
        <v>40199.1</v>
      </c>
      <c r="HD17">
        <v>43788.800000000003</v>
      </c>
      <c r="HE17">
        <v>1.9842</v>
      </c>
      <c r="HF17">
        <v>1.8056000000000001</v>
      </c>
      <c r="HG17">
        <v>-3.8921799999999999E-2</v>
      </c>
      <c r="HH17">
        <v>0</v>
      </c>
      <c r="HI17">
        <v>25.636099999999999</v>
      </c>
      <c r="HJ17">
        <v>999.9</v>
      </c>
      <c r="HK17">
        <v>38.200000000000003</v>
      </c>
      <c r="HL17">
        <v>38.4</v>
      </c>
      <c r="HM17">
        <v>26.4543</v>
      </c>
      <c r="HN17">
        <v>60.983600000000003</v>
      </c>
      <c r="HO17">
        <v>5.5007999999999999</v>
      </c>
      <c r="HP17">
        <v>1</v>
      </c>
      <c r="HQ17">
        <v>0.39613799999999999</v>
      </c>
      <c r="HR17">
        <v>4.8322399999999996</v>
      </c>
      <c r="HS17">
        <v>20.170300000000001</v>
      </c>
      <c r="HT17">
        <v>5.2112999999999996</v>
      </c>
      <c r="HU17">
        <v>11.908099999999999</v>
      </c>
      <c r="HV17">
        <v>4.9855999999999998</v>
      </c>
      <c r="HW17">
        <v>3.2706</v>
      </c>
      <c r="HX17">
        <v>9999</v>
      </c>
      <c r="HY17">
        <v>9999</v>
      </c>
      <c r="HZ17">
        <v>9999</v>
      </c>
      <c r="IA17">
        <v>999.9</v>
      </c>
      <c r="IB17">
        <v>1.86768</v>
      </c>
      <c r="IC17">
        <v>1.8632500000000001</v>
      </c>
      <c r="ID17">
        <v>1.86276</v>
      </c>
      <c r="IE17">
        <v>1.8623400000000001</v>
      </c>
      <c r="IF17">
        <v>1.8623400000000001</v>
      </c>
      <c r="IG17">
        <v>1.8629500000000001</v>
      </c>
      <c r="IH17">
        <v>1.8638600000000001</v>
      </c>
      <c r="II17">
        <v>1.86178</v>
      </c>
      <c r="IJ17">
        <v>0</v>
      </c>
      <c r="IK17">
        <v>0</v>
      </c>
      <c r="IL17">
        <v>0</v>
      </c>
      <c r="IM17">
        <v>4.5</v>
      </c>
      <c r="IN17" t="s">
        <v>412</v>
      </c>
      <c r="IO17" t="s">
        <v>413</v>
      </c>
      <c r="IP17" t="s">
        <v>414</v>
      </c>
      <c r="IQ17" t="s">
        <v>415</v>
      </c>
      <c r="IR17" t="s">
        <v>415</v>
      </c>
      <c r="IS17" t="s">
        <v>414</v>
      </c>
      <c r="IT17">
        <v>0</v>
      </c>
      <c r="IU17">
        <v>100</v>
      </c>
      <c r="IV17">
        <v>100</v>
      </c>
      <c r="IW17">
        <v>-7.2190000000000003</v>
      </c>
      <c r="IX17">
        <v>-0.83289999999999997</v>
      </c>
      <c r="IY17">
        <v>-5.226532048606189</v>
      </c>
      <c r="IZ17">
        <v>-5.6215304933332991E-3</v>
      </c>
      <c r="JA17">
        <v>2.3979931213773931E-6</v>
      </c>
      <c r="JB17">
        <v>-3.6297174575716598E-10</v>
      </c>
      <c r="JC17">
        <v>-1.158700983083222</v>
      </c>
      <c r="JD17">
        <v>2.7492919904454862E-4</v>
      </c>
      <c r="JE17">
        <v>8.6739513355948885E-4</v>
      </c>
      <c r="JF17">
        <v>-8.2500691715147318E-6</v>
      </c>
      <c r="JG17">
        <v>17</v>
      </c>
      <c r="JH17">
        <v>1914</v>
      </c>
      <c r="JI17">
        <v>2</v>
      </c>
      <c r="JJ17">
        <v>37</v>
      </c>
      <c r="JK17">
        <v>2</v>
      </c>
      <c r="JL17">
        <v>2.2000000000000002</v>
      </c>
      <c r="JM17">
        <v>1.16943</v>
      </c>
      <c r="JN17">
        <v>2.5378400000000001</v>
      </c>
      <c r="JO17">
        <v>1.50024</v>
      </c>
      <c r="JP17">
        <v>2.2705099999999998</v>
      </c>
      <c r="JQ17">
        <v>1.4477500000000001</v>
      </c>
      <c r="JR17">
        <v>2.3877000000000002</v>
      </c>
      <c r="JS17">
        <v>42.377200000000002</v>
      </c>
      <c r="JT17">
        <v>23.8949</v>
      </c>
      <c r="JU17">
        <v>18</v>
      </c>
      <c r="JV17">
        <v>540.27499999999998</v>
      </c>
      <c r="JW17">
        <v>439.274</v>
      </c>
      <c r="JX17">
        <v>20.5261</v>
      </c>
      <c r="JY17">
        <v>32.0749</v>
      </c>
      <c r="JZ17">
        <v>30.0001</v>
      </c>
      <c r="KA17">
        <v>32.3782</v>
      </c>
      <c r="KB17">
        <v>32.298000000000002</v>
      </c>
      <c r="KC17">
        <v>23.376000000000001</v>
      </c>
      <c r="KD17">
        <v>33.888500000000001</v>
      </c>
      <c r="KE17">
        <v>0</v>
      </c>
      <c r="KF17">
        <v>20.526700000000002</v>
      </c>
      <c r="KG17">
        <v>453.63400000000001</v>
      </c>
      <c r="KH17">
        <v>18.5639</v>
      </c>
      <c r="KI17">
        <v>100.46</v>
      </c>
      <c r="KJ17">
        <v>98.694199999999995</v>
      </c>
    </row>
    <row r="18" spans="1:296" x14ac:dyDescent="0.3">
      <c r="A18">
        <v>2</v>
      </c>
      <c r="B18">
        <v>1784742782.5</v>
      </c>
      <c r="C18">
        <v>182.5</v>
      </c>
      <c r="D18" t="s">
        <v>952</v>
      </c>
      <c r="E18" t="s">
        <v>953</v>
      </c>
      <c r="F18">
        <v>15</v>
      </c>
      <c r="H18">
        <v>1784742774.75</v>
      </c>
      <c r="I18">
        <f t="shared" si="0"/>
        <v>1.8106717804786717E-3</v>
      </c>
      <c r="J18">
        <f t="shared" si="1"/>
        <v>1.8106717804786718</v>
      </c>
      <c r="K18">
        <f t="shared" si="2"/>
        <v>29.834408933468058</v>
      </c>
      <c r="L18">
        <f t="shared" si="3"/>
        <v>419.86913333333342</v>
      </c>
      <c r="M18">
        <f t="shared" si="4"/>
        <v>100.31202648073928</v>
      </c>
      <c r="N18">
        <f t="shared" si="5"/>
        <v>9.8600817871999542</v>
      </c>
      <c r="O18">
        <f t="shared" si="6"/>
        <v>41.270664543720812</v>
      </c>
      <c r="P18">
        <f t="shared" si="7"/>
        <v>0.15560837429704744</v>
      </c>
      <c r="Q18">
        <f t="shared" si="8"/>
        <v>2.8952564072044558</v>
      </c>
      <c r="R18">
        <f t="shared" si="9"/>
        <v>0.15110701508943214</v>
      </c>
      <c r="S18">
        <f t="shared" si="10"/>
        <v>9.4835467454815081E-2</v>
      </c>
      <c r="T18">
        <f t="shared" si="11"/>
        <v>271.90597602973673</v>
      </c>
      <c r="U18">
        <f t="shared" si="12"/>
        <v>25.989938583184159</v>
      </c>
      <c r="V18">
        <f t="shared" si="13"/>
        <v>25.030236666666671</v>
      </c>
      <c r="W18">
        <f t="shared" si="14"/>
        <v>3.1854140562037165</v>
      </c>
      <c r="X18">
        <f t="shared" si="15"/>
        <v>64.725100955871767</v>
      </c>
      <c r="Y18">
        <f t="shared" si="16"/>
        <v>2.038884667460529</v>
      </c>
      <c r="Z18">
        <f t="shared" si="17"/>
        <v>3.1500679602656758</v>
      </c>
      <c r="AA18">
        <f t="shared" si="18"/>
        <v>1.1465293887431875</v>
      </c>
      <c r="AB18">
        <f t="shared" si="19"/>
        <v>-79.850625519109428</v>
      </c>
      <c r="AC18">
        <f t="shared" si="20"/>
        <v>-29.199581094953729</v>
      </c>
      <c r="AD18">
        <f t="shared" si="21"/>
        <v>-2.1319295875991378</v>
      </c>
      <c r="AE18">
        <f t="shared" si="22"/>
        <v>160.72383982807446</v>
      </c>
      <c r="AF18">
        <f t="shared" si="23"/>
        <v>29.834408933468058</v>
      </c>
      <c r="AG18">
        <f t="shared" si="24"/>
        <v>1.8106717804786718</v>
      </c>
      <c r="AH18">
        <f t="shared" si="25"/>
        <v>30.053683689989914</v>
      </c>
      <c r="AI18">
        <v>465.27094428479558</v>
      </c>
      <c r="AJ18">
        <v>428.68206666666651</v>
      </c>
      <c r="AK18">
        <v>-3.0654865037410019E-2</v>
      </c>
      <c r="AL18">
        <v>67.088845599108879</v>
      </c>
      <c r="AM18">
        <f t="shared" si="26"/>
        <v>1.8139126124718876</v>
      </c>
      <c r="AN18">
        <v>18.616983581931802</v>
      </c>
      <c r="AO18">
        <v>20.74878787878788</v>
      </c>
      <c r="AP18">
        <v>-1.1097557093950449E-5</v>
      </c>
      <c r="AQ18">
        <v>78.239766960119439</v>
      </c>
      <c r="AR18">
        <v>0</v>
      </c>
      <c r="AS18">
        <v>0</v>
      </c>
      <c r="AT18">
        <f t="shared" si="27"/>
        <v>1</v>
      </c>
      <c r="AU18">
        <f t="shared" si="28"/>
        <v>0</v>
      </c>
      <c r="AV18">
        <f t="shared" si="29"/>
        <v>52229.817373431077</v>
      </c>
      <c r="AW18" t="s">
        <v>946</v>
      </c>
      <c r="AX18">
        <v>5143.8100000000004</v>
      </c>
      <c r="AY18">
        <v>572.13529411764716</v>
      </c>
      <c r="AZ18">
        <v>2278.5700000000002</v>
      </c>
      <c r="BA18">
        <f t="shared" si="30"/>
        <v>0.74890598308691536</v>
      </c>
      <c r="BB18">
        <v>-3.4090879133521459</v>
      </c>
      <c r="BC18" t="s">
        <v>954</v>
      </c>
      <c r="BD18">
        <v>5152.3</v>
      </c>
      <c r="BE18">
        <v>789.68623529411764</v>
      </c>
      <c r="BF18">
        <v>923.71</v>
      </c>
      <c r="BG18">
        <f t="shared" si="31"/>
        <v>0.14509290221593618</v>
      </c>
      <c r="BH18">
        <v>0.5</v>
      </c>
      <c r="BI18">
        <f t="shared" si="32"/>
        <v>1428.2927598081533</v>
      </c>
      <c r="BJ18">
        <f t="shared" si="33"/>
        <v>29.834408933468058</v>
      </c>
      <c r="BK18">
        <f t="shared" si="34"/>
        <v>103.617570867287</v>
      </c>
      <c r="BL18">
        <f t="shared" si="35"/>
        <v>2.3274988001259236E-2</v>
      </c>
      <c r="BM18">
        <f t="shared" si="36"/>
        <v>1.4667590477530827</v>
      </c>
      <c r="BN18">
        <f t="shared" si="37"/>
        <v>418.13756255713304</v>
      </c>
      <c r="BO18" t="s">
        <v>408</v>
      </c>
      <c r="BP18">
        <v>0</v>
      </c>
      <c r="BQ18">
        <f t="shared" si="38"/>
        <v>418.13756255713304</v>
      </c>
      <c r="BR18">
        <f t="shared" si="39"/>
        <v>0.54732809804253169</v>
      </c>
      <c r="BS18">
        <f t="shared" si="40"/>
        <v>0.26509309997942276</v>
      </c>
      <c r="BT18">
        <f t="shared" si="41"/>
        <v>0.72825004162055584</v>
      </c>
      <c r="BU18">
        <f t="shared" si="42"/>
        <v>0.38120991773148394</v>
      </c>
      <c r="BV18">
        <f t="shared" si="43"/>
        <v>0.79397119346528833</v>
      </c>
      <c r="BW18">
        <f t="shared" si="44"/>
        <v>0.14036636036187966</v>
      </c>
      <c r="BX18">
        <f t="shared" si="45"/>
        <v>0.85963363963812034</v>
      </c>
      <c r="DG18">
        <f t="shared" si="46"/>
        <v>1699.985666666666</v>
      </c>
      <c r="DH18">
        <f t="shared" si="47"/>
        <v>1428.2927598081533</v>
      </c>
      <c r="DI18">
        <f t="shared" si="48"/>
        <v>0.84017929551650361</v>
      </c>
      <c r="DJ18">
        <f t="shared" si="49"/>
        <v>0.15994604034685203</v>
      </c>
      <c r="DK18">
        <v>6</v>
      </c>
      <c r="DL18">
        <v>0.5</v>
      </c>
      <c r="DM18" t="s">
        <v>409</v>
      </c>
      <c r="DN18">
        <v>2</v>
      </c>
      <c r="DO18" t="b">
        <v>0</v>
      </c>
      <c r="DP18">
        <v>1784742774.75</v>
      </c>
      <c r="DQ18">
        <v>419.86913333333342</v>
      </c>
      <c r="DR18">
        <v>456.58623333333333</v>
      </c>
      <c r="DS18">
        <v>20.742693333333332</v>
      </c>
      <c r="DT18">
        <v>18.61475333333334</v>
      </c>
      <c r="DU18">
        <v>427.09303333333338</v>
      </c>
      <c r="DV18">
        <v>21.572430000000001</v>
      </c>
      <c r="DW18">
        <v>499.95213333333328</v>
      </c>
      <c r="DX18">
        <v>98.246256666666639</v>
      </c>
      <c r="DY18">
        <v>4.7857539999999997E-2</v>
      </c>
      <c r="DZ18">
        <v>24.843166666666669</v>
      </c>
      <c r="EA18">
        <v>25.030236666666671</v>
      </c>
      <c r="EB18">
        <v>999.9000000000002</v>
      </c>
      <c r="EC18">
        <v>0</v>
      </c>
      <c r="ED18">
        <v>0</v>
      </c>
      <c r="EE18">
        <v>9980.8333333333339</v>
      </c>
      <c r="EF18">
        <v>0</v>
      </c>
      <c r="EG18">
        <v>479.42860000000007</v>
      </c>
      <c r="EH18">
        <v>-36.717153333333343</v>
      </c>
      <c r="EI18">
        <v>428.7627333333333</v>
      </c>
      <c r="EJ18">
        <v>465.2467333333334</v>
      </c>
      <c r="EK18">
        <v>2.1279313333333332</v>
      </c>
      <c r="EL18">
        <v>456.58623333333333</v>
      </c>
      <c r="EM18">
        <v>18.61475333333334</v>
      </c>
      <c r="EN18">
        <v>2.0378913333333331</v>
      </c>
      <c r="EO18">
        <v>1.828830666666666</v>
      </c>
      <c r="EP18">
        <v>17.741849999999999</v>
      </c>
      <c r="EQ18">
        <v>16.035403333333331</v>
      </c>
      <c r="ER18">
        <v>1699.985666666666</v>
      </c>
      <c r="ES18">
        <v>0.99400709999999992</v>
      </c>
      <c r="ET18">
        <v>5.9932226666666666E-3</v>
      </c>
      <c r="EU18">
        <v>0</v>
      </c>
      <c r="EV18">
        <v>789.67500000000007</v>
      </c>
      <c r="EW18">
        <v>5.0010700000000003</v>
      </c>
      <c r="EX18">
        <v>16373.863333333329</v>
      </c>
      <c r="EY18">
        <v>15492.42</v>
      </c>
      <c r="EZ18">
        <v>39.731099999999998</v>
      </c>
      <c r="FA18">
        <v>41.436999999999983</v>
      </c>
      <c r="FB18">
        <v>40.561999999999983</v>
      </c>
      <c r="FC18">
        <v>40.957999999999991</v>
      </c>
      <c r="FD18">
        <v>40.8812</v>
      </c>
      <c r="FE18">
        <v>1684.8256666666671</v>
      </c>
      <c r="FF18">
        <v>10.16</v>
      </c>
      <c r="FG18">
        <v>0</v>
      </c>
      <c r="FH18">
        <v>181.5999999046326</v>
      </c>
      <c r="FI18">
        <v>0</v>
      </c>
      <c r="FJ18">
        <v>789.68623529411764</v>
      </c>
      <c r="FK18">
        <v>2.4625000029041839</v>
      </c>
      <c r="FL18">
        <v>-97.769610998352874</v>
      </c>
      <c r="FM18">
        <v>16407.664705882351</v>
      </c>
      <c r="FN18">
        <v>10</v>
      </c>
      <c r="FO18">
        <v>1784742659.5</v>
      </c>
      <c r="FP18" t="s">
        <v>955</v>
      </c>
      <c r="FQ18">
        <v>1784742650.5</v>
      </c>
      <c r="FR18">
        <v>1784742659.5</v>
      </c>
      <c r="FS18">
        <v>41</v>
      </c>
      <c r="FT18">
        <v>-5.0000000000000001E-3</v>
      </c>
      <c r="FU18">
        <v>2E-3</v>
      </c>
      <c r="FV18">
        <v>-7.35</v>
      </c>
      <c r="FW18">
        <v>-0.88400000000000001</v>
      </c>
      <c r="FX18">
        <v>454</v>
      </c>
      <c r="FY18">
        <v>19</v>
      </c>
      <c r="FZ18">
        <v>0.22</v>
      </c>
      <c r="GA18">
        <v>0.14000000000000001</v>
      </c>
      <c r="GB18">
        <v>419.87296774193561</v>
      </c>
      <c r="GC18">
        <v>-2.888709677665947E-2</v>
      </c>
      <c r="GD18">
        <v>5.9318432032313483E-2</v>
      </c>
      <c r="GE18">
        <v>-1</v>
      </c>
      <c r="GF18">
        <v>789.61311764705886</v>
      </c>
      <c r="GG18">
        <v>0.84501146070791244</v>
      </c>
      <c r="GH18">
        <v>0.2075845348294183</v>
      </c>
      <c r="GI18">
        <v>1</v>
      </c>
      <c r="GJ18">
        <v>2.1333951219512191</v>
      </c>
      <c r="GK18">
        <v>-7.2989477351912177E-2</v>
      </c>
      <c r="GL18">
        <v>2.3125574389380819E-2</v>
      </c>
      <c r="GM18">
        <v>1</v>
      </c>
      <c r="GN18">
        <v>2</v>
      </c>
      <c r="GO18">
        <v>2</v>
      </c>
      <c r="GP18" t="s">
        <v>424</v>
      </c>
      <c r="GQ18">
        <v>3.1298599999999999</v>
      </c>
      <c r="GR18">
        <v>2.7248299999999999</v>
      </c>
      <c r="GS18">
        <v>9.2414099999999999E-2</v>
      </c>
      <c r="GT18">
        <v>9.79299E-2</v>
      </c>
      <c r="GU18">
        <v>0.104598</v>
      </c>
      <c r="GV18">
        <v>9.4517299999999999E-2</v>
      </c>
      <c r="GW18">
        <v>22778</v>
      </c>
      <c r="GX18">
        <v>30409.4</v>
      </c>
      <c r="GY18">
        <v>27216.5</v>
      </c>
      <c r="GZ18">
        <v>34653</v>
      </c>
      <c r="HA18">
        <v>35694.1</v>
      </c>
      <c r="HB18">
        <v>39577.800000000003</v>
      </c>
      <c r="HC18">
        <v>40199.4</v>
      </c>
      <c r="HD18">
        <v>43791.7</v>
      </c>
      <c r="HE18">
        <v>1.9832000000000001</v>
      </c>
      <c r="HF18">
        <v>1.8048</v>
      </c>
      <c r="HG18">
        <v>-3.6656899999999999E-2</v>
      </c>
      <c r="HH18">
        <v>0</v>
      </c>
      <c r="HI18">
        <v>25.631799999999998</v>
      </c>
      <c r="HJ18">
        <v>999.9</v>
      </c>
      <c r="HK18">
        <v>37.799999999999997</v>
      </c>
      <c r="HL18">
        <v>38.5</v>
      </c>
      <c r="HM18">
        <v>26.317299999999999</v>
      </c>
      <c r="HN18">
        <v>61.023600000000002</v>
      </c>
      <c r="HO18">
        <v>5.9455099999999996</v>
      </c>
      <c r="HP18">
        <v>1</v>
      </c>
      <c r="HQ18">
        <v>0.395366</v>
      </c>
      <c r="HR18">
        <v>4.9054700000000002</v>
      </c>
      <c r="HS18">
        <v>20.169899999999998</v>
      </c>
      <c r="HT18">
        <v>5.2100999999999997</v>
      </c>
      <c r="HU18">
        <v>11.908099999999999</v>
      </c>
      <c r="HV18">
        <v>4.9851999999999999</v>
      </c>
      <c r="HW18">
        <v>3.2709999999999999</v>
      </c>
      <c r="HX18">
        <v>9999</v>
      </c>
      <c r="HY18">
        <v>9999</v>
      </c>
      <c r="HZ18">
        <v>9999</v>
      </c>
      <c r="IA18">
        <v>999.9</v>
      </c>
      <c r="IB18">
        <v>1.86768</v>
      </c>
      <c r="IC18">
        <v>1.86337</v>
      </c>
      <c r="ID18">
        <v>1.8627899999999999</v>
      </c>
      <c r="IE18">
        <v>1.8623400000000001</v>
      </c>
      <c r="IF18">
        <v>1.8623400000000001</v>
      </c>
      <c r="IG18">
        <v>1.8629500000000001</v>
      </c>
      <c r="IH18">
        <v>1.8638600000000001</v>
      </c>
      <c r="II18">
        <v>1.86185</v>
      </c>
      <c r="IJ18">
        <v>0</v>
      </c>
      <c r="IK18">
        <v>0</v>
      </c>
      <c r="IL18">
        <v>0</v>
      </c>
      <c r="IM18">
        <v>4.5</v>
      </c>
      <c r="IN18" t="s">
        <v>412</v>
      </c>
      <c r="IO18" t="s">
        <v>413</v>
      </c>
      <c r="IP18" t="s">
        <v>414</v>
      </c>
      <c r="IQ18" t="s">
        <v>415</v>
      </c>
      <c r="IR18" t="s">
        <v>415</v>
      </c>
      <c r="IS18" t="s">
        <v>414</v>
      </c>
      <c r="IT18">
        <v>0</v>
      </c>
      <c r="IU18">
        <v>100</v>
      </c>
      <c r="IV18">
        <v>100</v>
      </c>
      <c r="IW18">
        <v>-7.2240000000000002</v>
      </c>
      <c r="IX18">
        <v>-0.82950000000000002</v>
      </c>
      <c r="IY18">
        <v>-5.2321324351656973</v>
      </c>
      <c r="IZ18">
        <v>-5.6215304933332991E-3</v>
      </c>
      <c r="JA18">
        <v>2.3979931213773931E-6</v>
      </c>
      <c r="JB18">
        <v>-3.6297174575716598E-10</v>
      </c>
      <c r="JC18">
        <v>-1.1565131896327909</v>
      </c>
      <c r="JD18">
        <v>2.7492919904454862E-4</v>
      </c>
      <c r="JE18">
        <v>8.6739513355948885E-4</v>
      </c>
      <c r="JF18">
        <v>-8.2500691715147318E-6</v>
      </c>
      <c r="JG18">
        <v>17</v>
      </c>
      <c r="JH18">
        <v>1914</v>
      </c>
      <c r="JI18">
        <v>2</v>
      </c>
      <c r="JJ18">
        <v>37</v>
      </c>
      <c r="JK18">
        <v>2.2000000000000002</v>
      </c>
      <c r="JL18">
        <v>2</v>
      </c>
      <c r="JM18">
        <v>1.17432</v>
      </c>
      <c r="JN18">
        <v>2.5305200000000001</v>
      </c>
      <c r="JO18">
        <v>1.50024</v>
      </c>
      <c r="JP18">
        <v>2.2705099999999998</v>
      </c>
      <c r="JQ18">
        <v>1.4477500000000001</v>
      </c>
      <c r="JR18">
        <v>2.49756</v>
      </c>
      <c r="JS18">
        <v>43.0199</v>
      </c>
      <c r="JT18">
        <v>23.8949</v>
      </c>
      <c r="JU18">
        <v>18</v>
      </c>
      <c r="JV18">
        <v>539.61699999999996</v>
      </c>
      <c r="JW18">
        <v>438.77600000000001</v>
      </c>
      <c r="JX18">
        <v>20.7743</v>
      </c>
      <c r="JY18">
        <v>32.0608</v>
      </c>
      <c r="JZ18">
        <v>30.0002</v>
      </c>
      <c r="KA18">
        <v>32.3782</v>
      </c>
      <c r="KB18">
        <v>32.298000000000002</v>
      </c>
      <c r="KC18">
        <v>23.493200000000002</v>
      </c>
      <c r="KD18">
        <v>33.447699999999998</v>
      </c>
      <c r="KE18">
        <v>0</v>
      </c>
      <c r="KF18">
        <v>20.755299999999998</v>
      </c>
      <c r="KG18">
        <v>456.74099999999999</v>
      </c>
      <c r="KH18">
        <v>18.642800000000001</v>
      </c>
      <c r="KI18">
        <v>100.46</v>
      </c>
      <c r="KJ18">
        <v>98.700199999999995</v>
      </c>
    </row>
    <row r="19" spans="1:296" x14ac:dyDescent="0.3">
      <c r="A19">
        <v>3</v>
      </c>
      <c r="B19">
        <v>1784742965</v>
      </c>
      <c r="C19">
        <v>365</v>
      </c>
      <c r="D19" t="s">
        <v>956</v>
      </c>
      <c r="E19" t="s">
        <v>957</v>
      </c>
      <c r="F19">
        <v>15</v>
      </c>
      <c r="H19">
        <v>1784742957.25</v>
      </c>
      <c r="I19">
        <f t="shared" si="0"/>
        <v>2.1569204178660821E-3</v>
      </c>
      <c r="J19">
        <f t="shared" si="1"/>
        <v>2.1569204178660821</v>
      </c>
      <c r="K19">
        <f t="shared" si="2"/>
        <v>31.907193374864111</v>
      </c>
      <c r="L19">
        <f t="shared" si="3"/>
        <v>419.9539666666667</v>
      </c>
      <c r="M19">
        <f t="shared" si="4"/>
        <v>136.04960466405154</v>
      </c>
      <c r="N19">
        <f t="shared" si="5"/>
        <v>13.374164396018475</v>
      </c>
      <c r="O19">
        <f t="shared" si="6"/>
        <v>41.282982062527985</v>
      </c>
      <c r="P19">
        <f t="shared" si="7"/>
        <v>0.18886366766037677</v>
      </c>
      <c r="Q19">
        <f t="shared" si="8"/>
        <v>2.8983465465780869</v>
      </c>
      <c r="R19">
        <f t="shared" si="9"/>
        <v>0.18228332578068152</v>
      </c>
      <c r="S19">
        <f t="shared" si="10"/>
        <v>0.11449919569136285</v>
      </c>
      <c r="T19">
        <f t="shared" si="11"/>
        <v>255.91015342866206</v>
      </c>
      <c r="U19">
        <f t="shared" si="12"/>
        <v>25.73490489797295</v>
      </c>
      <c r="V19">
        <f t="shared" si="13"/>
        <v>25.006256666666669</v>
      </c>
      <c r="W19">
        <f t="shared" si="14"/>
        <v>3.1808638564027154</v>
      </c>
      <c r="X19">
        <f t="shared" si="15"/>
        <v>65.295813293583549</v>
      </c>
      <c r="Y19">
        <f t="shared" si="16"/>
        <v>2.0485976392143899</v>
      </c>
      <c r="Z19">
        <f t="shared" si="17"/>
        <v>3.1374104033339307</v>
      </c>
      <c r="AA19">
        <f t="shared" si="18"/>
        <v>1.1322662171883255</v>
      </c>
      <c r="AB19">
        <f t="shared" si="19"/>
        <v>-95.120190427894215</v>
      </c>
      <c r="AC19">
        <f t="shared" si="20"/>
        <v>-36.021096221480974</v>
      </c>
      <c r="AD19">
        <f t="shared" si="21"/>
        <v>-2.6259714776310852</v>
      </c>
      <c r="AE19">
        <f t="shared" si="22"/>
        <v>122.14289530165578</v>
      </c>
      <c r="AF19">
        <f t="shared" si="23"/>
        <v>31.907193374864111</v>
      </c>
      <c r="AG19">
        <f t="shared" si="24"/>
        <v>2.1569204178660821</v>
      </c>
      <c r="AH19">
        <f t="shared" si="25"/>
        <v>31.776614628404364</v>
      </c>
      <c r="AI19">
        <v>467.85531521045061</v>
      </c>
      <c r="AJ19">
        <v>428.97783030303049</v>
      </c>
      <c r="AK19">
        <v>6.4922960168470592E-3</v>
      </c>
      <c r="AL19">
        <v>67.088859462474488</v>
      </c>
      <c r="AM19">
        <f t="shared" si="26"/>
        <v>2.0934666755579854</v>
      </c>
      <c r="AN19">
        <v>18.307434533624871</v>
      </c>
      <c r="AO19">
        <v>20.80471878787878</v>
      </c>
      <c r="AP19">
        <v>-6.0238809832065046E-3</v>
      </c>
      <c r="AQ19">
        <v>78.239672375279554</v>
      </c>
      <c r="AR19">
        <v>0</v>
      </c>
      <c r="AS19">
        <v>0</v>
      </c>
      <c r="AT19">
        <f t="shared" si="27"/>
        <v>1</v>
      </c>
      <c r="AU19">
        <f t="shared" si="28"/>
        <v>0</v>
      </c>
      <c r="AV19">
        <f t="shared" si="29"/>
        <v>52330.741367283183</v>
      </c>
      <c r="AW19" t="s">
        <v>946</v>
      </c>
      <c r="AX19">
        <v>5143.8100000000004</v>
      </c>
      <c r="AY19">
        <v>572.13529411764716</v>
      </c>
      <c r="AZ19">
        <v>2278.5700000000002</v>
      </c>
      <c r="BA19">
        <f t="shared" si="30"/>
        <v>0.74890598308691536</v>
      </c>
      <c r="BB19">
        <v>-3.4090879133521459</v>
      </c>
      <c r="BC19" t="s">
        <v>958</v>
      </c>
      <c r="BD19">
        <v>5151.92</v>
      </c>
      <c r="BE19">
        <v>794.17482352941181</v>
      </c>
      <c r="BF19">
        <v>956.38</v>
      </c>
      <c r="BG19">
        <f t="shared" si="31"/>
        <v>0.16960327115852292</v>
      </c>
      <c r="BH19">
        <v>0.5</v>
      </c>
      <c r="BI19">
        <f t="shared" si="32"/>
        <v>1344.260819807597</v>
      </c>
      <c r="BJ19">
        <f t="shared" si="33"/>
        <v>31.907193374864111</v>
      </c>
      <c r="BK19">
        <f t="shared" si="34"/>
        <v>113.99551616480309</v>
      </c>
      <c r="BL19">
        <f t="shared" si="35"/>
        <v>2.6271896619936487E-2</v>
      </c>
      <c r="BM19">
        <f t="shared" si="36"/>
        <v>1.3824944059892512</v>
      </c>
      <c r="BN19">
        <f t="shared" si="37"/>
        <v>424.70490194867989</v>
      </c>
      <c r="BO19" t="s">
        <v>408</v>
      </c>
      <c r="BP19">
        <v>0</v>
      </c>
      <c r="BQ19">
        <f t="shared" si="38"/>
        <v>424.70490194867989</v>
      </c>
      <c r="BR19">
        <f t="shared" si="39"/>
        <v>0.55592452586975893</v>
      </c>
      <c r="BS19">
        <f t="shared" si="40"/>
        <v>0.30508326808063385</v>
      </c>
      <c r="BT19">
        <f t="shared" si="41"/>
        <v>0.71320723465251734</v>
      </c>
      <c r="BU19">
        <f t="shared" si="42"/>
        <v>0.42214030274824865</v>
      </c>
      <c r="BV19">
        <f t="shared" si="43"/>
        <v>0.77482601323226719</v>
      </c>
      <c r="BW19">
        <f t="shared" si="44"/>
        <v>0.16315092800416614</v>
      </c>
      <c r="BX19">
        <f t="shared" si="45"/>
        <v>0.83684907199583392</v>
      </c>
      <c r="DG19">
        <f t="shared" si="46"/>
        <v>1599.9680000000001</v>
      </c>
      <c r="DH19">
        <f t="shared" si="47"/>
        <v>1344.260819807597</v>
      </c>
      <c r="DI19">
        <f t="shared" si="48"/>
        <v>0.84017981597606761</v>
      </c>
      <c r="DJ19">
        <f t="shared" si="49"/>
        <v>0.15994704483381045</v>
      </c>
      <c r="DK19">
        <v>6</v>
      </c>
      <c r="DL19">
        <v>0.5</v>
      </c>
      <c r="DM19" t="s">
        <v>409</v>
      </c>
      <c r="DN19">
        <v>2</v>
      </c>
      <c r="DO19" t="b">
        <v>0</v>
      </c>
      <c r="DP19">
        <v>1784742957.25</v>
      </c>
      <c r="DQ19">
        <v>419.9539666666667</v>
      </c>
      <c r="DR19">
        <v>459.32953333333319</v>
      </c>
      <c r="DS19">
        <v>20.839500000000001</v>
      </c>
      <c r="DT19">
        <v>18.305136666666669</v>
      </c>
      <c r="DU19">
        <v>427.18363333333332</v>
      </c>
      <c r="DV19">
        <v>21.673436666666671</v>
      </c>
      <c r="DW19">
        <v>500.00043333333338</v>
      </c>
      <c r="DX19">
        <v>98.254833333333323</v>
      </c>
      <c r="DY19">
        <v>4.875548666666666E-2</v>
      </c>
      <c r="DZ19">
        <v>24.775729999999999</v>
      </c>
      <c r="EA19">
        <v>25.006256666666669</v>
      </c>
      <c r="EB19">
        <v>999.9000000000002</v>
      </c>
      <c r="EC19">
        <v>0</v>
      </c>
      <c r="ED19">
        <v>0</v>
      </c>
      <c r="EE19">
        <v>9997.6666666666661</v>
      </c>
      <c r="EF19">
        <v>0</v>
      </c>
      <c r="EG19">
        <v>668.40269999999998</v>
      </c>
      <c r="EH19">
        <v>-39.375603333333331</v>
      </c>
      <c r="EI19">
        <v>428.89179999999988</v>
      </c>
      <c r="EJ19">
        <v>467.89446666666669</v>
      </c>
      <c r="EK19">
        <v>2.5343506666666671</v>
      </c>
      <c r="EL19">
        <v>459.32953333333319</v>
      </c>
      <c r="EM19">
        <v>18.305136666666669</v>
      </c>
      <c r="EN19">
        <v>2.04758</v>
      </c>
      <c r="EO19">
        <v>1.7985686666666669</v>
      </c>
      <c r="EP19">
        <v>17.81714333333333</v>
      </c>
      <c r="EQ19">
        <v>15.77434666666667</v>
      </c>
      <c r="ER19">
        <v>1599.9680000000001</v>
      </c>
      <c r="ES19">
        <v>0.99398960000000014</v>
      </c>
      <c r="ET19">
        <v>6.0106529999999986E-3</v>
      </c>
      <c r="EU19">
        <v>0</v>
      </c>
      <c r="EV19">
        <v>794.15443333333337</v>
      </c>
      <c r="EW19">
        <v>5.0010700000000003</v>
      </c>
      <c r="EX19">
        <v>16171.83333333333</v>
      </c>
      <c r="EY19">
        <v>14578.14333333333</v>
      </c>
      <c r="EZ19">
        <v>39.811999999999983</v>
      </c>
      <c r="FA19">
        <v>41.774799999999978</v>
      </c>
      <c r="FB19">
        <v>40.75</v>
      </c>
      <c r="FC19">
        <v>41.289266666666649</v>
      </c>
      <c r="FD19">
        <v>41.061999999999983</v>
      </c>
      <c r="FE19">
        <v>1585.3779999999999</v>
      </c>
      <c r="FF19">
        <v>9.5899999999999981</v>
      </c>
      <c r="FG19">
        <v>0</v>
      </c>
      <c r="FH19">
        <v>182</v>
      </c>
      <c r="FI19">
        <v>0</v>
      </c>
      <c r="FJ19">
        <v>794.17482352941181</v>
      </c>
      <c r="FK19">
        <v>0.61299021120476593</v>
      </c>
      <c r="FL19">
        <v>-1009.50980213538</v>
      </c>
      <c r="FM19">
        <v>16053.682352941179</v>
      </c>
      <c r="FN19">
        <v>10</v>
      </c>
      <c r="FO19">
        <v>1784742842</v>
      </c>
      <c r="FP19" t="s">
        <v>959</v>
      </c>
      <c r="FQ19">
        <v>1784742842</v>
      </c>
      <c r="FR19">
        <v>1784742838</v>
      </c>
      <c r="FS19">
        <v>42</v>
      </c>
      <c r="FT19">
        <v>-5.0000000000000001E-3</v>
      </c>
      <c r="FU19">
        <v>-7.0000000000000001E-3</v>
      </c>
      <c r="FV19">
        <v>-7.367</v>
      </c>
      <c r="FW19">
        <v>-0.88500000000000001</v>
      </c>
      <c r="FX19">
        <v>457</v>
      </c>
      <c r="FY19">
        <v>19</v>
      </c>
      <c r="FZ19">
        <v>0.23</v>
      </c>
      <c r="GA19">
        <v>0.14000000000000001</v>
      </c>
      <c r="GB19">
        <v>419.95270967741942</v>
      </c>
      <c r="GC19">
        <v>0.49867741935470278</v>
      </c>
      <c r="GD19">
        <v>7.0792834314062844E-2</v>
      </c>
      <c r="GE19">
        <v>-1</v>
      </c>
      <c r="GF19">
        <v>794.13873529411751</v>
      </c>
      <c r="GG19">
        <v>0.72582124893753031</v>
      </c>
      <c r="GH19">
        <v>0.2355693114967054</v>
      </c>
      <c r="GI19">
        <v>1</v>
      </c>
      <c r="GJ19">
        <v>2.5448051219512191</v>
      </c>
      <c r="GK19">
        <v>-0.24509414634146801</v>
      </c>
      <c r="GL19">
        <v>2.460835175717058E-2</v>
      </c>
      <c r="GM19">
        <v>1</v>
      </c>
      <c r="GN19">
        <v>2</v>
      </c>
      <c r="GO19">
        <v>2</v>
      </c>
      <c r="GP19" t="s">
        <v>424</v>
      </c>
      <c r="GQ19">
        <v>3.1294599999999999</v>
      </c>
      <c r="GR19">
        <v>2.7233499999999999</v>
      </c>
      <c r="GS19">
        <v>9.2437400000000003E-2</v>
      </c>
      <c r="GT19">
        <v>9.8313200000000003E-2</v>
      </c>
      <c r="GU19">
        <v>0.104782</v>
      </c>
      <c r="GV19">
        <v>9.3366400000000002E-2</v>
      </c>
      <c r="GW19">
        <v>22772.400000000001</v>
      </c>
      <c r="GX19">
        <v>30388.400000000001</v>
      </c>
      <c r="GY19">
        <v>27211.1</v>
      </c>
      <c r="GZ19">
        <v>34644.800000000003</v>
      </c>
      <c r="HA19">
        <v>35680.6</v>
      </c>
      <c r="HB19">
        <v>39619.699999999997</v>
      </c>
      <c r="HC19">
        <v>40192</v>
      </c>
      <c r="HD19">
        <v>43782</v>
      </c>
      <c r="HE19">
        <v>1.9814000000000001</v>
      </c>
      <c r="HF19">
        <v>1.8011999999999999</v>
      </c>
      <c r="HG19">
        <v>-5.3077899999999997E-2</v>
      </c>
      <c r="HH19">
        <v>0</v>
      </c>
      <c r="HI19">
        <v>25.8751</v>
      </c>
      <c r="HJ19">
        <v>999.9</v>
      </c>
      <c r="HK19">
        <v>37.5</v>
      </c>
      <c r="HL19">
        <v>38.700000000000003</v>
      </c>
      <c r="HM19">
        <v>26.386700000000001</v>
      </c>
      <c r="HN19">
        <v>61.203600000000002</v>
      </c>
      <c r="HO19">
        <v>5.9054500000000001</v>
      </c>
      <c r="HP19">
        <v>1</v>
      </c>
      <c r="HQ19">
        <v>0.40723599999999999</v>
      </c>
      <c r="HR19">
        <v>5.06074</v>
      </c>
      <c r="HS19">
        <v>20.1661</v>
      </c>
      <c r="HT19">
        <v>5.2112999999999996</v>
      </c>
      <c r="HU19">
        <v>11.908099999999999</v>
      </c>
      <c r="HV19">
        <v>4.9855999999999998</v>
      </c>
      <c r="HW19">
        <v>3.2709999999999999</v>
      </c>
      <c r="HX19">
        <v>9999</v>
      </c>
      <c r="HY19">
        <v>9999</v>
      </c>
      <c r="HZ19">
        <v>9999</v>
      </c>
      <c r="IA19">
        <v>999.9</v>
      </c>
      <c r="IB19">
        <v>1.86768</v>
      </c>
      <c r="IC19">
        <v>1.8633999999999999</v>
      </c>
      <c r="ID19">
        <v>1.8627899999999999</v>
      </c>
      <c r="IE19">
        <v>1.8623400000000001</v>
      </c>
      <c r="IF19">
        <v>1.8623400000000001</v>
      </c>
      <c r="IG19">
        <v>1.8629500000000001</v>
      </c>
      <c r="IH19">
        <v>1.8638600000000001</v>
      </c>
      <c r="II19">
        <v>1.86185</v>
      </c>
      <c r="IJ19">
        <v>0</v>
      </c>
      <c r="IK19">
        <v>0</v>
      </c>
      <c r="IL19">
        <v>0</v>
      </c>
      <c r="IM19">
        <v>4.5</v>
      </c>
      <c r="IN19" t="s">
        <v>412</v>
      </c>
      <c r="IO19" t="s">
        <v>413</v>
      </c>
      <c r="IP19" t="s">
        <v>414</v>
      </c>
      <c r="IQ19" t="s">
        <v>415</v>
      </c>
      <c r="IR19" t="s">
        <v>415</v>
      </c>
      <c r="IS19" t="s">
        <v>414</v>
      </c>
      <c r="IT19">
        <v>0</v>
      </c>
      <c r="IU19">
        <v>100</v>
      </c>
      <c r="IV19">
        <v>100</v>
      </c>
      <c r="IW19">
        <v>-7.23</v>
      </c>
      <c r="IX19">
        <v>-0.83489999999999998</v>
      </c>
      <c r="IY19">
        <v>-5.2375236930187583</v>
      </c>
      <c r="IZ19">
        <v>-5.6215304933332991E-3</v>
      </c>
      <c r="JA19">
        <v>2.3979931213773931E-6</v>
      </c>
      <c r="JB19">
        <v>-3.6297174575716598E-10</v>
      </c>
      <c r="JC19">
        <v>-1.163360888315754</v>
      </c>
      <c r="JD19">
        <v>2.7492919904454862E-4</v>
      </c>
      <c r="JE19">
        <v>8.6739513355948885E-4</v>
      </c>
      <c r="JF19">
        <v>-8.2500691715147318E-6</v>
      </c>
      <c r="JG19">
        <v>17</v>
      </c>
      <c r="JH19">
        <v>1914</v>
      </c>
      <c r="JI19">
        <v>2</v>
      </c>
      <c r="JJ19">
        <v>37</v>
      </c>
      <c r="JK19">
        <v>2</v>
      </c>
      <c r="JL19">
        <v>2.1</v>
      </c>
      <c r="JM19">
        <v>1.1792</v>
      </c>
      <c r="JN19">
        <v>2.5366200000000001</v>
      </c>
      <c r="JO19">
        <v>1.50024</v>
      </c>
      <c r="JP19">
        <v>2.2705099999999998</v>
      </c>
      <c r="JQ19">
        <v>1.4477500000000001</v>
      </c>
      <c r="JR19">
        <v>2.50244</v>
      </c>
      <c r="JS19">
        <v>43.6447</v>
      </c>
      <c r="JT19">
        <v>23.886099999999999</v>
      </c>
      <c r="JU19">
        <v>18</v>
      </c>
      <c r="JV19">
        <v>539.16800000000001</v>
      </c>
      <c r="JW19">
        <v>437.17500000000001</v>
      </c>
      <c r="JX19">
        <v>20.578800000000001</v>
      </c>
      <c r="JY19">
        <v>32.188400000000001</v>
      </c>
      <c r="JZ19">
        <v>30.000499999999999</v>
      </c>
      <c r="KA19">
        <v>32.465299999999999</v>
      </c>
      <c r="KB19">
        <v>32.387500000000003</v>
      </c>
      <c r="KC19">
        <v>23.5837</v>
      </c>
      <c r="KD19">
        <v>34.530799999999999</v>
      </c>
      <c r="KE19">
        <v>0</v>
      </c>
      <c r="KF19">
        <v>20.571300000000001</v>
      </c>
      <c r="KG19">
        <v>459.18599999999998</v>
      </c>
      <c r="KH19">
        <v>18.308800000000002</v>
      </c>
      <c r="KI19">
        <v>100.441</v>
      </c>
      <c r="KJ19">
        <v>98.677499999999995</v>
      </c>
    </row>
    <row r="20" spans="1:296" x14ac:dyDescent="0.3">
      <c r="A20">
        <v>4</v>
      </c>
      <c r="B20">
        <v>1784743147.5</v>
      </c>
      <c r="C20">
        <v>547.5</v>
      </c>
      <c r="D20" t="s">
        <v>960</v>
      </c>
      <c r="E20" t="s">
        <v>961</v>
      </c>
      <c r="F20">
        <v>15</v>
      </c>
      <c r="H20">
        <v>1784743139.5</v>
      </c>
      <c r="I20">
        <f t="shared" si="0"/>
        <v>1.890640819512747E-3</v>
      </c>
      <c r="J20">
        <f t="shared" si="1"/>
        <v>1.8906408195127471</v>
      </c>
      <c r="K20">
        <f t="shared" si="2"/>
        <v>29.607400219236364</v>
      </c>
      <c r="L20">
        <f t="shared" si="3"/>
        <v>419.99790322580651</v>
      </c>
      <c r="M20">
        <f t="shared" si="4"/>
        <v>117.68017382922643</v>
      </c>
      <c r="N20">
        <f t="shared" si="5"/>
        <v>11.569336781172268</v>
      </c>
      <c r="O20">
        <f t="shared" si="6"/>
        <v>41.290703707294945</v>
      </c>
      <c r="P20">
        <f t="shared" si="7"/>
        <v>0.16365586417038136</v>
      </c>
      <c r="Q20">
        <f t="shared" si="8"/>
        <v>2.8995944160399736</v>
      </c>
      <c r="R20">
        <f t="shared" si="9"/>
        <v>0.15869207878596731</v>
      </c>
      <c r="S20">
        <f t="shared" si="10"/>
        <v>9.9615984611505629E-2</v>
      </c>
      <c r="T20">
        <f t="shared" si="11"/>
        <v>224.00470437410661</v>
      </c>
      <c r="U20">
        <f t="shared" si="12"/>
        <v>25.588759581811658</v>
      </c>
      <c r="V20">
        <f t="shared" si="13"/>
        <v>25.014458064516131</v>
      </c>
      <c r="W20">
        <f t="shared" si="14"/>
        <v>3.1824194303485722</v>
      </c>
      <c r="X20">
        <f t="shared" si="15"/>
        <v>65.193441244906936</v>
      </c>
      <c r="Y20">
        <f t="shared" si="16"/>
        <v>2.0422674289883931</v>
      </c>
      <c r="Z20">
        <f t="shared" si="17"/>
        <v>3.1326271324079551</v>
      </c>
      <c r="AA20">
        <f t="shared" si="18"/>
        <v>1.1401520013601791</v>
      </c>
      <c r="AB20">
        <f t="shared" si="19"/>
        <v>-83.377260140512149</v>
      </c>
      <c r="AC20">
        <f t="shared" si="20"/>
        <v>-41.312117357604109</v>
      </c>
      <c r="AD20">
        <f t="shared" si="21"/>
        <v>-3.0101329651445883</v>
      </c>
      <c r="AE20">
        <f t="shared" si="22"/>
        <v>96.305193910845787</v>
      </c>
      <c r="AF20">
        <f t="shared" si="23"/>
        <v>29.607400219236364</v>
      </c>
      <c r="AG20">
        <f t="shared" si="24"/>
        <v>1.8906408195127471</v>
      </c>
      <c r="AH20">
        <f t="shared" si="25"/>
        <v>29.568468506720134</v>
      </c>
      <c r="AI20">
        <v>465.13307699421961</v>
      </c>
      <c r="AJ20">
        <v>428.9510424242423</v>
      </c>
      <c r="AK20">
        <v>5.0577273436449256E-3</v>
      </c>
      <c r="AL20">
        <v>67.08703807872601</v>
      </c>
      <c r="AM20">
        <f t="shared" si="26"/>
        <v>1.8255467556221081</v>
      </c>
      <c r="AN20">
        <v>18.552129006619872</v>
      </c>
      <c r="AO20">
        <v>20.732992121212131</v>
      </c>
      <c r="AP20">
        <v>-5.7170317182683016E-3</v>
      </c>
      <c r="AQ20">
        <v>78.234323556849006</v>
      </c>
      <c r="AR20">
        <v>0</v>
      </c>
      <c r="AS20">
        <v>0</v>
      </c>
      <c r="AT20">
        <f t="shared" si="27"/>
        <v>1</v>
      </c>
      <c r="AU20">
        <f t="shared" si="28"/>
        <v>0</v>
      </c>
      <c r="AV20">
        <f t="shared" si="29"/>
        <v>52371.324642161751</v>
      </c>
      <c r="AW20" t="s">
        <v>946</v>
      </c>
      <c r="AX20">
        <v>5143.8100000000004</v>
      </c>
      <c r="AY20">
        <v>572.13529411764716</v>
      </c>
      <c r="AZ20">
        <v>2278.5700000000002</v>
      </c>
      <c r="BA20">
        <f t="shared" si="30"/>
        <v>0.74890598308691536</v>
      </c>
      <c r="BB20">
        <v>-3.4090879133521459</v>
      </c>
      <c r="BC20" t="s">
        <v>962</v>
      </c>
      <c r="BD20">
        <v>5152.46</v>
      </c>
      <c r="BE20">
        <v>784.4791764705883</v>
      </c>
      <c r="BF20">
        <v>975.46</v>
      </c>
      <c r="BG20">
        <f t="shared" si="31"/>
        <v>0.19578539717611354</v>
      </c>
      <c r="BH20">
        <v>0.5</v>
      </c>
      <c r="BI20">
        <f t="shared" si="32"/>
        <v>1176.2879513888902</v>
      </c>
      <c r="BJ20">
        <f t="shared" si="33"/>
        <v>29.607400219236364</v>
      </c>
      <c r="BK20">
        <f t="shared" si="34"/>
        <v>115.1500018780754</v>
      </c>
      <c r="BL20">
        <f t="shared" si="35"/>
        <v>2.8068372283848207E-2</v>
      </c>
      <c r="BM20">
        <f t="shared" si="36"/>
        <v>1.3358928095462654</v>
      </c>
      <c r="BN20">
        <f t="shared" si="37"/>
        <v>428.42626274985071</v>
      </c>
      <c r="BO20" t="s">
        <v>408</v>
      </c>
      <c r="BP20">
        <v>0</v>
      </c>
      <c r="BQ20">
        <f t="shared" si="38"/>
        <v>428.42626274985071</v>
      </c>
      <c r="BR20">
        <f t="shared" si="39"/>
        <v>0.56079566281564519</v>
      </c>
      <c r="BS20">
        <f t="shared" si="40"/>
        <v>0.34912074068674748</v>
      </c>
      <c r="BT20">
        <f t="shared" si="41"/>
        <v>0.70432906036630416</v>
      </c>
      <c r="BU20">
        <f t="shared" si="42"/>
        <v>0.4735163027308314</v>
      </c>
      <c r="BV20">
        <f t="shared" si="43"/>
        <v>0.76364480604383622</v>
      </c>
      <c r="BW20">
        <f t="shared" si="44"/>
        <v>0.19066470936018623</v>
      </c>
      <c r="BX20">
        <f t="shared" si="45"/>
        <v>0.8093352906398138</v>
      </c>
      <c r="DG20">
        <f t="shared" si="46"/>
        <v>1399.9938709677419</v>
      </c>
      <c r="DH20">
        <f t="shared" si="47"/>
        <v>1176.2879513888902</v>
      </c>
      <c r="DI20">
        <f t="shared" si="48"/>
        <v>0.84020935789939166</v>
      </c>
      <c r="DJ20">
        <f t="shared" si="49"/>
        <v>0.16000406074582596</v>
      </c>
      <c r="DK20">
        <v>6</v>
      </c>
      <c r="DL20">
        <v>0.5</v>
      </c>
      <c r="DM20" t="s">
        <v>409</v>
      </c>
      <c r="DN20">
        <v>2</v>
      </c>
      <c r="DO20" t="b">
        <v>0</v>
      </c>
      <c r="DP20">
        <v>1784743139.5</v>
      </c>
      <c r="DQ20">
        <v>419.99790322580651</v>
      </c>
      <c r="DR20">
        <v>456.48193548387093</v>
      </c>
      <c r="DS20">
        <v>20.773393548387091</v>
      </c>
      <c r="DT20">
        <v>18.551616129032261</v>
      </c>
      <c r="DU20">
        <v>427.25264516129027</v>
      </c>
      <c r="DV20">
        <v>21.611480645161301</v>
      </c>
      <c r="DW20">
        <v>499.96883870967753</v>
      </c>
      <c r="DX20">
        <v>98.26259032258065</v>
      </c>
      <c r="DY20">
        <v>4.9099783870967743E-2</v>
      </c>
      <c r="DZ20">
        <v>24.750183870967739</v>
      </c>
      <c r="EA20">
        <v>25.014458064516131</v>
      </c>
      <c r="EB20">
        <v>999.90000000000032</v>
      </c>
      <c r="EC20">
        <v>0</v>
      </c>
      <c r="ED20">
        <v>0</v>
      </c>
      <c r="EE20">
        <v>10004.032258064521</v>
      </c>
      <c r="EF20">
        <v>0</v>
      </c>
      <c r="EG20">
        <v>504.05403225806452</v>
      </c>
      <c r="EH20">
        <v>-36.483970967741932</v>
      </c>
      <c r="EI20">
        <v>428.90793548387092</v>
      </c>
      <c r="EJ20">
        <v>465.11045161290332</v>
      </c>
      <c r="EK20">
        <v>2.2217767741935481</v>
      </c>
      <c r="EL20">
        <v>456.48193548387093</v>
      </c>
      <c r="EM20">
        <v>18.551616129032261</v>
      </c>
      <c r="EN20">
        <v>2.0412470967741938</v>
      </c>
      <c r="EO20">
        <v>1.8229299999999999</v>
      </c>
      <c r="EP20">
        <v>17.767954838709681</v>
      </c>
      <c r="EQ20">
        <v>15.984819354838709</v>
      </c>
      <c r="ER20">
        <v>1399.9938709677419</v>
      </c>
      <c r="ES20">
        <v>0.99299848387096779</v>
      </c>
      <c r="ET20">
        <v>7.0016612903225804E-3</v>
      </c>
      <c r="EU20">
        <v>0</v>
      </c>
      <c r="EV20">
        <v>784.56474193548388</v>
      </c>
      <c r="EW20">
        <v>5.0010700000000003</v>
      </c>
      <c r="EX20">
        <v>14100.72580645161</v>
      </c>
      <c r="EY20">
        <v>12745.45483870968</v>
      </c>
      <c r="EZ20">
        <v>39.686999999999983</v>
      </c>
      <c r="FA20">
        <v>41.936999999999983</v>
      </c>
      <c r="FB20">
        <v>40.811999999999983</v>
      </c>
      <c r="FC20">
        <v>41.436999999999983</v>
      </c>
      <c r="FD20">
        <v>41</v>
      </c>
      <c r="FE20">
        <v>1385.223870967742</v>
      </c>
      <c r="FF20">
        <v>9.7699999999999978</v>
      </c>
      <c r="FG20">
        <v>0</v>
      </c>
      <c r="FH20">
        <v>181.5999999046326</v>
      </c>
      <c r="FI20">
        <v>0</v>
      </c>
      <c r="FJ20">
        <v>784.4791764705883</v>
      </c>
      <c r="FK20">
        <v>-1.5696078485760421</v>
      </c>
      <c r="FL20">
        <v>20.882353511581979</v>
      </c>
      <c r="FM20">
        <v>14095.6</v>
      </c>
      <c r="FN20">
        <v>10</v>
      </c>
      <c r="FO20">
        <v>1784743093</v>
      </c>
      <c r="FP20" t="s">
        <v>963</v>
      </c>
      <c r="FQ20">
        <v>1784743093</v>
      </c>
      <c r="FR20">
        <v>1784743093</v>
      </c>
      <c r="FS20">
        <v>43</v>
      </c>
      <c r="FT20">
        <v>-2.5000000000000001E-2</v>
      </c>
      <c r="FU20">
        <v>-2E-3</v>
      </c>
      <c r="FV20">
        <v>-7.3920000000000003</v>
      </c>
      <c r="FW20">
        <v>-0.89100000000000001</v>
      </c>
      <c r="FX20">
        <v>457</v>
      </c>
      <c r="FY20">
        <v>19</v>
      </c>
      <c r="FZ20">
        <v>0.32</v>
      </c>
      <c r="GA20">
        <v>0.14000000000000001</v>
      </c>
      <c r="GB20">
        <v>419.99332258064521</v>
      </c>
      <c r="GC20">
        <v>0.18556451612802541</v>
      </c>
      <c r="GD20">
        <v>5.9577754614898351E-2</v>
      </c>
      <c r="GE20">
        <v>-1</v>
      </c>
      <c r="GF20">
        <v>784.63908823529414</v>
      </c>
      <c r="GG20">
        <v>-1.693032850830829</v>
      </c>
      <c r="GH20">
        <v>0.26680653573075741</v>
      </c>
      <c r="GI20">
        <v>1</v>
      </c>
      <c r="GJ20">
        <v>2.233166829268292</v>
      </c>
      <c r="GK20">
        <v>-0.25107386759581701</v>
      </c>
      <c r="GL20">
        <v>2.782624085625587E-2</v>
      </c>
      <c r="GM20">
        <v>1</v>
      </c>
      <c r="GN20">
        <v>2</v>
      </c>
      <c r="GO20">
        <v>2</v>
      </c>
      <c r="GP20" t="s">
        <v>424</v>
      </c>
      <c r="GQ20">
        <v>3.1305700000000001</v>
      </c>
      <c r="GR20">
        <v>2.7239499999999999</v>
      </c>
      <c r="GS20">
        <v>9.2412499999999995E-2</v>
      </c>
      <c r="GT20">
        <v>9.78879E-2</v>
      </c>
      <c r="GU20">
        <v>0.104531</v>
      </c>
      <c r="GV20">
        <v>9.4253500000000004E-2</v>
      </c>
      <c r="GW20">
        <v>22766.9</v>
      </c>
      <c r="GX20">
        <v>30391.4</v>
      </c>
      <c r="GY20">
        <v>27204.6</v>
      </c>
      <c r="GZ20">
        <v>34633.1</v>
      </c>
      <c r="HA20">
        <v>35683.199999999997</v>
      </c>
      <c r="HB20">
        <v>39569.1</v>
      </c>
      <c r="HC20">
        <v>40182.699999999997</v>
      </c>
      <c r="HD20">
        <v>43768.800000000003</v>
      </c>
      <c r="HE20">
        <v>1.9807999999999999</v>
      </c>
      <c r="HF20">
        <v>1.796</v>
      </c>
      <c r="HG20">
        <v>-6.3777E-2</v>
      </c>
      <c r="HH20">
        <v>0</v>
      </c>
      <c r="HI20">
        <v>26.0549</v>
      </c>
      <c r="HJ20">
        <v>999.9</v>
      </c>
      <c r="HK20">
        <v>37.200000000000003</v>
      </c>
      <c r="HL20">
        <v>38.9</v>
      </c>
      <c r="HM20">
        <v>26.458600000000001</v>
      </c>
      <c r="HN20">
        <v>61.0336</v>
      </c>
      <c r="HO20">
        <v>6.0296500000000002</v>
      </c>
      <c r="HP20">
        <v>1</v>
      </c>
      <c r="HQ20">
        <v>0.42438999999999999</v>
      </c>
      <c r="HR20">
        <v>5.2428499999999998</v>
      </c>
      <c r="HS20">
        <v>20.1616</v>
      </c>
      <c r="HT20">
        <v>5.2100999999999997</v>
      </c>
      <c r="HU20">
        <v>11.908099999999999</v>
      </c>
      <c r="HV20">
        <v>4.9836</v>
      </c>
      <c r="HW20">
        <v>3.2709999999999999</v>
      </c>
      <c r="HX20">
        <v>9999</v>
      </c>
      <c r="HY20">
        <v>9999</v>
      </c>
      <c r="HZ20">
        <v>9999</v>
      </c>
      <c r="IA20">
        <v>999.9</v>
      </c>
      <c r="IB20">
        <v>1.86768</v>
      </c>
      <c r="IC20">
        <v>1.8633999999999999</v>
      </c>
      <c r="ID20">
        <v>1.8628199999999999</v>
      </c>
      <c r="IE20">
        <v>1.8623400000000001</v>
      </c>
      <c r="IF20">
        <v>1.8624000000000001</v>
      </c>
      <c r="IG20">
        <v>1.8629500000000001</v>
      </c>
      <c r="IH20">
        <v>1.8638600000000001</v>
      </c>
      <c r="II20">
        <v>1.86188</v>
      </c>
      <c r="IJ20">
        <v>0</v>
      </c>
      <c r="IK20">
        <v>0</v>
      </c>
      <c r="IL20">
        <v>0</v>
      </c>
      <c r="IM20">
        <v>4.5</v>
      </c>
      <c r="IN20" t="s">
        <v>412</v>
      </c>
      <c r="IO20" t="s">
        <v>413</v>
      </c>
      <c r="IP20" t="s">
        <v>414</v>
      </c>
      <c r="IQ20" t="s">
        <v>415</v>
      </c>
      <c r="IR20" t="s">
        <v>415</v>
      </c>
      <c r="IS20" t="s">
        <v>414</v>
      </c>
      <c r="IT20">
        <v>0</v>
      </c>
      <c r="IU20">
        <v>100</v>
      </c>
      <c r="IV20">
        <v>100</v>
      </c>
      <c r="IW20">
        <v>-7.2539999999999996</v>
      </c>
      <c r="IX20">
        <v>-0.83919999999999995</v>
      </c>
      <c r="IY20">
        <v>-5.2622021592391857</v>
      </c>
      <c r="IZ20">
        <v>-5.6215304933332991E-3</v>
      </c>
      <c r="JA20">
        <v>2.3979931213773931E-6</v>
      </c>
      <c r="JB20">
        <v>-3.6297174575716598E-10</v>
      </c>
      <c r="JC20">
        <v>-1.1658700052542239</v>
      </c>
      <c r="JD20">
        <v>2.7492919904454862E-4</v>
      </c>
      <c r="JE20">
        <v>8.6739513355948885E-4</v>
      </c>
      <c r="JF20">
        <v>-8.2500691715147318E-6</v>
      </c>
      <c r="JG20">
        <v>17</v>
      </c>
      <c r="JH20">
        <v>1914</v>
      </c>
      <c r="JI20">
        <v>2</v>
      </c>
      <c r="JJ20">
        <v>37</v>
      </c>
      <c r="JK20">
        <v>0.9</v>
      </c>
      <c r="JL20">
        <v>0.9</v>
      </c>
      <c r="JM20">
        <v>1.1731</v>
      </c>
      <c r="JN20">
        <v>2.5378400000000001</v>
      </c>
      <c r="JO20">
        <v>1.50024</v>
      </c>
      <c r="JP20">
        <v>2.2705099999999998</v>
      </c>
      <c r="JQ20">
        <v>1.4477500000000001</v>
      </c>
      <c r="JR20">
        <v>2.5</v>
      </c>
      <c r="JS20">
        <v>44.195399999999999</v>
      </c>
      <c r="JT20">
        <v>23.868600000000001</v>
      </c>
      <c r="JU20">
        <v>18</v>
      </c>
      <c r="JV20">
        <v>540.15499999999997</v>
      </c>
      <c r="JW20">
        <v>435.04399999999998</v>
      </c>
      <c r="JX20">
        <v>20.520600000000002</v>
      </c>
      <c r="JY20">
        <v>32.3795</v>
      </c>
      <c r="JZ20">
        <v>30.000599999999999</v>
      </c>
      <c r="KA20">
        <v>32.629199999999997</v>
      </c>
      <c r="KB20">
        <v>32.542099999999998</v>
      </c>
      <c r="KC20">
        <v>23.463200000000001</v>
      </c>
      <c r="KD20">
        <v>34.000500000000002</v>
      </c>
      <c r="KE20">
        <v>0</v>
      </c>
      <c r="KF20">
        <v>20.5105</v>
      </c>
      <c r="KG20">
        <v>456.41800000000001</v>
      </c>
      <c r="KH20">
        <v>18.579899999999999</v>
      </c>
      <c r="KI20">
        <v>100.417</v>
      </c>
      <c r="KJ20">
        <v>98.646199999999993</v>
      </c>
    </row>
    <row r="21" spans="1:296" x14ac:dyDescent="0.3">
      <c r="A21">
        <v>5</v>
      </c>
      <c r="B21">
        <v>1784743330</v>
      </c>
      <c r="C21">
        <v>730</v>
      </c>
      <c r="D21" t="s">
        <v>964</v>
      </c>
      <c r="E21" t="s">
        <v>965</v>
      </c>
      <c r="F21">
        <v>15</v>
      </c>
      <c r="H21">
        <v>1784743322.25</v>
      </c>
      <c r="I21">
        <f t="shared" si="0"/>
        <v>1.9985810912869261E-3</v>
      </c>
      <c r="J21">
        <f t="shared" si="1"/>
        <v>1.9985810912869262</v>
      </c>
      <c r="K21">
        <f t="shared" si="2"/>
        <v>29.112709191612144</v>
      </c>
      <c r="L21">
        <f t="shared" si="3"/>
        <v>420.00663333333341</v>
      </c>
      <c r="M21">
        <f t="shared" si="4"/>
        <v>141.48870105757226</v>
      </c>
      <c r="N21">
        <f t="shared" si="5"/>
        <v>13.909457691116817</v>
      </c>
      <c r="O21">
        <f t="shared" si="6"/>
        <v>41.289971938898908</v>
      </c>
      <c r="P21">
        <f t="shared" si="7"/>
        <v>0.1753618569056288</v>
      </c>
      <c r="Q21">
        <f t="shared" si="8"/>
        <v>2.8985202849484346</v>
      </c>
      <c r="R21">
        <f t="shared" si="9"/>
        <v>0.16967381966524631</v>
      </c>
      <c r="S21">
        <f t="shared" si="10"/>
        <v>0.10654181556005449</v>
      </c>
      <c r="T21">
        <f t="shared" si="11"/>
        <v>160.1762269932137</v>
      </c>
      <c r="U21">
        <f t="shared" si="12"/>
        <v>25.107854234890603</v>
      </c>
      <c r="V21">
        <f t="shared" si="13"/>
        <v>24.986249999999998</v>
      </c>
      <c r="W21">
        <f t="shared" si="14"/>
        <v>3.1770719429675505</v>
      </c>
      <c r="X21">
        <f t="shared" si="15"/>
        <v>65.719201133055606</v>
      </c>
      <c r="Y21">
        <f t="shared" si="16"/>
        <v>2.0498911892830951</v>
      </c>
      <c r="Z21">
        <f t="shared" si="17"/>
        <v>3.1191663226898778</v>
      </c>
      <c r="AA21">
        <f t="shared" si="18"/>
        <v>1.1271807536844554</v>
      </c>
      <c r="AB21">
        <f t="shared" si="19"/>
        <v>-88.137426125753436</v>
      </c>
      <c r="AC21">
        <f t="shared" si="20"/>
        <v>-48.151504989043133</v>
      </c>
      <c r="AD21">
        <f t="shared" si="21"/>
        <v>-3.5080009853318423</v>
      </c>
      <c r="AE21">
        <f t="shared" si="22"/>
        <v>20.379294893085287</v>
      </c>
      <c r="AF21">
        <f t="shared" si="23"/>
        <v>29.112709191612144</v>
      </c>
      <c r="AG21">
        <f t="shared" si="24"/>
        <v>1.9985810912869262</v>
      </c>
      <c r="AH21">
        <f t="shared" si="25"/>
        <v>29.240103148885073</v>
      </c>
      <c r="AI21">
        <v>464.47646098030322</v>
      </c>
      <c r="AJ21">
        <v>428.86726666666641</v>
      </c>
      <c r="AK21">
        <v>-2.6321775896468381E-2</v>
      </c>
      <c r="AL21">
        <v>67.084377917297687</v>
      </c>
      <c r="AM21">
        <f t="shared" si="26"/>
        <v>1.9125730535333489</v>
      </c>
      <c r="AN21">
        <v>18.479069871752181</v>
      </c>
      <c r="AO21">
        <v>20.78078363636364</v>
      </c>
      <c r="AP21">
        <v>-8.7524255284558185E-3</v>
      </c>
      <c r="AQ21">
        <v>78.226401330763792</v>
      </c>
      <c r="AR21">
        <v>0</v>
      </c>
      <c r="AS21">
        <v>0</v>
      </c>
      <c r="AT21">
        <f t="shared" si="27"/>
        <v>1</v>
      </c>
      <c r="AU21">
        <f t="shared" si="28"/>
        <v>0</v>
      </c>
      <c r="AV21">
        <f t="shared" si="29"/>
        <v>52352.975308560563</v>
      </c>
      <c r="AW21" t="s">
        <v>946</v>
      </c>
      <c r="AX21">
        <v>5143.8100000000004</v>
      </c>
      <c r="AY21">
        <v>572.13529411764716</v>
      </c>
      <c r="AZ21">
        <v>2278.5700000000002</v>
      </c>
      <c r="BA21">
        <f t="shared" si="30"/>
        <v>0.74890598308691536</v>
      </c>
      <c r="BB21">
        <v>-3.4090879133521459</v>
      </c>
      <c r="BC21" t="s">
        <v>966</v>
      </c>
      <c r="BD21">
        <v>5155.54</v>
      </c>
      <c r="BE21">
        <v>792.52411764705892</v>
      </c>
      <c r="BF21">
        <v>1116.75</v>
      </c>
      <c r="BG21">
        <f t="shared" si="31"/>
        <v>0.29032987002725863</v>
      </c>
      <c r="BH21">
        <v>0.5</v>
      </c>
      <c r="BI21">
        <f t="shared" si="32"/>
        <v>840.29914380995558</v>
      </c>
      <c r="BJ21">
        <f t="shared" si="33"/>
        <v>29.112709191612144</v>
      </c>
      <c r="BK21">
        <f t="shared" si="34"/>
        <v>121.98197060318056</v>
      </c>
      <c r="BL21">
        <f t="shared" si="35"/>
        <v>3.8702642201334334E-2</v>
      </c>
      <c r="BM21">
        <f t="shared" si="36"/>
        <v>1.0403581822252073</v>
      </c>
      <c r="BN21">
        <f t="shared" si="37"/>
        <v>453.63362009226074</v>
      </c>
      <c r="BO21" t="s">
        <v>408</v>
      </c>
      <c r="BP21">
        <v>0</v>
      </c>
      <c r="BQ21">
        <f t="shared" si="38"/>
        <v>453.63362009226074</v>
      </c>
      <c r="BR21">
        <f t="shared" si="39"/>
        <v>0.59379125131653399</v>
      </c>
      <c r="BS21">
        <f t="shared" si="40"/>
        <v>0.48894265347215721</v>
      </c>
      <c r="BT21">
        <f t="shared" si="41"/>
        <v>0.63663589196393611</v>
      </c>
      <c r="BU21">
        <f t="shared" si="42"/>
        <v>0.59533075190771667</v>
      </c>
      <c r="BV21">
        <f t="shared" si="43"/>
        <v>0.68084644316891885</v>
      </c>
      <c r="BW21">
        <f t="shared" si="44"/>
        <v>0.27986634220116791</v>
      </c>
      <c r="BX21">
        <f t="shared" si="45"/>
        <v>0.72013365779883209</v>
      </c>
      <c r="DG21">
        <f t="shared" si="46"/>
        <v>1000.000766666667</v>
      </c>
      <c r="DH21">
        <f t="shared" si="47"/>
        <v>840.29914380995558</v>
      </c>
      <c r="DI21">
        <f t="shared" si="48"/>
        <v>0.84029849958110558</v>
      </c>
      <c r="DJ21">
        <f t="shared" si="49"/>
        <v>0.16017610419153377</v>
      </c>
      <c r="DK21">
        <v>6</v>
      </c>
      <c r="DL21">
        <v>0.5</v>
      </c>
      <c r="DM21" t="s">
        <v>409</v>
      </c>
      <c r="DN21">
        <v>2</v>
      </c>
      <c r="DO21" t="b">
        <v>0</v>
      </c>
      <c r="DP21">
        <v>1784743322.25</v>
      </c>
      <c r="DQ21">
        <v>420.00663333333341</v>
      </c>
      <c r="DR21">
        <v>455.94889999999992</v>
      </c>
      <c r="DS21">
        <v>20.851743333333332</v>
      </c>
      <c r="DT21">
        <v>18.503473333333329</v>
      </c>
      <c r="DU21">
        <v>427.28346666666681</v>
      </c>
      <c r="DV21">
        <v>21.685860000000002</v>
      </c>
      <c r="DW21">
        <v>500.0039666666666</v>
      </c>
      <c r="DX21">
        <v>98.258070000000018</v>
      </c>
      <c r="DY21">
        <v>4.983435666666667E-2</v>
      </c>
      <c r="DZ21">
        <v>24.67811</v>
      </c>
      <c r="EA21">
        <v>24.986249999999998</v>
      </c>
      <c r="EB21">
        <v>999.9000000000002</v>
      </c>
      <c r="EC21">
        <v>0</v>
      </c>
      <c r="ED21">
        <v>0</v>
      </c>
      <c r="EE21">
        <v>9998.3333333333339</v>
      </c>
      <c r="EF21">
        <v>0</v>
      </c>
      <c r="EG21">
        <v>458.40429999999998</v>
      </c>
      <c r="EH21">
        <v>-35.9422</v>
      </c>
      <c r="EI21">
        <v>428.95110000000011</v>
      </c>
      <c r="EJ21">
        <v>464.5445666666667</v>
      </c>
      <c r="EK21">
        <v>2.348276666666667</v>
      </c>
      <c r="EL21">
        <v>455.94889999999992</v>
      </c>
      <c r="EM21">
        <v>18.503473333333329</v>
      </c>
      <c r="EN21">
        <v>2.0488529999999998</v>
      </c>
      <c r="EO21">
        <v>1.8181156666666669</v>
      </c>
      <c r="EP21">
        <v>17.826983333333331</v>
      </c>
      <c r="EQ21">
        <v>15.94337333333333</v>
      </c>
      <c r="ER21">
        <v>1000.000766666667</v>
      </c>
      <c r="ES21">
        <v>0.98999919999999975</v>
      </c>
      <c r="ET21">
        <v>1.0001100000000009E-2</v>
      </c>
      <c r="EU21">
        <v>0</v>
      </c>
      <c r="EV21">
        <v>792.39359999999988</v>
      </c>
      <c r="EW21">
        <v>5.0010700000000003</v>
      </c>
      <c r="EX21">
        <v>10689.33</v>
      </c>
      <c r="EY21">
        <v>9080.2729999999992</v>
      </c>
      <c r="EZ21">
        <v>39.436999999999983</v>
      </c>
      <c r="FA21">
        <v>42.307866666666648</v>
      </c>
      <c r="FB21">
        <v>40.885333333333321</v>
      </c>
      <c r="FC21">
        <v>41.75</v>
      </c>
      <c r="FD21">
        <v>40.926666666666648</v>
      </c>
      <c r="FE21">
        <v>985.05033333333347</v>
      </c>
      <c r="FF21">
        <v>9.9499999999999975</v>
      </c>
      <c r="FG21">
        <v>0</v>
      </c>
      <c r="FH21">
        <v>182</v>
      </c>
      <c r="FI21">
        <v>0</v>
      </c>
      <c r="FJ21">
        <v>792.52411764705892</v>
      </c>
      <c r="FK21">
        <v>1.4980392017709261</v>
      </c>
      <c r="FL21">
        <v>61.617647169853029</v>
      </c>
      <c r="FM21">
        <v>10714.088235294121</v>
      </c>
      <c r="FN21">
        <v>10</v>
      </c>
      <c r="FO21">
        <v>1784743241</v>
      </c>
      <c r="FP21" t="s">
        <v>967</v>
      </c>
      <c r="FQ21">
        <v>1784743241</v>
      </c>
      <c r="FR21">
        <v>1784743234</v>
      </c>
      <c r="FS21">
        <v>44</v>
      </c>
      <c r="FT21">
        <v>-2.1999999999999999E-2</v>
      </c>
      <c r="FU21">
        <v>2E-3</v>
      </c>
      <c r="FV21">
        <v>-7.4059999999999997</v>
      </c>
      <c r="FW21">
        <v>-0.89300000000000002</v>
      </c>
      <c r="FX21">
        <v>455</v>
      </c>
      <c r="FY21">
        <v>18</v>
      </c>
      <c r="FZ21">
        <v>0.3</v>
      </c>
      <c r="GA21">
        <v>0.09</v>
      </c>
      <c r="GB21">
        <v>420.00726666666668</v>
      </c>
      <c r="GC21">
        <v>0.12419132369220599</v>
      </c>
      <c r="GD21">
        <v>5.780884207647069E-2</v>
      </c>
      <c r="GE21">
        <v>-1</v>
      </c>
      <c r="GF21">
        <v>792.32949999999994</v>
      </c>
      <c r="GG21">
        <v>1.727196329570456</v>
      </c>
      <c r="GH21">
        <v>0.32623865767978127</v>
      </c>
      <c r="GI21">
        <v>1</v>
      </c>
      <c r="GJ21">
        <v>2.3444495000000001</v>
      </c>
      <c r="GK21">
        <v>3.8206378986891869E-3</v>
      </c>
      <c r="GL21">
        <v>2.6019687060954449E-2</v>
      </c>
      <c r="GM21">
        <v>1</v>
      </c>
      <c r="GN21">
        <v>2</v>
      </c>
      <c r="GO21">
        <v>2</v>
      </c>
      <c r="GP21" t="s">
        <v>424</v>
      </c>
      <c r="GQ21">
        <v>3.1305399999999999</v>
      </c>
      <c r="GR21">
        <v>2.7267700000000001</v>
      </c>
      <c r="GS21">
        <v>9.23427E-2</v>
      </c>
      <c r="GT21">
        <v>9.7713999999999995E-2</v>
      </c>
      <c r="GU21">
        <v>0.104584</v>
      </c>
      <c r="GV21">
        <v>9.3900499999999998E-2</v>
      </c>
      <c r="GW21">
        <v>22754.1</v>
      </c>
      <c r="GX21">
        <v>30377.599999999999</v>
      </c>
      <c r="GY21">
        <v>27189.1</v>
      </c>
      <c r="GZ21">
        <v>34613.300000000003</v>
      </c>
      <c r="HA21">
        <v>35662.9</v>
      </c>
      <c r="HB21">
        <v>39565.4</v>
      </c>
      <c r="HC21">
        <v>40160.800000000003</v>
      </c>
      <c r="HD21">
        <v>43747</v>
      </c>
      <c r="HE21">
        <v>1.9770000000000001</v>
      </c>
      <c r="HF21">
        <v>1.7886</v>
      </c>
      <c r="HG21">
        <v>-9.40859E-2</v>
      </c>
      <c r="HH21">
        <v>0</v>
      </c>
      <c r="HI21">
        <v>26.5214</v>
      </c>
      <c r="HJ21">
        <v>999.9</v>
      </c>
      <c r="HK21">
        <v>36.9</v>
      </c>
      <c r="HL21">
        <v>39.200000000000003</v>
      </c>
      <c r="HM21">
        <v>26.670999999999999</v>
      </c>
      <c r="HN21">
        <v>61.063600000000001</v>
      </c>
      <c r="HO21">
        <v>5.9054500000000001</v>
      </c>
      <c r="HP21">
        <v>1</v>
      </c>
      <c r="HQ21">
        <v>0.45817099999999999</v>
      </c>
      <c r="HR21">
        <v>5.4967499999999996</v>
      </c>
      <c r="HS21">
        <v>20.156400000000001</v>
      </c>
      <c r="HT21">
        <v>5.2112999999999996</v>
      </c>
      <c r="HU21">
        <v>11.908099999999999</v>
      </c>
      <c r="HV21">
        <v>4.9851999999999999</v>
      </c>
      <c r="HW21">
        <v>3.2709999999999999</v>
      </c>
      <c r="HX21">
        <v>9999</v>
      </c>
      <c r="HY21">
        <v>9999</v>
      </c>
      <c r="HZ21">
        <v>9999</v>
      </c>
      <c r="IA21">
        <v>999.9</v>
      </c>
      <c r="IB21">
        <v>1.86771</v>
      </c>
      <c r="IC21">
        <v>1.8633999999999999</v>
      </c>
      <c r="ID21">
        <v>1.8629199999999999</v>
      </c>
      <c r="IE21">
        <v>1.8623700000000001</v>
      </c>
      <c r="IF21">
        <v>1.8624000000000001</v>
      </c>
      <c r="IG21">
        <v>1.8629500000000001</v>
      </c>
      <c r="IH21">
        <v>1.8638600000000001</v>
      </c>
      <c r="II21">
        <v>1.86188</v>
      </c>
      <c r="IJ21">
        <v>0</v>
      </c>
      <c r="IK21">
        <v>0</v>
      </c>
      <c r="IL21">
        <v>0</v>
      </c>
      <c r="IM21">
        <v>4.5</v>
      </c>
      <c r="IN21" t="s">
        <v>412</v>
      </c>
      <c r="IO21" t="s">
        <v>413</v>
      </c>
      <c r="IP21" t="s">
        <v>414</v>
      </c>
      <c r="IQ21" t="s">
        <v>415</v>
      </c>
      <c r="IR21" t="s">
        <v>415</v>
      </c>
      <c r="IS21" t="s">
        <v>414</v>
      </c>
      <c r="IT21">
        <v>0</v>
      </c>
      <c r="IU21">
        <v>100</v>
      </c>
      <c r="IV21">
        <v>100</v>
      </c>
      <c r="IW21">
        <v>-7.2770000000000001</v>
      </c>
      <c r="IX21">
        <v>-0.83609999999999995</v>
      </c>
      <c r="IY21">
        <v>-5.2842098832772066</v>
      </c>
      <c r="IZ21">
        <v>-5.6215304933332991E-3</v>
      </c>
      <c r="JA21">
        <v>2.3979931213773931E-6</v>
      </c>
      <c r="JB21">
        <v>-3.6297174575716598E-10</v>
      </c>
      <c r="JC21">
        <v>-1.1638503480325111</v>
      </c>
      <c r="JD21">
        <v>2.7492919904454862E-4</v>
      </c>
      <c r="JE21">
        <v>8.6739513355948885E-4</v>
      </c>
      <c r="JF21">
        <v>-8.2500691715147318E-6</v>
      </c>
      <c r="JG21">
        <v>17</v>
      </c>
      <c r="JH21">
        <v>1914</v>
      </c>
      <c r="JI21">
        <v>2</v>
      </c>
      <c r="JJ21">
        <v>37</v>
      </c>
      <c r="JK21">
        <v>1.5</v>
      </c>
      <c r="JL21">
        <v>1.6</v>
      </c>
      <c r="JM21">
        <v>1.17065</v>
      </c>
      <c r="JN21">
        <v>2.5451700000000002</v>
      </c>
      <c r="JO21">
        <v>1.50024</v>
      </c>
      <c r="JP21">
        <v>2.2705099999999998</v>
      </c>
      <c r="JQ21">
        <v>1.4477500000000001</v>
      </c>
      <c r="JR21">
        <v>2.3742700000000001</v>
      </c>
      <c r="JS21">
        <v>44.809600000000003</v>
      </c>
      <c r="JT21">
        <v>23.8598</v>
      </c>
      <c r="JU21">
        <v>18</v>
      </c>
      <c r="JV21">
        <v>540.26400000000001</v>
      </c>
      <c r="JW21">
        <v>432.65300000000002</v>
      </c>
      <c r="JX21">
        <v>20.465699999999998</v>
      </c>
      <c r="JY21">
        <v>32.756100000000004</v>
      </c>
      <c r="JZ21">
        <v>30.001300000000001</v>
      </c>
      <c r="KA21">
        <v>32.940300000000001</v>
      </c>
      <c r="KB21">
        <v>32.854300000000002</v>
      </c>
      <c r="KC21">
        <v>23.424600000000002</v>
      </c>
      <c r="KD21">
        <v>34.731699999999996</v>
      </c>
      <c r="KE21">
        <v>0</v>
      </c>
      <c r="KF21">
        <v>20.475899999999999</v>
      </c>
      <c r="KG21">
        <v>455.96300000000002</v>
      </c>
      <c r="KH21">
        <v>18.4541</v>
      </c>
      <c r="KI21">
        <v>100.36199999999999</v>
      </c>
      <c r="KJ21">
        <v>98.593999999999994</v>
      </c>
    </row>
    <row r="22" spans="1:296" x14ac:dyDescent="0.3">
      <c r="A22">
        <v>6</v>
      </c>
      <c r="B22">
        <v>1784743512.5</v>
      </c>
      <c r="C22">
        <v>912.5</v>
      </c>
      <c r="D22" t="s">
        <v>968</v>
      </c>
      <c r="E22" t="s">
        <v>969</v>
      </c>
      <c r="F22">
        <v>15</v>
      </c>
      <c r="H22">
        <v>1784743504.75</v>
      </c>
      <c r="I22">
        <f t="shared" si="0"/>
        <v>1.3387483466296753E-3</v>
      </c>
      <c r="J22">
        <f t="shared" si="1"/>
        <v>1.3387483466296752</v>
      </c>
      <c r="K22">
        <f t="shared" si="2"/>
        <v>23.567287634798774</v>
      </c>
      <c r="L22">
        <f t="shared" si="3"/>
        <v>420.44856666666669</v>
      </c>
      <c r="M22">
        <f t="shared" si="4"/>
        <v>78.327260951215763</v>
      </c>
      <c r="N22">
        <f t="shared" si="5"/>
        <v>7.6999548153687973</v>
      </c>
      <c r="O22">
        <f t="shared" si="6"/>
        <v>41.33216106632743</v>
      </c>
      <c r="P22">
        <f t="shared" si="7"/>
        <v>0.11386454678391558</v>
      </c>
      <c r="Q22">
        <f t="shared" si="8"/>
        <v>2.8982557767750183</v>
      </c>
      <c r="R22">
        <f t="shared" si="9"/>
        <v>0.1114364793665184</v>
      </c>
      <c r="S22">
        <f t="shared" si="10"/>
        <v>6.98616394033027E-2</v>
      </c>
      <c r="T22">
        <f t="shared" si="11"/>
        <v>128.27819517089242</v>
      </c>
      <c r="U22">
        <f t="shared" si="12"/>
        <v>25.142425162992389</v>
      </c>
      <c r="V22">
        <f t="shared" si="13"/>
        <v>24.979556666666671</v>
      </c>
      <c r="W22">
        <f t="shared" si="14"/>
        <v>3.1758042209655759</v>
      </c>
      <c r="X22">
        <f t="shared" si="15"/>
        <v>64.756539553927311</v>
      </c>
      <c r="Y22">
        <f t="shared" si="16"/>
        <v>2.0260590776860408</v>
      </c>
      <c r="Z22">
        <f t="shared" si="17"/>
        <v>3.1287327760909758</v>
      </c>
      <c r="AA22">
        <f t="shared" si="18"/>
        <v>1.1497451432795351</v>
      </c>
      <c r="AB22">
        <f t="shared" si="19"/>
        <v>-59.038802086368683</v>
      </c>
      <c r="AC22">
        <f t="shared" si="20"/>
        <v>-39.093420676577097</v>
      </c>
      <c r="AD22">
        <f t="shared" si="21"/>
        <v>-2.8489876219498598</v>
      </c>
      <c r="AE22">
        <f t="shared" si="22"/>
        <v>27.296984785996784</v>
      </c>
      <c r="AF22">
        <f t="shared" si="23"/>
        <v>23.567287634798774</v>
      </c>
      <c r="AG22">
        <f t="shared" si="24"/>
        <v>1.3387483466296752</v>
      </c>
      <c r="AH22">
        <f t="shared" si="25"/>
        <v>23.480403479763428</v>
      </c>
      <c r="AI22">
        <v>457.99804036413548</v>
      </c>
      <c r="AJ22">
        <v>429.28673939393929</v>
      </c>
      <c r="AK22">
        <v>-3.0317153905447588E-3</v>
      </c>
      <c r="AL22">
        <v>67.084377917297687</v>
      </c>
      <c r="AM22">
        <f t="shared" si="26"/>
        <v>1.3836175068950267</v>
      </c>
      <c r="AN22">
        <v>19.037691140812822</v>
      </c>
      <c r="AO22">
        <v>20.664310909090901</v>
      </c>
      <c r="AP22">
        <v>-5.6770454108777003E-5</v>
      </c>
      <c r="AQ22">
        <v>78.226401330763792</v>
      </c>
      <c r="AR22">
        <v>0</v>
      </c>
      <c r="AS22">
        <v>0</v>
      </c>
      <c r="AT22">
        <f t="shared" si="27"/>
        <v>1</v>
      </c>
      <c r="AU22">
        <f t="shared" si="28"/>
        <v>0</v>
      </c>
      <c r="AV22">
        <f t="shared" si="29"/>
        <v>52336.274377283393</v>
      </c>
      <c r="AW22" t="s">
        <v>946</v>
      </c>
      <c r="AX22">
        <v>5143.8100000000004</v>
      </c>
      <c r="AY22">
        <v>572.13529411764716</v>
      </c>
      <c r="AZ22">
        <v>2278.5700000000002</v>
      </c>
      <c r="BA22">
        <f t="shared" si="30"/>
        <v>0.74890598308691536</v>
      </c>
      <c r="BB22">
        <v>-3.4090879133521459</v>
      </c>
      <c r="BC22" t="s">
        <v>970</v>
      </c>
      <c r="BD22">
        <v>5157.46</v>
      </c>
      <c r="BE22">
        <v>784.25264705882353</v>
      </c>
      <c r="BF22">
        <v>1171.56</v>
      </c>
      <c r="BG22">
        <f t="shared" si="31"/>
        <v>0.33059113740753909</v>
      </c>
      <c r="BH22">
        <v>0.5</v>
      </c>
      <c r="BI22">
        <f t="shared" si="32"/>
        <v>672.31585266885622</v>
      </c>
      <c r="BJ22">
        <f t="shared" si="33"/>
        <v>23.567287634798774</v>
      </c>
      <c r="BK22">
        <f t="shared" si="34"/>
        <v>111.13083121545833</v>
      </c>
      <c r="BL22">
        <f t="shared" si="35"/>
        <v>4.0124556696178211E-2</v>
      </c>
      <c r="BM22">
        <f t="shared" si="36"/>
        <v>0.94490252313155132</v>
      </c>
      <c r="BN22">
        <f t="shared" si="37"/>
        <v>462.42146790944679</v>
      </c>
      <c r="BO22" t="s">
        <v>408</v>
      </c>
      <c r="BP22">
        <v>0</v>
      </c>
      <c r="BQ22">
        <f t="shared" si="38"/>
        <v>462.42146790944679</v>
      </c>
      <c r="BR22">
        <f t="shared" si="39"/>
        <v>0.6052942504784673</v>
      </c>
      <c r="BS22">
        <f t="shared" si="40"/>
        <v>0.5461659963665878</v>
      </c>
      <c r="BT22">
        <f t="shared" si="41"/>
        <v>0.60953714987492258</v>
      </c>
      <c r="BU22">
        <f t="shared" si="42"/>
        <v>0.64613178125693072</v>
      </c>
      <c r="BV22">
        <f t="shared" si="43"/>
        <v>0.64872684327385044</v>
      </c>
      <c r="BW22">
        <f t="shared" si="44"/>
        <v>0.32203765292885234</v>
      </c>
      <c r="BX22">
        <f t="shared" si="45"/>
        <v>0.67796234707114766</v>
      </c>
      <c r="DG22">
        <f t="shared" si="46"/>
        <v>800.00779999999997</v>
      </c>
      <c r="DH22">
        <f t="shared" si="47"/>
        <v>672.31585266885622</v>
      </c>
      <c r="DI22">
        <f t="shared" si="48"/>
        <v>0.84038662206650516</v>
      </c>
      <c r="DJ22">
        <f t="shared" si="49"/>
        <v>0.16034618058835479</v>
      </c>
      <c r="DK22">
        <v>6</v>
      </c>
      <c r="DL22">
        <v>0.5</v>
      </c>
      <c r="DM22" t="s">
        <v>409</v>
      </c>
      <c r="DN22">
        <v>2</v>
      </c>
      <c r="DO22" t="b">
        <v>0</v>
      </c>
      <c r="DP22">
        <v>1784743504.75</v>
      </c>
      <c r="DQ22">
        <v>420.44856666666669</v>
      </c>
      <c r="DR22">
        <v>449.40896666666657</v>
      </c>
      <c r="DS22">
        <v>20.609946666666659</v>
      </c>
      <c r="DT22">
        <v>19.03633</v>
      </c>
      <c r="DU22">
        <v>427.72680000000008</v>
      </c>
      <c r="DV22">
        <v>21.50894666666666</v>
      </c>
      <c r="DW22">
        <v>499.92740000000009</v>
      </c>
      <c r="DX22">
        <v>98.254633333333317</v>
      </c>
      <c r="DY22">
        <v>5.0282756666666657E-2</v>
      </c>
      <c r="DZ22">
        <v>24.72936</v>
      </c>
      <c r="EA22">
        <v>24.979556666666671</v>
      </c>
      <c r="EB22">
        <v>999.9000000000002</v>
      </c>
      <c r="EC22">
        <v>0</v>
      </c>
      <c r="ED22">
        <v>0</v>
      </c>
      <c r="EE22">
        <v>9997.1666666666661</v>
      </c>
      <c r="EF22">
        <v>0</v>
      </c>
      <c r="EG22">
        <v>454.29186666666658</v>
      </c>
      <c r="EH22">
        <v>-28.960576666666672</v>
      </c>
      <c r="EI22">
        <v>429.3225666666666</v>
      </c>
      <c r="EJ22">
        <v>458.13006666666672</v>
      </c>
      <c r="EK22">
        <v>1.6338729999999999</v>
      </c>
      <c r="EL22">
        <v>449.40896666666657</v>
      </c>
      <c r="EM22">
        <v>19.03633</v>
      </c>
      <c r="EN22">
        <v>2.0309416666666671</v>
      </c>
      <c r="EO22">
        <v>1.8704063333333329</v>
      </c>
      <c r="EP22">
        <v>17.687653333333341</v>
      </c>
      <c r="EQ22">
        <v>16.38795</v>
      </c>
      <c r="ER22">
        <v>800.00779999999997</v>
      </c>
      <c r="ES22">
        <v>0.98702879999999993</v>
      </c>
      <c r="ET22">
        <v>1.2971476666666671E-2</v>
      </c>
      <c r="EU22">
        <v>0</v>
      </c>
      <c r="EV22">
        <v>784.58493333333331</v>
      </c>
      <c r="EW22">
        <v>5.0010700000000003</v>
      </c>
      <c r="EX22">
        <v>8751.8646666666664</v>
      </c>
      <c r="EY22">
        <v>7246.7730000000001</v>
      </c>
      <c r="EZ22">
        <v>39.120800000000003</v>
      </c>
      <c r="FA22">
        <v>42.245800000000003</v>
      </c>
      <c r="FB22">
        <v>40.75</v>
      </c>
      <c r="FC22">
        <v>41.75</v>
      </c>
      <c r="FD22">
        <v>40.724799999999988</v>
      </c>
      <c r="FE22">
        <v>784.69499999999982</v>
      </c>
      <c r="FF22">
        <v>10.31</v>
      </c>
      <c r="FG22">
        <v>0</v>
      </c>
      <c r="FH22">
        <v>181.5999999046326</v>
      </c>
      <c r="FI22">
        <v>0</v>
      </c>
      <c r="FJ22">
        <v>784.25264705882353</v>
      </c>
      <c r="FK22">
        <v>-6.489951011629941</v>
      </c>
      <c r="FL22">
        <v>604.65686360781126</v>
      </c>
      <c r="FM22">
        <v>8733.554705882354</v>
      </c>
      <c r="FN22">
        <v>10</v>
      </c>
      <c r="FO22">
        <v>1784743531.5</v>
      </c>
      <c r="FP22" t="s">
        <v>971</v>
      </c>
      <c r="FQ22">
        <v>1784743241</v>
      </c>
      <c r="FR22">
        <v>1784743531.5</v>
      </c>
      <c r="FS22">
        <v>45</v>
      </c>
      <c r="FT22">
        <v>-2.1999999999999999E-2</v>
      </c>
      <c r="FU22">
        <v>-0.02</v>
      </c>
      <c r="FV22">
        <v>-7.4059999999999997</v>
      </c>
      <c r="FW22">
        <v>-0.89900000000000002</v>
      </c>
      <c r="FX22">
        <v>455</v>
      </c>
      <c r="FY22">
        <v>19</v>
      </c>
      <c r="FZ22">
        <v>0.3</v>
      </c>
      <c r="GA22">
        <v>0.12</v>
      </c>
      <c r="GB22">
        <v>420.44890322580648</v>
      </c>
      <c r="GC22">
        <v>-0.42793548387091829</v>
      </c>
      <c r="GD22">
        <v>7.2872559922061E-2</v>
      </c>
      <c r="GE22">
        <v>-1</v>
      </c>
      <c r="GF22">
        <v>784.87835294117644</v>
      </c>
      <c r="GG22">
        <v>-6.1820015344030432</v>
      </c>
      <c r="GH22">
        <v>0.65671396237152291</v>
      </c>
      <c r="GI22">
        <v>1</v>
      </c>
      <c r="GJ22">
        <v>1.6381251219512201</v>
      </c>
      <c r="GK22">
        <v>-7.7748919860624752E-2</v>
      </c>
      <c r="GL22">
        <v>8.1123877336592883E-3</v>
      </c>
      <c r="GM22">
        <v>1</v>
      </c>
      <c r="GN22">
        <v>2</v>
      </c>
      <c r="GO22">
        <v>2</v>
      </c>
      <c r="GP22" t="s">
        <v>424</v>
      </c>
      <c r="GQ22">
        <v>3.1302699999999999</v>
      </c>
      <c r="GR22">
        <v>2.72662</v>
      </c>
      <c r="GS22">
        <v>9.2318499999999998E-2</v>
      </c>
      <c r="GT22">
        <v>9.6548099999999998E-2</v>
      </c>
      <c r="GU22">
        <v>0.104119</v>
      </c>
      <c r="GV22">
        <v>9.58479E-2</v>
      </c>
      <c r="GW22">
        <v>22741.8</v>
      </c>
      <c r="GX22">
        <v>30394.2</v>
      </c>
      <c r="GY22">
        <v>27175.3</v>
      </c>
      <c r="GZ22">
        <v>34590.1</v>
      </c>
      <c r="HA22">
        <v>35665.300000000003</v>
      </c>
      <c r="HB22">
        <v>39457.5</v>
      </c>
      <c r="HC22">
        <v>40141</v>
      </c>
      <c r="HD22">
        <v>43721.4</v>
      </c>
      <c r="HE22">
        <v>1.9725999999999999</v>
      </c>
      <c r="HF22">
        <v>1.7811999999999999</v>
      </c>
      <c r="HG22">
        <v>-8.2999500000000004E-2</v>
      </c>
      <c r="HH22">
        <v>0</v>
      </c>
      <c r="HI22">
        <v>26.342700000000001</v>
      </c>
      <c r="HJ22">
        <v>999.9</v>
      </c>
      <c r="HK22">
        <v>36.700000000000003</v>
      </c>
      <c r="HL22">
        <v>39.5</v>
      </c>
      <c r="HM22">
        <v>26.961300000000001</v>
      </c>
      <c r="HN22">
        <v>61.073599999999999</v>
      </c>
      <c r="HO22">
        <v>6.05769</v>
      </c>
      <c r="HP22">
        <v>1</v>
      </c>
      <c r="HQ22">
        <v>0.48847600000000002</v>
      </c>
      <c r="HR22">
        <v>4.8160299999999996</v>
      </c>
      <c r="HS22">
        <v>20.177499999999998</v>
      </c>
      <c r="HT22">
        <v>5.2088999999999999</v>
      </c>
      <c r="HU22">
        <v>11.908099999999999</v>
      </c>
      <c r="HV22">
        <v>4.9851999999999999</v>
      </c>
      <c r="HW22">
        <v>3.2706</v>
      </c>
      <c r="HX22">
        <v>9999</v>
      </c>
      <c r="HY22">
        <v>9999</v>
      </c>
      <c r="HZ22">
        <v>9999</v>
      </c>
      <c r="IA22">
        <v>999.9</v>
      </c>
      <c r="IB22">
        <v>1.8678300000000001</v>
      </c>
      <c r="IC22">
        <v>1.8633999999999999</v>
      </c>
      <c r="ID22">
        <v>1.8628899999999999</v>
      </c>
      <c r="IE22">
        <v>1.86249</v>
      </c>
      <c r="IF22">
        <v>1.8624000000000001</v>
      </c>
      <c r="IG22">
        <v>1.8629500000000001</v>
      </c>
      <c r="IH22">
        <v>1.8638600000000001</v>
      </c>
      <c r="II22">
        <v>1.86188</v>
      </c>
      <c r="IJ22">
        <v>0</v>
      </c>
      <c r="IK22">
        <v>0</v>
      </c>
      <c r="IL22">
        <v>0</v>
      </c>
      <c r="IM22">
        <v>4.5</v>
      </c>
      <c r="IN22" t="s">
        <v>412</v>
      </c>
      <c r="IO22" t="s">
        <v>413</v>
      </c>
      <c r="IP22" t="s">
        <v>414</v>
      </c>
      <c r="IQ22" t="s">
        <v>415</v>
      </c>
      <c r="IR22" t="s">
        <v>415</v>
      </c>
      <c r="IS22" t="s">
        <v>414</v>
      </c>
      <c r="IT22">
        <v>0</v>
      </c>
      <c r="IU22">
        <v>100</v>
      </c>
      <c r="IV22">
        <v>100</v>
      </c>
      <c r="IW22">
        <v>-7.2779999999999996</v>
      </c>
      <c r="IX22">
        <v>-0.89900000000000002</v>
      </c>
      <c r="IY22">
        <v>-5.2842098832772066</v>
      </c>
      <c r="IZ22">
        <v>-5.6215304933332991E-3</v>
      </c>
      <c r="JA22">
        <v>2.3979931213773931E-6</v>
      </c>
      <c r="JB22">
        <v>-3.6297174575716598E-10</v>
      </c>
      <c r="JC22">
        <v>-1.1638503480325111</v>
      </c>
      <c r="JD22">
        <v>2.7492919904454862E-4</v>
      </c>
      <c r="JE22">
        <v>8.6739513355948885E-4</v>
      </c>
      <c r="JF22">
        <v>-8.2500691715147318E-6</v>
      </c>
      <c r="JG22">
        <v>17</v>
      </c>
      <c r="JH22">
        <v>1914</v>
      </c>
      <c r="JI22">
        <v>2</v>
      </c>
      <c r="JJ22">
        <v>37</v>
      </c>
      <c r="JK22">
        <v>4.5</v>
      </c>
      <c r="JL22">
        <v>4.5999999999999996</v>
      </c>
      <c r="JM22">
        <v>1.15723</v>
      </c>
      <c r="JN22">
        <v>2.5415000000000001</v>
      </c>
      <c r="JO22">
        <v>1.50024</v>
      </c>
      <c r="JP22">
        <v>2.2705099999999998</v>
      </c>
      <c r="JQ22">
        <v>1.4477500000000001</v>
      </c>
      <c r="JR22">
        <v>2.4633799999999999</v>
      </c>
      <c r="JS22">
        <v>45.290399999999998</v>
      </c>
      <c r="JT22">
        <v>23.877400000000002</v>
      </c>
      <c r="JU22">
        <v>18</v>
      </c>
      <c r="JV22">
        <v>540.375</v>
      </c>
      <c r="JW22">
        <v>430.46499999999997</v>
      </c>
      <c r="JX22">
        <v>21.055199999999999</v>
      </c>
      <c r="JY22">
        <v>33.145200000000003</v>
      </c>
      <c r="JZ22">
        <v>30.000900000000001</v>
      </c>
      <c r="KA22">
        <v>33.302100000000003</v>
      </c>
      <c r="KB22">
        <v>33.198599999999999</v>
      </c>
      <c r="KC22">
        <v>23.144500000000001</v>
      </c>
      <c r="KD22">
        <v>33.526200000000003</v>
      </c>
      <c r="KE22">
        <v>0</v>
      </c>
      <c r="KF22">
        <v>21.065999999999999</v>
      </c>
      <c r="KG22">
        <v>449.04700000000003</v>
      </c>
      <c r="KH22">
        <v>18.9998</v>
      </c>
      <c r="KI22">
        <v>100.312</v>
      </c>
      <c r="KJ22">
        <v>98.532700000000006</v>
      </c>
    </row>
    <row r="23" spans="1:296" x14ac:dyDescent="0.3">
      <c r="A23">
        <v>7</v>
      </c>
      <c r="B23">
        <v>1784743712.5</v>
      </c>
      <c r="C23">
        <v>1112.5</v>
      </c>
      <c r="D23" t="s">
        <v>972</v>
      </c>
      <c r="E23" t="s">
        <v>973</v>
      </c>
      <c r="F23">
        <v>15</v>
      </c>
      <c r="H23">
        <v>1784743704.5</v>
      </c>
      <c r="I23">
        <f t="shared" si="0"/>
        <v>1.2595055716131947E-3</v>
      </c>
      <c r="J23">
        <f t="shared" si="1"/>
        <v>1.2595055716131947</v>
      </c>
      <c r="K23">
        <f t="shared" si="2"/>
        <v>22.382436337687597</v>
      </c>
      <c r="L23">
        <f t="shared" si="3"/>
        <v>420.03406451612898</v>
      </c>
      <c r="M23">
        <f t="shared" si="4"/>
        <v>78.481140237439817</v>
      </c>
      <c r="N23">
        <f t="shared" si="5"/>
        <v>7.7147671611520758</v>
      </c>
      <c r="O23">
        <f t="shared" si="6"/>
        <v>41.289728942398625</v>
      </c>
      <c r="P23">
        <f t="shared" si="7"/>
        <v>0.10820847752943882</v>
      </c>
      <c r="Q23">
        <f t="shared" si="8"/>
        <v>2.8952553657683842</v>
      </c>
      <c r="R23">
        <f t="shared" si="9"/>
        <v>0.10601090977079274</v>
      </c>
      <c r="S23">
        <f t="shared" si="10"/>
        <v>6.6450544156749947E-2</v>
      </c>
      <c r="T23">
        <f t="shared" si="11"/>
        <v>96.34808549686484</v>
      </c>
      <c r="U23">
        <f t="shared" si="12"/>
        <v>25.103294196406139</v>
      </c>
      <c r="V23">
        <f t="shared" si="13"/>
        <v>25.001919354838709</v>
      </c>
      <c r="W23">
        <f t="shared" si="14"/>
        <v>3.1800414592845301</v>
      </c>
      <c r="X23">
        <f t="shared" si="15"/>
        <v>64.797212269058861</v>
      </c>
      <c r="Y23">
        <f t="shared" si="16"/>
        <v>2.0431659319852828</v>
      </c>
      <c r="Z23">
        <f t="shared" si="17"/>
        <v>3.1531694967082857</v>
      </c>
      <c r="AA23">
        <f t="shared" si="18"/>
        <v>1.1368755272992472</v>
      </c>
      <c r="AB23">
        <f t="shared" si="19"/>
        <v>-55.544195708141885</v>
      </c>
      <c r="AC23">
        <f t="shared" si="20"/>
        <v>-22.205927093649063</v>
      </c>
      <c r="AD23">
        <f t="shared" si="21"/>
        <v>-1.6212105412790576</v>
      </c>
      <c r="AE23">
        <f t="shared" si="22"/>
        <v>16.976752153794838</v>
      </c>
      <c r="AF23">
        <f t="shared" si="23"/>
        <v>22.382436337687597</v>
      </c>
      <c r="AG23">
        <f t="shared" si="24"/>
        <v>1.2595055716131947</v>
      </c>
      <c r="AH23">
        <f t="shared" si="25"/>
        <v>22.275950375663758</v>
      </c>
      <c r="AI23">
        <v>456.30545735591733</v>
      </c>
      <c r="AJ23">
        <v>428.98290909090929</v>
      </c>
      <c r="AK23">
        <v>1.1982575374808379E-2</v>
      </c>
      <c r="AL23">
        <v>67.093262750701427</v>
      </c>
      <c r="AM23">
        <f t="shared" si="26"/>
        <v>1.1952243189217502</v>
      </c>
      <c r="AN23">
        <v>19.304449036757109</v>
      </c>
      <c r="AO23">
        <v>20.757229696969691</v>
      </c>
      <c r="AP23">
        <v>-7.7676479589084777E-3</v>
      </c>
      <c r="AQ23">
        <v>78.249593714616637</v>
      </c>
      <c r="AR23">
        <v>0</v>
      </c>
      <c r="AS23">
        <v>0</v>
      </c>
      <c r="AT23">
        <f t="shared" si="27"/>
        <v>1</v>
      </c>
      <c r="AU23">
        <f t="shared" si="28"/>
        <v>0</v>
      </c>
      <c r="AV23">
        <f t="shared" si="29"/>
        <v>52227.002947518384</v>
      </c>
      <c r="AW23" t="s">
        <v>946</v>
      </c>
      <c r="AX23">
        <v>5143.8100000000004</v>
      </c>
      <c r="AY23">
        <v>572.13529411764716</v>
      </c>
      <c r="AZ23">
        <v>2278.5700000000002</v>
      </c>
      <c r="BA23">
        <f t="shared" si="30"/>
        <v>0.74890598308691536</v>
      </c>
      <c r="BB23">
        <v>-3.4090879133521459</v>
      </c>
      <c r="BC23" t="s">
        <v>974</v>
      </c>
      <c r="BD23">
        <v>5160.75</v>
      </c>
      <c r="BE23">
        <v>797.78488235294117</v>
      </c>
      <c r="BF23">
        <v>1355.74</v>
      </c>
      <c r="BG23">
        <f t="shared" si="31"/>
        <v>0.4115502365107313</v>
      </c>
      <c r="BH23">
        <v>0.5</v>
      </c>
      <c r="BI23">
        <f t="shared" si="32"/>
        <v>504.3203422096409</v>
      </c>
      <c r="BJ23">
        <f t="shared" si="33"/>
        <v>22.382436337687597</v>
      </c>
      <c r="BK23">
        <f t="shared" si="34"/>
        <v>103.77657805677534</v>
      </c>
      <c r="BL23">
        <f t="shared" si="35"/>
        <v>5.1141153930131307E-2</v>
      </c>
      <c r="BM23">
        <f t="shared" si="36"/>
        <v>0.68068361190198723</v>
      </c>
      <c r="BN23">
        <f t="shared" si="37"/>
        <v>488.62215409654317</v>
      </c>
      <c r="BO23" t="s">
        <v>408</v>
      </c>
      <c r="BP23">
        <v>0</v>
      </c>
      <c r="BQ23">
        <f t="shared" si="38"/>
        <v>488.62215409654317</v>
      </c>
      <c r="BR23">
        <f t="shared" si="39"/>
        <v>0.63959007324668216</v>
      </c>
      <c r="BS23">
        <f t="shared" si="40"/>
        <v>0.64345938707526096</v>
      </c>
      <c r="BT23">
        <f t="shared" si="41"/>
        <v>0.51556250765184253</v>
      </c>
      <c r="BU23">
        <f t="shared" si="42"/>
        <v>0.71203645595618448</v>
      </c>
      <c r="BV23">
        <f t="shared" si="43"/>
        <v>0.5407942049108927</v>
      </c>
      <c r="BW23">
        <f t="shared" si="44"/>
        <v>0.39410186723400537</v>
      </c>
      <c r="BX23">
        <f t="shared" si="45"/>
        <v>0.60589813276599469</v>
      </c>
      <c r="DG23">
        <f t="shared" si="46"/>
        <v>600.02064516129042</v>
      </c>
      <c r="DH23">
        <f t="shared" si="47"/>
        <v>504.3203422096409</v>
      </c>
      <c r="DI23">
        <f t="shared" si="48"/>
        <v>0.84050498308116628</v>
      </c>
      <c r="DJ23">
        <f t="shared" si="49"/>
        <v>0.16057461734665096</v>
      </c>
      <c r="DK23">
        <v>6</v>
      </c>
      <c r="DL23">
        <v>0.5</v>
      </c>
      <c r="DM23" t="s">
        <v>409</v>
      </c>
      <c r="DN23">
        <v>2</v>
      </c>
      <c r="DO23" t="b">
        <v>0</v>
      </c>
      <c r="DP23">
        <v>1784743704.5</v>
      </c>
      <c r="DQ23">
        <v>420.03406451612898</v>
      </c>
      <c r="DR23">
        <v>447.52929032258061</v>
      </c>
      <c r="DS23">
        <v>20.784812903225809</v>
      </c>
      <c r="DT23">
        <v>19.304741935483872</v>
      </c>
      <c r="DU23">
        <v>427.31032258064522</v>
      </c>
      <c r="DV23">
        <v>21.645087096774201</v>
      </c>
      <c r="DW23">
        <v>499.97345161290309</v>
      </c>
      <c r="DX23">
        <v>98.251225806451586</v>
      </c>
      <c r="DY23">
        <v>4.9679835483870963E-2</v>
      </c>
      <c r="DZ23">
        <v>24.859654838709691</v>
      </c>
      <c r="EA23">
        <v>25.001919354838709</v>
      </c>
      <c r="EB23">
        <v>999.90000000000032</v>
      </c>
      <c r="EC23">
        <v>0</v>
      </c>
      <c r="ED23">
        <v>0</v>
      </c>
      <c r="EE23">
        <v>9980.322580645161</v>
      </c>
      <c r="EF23">
        <v>0</v>
      </c>
      <c r="EG23">
        <v>542.21625806451607</v>
      </c>
      <c r="EH23">
        <v>-27.495270967741931</v>
      </c>
      <c r="EI23">
        <v>428.94967741935483</v>
      </c>
      <c r="EJ23">
        <v>456.33867741935489</v>
      </c>
      <c r="EK23">
        <v>1.480088387096774</v>
      </c>
      <c r="EL23">
        <v>447.52929032258061</v>
      </c>
      <c r="EM23">
        <v>19.304741935483872</v>
      </c>
      <c r="EN23">
        <v>2.0421345161290319</v>
      </c>
      <c r="EO23">
        <v>1.8967132258064521</v>
      </c>
      <c r="EP23">
        <v>17.774858064516131</v>
      </c>
      <c r="EQ23">
        <v>16.607483870967741</v>
      </c>
      <c r="ER23">
        <v>600.02064516129042</v>
      </c>
      <c r="ES23">
        <v>0.98302312903225764</v>
      </c>
      <c r="ET23">
        <v>1.6976890322580641E-2</v>
      </c>
      <c r="EU23">
        <v>0</v>
      </c>
      <c r="EV23">
        <v>797.7807096774194</v>
      </c>
      <c r="EW23">
        <v>5.0010700000000003</v>
      </c>
      <c r="EX23">
        <v>7435.253548387097</v>
      </c>
      <c r="EY23">
        <v>5415.3499999999995</v>
      </c>
      <c r="EZ23">
        <v>38.436999999999983</v>
      </c>
      <c r="FA23">
        <v>41.75</v>
      </c>
      <c r="FB23">
        <v>40.245935483870959</v>
      </c>
      <c r="FC23">
        <v>41.346548387096753</v>
      </c>
      <c r="FD23">
        <v>40.186999999999983</v>
      </c>
      <c r="FE23">
        <v>584.91903225806448</v>
      </c>
      <c r="FF23">
        <v>10.1</v>
      </c>
      <c r="FG23">
        <v>0</v>
      </c>
      <c r="FH23">
        <v>199.39999985694891</v>
      </c>
      <c r="FI23">
        <v>0</v>
      </c>
      <c r="FJ23">
        <v>797.78488235294117</v>
      </c>
      <c r="FK23">
        <v>-2.535048969700437</v>
      </c>
      <c r="FL23">
        <v>-1107.294120348281</v>
      </c>
      <c r="FM23">
        <v>7384.9599999999991</v>
      </c>
      <c r="FN23">
        <v>10</v>
      </c>
      <c r="FO23">
        <v>1784743602</v>
      </c>
      <c r="FP23" t="s">
        <v>975</v>
      </c>
      <c r="FQ23">
        <v>1784743602</v>
      </c>
      <c r="FR23">
        <v>1784743590.5</v>
      </c>
      <c r="FS23">
        <v>46</v>
      </c>
      <c r="FT23">
        <v>1E-3</v>
      </c>
      <c r="FU23">
        <v>-5.0000000000000001E-3</v>
      </c>
      <c r="FV23">
        <v>-7.38</v>
      </c>
      <c r="FW23">
        <v>-0.89900000000000002</v>
      </c>
      <c r="FX23">
        <v>448</v>
      </c>
      <c r="FY23">
        <v>19</v>
      </c>
      <c r="FZ23">
        <v>0.34</v>
      </c>
      <c r="GA23">
        <v>0.21</v>
      </c>
      <c r="GB23">
        <v>420.0364193548387</v>
      </c>
      <c r="GC23">
        <v>0.1176290322571637</v>
      </c>
      <c r="GD23">
        <v>5.4691966853406389E-2</v>
      </c>
      <c r="GE23">
        <v>-1</v>
      </c>
      <c r="GF23">
        <v>797.70955882352951</v>
      </c>
      <c r="GG23">
        <v>0.9860504238177521</v>
      </c>
      <c r="GH23">
        <v>0.26153553252872302</v>
      </c>
      <c r="GI23">
        <v>1</v>
      </c>
      <c r="GJ23">
        <v>1.4829675609756101</v>
      </c>
      <c r="GK23">
        <v>-5.9436585365851433E-2</v>
      </c>
      <c r="GL23">
        <v>9.1777197817662533E-3</v>
      </c>
      <c r="GM23">
        <v>1</v>
      </c>
      <c r="GN23">
        <v>2</v>
      </c>
      <c r="GO23">
        <v>2</v>
      </c>
      <c r="GP23" t="s">
        <v>424</v>
      </c>
      <c r="GQ23">
        <v>3.1303899999999998</v>
      </c>
      <c r="GR23">
        <v>2.7259000000000002</v>
      </c>
      <c r="GS23">
        <v>9.2237399999999997E-2</v>
      </c>
      <c r="GT23">
        <v>9.6253199999999997E-2</v>
      </c>
      <c r="GU23">
        <v>0.10448300000000001</v>
      </c>
      <c r="GV23">
        <v>9.6804399999999999E-2</v>
      </c>
      <c r="GW23">
        <v>22744.3</v>
      </c>
      <c r="GX23">
        <v>30404.7</v>
      </c>
      <c r="GY23">
        <v>27175.9</v>
      </c>
      <c r="GZ23">
        <v>34590.800000000003</v>
      </c>
      <c r="HA23">
        <v>35651.5</v>
      </c>
      <c r="HB23">
        <v>39418.5</v>
      </c>
      <c r="HC23">
        <v>40141.800000000003</v>
      </c>
      <c r="HD23">
        <v>43724.6</v>
      </c>
      <c r="HE23">
        <v>1.9725999999999999</v>
      </c>
      <c r="HF23">
        <v>1.7796000000000001</v>
      </c>
      <c r="HG23">
        <v>-7.0482500000000003E-2</v>
      </c>
      <c r="HH23">
        <v>0</v>
      </c>
      <c r="HI23">
        <v>26.1585</v>
      </c>
      <c r="HJ23">
        <v>999.9</v>
      </c>
      <c r="HK23">
        <v>36.299999999999997</v>
      </c>
      <c r="HL23">
        <v>39.799999999999997</v>
      </c>
      <c r="HM23">
        <v>27.0975</v>
      </c>
      <c r="HN23">
        <v>60.813699999999997</v>
      </c>
      <c r="HO23">
        <v>5.5128199999999996</v>
      </c>
      <c r="HP23">
        <v>1</v>
      </c>
      <c r="HQ23">
        <v>0.48756100000000002</v>
      </c>
      <c r="HR23">
        <v>4.7791300000000003</v>
      </c>
      <c r="HS23">
        <v>20.179400000000001</v>
      </c>
      <c r="HT23">
        <v>5.2100999999999997</v>
      </c>
      <c r="HU23">
        <v>11.908099999999999</v>
      </c>
      <c r="HV23">
        <v>4.9847999999999999</v>
      </c>
      <c r="HW23">
        <v>3.2706</v>
      </c>
      <c r="HX23">
        <v>9999</v>
      </c>
      <c r="HY23">
        <v>9999</v>
      </c>
      <c r="HZ23">
        <v>9999</v>
      </c>
      <c r="IA23">
        <v>999.9</v>
      </c>
      <c r="IB23">
        <v>1.8677999999999999</v>
      </c>
      <c r="IC23">
        <v>1.8633999999999999</v>
      </c>
      <c r="ID23">
        <v>1.8629500000000001</v>
      </c>
      <c r="IE23">
        <v>1.86249</v>
      </c>
      <c r="IF23">
        <v>1.86246</v>
      </c>
      <c r="IG23">
        <v>1.8629800000000001</v>
      </c>
      <c r="IH23">
        <v>1.8638600000000001</v>
      </c>
      <c r="II23">
        <v>1.86188</v>
      </c>
      <c r="IJ23">
        <v>0</v>
      </c>
      <c r="IK23">
        <v>0</v>
      </c>
      <c r="IL23">
        <v>0</v>
      </c>
      <c r="IM23">
        <v>4.5</v>
      </c>
      <c r="IN23" t="s">
        <v>412</v>
      </c>
      <c r="IO23" t="s">
        <v>413</v>
      </c>
      <c r="IP23" t="s">
        <v>414</v>
      </c>
      <c r="IQ23" t="s">
        <v>415</v>
      </c>
      <c r="IR23" t="s">
        <v>415</v>
      </c>
      <c r="IS23" t="s">
        <v>414</v>
      </c>
      <c r="IT23">
        <v>0</v>
      </c>
      <c r="IU23">
        <v>100</v>
      </c>
      <c r="IV23">
        <v>100</v>
      </c>
      <c r="IW23">
        <v>-7.2770000000000001</v>
      </c>
      <c r="IX23">
        <v>-0.86099999999999999</v>
      </c>
      <c r="IY23">
        <v>-5.2837608775134646</v>
      </c>
      <c r="IZ23">
        <v>-5.6215304933332991E-3</v>
      </c>
      <c r="JA23">
        <v>2.3979931213773931E-6</v>
      </c>
      <c r="JB23">
        <v>-3.6297174575716598E-10</v>
      </c>
      <c r="JC23">
        <v>-1.1889373439885169</v>
      </c>
      <c r="JD23">
        <v>2.7492919904454862E-4</v>
      </c>
      <c r="JE23">
        <v>8.6739513355948885E-4</v>
      </c>
      <c r="JF23">
        <v>-8.2500691715147318E-6</v>
      </c>
      <c r="JG23">
        <v>17</v>
      </c>
      <c r="JH23">
        <v>1914</v>
      </c>
      <c r="JI23">
        <v>2</v>
      </c>
      <c r="JJ23">
        <v>37</v>
      </c>
      <c r="JK23">
        <v>1.8</v>
      </c>
      <c r="JL23">
        <v>2</v>
      </c>
      <c r="JM23">
        <v>1.15479</v>
      </c>
      <c r="JN23">
        <v>2.5549300000000001</v>
      </c>
      <c r="JO23">
        <v>1.50024</v>
      </c>
      <c r="JP23">
        <v>2.2692899999999998</v>
      </c>
      <c r="JQ23">
        <v>1.4477500000000001</v>
      </c>
      <c r="JR23">
        <v>2.4169900000000002</v>
      </c>
      <c r="JS23">
        <v>45.575800000000001</v>
      </c>
      <c r="JT23">
        <v>23.8598</v>
      </c>
      <c r="JU23">
        <v>18</v>
      </c>
      <c r="JV23">
        <v>541.28099999999995</v>
      </c>
      <c r="JW23">
        <v>430.29</v>
      </c>
      <c r="JX23">
        <v>21.398900000000001</v>
      </c>
      <c r="JY23">
        <v>33.156999999999996</v>
      </c>
      <c r="JZ23">
        <v>30.001100000000001</v>
      </c>
      <c r="KA23">
        <v>33.410299999999999</v>
      </c>
      <c r="KB23">
        <v>33.316000000000003</v>
      </c>
      <c r="KC23">
        <v>23.0824</v>
      </c>
      <c r="KD23">
        <v>32.651600000000002</v>
      </c>
      <c r="KE23">
        <v>0</v>
      </c>
      <c r="KF23">
        <v>21.398099999999999</v>
      </c>
      <c r="KG23">
        <v>447.447</v>
      </c>
      <c r="KH23">
        <v>19.362200000000001</v>
      </c>
      <c r="KI23">
        <v>100.31399999999999</v>
      </c>
      <c r="KJ23">
        <v>98.537400000000005</v>
      </c>
    </row>
    <row r="24" spans="1:296" x14ac:dyDescent="0.3">
      <c r="A24">
        <v>8</v>
      </c>
      <c r="B24">
        <v>1784743895</v>
      </c>
      <c r="C24">
        <v>1295</v>
      </c>
      <c r="D24" t="s">
        <v>976</v>
      </c>
      <c r="E24" t="s">
        <v>977</v>
      </c>
      <c r="F24">
        <v>15</v>
      </c>
      <c r="H24">
        <v>1784743887.25</v>
      </c>
      <c r="I24">
        <f t="shared" si="0"/>
        <v>1.0547788354468544E-3</v>
      </c>
      <c r="J24">
        <f t="shared" si="1"/>
        <v>1.0547788354468544</v>
      </c>
      <c r="K24">
        <f t="shared" si="2"/>
        <v>17.426781227059951</v>
      </c>
      <c r="L24">
        <f t="shared" si="3"/>
        <v>420.24543333333349</v>
      </c>
      <c r="M24">
        <f t="shared" si="4"/>
        <v>105.9288169070325</v>
      </c>
      <c r="N24">
        <f t="shared" si="5"/>
        <v>10.412797421056675</v>
      </c>
      <c r="O24">
        <f t="shared" si="6"/>
        <v>41.310105146031013</v>
      </c>
      <c r="P24">
        <f t="shared" si="7"/>
        <v>9.1473491328531206E-2</v>
      </c>
      <c r="Q24">
        <f t="shared" si="8"/>
        <v>2.8982189408179417</v>
      </c>
      <c r="R24">
        <f t="shared" si="9"/>
        <v>8.9899338624203171E-2</v>
      </c>
      <c r="S24">
        <f t="shared" si="10"/>
        <v>5.6326261588739358E-2</v>
      </c>
      <c r="T24">
        <f t="shared" si="11"/>
        <v>64.410976784018999</v>
      </c>
      <c r="U24">
        <f t="shared" si="12"/>
        <v>24.953904532969503</v>
      </c>
      <c r="V24">
        <f t="shared" si="13"/>
        <v>24.98026333333333</v>
      </c>
      <c r="W24">
        <f t="shared" si="14"/>
        <v>3.1759380432501012</v>
      </c>
      <c r="X24">
        <f t="shared" si="15"/>
        <v>65.166343652364688</v>
      </c>
      <c r="Y24">
        <f t="shared" si="16"/>
        <v>2.0532726476720482</v>
      </c>
      <c r="Z24">
        <f t="shared" si="17"/>
        <v>3.1508176346756582</v>
      </c>
      <c r="AA24">
        <f t="shared" si="18"/>
        <v>1.122665395578053</v>
      </c>
      <c r="AB24">
        <f t="shared" si="19"/>
        <v>-46.515746643206278</v>
      </c>
      <c r="AC24">
        <f t="shared" si="20"/>
        <v>-20.798275044220002</v>
      </c>
      <c r="AD24">
        <f t="shared" si="21"/>
        <v>-1.5166271237894851</v>
      </c>
      <c r="AE24">
        <f t="shared" si="22"/>
        <v>-4.4196720271967642</v>
      </c>
      <c r="AF24">
        <f t="shared" si="23"/>
        <v>17.426781227059951</v>
      </c>
      <c r="AG24">
        <f t="shared" si="24"/>
        <v>1.0547788354468544</v>
      </c>
      <c r="AH24">
        <f t="shared" si="25"/>
        <v>17.339918746256267</v>
      </c>
      <c r="AI24">
        <v>450.46409784643589</v>
      </c>
      <c r="AJ24">
        <v>429.23703030303011</v>
      </c>
      <c r="AK24">
        <v>2.8001224407950829E-4</v>
      </c>
      <c r="AL24">
        <v>67.093770839439529</v>
      </c>
      <c r="AM24">
        <f t="shared" si="26"/>
        <v>1.052790116528032</v>
      </c>
      <c r="AN24">
        <v>19.64528772013027</v>
      </c>
      <c r="AO24">
        <v>20.88347515151515</v>
      </c>
      <c r="AP24">
        <v>-1.9097411934214091E-4</v>
      </c>
      <c r="AQ24">
        <v>78.250889305880094</v>
      </c>
      <c r="AR24">
        <v>0</v>
      </c>
      <c r="AS24">
        <v>0</v>
      </c>
      <c r="AT24">
        <f t="shared" si="27"/>
        <v>1</v>
      </c>
      <c r="AU24">
        <f t="shared" si="28"/>
        <v>0</v>
      </c>
      <c r="AV24">
        <f t="shared" si="29"/>
        <v>52314.435687980425</v>
      </c>
      <c r="AW24" t="s">
        <v>946</v>
      </c>
      <c r="AX24">
        <v>5143.8100000000004</v>
      </c>
      <c r="AY24">
        <v>572.13529411764716</v>
      </c>
      <c r="AZ24">
        <v>2278.5700000000002</v>
      </c>
      <c r="BA24">
        <f t="shared" si="30"/>
        <v>0.74890598308691536</v>
      </c>
      <c r="BB24">
        <v>-3.4090879133521459</v>
      </c>
      <c r="BC24" t="s">
        <v>978</v>
      </c>
      <c r="BD24">
        <v>5162.1400000000003</v>
      </c>
      <c r="BE24">
        <v>786.70964705882352</v>
      </c>
      <c r="BF24">
        <v>1551.58</v>
      </c>
      <c r="BG24">
        <f t="shared" si="31"/>
        <v>0.49296224038797642</v>
      </c>
      <c r="BH24">
        <v>0.5</v>
      </c>
      <c r="BI24">
        <f t="shared" si="32"/>
        <v>336.28879995026892</v>
      </c>
      <c r="BJ24">
        <f t="shared" si="33"/>
        <v>17.426781227059951</v>
      </c>
      <c r="BK24">
        <f t="shared" si="34"/>
        <v>82.888840120434295</v>
      </c>
      <c r="BL24">
        <f t="shared" si="35"/>
        <v>6.1958260707740929E-2</v>
      </c>
      <c r="BM24">
        <f t="shared" si="36"/>
        <v>0.46854818958738853</v>
      </c>
      <c r="BN24">
        <f t="shared" si="37"/>
        <v>511.90934084975851</v>
      </c>
      <c r="BO24" t="s">
        <v>408</v>
      </c>
      <c r="BP24">
        <v>0</v>
      </c>
      <c r="BQ24">
        <f t="shared" si="38"/>
        <v>511.90934084975851</v>
      </c>
      <c r="BR24">
        <f t="shared" si="39"/>
        <v>0.67007222260549981</v>
      </c>
      <c r="BS24">
        <f t="shared" si="40"/>
        <v>0.73568523475148495</v>
      </c>
      <c r="BT24">
        <f t="shared" si="41"/>
        <v>0.41150517290042571</v>
      </c>
      <c r="BU24">
        <f t="shared" si="42"/>
        <v>0.78092244344934958</v>
      </c>
      <c r="BV24">
        <f t="shared" si="43"/>
        <v>0.42602860659944947</v>
      </c>
      <c r="BW24">
        <f t="shared" si="44"/>
        <v>0.47870792611034707</v>
      </c>
      <c r="BX24">
        <f t="shared" si="45"/>
        <v>0.52129207388965293</v>
      </c>
      <c r="DG24">
        <f t="shared" si="46"/>
        <v>399.9907</v>
      </c>
      <c r="DH24">
        <f t="shared" si="47"/>
        <v>336.28879995026892</v>
      </c>
      <c r="DI24">
        <f t="shared" si="48"/>
        <v>0.84074154711664273</v>
      </c>
      <c r="DJ24">
        <f t="shared" si="49"/>
        <v>0.1610311859351205</v>
      </c>
      <c r="DK24">
        <v>6</v>
      </c>
      <c r="DL24">
        <v>0.5</v>
      </c>
      <c r="DM24" t="s">
        <v>409</v>
      </c>
      <c r="DN24">
        <v>2</v>
      </c>
      <c r="DO24" t="b">
        <v>0</v>
      </c>
      <c r="DP24">
        <v>1784743887.25</v>
      </c>
      <c r="DQ24">
        <v>420.24543333333349</v>
      </c>
      <c r="DR24">
        <v>441.69013333333328</v>
      </c>
      <c r="DS24">
        <v>20.887830000000001</v>
      </c>
      <c r="DT24">
        <v>19.64849666666667</v>
      </c>
      <c r="DU24">
        <v>427.43873333333329</v>
      </c>
      <c r="DV24">
        <v>21.747676666666671</v>
      </c>
      <c r="DW24">
        <v>499.98500000000001</v>
      </c>
      <c r="DX24">
        <v>98.250919999999994</v>
      </c>
      <c r="DY24">
        <v>4.9030146666666677E-2</v>
      </c>
      <c r="DZ24">
        <v>24.847153333333331</v>
      </c>
      <c r="EA24">
        <v>24.98026333333333</v>
      </c>
      <c r="EB24">
        <v>999.9000000000002</v>
      </c>
      <c r="EC24">
        <v>0</v>
      </c>
      <c r="ED24">
        <v>0</v>
      </c>
      <c r="EE24">
        <v>9997.3333333333339</v>
      </c>
      <c r="EF24">
        <v>0</v>
      </c>
      <c r="EG24">
        <v>523.95956666666666</v>
      </c>
      <c r="EH24">
        <v>-21.444796666666669</v>
      </c>
      <c r="EI24">
        <v>429.21060000000011</v>
      </c>
      <c r="EJ24">
        <v>450.54256666666657</v>
      </c>
      <c r="EK24">
        <v>1.2393380000000001</v>
      </c>
      <c r="EL24">
        <v>441.69013333333328</v>
      </c>
      <c r="EM24">
        <v>19.64849666666667</v>
      </c>
      <c r="EN24">
        <v>2.0522486666666659</v>
      </c>
      <c r="EO24">
        <v>1.930483333333334</v>
      </c>
      <c r="EP24">
        <v>17.85331</v>
      </c>
      <c r="EQ24">
        <v>16.885393333333329</v>
      </c>
      <c r="ER24">
        <v>399.9907</v>
      </c>
      <c r="ES24">
        <v>0.97496419999999995</v>
      </c>
      <c r="ET24">
        <v>2.5035479999999999E-2</v>
      </c>
      <c r="EU24">
        <v>0</v>
      </c>
      <c r="EV24">
        <v>786.88436666666678</v>
      </c>
      <c r="EW24">
        <v>5.0010700000000003</v>
      </c>
      <c r="EX24">
        <v>5938.5706666666647</v>
      </c>
      <c r="EY24">
        <v>3583.5410000000002</v>
      </c>
      <c r="EZ24">
        <v>37.787199999999999</v>
      </c>
      <c r="FA24">
        <v>41.375</v>
      </c>
      <c r="FB24">
        <v>39.75</v>
      </c>
      <c r="FC24">
        <v>41.004133333333343</v>
      </c>
      <c r="FD24">
        <v>39.686999999999983</v>
      </c>
      <c r="FE24">
        <v>385.1</v>
      </c>
      <c r="FF24">
        <v>9.8869999999999987</v>
      </c>
      <c r="FG24">
        <v>0</v>
      </c>
      <c r="FH24">
        <v>182.20000004768369</v>
      </c>
      <c r="FI24">
        <v>0</v>
      </c>
      <c r="FJ24">
        <v>786.70964705882352</v>
      </c>
      <c r="FK24">
        <v>-2.7970588130141998</v>
      </c>
      <c r="FL24">
        <v>-256.37254748898749</v>
      </c>
      <c r="FM24">
        <v>5954.1076470588232</v>
      </c>
      <c r="FN24">
        <v>10</v>
      </c>
      <c r="FO24">
        <v>1784743830</v>
      </c>
      <c r="FP24" t="s">
        <v>979</v>
      </c>
      <c r="FQ24">
        <v>1784743829.5</v>
      </c>
      <c r="FR24">
        <v>1784743830</v>
      </c>
      <c r="FS24">
        <v>47</v>
      </c>
      <c r="FT24">
        <v>8.3000000000000004E-2</v>
      </c>
      <c r="FU24">
        <v>-2E-3</v>
      </c>
      <c r="FV24">
        <v>-7.28</v>
      </c>
      <c r="FW24">
        <v>-0.89700000000000002</v>
      </c>
      <c r="FX24">
        <v>443</v>
      </c>
      <c r="FY24">
        <v>19</v>
      </c>
      <c r="FZ24">
        <v>0.36</v>
      </c>
      <c r="GA24">
        <v>0.16</v>
      </c>
      <c r="GB24">
        <v>420.2443548387098</v>
      </c>
      <c r="GC24">
        <v>0.2354032258053477</v>
      </c>
      <c r="GD24">
        <v>5.2493654539473231E-2</v>
      </c>
      <c r="GE24">
        <v>-1</v>
      </c>
      <c r="GF24">
        <v>786.9521176470588</v>
      </c>
      <c r="GG24">
        <v>-2.322811302235769</v>
      </c>
      <c r="GH24">
        <v>0.31296210677463809</v>
      </c>
      <c r="GI24">
        <v>1</v>
      </c>
      <c r="GJ24">
        <v>1.2348107317073169</v>
      </c>
      <c r="GK24">
        <v>5.9682648083623183E-2</v>
      </c>
      <c r="GL24">
        <v>9.4149974781401174E-3</v>
      </c>
      <c r="GM24">
        <v>1</v>
      </c>
      <c r="GN24">
        <v>2</v>
      </c>
      <c r="GO24">
        <v>2</v>
      </c>
      <c r="GP24" t="s">
        <v>424</v>
      </c>
      <c r="GQ24">
        <v>3.1306600000000002</v>
      </c>
      <c r="GR24">
        <v>2.7259500000000001</v>
      </c>
      <c r="GS24">
        <v>9.2264499999999999E-2</v>
      </c>
      <c r="GT24">
        <v>9.5274399999999995E-2</v>
      </c>
      <c r="GU24">
        <v>0.104923</v>
      </c>
      <c r="GV24">
        <v>9.8034099999999999E-2</v>
      </c>
      <c r="GW24">
        <v>22745.599999999999</v>
      </c>
      <c r="GX24">
        <v>30440.9</v>
      </c>
      <c r="GY24">
        <v>27178</v>
      </c>
      <c r="GZ24">
        <v>34594</v>
      </c>
      <c r="HA24">
        <v>35636.699999999997</v>
      </c>
      <c r="HB24">
        <v>39368</v>
      </c>
      <c r="HC24">
        <v>40145.199999999997</v>
      </c>
      <c r="HD24">
        <v>43728.4</v>
      </c>
      <c r="HE24">
        <v>1.9748000000000001</v>
      </c>
      <c r="HF24">
        <v>1.7771999999999999</v>
      </c>
      <c r="HG24">
        <v>-7.4654799999999993E-2</v>
      </c>
      <c r="HH24">
        <v>0</v>
      </c>
      <c r="HI24">
        <v>26.204899999999999</v>
      </c>
      <c r="HJ24">
        <v>999.9</v>
      </c>
      <c r="HK24">
        <v>35.9</v>
      </c>
      <c r="HL24">
        <v>40</v>
      </c>
      <c r="HM24">
        <v>27.087800000000001</v>
      </c>
      <c r="HN24">
        <v>60.363700000000001</v>
      </c>
      <c r="HO24">
        <v>5.9254800000000003</v>
      </c>
      <c r="HP24">
        <v>1</v>
      </c>
      <c r="HQ24">
        <v>0.478659</v>
      </c>
      <c r="HR24">
        <v>4.4120499999999998</v>
      </c>
      <c r="HS24">
        <v>20.191099999999999</v>
      </c>
      <c r="HT24">
        <v>5.2100999999999997</v>
      </c>
      <c r="HU24">
        <v>11.908099999999999</v>
      </c>
      <c r="HV24">
        <v>4.9847999999999999</v>
      </c>
      <c r="HW24">
        <v>3.2709999999999999</v>
      </c>
      <c r="HX24">
        <v>9999</v>
      </c>
      <c r="HY24">
        <v>9999</v>
      </c>
      <c r="HZ24">
        <v>9999</v>
      </c>
      <c r="IA24">
        <v>999.9</v>
      </c>
      <c r="IB24">
        <v>1.86768</v>
      </c>
      <c r="IC24">
        <v>1.8633999999999999</v>
      </c>
      <c r="ID24">
        <v>1.8629500000000001</v>
      </c>
      <c r="IE24">
        <v>1.8624000000000001</v>
      </c>
      <c r="IF24">
        <v>1.86246</v>
      </c>
      <c r="IG24">
        <v>1.8629500000000001</v>
      </c>
      <c r="IH24">
        <v>1.8638600000000001</v>
      </c>
      <c r="II24">
        <v>1.86188</v>
      </c>
      <c r="IJ24">
        <v>0</v>
      </c>
      <c r="IK24">
        <v>0</v>
      </c>
      <c r="IL24">
        <v>0</v>
      </c>
      <c r="IM24">
        <v>4.5</v>
      </c>
      <c r="IN24" t="s">
        <v>412</v>
      </c>
      <c r="IO24" t="s">
        <v>413</v>
      </c>
      <c r="IP24" t="s">
        <v>414</v>
      </c>
      <c r="IQ24" t="s">
        <v>415</v>
      </c>
      <c r="IR24" t="s">
        <v>415</v>
      </c>
      <c r="IS24" t="s">
        <v>414</v>
      </c>
      <c r="IT24">
        <v>0</v>
      </c>
      <c r="IU24">
        <v>100</v>
      </c>
      <c r="IV24">
        <v>100</v>
      </c>
      <c r="IW24">
        <v>-7.194</v>
      </c>
      <c r="IX24">
        <v>-0.86</v>
      </c>
      <c r="IY24">
        <v>-5.2003029175701769</v>
      </c>
      <c r="IZ24">
        <v>-5.6215304933332991E-3</v>
      </c>
      <c r="JA24">
        <v>2.3979931213773931E-6</v>
      </c>
      <c r="JB24">
        <v>-3.6297174575716598E-10</v>
      </c>
      <c r="JC24">
        <v>-1.1912147390729011</v>
      </c>
      <c r="JD24">
        <v>2.7492919904454862E-4</v>
      </c>
      <c r="JE24">
        <v>8.6739513355948885E-4</v>
      </c>
      <c r="JF24">
        <v>-8.2500691715147318E-6</v>
      </c>
      <c r="JG24">
        <v>17</v>
      </c>
      <c r="JH24">
        <v>1914</v>
      </c>
      <c r="JI24">
        <v>2</v>
      </c>
      <c r="JJ24">
        <v>37</v>
      </c>
      <c r="JK24">
        <v>1.1000000000000001</v>
      </c>
      <c r="JL24">
        <v>1.1000000000000001</v>
      </c>
      <c r="JM24">
        <v>1.1425799999999999</v>
      </c>
      <c r="JN24">
        <v>2.5415000000000001</v>
      </c>
      <c r="JO24">
        <v>1.50024</v>
      </c>
      <c r="JP24">
        <v>2.2692899999999998</v>
      </c>
      <c r="JQ24">
        <v>1.4477500000000001</v>
      </c>
      <c r="JR24">
        <v>2.4560499999999998</v>
      </c>
      <c r="JS24">
        <v>45.747999999999998</v>
      </c>
      <c r="JT24">
        <v>23.868600000000001</v>
      </c>
      <c r="JU24">
        <v>18</v>
      </c>
      <c r="JV24">
        <v>542.64499999999998</v>
      </c>
      <c r="JW24">
        <v>428.81200000000001</v>
      </c>
      <c r="JX24">
        <v>21.512899999999998</v>
      </c>
      <c r="JY24">
        <v>33.091999999999999</v>
      </c>
      <c r="JZ24">
        <v>29.9999</v>
      </c>
      <c r="KA24">
        <v>33.398499999999999</v>
      </c>
      <c r="KB24">
        <v>33.316000000000003</v>
      </c>
      <c r="KC24">
        <v>22.846900000000002</v>
      </c>
      <c r="KD24">
        <v>31.637699999999999</v>
      </c>
      <c r="KE24">
        <v>0</v>
      </c>
      <c r="KF24">
        <v>21.521699999999999</v>
      </c>
      <c r="KG24">
        <v>441.31599999999997</v>
      </c>
      <c r="KH24">
        <v>19.622900000000001</v>
      </c>
      <c r="KI24">
        <v>100.322</v>
      </c>
      <c r="KJ24">
        <v>98.546199999999999</v>
      </c>
    </row>
    <row r="25" spans="1:296" x14ac:dyDescent="0.3">
      <c r="A25">
        <v>9</v>
      </c>
      <c r="B25">
        <v>1784744077.5</v>
      </c>
      <c r="C25">
        <v>1477.5</v>
      </c>
      <c r="D25" t="s">
        <v>980</v>
      </c>
      <c r="E25" t="s">
        <v>981</v>
      </c>
      <c r="F25">
        <v>15</v>
      </c>
      <c r="H25">
        <v>1784744069.75</v>
      </c>
      <c r="I25">
        <f t="shared" si="0"/>
        <v>8.222258618828961E-4</v>
      </c>
      <c r="J25">
        <f t="shared" si="1"/>
        <v>0.82222586188289615</v>
      </c>
      <c r="K25">
        <f t="shared" si="2"/>
        <v>12.735544006185584</v>
      </c>
      <c r="L25">
        <f t="shared" si="3"/>
        <v>420.2288333333334</v>
      </c>
      <c r="M25">
        <f t="shared" si="4"/>
        <v>123.00719872725108</v>
      </c>
      <c r="N25">
        <f t="shared" si="5"/>
        <v>12.091095639155348</v>
      </c>
      <c r="O25">
        <f t="shared" si="6"/>
        <v>41.306745188388341</v>
      </c>
      <c r="P25">
        <f t="shared" si="7"/>
        <v>7.0567055652767094E-2</v>
      </c>
      <c r="Q25">
        <f t="shared" si="8"/>
        <v>2.8991436249598239</v>
      </c>
      <c r="R25">
        <f t="shared" si="9"/>
        <v>6.9626532513114542E-2</v>
      </c>
      <c r="S25">
        <f t="shared" si="10"/>
        <v>4.3600040692508266E-2</v>
      </c>
      <c r="T25">
        <f t="shared" si="11"/>
        <v>48.441629910068258</v>
      </c>
      <c r="U25">
        <f t="shared" si="12"/>
        <v>24.872410736853382</v>
      </c>
      <c r="V25">
        <f t="shared" si="13"/>
        <v>25.00502333333333</v>
      </c>
      <c r="W25">
        <f t="shared" si="14"/>
        <v>3.1806299853251954</v>
      </c>
      <c r="X25">
        <f t="shared" si="15"/>
        <v>65.270186551595373</v>
      </c>
      <c r="Y25">
        <f t="shared" si="16"/>
        <v>2.0507345936005681</v>
      </c>
      <c r="Z25">
        <f t="shared" si="17"/>
        <v>3.1419162437654209</v>
      </c>
      <c r="AA25">
        <f t="shared" si="18"/>
        <v>1.1298953917246273</v>
      </c>
      <c r="AB25">
        <f t="shared" si="19"/>
        <v>-36.260160509035721</v>
      </c>
      <c r="AC25">
        <f t="shared" si="20"/>
        <v>-32.081857021399131</v>
      </c>
      <c r="AD25">
        <f t="shared" si="21"/>
        <v>-2.3384226248191808</v>
      </c>
      <c r="AE25">
        <f t="shared" si="22"/>
        <v>-22.238810245185775</v>
      </c>
      <c r="AF25">
        <f t="shared" si="23"/>
        <v>12.735544006185584</v>
      </c>
      <c r="AG25">
        <f t="shared" si="24"/>
        <v>0.82222586188289615</v>
      </c>
      <c r="AH25">
        <f t="shared" si="25"/>
        <v>12.963538373476229</v>
      </c>
      <c r="AI25">
        <v>444.58775617985191</v>
      </c>
      <c r="AJ25">
        <v>429.07268484848498</v>
      </c>
      <c r="AK25">
        <v>-6.7066330014805955E-2</v>
      </c>
      <c r="AL25">
        <v>67.093770839439529</v>
      </c>
      <c r="AM25">
        <f t="shared" si="26"/>
        <v>0.83609500517951185</v>
      </c>
      <c r="AN25">
        <v>19.864507685912319</v>
      </c>
      <c r="AO25">
        <v>20.870378787878771</v>
      </c>
      <c r="AP25">
        <v>-3.7859469080648539E-3</v>
      </c>
      <c r="AQ25">
        <v>78.250889305880094</v>
      </c>
      <c r="AR25">
        <v>0</v>
      </c>
      <c r="AS25">
        <v>0</v>
      </c>
      <c r="AT25">
        <f t="shared" si="27"/>
        <v>1</v>
      </c>
      <c r="AU25">
        <f t="shared" si="28"/>
        <v>0</v>
      </c>
      <c r="AV25">
        <f t="shared" si="29"/>
        <v>52349.296211226319</v>
      </c>
      <c r="AW25" t="s">
        <v>946</v>
      </c>
      <c r="AX25">
        <v>5143.8100000000004</v>
      </c>
      <c r="AY25">
        <v>572.13529411764716</v>
      </c>
      <c r="AZ25">
        <v>2278.5700000000002</v>
      </c>
      <c r="BA25">
        <f t="shared" si="30"/>
        <v>0.74890598308691536</v>
      </c>
      <c r="BB25">
        <v>-3.4090879133521459</v>
      </c>
      <c r="BC25" t="s">
        <v>982</v>
      </c>
      <c r="BD25">
        <v>5163.55</v>
      </c>
      <c r="BE25">
        <v>770.52652941176461</v>
      </c>
      <c r="BF25">
        <v>1625.49</v>
      </c>
      <c r="BG25">
        <f t="shared" si="31"/>
        <v>0.52597276549731797</v>
      </c>
      <c r="BH25">
        <v>0.5</v>
      </c>
      <c r="BI25">
        <f t="shared" si="32"/>
        <v>252.27726747671932</v>
      </c>
      <c r="BJ25">
        <f t="shared" si="33"/>
        <v>12.735544006185584</v>
      </c>
      <c r="BK25">
        <f t="shared" si="34"/>
        <v>66.345486023418331</v>
      </c>
      <c r="BL25">
        <f t="shared" si="35"/>
        <v>6.3995587398803538E-2</v>
      </c>
      <c r="BM25">
        <f t="shared" si="36"/>
        <v>0.40177423423090891</v>
      </c>
      <c r="BN25">
        <f t="shared" si="37"/>
        <v>519.70576240983894</v>
      </c>
      <c r="BO25" t="s">
        <v>408</v>
      </c>
      <c r="BP25">
        <v>0</v>
      </c>
      <c r="BQ25">
        <f t="shared" si="38"/>
        <v>519.70576240983894</v>
      </c>
      <c r="BR25">
        <f t="shared" si="39"/>
        <v>0.6802774779236791</v>
      </c>
      <c r="BS25">
        <f t="shared" si="40"/>
        <v>0.77317386296937995</v>
      </c>
      <c r="BT25">
        <f t="shared" si="41"/>
        <v>0.37130779399710351</v>
      </c>
      <c r="BU25">
        <f t="shared" si="42"/>
        <v>0.81165771208290838</v>
      </c>
      <c r="BV25">
        <f t="shared" si="43"/>
        <v>0.38271607917298511</v>
      </c>
      <c r="BW25">
        <f t="shared" si="44"/>
        <v>0.52149133948265436</v>
      </c>
      <c r="BX25">
        <f t="shared" si="45"/>
        <v>0.47850866051734564</v>
      </c>
      <c r="DG25">
        <f t="shared" si="46"/>
        <v>299.98186666666669</v>
      </c>
      <c r="DH25">
        <f t="shared" si="47"/>
        <v>252.27726747671932</v>
      </c>
      <c r="DI25">
        <f t="shared" si="48"/>
        <v>0.8409750571925213</v>
      </c>
      <c r="DJ25">
        <f t="shared" si="49"/>
        <v>0.16148186038156614</v>
      </c>
      <c r="DK25">
        <v>6</v>
      </c>
      <c r="DL25">
        <v>0.5</v>
      </c>
      <c r="DM25" t="s">
        <v>409</v>
      </c>
      <c r="DN25">
        <v>2</v>
      </c>
      <c r="DO25" t="b">
        <v>0</v>
      </c>
      <c r="DP25">
        <v>1784744069.75</v>
      </c>
      <c r="DQ25">
        <v>420.2288333333334</v>
      </c>
      <c r="DR25">
        <v>435.92606666666671</v>
      </c>
      <c r="DS25">
        <v>20.86288333333334</v>
      </c>
      <c r="DT25">
        <v>19.896799999999999</v>
      </c>
      <c r="DU25">
        <v>427.42219999999998</v>
      </c>
      <c r="DV25">
        <v>21.75888333333334</v>
      </c>
      <c r="DW25">
        <v>500.00150000000002</v>
      </c>
      <c r="DX25">
        <v>98.247336666666655</v>
      </c>
      <c r="DY25">
        <v>4.850100999999999E-2</v>
      </c>
      <c r="DZ25">
        <v>24.799763333333331</v>
      </c>
      <c r="EA25">
        <v>25.00502333333333</v>
      </c>
      <c r="EB25">
        <v>999.9000000000002</v>
      </c>
      <c r="EC25">
        <v>0</v>
      </c>
      <c r="ED25">
        <v>0</v>
      </c>
      <c r="EE25">
        <v>10003</v>
      </c>
      <c r="EF25">
        <v>0</v>
      </c>
      <c r="EG25">
        <v>507.23353333333313</v>
      </c>
      <c r="EH25">
        <v>-15.697203333333331</v>
      </c>
      <c r="EI25">
        <v>429.19893333333329</v>
      </c>
      <c r="EJ25">
        <v>444.77569999999997</v>
      </c>
      <c r="EK25">
        <v>1.002521</v>
      </c>
      <c r="EL25">
        <v>435.92606666666671</v>
      </c>
      <c r="EM25">
        <v>19.896799999999999</v>
      </c>
      <c r="EN25">
        <v>2.0533030000000001</v>
      </c>
      <c r="EO25">
        <v>1.954808333333333</v>
      </c>
      <c r="EP25">
        <v>17.861473333333329</v>
      </c>
      <c r="EQ25">
        <v>17.082916666666669</v>
      </c>
      <c r="ER25">
        <v>299.98186666666669</v>
      </c>
      <c r="ES25">
        <v>0.96694986666666671</v>
      </c>
      <c r="ET25">
        <v>3.3049983333333331E-2</v>
      </c>
      <c r="EU25">
        <v>0</v>
      </c>
      <c r="EV25">
        <v>770.55420000000015</v>
      </c>
      <c r="EW25">
        <v>5.0010700000000003</v>
      </c>
      <c r="EX25">
        <v>5078.8926666666684</v>
      </c>
      <c r="EY25">
        <v>2667.8106666666672</v>
      </c>
      <c r="EZ25">
        <v>37.362400000000001</v>
      </c>
      <c r="FA25">
        <v>41.106099999999998</v>
      </c>
      <c r="FB25">
        <v>39.375</v>
      </c>
      <c r="FC25">
        <v>40.75</v>
      </c>
      <c r="FD25">
        <v>39.311999999999991</v>
      </c>
      <c r="FE25">
        <v>285.23133333333328</v>
      </c>
      <c r="FF25">
        <v>9.75</v>
      </c>
      <c r="FG25">
        <v>0</v>
      </c>
      <c r="FH25">
        <v>182</v>
      </c>
      <c r="FI25">
        <v>0</v>
      </c>
      <c r="FJ25">
        <v>770.52652941176461</v>
      </c>
      <c r="FK25">
        <v>0.62058820642310453</v>
      </c>
      <c r="FL25">
        <v>205.936273900792</v>
      </c>
      <c r="FM25">
        <v>5086.2811764705893</v>
      </c>
      <c r="FN25">
        <v>10</v>
      </c>
      <c r="FO25">
        <v>1784744093.5</v>
      </c>
      <c r="FP25" t="s">
        <v>983</v>
      </c>
      <c r="FQ25">
        <v>1784743829.5</v>
      </c>
      <c r="FR25">
        <v>1784744093.5</v>
      </c>
      <c r="FS25">
        <v>48</v>
      </c>
      <c r="FT25">
        <v>8.3000000000000004E-2</v>
      </c>
      <c r="FU25">
        <v>-8.9999999999999993E-3</v>
      </c>
      <c r="FV25">
        <v>-7.28</v>
      </c>
      <c r="FW25">
        <v>-0.89600000000000002</v>
      </c>
      <c r="FX25">
        <v>443</v>
      </c>
      <c r="FY25">
        <v>20</v>
      </c>
      <c r="FZ25">
        <v>0.36</v>
      </c>
      <c r="GA25">
        <v>0.3</v>
      </c>
      <c r="GB25">
        <v>420.22853333333342</v>
      </c>
      <c r="GC25">
        <v>0.53296551724163821</v>
      </c>
      <c r="GD25">
        <v>5.8682611469570753E-2</v>
      </c>
      <c r="GE25">
        <v>-1</v>
      </c>
      <c r="GF25">
        <v>770.54550000000006</v>
      </c>
      <c r="GG25">
        <v>-0.61489687138215554</v>
      </c>
      <c r="GH25">
        <v>0.20090987883070191</v>
      </c>
      <c r="GI25">
        <v>1</v>
      </c>
      <c r="GJ25">
        <v>0.95170702499999993</v>
      </c>
      <c r="GK25">
        <v>0.81142873170731689</v>
      </c>
      <c r="GL25">
        <v>8.6467675468491559E-2</v>
      </c>
      <c r="GM25">
        <v>0</v>
      </c>
      <c r="GN25">
        <v>1</v>
      </c>
      <c r="GO25">
        <v>2</v>
      </c>
      <c r="GP25" t="s">
        <v>411</v>
      </c>
      <c r="GQ25">
        <v>3.1303899999999998</v>
      </c>
      <c r="GR25">
        <v>2.7245499999999998</v>
      </c>
      <c r="GS25">
        <v>9.2245199999999999E-2</v>
      </c>
      <c r="GT25">
        <v>9.4338599999999995E-2</v>
      </c>
      <c r="GU25">
        <v>0.104877</v>
      </c>
      <c r="GV25">
        <v>9.8774600000000004E-2</v>
      </c>
      <c r="GW25">
        <v>22746.3</v>
      </c>
      <c r="GX25">
        <v>30473.3</v>
      </c>
      <c r="GY25">
        <v>27178.2</v>
      </c>
      <c r="GZ25">
        <v>34594.800000000003</v>
      </c>
      <c r="HA25">
        <v>35638.9</v>
      </c>
      <c r="HB25">
        <v>39335</v>
      </c>
      <c r="HC25">
        <v>40145.599999999999</v>
      </c>
      <c r="HD25">
        <v>43727.8</v>
      </c>
      <c r="HE25">
        <v>1.9743999999999999</v>
      </c>
      <c r="HF25">
        <v>1.7767999999999999</v>
      </c>
      <c r="HG25">
        <v>-8.1658400000000006E-2</v>
      </c>
      <c r="HH25">
        <v>0</v>
      </c>
      <c r="HI25">
        <v>26.3582</v>
      </c>
      <c r="HJ25">
        <v>999.9</v>
      </c>
      <c r="HK25">
        <v>35.6</v>
      </c>
      <c r="HL25">
        <v>40.200000000000003</v>
      </c>
      <c r="HM25">
        <v>27.152000000000001</v>
      </c>
      <c r="HN25">
        <v>60.523699999999998</v>
      </c>
      <c r="HO25">
        <v>5.5408600000000003</v>
      </c>
      <c r="HP25">
        <v>1</v>
      </c>
      <c r="HQ25">
        <v>0.47906500000000002</v>
      </c>
      <c r="HR25">
        <v>4.77989</v>
      </c>
      <c r="HS25">
        <v>20.182500000000001</v>
      </c>
      <c r="HT25">
        <v>5.2100999999999997</v>
      </c>
      <c r="HU25">
        <v>11.908099999999999</v>
      </c>
      <c r="HV25">
        <v>4.9847999999999999</v>
      </c>
      <c r="HW25">
        <v>3.2706</v>
      </c>
      <c r="HX25">
        <v>9999</v>
      </c>
      <c r="HY25">
        <v>9999</v>
      </c>
      <c r="HZ25">
        <v>9999</v>
      </c>
      <c r="IA25">
        <v>999.9</v>
      </c>
      <c r="IB25">
        <v>1.86771</v>
      </c>
      <c r="IC25">
        <v>1.8633999999999999</v>
      </c>
      <c r="ID25">
        <v>1.8629500000000001</v>
      </c>
      <c r="IE25">
        <v>1.86246</v>
      </c>
      <c r="IF25">
        <v>1.8624000000000001</v>
      </c>
      <c r="IG25">
        <v>1.8629500000000001</v>
      </c>
      <c r="IH25">
        <v>1.8638600000000001</v>
      </c>
      <c r="II25">
        <v>1.86188</v>
      </c>
      <c r="IJ25">
        <v>0</v>
      </c>
      <c r="IK25">
        <v>0</v>
      </c>
      <c r="IL25">
        <v>0</v>
      </c>
      <c r="IM25">
        <v>4.5</v>
      </c>
      <c r="IN25" t="s">
        <v>412</v>
      </c>
      <c r="IO25" t="s">
        <v>413</v>
      </c>
      <c r="IP25" t="s">
        <v>414</v>
      </c>
      <c r="IQ25" t="s">
        <v>415</v>
      </c>
      <c r="IR25" t="s">
        <v>415</v>
      </c>
      <c r="IS25" t="s">
        <v>414</v>
      </c>
      <c r="IT25">
        <v>0</v>
      </c>
      <c r="IU25">
        <v>100</v>
      </c>
      <c r="IV25">
        <v>100</v>
      </c>
      <c r="IW25">
        <v>-7.1929999999999996</v>
      </c>
      <c r="IX25">
        <v>-0.89600000000000002</v>
      </c>
      <c r="IY25">
        <v>-5.2003029175701769</v>
      </c>
      <c r="IZ25">
        <v>-5.6215304933332991E-3</v>
      </c>
      <c r="JA25">
        <v>2.3979931213773931E-6</v>
      </c>
      <c r="JB25">
        <v>-3.6297174575716598E-10</v>
      </c>
      <c r="JC25">
        <v>-1.1912147390729011</v>
      </c>
      <c r="JD25">
        <v>2.7492919904454862E-4</v>
      </c>
      <c r="JE25">
        <v>8.6739513355948885E-4</v>
      </c>
      <c r="JF25">
        <v>-8.2500691715147318E-6</v>
      </c>
      <c r="JG25">
        <v>17</v>
      </c>
      <c r="JH25">
        <v>1914</v>
      </c>
      <c r="JI25">
        <v>2</v>
      </c>
      <c r="JJ25">
        <v>37</v>
      </c>
      <c r="JK25">
        <v>4.0999999999999996</v>
      </c>
      <c r="JL25">
        <v>4.0999999999999996</v>
      </c>
      <c r="JM25">
        <v>1.1303700000000001</v>
      </c>
      <c r="JN25">
        <v>2.5512700000000001</v>
      </c>
      <c r="JO25">
        <v>1.50024</v>
      </c>
      <c r="JP25">
        <v>2.2692899999999998</v>
      </c>
      <c r="JQ25">
        <v>1.4477500000000001</v>
      </c>
      <c r="JR25">
        <v>2.4548299999999998</v>
      </c>
      <c r="JS25">
        <v>45.834400000000002</v>
      </c>
      <c r="JT25">
        <v>23.8598</v>
      </c>
      <c r="JU25">
        <v>18</v>
      </c>
      <c r="JV25">
        <v>542.23099999999999</v>
      </c>
      <c r="JW25">
        <v>428.50700000000001</v>
      </c>
      <c r="JX25">
        <v>21.405200000000001</v>
      </c>
      <c r="JY25">
        <v>33.065399999999997</v>
      </c>
      <c r="JZ25">
        <v>30.001100000000001</v>
      </c>
      <c r="KA25">
        <v>33.380899999999997</v>
      </c>
      <c r="KB25">
        <v>33.307200000000002</v>
      </c>
      <c r="KC25">
        <v>22.616800000000001</v>
      </c>
      <c r="KD25">
        <v>31.327999999999999</v>
      </c>
      <c r="KE25">
        <v>0</v>
      </c>
      <c r="KF25">
        <v>21.384599999999999</v>
      </c>
      <c r="KG25">
        <v>435.72199999999998</v>
      </c>
      <c r="KH25">
        <v>19.7788</v>
      </c>
      <c r="KI25">
        <v>100.32299999999999</v>
      </c>
      <c r="KJ25">
        <v>98.546599999999998</v>
      </c>
    </row>
    <row r="26" spans="1:296" x14ac:dyDescent="0.3">
      <c r="A26">
        <v>10</v>
      </c>
      <c r="B26">
        <v>1784744274.5999999</v>
      </c>
      <c r="C26">
        <v>1674.599999904633</v>
      </c>
      <c r="D26" t="s">
        <v>984</v>
      </c>
      <c r="E26" t="s">
        <v>985</v>
      </c>
      <c r="F26">
        <v>15</v>
      </c>
      <c r="H26">
        <v>1784744266.849999</v>
      </c>
      <c r="I26">
        <f t="shared" si="0"/>
        <v>5.396122437219367E-4</v>
      </c>
      <c r="J26">
        <f t="shared" si="1"/>
        <v>0.53961224372193672</v>
      </c>
      <c r="K26">
        <f t="shared" si="2"/>
        <v>7.8687315310070547</v>
      </c>
      <c r="L26">
        <f t="shared" si="3"/>
        <v>420.16686666666669</v>
      </c>
      <c r="M26">
        <f t="shared" si="4"/>
        <v>136.87148779706678</v>
      </c>
      <c r="N26">
        <f t="shared" si="5"/>
        <v>13.45387795664829</v>
      </c>
      <c r="O26">
        <f t="shared" si="6"/>
        <v>41.300593984496693</v>
      </c>
      <c r="P26">
        <f t="shared" si="7"/>
        <v>4.5628842029088353E-2</v>
      </c>
      <c r="Q26">
        <f t="shared" si="8"/>
        <v>2.899150021121307</v>
      </c>
      <c r="R26">
        <f t="shared" si="9"/>
        <v>4.5233606763190243E-2</v>
      </c>
      <c r="S26">
        <f t="shared" si="10"/>
        <v>2.8306229071402764E-2</v>
      </c>
      <c r="T26">
        <f t="shared" si="11"/>
        <v>32.485972030591682</v>
      </c>
      <c r="U26">
        <f t="shared" si="12"/>
        <v>24.848239583486954</v>
      </c>
      <c r="V26">
        <f t="shared" si="13"/>
        <v>24.99627666666667</v>
      </c>
      <c r="W26">
        <f t="shared" si="14"/>
        <v>3.178971828041504</v>
      </c>
      <c r="X26">
        <f t="shared" si="15"/>
        <v>64.861031399698916</v>
      </c>
      <c r="Y26">
        <f t="shared" si="16"/>
        <v>2.0374725012586761</v>
      </c>
      <c r="Z26">
        <f t="shared" si="17"/>
        <v>3.1412890872841315</v>
      </c>
      <c r="AA26">
        <f t="shared" si="18"/>
        <v>1.1414993267828279</v>
      </c>
      <c r="AB26">
        <f t="shared" si="19"/>
        <v>-23.796899948137408</v>
      </c>
      <c r="AC26">
        <f t="shared" si="20"/>
        <v>-31.237392334520869</v>
      </c>
      <c r="AD26">
        <f t="shared" si="21"/>
        <v>-2.2767265836470383</v>
      </c>
      <c r="AE26">
        <f t="shared" si="22"/>
        <v>-24.825046835713636</v>
      </c>
      <c r="AF26">
        <f t="shared" si="23"/>
        <v>7.8687315310070547</v>
      </c>
      <c r="AG26">
        <f t="shared" si="24"/>
        <v>0.53961224372193672</v>
      </c>
      <c r="AH26">
        <f t="shared" si="25"/>
        <v>7.9641983337364239</v>
      </c>
      <c r="AI26">
        <v>438.70108235703981</v>
      </c>
      <c r="AJ26">
        <v>429.01610909090903</v>
      </c>
      <c r="AK26">
        <v>-1.2682208016854119E-2</v>
      </c>
      <c r="AL26">
        <v>67.090588952228757</v>
      </c>
      <c r="AM26">
        <f t="shared" si="26"/>
        <v>0.54969333000110654</v>
      </c>
      <c r="AN26">
        <v>20.09261407639006</v>
      </c>
      <c r="AO26">
        <v>20.73876969696969</v>
      </c>
      <c r="AP26">
        <v>-3.8701065872247518E-5</v>
      </c>
      <c r="AQ26">
        <v>78.24310970070033</v>
      </c>
      <c r="AR26">
        <v>0</v>
      </c>
      <c r="AS26">
        <v>0</v>
      </c>
      <c r="AT26">
        <f t="shared" si="27"/>
        <v>1</v>
      </c>
      <c r="AU26">
        <f t="shared" si="28"/>
        <v>0</v>
      </c>
      <c r="AV26">
        <f t="shared" si="29"/>
        <v>52350.040185721511</v>
      </c>
      <c r="AW26" t="s">
        <v>946</v>
      </c>
      <c r="AX26">
        <v>5143.8100000000004</v>
      </c>
      <c r="AY26">
        <v>572.13529411764716</v>
      </c>
      <c r="AZ26">
        <v>2278.5700000000002</v>
      </c>
      <c r="BA26">
        <f t="shared" si="30"/>
        <v>0.74890598308691536</v>
      </c>
      <c r="BB26">
        <v>-3.4090879133521459</v>
      </c>
      <c r="BC26" t="s">
        <v>986</v>
      </c>
      <c r="BD26">
        <v>5165.97</v>
      </c>
      <c r="BE26">
        <v>757.92041176470593</v>
      </c>
      <c r="BF26">
        <v>1718.28</v>
      </c>
      <c r="BG26">
        <f t="shared" si="31"/>
        <v>0.55890750531653399</v>
      </c>
      <c r="BH26">
        <v>0.5</v>
      </c>
      <c r="BI26">
        <f t="shared" si="32"/>
        <v>168.30011599512525</v>
      </c>
      <c r="BJ26">
        <f t="shared" si="33"/>
        <v>7.8687315310070547</v>
      </c>
      <c r="BK26">
        <f t="shared" si="34"/>
        <v>47.032098987659374</v>
      </c>
      <c r="BL26">
        <f t="shared" si="35"/>
        <v>6.7010170359513357E-2</v>
      </c>
      <c r="BM26">
        <f t="shared" si="36"/>
        <v>0.32607607607607619</v>
      </c>
      <c r="BN26">
        <f t="shared" si="37"/>
        <v>528.83641507470816</v>
      </c>
      <c r="BO26" t="s">
        <v>408</v>
      </c>
      <c r="BP26">
        <v>0</v>
      </c>
      <c r="BQ26">
        <f t="shared" si="38"/>
        <v>528.83641507470816</v>
      </c>
      <c r="BR26">
        <f t="shared" si="39"/>
        <v>0.69222919717699782</v>
      </c>
      <c r="BS26">
        <f t="shared" si="40"/>
        <v>0.80740238579336543</v>
      </c>
      <c r="BT26">
        <f t="shared" si="41"/>
        <v>0.32021446283430788</v>
      </c>
      <c r="BU26">
        <f t="shared" si="42"/>
        <v>0.83790430938296467</v>
      </c>
      <c r="BV26">
        <f t="shared" si="43"/>
        <v>0.32833954798773785</v>
      </c>
      <c r="BW26">
        <f t="shared" si="44"/>
        <v>0.56336229582676245</v>
      </c>
      <c r="BX26">
        <f t="shared" si="45"/>
        <v>0.43663770417323755</v>
      </c>
      <c r="DG26">
        <f t="shared" si="46"/>
        <v>200.00906666666671</v>
      </c>
      <c r="DH26">
        <f t="shared" si="47"/>
        <v>168.30011599512525</v>
      </c>
      <c r="DI26">
        <f t="shared" si="48"/>
        <v>0.8414624336786326</v>
      </c>
      <c r="DJ26">
        <f t="shared" si="49"/>
        <v>0.16242249699976105</v>
      </c>
      <c r="DK26">
        <v>6</v>
      </c>
      <c r="DL26">
        <v>0.5</v>
      </c>
      <c r="DM26" t="s">
        <v>409</v>
      </c>
      <c r="DN26">
        <v>2</v>
      </c>
      <c r="DO26" t="b">
        <v>0</v>
      </c>
      <c r="DP26">
        <v>1784744266.849999</v>
      </c>
      <c r="DQ26">
        <v>420.16686666666669</v>
      </c>
      <c r="DR26">
        <v>429.88086666666669</v>
      </c>
      <c r="DS26">
        <v>20.72799333333333</v>
      </c>
      <c r="DT26">
        <v>20.093916666666662</v>
      </c>
      <c r="DU26">
        <v>427.35996666666671</v>
      </c>
      <c r="DV26">
        <v>21.623993333333331</v>
      </c>
      <c r="DW26">
        <v>500.02833333333342</v>
      </c>
      <c r="DX26">
        <v>98.24606</v>
      </c>
      <c r="DY26">
        <v>4.9634546666666668E-2</v>
      </c>
      <c r="DZ26">
        <v>24.796420000000001</v>
      </c>
      <c r="EA26">
        <v>24.99627666666667</v>
      </c>
      <c r="EB26">
        <v>999.9000000000002</v>
      </c>
      <c r="EC26">
        <v>0</v>
      </c>
      <c r="ED26">
        <v>0</v>
      </c>
      <c r="EE26">
        <v>10003.16666666667</v>
      </c>
      <c r="EF26">
        <v>0</v>
      </c>
      <c r="EG26">
        <v>574.39730000000009</v>
      </c>
      <c r="EH26">
        <v>-9.7139896666666665</v>
      </c>
      <c r="EI26">
        <v>429.07106666666658</v>
      </c>
      <c r="EJ26">
        <v>438.69600000000003</v>
      </c>
      <c r="EK26">
        <v>0.65840533333333318</v>
      </c>
      <c r="EL26">
        <v>429.88086666666669</v>
      </c>
      <c r="EM26">
        <v>20.093916666666662</v>
      </c>
      <c r="EN26">
        <v>2.0388336666666671</v>
      </c>
      <c r="EO26">
        <v>1.9741483333333329</v>
      </c>
      <c r="EP26">
        <v>17.74918666666667</v>
      </c>
      <c r="EQ26">
        <v>17.23850333333333</v>
      </c>
      <c r="ER26">
        <v>200.00906666666671</v>
      </c>
      <c r="ES26">
        <v>0.95000599999999968</v>
      </c>
      <c r="ET26">
        <v>4.9994499999999983E-2</v>
      </c>
      <c r="EU26">
        <v>0</v>
      </c>
      <c r="EV26">
        <v>757.86920000000021</v>
      </c>
      <c r="EW26">
        <v>5.0010700000000003</v>
      </c>
      <c r="EX26">
        <v>4475.7196666666669</v>
      </c>
      <c r="EY26">
        <v>1751.913666666667</v>
      </c>
      <c r="EZ26">
        <v>36.875</v>
      </c>
      <c r="FA26">
        <v>40.75</v>
      </c>
      <c r="FB26">
        <v>38.968499999999977</v>
      </c>
      <c r="FC26">
        <v>40.497899999999987</v>
      </c>
      <c r="FD26">
        <v>38.936999999999991</v>
      </c>
      <c r="FE26">
        <v>185.2580000000001</v>
      </c>
      <c r="FF26">
        <v>9.75</v>
      </c>
      <c r="FG26">
        <v>0</v>
      </c>
      <c r="FH26">
        <v>196.5999999046326</v>
      </c>
      <c r="FI26">
        <v>0</v>
      </c>
      <c r="FJ26">
        <v>757.92041176470593</v>
      </c>
      <c r="FK26">
        <v>-0.3296568462934687</v>
      </c>
      <c r="FL26">
        <v>439.38235519667381</v>
      </c>
      <c r="FM26">
        <v>4499.8076470588239</v>
      </c>
      <c r="FN26">
        <v>10</v>
      </c>
      <c r="FO26">
        <v>1784744289.5999999</v>
      </c>
      <c r="FP26" t="s">
        <v>987</v>
      </c>
      <c r="FQ26">
        <v>1784743829.5</v>
      </c>
      <c r="FR26">
        <v>1784744289.5999999</v>
      </c>
      <c r="FS26">
        <v>49</v>
      </c>
      <c r="FT26">
        <v>8.3000000000000004E-2</v>
      </c>
      <c r="FU26">
        <v>-8.0000000000000002E-3</v>
      </c>
      <c r="FV26">
        <v>-7.28</v>
      </c>
      <c r="FW26">
        <v>-0.89600000000000002</v>
      </c>
      <c r="FX26">
        <v>443</v>
      </c>
      <c r="FY26">
        <v>20</v>
      </c>
      <c r="FZ26">
        <v>0.36</v>
      </c>
      <c r="GA26">
        <v>0.51</v>
      </c>
      <c r="GB26">
        <v>420.16935483870981</v>
      </c>
      <c r="GC26">
        <v>-0.12077419354857261</v>
      </c>
      <c r="GD26">
        <v>4.7132310941135569E-2</v>
      </c>
      <c r="GE26">
        <v>-1</v>
      </c>
      <c r="GF26">
        <v>757.84470588235297</v>
      </c>
      <c r="GG26">
        <v>0.67896103839906563</v>
      </c>
      <c r="GH26">
        <v>0.21563593084474</v>
      </c>
      <c r="GI26">
        <v>1</v>
      </c>
      <c r="GJ26">
        <v>0.66303260975609757</v>
      </c>
      <c r="GK26">
        <v>-0.1051889059233449</v>
      </c>
      <c r="GL26">
        <v>1.1513929993555201E-2</v>
      </c>
      <c r="GM26">
        <v>1</v>
      </c>
      <c r="GN26">
        <v>2</v>
      </c>
      <c r="GO26">
        <v>2</v>
      </c>
      <c r="GP26" t="s">
        <v>424</v>
      </c>
      <c r="GQ26">
        <v>3.1307200000000002</v>
      </c>
      <c r="GR26">
        <v>2.7257899999999999</v>
      </c>
      <c r="GS26">
        <v>9.2250399999999996E-2</v>
      </c>
      <c r="GT26">
        <v>9.3398800000000004E-2</v>
      </c>
      <c r="GU26">
        <v>0.10445</v>
      </c>
      <c r="GV26">
        <v>9.9602200000000002E-2</v>
      </c>
      <c r="GW26">
        <v>22746</v>
      </c>
      <c r="GX26">
        <v>30506.6</v>
      </c>
      <c r="GY26">
        <v>27178.1</v>
      </c>
      <c r="GZ26">
        <v>34596.800000000003</v>
      </c>
      <c r="HA26">
        <v>35655.4</v>
      </c>
      <c r="HB26">
        <v>39300.800000000003</v>
      </c>
      <c r="HC26">
        <v>40145</v>
      </c>
      <c r="HD26">
        <v>43730.1</v>
      </c>
      <c r="HE26">
        <v>1.9736</v>
      </c>
      <c r="HF26">
        <v>1.776</v>
      </c>
      <c r="HG26">
        <v>-7.5846899999999995E-2</v>
      </c>
      <c r="HH26">
        <v>0</v>
      </c>
      <c r="HI26">
        <v>26.2559</v>
      </c>
      <c r="HJ26">
        <v>999.9</v>
      </c>
      <c r="HK26">
        <v>35.299999999999997</v>
      </c>
      <c r="HL26">
        <v>40.4</v>
      </c>
      <c r="HM26">
        <v>27.209</v>
      </c>
      <c r="HN26">
        <v>60.555599999999998</v>
      </c>
      <c r="HO26">
        <v>6.0296500000000002</v>
      </c>
      <c r="HP26">
        <v>1</v>
      </c>
      <c r="HQ26">
        <v>0.47749999999999998</v>
      </c>
      <c r="HR26">
        <v>4.5433300000000001</v>
      </c>
      <c r="HS26">
        <v>20.189399999999999</v>
      </c>
      <c r="HT26">
        <v>5.2112999999999996</v>
      </c>
      <c r="HU26">
        <v>11.908099999999999</v>
      </c>
      <c r="HV26">
        <v>4.9851999999999999</v>
      </c>
      <c r="HW26">
        <v>3.2707999999999999</v>
      </c>
      <c r="HX26">
        <v>9999</v>
      </c>
      <c r="HY26">
        <v>9999</v>
      </c>
      <c r="HZ26">
        <v>9999</v>
      </c>
      <c r="IA26">
        <v>999.9</v>
      </c>
      <c r="IB26">
        <v>1.86774</v>
      </c>
      <c r="IC26">
        <v>1.8633999999999999</v>
      </c>
      <c r="ID26">
        <v>1.8629500000000001</v>
      </c>
      <c r="IE26">
        <v>1.86243</v>
      </c>
      <c r="IF26">
        <v>1.86246</v>
      </c>
      <c r="IG26">
        <v>1.8629500000000001</v>
      </c>
      <c r="IH26">
        <v>1.8638600000000001</v>
      </c>
      <c r="II26">
        <v>1.86188</v>
      </c>
      <c r="IJ26">
        <v>0</v>
      </c>
      <c r="IK26">
        <v>0</v>
      </c>
      <c r="IL26">
        <v>0</v>
      </c>
      <c r="IM26">
        <v>4.5</v>
      </c>
      <c r="IN26" t="s">
        <v>412</v>
      </c>
      <c r="IO26" t="s">
        <v>413</v>
      </c>
      <c r="IP26" t="s">
        <v>414</v>
      </c>
      <c r="IQ26" t="s">
        <v>415</v>
      </c>
      <c r="IR26" t="s">
        <v>415</v>
      </c>
      <c r="IS26" t="s">
        <v>414</v>
      </c>
      <c r="IT26">
        <v>0</v>
      </c>
      <c r="IU26">
        <v>100</v>
      </c>
      <c r="IV26">
        <v>100</v>
      </c>
      <c r="IW26">
        <v>-7.1929999999999996</v>
      </c>
      <c r="IX26">
        <v>-0.89600000000000002</v>
      </c>
      <c r="IY26">
        <v>-5.2003029175701769</v>
      </c>
      <c r="IZ26">
        <v>-5.6215304933332991E-3</v>
      </c>
      <c r="JA26">
        <v>2.3979931213773931E-6</v>
      </c>
      <c r="JB26">
        <v>-3.6297174575716598E-10</v>
      </c>
      <c r="JC26">
        <v>-1.199785461615744</v>
      </c>
      <c r="JD26">
        <v>2.7492919904454862E-4</v>
      </c>
      <c r="JE26">
        <v>8.6739513355948885E-4</v>
      </c>
      <c r="JF26">
        <v>-8.2500691715147318E-6</v>
      </c>
      <c r="JG26">
        <v>17</v>
      </c>
      <c r="JH26">
        <v>1914</v>
      </c>
      <c r="JI26">
        <v>2</v>
      </c>
      <c r="JJ26">
        <v>37</v>
      </c>
      <c r="JK26">
        <v>7.4</v>
      </c>
      <c r="JL26">
        <v>3</v>
      </c>
      <c r="JM26">
        <v>1.11938</v>
      </c>
      <c r="JN26">
        <v>2.5561500000000001</v>
      </c>
      <c r="JO26">
        <v>1.50024</v>
      </c>
      <c r="JP26">
        <v>2.2680699999999998</v>
      </c>
      <c r="JQ26">
        <v>1.4477500000000001</v>
      </c>
      <c r="JR26">
        <v>2.3584000000000001</v>
      </c>
      <c r="JS26">
        <v>45.892099999999999</v>
      </c>
      <c r="JT26">
        <v>23.851099999999999</v>
      </c>
      <c r="JU26">
        <v>18</v>
      </c>
      <c r="JV26">
        <v>541.726</v>
      </c>
      <c r="JW26">
        <v>427.995</v>
      </c>
      <c r="JX26">
        <v>21.548500000000001</v>
      </c>
      <c r="JY26">
        <v>33.077199999999998</v>
      </c>
      <c r="JZ26">
        <v>30</v>
      </c>
      <c r="KA26">
        <v>33.383899999999997</v>
      </c>
      <c r="KB26">
        <v>33.304299999999998</v>
      </c>
      <c r="KC26">
        <v>22.3858</v>
      </c>
      <c r="KD26">
        <v>30.301100000000002</v>
      </c>
      <c r="KE26">
        <v>0</v>
      </c>
      <c r="KF26">
        <v>21.554099999999998</v>
      </c>
      <c r="KG26">
        <v>429.75200000000001</v>
      </c>
      <c r="KH26">
        <v>20.1205</v>
      </c>
      <c r="KI26">
        <v>100.322</v>
      </c>
      <c r="KJ26">
        <v>98.551900000000003</v>
      </c>
    </row>
    <row r="27" spans="1:296" x14ac:dyDescent="0.3">
      <c r="A27">
        <v>11</v>
      </c>
      <c r="B27">
        <v>1784744470.5999999</v>
      </c>
      <c r="C27">
        <v>1870.599999904633</v>
      </c>
      <c r="D27" t="s">
        <v>988</v>
      </c>
      <c r="E27" t="s">
        <v>989</v>
      </c>
      <c r="F27">
        <v>15</v>
      </c>
      <c r="H27">
        <v>1784744462.599999</v>
      </c>
      <c r="I27">
        <f t="shared" si="0"/>
        <v>4.5538085956070204E-4</v>
      </c>
      <c r="J27">
        <f t="shared" si="1"/>
        <v>0.45538085956070207</v>
      </c>
      <c r="K27">
        <f t="shared" si="2"/>
        <v>3.2926026392673671</v>
      </c>
      <c r="L27">
        <f t="shared" si="3"/>
        <v>420.14629032258063</v>
      </c>
      <c r="M27">
        <f t="shared" si="4"/>
        <v>274.22748210683841</v>
      </c>
      <c r="N27">
        <f t="shared" si="5"/>
        <v>26.95522320260562</v>
      </c>
      <c r="O27">
        <f t="shared" si="6"/>
        <v>41.298329935362403</v>
      </c>
      <c r="P27">
        <f t="shared" si="7"/>
        <v>3.8073374189399836E-2</v>
      </c>
      <c r="Q27">
        <f t="shared" si="8"/>
        <v>2.8974990131092837</v>
      </c>
      <c r="R27">
        <f t="shared" si="9"/>
        <v>3.7797610121965884E-2</v>
      </c>
      <c r="S27">
        <f t="shared" si="10"/>
        <v>2.3648115990901775E-2</v>
      </c>
      <c r="T27">
        <f t="shared" si="11"/>
        <v>16.510000516117639</v>
      </c>
      <c r="U27">
        <f t="shared" si="12"/>
        <v>24.672192532233307</v>
      </c>
      <c r="V27">
        <f t="shared" si="13"/>
        <v>25.01781290322581</v>
      </c>
      <c r="W27">
        <f t="shared" si="14"/>
        <v>3.1830559402272938</v>
      </c>
      <c r="X27">
        <f t="shared" si="15"/>
        <v>65.028451740518847</v>
      </c>
      <c r="Y27">
        <f t="shared" si="16"/>
        <v>2.0302130876462532</v>
      </c>
      <c r="Z27">
        <f t="shared" si="17"/>
        <v>3.1220381745322094</v>
      </c>
      <c r="AA27">
        <f t="shared" si="18"/>
        <v>1.1528428525810406</v>
      </c>
      <c r="AB27">
        <f t="shared" si="19"/>
        <v>-20.08229590662696</v>
      </c>
      <c r="AC27">
        <f t="shared" si="20"/>
        <v>-50.659396134655054</v>
      </c>
      <c r="AD27">
        <f t="shared" si="21"/>
        <v>-3.6928836578601922</v>
      </c>
      <c r="AE27">
        <f t="shared" si="22"/>
        <v>-57.924575183024572</v>
      </c>
      <c r="AF27">
        <f t="shared" si="23"/>
        <v>3.2926026392673671</v>
      </c>
      <c r="AG27">
        <f t="shared" si="24"/>
        <v>0.45538085956070207</v>
      </c>
      <c r="AH27">
        <f t="shared" si="25"/>
        <v>3.1898655697061042</v>
      </c>
      <c r="AI27">
        <v>432.89344142587288</v>
      </c>
      <c r="AJ27">
        <v>428.96924848484849</v>
      </c>
      <c r="AK27">
        <v>3.308543363612674E-3</v>
      </c>
      <c r="AL27">
        <v>67.094170495133213</v>
      </c>
      <c r="AM27">
        <f t="shared" si="26"/>
        <v>0.38137173049425954</v>
      </c>
      <c r="AN27">
        <v>20.121391828470351</v>
      </c>
      <c r="AO27">
        <v>20.606030303030291</v>
      </c>
      <c r="AP27">
        <v>-5.8630384398263534E-3</v>
      </c>
      <c r="AQ27">
        <v>78.251714289399487</v>
      </c>
      <c r="AR27">
        <v>0</v>
      </c>
      <c r="AS27">
        <v>0</v>
      </c>
      <c r="AT27">
        <f t="shared" si="27"/>
        <v>1</v>
      </c>
      <c r="AU27">
        <f t="shared" si="28"/>
        <v>0</v>
      </c>
      <c r="AV27">
        <f t="shared" si="29"/>
        <v>52320.569981846311</v>
      </c>
      <c r="AW27" t="s">
        <v>946</v>
      </c>
      <c r="AX27">
        <v>5143.8100000000004</v>
      </c>
      <c r="AY27">
        <v>572.13529411764716</v>
      </c>
      <c r="AZ27">
        <v>2278.5700000000002</v>
      </c>
      <c r="BA27">
        <f t="shared" si="30"/>
        <v>0.74890598308691536</v>
      </c>
      <c r="BB27">
        <v>-3.4090879133521459</v>
      </c>
      <c r="BC27" t="s">
        <v>990</v>
      </c>
      <c r="BD27">
        <v>5167.08</v>
      </c>
      <c r="BE27">
        <v>754.30564705882341</v>
      </c>
      <c r="BF27">
        <v>1928.36</v>
      </c>
      <c r="BG27">
        <f t="shared" si="31"/>
        <v>0.60883567017630347</v>
      </c>
      <c r="BH27">
        <v>0.5</v>
      </c>
      <c r="BI27">
        <f t="shared" si="32"/>
        <v>84.288335820819754</v>
      </c>
      <c r="BJ27">
        <f t="shared" si="33"/>
        <v>3.2926026392673671</v>
      </c>
      <c r="BK27">
        <f t="shared" si="34"/>
        <v>25.658872713757059</v>
      </c>
      <c r="BL27">
        <f t="shared" si="35"/>
        <v>7.9509109859114732E-2</v>
      </c>
      <c r="BM27">
        <f t="shared" si="36"/>
        <v>0.18161028023812995</v>
      </c>
      <c r="BN27">
        <f t="shared" si="37"/>
        <v>547.18305998904373</v>
      </c>
      <c r="BO27" t="s">
        <v>408</v>
      </c>
      <c r="BP27">
        <v>0</v>
      </c>
      <c r="BQ27">
        <f t="shared" si="38"/>
        <v>547.18305998904373</v>
      </c>
      <c r="BR27">
        <f t="shared" si="39"/>
        <v>0.71624434234839773</v>
      </c>
      <c r="BS27">
        <f t="shared" si="40"/>
        <v>0.85003906373636928</v>
      </c>
      <c r="BT27">
        <f t="shared" si="41"/>
        <v>0.20227136517373989</v>
      </c>
      <c r="BU27">
        <f t="shared" si="42"/>
        <v>0.86567834065324956</v>
      </c>
      <c r="BV27">
        <f t="shared" si="43"/>
        <v>0.20522906548534817</v>
      </c>
      <c r="BW27">
        <f t="shared" si="44"/>
        <v>0.61662931706676727</v>
      </c>
      <c r="BX27">
        <f t="shared" si="45"/>
        <v>0.38337068293323273</v>
      </c>
      <c r="DG27">
        <f t="shared" si="46"/>
        <v>100.0044387096774</v>
      </c>
      <c r="DH27">
        <f t="shared" si="47"/>
        <v>84.288335820819754</v>
      </c>
      <c r="DI27">
        <f t="shared" si="48"/>
        <v>0.8428459467235947</v>
      </c>
      <c r="DJ27">
        <f t="shared" si="49"/>
        <v>0.16509267717653789</v>
      </c>
      <c r="DK27">
        <v>6</v>
      </c>
      <c r="DL27">
        <v>0.5</v>
      </c>
      <c r="DM27" t="s">
        <v>409</v>
      </c>
      <c r="DN27">
        <v>2</v>
      </c>
      <c r="DO27" t="b">
        <v>0</v>
      </c>
      <c r="DP27">
        <v>1784744462.599999</v>
      </c>
      <c r="DQ27">
        <v>420.14629032258063</v>
      </c>
      <c r="DR27">
        <v>424.32716129032252</v>
      </c>
      <c r="DS27">
        <v>20.65426129032257</v>
      </c>
      <c r="DT27">
        <v>20.11907096774193</v>
      </c>
      <c r="DU27">
        <v>427.31606451612907</v>
      </c>
      <c r="DV27">
        <v>21.539345161290321</v>
      </c>
      <c r="DW27">
        <v>499.98135483870959</v>
      </c>
      <c r="DX27">
        <v>98.244390322580657</v>
      </c>
      <c r="DY27">
        <v>5.0729464516129023E-2</v>
      </c>
      <c r="DZ27">
        <v>24.69350967741936</v>
      </c>
      <c r="EA27">
        <v>25.01781290322581</v>
      </c>
      <c r="EB27">
        <v>999.90000000000032</v>
      </c>
      <c r="EC27">
        <v>0</v>
      </c>
      <c r="ED27">
        <v>0</v>
      </c>
      <c r="EE27">
        <v>9993.8709677419356</v>
      </c>
      <c r="EF27">
        <v>0</v>
      </c>
      <c r="EG27">
        <v>655.31983870967747</v>
      </c>
      <c r="EH27">
        <v>-4.1808367741935486</v>
      </c>
      <c r="EI27">
        <v>429.00716129032259</v>
      </c>
      <c r="EJ27">
        <v>433.03951612903228</v>
      </c>
      <c r="EK27">
        <v>0.53520554838709677</v>
      </c>
      <c r="EL27">
        <v>424.32716129032252</v>
      </c>
      <c r="EM27">
        <v>20.11907096774193</v>
      </c>
      <c r="EN27">
        <v>2.0291651612903232</v>
      </c>
      <c r="EO27">
        <v>1.9765851612903229</v>
      </c>
      <c r="EP27">
        <v>17.673758064516129</v>
      </c>
      <c r="EQ27">
        <v>17.258012903225801</v>
      </c>
      <c r="ER27">
        <v>100.0044387096774</v>
      </c>
      <c r="ES27">
        <v>0.90012312903225788</v>
      </c>
      <c r="ET27">
        <v>9.9876522580645194E-2</v>
      </c>
      <c r="EU27">
        <v>0</v>
      </c>
      <c r="EV27">
        <v>754.34248387096761</v>
      </c>
      <c r="EW27">
        <v>5.0010700000000003</v>
      </c>
      <c r="EX27">
        <v>3883.2874193548391</v>
      </c>
      <c r="EY27">
        <v>836.65190322580668</v>
      </c>
      <c r="EZ27">
        <v>36.625</v>
      </c>
      <c r="FA27">
        <v>40.75</v>
      </c>
      <c r="FB27">
        <v>38.811999999999983</v>
      </c>
      <c r="FC27">
        <v>40.5</v>
      </c>
      <c r="FD27">
        <v>38.73374193548387</v>
      </c>
      <c r="FE27">
        <v>85.515161290322595</v>
      </c>
      <c r="FF27">
        <v>9.4867741935483902</v>
      </c>
      <c r="FG27">
        <v>0</v>
      </c>
      <c r="FH27">
        <v>195.4000000953674</v>
      </c>
      <c r="FI27">
        <v>0</v>
      </c>
      <c r="FJ27">
        <v>754.30564705882341</v>
      </c>
      <c r="FK27">
        <v>-9.9264747942303055E-2</v>
      </c>
      <c r="FL27">
        <v>5374.2892053517662</v>
      </c>
      <c r="FM27">
        <v>3989.404705882353</v>
      </c>
      <c r="FN27">
        <v>10</v>
      </c>
      <c r="FO27">
        <v>1784744414.0999999</v>
      </c>
      <c r="FP27" t="s">
        <v>991</v>
      </c>
      <c r="FQ27">
        <v>1784744414.0999999</v>
      </c>
      <c r="FR27">
        <v>1784744407.5999999</v>
      </c>
      <c r="FS27">
        <v>50</v>
      </c>
      <c r="FT27">
        <v>2.3E-2</v>
      </c>
      <c r="FU27">
        <v>-4.0000000000000001E-3</v>
      </c>
      <c r="FV27">
        <v>-7.1870000000000003</v>
      </c>
      <c r="FW27">
        <v>-0.89500000000000002</v>
      </c>
      <c r="FX27">
        <v>425</v>
      </c>
      <c r="FY27">
        <v>20</v>
      </c>
      <c r="FZ27">
        <v>2.12</v>
      </c>
      <c r="GA27">
        <v>0.74</v>
      </c>
      <c r="GB27">
        <v>420.14523333333341</v>
      </c>
      <c r="GC27">
        <v>-0.17168409343725599</v>
      </c>
      <c r="GD27">
        <v>4.578695835667098E-2</v>
      </c>
      <c r="GE27">
        <v>-1</v>
      </c>
      <c r="GF27">
        <v>754.33620588235283</v>
      </c>
      <c r="GG27">
        <v>-0.16414056734842061</v>
      </c>
      <c r="GH27">
        <v>0.18219895063488881</v>
      </c>
      <c r="GI27">
        <v>1</v>
      </c>
      <c r="GJ27">
        <v>0.55994460000000001</v>
      </c>
      <c r="GK27">
        <v>-0.4634904540337727</v>
      </c>
      <c r="GL27">
        <v>4.4765699622478818E-2</v>
      </c>
      <c r="GM27">
        <v>1</v>
      </c>
      <c r="GN27">
        <v>2</v>
      </c>
      <c r="GO27">
        <v>2</v>
      </c>
      <c r="GP27" t="s">
        <v>424</v>
      </c>
      <c r="GQ27">
        <v>3.1319599999999999</v>
      </c>
      <c r="GR27">
        <v>2.7257899999999999</v>
      </c>
      <c r="GS27">
        <v>9.2208799999999994E-2</v>
      </c>
      <c r="GT27">
        <v>9.2452999999999994E-2</v>
      </c>
      <c r="GU27">
        <v>0.104009</v>
      </c>
      <c r="GV27">
        <v>9.9692000000000003E-2</v>
      </c>
      <c r="GW27">
        <v>22742.799999999999</v>
      </c>
      <c r="GX27">
        <v>30530.5</v>
      </c>
      <c r="GY27">
        <v>27173.599999999999</v>
      </c>
      <c r="GZ27">
        <v>34588.699999999997</v>
      </c>
      <c r="HA27">
        <v>35668.400000000001</v>
      </c>
      <c r="HB27">
        <v>39288.699999999997</v>
      </c>
      <c r="HC27">
        <v>40139.300000000003</v>
      </c>
      <c r="HD27">
        <v>43720.9</v>
      </c>
      <c r="HE27">
        <v>1.9734</v>
      </c>
      <c r="HF27">
        <v>1.7714000000000001</v>
      </c>
      <c r="HG27">
        <v>-9.4324400000000003E-2</v>
      </c>
      <c r="HH27">
        <v>0</v>
      </c>
      <c r="HI27">
        <v>26.539400000000001</v>
      </c>
      <c r="HJ27">
        <v>999.9</v>
      </c>
      <c r="HK27">
        <v>35</v>
      </c>
      <c r="HL27">
        <v>40.5</v>
      </c>
      <c r="HM27">
        <v>27.125599999999999</v>
      </c>
      <c r="HN27">
        <v>61.235599999999998</v>
      </c>
      <c r="HO27">
        <v>5.9174699999999998</v>
      </c>
      <c r="HP27">
        <v>1</v>
      </c>
      <c r="HQ27">
        <v>0.49406499999999998</v>
      </c>
      <c r="HR27">
        <v>5.18438</v>
      </c>
      <c r="HS27">
        <v>20.1723</v>
      </c>
      <c r="HT27">
        <v>5.2112999999999996</v>
      </c>
      <c r="HU27">
        <v>11.908099999999999</v>
      </c>
      <c r="HV27">
        <v>4.9843999999999999</v>
      </c>
      <c r="HW27">
        <v>3.2709999999999999</v>
      </c>
      <c r="HX27">
        <v>9999</v>
      </c>
      <c r="HY27">
        <v>9999</v>
      </c>
      <c r="HZ27">
        <v>9999</v>
      </c>
      <c r="IA27">
        <v>999.9</v>
      </c>
      <c r="IB27">
        <v>1.8677999999999999</v>
      </c>
      <c r="IC27">
        <v>1.8633999999999999</v>
      </c>
      <c r="ID27">
        <v>1.8629199999999999</v>
      </c>
      <c r="IE27">
        <v>1.86249</v>
      </c>
      <c r="IF27">
        <v>1.86249</v>
      </c>
      <c r="IG27">
        <v>1.8630100000000001</v>
      </c>
      <c r="IH27">
        <v>1.86392</v>
      </c>
      <c r="II27">
        <v>1.86188</v>
      </c>
      <c r="IJ27">
        <v>0</v>
      </c>
      <c r="IK27">
        <v>0</v>
      </c>
      <c r="IL27">
        <v>0</v>
      </c>
      <c r="IM27">
        <v>4.5</v>
      </c>
      <c r="IN27" t="s">
        <v>412</v>
      </c>
      <c r="IO27" t="s">
        <v>413</v>
      </c>
      <c r="IP27" t="s">
        <v>414</v>
      </c>
      <c r="IQ27" t="s">
        <v>415</v>
      </c>
      <c r="IR27" t="s">
        <v>415</v>
      </c>
      <c r="IS27" t="s">
        <v>414</v>
      </c>
      <c r="IT27">
        <v>0</v>
      </c>
      <c r="IU27">
        <v>100</v>
      </c>
      <c r="IV27">
        <v>100</v>
      </c>
      <c r="IW27">
        <v>-7.17</v>
      </c>
      <c r="IX27">
        <v>-0.88639999999999997</v>
      </c>
      <c r="IY27">
        <v>-5.1771051728662307</v>
      </c>
      <c r="IZ27">
        <v>-5.6215304933332991E-3</v>
      </c>
      <c r="JA27">
        <v>2.3979931213773931E-6</v>
      </c>
      <c r="JB27">
        <v>-3.6297174575716598E-10</v>
      </c>
      <c r="JC27">
        <v>-1.210977892047959</v>
      </c>
      <c r="JD27">
        <v>2.7492919904454862E-4</v>
      </c>
      <c r="JE27">
        <v>8.6739513355948885E-4</v>
      </c>
      <c r="JF27">
        <v>-8.2500691715147318E-6</v>
      </c>
      <c r="JG27">
        <v>17</v>
      </c>
      <c r="JH27">
        <v>1914</v>
      </c>
      <c r="JI27">
        <v>2</v>
      </c>
      <c r="JJ27">
        <v>37</v>
      </c>
      <c r="JK27">
        <v>0.9</v>
      </c>
      <c r="JL27">
        <v>1.1000000000000001</v>
      </c>
      <c r="JM27">
        <v>1.1084000000000001</v>
      </c>
      <c r="JN27">
        <v>2.5537100000000001</v>
      </c>
      <c r="JO27">
        <v>1.50024</v>
      </c>
      <c r="JP27">
        <v>2.2680699999999998</v>
      </c>
      <c r="JQ27">
        <v>1.4477500000000001</v>
      </c>
      <c r="JR27">
        <v>2.47559</v>
      </c>
      <c r="JS27">
        <v>46.0077</v>
      </c>
      <c r="JT27">
        <v>23.851099999999999</v>
      </c>
      <c r="JU27">
        <v>18</v>
      </c>
      <c r="JV27">
        <v>542.37599999999998</v>
      </c>
      <c r="JW27">
        <v>425.82799999999997</v>
      </c>
      <c r="JX27">
        <v>21.152200000000001</v>
      </c>
      <c r="JY27">
        <v>33.2044</v>
      </c>
      <c r="JZ27">
        <v>30.000800000000002</v>
      </c>
      <c r="KA27">
        <v>33.477699999999999</v>
      </c>
      <c r="KB27">
        <v>33.400599999999997</v>
      </c>
      <c r="KC27">
        <v>22.1616</v>
      </c>
      <c r="KD27">
        <v>30.2392</v>
      </c>
      <c r="KE27">
        <v>0</v>
      </c>
      <c r="KF27">
        <v>21.152999999999999</v>
      </c>
      <c r="KG27">
        <v>424.19200000000001</v>
      </c>
      <c r="KH27">
        <v>20.1281</v>
      </c>
      <c r="KI27">
        <v>100.307</v>
      </c>
      <c r="KJ27">
        <v>98.530100000000004</v>
      </c>
    </row>
    <row r="28" spans="1:296" x14ac:dyDescent="0.3">
      <c r="A28">
        <v>12</v>
      </c>
      <c r="B28">
        <v>1784744653.0999999</v>
      </c>
      <c r="C28">
        <v>2053.099999904633</v>
      </c>
      <c r="D28" t="s">
        <v>992</v>
      </c>
      <c r="E28" t="s">
        <v>993</v>
      </c>
      <c r="F28">
        <v>15</v>
      </c>
      <c r="H28">
        <v>1784744645.349999</v>
      </c>
      <c r="I28">
        <f t="shared" si="0"/>
        <v>1.8142453569958516E-4</v>
      </c>
      <c r="J28">
        <f t="shared" si="1"/>
        <v>0.18142453569958517</v>
      </c>
      <c r="K28">
        <f t="shared" si="2"/>
        <v>0.82855710254318049</v>
      </c>
      <c r="L28">
        <f t="shared" si="3"/>
        <v>419.99766666666659</v>
      </c>
      <c r="M28">
        <f t="shared" si="4"/>
        <v>325.12537701716838</v>
      </c>
      <c r="N28">
        <f t="shared" si="5"/>
        <v>31.957724963960445</v>
      </c>
      <c r="O28">
        <f t="shared" si="6"/>
        <v>41.283058369601541</v>
      </c>
      <c r="P28">
        <f t="shared" si="7"/>
        <v>1.5150890515068809E-2</v>
      </c>
      <c r="Q28">
        <f t="shared" si="8"/>
        <v>2.9010561584525734</v>
      </c>
      <c r="R28">
        <f t="shared" si="9"/>
        <v>1.5107068822983773E-2</v>
      </c>
      <c r="S28">
        <f t="shared" si="10"/>
        <v>9.4458445872200036E-3</v>
      </c>
      <c r="T28">
        <f t="shared" si="11"/>
        <v>8.2452236935534238</v>
      </c>
      <c r="U28">
        <f t="shared" si="12"/>
        <v>24.719233406306806</v>
      </c>
      <c r="V28">
        <f t="shared" si="13"/>
        <v>24.956046666666669</v>
      </c>
      <c r="W28">
        <f t="shared" si="14"/>
        <v>3.1713549130887868</v>
      </c>
      <c r="X28">
        <f t="shared" si="15"/>
        <v>64.675003047423345</v>
      </c>
      <c r="Y28">
        <f t="shared" si="16"/>
        <v>2.02210818345202</v>
      </c>
      <c r="Z28">
        <f t="shared" si="17"/>
        <v>3.1265683620753708</v>
      </c>
      <c r="AA28">
        <f t="shared" si="18"/>
        <v>1.1492467296367668</v>
      </c>
      <c r="AB28">
        <f t="shared" si="19"/>
        <v>-8.0008220243517059</v>
      </c>
      <c r="AC28">
        <f t="shared" si="20"/>
        <v>-37.265842497945755</v>
      </c>
      <c r="AD28">
        <f t="shared" si="21"/>
        <v>-2.7126992374694692</v>
      </c>
      <c r="AE28">
        <f t="shared" si="22"/>
        <v>-39.734140066213506</v>
      </c>
      <c r="AF28">
        <f t="shared" si="23"/>
        <v>0.82855710254318049</v>
      </c>
      <c r="AG28">
        <f t="shared" si="24"/>
        <v>0.18142453569958517</v>
      </c>
      <c r="AH28">
        <f t="shared" si="25"/>
        <v>0.70223024492270736</v>
      </c>
      <c r="AI28">
        <v>429.79615958762611</v>
      </c>
      <c r="AJ28">
        <v>428.85592121212107</v>
      </c>
      <c r="AK28">
        <v>1.5060121135303859E-2</v>
      </c>
      <c r="AL28">
        <v>67.093898675400027</v>
      </c>
      <c r="AM28">
        <f t="shared" si="26"/>
        <v>0.21620662848360955</v>
      </c>
      <c r="AN28">
        <v>20.385572972614039</v>
      </c>
      <c r="AO28">
        <v>20.60633151515151</v>
      </c>
      <c r="AP28">
        <v>5.3659296742289454E-3</v>
      </c>
      <c r="AQ28">
        <v>78.251161932657041</v>
      </c>
      <c r="AR28">
        <v>0</v>
      </c>
      <c r="AS28">
        <v>0</v>
      </c>
      <c r="AT28">
        <f t="shared" si="27"/>
        <v>1</v>
      </c>
      <c r="AU28">
        <f t="shared" si="28"/>
        <v>0</v>
      </c>
      <c r="AV28">
        <f t="shared" si="29"/>
        <v>52418.710951338566</v>
      </c>
      <c r="AW28" t="s">
        <v>946</v>
      </c>
      <c r="AX28">
        <v>5143.8100000000004</v>
      </c>
      <c r="AY28">
        <v>572.13529411764716</v>
      </c>
      <c r="AZ28">
        <v>2278.5700000000002</v>
      </c>
      <c r="BA28">
        <f t="shared" si="30"/>
        <v>0.74890598308691536</v>
      </c>
      <c r="BB28">
        <v>-3.4090879133521459</v>
      </c>
      <c r="BC28" t="s">
        <v>994</v>
      </c>
      <c r="BD28">
        <v>5163.75</v>
      </c>
      <c r="BE28">
        <v>734.78470588235291</v>
      </c>
      <c r="BF28">
        <v>2109.48</v>
      </c>
      <c r="BG28">
        <f t="shared" si="31"/>
        <v>0.65167495976148015</v>
      </c>
      <c r="BH28">
        <v>0.5</v>
      </c>
      <c r="BI28">
        <f t="shared" si="32"/>
        <v>42.159045204949955</v>
      </c>
      <c r="BJ28">
        <f t="shared" si="33"/>
        <v>0.82855710254318049</v>
      </c>
      <c r="BK28">
        <f t="shared" si="34"/>
        <v>13.736997043759093</v>
      </c>
      <c r="BL28">
        <f t="shared" si="35"/>
        <v>0.10051567807796981</v>
      </c>
      <c r="BM28">
        <f t="shared" si="36"/>
        <v>8.0157195138138376E-2</v>
      </c>
      <c r="BN28">
        <f t="shared" si="37"/>
        <v>560.84712838868666</v>
      </c>
      <c r="BO28" t="s">
        <v>408</v>
      </c>
      <c r="BP28">
        <v>0</v>
      </c>
      <c r="BQ28">
        <f t="shared" si="38"/>
        <v>560.84712838868666</v>
      </c>
      <c r="BR28">
        <f t="shared" si="39"/>
        <v>0.73413015132227533</v>
      </c>
      <c r="BS28">
        <f t="shared" si="40"/>
        <v>0.88768314254321057</v>
      </c>
      <c r="BT28">
        <f t="shared" si="41"/>
        <v>9.8438463383435593E-2</v>
      </c>
      <c r="BU28">
        <f t="shared" si="42"/>
        <v>0.89420107855944142</v>
      </c>
      <c r="BV28">
        <f t="shared" si="43"/>
        <v>9.9089639596006751E-2</v>
      </c>
      <c r="BW28">
        <f t="shared" si="44"/>
        <v>0.67755158406102811</v>
      </c>
      <c r="BX28">
        <f t="shared" si="45"/>
        <v>0.32244841593897189</v>
      </c>
      <c r="DG28">
        <f t="shared" si="46"/>
        <v>50.028553333333328</v>
      </c>
      <c r="DH28">
        <f t="shared" si="47"/>
        <v>42.159045204949955</v>
      </c>
      <c r="DI28">
        <f t="shared" si="48"/>
        <v>0.84269966640950156</v>
      </c>
      <c r="DJ28">
        <f t="shared" si="49"/>
        <v>0.16481035617033815</v>
      </c>
      <c r="DK28">
        <v>6</v>
      </c>
      <c r="DL28">
        <v>0.5</v>
      </c>
      <c r="DM28" t="s">
        <v>409</v>
      </c>
      <c r="DN28">
        <v>2</v>
      </c>
      <c r="DO28" t="b">
        <v>0</v>
      </c>
      <c r="DP28">
        <v>1784744645.349999</v>
      </c>
      <c r="DQ28">
        <v>419.99766666666659</v>
      </c>
      <c r="DR28">
        <v>421.0832333333334</v>
      </c>
      <c r="DS28">
        <v>20.572136666666669</v>
      </c>
      <c r="DT28">
        <v>20.358933333333329</v>
      </c>
      <c r="DU28">
        <v>427.20026666666678</v>
      </c>
      <c r="DV28">
        <v>21.460350000000009</v>
      </c>
      <c r="DW28">
        <v>500.06416666666672</v>
      </c>
      <c r="DX28">
        <v>98.243793333333329</v>
      </c>
      <c r="DY28">
        <v>4.9748860000000013E-2</v>
      </c>
      <c r="DZ28">
        <v>24.717776666666669</v>
      </c>
      <c r="EA28">
        <v>24.956046666666669</v>
      </c>
      <c r="EB28">
        <v>999.9000000000002</v>
      </c>
      <c r="EC28">
        <v>0</v>
      </c>
      <c r="ED28">
        <v>0</v>
      </c>
      <c r="EE28">
        <v>10014.33333333333</v>
      </c>
      <c r="EF28">
        <v>0</v>
      </c>
      <c r="EG28">
        <v>915.99333333333323</v>
      </c>
      <c r="EH28">
        <v>-1.085613866666667</v>
      </c>
      <c r="EI28">
        <v>428.81929999999988</v>
      </c>
      <c r="EJ28">
        <v>429.83416666666659</v>
      </c>
      <c r="EK28">
        <v>0.21319830000000001</v>
      </c>
      <c r="EL28">
        <v>421.0832333333334</v>
      </c>
      <c r="EM28">
        <v>20.358933333333329</v>
      </c>
      <c r="EN28">
        <v>2.021084666666666</v>
      </c>
      <c r="EO28">
        <v>2.0001393333333342</v>
      </c>
      <c r="EP28">
        <v>17.610479999999999</v>
      </c>
      <c r="EQ28">
        <v>17.445430000000002</v>
      </c>
      <c r="ER28">
        <v>50.028553333333328</v>
      </c>
      <c r="ES28">
        <v>0.90001526666666654</v>
      </c>
      <c r="ET28">
        <v>9.9984909999999955E-2</v>
      </c>
      <c r="EU28">
        <v>0</v>
      </c>
      <c r="EV28">
        <v>734.83320000000015</v>
      </c>
      <c r="EW28">
        <v>5.0010700000000003</v>
      </c>
      <c r="EX28">
        <v>4068.9686666666671</v>
      </c>
      <c r="EY28">
        <v>396.51946666666657</v>
      </c>
      <c r="EZ28">
        <v>36.218499999999992</v>
      </c>
      <c r="FA28">
        <v>40.351899999999993</v>
      </c>
      <c r="FB28">
        <v>38.436999999999991</v>
      </c>
      <c r="FC28">
        <v>40.186999999999983</v>
      </c>
      <c r="FD28">
        <v>38.414266666666663</v>
      </c>
      <c r="FE28">
        <v>40.525333333333343</v>
      </c>
      <c r="FF28">
        <v>4.5019999999999998</v>
      </c>
      <c r="FG28">
        <v>0</v>
      </c>
      <c r="FH28">
        <v>181.60000014305109</v>
      </c>
      <c r="FI28">
        <v>0</v>
      </c>
      <c r="FJ28">
        <v>734.78470588235291</v>
      </c>
      <c r="FK28">
        <v>0.25686277447419092</v>
      </c>
      <c r="FL28">
        <v>5845.7696271123596</v>
      </c>
      <c r="FM28">
        <v>4246.7623529411767</v>
      </c>
      <c r="FN28">
        <v>10</v>
      </c>
      <c r="FO28">
        <v>1784744580.0999999</v>
      </c>
      <c r="FP28" t="s">
        <v>995</v>
      </c>
      <c r="FQ28">
        <v>1784744580.0999999</v>
      </c>
      <c r="FR28">
        <v>1784744578.0999999</v>
      </c>
      <c r="FS28">
        <v>51</v>
      </c>
      <c r="FT28">
        <v>-3.3000000000000002E-2</v>
      </c>
      <c r="FU28">
        <v>-1E-3</v>
      </c>
      <c r="FV28">
        <v>-7.2069999999999999</v>
      </c>
      <c r="FW28">
        <v>-0.89600000000000002</v>
      </c>
      <c r="FX28">
        <v>421</v>
      </c>
      <c r="FY28">
        <v>20</v>
      </c>
      <c r="FZ28">
        <v>1.47</v>
      </c>
      <c r="GA28">
        <v>0.59</v>
      </c>
      <c r="GB28">
        <v>419.9987096774193</v>
      </c>
      <c r="GC28">
        <v>-0.19190322580616631</v>
      </c>
      <c r="GD28">
        <v>4.3494303333614433E-2</v>
      </c>
      <c r="GE28">
        <v>-1</v>
      </c>
      <c r="GF28">
        <v>734.86485294117642</v>
      </c>
      <c r="GG28">
        <v>-0.99139801195268684</v>
      </c>
      <c r="GH28">
        <v>0.2169200357346322</v>
      </c>
      <c r="GI28">
        <v>1</v>
      </c>
      <c r="GJ28">
        <v>0.2065700731707317</v>
      </c>
      <c r="GK28">
        <v>8.7599832752613196E-2</v>
      </c>
      <c r="GL28">
        <v>1.2766712970370121E-2</v>
      </c>
      <c r="GM28">
        <v>1</v>
      </c>
      <c r="GN28">
        <v>2</v>
      </c>
      <c r="GO28">
        <v>2</v>
      </c>
      <c r="GP28" t="s">
        <v>424</v>
      </c>
      <c r="GQ28">
        <v>3.13076</v>
      </c>
      <c r="GR28">
        <v>2.7267299999999999</v>
      </c>
      <c r="GS28">
        <v>9.2170699999999994E-2</v>
      </c>
      <c r="GT28">
        <v>9.1895500000000005E-2</v>
      </c>
      <c r="GU28">
        <v>0.104031</v>
      </c>
      <c r="GV28">
        <v>0.100603</v>
      </c>
      <c r="GW28">
        <v>22744.5</v>
      </c>
      <c r="GX28">
        <v>30549.5</v>
      </c>
      <c r="GY28">
        <v>27174.7</v>
      </c>
      <c r="GZ28">
        <v>34589.199999999997</v>
      </c>
      <c r="HA28">
        <v>35669.599999999999</v>
      </c>
      <c r="HB28">
        <v>39251</v>
      </c>
      <c r="HC28">
        <v>40141.4</v>
      </c>
      <c r="HD28">
        <v>43723.199999999997</v>
      </c>
      <c r="HE28">
        <v>1.9702</v>
      </c>
      <c r="HF28">
        <v>1.7722</v>
      </c>
      <c r="HG28">
        <v>-7.6949600000000007E-2</v>
      </c>
      <c r="HH28">
        <v>0</v>
      </c>
      <c r="HI28">
        <v>26.226600000000001</v>
      </c>
      <c r="HJ28">
        <v>999.9</v>
      </c>
      <c r="HK28">
        <v>34.700000000000003</v>
      </c>
      <c r="HL28">
        <v>40.700000000000003</v>
      </c>
      <c r="HM28">
        <v>27.180599999999998</v>
      </c>
      <c r="HN28">
        <v>60.5456</v>
      </c>
      <c r="HO28">
        <v>5.7732400000000004</v>
      </c>
      <c r="HP28">
        <v>1</v>
      </c>
      <c r="HQ28">
        <v>0.49101600000000001</v>
      </c>
      <c r="HR28">
        <v>4.5679299999999996</v>
      </c>
      <c r="HS28">
        <v>20.190999999999999</v>
      </c>
      <c r="HT28">
        <v>5.2100999999999997</v>
      </c>
      <c r="HU28">
        <v>11.908099999999999</v>
      </c>
      <c r="HV28">
        <v>4.9855999999999998</v>
      </c>
      <c r="HW28">
        <v>3.2709999999999999</v>
      </c>
      <c r="HX28">
        <v>9999</v>
      </c>
      <c r="HY28">
        <v>9999</v>
      </c>
      <c r="HZ28">
        <v>9999</v>
      </c>
      <c r="IA28">
        <v>999.9</v>
      </c>
      <c r="IB28">
        <v>1.8677999999999999</v>
      </c>
      <c r="IC28">
        <v>1.8633999999999999</v>
      </c>
      <c r="ID28">
        <v>1.8629500000000001</v>
      </c>
      <c r="IE28">
        <v>1.86249</v>
      </c>
      <c r="IF28">
        <v>1.86249</v>
      </c>
      <c r="IG28">
        <v>1.8629800000000001</v>
      </c>
      <c r="IH28">
        <v>1.86389</v>
      </c>
      <c r="II28">
        <v>1.86188</v>
      </c>
      <c r="IJ28">
        <v>0</v>
      </c>
      <c r="IK28">
        <v>0</v>
      </c>
      <c r="IL28">
        <v>0</v>
      </c>
      <c r="IM28">
        <v>4.5</v>
      </c>
      <c r="IN28" t="s">
        <v>412</v>
      </c>
      <c r="IO28" t="s">
        <v>413</v>
      </c>
      <c r="IP28" t="s">
        <v>414</v>
      </c>
      <c r="IQ28" t="s">
        <v>415</v>
      </c>
      <c r="IR28" t="s">
        <v>415</v>
      </c>
      <c r="IS28" t="s">
        <v>414</v>
      </c>
      <c r="IT28">
        <v>0</v>
      </c>
      <c r="IU28">
        <v>100</v>
      </c>
      <c r="IV28">
        <v>100</v>
      </c>
      <c r="IW28">
        <v>-7.2030000000000003</v>
      </c>
      <c r="IX28">
        <v>-0.88719999999999999</v>
      </c>
      <c r="IY28">
        <v>-5.2103648792399762</v>
      </c>
      <c r="IZ28">
        <v>-5.6215304933332991E-3</v>
      </c>
      <c r="JA28">
        <v>2.3979931213773931E-6</v>
      </c>
      <c r="JB28">
        <v>-3.6297174575716598E-10</v>
      </c>
      <c r="JC28">
        <v>-1.212050860834206</v>
      </c>
      <c r="JD28">
        <v>2.7492919904454862E-4</v>
      </c>
      <c r="JE28">
        <v>8.6739513355948885E-4</v>
      </c>
      <c r="JF28">
        <v>-8.2500691715147318E-6</v>
      </c>
      <c r="JG28">
        <v>17</v>
      </c>
      <c r="JH28">
        <v>1914</v>
      </c>
      <c r="JI28">
        <v>2</v>
      </c>
      <c r="JJ28">
        <v>37</v>
      </c>
      <c r="JK28">
        <v>1.2</v>
      </c>
      <c r="JL28">
        <v>1.2</v>
      </c>
      <c r="JM28">
        <v>1.10229</v>
      </c>
      <c r="JN28">
        <v>2.5488300000000002</v>
      </c>
      <c r="JO28">
        <v>1.50024</v>
      </c>
      <c r="JP28">
        <v>2.2680699999999998</v>
      </c>
      <c r="JQ28">
        <v>1.4477500000000001</v>
      </c>
      <c r="JR28">
        <v>2.49512</v>
      </c>
      <c r="JS28">
        <v>45.9788</v>
      </c>
      <c r="JT28">
        <v>23.851099999999999</v>
      </c>
      <c r="JU28">
        <v>18</v>
      </c>
      <c r="JV28">
        <v>540.74099999999999</v>
      </c>
      <c r="JW28">
        <v>426.63600000000002</v>
      </c>
      <c r="JX28">
        <v>21.455400000000001</v>
      </c>
      <c r="JY28">
        <v>33.262</v>
      </c>
      <c r="JZ28">
        <v>29.999400000000001</v>
      </c>
      <c r="KA28">
        <v>33.536499999999997</v>
      </c>
      <c r="KB28">
        <v>33.447400000000002</v>
      </c>
      <c r="KC28">
        <v>22.045000000000002</v>
      </c>
      <c r="KD28">
        <v>29.171900000000001</v>
      </c>
      <c r="KE28">
        <v>0</v>
      </c>
      <c r="KF28">
        <v>21.4834</v>
      </c>
      <c r="KG28">
        <v>421.07100000000003</v>
      </c>
      <c r="KH28">
        <v>20.416</v>
      </c>
      <c r="KI28">
        <v>100.31100000000001</v>
      </c>
      <c r="KJ28">
        <v>98.533799999999999</v>
      </c>
    </row>
    <row r="29" spans="1:296" x14ac:dyDescent="0.3">
      <c r="A29">
        <v>13</v>
      </c>
      <c r="B29">
        <v>1784744835.5999999</v>
      </c>
      <c r="C29">
        <v>2235.599999904633</v>
      </c>
      <c r="D29" t="s">
        <v>996</v>
      </c>
      <c r="E29" t="s">
        <v>997</v>
      </c>
      <c r="F29">
        <v>15</v>
      </c>
      <c r="H29">
        <v>1784744827.849999</v>
      </c>
      <c r="I29">
        <f t="shared" si="0"/>
        <v>1.1621890734492113E-4</v>
      </c>
      <c r="J29">
        <f t="shared" si="1"/>
        <v>0.11621890734492113</v>
      </c>
      <c r="K29">
        <f t="shared" si="2"/>
        <v>-2.7430276729538088</v>
      </c>
      <c r="L29">
        <f t="shared" si="3"/>
        <v>420.11106666666672</v>
      </c>
      <c r="M29">
        <f t="shared" si="4"/>
        <v>857.49482988551665</v>
      </c>
      <c r="N29">
        <f t="shared" si="5"/>
        <v>84.290863142810537</v>
      </c>
      <c r="O29">
        <f t="shared" si="6"/>
        <v>41.296487385128515</v>
      </c>
      <c r="P29">
        <f t="shared" si="7"/>
        <v>9.7783913037426118E-3</v>
      </c>
      <c r="Q29">
        <f t="shared" si="8"/>
        <v>2.8988607908389779</v>
      </c>
      <c r="R29">
        <f t="shared" si="9"/>
        <v>9.7601036932779221E-3</v>
      </c>
      <c r="S29">
        <f t="shared" si="10"/>
        <v>6.1017049939302145E-3</v>
      </c>
      <c r="T29">
        <f t="shared" si="11"/>
        <v>1.5966703903835998E-4</v>
      </c>
      <c r="U29">
        <f t="shared" si="12"/>
        <v>24.702657646655382</v>
      </c>
      <c r="V29">
        <f t="shared" si="13"/>
        <v>24.971949999999989</v>
      </c>
      <c r="W29">
        <f t="shared" si="14"/>
        <v>3.1743640496605079</v>
      </c>
      <c r="X29">
        <f t="shared" si="15"/>
        <v>65.023415319535388</v>
      </c>
      <c r="Y29">
        <f t="shared" si="16"/>
        <v>2.0348788970700675</v>
      </c>
      <c r="Z29">
        <f t="shared" si="17"/>
        <v>3.1294555769953787</v>
      </c>
      <c r="AA29">
        <f t="shared" si="18"/>
        <v>1.1394851525904404</v>
      </c>
      <c r="AB29">
        <f t="shared" si="19"/>
        <v>-5.125253813911022</v>
      </c>
      <c r="AC29">
        <f t="shared" si="20"/>
        <v>-37.308490123794861</v>
      </c>
      <c r="AD29">
        <f t="shared" si="21"/>
        <v>-2.7182896170245012</v>
      </c>
      <c r="AE29">
        <f t="shared" si="22"/>
        <v>-45.151873887691345</v>
      </c>
      <c r="AF29">
        <f t="shared" si="23"/>
        <v>-2.7430276729538088</v>
      </c>
      <c r="AG29">
        <f t="shared" si="24"/>
        <v>0.11621890734492113</v>
      </c>
      <c r="AH29">
        <f t="shared" si="25"/>
        <v>-2.8817059499034259</v>
      </c>
      <c r="AI29">
        <v>425.57334327224669</v>
      </c>
      <c r="AJ29">
        <v>428.99111515151509</v>
      </c>
      <c r="AK29">
        <v>2.1209373235784899E-2</v>
      </c>
      <c r="AL29">
        <v>67.093898675400027</v>
      </c>
      <c r="AM29">
        <f t="shared" si="26"/>
        <v>0.14600138173758156</v>
      </c>
      <c r="AN29">
        <v>20.567031435494169</v>
      </c>
      <c r="AO29">
        <v>20.732052121212121</v>
      </c>
      <c r="AP29">
        <v>1.0549649571335909E-3</v>
      </c>
      <c r="AQ29">
        <v>78.251161932657041</v>
      </c>
      <c r="AR29">
        <v>0</v>
      </c>
      <c r="AS29">
        <v>0</v>
      </c>
      <c r="AT29">
        <f t="shared" si="27"/>
        <v>1</v>
      </c>
      <c r="AU29">
        <f t="shared" si="28"/>
        <v>0</v>
      </c>
      <c r="AV29">
        <f t="shared" si="29"/>
        <v>52352.897716464438</v>
      </c>
      <c r="AW29" t="s">
        <v>998</v>
      </c>
      <c r="AX29">
        <v>5163.1000000000004</v>
      </c>
      <c r="AY29">
        <v>608.52647058823538</v>
      </c>
      <c r="AZ29">
        <v>2401.4</v>
      </c>
      <c r="BA29">
        <f t="shared" si="30"/>
        <v>0.74659512343289935</v>
      </c>
      <c r="BB29">
        <v>-2.7430276729537622</v>
      </c>
      <c r="BC29" t="s">
        <v>408</v>
      </c>
      <c r="BD29" t="s">
        <v>408</v>
      </c>
      <c r="BE29">
        <v>0</v>
      </c>
      <c r="BF29">
        <v>0</v>
      </c>
      <c r="BG29" t="e">
        <f t="shared" si="31"/>
        <v>#DIV/0!</v>
      </c>
      <c r="BH29">
        <v>0.5</v>
      </c>
      <c r="BI29">
        <f t="shared" si="32"/>
        <v>8.4035283704399992E-4</v>
      </c>
      <c r="BJ29">
        <f t="shared" si="33"/>
        <v>-2.7430276729538088</v>
      </c>
      <c r="BK29" t="e">
        <f t="shared" si="34"/>
        <v>#DIV/0!</v>
      </c>
      <c r="BL29">
        <f t="shared" si="35"/>
        <v>-5.5487843889810194E-11</v>
      </c>
      <c r="BM29" t="e">
        <f t="shared" si="36"/>
        <v>#DIV/0!</v>
      </c>
      <c r="BN29" t="e">
        <f t="shared" si="37"/>
        <v>#DIV/0!</v>
      </c>
      <c r="BO29" t="s">
        <v>408</v>
      </c>
      <c r="BP29">
        <v>0</v>
      </c>
      <c r="BQ29" t="e">
        <f t="shared" si="38"/>
        <v>#DIV/0!</v>
      </c>
      <c r="BR29" t="e">
        <f t="shared" si="39"/>
        <v>#DIV/0!</v>
      </c>
      <c r="BS29" t="e">
        <f t="shared" si="40"/>
        <v>#DIV/0!</v>
      </c>
      <c r="BT29" t="e">
        <f t="shared" si="41"/>
        <v>#DIV/0!</v>
      </c>
      <c r="BU29">
        <f t="shared" si="42"/>
        <v>0</v>
      </c>
      <c r="BV29">
        <f t="shared" si="43"/>
        <v>1.3394140526955578</v>
      </c>
      <c r="BW29" t="e">
        <f t="shared" si="44"/>
        <v>#DIV/0!</v>
      </c>
      <c r="BX29" t="e">
        <f t="shared" si="45"/>
        <v>#DIV/0!</v>
      </c>
      <c r="DG29">
        <f t="shared" si="46"/>
        <v>1.00021E-2</v>
      </c>
      <c r="DH29">
        <f t="shared" si="47"/>
        <v>8.4035283704399992E-4</v>
      </c>
      <c r="DI29">
        <f t="shared" si="48"/>
        <v>8.4017639999999991E-2</v>
      </c>
      <c r="DJ29">
        <f t="shared" si="49"/>
        <v>1.5963351599999998E-2</v>
      </c>
      <c r="DK29">
        <v>6</v>
      </c>
      <c r="DL29">
        <v>0.5</v>
      </c>
      <c r="DM29" t="s">
        <v>409</v>
      </c>
      <c r="DN29">
        <v>2</v>
      </c>
      <c r="DO29" t="b">
        <v>0</v>
      </c>
      <c r="DP29">
        <v>1784744827.849999</v>
      </c>
      <c r="DQ29">
        <v>420.11106666666672</v>
      </c>
      <c r="DR29">
        <v>416.87799999999999</v>
      </c>
      <c r="DS29">
        <v>20.700916666666661</v>
      </c>
      <c r="DT29">
        <v>20.564340000000001</v>
      </c>
      <c r="DU29">
        <v>427.26906666666667</v>
      </c>
      <c r="DV29">
        <v>21.59291666666666</v>
      </c>
      <c r="DW29">
        <v>499.99639999999988</v>
      </c>
      <c r="DX29">
        <v>98.249413333333351</v>
      </c>
      <c r="DY29">
        <v>4.9562013333333342E-2</v>
      </c>
      <c r="DZ29">
        <v>24.73322666666667</v>
      </c>
      <c r="EA29">
        <v>24.971949999999989</v>
      </c>
      <c r="EB29">
        <v>999.9000000000002</v>
      </c>
      <c r="EC29">
        <v>0</v>
      </c>
      <c r="ED29">
        <v>0</v>
      </c>
      <c r="EE29">
        <v>10001.16666666667</v>
      </c>
      <c r="EF29">
        <v>0</v>
      </c>
      <c r="EG29">
        <v>993.08953333333341</v>
      </c>
      <c r="EH29">
        <v>3.1882130000000002</v>
      </c>
      <c r="EI29">
        <v>428.94893333333329</v>
      </c>
      <c r="EJ29">
        <v>425.63083333333333</v>
      </c>
      <c r="EK29">
        <v>0.14383553333333329</v>
      </c>
      <c r="EL29">
        <v>416.87799999999999</v>
      </c>
      <c r="EM29">
        <v>20.564340000000001</v>
      </c>
      <c r="EN29">
        <v>2.034567</v>
      </c>
      <c r="EO29">
        <v>2.0204343333333332</v>
      </c>
      <c r="EP29">
        <v>17.71593</v>
      </c>
      <c r="EQ29">
        <v>17.60539</v>
      </c>
      <c r="ER29">
        <v>1.00021E-2</v>
      </c>
      <c r="ES29">
        <v>0</v>
      </c>
      <c r="ET29">
        <v>0</v>
      </c>
      <c r="EU29">
        <v>0</v>
      </c>
      <c r="EV29">
        <v>608.96500000000003</v>
      </c>
      <c r="EW29">
        <v>1.00021E-2</v>
      </c>
      <c r="EX29">
        <v>3845.5933333333328</v>
      </c>
      <c r="EY29">
        <v>2.8</v>
      </c>
      <c r="EZ29">
        <v>35.674600000000012</v>
      </c>
      <c r="FA29">
        <v>39.816199999999988</v>
      </c>
      <c r="FB29">
        <v>37.936999999999991</v>
      </c>
      <c r="FC29">
        <v>39.561999999999983</v>
      </c>
      <c r="FD29">
        <v>37.707999999999991</v>
      </c>
      <c r="FE29">
        <v>0</v>
      </c>
      <c r="FF29">
        <v>0</v>
      </c>
      <c r="FG29">
        <v>0</v>
      </c>
      <c r="FH29">
        <v>181.70000004768369</v>
      </c>
      <c r="FI29">
        <v>0</v>
      </c>
      <c r="FJ29">
        <v>608.52647058823538</v>
      </c>
      <c r="FK29">
        <v>25.698528792556878</v>
      </c>
      <c r="FL29">
        <v>168.5661966869005</v>
      </c>
      <c r="FM29">
        <v>3928.95</v>
      </c>
      <c r="FN29">
        <v>10</v>
      </c>
      <c r="FO29">
        <v>1784744851.5999999</v>
      </c>
      <c r="FP29" t="s">
        <v>999</v>
      </c>
      <c r="FQ29">
        <v>1784744850.5999999</v>
      </c>
      <c r="FR29">
        <v>1784744851.5999999</v>
      </c>
      <c r="FS29">
        <v>52</v>
      </c>
      <c r="FT29">
        <v>3.2000000000000001E-2</v>
      </c>
      <c r="FU29">
        <v>-3.0000000000000001E-3</v>
      </c>
      <c r="FV29">
        <v>-7.1580000000000004</v>
      </c>
      <c r="FW29">
        <v>-0.89200000000000002</v>
      </c>
      <c r="FX29">
        <v>417</v>
      </c>
      <c r="FY29">
        <v>21</v>
      </c>
      <c r="FZ29">
        <v>1.78</v>
      </c>
      <c r="GA29">
        <v>0.49</v>
      </c>
      <c r="GB29">
        <v>420.06493333333327</v>
      </c>
      <c r="GC29">
        <v>-0.15457174638462121</v>
      </c>
      <c r="GD29">
        <v>4.0853342036555988E-2</v>
      </c>
      <c r="GE29">
        <v>-1</v>
      </c>
      <c r="GF29">
        <v>610.08235294117651</v>
      </c>
      <c r="GG29">
        <v>-8.9136746951154322</v>
      </c>
      <c r="GH29">
        <v>4.203183008726155</v>
      </c>
      <c r="GI29">
        <v>1</v>
      </c>
      <c r="GJ29">
        <v>0.1516313</v>
      </c>
      <c r="GK29">
        <v>-6.7253538461538573E-2</v>
      </c>
      <c r="GL29">
        <v>2.825231950583881E-2</v>
      </c>
      <c r="GM29">
        <v>1</v>
      </c>
      <c r="GN29">
        <v>2</v>
      </c>
      <c r="GO29">
        <v>2</v>
      </c>
      <c r="GP29" t="s">
        <v>424</v>
      </c>
      <c r="GQ29">
        <v>3.1320700000000001</v>
      </c>
      <c r="GR29">
        <v>2.7260300000000002</v>
      </c>
      <c r="GS29">
        <v>9.2218800000000004E-2</v>
      </c>
      <c r="GT29">
        <v>9.1230900000000004E-2</v>
      </c>
      <c r="GU29">
        <v>0.10449600000000001</v>
      </c>
      <c r="GV29">
        <v>0.101254</v>
      </c>
      <c r="GW29">
        <v>22749.4</v>
      </c>
      <c r="GX29">
        <v>30582.2</v>
      </c>
      <c r="GY29">
        <v>27181.3</v>
      </c>
      <c r="GZ29">
        <v>34599.699999999997</v>
      </c>
      <c r="HA29">
        <v>35658.800000000003</v>
      </c>
      <c r="HB29">
        <v>39232</v>
      </c>
      <c r="HC29">
        <v>40150.800000000003</v>
      </c>
      <c r="HD29">
        <v>43734.1</v>
      </c>
      <c r="HE29">
        <v>1.972</v>
      </c>
      <c r="HF29">
        <v>1.7742</v>
      </c>
      <c r="HG29">
        <v>-7.2717699999999996E-2</v>
      </c>
      <c r="HH29">
        <v>0</v>
      </c>
      <c r="HI29">
        <v>26.167300000000001</v>
      </c>
      <c r="HJ29">
        <v>999.9</v>
      </c>
      <c r="HK29">
        <v>34.299999999999997</v>
      </c>
      <c r="HL29">
        <v>40.799999999999997</v>
      </c>
      <c r="HM29">
        <v>27.006799999999998</v>
      </c>
      <c r="HN29">
        <v>60.2256</v>
      </c>
      <c r="HO29">
        <v>5.7572099999999997</v>
      </c>
      <c r="HP29">
        <v>1</v>
      </c>
      <c r="HQ29">
        <v>0.47298800000000002</v>
      </c>
      <c r="HR29">
        <v>4.3320499999999997</v>
      </c>
      <c r="HS29">
        <v>20.197900000000001</v>
      </c>
      <c r="HT29">
        <v>5.2100999999999997</v>
      </c>
      <c r="HU29">
        <v>11.908099999999999</v>
      </c>
      <c r="HV29">
        <v>4.9847999999999999</v>
      </c>
      <c r="HW29">
        <v>3.2704</v>
      </c>
      <c r="HX29">
        <v>9999</v>
      </c>
      <c r="HY29">
        <v>9999</v>
      </c>
      <c r="HZ29">
        <v>9999</v>
      </c>
      <c r="IA29">
        <v>999.9</v>
      </c>
      <c r="IB29">
        <v>1.86774</v>
      </c>
      <c r="IC29">
        <v>1.8633999999999999</v>
      </c>
      <c r="ID29">
        <v>1.8629500000000001</v>
      </c>
      <c r="IE29">
        <v>1.86243</v>
      </c>
      <c r="IF29">
        <v>1.86249</v>
      </c>
      <c r="IG29">
        <v>1.8629800000000001</v>
      </c>
      <c r="IH29">
        <v>1.86389</v>
      </c>
      <c r="II29">
        <v>1.86188</v>
      </c>
      <c r="IJ29">
        <v>0</v>
      </c>
      <c r="IK29">
        <v>0</v>
      </c>
      <c r="IL29">
        <v>0</v>
      </c>
      <c r="IM29">
        <v>4.5</v>
      </c>
      <c r="IN29" t="s">
        <v>412</v>
      </c>
      <c r="IO29" t="s">
        <v>413</v>
      </c>
      <c r="IP29" t="s">
        <v>414</v>
      </c>
      <c r="IQ29" t="s">
        <v>415</v>
      </c>
      <c r="IR29" t="s">
        <v>415</v>
      </c>
      <c r="IS29" t="s">
        <v>414</v>
      </c>
      <c r="IT29">
        <v>0</v>
      </c>
      <c r="IU29">
        <v>100</v>
      </c>
      <c r="IV29">
        <v>100</v>
      </c>
      <c r="IW29">
        <v>-7.1580000000000004</v>
      </c>
      <c r="IX29">
        <v>-0.89200000000000002</v>
      </c>
      <c r="IY29">
        <v>-5.2103648792399762</v>
      </c>
      <c r="IZ29">
        <v>-5.6215304933332991E-3</v>
      </c>
      <c r="JA29">
        <v>2.3979931213773931E-6</v>
      </c>
      <c r="JB29">
        <v>-3.6297174575716598E-10</v>
      </c>
      <c r="JC29">
        <v>-1.212050860834206</v>
      </c>
      <c r="JD29">
        <v>2.7492919904454862E-4</v>
      </c>
      <c r="JE29">
        <v>8.6739513355948885E-4</v>
      </c>
      <c r="JF29">
        <v>-8.2500691715147318E-6</v>
      </c>
      <c r="JG29">
        <v>17</v>
      </c>
      <c r="JH29">
        <v>1914</v>
      </c>
      <c r="JI29">
        <v>2</v>
      </c>
      <c r="JJ29">
        <v>37</v>
      </c>
      <c r="JK29">
        <v>4.3</v>
      </c>
      <c r="JL29">
        <v>4.3</v>
      </c>
      <c r="JM29">
        <v>1.09375</v>
      </c>
      <c r="JN29">
        <v>2.5549300000000001</v>
      </c>
      <c r="JO29">
        <v>1.50024</v>
      </c>
      <c r="JP29">
        <v>2.2680699999999998</v>
      </c>
      <c r="JQ29">
        <v>1.4477500000000001</v>
      </c>
      <c r="JR29">
        <v>2.49634</v>
      </c>
      <c r="JS29">
        <v>45.747999999999998</v>
      </c>
      <c r="JT29">
        <v>23.851099999999999</v>
      </c>
      <c r="JU29">
        <v>18</v>
      </c>
      <c r="JV29">
        <v>540.95699999999999</v>
      </c>
      <c r="JW29">
        <v>427.12799999999999</v>
      </c>
      <c r="JX29">
        <v>21.703099999999999</v>
      </c>
      <c r="JY29">
        <v>33.089100000000002</v>
      </c>
      <c r="JZ29">
        <v>29.999600000000001</v>
      </c>
      <c r="KA29">
        <v>33.418999999999997</v>
      </c>
      <c r="KB29">
        <v>33.339300000000001</v>
      </c>
      <c r="KC29">
        <v>21.881799999999998</v>
      </c>
      <c r="KD29">
        <v>28.014299999999999</v>
      </c>
      <c r="KE29">
        <v>0</v>
      </c>
      <c r="KF29">
        <v>21.698799999999999</v>
      </c>
      <c r="KG29">
        <v>416.81700000000001</v>
      </c>
      <c r="KH29">
        <v>20.533899999999999</v>
      </c>
      <c r="KI29">
        <v>100.33499999999999</v>
      </c>
      <c r="KJ29">
        <v>98.560699999999997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7_20_Plt17_R2_M1_H1_P4_Blister</vt:lpstr>
      <vt:lpstr>7_20_Plt10_R2_M3_H3_P10_Blister</vt:lpstr>
      <vt:lpstr>7_20_Plt1_R1_M2_H3_P11_Blister</vt:lpstr>
      <vt:lpstr>7_19_Plt6_R1_M1_H2_P8_Blister</vt:lpstr>
      <vt:lpstr>7_19_Plt8_R1_M2_H3_P2_Blister</vt:lpstr>
      <vt:lpstr>7_19_Plt7_R1_m2_H1_P9_Blister</vt:lpstr>
      <vt:lpstr>7_21_Plt15_R2_M2_H1_P5_Blister</vt:lpstr>
      <vt:lpstr>7_21_Plt16_R2_M1_H2_P8_Blister</vt:lpstr>
      <vt:lpstr>Check</vt:lpstr>
      <vt:lpstr>7_22_Plt27_R3_M3_H1_P02_Blister</vt:lpstr>
      <vt:lpstr>7_22_Plt24_R3_M3_H3_P1_Blister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Mishra</dc:creator>
  <cp:lastModifiedBy>Rajendra Mishra</cp:lastModifiedBy>
  <dcterms:created xsi:type="dcterms:W3CDTF">2015-06-05T18:17:20Z</dcterms:created>
  <dcterms:modified xsi:type="dcterms:W3CDTF">2026-09-07T01:15:40Z</dcterms:modified>
</cp:coreProperties>
</file>