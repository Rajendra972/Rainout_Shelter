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jen\OneDrive\Desktop\Arranged_Dataset\Li_6800\"/>
    </mc:Choice>
  </mc:AlternateContent>
  <xr:revisionPtr revIDLastSave="0" documentId="13_ncr:1_{81488AEB-4FA0-468D-B857-F72E524D7BA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7-2_Saturation_P1_11" sheetId="1" r:id="rId1"/>
    <sheet name="7_2_Saturation_Plt27_P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J25" i="2" l="1"/>
  <c r="DI25" i="2"/>
  <c r="DG25" i="2"/>
  <c r="DH25" i="2" s="1"/>
  <c r="BI25" i="2" s="1"/>
  <c r="BV25" i="2"/>
  <c r="BU25" i="2"/>
  <c r="BM25" i="2"/>
  <c r="BJ25" i="2"/>
  <c r="BL25" i="2" s="1"/>
  <c r="BG25" i="2"/>
  <c r="BK25" i="2" s="1"/>
  <c r="BA25" i="2"/>
  <c r="BN25" i="2" s="1"/>
  <c r="BQ25" i="2" s="1"/>
  <c r="AV25" i="2"/>
  <c r="AT25" i="2"/>
  <c r="AU25" i="2" s="1"/>
  <c r="AM25" i="2"/>
  <c r="AH25" i="2"/>
  <c r="AG25" i="2"/>
  <c r="AF25" i="2"/>
  <c r="Z25" i="2"/>
  <c r="Y25" i="2"/>
  <c r="X25" i="2"/>
  <c r="T25" i="2"/>
  <c r="Q25" i="2"/>
  <c r="O25" i="2"/>
  <c r="L25" i="2"/>
  <c r="K25" i="2"/>
  <c r="J25" i="2"/>
  <c r="I25" i="2" s="1"/>
  <c r="DJ24" i="2"/>
  <c r="DI24" i="2"/>
  <c r="DG24" i="2"/>
  <c r="DH24" i="2" s="1"/>
  <c r="BI24" i="2" s="1"/>
  <c r="BV24" i="2"/>
  <c r="BU24" i="2"/>
  <c r="BN24" i="2"/>
  <c r="BQ24" i="2" s="1"/>
  <c r="BR24" i="2" s="1"/>
  <c r="BM24" i="2"/>
  <c r="BG24" i="2"/>
  <c r="BK24" i="2" s="1"/>
  <c r="BA24" i="2"/>
  <c r="AV24" i="2"/>
  <c r="AT24" i="2"/>
  <c r="AU24" i="2" s="1"/>
  <c r="AM24" i="2"/>
  <c r="AH24" i="2"/>
  <c r="AG24" i="2"/>
  <c r="AF24" i="2"/>
  <c r="Z24" i="2"/>
  <c r="Y24" i="2"/>
  <c r="X24" i="2"/>
  <c r="T24" i="2"/>
  <c r="Q24" i="2"/>
  <c r="O24" i="2"/>
  <c r="L24" i="2"/>
  <c r="K24" i="2"/>
  <c r="BJ24" i="2" s="1"/>
  <c r="BL24" i="2" s="1"/>
  <c r="J24" i="2"/>
  <c r="I24" i="2"/>
  <c r="DJ23" i="2"/>
  <c r="DI23" i="2"/>
  <c r="DG23" i="2"/>
  <c r="DH23" i="2" s="1"/>
  <c r="BI23" i="2" s="1"/>
  <c r="BV23" i="2"/>
  <c r="BU23" i="2"/>
  <c r="BM23" i="2"/>
  <c r="BJ23" i="2"/>
  <c r="BG23" i="2"/>
  <c r="BA23" i="2"/>
  <c r="BN23" i="2" s="1"/>
  <c r="BQ23" i="2" s="1"/>
  <c r="AV23" i="2"/>
  <c r="AT23" i="2"/>
  <c r="AU23" i="2" s="1"/>
  <c r="AM23" i="2"/>
  <c r="AH23" i="2"/>
  <c r="AG23" i="2"/>
  <c r="AF23" i="2"/>
  <c r="Z23" i="2"/>
  <c r="Y23" i="2"/>
  <c r="X23" i="2"/>
  <c r="T23" i="2"/>
  <c r="Q23" i="2"/>
  <c r="O23" i="2"/>
  <c r="L23" i="2"/>
  <c r="K23" i="2"/>
  <c r="J23" i="2"/>
  <c r="I23" i="2" s="1"/>
  <c r="DJ22" i="2"/>
  <c r="DI22" i="2"/>
  <c r="DG22" i="2"/>
  <c r="DH22" i="2" s="1"/>
  <c r="BI22" i="2" s="1"/>
  <c r="BV22" i="2"/>
  <c r="BU22" i="2"/>
  <c r="BN22" i="2"/>
  <c r="BQ22" i="2" s="1"/>
  <c r="BR22" i="2" s="1"/>
  <c r="BM22" i="2"/>
  <c r="BG22" i="2"/>
  <c r="BK22" i="2" s="1"/>
  <c r="BA22" i="2"/>
  <c r="AV22" i="2"/>
  <c r="AT22" i="2"/>
  <c r="AU22" i="2" s="1"/>
  <c r="AM22" i="2"/>
  <c r="AH22" i="2"/>
  <c r="AG22" i="2"/>
  <c r="AF22" i="2"/>
  <c r="Z22" i="2"/>
  <c r="Y22" i="2"/>
  <c r="X22" i="2"/>
  <c r="T22" i="2"/>
  <c r="Q22" i="2"/>
  <c r="O22" i="2"/>
  <c r="L22" i="2"/>
  <c r="K22" i="2"/>
  <c r="BJ22" i="2" s="1"/>
  <c r="BL22" i="2" s="1"/>
  <c r="J22" i="2"/>
  <c r="I22" i="2"/>
  <c r="DJ21" i="2"/>
  <c r="DI21" i="2"/>
  <c r="DG21" i="2"/>
  <c r="DH21" i="2" s="1"/>
  <c r="BV21" i="2"/>
  <c r="BU21" i="2"/>
  <c r="BM21" i="2"/>
  <c r="BJ21" i="2"/>
  <c r="BI21" i="2"/>
  <c r="BG21" i="2"/>
  <c r="BK21" i="2" s="1"/>
  <c r="BA21" i="2"/>
  <c r="BN21" i="2" s="1"/>
  <c r="BQ21" i="2" s="1"/>
  <c r="AV21" i="2"/>
  <c r="AT21" i="2"/>
  <c r="AU21" i="2" s="1"/>
  <c r="AM21" i="2"/>
  <c r="AH21" i="2"/>
  <c r="AG21" i="2"/>
  <c r="AF21" i="2"/>
  <c r="Z21" i="2"/>
  <c r="Y21" i="2"/>
  <c r="X21" i="2"/>
  <c r="T21" i="2"/>
  <c r="Q21" i="2"/>
  <c r="O21" i="2"/>
  <c r="L21" i="2"/>
  <c r="K21" i="2"/>
  <c r="J21" i="2"/>
  <c r="I21" i="2" s="1"/>
  <c r="DJ20" i="2"/>
  <c r="DI20" i="2"/>
  <c r="DG20" i="2"/>
  <c r="DH20" i="2" s="1"/>
  <c r="BI20" i="2" s="1"/>
  <c r="BV20" i="2"/>
  <c r="BU20" i="2"/>
  <c r="BN20" i="2"/>
  <c r="BQ20" i="2" s="1"/>
  <c r="BR20" i="2" s="1"/>
  <c r="BM20" i="2"/>
  <c r="BG20" i="2"/>
  <c r="BK20" i="2" s="1"/>
  <c r="BA20" i="2"/>
  <c r="AV20" i="2"/>
  <c r="AT20" i="2"/>
  <c r="AU20" i="2" s="1"/>
  <c r="AM20" i="2"/>
  <c r="AH20" i="2"/>
  <c r="AG20" i="2"/>
  <c r="AF20" i="2"/>
  <c r="Z20" i="2"/>
  <c r="Y20" i="2"/>
  <c r="X20" i="2"/>
  <c r="T20" i="2"/>
  <c r="Q20" i="2"/>
  <c r="O20" i="2"/>
  <c r="L20" i="2"/>
  <c r="K20" i="2"/>
  <c r="BJ20" i="2" s="1"/>
  <c r="BL20" i="2" s="1"/>
  <c r="J20" i="2"/>
  <c r="I20" i="2"/>
  <c r="DJ19" i="2"/>
  <c r="DI19" i="2"/>
  <c r="DG19" i="2"/>
  <c r="DH19" i="2" s="1"/>
  <c r="BV19" i="2"/>
  <c r="BU19" i="2"/>
  <c r="BM19" i="2"/>
  <c r="BJ19" i="2"/>
  <c r="BI19" i="2"/>
  <c r="BG19" i="2"/>
  <c r="BK19" i="2" s="1"/>
  <c r="BA19" i="2"/>
  <c r="BN19" i="2" s="1"/>
  <c r="BQ19" i="2" s="1"/>
  <c r="AV19" i="2"/>
  <c r="AT19" i="2"/>
  <c r="AU19" i="2" s="1"/>
  <c r="AM19" i="2"/>
  <c r="AH19" i="2"/>
  <c r="AG19" i="2"/>
  <c r="AF19" i="2"/>
  <c r="Z19" i="2"/>
  <c r="Y19" i="2"/>
  <c r="X19" i="2"/>
  <c r="T19" i="2"/>
  <c r="Q19" i="2"/>
  <c r="O19" i="2"/>
  <c r="L19" i="2"/>
  <c r="K19" i="2"/>
  <c r="J19" i="2"/>
  <c r="I19" i="2" s="1"/>
  <c r="DJ18" i="2"/>
  <c r="DI18" i="2"/>
  <c r="DG18" i="2"/>
  <c r="DH18" i="2" s="1"/>
  <c r="BI18" i="2" s="1"/>
  <c r="BV18" i="2"/>
  <c r="BU18" i="2"/>
  <c r="BN18" i="2"/>
  <c r="BQ18" i="2" s="1"/>
  <c r="BR18" i="2" s="1"/>
  <c r="BM18" i="2"/>
  <c r="BG18" i="2"/>
  <c r="BA18" i="2"/>
  <c r="AV18" i="2"/>
  <c r="AT18" i="2"/>
  <c r="AU18" i="2" s="1"/>
  <c r="AM18" i="2"/>
  <c r="AH18" i="2"/>
  <c r="AG18" i="2"/>
  <c r="AF18" i="2"/>
  <c r="Z18" i="2"/>
  <c r="Y18" i="2"/>
  <c r="X18" i="2"/>
  <c r="T18" i="2"/>
  <c r="U18" i="2" s="1"/>
  <c r="V18" i="2" s="1"/>
  <c r="W18" i="2" s="1"/>
  <c r="AA18" i="2" s="1"/>
  <c r="Q18" i="2"/>
  <c r="O18" i="2"/>
  <c r="L18" i="2"/>
  <c r="K18" i="2"/>
  <c r="BJ18" i="2" s="1"/>
  <c r="J18" i="2"/>
  <c r="I18" i="2"/>
  <c r="DJ17" i="2"/>
  <c r="DI17" i="2"/>
  <c r="DG17" i="2"/>
  <c r="DH17" i="2" s="1"/>
  <c r="BV17" i="2"/>
  <c r="BU17" i="2"/>
  <c r="BM17" i="2"/>
  <c r="BJ17" i="2"/>
  <c r="BI17" i="2"/>
  <c r="BG17" i="2"/>
  <c r="BK17" i="2" s="1"/>
  <c r="BA17" i="2"/>
  <c r="BN17" i="2" s="1"/>
  <c r="BQ17" i="2" s="1"/>
  <c r="AV17" i="2"/>
  <c r="AT17" i="2"/>
  <c r="AU17" i="2" s="1"/>
  <c r="AM17" i="2"/>
  <c r="AH17" i="2"/>
  <c r="AG17" i="2"/>
  <c r="AF17" i="2"/>
  <c r="Z17" i="2"/>
  <c r="Y17" i="2"/>
  <c r="X17" i="2"/>
  <c r="T17" i="2"/>
  <c r="Q17" i="2"/>
  <c r="O17" i="2"/>
  <c r="L17" i="2"/>
  <c r="K17" i="2"/>
  <c r="J17" i="2"/>
  <c r="I17" i="2" s="1"/>
  <c r="U25" i="2" l="1"/>
  <c r="V25" i="2" s="1"/>
  <c r="AB19" i="2"/>
  <c r="BT24" i="2"/>
  <c r="BT19" i="2"/>
  <c r="BS19" i="2"/>
  <c r="BW19" i="2" s="1"/>
  <c r="BX19" i="2" s="1"/>
  <c r="BR19" i="2"/>
  <c r="BL21" i="2"/>
  <c r="AC21" i="2"/>
  <c r="AB24" i="2"/>
  <c r="R24" i="2"/>
  <c r="P24" i="2" s="1"/>
  <c r="S24" i="2" s="1"/>
  <c r="M24" i="2" s="1"/>
  <c r="N24" i="2" s="1"/>
  <c r="BL17" i="2"/>
  <c r="BS17" i="2"/>
  <c r="BW17" i="2" s="1"/>
  <c r="BX17" i="2" s="1"/>
  <c r="BR17" i="2"/>
  <c r="BL19" i="2"/>
  <c r="AD18" i="2"/>
  <c r="AE18" i="2" s="1"/>
  <c r="AB21" i="2"/>
  <c r="AC18" i="2"/>
  <c r="AB17" i="2"/>
  <c r="U23" i="2"/>
  <c r="V23" i="2" s="1"/>
  <c r="BS24" i="2"/>
  <c r="BW24" i="2" s="1"/>
  <c r="BX24" i="2" s="1"/>
  <c r="BT17" i="2"/>
  <c r="U21" i="2"/>
  <c r="V21" i="2" s="1"/>
  <c r="AB22" i="2"/>
  <c r="R22" i="2"/>
  <c r="P22" i="2" s="1"/>
  <c r="S22" i="2" s="1"/>
  <c r="M22" i="2" s="1"/>
  <c r="N22" i="2" s="1"/>
  <c r="AC17" i="2"/>
  <c r="BT25" i="2"/>
  <c r="BS25" i="2"/>
  <c r="BW25" i="2" s="1"/>
  <c r="BX25" i="2" s="1"/>
  <c r="BR25" i="2"/>
  <c r="U19" i="2"/>
  <c r="V19" i="2" s="1"/>
  <c r="AB20" i="2"/>
  <c r="BS22" i="2"/>
  <c r="BW22" i="2" s="1"/>
  <c r="BX22" i="2" s="1"/>
  <c r="U24" i="2"/>
  <c r="V24" i="2" s="1"/>
  <c r="U17" i="2"/>
  <c r="V17" i="2" s="1"/>
  <c r="BT22" i="2"/>
  <c r="AB18" i="2"/>
  <c r="R18" i="2"/>
  <c r="P18" i="2" s="1"/>
  <c r="S18" i="2" s="1"/>
  <c r="M18" i="2" s="1"/>
  <c r="N18" i="2" s="1"/>
  <c r="BK18" i="2"/>
  <c r="BS20" i="2"/>
  <c r="BW20" i="2" s="1"/>
  <c r="BX20" i="2" s="1"/>
  <c r="U22" i="2"/>
  <c r="V22" i="2" s="1"/>
  <c r="R25" i="2"/>
  <c r="P25" i="2" s="1"/>
  <c r="S25" i="2" s="1"/>
  <c r="M25" i="2" s="1"/>
  <c r="N25" i="2" s="1"/>
  <c r="AB25" i="2"/>
  <c r="BT20" i="2"/>
  <c r="BT23" i="2"/>
  <c r="BS23" i="2"/>
  <c r="BW23" i="2" s="1"/>
  <c r="BX23" i="2" s="1"/>
  <c r="BR23" i="2"/>
  <c r="BL18" i="2"/>
  <c r="BK23" i="2"/>
  <c r="BS18" i="2"/>
  <c r="BW18" i="2" s="1"/>
  <c r="BX18" i="2" s="1"/>
  <c r="U20" i="2"/>
  <c r="V20" i="2" s="1"/>
  <c r="BT18" i="2"/>
  <c r="BT21" i="2"/>
  <c r="BS21" i="2"/>
  <c r="BW21" i="2" s="1"/>
  <c r="BX21" i="2" s="1"/>
  <c r="BR21" i="2"/>
  <c r="AB23" i="2"/>
  <c r="BL23" i="2"/>
  <c r="AC25" i="2"/>
  <c r="DJ23" i="1"/>
  <c r="DI23" i="1"/>
  <c r="DG23" i="1"/>
  <c r="DH23" i="1" s="1"/>
  <c r="BI23" i="1" s="1"/>
  <c r="BV23" i="1"/>
  <c r="BU23" i="1"/>
  <c r="BM23" i="1"/>
  <c r="BG23" i="1"/>
  <c r="BA23" i="1"/>
  <c r="BN23" i="1" s="1"/>
  <c r="BQ23" i="1" s="1"/>
  <c r="AV23" i="1"/>
  <c r="AT23" i="1"/>
  <c r="AU23" i="1" s="1"/>
  <c r="AM23" i="1"/>
  <c r="AH23" i="1"/>
  <c r="Z23" i="1"/>
  <c r="Y23" i="1"/>
  <c r="X23" i="1"/>
  <c r="Q23" i="1"/>
  <c r="DJ22" i="1"/>
  <c r="T22" i="1" s="1"/>
  <c r="DI22" i="1"/>
  <c r="DH22" i="1" s="1"/>
  <c r="BI22" i="1" s="1"/>
  <c r="DG22" i="1"/>
  <c r="BV22" i="1"/>
  <c r="BU22" i="1"/>
  <c r="BM22" i="1"/>
  <c r="BG22" i="1"/>
  <c r="BA22" i="1"/>
  <c r="BN22" i="1" s="1"/>
  <c r="BQ22" i="1" s="1"/>
  <c r="AV22" i="1"/>
  <c r="AT22" i="1" s="1"/>
  <c r="AM22" i="1"/>
  <c r="AH22" i="1"/>
  <c r="Z22" i="1"/>
  <c r="Y22" i="1"/>
  <c r="X22" i="1" s="1"/>
  <c r="Q22" i="1"/>
  <c r="DJ21" i="1"/>
  <c r="DI21" i="1"/>
  <c r="DH21" i="1" s="1"/>
  <c r="BI21" i="1" s="1"/>
  <c r="DG21" i="1"/>
  <c r="BV21" i="1"/>
  <c r="BU21" i="1"/>
  <c r="BM21" i="1"/>
  <c r="BG21" i="1"/>
  <c r="BK21" i="1" s="1"/>
  <c r="BA21" i="1"/>
  <c r="BN21" i="1" s="1"/>
  <c r="BQ21" i="1" s="1"/>
  <c r="AV21" i="1"/>
  <c r="AU21" i="1"/>
  <c r="AT21" i="1"/>
  <c r="O21" i="1" s="1"/>
  <c r="AM21" i="1"/>
  <c r="AH21" i="1"/>
  <c r="Z21" i="1"/>
  <c r="Y21" i="1"/>
  <c r="X21" i="1"/>
  <c r="T21" i="1"/>
  <c r="Q21" i="1"/>
  <c r="DJ20" i="1"/>
  <c r="T20" i="1" s="1"/>
  <c r="DI20" i="1"/>
  <c r="DG20" i="1"/>
  <c r="DH20" i="1" s="1"/>
  <c r="BI20" i="1" s="1"/>
  <c r="BV20" i="1"/>
  <c r="BU20" i="1"/>
  <c r="BM20" i="1"/>
  <c r="BG20" i="1"/>
  <c r="BK20" i="1" s="1"/>
  <c r="BA20" i="1"/>
  <c r="BN20" i="1" s="1"/>
  <c r="BQ20" i="1" s="1"/>
  <c r="AV20" i="1"/>
  <c r="AT20" i="1" s="1"/>
  <c r="AM20" i="1"/>
  <c r="AH20" i="1"/>
  <c r="Z20" i="1"/>
  <c r="Y20" i="1"/>
  <c r="X20" i="1" s="1"/>
  <c r="Q20" i="1"/>
  <c r="DJ19" i="1"/>
  <c r="DI19" i="1"/>
  <c r="DH19" i="1" s="1"/>
  <c r="BI19" i="1" s="1"/>
  <c r="DG19" i="1"/>
  <c r="BV19" i="1"/>
  <c r="BU19" i="1"/>
  <c r="BM19" i="1"/>
  <c r="BG19" i="1"/>
  <c r="BK19" i="1" s="1"/>
  <c r="BA19" i="1"/>
  <c r="BN19" i="1" s="1"/>
  <c r="BQ19" i="1" s="1"/>
  <c r="AV19" i="1"/>
  <c r="AU19" i="1"/>
  <c r="AT19" i="1"/>
  <c r="O19" i="1" s="1"/>
  <c r="AM19" i="1"/>
  <c r="AH19" i="1"/>
  <c r="Z19" i="1"/>
  <c r="Y19" i="1"/>
  <c r="X19" i="1"/>
  <c r="T19" i="1"/>
  <c r="Q19" i="1"/>
  <c r="DJ18" i="1"/>
  <c r="T18" i="1" s="1"/>
  <c r="DI18" i="1"/>
  <c r="DG18" i="1"/>
  <c r="DH18" i="1" s="1"/>
  <c r="BI18" i="1" s="1"/>
  <c r="BV18" i="1"/>
  <c r="BU18" i="1"/>
  <c r="BM18" i="1"/>
  <c r="BG18" i="1"/>
  <c r="BA18" i="1"/>
  <c r="BN18" i="1" s="1"/>
  <c r="BQ18" i="1" s="1"/>
  <c r="AV18" i="1"/>
  <c r="AT18" i="1" s="1"/>
  <c r="AM18" i="1"/>
  <c r="AH18" i="1"/>
  <c r="Z18" i="1"/>
  <c r="Y18" i="1"/>
  <c r="X18" i="1" s="1"/>
  <c r="Q18" i="1"/>
  <c r="DJ17" i="1"/>
  <c r="DI17" i="1"/>
  <c r="DH17" i="1" s="1"/>
  <c r="BI17" i="1" s="1"/>
  <c r="DG17" i="1"/>
  <c r="BV17" i="1"/>
  <c r="BU17" i="1"/>
  <c r="BM17" i="1"/>
  <c r="BG17" i="1"/>
  <c r="BA17" i="1"/>
  <c r="BN17" i="1" s="1"/>
  <c r="BQ17" i="1" s="1"/>
  <c r="AV17" i="1"/>
  <c r="AU17" i="1"/>
  <c r="AT17" i="1"/>
  <c r="O17" i="1" s="1"/>
  <c r="AM17" i="1"/>
  <c r="AH17" i="1"/>
  <c r="Z17" i="1"/>
  <c r="Y17" i="1"/>
  <c r="X17" i="1"/>
  <c r="T17" i="1"/>
  <c r="Q17" i="1"/>
  <c r="W20" i="2" l="1"/>
  <c r="AA20" i="2" s="1"/>
  <c r="AD20" i="2"/>
  <c r="AC20" i="2"/>
  <c r="AD19" i="2"/>
  <c r="W19" i="2"/>
  <c r="AA19" i="2" s="1"/>
  <c r="AD21" i="2"/>
  <c r="AE21" i="2" s="1"/>
  <c r="W21" i="2"/>
  <c r="AA21" i="2" s="1"/>
  <c r="W22" i="2"/>
  <c r="AA22" i="2" s="1"/>
  <c r="AC22" i="2"/>
  <c r="AD22" i="2"/>
  <c r="AE22" i="2" s="1"/>
  <c r="AC19" i="2"/>
  <c r="AD23" i="2"/>
  <c r="AE23" i="2" s="1"/>
  <c r="W23" i="2"/>
  <c r="AA23" i="2" s="1"/>
  <c r="R23" i="2"/>
  <c r="P23" i="2" s="1"/>
  <c r="S23" i="2" s="1"/>
  <c r="M23" i="2" s="1"/>
  <c r="N23" i="2" s="1"/>
  <c r="R19" i="2"/>
  <c r="P19" i="2" s="1"/>
  <c r="S19" i="2" s="1"/>
  <c r="M19" i="2" s="1"/>
  <c r="N19" i="2" s="1"/>
  <c r="W24" i="2"/>
  <c r="AA24" i="2" s="1"/>
  <c r="AD24" i="2"/>
  <c r="AC24" i="2"/>
  <c r="AD25" i="2"/>
  <c r="AE25" i="2" s="1"/>
  <c r="W25" i="2"/>
  <c r="AA25" i="2" s="1"/>
  <c r="W17" i="2"/>
  <c r="AA17" i="2" s="1"/>
  <c r="AD17" i="2"/>
  <c r="AE17" i="2" s="1"/>
  <c r="R17" i="2"/>
  <c r="P17" i="2" s="1"/>
  <c r="S17" i="2" s="1"/>
  <c r="M17" i="2" s="1"/>
  <c r="N17" i="2" s="1"/>
  <c r="AC23" i="2"/>
  <c r="R20" i="2"/>
  <c r="P20" i="2" s="1"/>
  <c r="S20" i="2" s="1"/>
  <c r="M20" i="2" s="1"/>
  <c r="N20" i="2" s="1"/>
  <c r="R21" i="2"/>
  <c r="P21" i="2" s="1"/>
  <c r="S21" i="2" s="1"/>
  <c r="M21" i="2" s="1"/>
  <c r="N21" i="2" s="1"/>
  <c r="AU20" i="1"/>
  <c r="AG20" i="1"/>
  <c r="J20" i="1" s="1"/>
  <c r="I20" i="1" s="1"/>
  <c r="AF20" i="1"/>
  <c r="K20" i="1" s="1"/>
  <c r="BJ20" i="1" s="1"/>
  <c r="BL20" i="1" s="1"/>
  <c r="O20" i="1"/>
  <c r="L20" i="1"/>
  <c r="BR18" i="1"/>
  <c r="BT18" i="1"/>
  <c r="BS18" i="1"/>
  <c r="BW18" i="1" s="1"/>
  <c r="BX18" i="1" s="1"/>
  <c r="BT23" i="1"/>
  <c r="BS23" i="1"/>
  <c r="BW23" i="1" s="1"/>
  <c r="BX23" i="1" s="1"/>
  <c r="BR23" i="1"/>
  <c r="BK18" i="1"/>
  <c r="BK23" i="1"/>
  <c r="BR22" i="1"/>
  <c r="BT22" i="1"/>
  <c r="BS22" i="1"/>
  <c r="BW22" i="1" s="1"/>
  <c r="BX22" i="1" s="1"/>
  <c r="BT19" i="1"/>
  <c r="BR19" i="1"/>
  <c r="BS19" i="1"/>
  <c r="BW19" i="1" s="1"/>
  <c r="BX19" i="1" s="1"/>
  <c r="BK22" i="1"/>
  <c r="U20" i="1"/>
  <c r="V20" i="1" s="1"/>
  <c r="AC20" i="1" s="1"/>
  <c r="BT17" i="1"/>
  <c r="BS17" i="1"/>
  <c r="BW17" i="1" s="1"/>
  <c r="BX17" i="1" s="1"/>
  <c r="BR17" i="1"/>
  <c r="BT21" i="1"/>
  <c r="BS21" i="1"/>
  <c r="BW21" i="1" s="1"/>
  <c r="BX21" i="1" s="1"/>
  <c r="BR21" i="1"/>
  <c r="BR20" i="1"/>
  <c r="BT20" i="1"/>
  <c r="BS20" i="1"/>
  <c r="BW20" i="1" s="1"/>
  <c r="BX20" i="1" s="1"/>
  <c r="AU18" i="1"/>
  <c r="L18" i="1"/>
  <c r="O18" i="1"/>
  <c r="AG18" i="1"/>
  <c r="J18" i="1" s="1"/>
  <c r="I18" i="1" s="1"/>
  <c r="AF18" i="1"/>
  <c r="K18" i="1" s="1"/>
  <c r="BJ18" i="1" s="1"/>
  <c r="BL18" i="1" s="1"/>
  <c r="AU22" i="1"/>
  <c r="L22" i="1"/>
  <c r="O22" i="1"/>
  <c r="AG22" i="1"/>
  <c r="J22" i="1" s="1"/>
  <c r="I22" i="1" s="1"/>
  <c r="AF22" i="1"/>
  <c r="K22" i="1" s="1"/>
  <c r="BJ22" i="1" s="1"/>
  <c r="BL22" i="1" s="1"/>
  <c r="BK17" i="1"/>
  <c r="U18" i="1"/>
  <c r="V18" i="1" s="1"/>
  <c r="AC18" i="1" s="1"/>
  <c r="T23" i="1"/>
  <c r="U17" i="1"/>
  <c r="V17" i="1" s="1"/>
  <c r="U19" i="1"/>
  <c r="V19" i="1" s="1"/>
  <c r="L17" i="1"/>
  <c r="AF17" i="1"/>
  <c r="K17" i="1" s="1"/>
  <c r="BJ17" i="1" s="1"/>
  <c r="BL17" i="1" s="1"/>
  <c r="L19" i="1"/>
  <c r="AF19" i="1"/>
  <c r="K19" i="1" s="1"/>
  <c r="BJ19" i="1" s="1"/>
  <c r="BL19" i="1" s="1"/>
  <c r="L21" i="1"/>
  <c r="AF21" i="1"/>
  <c r="K21" i="1" s="1"/>
  <c r="BJ21" i="1" s="1"/>
  <c r="BL21" i="1" s="1"/>
  <c r="L23" i="1"/>
  <c r="AF23" i="1"/>
  <c r="K23" i="1" s="1"/>
  <c r="BJ23" i="1" s="1"/>
  <c r="BL23" i="1" s="1"/>
  <c r="AG17" i="1"/>
  <c r="J17" i="1" s="1"/>
  <c r="I17" i="1" s="1"/>
  <c r="AG19" i="1"/>
  <c r="J19" i="1" s="1"/>
  <c r="I19" i="1" s="1"/>
  <c r="AG21" i="1"/>
  <c r="J21" i="1" s="1"/>
  <c r="I21" i="1" s="1"/>
  <c r="U21" i="1" s="1"/>
  <c r="V21" i="1" s="1"/>
  <c r="AG23" i="1"/>
  <c r="J23" i="1" s="1"/>
  <c r="I23" i="1" s="1"/>
  <c r="O23" i="1"/>
  <c r="AE19" i="2" l="1"/>
  <c r="AE20" i="2"/>
  <c r="AE24" i="2"/>
  <c r="AD21" i="1"/>
  <c r="W21" i="1"/>
  <c r="AA21" i="1" s="1"/>
  <c r="AC21" i="1"/>
  <c r="U23" i="1"/>
  <c r="V23" i="1" s="1"/>
  <c r="AB22" i="1"/>
  <c r="R19" i="1"/>
  <c r="P19" i="1" s="1"/>
  <c r="S19" i="1" s="1"/>
  <c r="M19" i="1" s="1"/>
  <c r="N19" i="1" s="1"/>
  <c r="AB19" i="1"/>
  <c r="AB18" i="1"/>
  <c r="R18" i="1"/>
  <c r="P18" i="1" s="1"/>
  <c r="S18" i="1" s="1"/>
  <c r="M18" i="1" s="1"/>
  <c r="N18" i="1" s="1"/>
  <c r="AB20" i="1"/>
  <c r="R20" i="1"/>
  <c r="P20" i="1" s="1"/>
  <c r="S20" i="1" s="1"/>
  <c r="M20" i="1" s="1"/>
  <c r="N20" i="1" s="1"/>
  <c r="AD19" i="1"/>
  <c r="AE19" i="1" s="1"/>
  <c r="W19" i="1"/>
  <c r="AA19" i="1" s="1"/>
  <c r="AD17" i="1"/>
  <c r="AE17" i="1" s="1"/>
  <c r="W17" i="1"/>
  <c r="AA17" i="1" s="1"/>
  <c r="R21" i="1"/>
  <c r="P21" i="1" s="1"/>
  <c r="S21" i="1" s="1"/>
  <c r="M21" i="1" s="1"/>
  <c r="N21" i="1" s="1"/>
  <c r="AB21" i="1"/>
  <c r="AC19" i="1"/>
  <c r="W18" i="1"/>
  <c r="AA18" i="1" s="1"/>
  <c r="AD18" i="1"/>
  <c r="AB23" i="1"/>
  <c r="AC17" i="1"/>
  <c r="R17" i="1"/>
  <c r="P17" i="1" s="1"/>
  <c r="S17" i="1" s="1"/>
  <c r="M17" i="1" s="1"/>
  <c r="N17" i="1" s="1"/>
  <c r="AB17" i="1"/>
  <c r="W20" i="1"/>
  <c r="AA20" i="1" s="1"/>
  <c r="AD20" i="1"/>
  <c r="U22" i="1"/>
  <c r="V22" i="1" s="1"/>
  <c r="R22" i="1" s="1"/>
  <c r="P22" i="1" s="1"/>
  <c r="S22" i="1" s="1"/>
  <c r="M22" i="1" s="1"/>
  <c r="N22" i="1" s="1"/>
  <c r="AD23" i="1" l="1"/>
  <c r="W23" i="1"/>
  <c r="AA23" i="1" s="1"/>
  <c r="AC23" i="1"/>
  <c r="W22" i="1"/>
  <c r="AA22" i="1" s="1"/>
  <c r="AD22" i="1"/>
  <c r="AC22" i="1"/>
  <c r="R23" i="1"/>
  <c r="P23" i="1" s="1"/>
  <c r="S23" i="1" s="1"/>
  <c r="M23" i="1" s="1"/>
  <c r="N23" i="1" s="1"/>
  <c r="AE18" i="1"/>
  <c r="AE20" i="1"/>
  <c r="AE21" i="1"/>
  <c r="AE22" i="1" l="1"/>
  <c r="AE23" i="1"/>
</calcChain>
</file>

<file path=xl/sharedStrings.xml><?xml version="1.0" encoding="utf-8"?>
<sst xmlns="http://schemas.openxmlformats.org/spreadsheetml/2006/main" count="1926" uniqueCount="480">
  <si>
    <t>SysConst</t>
  </si>
  <si>
    <t>AvgTime</t>
  </si>
  <si>
    <t>Oxygen</t>
  </si>
  <si>
    <t>0.5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</si>
  <si>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</si>
  <si>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</si>
  <si>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</si>
  <si>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</si>
  <si>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</si>
  <si>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</si>
  <si>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</si>
  <si>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</si>
  <si>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</si>
  <si>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</si>
  <si>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</si>
  <si>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6800-01A</t>
  </si>
  <si>
    <t>6 cm²</t>
  </si>
  <si>
    <t>LTConst</t>
  </si>
  <si>
    <t>deltaTw</t>
  </si>
  <si>
    <t>fT1</t>
  </si>
  <si>
    <t>fT2</t>
  </si>
  <si>
    <t>fTeb</t>
  </si>
  <si>
    <t>LQConst</t>
  </si>
  <si>
    <t>Leaf</t>
  </si>
  <si>
    <t>Ambient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</si>
  <si>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</si>
  <si>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</si>
  <si>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</si>
  <si>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</si>
  <si>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</si>
  <si>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</si>
  <si>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</si>
  <si>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</si>
  <si>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</si>
  <si>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</si>
  <si>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</si>
  <si>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</si>
  <si>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</si>
  <si>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</si>
  <si>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standard</t>
  </si>
  <si>
    <t>Sun+Sky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</si>
  <si>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</si>
  <si>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</si>
  <si>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</si>
  <si>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</si>
  <si>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</si>
  <si>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</si>
  <si>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</si>
  <si>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</si>
  <si>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</si>
  <si>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</si>
  <si>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</si>
  <si>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</si>
  <si>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Fs_true</t>
  </si>
  <si>
    <t>leak_wt</t>
  </si>
  <si>
    <t>8.4542 224.929 389.647 630.539 899.385 1105.24 1265.02 1382.86</t>
  </si>
  <si>
    <t>-0.13875 222.682 383.967 592.873 806.415 1004.04 1201.05 1401.28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</si>
  <si>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</si>
  <si>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</si>
  <si>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</si>
  <si>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</si>
  <si>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</si>
  <si>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</si>
  <si>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</si>
  <si>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</si>
  <si>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</si>
  <si>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</si>
  <si>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</si>
  <si>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</si>
  <si>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</si>
  <si>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</si>
  <si>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</si>
  <si>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</si>
  <si>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</si>
  <si>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</si>
  <si>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</si>
  <si>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</si>
  <si>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</si>
  <si>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</si>
  <si>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</si>
  <si>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</si>
  <si>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</si>
  <si>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</si>
  <si>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</si>
  <si>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</si>
  <si>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newDef_0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</si>
  <si>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</si>
  <si>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</si>
  <si>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</si>
  <si>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</si>
  <si>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</si>
  <si>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</si>
  <si>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</si>
  <si>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</si>
  <si>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</si>
  <si>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</si>
  <si>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</si>
  <si>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</si>
  <si>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</si>
  <si>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</si>
  <si>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</si>
  <si>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</si>
  <si>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</si>
  <si>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</si>
  <si>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</si>
  <si>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</si>
  <si>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</si>
  <si>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</si>
  <si>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</si>
  <si>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</si>
  <si>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</si>
  <si>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</si>
  <si>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</si>
  <si>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</si>
  <si>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</si>
  <si>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</si>
  <si>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</si>
  <si>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</si>
  <si>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</si>
  <si>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</si>
  <si>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</si>
  <si>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</si>
  <si>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</si>
  <si>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</si>
  <si>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</si>
  <si>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</si>
  <si>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</si>
  <si>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</si>
  <si>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</si>
  <si>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</si>
  <si>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</si>
  <si>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</si>
  <si>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</si>
  <si>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</si>
  <si>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</si>
  <si>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</si>
  <si>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</si>
  <si>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</si>
  <si>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</si>
  <si>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</si>
  <si>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</si>
  <si>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</si>
  <si>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</si>
  <si>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</si>
  <si>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</si>
  <si>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</si>
  <si>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</si>
  <si>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</si>
  <si>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</si>
  <si>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</si>
  <si>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</si>
  <si>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</si>
  <si>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</si>
  <si>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</si>
  <si>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</si>
  <si>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</si>
  <si>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</si>
  <si>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</si>
  <si>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</si>
  <si>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</si>
  <si>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</si>
  <si>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</si>
  <si>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</si>
  <si>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</si>
  <si>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</si>
  <si>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</si>
  <si>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</si>
  <si>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</si>
  <si>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</si>
  <si>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</si>
  <si>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</si>
  <si>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</si>
  <si>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</si>
  <si>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</si>
  <si>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</si>
  <si>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</si>
  <si>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</si>
  <si>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</si>
  <si>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</si>
  <si>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</si>
  <si>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</si>
  <si>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</si>
  <si>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</si>
  <si>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</si>
  <si>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</si>
  <si>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</si>
  <si>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</si>
  <si>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</si>
  <si>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</si>
  <si>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</si>
  <si>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</si>
  <si>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</si>
  <si>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</si>
  <si>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</si>
  <si>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</si>
  <si>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</si>
  <si>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</si>
  <si>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</si>
  <si>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</si>
  <si>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</si>
  <si>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</si>
  <si>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</si>
  <si>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</si>
  <si>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</si>
  <si>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</si>
  <si>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</si>
  <si>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</si>
  <si>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</si>
  <si>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</si>
  <si>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</si>
  <si>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</si>
  <si>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</si>
  <si>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</si>
  <si>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</si>
  <si>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</si>
  <si>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</si>
  <si>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</si>
  <si>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</si>
  <si>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</si>
  <si>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</si>
  <si>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</si>
  <si>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</si>
  <si>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</si>
  <si>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</si>
  <si>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</si>
  <si>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</si>
  <si>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</si>
  <si>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</si>
  <si>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</si>
  <si>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</si>
  <si>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</si>
  <si>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</si>
  <si>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</si>
  <si>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</si>
  <si>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</si>
  <si>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</si>
  <si>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</si>
  <si>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</si>
  <si>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</si>
  <si>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</si>
  <si>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</si>
  <si>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</si>
  <si>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</si>
  <si>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</si>
  <si>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</si>
  <si>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</si>
  <si>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</si>
  <si>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</si>
  <si>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</si>
  <si>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</si>
  <si>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</si>
  <si>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</si>
  <si>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</si>
  <si>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</si>
  <si>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</si>
  <si>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</si>
  <si>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</si>
  <si>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</si>
  <si>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</si>
  <si>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</si>
  <si>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</si>
  <si>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</si>
  <si>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</si>
  <si>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</si>
  <si>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</si>
  <si>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</si>
  <si>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</si>
  <si>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</si>
  <si>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</si>
  <si>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</si>
  <si>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</si>
  <si>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</si>
  <si>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</si>
  <si>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</si>
  <si>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</si>
  <si>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</si>
  <si>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</si>
  <si>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</si>
  <si>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</si>
  <si>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</si>
  <si>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</si>
  <si>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</si>
  <si>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</si>
  <si>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</si>
  <si>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</si>
  <si>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</si>
  <si>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</si>
  <si>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</si>
  <si>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</si>
  <si>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</si>
  <si>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</si>
  <si>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</si>
  <si>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</si>
  <si>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</si>
  <si>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</si>
  <si>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</si>
  <si>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</si>
  <si>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</si>
  <si>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</si>
  <si>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</si>
  <si>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</si>
  <si>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</si>
  <si>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</si>
  <si>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</si>
  <si>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</si>
  <si>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</si>
  <si>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</si>
  <si>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</si>
  <si>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</si>
  <si>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</si>
  <si>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</si>
  <si>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</si>
  <si>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</si>
  <si>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</si>
  <si>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</si>
  <si>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</si>
  <si>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</si>
  <si>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</si>
  <si>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</si>
  <si>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</si>
  <si>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</si>
  <si>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</si>
  <si>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</si>
  <si>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</si>
  <si>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</si>
  <si>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</si>
  <si>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</si>
  <si>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</si>
  <si>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</si>
  <si>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</si>
  <si>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</si>
  <si>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</si>
  <si>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</si>
  <si>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</si>
  <si>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</si>
  <si>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</si>
  <si>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</si>
  <si>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</si>
  <si>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</si>
  <si>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</si>
  <si>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</si>
  <si>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</si>
  <si>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</si>
  <si>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</si>
  <si>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</si>
  <si>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</si>
  <si>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</si>
  <si>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</si>
  <si>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</si>
  <si>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</si>
  <si>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</si>
  <si>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</si>
  <si>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</si>
  <si>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</si>
  <si>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</si>
  <si>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</si>
  <si>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</si>
  <si>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</si>
  <si>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</si>
  <si>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</si>
  <si>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</si>
  <si>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</si>
  <si>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</si>
  <si>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</si>
  <si>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</si>
  <si>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</si>
  <si>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</si>
  <si>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</si>
  <si>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</si>
  <si>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</si>
  <si>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</si>
  <si>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</si>
  <si>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</si>
  <si>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</si>
  <si>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</si>
  <si>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</si>
  <si>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</si>
  <si>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</si>
  <si>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</si>
  <si>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</si>
  <si>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</si>
  <si>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</si>
  <si>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</si>
  <si>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</si>
  <si>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</si>
  <si>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</si>
  <si>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</si>
  <si>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</si>
  <si>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</si>
  <si>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</si>
  <si>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</si>
  <si>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</si>
  <si>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</si>
  <si>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</si>
  <si>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</si>
  <si>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</si>
  <si>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</si>
  <si>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</si>
  <si>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</si>
  <si>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</si>
  <si>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</si>
  <si>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</si>
  <si>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</si>
  <si>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20260701 12:53:51</t>
  </si>
  <si>
    <t>12:53:51</t>
  </si>
  <si>
    <t>RECT-4084-20260702-12_46_14</t>
  </si>
  <si>
    <t>RECT-4085-20260702-12_52_36</t>
  </si>
  <si>
    <t>-</t>
  </si>
  <si>
    <t>0: Broadleaf</t>
  </si>
  <si>
    <t>12:54:17</t>
  </si>
  <si>
    <t>1/3</t>
  </si>
  <si>
    <t>00000000</t>
  </si>
  <si>
    <t>iiiiiiii</t>
  </si>
  <si>
    <t>off</t>
  </si>
  <si>
    <t>on</t>
  </si>
  <si>
    <t>20260701 12:57:18</t>
  </si>
  <si>
    <t>12:57:18</t>
  </si>
  <si>
    <t>RECT-4086-20260702-12_56_03</t>
  </si>
  <si>
    <t>12:57:45</t>
  </si>
  <si>
    <t>2/3</t>
  </si>
  <si>
    <t>20260701 13:00:46</t>
  </si>
  <si>
    <t>13:00:46</t>
  </si>
  <si>
    <t>RECT-4087-20260702-12_59_31</t>
  </si>
  <si>
    <t>13:00:01</t>
  </si>
  <si>
    <t>20260701 13:02:50</t>
  </si>
  <si>
    <t>13:02:50</t>
  </si>
  <si>
    <t>RECT-4088-20260702-13_01_35</t>
  </si>
  <si>
    <t>13:01:47</t>
  </si>
  <si>
    <t>3/3</t>
  </si>
  <si>
    <t>20260701 13:04:53</t>
  </si>
  <si>
    <t>13:04:53</t>
  </si>
  <si>
    <t>RECT-4089-20260702-13_03_38</t>
  </si>
  <si>
    <t>13:05:28</t>
  </si>
  <si>
    <t>20260701 13:07:40</t>
  </si>
  <si>
    <t>13:07:40</t>
  </si>
  <si>
    <t>RECT-4090-20260702-13_06_25</t>
  </si>
  <si>
    <t>13:06:36</t>
  </si>
  <si>
    <t>20260701 13:12:25</t>
  </si>
  <si>
    <t>13:12:25</t>
  </si>
  <si>
    <t>RECT-4091-20260702-13_11_10</t>
  </si>
  <si>
    <t>13:12:56</t>
  </si>
  <si>
    <t>10.2086 224.855 399.113 642.275 905.766 1114 1262.08 1404.53</t>
  </si>
  <si>
    <t>0.837448 219.659 384.683 593.88 804.539 1003.77 1200.98 1401.17</t>
  </si>
  <si>
    <t>20250106 14:54:41</t>
  </si>
  <si>
    <t>14:54:41</t>
  </si>
  <si>
    <t>RECT-4028-20260701-12_41_40</t>
  </si>
  <si>
    <t>RECT-4029-20260701-12_57_44</t>
  </si>
  <si>
    <t>14:55:11</t>
  </si>
  <si>
    <t>20250106 14:58:12</t>
  </si>
  <si>
    <t>14:58:12</t>
  </si>
  <si>
    <t>RECT-4030-20260701-13_01_15</t>
  </si>
  <si>
    <t>14:58:40</t>
  </si>
  <si>
    <t>20250106 15:01:41</t>
  </si>
  <si>
    <t>15:01:41</t>
  </si>
  <si>
    <t>RECT-4031-20260701-13_04_44</t>
  </si>
  <si>
    <t>15:02:13</t>
  </si>
  <si>
    <t>20250106 15:04:20</t>
  </si>
  <si>
    <t>15:04:20</t>
  </si>
  <si>
    <t>RECT-4032-20260701-13_07_23</t>
  </si>
  <si>
    <t>15:03:38</t>
  </si>
  <si>
    <t>20250106 15:06:27</t>
  </si>
  <si>
    <t>15:06:27</t>
  </si>
  <si>
    <t>RECT-4033-20260701-13_09_30</t>
  </si>
  <si>
    <t>15:05:31</t>
  </si>
  <si>
    <t>20250106 15:08:32</t>
  </si>
  <si>
    <t>15:08:32</t>
  </si>
  <si>
    <t>RECT-4034-20260701-13_11_35</t>
  </si>
  <si>
    <t>15:07:50</t>
  </si>
  <si>
    <t>20250106 15:10:35</t>
  </si>
  <si>
    <t>15:10:35</t>
  </si>
  <si>
    <t>RECT-4035-20260701-13_13_38</t>
  </si>
  <si>
    <t>15:09:44</t>
  </si>
  <si>
    <t>20250106 15:12:50</t>
  </si>
  <si>
    <t>15:12:50</t>
  </si>
  <si>
    <t>RECT-4036-20260701-13_15_53</t>
  </si>
  <si>
    <t>15:12:08</t>
  </si>
  <si>
    <t>20250106 15:15:31</t>
  </si>
  <si>
    <t>15:15:31</t>
  </si>
  <si>
    <t>RECT-4037-20260701-13_18_34</t>
  </si>
  <si>
    <t>15:14:38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</si>
</sst>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J23"/>
  <sheetViews>
    <sheetView workbookViewId="0">
      <selection activeCell="E29" sqref="E29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55</v>
      </c>
      <c r="G13" t="s">
        <v>56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256</v>
      </c>
      <c r="GC15" t="s">
        <v>257</v>
      </c>
      <c r="GD15" t="s">
        <v>258</v>
      </c>
      <c r="GE15" t="s">
        <v>259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1782928431.0999999</v>
      </c>
      <c r="C17">
        <v>0</v>
      </c>
      <c r="D17" t="s">
        <v>403</v>
      </c>
      <c r="E17" t="s">
        <v>404</v>
      </c>
      <c r="F17">
        <v>15</v>
      </c>
      <c r="H17">
        <v>1782928423.099999</v>
      </c>
      <c r="I17">
        <f t="shared" ref="I17:I23" si="0">(J17)/1000</f>
        <v>2.6956422381463983E-3</v>
      </c>
      <c r="J17">
        <f t="shared" ref="J17:J23" si="1">IF(DO17, AM17, AG17)</f>
        <v>2.6956422381463985</v>
      </c>
      <c r="K17">
        <f t="shared" ref="K17:K23" si="2">IF(DO17, AH17, AF17)</f>
        <v>28.32505183204977</v>
      </c>
      <c r="L17">
        <f t="shared" ref="L17:L23" si="3">DQ17 - IF(AT17&gt;1, K17*DK17*100/(AV17), 0)</f>
        <v>418.10280645161282</v>
      </c>
      <c r="M17">
        <f t="shared" ref="M17:M23" si="4">((S17-I17/2)*L17-K17)/(S17+I17/2)</f>
        <v>83.341244214895539</v>
      </c>
      <c r="N17">
        <f t="shared" ref="N17:N23" si="5">M17*(DX17+DY17)/1000</f>
        <v>8.1513444271022717</v>
      </c>
      <c r="O17">
        <f t="shared" ref="O17:O23" si="6">(DQ17 - IF(AT17&gt;1, K17*DK17*100/(AV17), 0))*(DX17+DY17)/1000</f>
        <v>40.893317749581257</v>
      </c>
      <c r="P17">
        <f t="shared" ref="P17:P23" si="7">2/((1/R17-1/Q17)+SIGN(R17)*SQRT((1/R17-1/Q17)*(1/R17-1/Q17) + 4*DL17/((DL17+1)*(DL17+1))*(2*1/R17*1/Q17-1/Q17*1/Q17)))</f>
        <v>0.14183971083483504</v>
      </c>
      <c r="Q17">
        <f t="shared" ref="Q17:Q23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2.8908348270190771</v>
      </c>
      <c r="R17">
        <f t="shared" ref="R17:R23" si="9">I17*(1000-(1000*0.61365*EXP(17.502*V17/(240.97+V17))/(DX17+DY17)+DS17)/2)/(1000*0.61365*EXP(17.502*V17/(240.97+V17))/(DX17+DY17)-DS17)</f>
        <v>0.13808378590557133</v>
      </c>
      <c r="S17">
        <f t="shared" ref="S17:S23" si="10">1/((DL17+1)/(P17/1.6)+1/(Q17/1.37)) + DL17/((DL17+1)/(P17/1.6) + DL17/(Q17/1.37))</f>
        <v>8.6631537144830614E-2</v>
      </c>
      <c r="T17">
        <f t="shared" ref="T17:T23" si="11">(DG17*DJ17)</f>
        <v>160.17780052714548</v>
      </c>
      <c r="U17">
        <f t="shared" ref="U17:U23" si="12">(DZ17+(T17+2*0.95*0.0000000567*(((DZ17+$B$7)+273)^4-(DZ17+273)^4)-44100*I17)/(1.84*29.3*Q17+8*0.95*0.0000000567*(DZ17+273)^3))</f>
        <v>34.236684795858878</v>
      </c>
      <c r="V17">
        <f t="shared" ref="V17:V23" si="13">($C$7*EA17+$D$7*EB17+$E$7*U17)</f>
        <v>33.819603225806453</v>
      </c>
      <c r="W17">
        <f t="shared" ref="W17:W23" si="14">0.61365*EXP(17.502*V17/(240.97+V17))</f>
        <v>5.2894803204920624</v>
      </c>
      <c r="X17">
        <f t="shared" ref="X17:X23" si="15">(Y17/Z17*100)</f>
        <v>64.893236558135072</v>
      </c>
      <c r="Y17">
        <f t="shared" ref="Y17:Y23" si="16">DS17*(DX17+DY17)/1000</f>
        <v>3.4655730172346448</v>
      </c>
      <c r="Z17">
        <f t="shared" ref="Z17:Z23" si="17">0.61365*EXP(17.502*DZ17/(240.97+DZ17))</f>
        <v>5.3404225171139164</v>
      </c>
      <c r="AA17">
        <f t="shared" ref="AA17:AA23" si="18">(W17-DS17*(DX17+DY17)/1000)</f>
        <v>1.8239073032574176</v>
      </c>
      <c r="AB17">
        <f t="shared" ref="AB17:AB23" si="19">(-I17*44100)</f>
        <v>-118.87782270225617</v>
      </c>
      <c r="AC17">
        <f t="shared" ref="AC17:AC23" si="20">2*29.3*Q17*0.92*(DZ17-V17)</f>
        <v>26.76157396786045</v>
      </c>
      <c r="AD17">
        <f t="shared" ref="AD17:AD23" si="21">2*0.95*0.0000000567*(((DZ17+$B$7)+273)^4-(V17+273)^4)</f>
        <v>2.1390131738195239</v>
      </c>
      <c r="AE17">
        <f t="shared" ref="AE17:AE23" si="22">T17+AD17+AB17+AC17</f>
        <v>70.200564966569289</v>
      </c>
      <c r="AF17">
        <f t="shared" ref="AF17:AF23" si="23">DW17*AT17*(DR17-DQ17*(1000-AT17*DT17)/(1000-AT17*DS17))/(100*DK17)</f>
        <v>28.32505183204977</v>
      </c>
      <c r="AG17">
        <f t="shared" ref="AG17:AG23" si="24">1000*DW17*AT17*(DS17-DT17)/(100*DK17*(1000-AT17*DS17))</f>
        <v>2.6956422381463985</v>
      </c>
      <c r="AH17">
        <f t="shared" ref="AH17:AH23" si="25">(AI17 - AJ17 - DX17*1000/(8.314*(DZ17+273.15)) * AL17/DW17 * AK17) * DW17/(100*DK17) * (1000 - DT17)/1000</f>
        <v>29.184607408183997</v>
      </c>
      <c r="AI17">
        <v>469.31009531735822</v>
      </c>
      <c r="AJ17">
        <v>433.34798787878788</v>
      </c>
      <c r="AK17">
        <v>-4.487158141600385E-2</v>
      </c>
      <c r="AL17">
        <v>67.035505519871705</v>
      </c>
      <c r="AM17">
        <f t="shared" ref="AM17:AM23" si="26">(AO17 - AN17 + DX17*1000/(8.314*(DZ17+273.15)) * AQ17/DW17 * AP17) * DW17/(100*DK17) * 1000/(1000 - AO17)</f>
        <v>2.8874825725146507</v>
      </c>
      <c r="AN17">
        <v>32.316969524801003</v>
      </c>
      <c r="AO17">
        <v>35.605493333333321</v>
      </c>
      <c r="AP17">
        <v>8.9031143190992507E-3</v>
      </c>
      <c r="AQ17">
        <v>78.068548516592813</v>
      </c>
      <c r="AR17">
        <v>0</v>
      </c>
      <c r="AS17">
        <v>0</v>
      </c>
      <c r="AT17">
        <f t="shared" ref="AT17:AT23" si="27">IF(AR17*$H$13&gt;=AV17,1,(AV17/(AV17-AR17*$H$13)))</f>
        <v>1</v>
      </c>
      <c r="AU17">
        <f t="shared" ref="AU17:AU23" si="28">(AT17-1)*100</f>
        <v>0</v>
      </c>
      <c r="AV17">
        <f t="shared" ref="AV17:AV23" si="29">MAX(0,($B$13+$C$13*EE17)/(1+$D$13*EE17)*DX17/(DZ17+273)*$E$13)</f>
        <v>50539.914018325449</v>
      </c>
      <c r="AW17" t="s">
        <v>405</v>
      </c>
      <c r="AX17">
        <v>5108.59</v>
      </c>
      <c r="AY17">
        <v>577.7117647058825</v>
      </c>
      <c r="AZ17">
        <v>2527.6</v>
      </c>
      <c r="BA17">
        <f t="shared" ref="BA17:BA23" si="30">1-AY17/AZ17</f>
        <v>0.7714386118429013</v>
      </c>
      <c r="BB17">
        <v>-5.2534396484243606</v>
      </c>
      <c r="BC17" t="s">
        <v>406</v>
      </c>
      <c r="BD17">
        <v>5107.0600000000004</v>
      </c>
      <c r="BE17">
        <v>761.28676470588221</v>
      </c>
      <c r="BF17">
        <v>1043.0999999999999</v>
      </c>
      <c r="BG17">
        <f t="shared" ref="BG17:BG23" si="31">1-BE17/BF17</f>
        <v>0.27016895340247127</v>
      </c>
      <c r="BH17">
        <v>0.5</v>
      </c>
      <c r="BI17">
        <f t="shared" ref="BI17:BI23" si="32">DH17</f>
        <v>840.30467965137063</v>
      </c>
      <c r="BJ17">
        <f t="shared" ref="BJ17:BJ23" si="33">K17</f>
        <v>28.32505183204977</v>
      </c>
      <c r="BK17">
        <f t="shared" ref="BK17:BK23" si="34">BG17*BH17*BI17</f>
        <v>113.51211792030485</v>
      </c>
      <c r="BL17">
        <f t="shared" ref="BL17:BL23" si="35">(BJ17-BB17)/BI17</f>
        <v>3.9959900609390066E-2</v>
      </c>
      <c r="BM17">
        <f t="shared" ref="BM17:BM23" si="36">(AZ17-BF17)/BF17</f>
        <v>1.4231617294602628</v>
      </c>
      <c r="BN17">
        <f t="shared" ref="BN17:BN23" si="37">AY17/(BA17+AY17/BF17)</f>
        <v>435.91681982032503</v>
      </c>
      <c r="BO17" t="s">
        <v>407</v>
      </c>
      <c r="BP17">
        <v>0</v>
      </c>
      <c r="BQ17">
        <f t="shared" ref="BQ17:BQ23" si="38">IF(BP17&lt;&gt;0, BP17, BN17)</f>
        <v>435.91681982032503</v>
      </c>
      <c r="BR17">
        <f t="shared" ref="BR17:BR23" si="39">1-BQ17/BF17</f>
        <v>0.58209489040329299</v>
      </c>
      <c r="BS17">
        <f t="shared" ref="BS17:BS23" si="40">(BF17-BE17)/(BF17-BQ17)</f>
        <v>0.46413215071393249</v>
      </c>
      <c r="BT17">
        <f t="shared" ref="BT17:BT23" si="41">(AZ17-BF17)/(AZ17-BQ17)</f>
        <v>0.70971551240015329</v>
      </c>
      <c r="BU17">
        <f t="shared" ref="BU17:BU23" si="42">(BF17-BE17)/(BF17-AY17)</f>
        <v>0.60554439051519326</v>
      </c>
      <c r="BV17">
        <f t="shared" ref="BV17:BV23" si="43">(AZ17-BF17)/(AZ17-AY17)</f>
        <v>0.76132568684177993</v>
      </c>
      <c r="BW17">
        <f t="shared" ref="BW17:BW23" si="44">(BS17*BQ17/BE17)</f>
        <v>0.26576451935789441</v>
      </c>
      <c r="BX17">
        <f t="shared" ref="BX17:BX23" si="45">(1-BW17)</f>
        <v>0.73423548064210564</v>
      </c>
      <c r="DG17">
        <f t="shared" ref="DG17:DG23" si="46">$B$11*EF17+$C$11*EG17+$F$11*ER17*(1-EU17)</f>
        <v>1000.0069999999999</v>
      </c>
      <c r="DH17">
        <f t="shared" ref="DH17:DH23" si="47">DG17*DI17</f>
        <v>840.30467965137063</v>
      </c>
      <c r="DI17">
        <f t="shared" ref="DI17:DI23" si="48">($B$11*$D$9+$C$11*$D$9+$F$11*((FE17+EW17)/MAX(FE17+EW17+FF17, 0.1)*$I$9+FF17/MAX(FE17+EW17+FF17, 0.1)*$J$9))/($B$11+$C$11+$F$11)</f>
        <v>0.84029879755978776</v>
      </c>
      <c r="DJ17">
        <f t="shared" ref="DJ17:DJ23" si="49">($B$11*$K$9+$C$11*$K$9+$F$11*((FE17+EW17)/MAX(FE17+EW17+FF17, 0.1)*$P$9+FF17/MAX(FE17+EW17+FF17, 0.1)*$Q$9))/($B$11+$C$11+$F$11)</f>
        <v>0.16017667929039045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1782928423.099999</v>
      </c>
      <c r="DQ17">
        <v>418.10280645161282</v>
      </c>
      <c r="DR17">
        <v>453.44677419354832</v>
      </c>
      <c r="DS17">
        <v>35.432825806451618</v>
      </c>
      <c r="DT17">
        <v>32.312545161290323</v>
      </c>
      <c r="DU17">
        <v>422.62700000000001</v>
      </c>
      <c r="DV17">
        <v>35.079825806451623</v>
      </c>
      <c r="DW17">
        <v>499.97964516129031</v>
      </c>
      <c r="DX17">
        <v>97.75736451612903</v>
      </c>
      <c r="DY17">
        <v>4.9483748387096793E-2</v>
      </c>
      <c r="DZ17">
        <v>33.991316129032249</v>
      </c>
      <c r="EA17">
        <v>33.819603225806453</v>
      </c>
      <c r="EB17">
        <v>999.90000000000032</v>
      </c>
      <c r="EC17">
        <v>0</v>
      </c>
      <c r="ED17">
        <v>0</v>
      </c>
      <c r="EE17">
        <v>10005.322580645159</v>
      </c>
      <c r="EF17">
        <v>0</v>
      </c>
      <c r="EG17">
        <v>1448.922903225807</v>
      </c>
      <c r="EH17">
        <v>-35.343896774193553</v>
      </c>
      <c r="EI17">
        <v>433.50654838709681</v>
      </c>
      <c r="EJ17">
        <v>468.58806451612912</v>
      </c>
      <c r="EK17">
        <v>3.2202341935483871</v>
      </c>
      <c r="EL17">
        <v>453.44677419354832</v>
      </c>
      <c r="EM17">
        <v>32.312545161290323</v>
      </c>
      <c r="EN17">
        <v>3.4735916129032258</v>
      </c>
      <c r="EO17">
        <v>3.1587900000000002</v>
      </c>
      <c r="EP17">
        <v>26.491199999999999</v>
      </c>
      <c r="EQ17">
        <v>24.889500000000002</v>
      </c>
      <c r="ER17">
        <v>1000.0069999999999</v>
      </c>
      <c r="ES17">
        <v>0.98998980645161272</v>
      </c>
      <c r="ET17">
        <v>1.00098935483871E-2</v>
      </c>
      <c r="EU17">
        <v>0</v>
      </c>
      <c r="EV17">
        <v>761.80567741935477</v>
      </c>
      <c r="EW17">
        <v>5.0010700000000003</v>
      </c>
      <c r="EX17">
        <v>11133.164516129031</v>
      </c>
      <c r="EY17">
        <v>9080.2996774193543</v>
      </c>
      <c r="EZ17">
        <v>39.025999999999989</v>
      </c>
      <c r="FA17">
        <v>41.612806451612897</v>
      </c>
      <c r="FB17">
        <v>40.259999999999977</v>
      </c>
      <c r="FC17">
        <v>41.509999999999977</v>
      </c>
      <c r="FD17">
        <v>41.308064516129008</v>
      </c>
      <c r="FE17">
        <v>985.04709677419351</v>
      </c>
      <c r="FF17">
        <v>9.9599999999999973</v>
      </c>
      <c r="FG17">
        <v>0</v>
      </c>
      <c r="FH17">
        <v>380.70000004768372</v>
      </c>
      <c r="FI17">
        <v>0</v>
      </c>
      <c r="FJ17">
        <v>761.28676470588221</v>
      </c>
      <c r="FK17">
        <v>-9.6514706199317377</v>
      </c>
      <c r="FL17">
        <v>763.72548960966446</v>
      </c>
      <c r="FM17">
        <v>11157.817647058821</v>
      </c>
      <c r="FN17">
        <v>10</v>
      </c>
      <c r="FO17">
        <v>1782928457.0999999</v>
      </c>
      <c r="FP17" t="s">
        <v>409</v>
      </c>
      <c r="FQ17">
        <v>1782928005</v>
      </c>
      <c r="FR17">
        <v>1782928457.0999999</v>
      </c>
      <c r="FS17">
        <v>47</v>
      </c>
      <c r="FT17">
        <v>-1.4E-2</v>
      </c>
      <c r="FU17">
        <v>-3.0000000000000001E-3</v>
      </c>
      <c r="FV17">
        <v>-4.5119999999999996</v>
      </c>
      <c r="FW17">
        <v>0.35299999999999998</v>
      </c>
      <c r="FX17">
        <v>415</v>
      </c>
      <c r="FY17">
        <v>32</v>
      </c>
      <c r="FZ17">
        <v>1.78</v>
      </c>
      <c r="GA17">
        <v>0.09</v>
      </c>
      <c r="GB17">
        <v>-34.78105853658537</v>
      </c>
      <c r="GC17">
        <v>-9.3084731707317232</v>
      </c>
      <c r="GD17">
        <v>0.9324243135375152</v>
      </c>
      <c r="GE17">
        <v>0</v>
      </c>
      <c r="GF17">
        <v>762.21576470588229</v>
      </c>
      <c r="GG17">
        <v>-8.6976317831249528</v>
      </c>
      <c r="GH17">
        <v>0.88142111384446165</v>
      </c>
      <c r="GI17">
        <v>1</v>
      </c>
      <c r="GJ17">
        <v>3.1890190243902441</v>
      </c>
      <c r="GK17">
        <v>0.54023101045296518</v>
      </c>
      <c r="GL17">
        <v>5.4026752668712458E-2</v>
      </c>
      <c r="GM17">
        <v>0</v>
      </c>
      <c r="GN17">
        <v>1</v>
      </c>
      <c r="GO17">
        <v>3</v>
      </c>
      <c r="GP17" t="s">
        <v>410</v>
      </c>
      <c r="GQ17">
        <v>3.1337899999999999</v>
      </c>
      <c r="GR17">
        <v>2.7256999999999998</v>
      </c>
      <c r="GS17">
        <v>9.0842999999999993E-2</v>
      </c>
      <c r="GT17">
        <v>9.6737299999999998E-2</v>
      </c>
      <c r="GU17">
        <v>0.145648</v>
      </c>
      <c r="GV17">
        <v>0.13752800000000001</v>
      </c>
      <c r="GW17">
        <v>22755.8</v>
      </c>
      <c r="GX17">
        <v>30443.4</v>
      </c>
      <c r="GY17">
        <v>27153.9</v>
      </c>
      <c r="GZ17">
        <v>34662.6</v>
      </c>
      <c r="HA17">
        <v>33984.199999999997</v>
      </c>
      <c r="HB17">
        <v>38199.199999999997</v>
      </c>
      <c r="HC17">
        <v>40102.1</v>
      </c>
      <c r="HD17">
        <v>44369.9</v>
      </c>
      <c r="HE17">
        <v>1.9590000000000001</v>
      </c>
      <c r="HF17">
        <v>1.752</v>
      </c>
      <c r="HG17">
        <v>3.8295999999999997E-2</v>
      </c>
      <c r="HH17">
        <v>0</v>
      </c>
      <c r="HI17">
        <v>33.200499999999998</v>
      </c>
      <c r="HJ17">
        <v>999.9</v>
      </c>
      <c r="HK17">
        <v>56.8</v>
      </c>
      <c r="HL17">
        <v>40</v>
      </c>
      <c r="HM17">
        <v>43.079799999999999</v>
      </c>
      <c r="HN17">
        <v>59.2637</v>
      </c>
      <c r="HO17">
        <v>7.2596100000000003</v>
      </c>
      <c r="HP17">
        <v>1</v>
      </c>
      <c r="HQ17">
        <v>0.60130099999999997</v>
      </c>
      <c r="HR17">
        <v>0</v>
      </c>
      <c r="HS17">
        <v>20.286799999999999</v>
      </c>
      <c r="HT17">
        <v>5.2112999999999996</v>
      </c>
      <c r="HU17">
        <v>11.908099999999999</v>
      </c>
      <c r="HV17">
        <v>4.9836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1.8673999999999999</v>
      </c>
      <c r="IC17">
        <v>1.86307</v>
      </c>
      <c r="ID17">
        <v>1.86252</v>
      </c>
      <c r="IE17">
        <v>1.8620300000000001</v>
      </c>
      <c r="IF17">
        <v>1.86209</v>
      </c>
      <c r="IG17">
        <v>1.8626400000000001</v>
      </c>
      <c r="IH17">
        <v>1.8635600000000001</v>
      </c>
      <c r="II17">
        <v>1.8615699999999999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-4.524</v>
      </c>
      <c r="IX17">
        <v>0.35299999999999998</v>
      </c>
      <c r="IY17">
        <v>-2.5971063332244322</v>
      </c>
      <c r="IZ17">
        <v>-5.1825110452525594E-3</v>
      </c>
      <c r="JA17">
        <v>1.5265819664382561E-6</v>
      </c>
      <c r="JB17">
        <v>-1.241475652429701E-10</v>
      </c>
      <c r="JC17">
        <v>-0.26794524689678939</v>
      </c>
      <c r="JD17">
        <v>2.7492919904454862E-4</v>
      </c>
      <c r="JE17">
        <v>8.6739513355948885E-4</v>
      </c>
      <c r="JF17">
        <v>-8.2500691715147318E-6</v>
      </c>
      <c r="JG17">
        <v>21</v>
      </c>
      <c r="JH17">
        <v>1720</v>
      </c>
      <c r="JI17">
        <v>2</v>
      </c>
      <c r="JJ17">
        <v>37</v>
      </c>
      <c r="JK17">
        <v>7.1</v>
      </c>
      <c r="JL17">
        <v>7.1</v>
      </c>
      <c r="JM17">
        <v>1.16943</v>
      </c>
      <c r="JN17">
        <v>2.5402800000000001</v>
      </c>
      <c r="JO17">
        <v>1.50024</v>
      </c>
      <c r="JP17">
        <v>2.2705099999999998</v>
      </c>
      <c r="JQ17">
        <v>1.4477500000000001</v>
      </c>
      <c r="JR17">
        <v>2.48169</v>
      </c>
      <c r="JS17">
        <v>43.155000000000001</v>
      </c>
      <c r="JT17">
        <v>14.315899999999999</v>
      </c>
      <c r="JU17">
        <v>18</v>
      </c>
      <c r="JV17">
        <v>545.375</v>
      </c>
      <c r="JW17">
        <v>424.14100000000002</v>
      </c>
      <c r="JX17">
        <v>33.552100000000003</v>
      </c>
      <c r="JY17">
        <v>34.666200000000003</v>
      </c>
      <c r="JZ17">
        <v>30.000699999999998</v>
      </c>
      <c r="KA17">
        <v>34.620199999999997</v>
      </c>
      <c r="KB17">
        <v>34.584499999999998</v>
      </c>
      <c r="KC17">
        <v>23.384399999999999</v>
      </c>
      <c r="KD17">
        <v>35.993400000000001</v>
      </c>
      <c r="KE17">
        <v>0</v>
      </c>
      <c r="KF17">
        <v>-999.9</v>
      </c>
      <c r="KG17">
        <v>455.428</v>
      </c>
      <c r="KH17">
        <v>32.097299999999997</v>
      </c>
      <c r="KI17">
        <v>100.22199999999999</v>
      </c>
      <c r="KJ17">
        <v>99.439800000000005</v>
      </c>
    </row>
    <row r="18" spans="1:296" x14ac:dyDescent="0.3">
      <c r="A18">
        <v>2</v>
      </c>
      <c r="B18">
        <v>1782928638.0999999</v>
      </c>
      <c r="C18">
        <v>207</v>
      </c>
      <c r="D18" t="s">
        <v>415</v>
      </c>
      <c r="E18" t="s">
        <v>416</v>
      </c>
      <c r="F18">
        <v>15</v>
      </c>
      <c r="H18">
        <v>1782928630.099999</v>
      </c>
      <c r="I18">
        <f t="shared" si="0"/>
        <v>5.359489502692793E-3</v>
      </c>
      <c r="J18">
        <f t="shared" si="1"/>
        <v>5.3594895026927931</v>
      </c>
      <c r="K18">
        <f t="shared" si="2"/>
        <v>53.001275669354328</v>
      </c>
      <c r="L18">
        <f t="shared" si="3"/>
        <v>419.02667741935488</v>
      </c>
      <c r="M18">
        <f t="shared" si="4"/>
        <v>101.95190318646074</v>
      </c>
      <c r="N18">
        <f t="shared" si="5"/>
        <v>9.9726719545513465</v>
      </c>
      <c r="O18">
        <f t="shared" si="6"/>
        <v>40.988107759657623</v>
      </c>
      <c r="P18">
        <f t="shared" si="7"/>
        <v>0.28743710903572517</v>
      </c>
      <c r="Q18">
        <f t="shared" si="8"/>
        <v>2.8896919841052084</v>
      </c>
      <c r="R18">
        <f t="shared" si="9"/>
        <v>0.27244525173617151</v>
      </c>
      <c r="S18">
        <f t="shared" si="10"/>
        <v>0.17156005367472507</v>
      </c>
      <c r="T18">
        <f t="shared" si="11"/>
        <v>240.00735788973688</v>
      </c>
      <c r="U18">
        <f t="shared" si="12"/>
        <v>34.517072662247486</v>
      </c>
      <c r="V18">
        <f t="shared" si="13"/>
        <v>34.144696774193548</v>
      </c>
      <c r="W18">
        <f t="shared" si="14"/>
        <v>5.3862862792911148</v>
      </c>
      <c r="X18">
        <f t="shared" si="15"/>
        <v>64.633253598401467</v>
      </c>
      <c r="Y18">
        <f t="shared" si="16"/>
        <v>3.5499370476464955</v>
      </c>
      <c r="Z18">
        <f t="shared" si="17"/>
        <v>5.4924312950482417</v>
      </c>
      <c r="AA18">
        <f t="shared" si="18"/>
        <v>1.8363492316446193</v>
      </c>
      <c r="AB18">
        <f t="shared" si="19"/>
        <v>-236.35348706875217</v>
      </c>
      <c r="AC18">
        <f t="shared" si="20"/>
        <v>54.630202884442632</v>
      </c>
      <c r="AD18">
        <f t="shared" si="21"/>
        <v>4.3859655162290752</v>
      </c>
      <c r="AE18">
        <f t="shared" si="22"/>
        <v>62.670039221656417</v>
      </c>
      <c r="AF18">
        <f t="shared" si="23"/>
        <v>53.001275669354328</v>
      </c>
      <c r="AG18">
        <f t="shared" si="24"/>
        <v>5.3594895026927931</v>
      </c>
      <c r="AH18">
        <f t="shared" si="25"/>
        <v>52.957325315456771</v>
      </c>
      <c r="AI18">
        <v>500.81444898572272</v>
      </c>
      <c r="AJ18">
        <v>435.09092121212097</v>
      </c>
      <c r="AK18">
        <v>3.9804697600134498E-2</v>
      </c>
      <c r="AL18">
        <v>67.086685413230967</v>
      </c>
      <c r="AM18">
        <f t="shared" si="26"/>
        <v>5.5319100421427407</v>
      </c>
      <c r="AN18">
        <v>30.106440898011389</v>
      </c>
      <c r="AO18">
        <v>36.498582424242421</v>
      </c>
      <c r="AP18">
        <v>6.2702796714470617E-4</v>
      </c>
      <c r="AQ18">
        <v>78.233557160267466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50425.525448309614</v>
      </c>
      <c r="AW18" t="s">
        <v>405</v>
      </c>
      <c r="AX18">
        <v>5108.59</v>
      </c>
      <c r="AY18">
        <v>577.7117647058825</v>
      </c>
      <c r="AZ18">
        <v>2527.6</v>
      </c>
      <c r="BA18">
        <f t="shared" si="30"/>
        <v>0.7714386118429013</v>
      </c>
      <c r="BB18">
        <v>-5.2534396484243606</v>
      </c>
      <c r="BC18" t="s">
        <v>417</v>
      </c>
      <c r="BD18">
        <v>5103.1499999999996</v>
      </c>
      <c r="BE18">
        <v>777.38947058823533</v>
      </c>
      <c r="BF18">
        <v>1049.7</v>
      </c>
      <c r="BG18">
        <f t="shared" si="31"/>
        <v>0.25941748062471626</v>
      </c>
      <c r="BH18">
        <v>0.5</v>
      </c>
      <c r="BI18">
        <f t="shared" si="32"/>
        <v>1260.3173804208893</v>
      </c>
      <c r="BJ18">
        <f t="shared" si="33"/>
        <v>53.001275669354328</v>
      </c>
      <c r="BK18">
        <f t="shared" si="34"/>
        <v>163.47417980816459</v>
      </c>
      <c r="BL18">
        <f t="shared" si="35"/>
        <v>4.6222258157166914E-2</v>
      </c>
      <c r="BM18">
        <f t="shared" si="36"/>
        <v>1.4079260741164141</v>
      </c>
      <c r="BN18">
        <f t="shared" si="37"/>
        <v>437.06524496469586</v>
      </c>
      <c r="BO18" t="s">
        <v>407</v>
      </c>
      <c r="BP18">
        <v>0</v>
      </c>
      <c r="BQ18">
        <f t="shared" si="38"/>
        <v>437.06524496469586</v>
      </c>
      <c r="BR18">
        <f t="shared" si="39"/>
        <v>0.58362842244003443</v>
      </c>
      <c r="BS18">
        <f t="shared" si="40"/>
        <v>0.44449082781154386</v>
      </c>
      <c r="BT18">
        <f t="shared" si="41"/>
        <v>0.70694830422708843</v>
      </c>
      <c r="BU18">
        <f t="shared" si="42"/>
        <v>0.57694346818215825</v>
      </c>
      <c r="BV18">
        <f t="shared" si="43"/>
        <v>0.75794087745602323</v>
      </c>
      <c r="BW18">
        <f t="shared" si="44"/>
        <v>0.24990239756529178</v>
      </c>
      <c r="BX18">
        <f t="shared" si="45"/>
        <v>0.75009760243470824</v>
      </c>
      <c r="DG18">
        <f t="shared" si="46"/>
        <v>1500.0035483870961</v>
      </c>
      <c r="DH18">
        <f t="shared" si="47"/>
        <v>1260.3173804208893</v>
      </c>
      <c r="DI18">
        <f t="shared" si="48"/>
        <v>0.84020959935465933</v>
      </c>
      <c r="DJ18">
        <f t="shared" si="49"/>
        <v>0.16000452675449256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1782928630.099999</v>
      </c>
      <c r="DQ18">
        <v>419.02667741935488</v>
      </c>
      <c r="DR18">
        <v>485.32196774193551</v>
      </c>
      <c r="DS18">
        <v>36.29146129032258</v>
      </c>
      <c r="DT18">
        <v>30.09358709677419</v>
      </c>
      <c r="DU18">
        <v>423.55451612903232</v>
      </c>
      <c r="DV18">
        <v>35.991461290322583</v>
      </c>
      <c r="DW18">
        <v>500.00877419354828</v>
      </c>
      <c r="DX18">
        <v>97.767296774193554</v>
      </c>
      <c r="DY18">
        <v>5.0121467741935481E-2</v>
      </c>
      <c r="DZ18">
        <v>34.49536451612903</v>
      </c>
      <c r="EA18">
        <v>34.144696774193548</v>
      </c>
      <c r="EB18">
        <v>999.90000000000032</v>
      </c>
      <c r="EC18">
        <v>0</v>
      </c>
      <c r="ED18">
        <v>0</v>
      </c>
      <c r="EE18">
        <v>9997.7419354838712</v>
      </c>
      <c r="EF18">
        <v>0</v>
      </c>
      <c r="EG18">
        <v>2103.0532258064518</v>
      </c>
      <c r="EH18">
        <v>-66.295199999999994</v>
      </c>
      <c r="EI18">
        <v>434.88680645161298</v>
      </c>
      <c r="EJ18">
        <v>500.38022580645162</v>
      </c>
      <c r="EK18">
        <v>6.3759554838709684</v>
      </c>
      <c r="EL18">
        <v>485.32196774193551</v>
      </c>
      <c r="EM18">
        <v>30.09358709677419</v>
      </c>
      <c r="EN18">
        <v>3.5655287096774191</v>
      </c>
      <c r="EO18">
        <v>2.9421683870967739</v>
      </c>
      <c r="EP18">
        <v>26.935038709677421</v>
      </c>
      <c r="EQ18">
        <v>23.7042</v>
      </c>
      <c r="ER18">
        <v>1500.0035483870961</v>
      </c>
      <c r="ES18">
        <v>0.9929887741935487</v>
      </c>
      <c r="ET18">
        <v>7.0110509677419348E-3</v>
      </c>
      <c r="EU18">
        <v>0</v>
      </c>
      <c r="EV18">
        <v>777.15280645161295</v>
      </c>
      <c r="EW18">
        <v>5.0010700000000003</v>
      </c>
      <c r="EX18">
        <v>16508.422580645161</v>
      </c>
      <c r="EY18">
        <v>13659.129032258061</v>
      </c>
      <c r="EZ18">
        <v>40.59248387096774</v>
      </c>
      <c r="FA18">
        <v>42.59248387096774</v>
      </c>
      <c r="FB18">
        <v>41.483741935483877</v>
      </c>
      <c r="FC18">
        <v>42.219548387096758</v>
      </c>
      <c r="FD18">
        <v>42.674999999999983</v>
      </c>
      <c r="FE18">
        <v>1484.523548387097</v>
      </c>
      <c r="FF18">
        <v>10.48</v>
      </c>
      <c r="FG18">
        <v>0</v>
      </c>
      <c r="FH18">
        <v>206.5999999046326</v>
      </c>
      <c r="FI18">
        <v>0</v>
      </c>
      <c r="FJ18">
        <v>777.38947058823533</v>
      </c>
      <c r="FK18">
        <v>5.3664215923390532</v>
      </c>
      <c r="FL18">
        <v>335.44117611308042</v>
      </c>
      <c r="FM18">
        <v>16546.44117647058</v>
      </c>
      <c r="FN18">
        <v>10</v>
      </c>
      <c r="FO18">
        <v>1782928665.0999999</v>
      </c>
      <c r="FP18" t="s">
        <v>418</v>
      </c>
      <c r="FQ18">
        <v>1782928005</v>
      </c>
      <c r="FR18">
        <v>1782928665.0999999</v>
      </c>
      <c r="FS18">
        <v>48</v>
      </c>
      <c r="FT18">
        <v>-1.4E-2</v>
      </c>
      <c r="FU18">
        <v>8.0000000000000002E-3</v>
      </c>
      <c r="FV18">
        <v>-4.5119999999999996</v>
      </c>
      <c r="FW18">
        <v>0.3</v>
      </c>
      <c r="FX18">
        <v>415</v>
      </c>
      <c r="FY18">
        <v>30</v>
      </c>
      <c r="FZ18">
        <v>1.78</v>
      </c>
      <c r="GA18">
        <v>0.06</v>
      </c>
      <c r="GB18">
        <v>-66.150680487804877</v>
      </c>
      <c r="GC18">
        <v>-3.3108689895470662</v>
      </c>
      <c r="GD18">
        <v>0.3612371103073117</v>
      </c>
      <c r="GE18">
        <v>0</v>
      </c>
      <c r="GF18">
        <v>776.97900000000004</v>
      </c>
      <c r="GG18">
        <v>4.7541940391184081</v>
      </c>
      <c r="GH18">
        <v>0.53063934800111823</v>
      </c>
      <c r="GI18">
        <v>1</v>
      </c>
      <c r="GJ18">
        <v>6.3615836585365848</v>
      </c>
      <c r="GK18">
        <v>0.20163219512195751</v>
      </c>
      <c r="GL18">
        <v>3.139314207819828E-2</v>
      </c>
      <c r="GM18">
        <v>1</v>
      </c>
      <c r="GN18">
        <v>2</v>
      </c>
      <c r="GO18">
        <v>3</v>
      </c>
      <c r="GP18" t="s">
        <v>419</v>
      </c>
      <c r="GQ18">
        <v>3.1334599999999999</v>
      </c>
      <c r="GR18">
        <v>2.7263999999999999</v>
      </c>
      <c r="GS18">
        <v>9.1008199999999997E-2</v>
      </c>
      <c r="GT18">
        <v>0.101519</v>
      </c>
      <c r="GU18">
        <v>0.14802299999999999</v>
      </c>
      <c r="GV18">
        <v>0.131109</v>
      </c>
      <c r="GW18">
        <v>22744</v>
      </c>
      <c r="GX18">
        <v>30270.9</v>
      </c>
      <c r="GY18">
        <v>27146</v>
      </c>
      <c r="GZ18">
        <v>34651.699999999997</v>
      </c>
      <c r="HA18">
        <v>33882.6</v>
      </c>
      <c r="HB18">
        <v>38475.9</v>
      </c>
      <c r="HC18">
        <v>40091.1</v>
      </c>
      <c r="HD18">
        <v>44359.7</v>
      </c>
      <c r="HE18">
        <v>1.9588000000000001</v>
      </c>
      <c r="HF18">
        <v>1.7438</v>
      </c>
      <c r="HG18">
        <v>2.4586899999999998E-2</v>
      </c>
      <c r="HH18">
        <v>0</v>
      </c>
      <c r="HI18">
        <v>33.759599999999999</v>
      </c>
      <c r="HJ18">
        <v>999.9</v>
      </c>
      <c r="HK18">
        <v>57</v>
      </c>
      <c r="HL18">
        <v>40.200000000000003</v>
      </c>
      <c r="HM18">
        <v>43.687100000000001</v>
      </c>
      <c r="HN18">
        <v>59.503700000000002</v>
      </c>
      <c r="HO18">
        <v>7.2435900000000002</v>
      </c>
      <c r="HP18">
        <v>1</v>
      </c>
      <c r="HQ18">
        <v>0.62422800000000001</v>
      </c>
      <c r="HR18">
        <v>0</v>
      </c>
      <c r="HS18">
        <v>20.282299999999999</v>
      </c>
      <c r="HT18">
        <v>5.2088999999999999</v>
      </c>
      <c r="HU18">
        <v>11.908099999999999</v>
      </c>
      <c r="HV18">
        <v>4.9836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1.8673999999999999</v>
      </c>
      <c r="IC18">
        <v>1.8631</v>
      </c>
      <c r="ID18">
        <v>1.86252</v>
      </c>
      <c r="IE18">
        <v>1.86206</v>
      </c>
      <c r="IF18">
        <v>1.86215</v>
      </c>
      <c r="IG18">
        <v>1.8626400000000001</v>
      </c>
      <c r="IH18">
        <v>1.8635600000000001</v>
      </c>
      <c r="II18">
        <v>1.8615699999999999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-4.5279999999999996</v>
      </c>
      <c r="IX18">
        <v>0.3</v>
      </c>
      <c r="IY18">
        <v>-2.5971063332244322</v>
      </c>
      <c r="IZ18">
        <v>-5.1825110452525594E-3</v>
      </c>
      <c r="JA18">
        <v>1.5265819664382561E-6</v>
      </c>
      <c r="JB18">
        <v>-1.241475652429701E-10</v>
      </c>
      <c r="JC18">
        <v>-0.27077940136493017</v>
      </c>
      <c r="JD18">
        <v>2.7492919904454862E-4</v>
      </c>
      <c r="JE18">
        <v>8.6739513355948885E-4</v>
      </c>
      <c r="JF18">
        <v>-8.2500691715147318E-6</v>
      </c>
      <c r="JG18">
        <v>21</v>
      </c>
      <c r="JH18">
        <v>1720</v>
      </c>
      <c r="JI18">
        <v>2</v>
      </c>
      <c r="JJ18">
        <v>37</v>
      </c>
      <c r="JK18">
        <v>10.6</v>
      </c>
      <c r="JL18">
        <v>3</v>
      </c>
      <c r="JM18">
        <v>1.23047</v>
      </c>
      <c r="JN18">
        <v>2.5488300000000002</v>
      </c>
      <c r="JO18">
        <v>1.50024</v>
      </c>
      <c r="JP18">
        <v>2.2705099999999998</v>
      </c>
      <c r="JQ18">
        <v>1.4477500000000001</v>
      </c>
      <c r="JR18">
        <v>2.35107</v>
      </c>
      <c r="JS18">
        <v>43.809199999999997</v>
      </c>
      <c r="JT18">
        <v>14.2721</v>
      </c>
      <c r="JU18">
        <v>18</v>
      </c>
      <c r="JV18">
        <v>547.101</v>
      </c>
      <c r="JW18">
        <v>420.56400000000002</v>
      </c>
      <c r="JX18">
        <v>33.8917</v>
      </c>
      <c r="JY18">
        <v>34.923099999999998</v>
      </c>
      <c r="JZ18">
        <v>30.000399999999999</v>
      </c>
      <c r="KA18">
        <v>34.846899999999998</v>
      </c>
      <c r="KB18">
        <v>34.808900000000001</v>
      </c>
      <c r="KC18">
        <v>24.6067</v>
      </c>
      <c r="KD18">
        <v>40.264299999999999</v>
      </c>
      <c r="KE18">
        <v>0</v>
      </c>
      <c r="KF18">
        <v>-999.9</v>
      </c>
      <c r="KG18">
        <v>485.97</v>
      </c>
      <c r="KH18">
        <v>30.132899999999999</v>
      </c>
      <c r="KI18">
        <v>100.194</v>
      </c>
      <c r="KJ18">
        <v>99.4131</v>
      </c>
    </row>
    <row r="19" spans="1:296" x14ac:dyDescent="0.3">
      <c r="A19">
        <v>3</v>
      </c>
      <c r="B19">
        <v>1782928846.0999999</v>
      </c>
      <c r="C19">
        <v>415</v>
      </c>
      <c r="D19" t="s">
        <v>420</v>
      </c>
      <c r="E19" t="s">
        <v>421</v>
      </c>
      <c r="F19">
        <v>15</v>
      </c>
      <c r="H19">
        <v>1782928838.349999</v>
      </c>
      <c r="I19">
        <f t="shared" si="0"/>
        <v>6.5176277378170919E-3</v>
      </c>
      <c r="J19">
        <f t="shared" si="1"/>
        <v>6.5176277378170919</v>
      </c>
      <c r="K19">
        <f t="shared" si="2"/>
        <v>58.619261890512618</v>
      </c>
      <c r="L19">
        <f t="shared" si="3"/>
        <v>419.26950000000011</v>
      </c>
      <c r="M19">
        <f t="shared" si="4"/>
        <v>131.38264318588188</v>
      </c>
      <c r="N19">
        <f t="shared" si="5"/>
        <v>12.853599728300981</v>
      </c>
      <c r="O19">
        <f t="shared" si="6"/>
        <v>41.018525739813967</v>
      </c>
      <c r="P19">
        <f t="shared" si="7"/>
        <v>0.35531663201002983</v>
      </c>
      <c r="Q19">
        <f t="shared" si="8"/>
        <v>2.8894900808883253</v>
      </c>
      <c r="R19">
        <f t="shared" si="9"/>
        <v>0.33270534850037475</v>
      </c>
      <c r="S19">
        <f t="shared" si="10"/>
        <v>0.20985235449869361</v>
      </c>
      <c r="T19">
        <f t="shared" si="11"/>
        <v>255.90731902995137</v>
      </c>
      <c r="U19">
        <f t="shared" si="12"/>
        <v>34.88843525046353</v>
      </c>
      <c r="V19">
        <f t="shared" si="13"/>
        <v>34.568430000000014</v>
      </c>
      <c r="W19">
        <f t="shared" si="14"/>
        <v>5.5147752612454575</v>
      </c>
      <c r="X19">
        <f t="shared" si="15"/>
        <v>65.027125801043482</v>
      </c>
      <c r="Y19">
        <f t="shared" si="16"/>
        <v>3.6883851718664062</v>
      </c>
      <c r="Z19">
        <f t="shared" si="17"/>
        <v>5.6720716569133973</v>
      </c>
      <c r="AA19">
        <f t="shared" si="18"/>
        <v>1.8263900893790512</v>
      </c>
      <c r="AB19">
        <f t="shared" si="19"/>
        <v>-287.42738323773375</v>
      </c>
      <c r="AC19">
        <f t="shared" si="20"/>
        <v>79.01121684359002</v>
      </c>
      <c r="AD19">
        <f t="shared" si="21"/>
        <v>6.3749700060054844</v>
      </c>
      <c r="AE19">
        <f t="shared" si="22"/>
        <v>53.866122641813135</v>
      </c>
      <c r="AF19">
        <f t="shared" si="23"/>
        <v>58.619261890512618</v>
      </c>
      <c r="AG19">
        <f t="shared" si="24"/>
        <v>6.5176277378170919</v>
      </c>
      <c r="AH19">
        <f t="shared" si="25"/>
        <v>58.373092076446</v>
      </c>
      <c r="AI19">
        <v>508.65807761083141</v>
      </c>
      <c r="AJ19">
        <v>435.99348484848468</v>
      </c>
      <c r="AK19">
        <v>8.5592671179577431E-2</v>
      </c>
      <c r="AL19">
        <v>67.090647202277083</v>
      </c>
      <c r="AM19">
        <f t="shared" si="26"/>
        <v>6.544931748717274</v>
      </c>
      <c r="AN19">
        <v>30.12297246785371</v>
      </c>
      <c r="AO19">
        <v>37.686536363636357</v>
      </c>
      <c r="AP19">
        <v>-9.5669895459071167E-4</v>
      </c>
      <c r="AQ19">
        <v>78.254476601086239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50325.27402050815</v>
      </c>
      <c r="AW19" t="s">
        <v>405</v>
      </c>
      <c r="AX19">
        <v>5108.59</v>
      </c>
      <c r="AY19">
        <v>577.7117647058825</v>
      </c>
      <c r="AZ19">
        <v>2527.6</v>
      </c>
      <c r="BA19">
        <f t="shared" si="30"/>
        <v>0.7714386118429013</v>
      </c>
      <c r="BB19">
        <v>-5.2534396484243606</v>
      </c>
      <c r="BC19" t="s">
        <v>422</v>
      </c>
      <c r="BD19">
        <v>5098.21</v>
      </c>
      <c r="BE19">
        <v>784.95799999999997</v>
      </c>
      <c r="BF19">
        <v>1073.32</v>
      </c>
      <c r="BG19">
        <f t="shared" si="31"/>
        <v>0.26866358588305439</v>
      </c>
      <c r="BH19">
        <v>0.5</v>
      </c>
      <c r="BI19">
        <f t="shared" si="32"/>
        <v>1344.2550598082646</v>
      </c>
      <c r="BJ19">
        <f t="shared" si="33"/>
        <v>58.619261890512618</v>
      </c>
      <c r="BK19">
        <f t="shared" si="34"/>
        <v>180.57619235476406</v>
      </c>
      <c r="BL19">
        <f t="shared" si="35"/>
        <v>4.7515314205361703E-2</v>
      </c>
      <c r="BM19">
        <f t="shared" si="36"/>
        <v>1.354936086162561</v>
      </c>
      <c r="BN19">
        <f t="shared" si="37"/>
        <v>441.10705362178226</v>
      </c>
      <c r="BO19" t="s">
        <v>407</v>
      </c>
      <c r="BP19">
        <v>0</v>
      </c>
      <c r="BQ19">
        <f t="shared" si="38"/>
        <v>441.10705362178226</v>
      </c>
      <c r="BR19">
        <f t="shared" si="39"/>
        <v>0.5890255901112601</v>
      </c>
      <c r="BS19">
        <f t="shared" si="40"/>
        <v>0.45611530363614083</v>
      </c>
      <c r="BT19">
        <f t="shared" si="41"/>
        <v>0.69699732391828717</v>
      </c>
      <c r="BU19">
        <f t="shared" si="42"/>
        <v>0.58183456097914166</v>
      </c>
      <c r="BV19">
        <f t="shared" si="43"/>
        <v>0.74582736265426985</v>
      </c>
      <c r="BW19">
        <f t="shared" si="44"/>
        <v>0.25631393997990043</v>
      </c>
      <c r="BX19">
        <f t="shared" si="45"/>
        <v>0.74368606002009963</v>
      </c>
      <c r="DG19">
        <f t="shared" si="46"/>
        <v>1599.9623333333329</v>
      </c>
      <c r="DH19">
        <f t="shared" si="47"/>
        <v>1344.2550598082646</v>
      </c>
      <c r="DI19">
        <f t="shared" si="48"/>
        <v>0.84017919159863452</v>
      </c>
      <c r="DJ19">
        <f t="shared" si="49"/>
        <v>0.15994583978536459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1782928838.349999</v>
      </c>
      <c r="DQ19">
        <v>419.26950000000011</v>
      </c>
      <c r="DR19">
        <v>492.89100000000002</v>
      </c>
      <c r="DS19">
        <v>37.700706666666669</v>
      </c>
      <c r="DT19">
        <v>30.174496666666659</v>
      </c>
      <c r="DU19">
        <v>423.83456666666672</v>
      </c>
      <c r="DV19">
        <v>37.181363333333337</v>
      </c>
      <c r="DW19">
        <v>500.0053333333334</v>
      </c>
      <c r="DX19">
        <v>97.782776666666663</v>
      </c>
      <c r="DY19">
        <v>5.0539946666666662E-2</v>
      </c>
      <c r="DZ19">
        <v>35.075633333333343</v>
      </c>
      <c r="EA19">
        <v>34.568430000000014</v>
      </c>
      <c r="EB19">
        <v>999.9000000000002</v>
      </c>
      <c r="EC19">
        <v>0</v>
      </c>
      <c r="ED19">
        <v>0</v>
      </c>
      <c r="EE19">
        <v>9995</v>
      </c>
      <c r="EF19">
        <v>0</v>
      </c>
      <c r="EG19">
        <v>1720.587</v>
      </c>
      <c r="EH19">
        <v>-73.621613333333329</v>
      </c>
      <c r="EI19">
        <v>435.69543333333331</v>
      </c>
      <c r="EJ19">
        <v>508.22649999999999</v>
      </c>
      <c r="EK19">
        <v>7.5262036666666674</v>
      </c>
      <c r="EL19">
        <v>492.89100000000002</v>
      </c>
      <c r="EM19">
        <v>30.174496666666659</v>
      </c>
      <c r="EN19">
        <v>3.686478999999999</v>
      </c>
      <c r="EO19">
        <v>2.950545</v>
      </c>
      <c r="EP19">
        <v>27.503963333333331</v>
      </c>
      <c r="EQ19">
        <v>23.751413333333339</v>
      </c>
      <c r="ER19">
        <v>1599.9623333333329</v>
      </c>
      <c r="ES19">
        <v>0.99400686666666649</v>
      </c>
      <c r="ET19">
        <v>5.9929753333333334E-3</v>
      </c>
      <c r="EU19">
        <v>0</v>
      </c>
      <c r="EV19">
        <v>784.99873333333335</v>
      </c>
      <c r="EW19">
        <v>5.0010700000000003</v>
      </c>
      <c r="EX19">
        <v>17353.10666666667</v>
      </c>
      <c r="EY19">
        <v>14578.196666666659</v>
      </c>
      <c r="EZ19">
        <v>41.981099999999998</v>
      </c>
      <c r="FA19">
        <v>43.601900000000008</v>
      </c>
      <c r="FB19">
        <v>42.660133333333313</v>
      </c>
      <c r="FC19">
        <v>43.414266666666649</v>
      </c>
      <c r="FD19">
        <v>43.835166666666659</v>
      </c>
      <c r="FE19">
        <v>1585.405666666667</v>
      </c>
      <c r="FF19">
        <v>9.5566666666666684</v>
      </c>
      <c r="FG19">
        <v>0</v>
      </c>
      <c r="FH19">
        <v>207.5</v>
      </c>
      <c r="FI19">
        <v>0</v>
      </c>
      <c r="FJ19">
        <v>784.95799999999997</v>
      </c>
      <c r="FK19">
        <v>-1.8345588720234109</v>
      </c>
      <c r="FL19">
        <v>-460.68627247350992</v>
      </c>
      <c r="FM19">
        <v>17385.81176470589</v>
      </c>
      <c r="FN19">
        <v>10</v>
      </c>
      <c r="FO19">
        <v>1782928801.0999999</v>
      </c>
      <c r="FP19" t="s">
        <v>423</v>
      </c>
      <c r="FQ19">
        <v>1782928801.0999999</v>
      </c>
      <c r="FR19">
        <v>1782928793.5999999</v>
      </c>
      <c r="FS19">
        <v>49</v>
      </c>
      <c r="FT19">
        <v>-3.5999999999999997E-2</v>
      </c>
      <c r="FU19">
        <v>-3.0000000000000001E-3</v>
      </c>
      <c r="FV19">
        <v>-4.8490000000000002</v>
      </c>
      <c r="FW19">
        <v>0.28699999999999998</v>
      </c>
      <c r="FX19">
        <v>493</v>
      </c>
      <c r="FY19">
        <v>30</v>
      </c>
      <c r="FZ19">
        <v>0.09</v>
      </c>
      <c r="GA19">
        <v>0.04</v>
      </c>
      <c r="GB19">
        <v>-73.442273170731696</v>
      </c>
      <c r="GC19">
        <v>-3.4422418118467109</v>
      </c>
      <c r="GD19">
        <v>0.44980247536131412</v>
      </c>
      <c r="GE19">
        <v>0</v>
      </c>
      <c r="GF19">
        <v>784.83082352941176</v>
      </c>
      <c r="GG19">
        <v>1.776959503486409</v>
      </c>
      <c r="GH19">
        <v>0.37465956865872191</v>
      </c>
      <c r="GI19">
        <v>1</v>
      </c>
      <c r="GJ19">
        <v>7.4878443902439029</v>
      </c>
      <c r="GK19">
        <v>0.62669602787455603</v>
      </c>
      <c r="GL19">
        <v>6.4532888157097762E-2</v>
      </c>
      <c r="GM19">
        <v>0</v>
      </c>
      <c r="GN19">
        <v>1</v>
      </c>
      <c r="GO19">
        <v>3</v>
      </c>
      <c r="GP19" t="s">
        <v>410</v>
      </c>
      <c r="GQ19">
        <v>3.1323500000000002</v>
      </c>
      <c r="GR19">
        <v>2.72892</v>
      </c>
      <c r="GS19">
        <v>9.1014899999999996E-2</v>
      </c>
      <c r="GT19">
        <v>0.10267900000000001</v>
      </c>
      <c r="GU19">
        <v>0.15110699999999999</v>
      </c>
      <c r="GV19">
        <v>0.13100800000000001</v>
      </c>
      <c r="GW19">
        <v>22731.4</v>
      </c>
      <c r="GX19">
        <v>30212.799999999999</v>
      </c>
      <c r="GY19">
        <v>27132.6</v>
      </c>
      <c r="GZ19">
        <v>34632.400000000001</v>
      </c>
      <c r="HA19">
        <v>33747.9</v>
      </c>
      <c r="HB19">
        <v>38462.9</v>
      </c>
      <c r="HC19">
        <v>40073.1</v>
      </c>
      <c r="HD19">
        <v>44338.3</v>
      </c>
      <c r="HE19">
        <v>1.9541999999999999</v>
      </c>
      <c r="HF19">
        <v>1.7354000000000001</v>
      </c>
      <c r="HG19">
        <v>2.2947800000000001E-2</v>
      </c>
      <c r="HH19">
        <v>0</v>
      </c>
      <c r="HI19">
        <v>34.211500000000001</v>
      </c>
      <c r="HJ19">
        <v>999.9</v>
      </c>
      <c r="HK19">
        <v>57</v>
      </c>
      <c r="HL19">
        <v>40.6</v>
      </c>
      <c r="HM19">
        <v>44.622300000000003</v>
      </c>
      <c r="HN19">
        <v>59.853700000000003</v>
      </c>
      <c r="HO19">
        <v>7.1033600000000003</v>
      </c>
      <c r="HP19">
        <v>1</v>
      </c>
      <c r="HQ19">
        <v>0.65191100000000002</v>
      </c>
      <c r="HR19">
        <v>0</v>
      </c>
      <c r="HS19">
        <v>20.2805</v>
      </c>
      <c r="HT19">
        <v>5.2100999999999997</v>
      </c>
      <c r="HU19">
        <v>11.908099999999999</v>
      </c>
      <c r="HV19">
        <v>4.9836</v>
      </c>
      <c r="HW19">
        <v>3.2707999999999999</v>
      </c>
      <c r="HX19">
        <v>9999</v>
      </c>
      <c r="HY19">
        <v>9999</v>
      </c>
      <c r="HZ19">
        <v>9999</v>
      </c>
      <c r="IA19">
        <v>999.9</v>
      </c>
      <c r="IB19">
        <v>1.8675200000000001</v>
      </c>
      <c r="IC19">
        <v>1.8631</v>
      </c>
      <c r="ID19">
        <v>1.8626100000000001</v>
      </c>
      <c r="IE19">
        <v>1.8621799999999999</v>
      </c>
      <c r="IF19">
        <v>1.8621799999999999</v>
      </c>
      <c r="IG19">
        <v>1.8627</v>
      </c>
      <c r="IH19">
        <v>1.8635900000000001</v>
      </c>
      <c r="II19">
        <v>1.8615699999999999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-4.5659999999999998</v>
      </c>
      <c r="IX19">
        <v>0.51900000000000002</v>
      </c>
      <c r="IY19">
        <v>-2.633292595509698</v>
      </c>
      <c r="IZ19">
        <v>-5.1825110452525594E-3</v>
      </c>
      <c r="JA19">
        <v>1.5265819664382561E-6</v>
      </c>
      <c r="JB19">
        <v>-1.241475652429701E-10</v>
      </c>
      <c r="JC19">
        <v>-0.26594515156033921</v>
      </c>
      <c r="JD19">
        <v>2.7492919904454862E-4</v>
      </c>
      <c r="JE19">
        <v>8.6739513355948885E-4</v>
      </c>
      <c r="JF19">
        <v>-8.2500691715147318E-6</v>
      </c>
      <c r="JG19">
        <v>21</v>
      </c>
      <c r="JH19">
        <v>1720</v>
      </c>
      <c r="JI19">
        <v>2</v>
      </c>
      <c r="JJ19">
        <v>37</v>
      </c>
      <c r="JK19">
        <v>0.8</v>
      </c>
      <c r="JL19">
        <v>0.9</v>
      </c>
      <c r="JM19">
        <v>1.2439</v>
      </c>
      <c r="JN19">
        <v>2.5671400000000002</v>
      </c>
      <c r="JO19">
        <v>1.50024</v>
      </c>
      <c r="JP19">
        <v>2.2705099999999998</v>
      </c>
      <c r="JQ19">
        <v>1.4477500000000001</v>
      </c>
      <c r="JR19">
        <v>2.3828100000000001</v>
      </c>
      <c r="JS19">
        <v>44.613199999999999</v>
      </c>
      <c r="JT19">
        <v>14.2371</v>
      </c>
      <c r="JU19">
        <v>18</v>
      </c>
      <c r="JV19">
        <v>546.58600000000001</v>
      </c>
      <c r="JW19">
        <v>417.464</v>
      </c>
      <c r="JX19">
        <v>34.363399999999999</v>
      </c>
      <c r="JY19">
        <v>35.273200000000003</v>
      </c>
      <c r="JZ19">
        <v>30.000699999999998</v>
      </c>
      <c r="KA19">
        <v>35.165300000000002</v>
      </c>
      <c r="KB19">
        <v>35.125100000000003</v>
      </c>
      <c r="KC19">
        <v>24.877199999999998</v>
      </c>
      <c r="KD19">
        <v>41.496600000000001</v>
      </c>
      <c r="KE19">
        <v>0</v>
      </c>
      <c r="KF19">
        <v>-999.9</v>
      </c>
      <c r="KG19">
        <v>493.30799999999999</v>
      </c>
      <c r="KH19">
        <v>29.9907</v>
      </c>
      <c r="KI19">
        <v>100.14700000000001</v>
      </c>
      <c r="KJ19">
        <v>99.361900000000006</v>
      </c>
    </row>
    <row r="20" spans="1:296" x14ac:dyDescent="0.3">
      <c r="A20">
        <v>4</v>
      </c>
      <c r="B20">
        <v>1782928970.0999999</v>
      </c>
      <c r="C20">
        <v>539</v>
      </c>
      <c r="D20" t="s">
        <v>424</v>
      </c>
      <c r="E20" t="s">
        <v>425</v>
      </c>
      <c r="F20">
        <v>15</v>
      </c>
      <c r="H20">
        <v>1782928962.349999</v>
      </c>
      <c r="I20">
        <f t="shared" si="0"/>
        <v>6.9675938622056725E-3</v>
      </c>
      <c r="J20">
        <f t="shared" si="1"/>
        <v>6.9675938622056721</v>
      </c>
      <c r="K20">
        <f t="shared" si="2"/>
        <v>61.334778085300471</v>
      </c>
      <c r="L20">
        <f t="shared" si="3"/>
        <v>419.57876666666658</v>
      </c>
      <c r="M20">
        <f t="shared" si="4"/>
        <v>138.90088695808569</v>
      </c>
      <c r="N20">
        <f t="shared" si="5"/>
        <v>13.589874429913385</v>
      </c>
      <c r="O20">
        <f t="shared" si="6"/>
        <v>41.05101758046046</v>
      </c>
      <c r="P20">
        <f t="shared" si="7"/>
        <v>0.38336439584154125</v>
      </c>
      <c r="Q20">
        <f t="shared" si="8"/>
        <v>2.8922941685016701</v>
      </c>
      <c r="R20">
        <f t="shared" si="9"/>
        <v>0.35720703170920981</v>
      </c>
      <c r="S20">
        <f t="shared" si="10"/>
        <v>0.22545562854608936</v>
      </c>
      <c r="T20">
        <f t="shared" si="11"/>
        <v>271.90760662864335</v>
      </c>
      <c r="U20">
        <f t="shared" si="12"/>
        <v>35.063228890598083</v>
      </c>
      <c r="V20">
        <f t="shared" si="13"/>
        <v>34.698536666666669</v>
      </c>
      <c r="W20">
        <f t="shared" si="14"/>
        <v>5.554758527876154</v>
      </c>
      <c r="X20">
        <f t="shared" si="15"/>
        <v>65.168183209984448</v>
      </c>
      <c r="Y20">
        <f t="shared" si="16"/>
        <v>3.7369626616357237</v>
      </c>
      <c r="Z20">
        <f t="shared" si="17"/>
        <v>5.7343361093779608</v>
      </c>
      <c r="AA20">
        <f t="shared" si="18"/>
        <v>1.8177958662404303</v>
      </c>
      <c r="AB20">
        <f t="shared" si="19"/>
        <v>-307.27088932327018</v>
      </c>
      <c r="AC20">
        <f t="shared" si="20"/>
        <v>89.580899400898559</v>
      </c>
      <c r="AD20">
        <f t="shared" si="21"/>
        <v>7.2323021009391031</v>
      </c>
      <c r="AE20">
        <f t="shared" si="22"/>
        <v>61.449918807210807</v>
      </c>
      <c r="AF20">
        <f t="shared" si="23"/>
        <v>61.334778085300471</v>
      </c>
      <c r="AG20">
        <f t="shared" si="24"/>
        <v>6.9675938622056721</v>
      </c>
      <c r="AH20">
        <f t="shared" si="25"/>
        <v>61.134013100570449</v>
      </c>
      <c r="AI20">
        <v>512.20145362661424</v>
      </c>
      <c r="AJ20">
        <v>436.38207878787858</v>
      </c>
      <c r="AK20">
        <v>3.5945070777700747E-2</v>
      </c>
      <c r="AL20">
        <v>67.088809490301202</v>
      </c>
      <c r="AM20">
        <f t="shared" si="26"/>
        <v>7.0068026810808011</v>
      </c>
      <c r="AN20">
        <v>30.173515909264069</v>
      </c>
      <c r="AO20">
        <v>38.221358787878764</v>
      </c>
      <c r="AP20">
        <v>6.3900779220791024E-3</v>
      </c>
      <c r="AQ20">
        <v>78.55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50370.867332535694</v>
      </c>
      <c r="AW20" t="s">
        <v>405</v>
      </c>
      <c r="AX20">
        <v>5108.59</v>
      </c>
      <c r="AY20">
        <v>577.7117647058825</v>
      </c>
      <c r="AZ20">
        <v>2527.6</v>
      </c>
      <c r="BA20">
        <f t="shared" si="30"/>
        <v>0.7714386118429013</v>
      </c>
      <c r="BB20">
        <v>-5.2534396484243606</v>
      </c>
      <c r="BC20" t="s">
        <v>426</v>
      </c>
      <c r="BD20">
        <v>5096.3500000000004</v>
      </c>
      <c r="BE20">
        <v>783.68223529411762</v>
      </c>
      <c r="BF20">
        <v>1053.55</v>
      </c>
      <c r="BG20">
        <f t="shared" si="31"/>
        <v>0.25615088482357962</v>
      </c>
      <c r="BH20">
        <v>0.5</v>
      </c>
      <c r="BI20">
        <f t="shared" si="32"/>
        <v>1428.2930998075872</v>
      </c>
      <c r="BJ20">
        <f t="shared" si="33"/>
        <v>61.334778085300471</v>
      </c>
      <c r="BK20">
        <f t="shared" si="34"/>
        <v>182.92927065156337</v>
      </c>
      <c r="BL20">
        <f t="shared" si="35"/>
        <v>4.662083555727832E-2</v>
      </c>
      <c r="BM20">
        <f t="shared" si="36"/>
        <v>1.3991267619002421</v>
      </c>
      <c r="BN20">
        <f t="shared" si="37"/>
        <v>437.73127563991233</v>
      </c>
      <c r="BO20" t="s">
        <v>407</v>
      </c>
      <c r="BP20">
        <v>0</v>
      </c>
      <c r="BQ20">
        <f t="shared" si="38"/>
        <v>437.73127563991233</v>
      </c>
      <c r="BR20">
        <f t="shared" si="39"/>
        <v>0.58451779636475498</v>
      </c>
      <c r="BS20">
        <f t="shared" si="40"/>
        <v>0.43822598117052802</v>
      </c>
      <c r="BT20">
        <f t="shared" si="41"/>
        <v>0.70533138412861329</v>
      </c>
      <c r="BU20">
        <f t="shared" si="42"/>
        <v>0.56714182402571334</v>
      </c>
      <c r="BV20">
        <f t="shared" si="43"/>
        <v>0.7559664053143319</v>
      </c>
      <c r="BW20">
        <f t="shared" si="44"/>
        <v>0.24477423261270559</v>
      </c>
      <c r="BX20">
        <f t="shared" si="45"/>
        <v>0.75522576738729441</v>
      </c>
      <c r="DG20">
        <f t="shared" si="46"/>
        <v>1699.9849999999999</v>
      </c>
      <c r="DH20">
        <f t="shared" si="47"/>
        <v>1428.2930998075872</v>
      </c>
      <c r="DI20">
        <f t="shared" si="48"/>
        <v>0.84017982500291899</v>
      </c>
      <c r="DJ20">
        <f t="shared" si="49"/>
        <v>0.15994706225563365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1782928962.349999</v>
      </c>
      <c r="DQ20">
        <v>419.57876666666658</v>
      </c>
      <c r="DR20">
        <v>496.68226666666669</v>
      </c>
      <c r="DS20">
        <v>38.195160000000008</v>
      </c>
      <c r="DT20">
        <v>30.154066666666669</v>
      </c>
      <c r="DU20">
        <v>424.18253333333342</v>
      </c>
      <c r="DV20">
        <v>37.671943333333317</v>
      </c>
      <c r="DW20">
        <v>500.04136666666659</v>
      </c>
      <c r="DX20">
        <v>97.787079999999989</v>
      </c>
      <c r="DY20">
        <v>5.1563996666666667E-2</v>
      </c>
      <c r="DZ20">
        <v>35.273033333333323</v>
      </c>
      <c r="EA20">
        <v>34.698536666666669</v>
      </c>
      <c r="EB20">
        <v>999.9000000000002</v>
      </c>
      <c r="EC20">
        <v>0</v>
      </c>
      <c r="ED20">
        <v>0</v>
      </c>
      <c r="EE20">
        <v>10010.66666666667</v>
      </c>
      <c r="EF20">
        <v>0</v>
      </c>
      <c r="EG20">
        <v>1299.9596666666671</v>
      </c>
      <c r="EH20">
        <v>-77.103570000000005</v>
      </c>
      <c r="EI20">
        <v>436.24110000000002</v>
      </c>
      <c r="EJ20">
        <v>512.12486666666666</v>
      </c>
      <c r="EK20">
        <v>8.0410950000000003</v>
      </c>
      <c r="EL20">
        <v>496.68226666666669</v>
      </c>
      <c r="EM20">
        <v>30.154066666666669</v>
      </c>
      <c r="EN20">
        <v>3.7349933333333341</v>
      </c>
      <c r="EO20">
        <v>2.9486783333333331</v>
      </c>
      <c r="EP20">
        <v>27.727586666666671</v>
      </c>
      <c r="EQ20">
        <v>23.7409</v>
      </c>
      <c r="ER20">
        <v>1699.9849999999999</v>
      </c>
      <c r="ES20">
        <v>0.99399013333333341</v>
      </c>
      <c r="ET20">
        <v>6.0093920000000014E-3</v>
      </c>
      <c r="EU20">
        <v>0</v>
      </c>
      <c r="EV20">
        <v>783.76233333333357</v>
      </c>
      <c r="EW20">
        <v>5.0010700000000003</v>
      </c>
      <c r="EX20">
        <v>17963.736666666671</v>
      </c>
      <c r="EY20">
        <v>15492.313333333341</v>
      </c>
      <c r="EZ20">
        <v>42.645666666666649</v>
      </c>
      <c r="FA20">
        <v>44.25</v>
      </c>
      <c r="FB20">
        <v>43.358199999999997</v>
      </c>
      <c r="FC20">
        <v>43.816266666666642</v>
      </c>
      <c r="FD20">
        <v>44.57459999999999</v>
      </c>
      <c r="FE20">
        <v>1684.7950000000001</v>
      </c>
      <c r="FF20">
        <v>10.19</v>
      </c>
      <c r="FG20">
        <v>0</v>
      </c>
      <c r="FH20">
        <v>123.3999998569489</v>
      </c>
      <c r="FI20">
        <v>0</v>
      </c>
      <c r="FJ20">
        <v>783.68223529411762</v>
      </c>
      <c r="FK20">
        <v>-0.26151960637630528</v>
      </c>
      <c r="FL20">
        <v>257.42647045912662</v>
      </c>
      <c r="FM20">
        <v>17975.21176470588</v>
      </c>
      <c r="FN20">
        <v>10</v>
      </c>
      <c r="FO20">
        <v>1782928907.0999999</v>
      </c>
      <c r="FP20" t="s">
        <v>427</v>
      </c>
      <c r="FQ20">
        <v>1782928904.0999999</v>
      </c>
      <c r="FR20">
        <v>1782928907.0999999</v>
      </c>
      <c r="FS20">
        <v>50</v>
      </c>
      <c r="FT20">
        <v>-3.6999999999999998E-2</v>
      </c>
      <c r="FU20">
        <v>-1.0999999999999999E-2</v>
      </c>
      <c r="FV20">
        <v>-4.8959999999999999</v>
      </c>
      <c r="FW20">
        <v>0.28599999999999998</v>
      </c>
      <c r="FX20">
        <v>495</v>
      </c>
      <c r="FY20">
        <v>30</v>
      </c>
      <c r="FZ20">
        <v>0.13</v>
      </c>
      <c r="GA20">
        <v>0.05</v>
      </c>
      <c r="GB20">
        <v>-77.07893</v>
      </c>
      <c r="GC20">
        <v>-0.3106919324577031</v>
      </c>
      <c r="GD20">
        <v>0.13605857598843199</v>
      </c>
      <c r="GE20">
        <v>1</v>
      </c>
      <c r="GF20">
        <v>783.75732352941179</v>
      </c>
      <c r="GG20">
        <v>0.1131703449043974</v>
      </c>
      <c r="GH20">
        <v>0.33707031214379218</v>
      </c>
      <c r="GI20">
        <v>1</v>
      </c>
      <c r="GJ20">
        <v>8.0749402500000009</v>
      </c>
      <c r="GK20">
        <v>-0.45822878048782811</v>
      </c>
      <c r="GL20">
        <v>5.734347515138475E-2</v>
      </c>
      <c r="GM20">
        <v>1</v>
      </c>
      <c r="GN20">
        <v>3</v>
      </c>
      <c r="GO20">
        <v>3</v>
      </c>
      <c r="GP20" t="s">
        <v>428</v>
      </c>
      <c r="GQ20">
        <v>3.1333500000000001</v>
      </c>
      <c r="GR20">
        <v>2.7260599999999999</v>
      </c>
      <c r="GS20">
        <v>9.1008599999999995E-2</v>
      </c>
      <c r="GT20">
        <v>0.10313600000000001</v>
      </c>
      <c r="GU20">
        <v>0.15252199999999999</v>
      </c>
      <c r="GV20">
        <v>0.13117500000000001</v>
      </c>
      <c r="GW20">
        <v>22724.1</v>
      </c>
      <c r="GX20">
        <v>30187</v>
      </c>
      <c r="GY20">
        <v>27124.7</v>
      </c>
      <c r="GZ20">
        <v>34621.9</v>
      </c>
      <c r="HA20">
        <v>33683.199999999997</v>
      </c>
      <c r="HB20">
        <v>38446.400000000001</v>
      </c>
      <c r="HC20">
        <v>40060.699999999997</v>
      </c>
      <c r="HD20">
        <v>44327</v>
      </c>
      <c r="HE20">
        <v>1.9545999999999999</v>
      </c>
      <c r="HF20">
        <v>1.7292000000000001</v>
      </c>
      <c r="HG20">
        <v>2.7269100000000001E-2</v>
      </c>
      <c r="HH20">
        <v>0</v>
      </c>
      <c r="HI20">
        <v>34.254899999999999</v>
      </c>
      <c r="HJ20">
        <v>999.9</v>
      </c>
      <c r="HK20">
        <v>56.7</v>
      </c>
      <c r="HL20">
        <v>40.9</v>
      </c>
      <c r="HM20">
        <v>45.098199999999999</v>
      </c>
      <c r="HN20">
        <v>59.813699999999997</v>
      </c>
      <c r="HO20">
        <v>7.0713100000000004</v>
      </c>
      <c r="HP20">
        <v>1</v>
      </c>
      <c r="HQ20">
        <v>0.66847599999999996</v>
      </c>
      <c r="HR20">
        <v>0</v>
      </c>
      <c r="HS20">
        <v>20.279399999999999</v>
      </c>
      <c r="HT20">
        <v>5.2100999999999997</v>
      </c>
      <c r="HU20">
        <v>11.908099999999999</v>
      </c>
      <c r="HV20">
        <v>4.9824000000000002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1.8674599999999999</v>
      </c>
      <c r="IC20">
        <v>1.8631</v>
      </c>
      <c r="ID20">
        <v>1.8626400000000001</v>
      </c>
      <c r="IE20">
        <v>1.8621799999999999</v>
      </c>
      <c r="IF20">
        <v>1.8621799999999999</v>
      </c>
      <c r="IG20">
        <v>1.8627899999999999</v>
      </c>
      <c r="IH20">
        <v>1.8635900000000001</v>
      </c>
      <c r="II20">
        <v>1.8615699999999999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-4.6040000000000001</v>
      </c>
      <c r="IX20">
        <v>0.52429999999999999</v>
      </c>
      <c r="IY20">
        <v>-2.6707369629840829</v>
      </c>
      <c r="IZ20">
        <v>-5.1825110452525594E-3</v>
      </c>
      <c r="JA20">
        <v>1.5265819664382561E-6</v>
      </c>
      <c r="JB20">
        <v>-1.241475652429701E-10</v>
      </c>
      <c r="JC20">
        <v>-0.277057988522736</v>
      </c>
      <c r="JD20">
        <v>2.7492919904454862E-4</v>
      </c>
      <c r="JE20">
        <v>8.6739513355948885E-4</v>
      </c>
      <c r="JF20">
        <v>-8.2500691715147318E-6</v>
      </c>
      <c r="JG20">
        <v>21</v>
      </c>
      <c r="JH20">
        <v>1720</v>
      </c>
      <c r="JI20">
        <v>2</v>
      </c>
      <c r="JJ20">
        <v>37</v>
      </c>
      <c r="JK20">
        <v>1.1000000000000001</v>
      </c>
      <c r="JL20">
        <v>1.1000000000000001</v>
      </c>
      <c r="JM20">
        <v>1.25</v>
      </c>
      <c r="JN20">
        <v>2.5683600000000002</v>
      </c>
      <c r="JO20">
        <v>1.50024</v>
      </c>
      <c r="JP20">
        <v>2.2705099999999998</v>
      </c>
      <c r="JQ20">
        <v>1.4477500000000001</v>
      </c>
      <c r="JR20">
        <v>2.3571800000000001</v>
      </c>
      <c r="JS20">
        <v>45.035200000000003</v>
      </c>
      <c r="JT20">
        <v>14.2196</v>
      </c>
      <c r="JU20">
        <v>18</v>
      </c>
      <c r="JV20">
        <v>548.471</v>
      </c>
      <c r="JW20">
        <v>414.91</v>
      </c>
      <c r="JX20">
        <v>34.619500000000002</v>
      </c>
      <c r="JY20">
        <v>35.484400000000001</v>
      </c>
      <c r="JZ20">
        <v>30.000499999999999</v>
      </c>
      <c r="KA20">
        <v>35.3643</v>
      </c>
      <c r="KB20">
        <v>35.317300000000003</v>
      </c>
      <c r="KC20">
        <v>25.012599999999999</v>
      </c>
      <c r="KD20">
        <v>41.566699999999997</v>
      </c>
      <c r="KE20">
        <v>0</v>
      </c>
      <c r="KF20">
        <v>-999.9</v>
      </c>
      <c r="KG20">
        <v>496.91500000000002</v>
      </c>
      <c r="KH20">
        <v>30.028199999999998</v>
      </c>
      <c r="KI20">
        <v>100.117</v>
      </c>
      <c r="KJ20">
        <v>99.334500000000006</v>
      </c>
    </row>
    <row r="21" spans="1:296" x14ac:dyDescent="0.3">
      <c r="A21">
        <v>5</v>
      </c>
      <c r="B21">
        <v>1782929093.0999999</v>
      </c>
      <c r="C21">
        <v>662</v>
      </c>
      <c r="D21" t="s">
        <v>429</v>
      </c>
      <c r="E21" t="s">
        <v>430</v>
      </c>
      <c r="F21">
        <v>15</v>
      </c>
      <c r="H21">
        <v>1782929085.099999</v>
      </c>
      <c r="I21">
        <f t="shared" si="0"/>
        <v>7.6059986946956822E-3</v>
      </c>
      <c r="J21">
        <f t="shared" si="1"/>
        <v>7.6059986946956819</v>
      </c>
      <c r="K21">
        <f t="shared" si="2"/>
        <v>65.166965831280095</v>
      </c>
      <c r="L21">
        <f t="shared" si="3"/>
        <v>419.82603225806452</v>
      </c>
      <c r="M21">
        <f t="shared" si="4"/>
        <v>137.13577521393393</v>
      </c>
      <c r="N21">
        <f t="shared" si="5"/>
        <v>13.416695390633482</v>
      </c>
      <c r="O21">
        <f t="shared" si="6"/>
        <v>41.0737313664334</v>
      </c>
      <c r="P21">
        <f t="shared" si="7"/>
        <v>0.40615888193859351</v>
      </c>
      <c r="Q21">
        <f t="shared" si="8"/>
        <v>2.8898671763328245</v>
      </c>
      <c r="R21">
        <f t="shared" si="9"/>
        <v>0.37690293052369656</v>
      </c>
      <c r="S21">
        <f t="shared" si="10"/>
        <v>0.23801701524891941</v>
      </c>
      <c r="T21">
        <f t="shared" si="11"/>
        <v>319.77329843309599</v>
      </c>
      <c r="U21">
        <f t="shared" si="12"/>
        <v>35.46369088394318</v>
      </c>
      <c r="V21">
        <f t="shared" si="13"/>
        <v>34.949464516129026</v>
      </c>
      <c r="W21">
        <f t="shared" si="14"/>
        <v>5.632583666546866</v>
      </c>
      <c r="X21">
        <f t="shared" si="15"/>
        <v>64.430276860314379</v>
      </c>
      <c r="Y21">
        <f t="shared" si="16"/>
        <v>3.7529467845347342</v>
      </c>
      <c r="Z21">
        <f t="shared" si="17"/>
        <v>5.8248186526827572</v>
      </c>
      <c r="AA21">
        <f t="shared" si="18"/>
        <v>1.8796368820121319</v>
      </c>
      <c r="AB21">
        <f t="shared" si="19"/>
        <v>-335.42454243607961</v>
      </c>
      <c r="AC21">
        <f t="shared" si="20"/>
        <v>94.590809347221395</v>
      </c>
      <c r="AD21">
        <f t="shared" si="21"/>
        <v>7.6631047196972899</v>
      </c>
      <c r="AE21">
        <f t="shared" si="22"/>
        <v>86.602670063935065</v>
      </c>
      <c r="AF21">
        <f t="shared" si="23"/>
        <v>65.166965831280095</v>
      </c>
      <c r="AG21">
        <f t="shared" si="24"/>
        <v>7.6059986946956819</v>
      </c>
      <c r="AH21">
        <f t="shared" si="25"/>
        <v>65.218745390776391</v>
      </c>
      <c r="AI21">
        <v>517.18496631261416</v>
      </c>
      <c r="AJ21">
        <v>436.67084242424238</v>
      </c>
      <c r="AK21">
        <v>-2.574383302979167E-2</v>
      </c>
      <c r="AL21">
        <v>67.088809490301202</v>
      </c>
      <c r="AM21">
        <f t="shared" si="26"/>
        <v>7.8566873609229484</v>
      </c>
      <c r="AN21">
        <v>29.555414482251091</v>
      </c>
      <c r="AO21">
        <v>38.619506060606049</v>
      </c>
      <c r="AP21">
        <v>-7.7656565655093962E-5</v>
      </c>
      <c r="AQ21">
        <v>78.55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50257.283440063118</v>
      </c>
      <c r="AW21" t="s">
        <v>405</v>
      </c>
      <c r="AX21">
        <v>5108.59</v>
      </c>
      <c r="AY21">
        <v>577.7117647058825</v>
      </c>
      <c r="AZ21">
        <v>2527.6</v>
      </c>
      <c r="BA21">
        <f t="shared" si="30"/>
        <v>0.7714386118429013</v>
      </c>
      <c r="BB21">
        <v>-5.2534396484243606</v>
      </c>
      <c r="BC21" t="s">
        <v>431</v>
      </c>
      <c r="BD21">
        <v>5092.63</v>
      </c>
      <c r="BE21">
        <v>777.63535294117639</v>
      </c>
      <c r="BF21">
        <v>982.63</v>
      </c>
      <c r="BG21">
        <f t="shared" si="31"/>
        <v>0.20861834775940447</v>
      </c>
      <c r="BH21">
        <v>0.5</v>
      </c>
      <c r="BI21">
        <f t="shared" si="32"/>
        <v>1680.2782353238499</v>
      </c>
      <c r="BJ21">
        <f t="shared" si="33"/>
        <v>65.166965831280095</v>
      </c>
      <c r="BK21">
        <f t="shared" si="34"/>
        <v>175.26843461467467</v>
      </c>
      <c r="BL21">
        <f t="shared" si="35"/>
        <v>4.1909967051457948E-2</v>
      </c>
      <c r="BM21">
        <f t="shared" si="36"/>
        <v>1.5722805125021624</v>
      </c>
      <c r="BN21">
        <f t="shared" si="37"/>
        <v>424.98723864361688</v>
      </c>
      <c r="BO21" t="s">
        <v>407</v>
      </c>
      <c r="BP21">
        <v>0</v>
      </c>
      <c r="BQ21">
        <f t="shared" si="38"/>
        <v>424.98723864361688</v>
      </c>
      <c r="BR21">
        <f t="shared" si="39"/>
        <v>0.56750024053446679</v>
      </c>
      <c r="BS21">
        <f t="shared" si="40"/>
        <v>0.36760926755366574</v>
      </c>
      <c r="BT21">
        <f t="shared" si="41"/>
        <v>0.73478580002689076</v>
      </c>
      <c r="BU21">
        <f t="shared" si="42"/>
        <v>0.50626183063828467</v>
      </c>
      <c r="BV21">
        <f t="shared" si="43"/>
        <v>0.79233772071400776</v>
      </c>
      <c r="BW21">
        <f t="shared" si="44"/>
        <v>0.20090296425766124</v>
      </c>
      <c r="BX21">
        <f t="shared" si="45"/>
        <v>0.79909703574233881</v>
      </c>
      <c r="DG21">
        <f t="shared" si="46"/>
        <v>1999.9751612903219</v>
      </c>
      <c r="DH21">
        <f t="shared" si="47"/>
        <v>1680.2782353238499</v>
      </c>
      <c r="DI21">
        <f t="shared" si="48"/>
        <v>0.84014955177732631</v>
      </c>
      <c r="DJ21">
        <f t="shared" si="49"/>
        <v>0.15988863493023991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1782929085.099999</v>
      </c>
      <c r="DQ21">
        <v>419.82603225806452</v>
      </c>
      <c r="DR21">
        <v>501.85558064516141</v>
      </c>
      <c r="DS21">
        <v>38.359912903225798</v>
      </c>
      <c r="DT21">
        <v>29.583116129032259</v>
      </c>
      <c r="DU21">
        <v>424.43083870967752</v>
      </c>
      <c r="DV21">
        <v>38.092912903225802</v>
      </c>
      <c r="DW21">
        <v>500.01612903225811</v>
      </c>
      <c r="DX21">
        <v>97.783445161290317</v>
      </c>
      <c r="DY21">
        <v>5.167750967741936E-2</v>
      </c>
      <c r="DZ21">
        <v>35.556600000000003</v>
      </c>
      <c r="EA21">
        <v>34.949464516129026</v>
      </c>
      <c r="EB21">
        <v>999.90000000000032</v>
      </c>
      <c r="EC21">
        <v>0</v>
      </c>
      <c r="ED21">
        <v>0</v>
      </c>
      <c r="EE21">
        <v>9997.0967741935492</v>
      </c>
      <c r="EF21">
        <v>0</v>
      </c>
      <c r="EG21">
        <v>1360.0503225806449</v>
      </c>
      <c r="EH21">
        <v>-82.029677419354826</v>
      </c>
      <c r="EI21">
        <v>436.69496774193539</v>
      </c>
      <c r="EJ21">
        <v>517.15454838709672</v>
      </c>
      <c r="EK21">
        <v>9.0458332258064527</v>
      </c>
      <c r="EL21">
        <v>501.85558064516141</v>
      </c>
      <c r="EM21">
        <v>29.583116129032259</v>
      </c>
      <c r="EN21">
        <v>3.7772719354838711</v>
      </c>
      <c r="EO21">
        <v>2.89273870967742</v>
      </c>
      <c r="EP21">
        <v>27.92042903225807</v>
      </c>
      <c r="EQ21">
        <v>23.42304838709677</v>
      </c>
      <c r="ER21">
        <v>1999.9751612903219</v>
      </c>
      <c r="ES21">
        <v>0.99500400000000044</v>
      </c>
      <c r="ET21">
        <v>4.9960329032258067E-3</v>
      </c>
      <c r="EU21">
        <v>0</v>
      </c>
      <c r="EV21">
        <v>777.74729032258062</v>
      </c>
      <c r="EW21">
        <v>5.0010700000000003</v>
      </c>
      <c r="EX21">
        <v>20564.603225806459</v>
      </c>
      <c r="EY21">
        <v>18241.451612903231</v>
      </c>
      <c r="EZ21">
        <v>43.309999999999967</v>
      </c>
      <c r="FA21">
        <v>44.555999999999983</v>
      </c>
      <c r="FB21">
        <v>43.820129032258052</v>
      </c>
      <c r="FC21">
        <v>44.037999999999982</v>
      </c>
      <c r="FD21">
        <v>45.039999999999978</v>
      </c>
      <c r="FE21">
        <v>1985.005161290323</v>
      </c>
      <c r="FF21">
        <v>9.970000000000006</v>
      </c>
      <c r="FG21">
        <v>0</v>
      </c>
      <c r="FH21">
        <v>122.2000000476837</v>
      </c>
      <c r="FI21">
        <v>0</v>
      </c>
      <c r="FJ21">
        <v>777.63535294117639</v>
      </c>
      <c r="FK21">
        <v>-5.2134803771940357</v>
      </c>
      <c r="FL21">
        <v>-492.20588167931709</v>
      </c>
      <c r="FM21">
        <v>20559.51176470588</v>
      </c>
      <c r="FN21">
        <v>10</v>
      </c>
      <c r="FO21">
        <v>1782929128.0999999</v>
      </c>
      <c r="FP21" t="s">
        <v>432</v>
      </c>
      <c r="FQ21">
        <v>1782928904.0999999</v>
      </c>
      <c r="FR21">
        <v>1782929128.0999999</v>
      </c>
      <c r="FS21">
        <v>51</v>
      </c>
      <c r="FT21">
        <v>-3.6999999999999998E-2</v>
      </c>
      <c r="FU21">
        <v>-4.0000000000000001E-3</v>
      </c>
      <c r="FV21">
        <v>-4.8959999999999999</v>
      </c>
      <c r="FW21">
        <v>0.26700000000000002</v>
      </c>
      <c r="FX21">
        <v>495</v>
      </c>
      <c r="FY21">
        <v>30</v>
      </c>
      <c r="FZ21">
        <v>0.13</v>
      </c>
      <c r="GA21">
        <v>0.03</v>
      </c>
      <c r="GB21">
        <v>-82.032082500000001</v>
      </c>
      <c r="GC21">
        <v>-0.27781575984966661</v>
      </c>
      <c r="GD21">
        <v>0.17057167098832729</v>
      </c>
      <c r="GE21">
        <v>1</v>
      </c>
      <c r="GF21">
        <v>777.66882352941184</v>
      </c>
      <c r="GG21">
        <v>-0.1198777684551481</v>
      </c>
      <c r="GH21">
        <v>0.34725210968640452</v>
      </c>
      <c r="GI21">
        <v>1</v>
      </c>
      <c r="GJ21">
        <v>9.0217292499999999</v>
      </c>
      <c r="GK21">
        <v>0.49620484052531771</v>
      </c>
      <c r="GL21">
        <v>5.5965739671137153E-2</v>
      </c>
      <c r="GM21">
        <v>1</v>
      </c>
      <c r="GN21">
        <v>3</v>
      </c>
      <c r="GO21">
        <v>3</v>
      </c>
      <c r="GP21" t="s">
        <v>428</v>
      </c>
      <c r="GQ21">
        <v>3.1325599999999998</v>
      </c>
      <c r="GR21">
        <v>2.7277900000000002</v>
      </c>
      <c r="GS21">
        <v>9.10107E-2</v>
      </c>
      <c r="GT21">
        <v>0.10391300000000001</v>
      </c>
      <c r="GU21">
        <v>0.15351200000000001</v>
      </c>
      <c r="GV21">
        <v>0.12928899999999999</v>
      </c>
      <c r="GW21">
        <v>22720</v>
      </c>
      <c r="GX21">
        <v>30154.1</v>
      </c>
      <c r="GY21">
        <v>27120.400000000001</v>
      </c>
      <c r="GZ21">
        <v>34615.1</v>
      </c>
      <c r="HA21">
        <v>33639.800000000003</v>
      </c>
      <c r="HB21">
        <v>38524.800000000003</v>
      </c>
      <c r="HC21">
        <v>40054.5</v>
      </c>
      <c r="HD21">
        <v>44320.7</v>
      </c>
      <c r="HE21">
        <v>1.9545999999999999</v>
      </c>
      <c r="HF21">
        <v>1.7248000000000001</v>
      </c>
      <c r="HG21">
        <v>3.44217E-2</v>
      </c>
      <c r="HH21">
        <v>0</v>
      </c>
      <c r="HI21">
        <v>34.398200000000003</v>
      </c>
      <c r="HJ21">
        <v>999.9</v>
      </c>
      <c r="HK21">
        <v>56.6</v>
      </c>
      <c r="HL21">
        <v>41.1</v>
      </c>
      <c r="HM21">
        <v>45.499000000000002</v>
      </c>
      <c r="HN21">
        <v>59.243699999999997</v>
      </c>
      <c r="HO21">
        <v>7.2275600000000004</v>
      </c>
      <c r="HP21">
        <v>1</v>
      </c>
      <c r="HQ21">
        <v>0.67837400000000003</v>
      </c>
      <c r="HR21">
        <v>0</v>
      </c>
      <c r="HS21">
        <v>20.276800000000001</v>
      </c>
      <c r="HT21">
        <v>5.2088999999999999</v>
      </c>
      <c r="HU21">
        <v>11.908099999999999</v>
      </c>
      <c r="HV21">
        <v>4.9824000000000002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1.8675200000000001</v>
      </c>
      <c r="IC21">
        <v>1.8631</v>
      </c>
      <c r="ID21">
        <v>1.8626400000000001</v>
      </c>
      <c r="IE21">
        <v>1.8621799999999999</v>
      </c>
      <c r="IF21">
        <v>1.8621799999999999</v>
      </c>
      <c r="IG21">
        <v>1.86273</v>
      </c>
      <c r="IH21">
        <v>1.8636200000000001</v>
      </c>
      <c r="II21">
        <v>1.8616299999999999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-4.6050000000000004</v>
      </c>
      <c r="IX21">
        <v>0.26700000000000002</v>
      </c>
      <c r="IY21">
        <v>-2.6707369629840829</v>
      </c>
      <c r="IZ21">
        <v>-5.1825110452525594E-3</v>
      </c>
      <c r="JA21">
        <v>1.5265819664382561E-6</v>
      </c>
      <c r="JB21">
        <v>-1.241475652429701E-10</v>
      </c>
      <c r="JC21">
        <v>-0.277057988522736</v>
      </c>
      <c r="JD21">
        <v>2.7492919904454862E-4</v>
      </c>
      <c r="JE21">
        <v>8.6739513355948885E-4</v>
      </c>
      <c r="JF21">
        <v>-8.2500691715147318E-6</v>
      </c>
      <c r="JG21">
        <v>21</v>
      </c>
      <c r="JH21">
        <v>1720</v>
      </c>
      <c r="JI21">
        <v>2</v>
      </c>
      <c r="JJ21">
        <v>37</v>
      </c>
      <c r="JK21">
        <v>3.1</v>
      </c>
      <c r="JL21">
        <v>3.1</v>
      </c>
      <c r="JM21">
        <v>1.2597700000000001</v>
      </c>
      <c r="JN21">
        <v>2.5634800000000002</v>
      </c>
      <c r="JO21">
        <v>1.50024</v>
      </c>
      <c r="JP21">
        <v>2.2705099999999998</v>
      </c>
      <c r="JQ21">
        <v>1.4477500000000001</v>
      </c>
      <c r="JR21">
        <v>2.4523899999999998</v>
      </c>
      <c r="JS21">
        <v>45.290399999999998</v>
      </c>
      <c r="JT21">
        <v>14.210800000000001</v>
      </c>
      <c r="JU21">
        <v>18</v>
      </c>
      <c r="JV21">
        <v>549.56200000000001</v>
      </c>
      <c r="JW21">
        <v>413.08699999999999</v>
      </c>
      <c r="JX21">
        <v>34.745699999999999</v>
      </c>
      <c r="JY21">
        <v>35.612099999999998</v>
      </c>
      <c r="JZ21">
        <v>30.000299999999999</v>
      </c>
      <c r="KA21">
        <v>35.497900000000001</v>
      </c>
      <c r="KB21">
        <v>35.451500000000003</v>
      </c>
      <c r="KC21">
        <v>25.201799999999999</v>
      </c>
      <c r="KD21">
        <v>42.948900000000002</v>
      </c>
      <c r="KE21">
        <v>0</v>
      </c>
      <c r="KF21">
        <v>-999.9</v>
      </c>
      <c r="KG21">
        <v>502.00799999999998</v>
      </c>
      <c r="KH21">
        <v>29.450299999999999</v>
      </c>
      <c r="KI21">
        <v>100.101</v>
      </c>
      <c r="KJ21">
        <v>99.317999999999998</v>
      </c>
    </row>
    <row r="22" spans="1:296" x14ac:dyDescent="0.3">
      <c r="A22">
        <v>6</v>
      </c>
      <c r="B22">
        <v>1782929260.0999999</v>
      </c>
      <c r="C22">
        <v>829</v>
      </c>
      <c r="D22" t="s">
        <v>433</v>
      </c>
      <c r="E22" t="s">
        <v>434</v>
      </c>
      <c r="F22">
        <v>15</v>
      </c>
      <c r="H22">
        <v>1782929252.099999</v>
      </c>
      <c r="I22">
        <f t="shared" si="0"/>
        <v>8.8303984234343533E-3</v>
      </c>
      <c r="J22">
        <f t="shared" si="1"/>
        <v>8.8303984234343531</v>
      </c>
      <c r="K22">
        <f t="shared" si="2"/>
        <v>68.469856249992532</v>
      </c>
      <c r="L22">
        <f t="shared" si="3"/>
        <v>419.47548387096771</v>
      </c>
      <c r="M22">
        <f t="shared" si="4"/>
        <v>164.66912459538077</v>
      </c>
      <c r="N22">
        <f t="shared" si="5"/>
        <v>16.109781372496208</v>
      </c>
      <c r="O22">
        <f t="shared" si="6"/>
        <v>41.037798390487787</v>
      </c>
      <c r="P22">
        <f t="shared" si="7"/>
        <v>0.48128875832125839</v>
      </c>
      <c r="Q22">
        <f t="shared" si="8"/>
        <v>2.8883344973548732</v>
      </c>
      <c r="R22">
        <f t="shared" si="9"/>
        <v>0.44076686413353189</v>
      </c>
      <c r="S22">
        <f t="shared" si="10"/>
        <v>0.27883515649614798</v>
      </c>
      <c r="T22">
        <f t="shared" si="11"/>
        <v>351.75625923281513</v>
      </c>
      <c r="U22">
        <f t="shared" si="12"/>
        <v>35.714101546928141</v>
      </c>
      <c r="V22">
        <f t="shared" si="13"/>
        <v>35.274693548387098</v>
      </c>
      <c r="W22">
        <f t="shared" si="14"/>
        <v>5.7348622875107367</v>
      </c>
      <c r="X22">
        <f t="shared" si="15"/>
        <v>65.078476867899141</v>
      </c>
      <c r="Y22">
        <f t="shared" si="16"/>
        <v>3.8711188937376115</v>
      </c>
      <c r="Z22">
        <f t="shared" si="17"/>
        <v>5.9483858259244151</v>
      </c>
      <c r="AA22">
        <f t="shared" si="18"/>
        <v>1.8637433937731251</v>
      </c>
      <c r="AB22">
        <f t="shared" si="19"/>
        <v>-389.42057047345497</v>
      </c>
      <c r="AC22">
        <f t="shared" si="20"/>
        <v>103.24566239823243</v>
      </c>
      <c r="AD22">
        <f t="shared" si="21"/>
        <v>8.397500373946496</v>
      </c>
      <c r="AE22">
        <f t="shared" si="22"/>
        <v>73.978851531539092</v>
      </c>
      <c r="AF22">
        <f t="shared" si="23"/>
        <v>68.469856249992532</v>
      </c>
      <c r="AG22">
        <f t="shared" si="24"/>
        <v>8.8303984234343531</v>
      </c>
      <c r="AH22">
        <f t="shared" si="25"/>
        <v>68.830214093467205</v>
      </c>
      <c r="AI22">
        <v>521.58644400670619</v>
      </c>
      <c r="AJ22">
        <v>436.71898787878803</v>
      </c>
      <c r="AK22">
        <v>-4.8553820361457167E-2</v>
      </c>
      <c r="AL22">
        <v>67.033025765356257</v>
      </c>
      <c r="AM22">
        <f t="shared" si="26"/>
        <v>8.7776686625666418</v>
      </c>
      <c r="AN22">
        <v>29.383243955463481</v>
      </c>
      <c r="AO22">
        <v>39.533798787878787</v>
      </c>
      <c r="AP22">
        <v>-5.3249973481214741E-3</v>
      </c>
      <c r="AQ22">
        <v>78.059811528070767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50152.820289556657</v>
      </c>
      <c r="AW22" t="s">
        <v>405</v>
      </c>
      <c r="AX22">
        <v>5108.59</v>
      </c>
      <c r="AY22">
        <v>577.7117647058825</v>
      </c>
      <c r="AZ22">
        <v>2527.6</v>
      </c>
      <c r="BA22">
        <f t="shared" si="30"/>
        <v>0.7714386118429013</v>
      </c>
      <c r="BB22">
        <v>-5.2534396484243606</v>
      </c>
      <c r="BC22" t="s">
        <v>435</v>
      </c>
      <c r="BD22">
        <v>5090.0600000000004</v>
      </c>
      <c r="BE22">
        <v>773.24017647058815</v>
      </c>
      <c r="BF22">
        <v>945.62</v>
      </c>
      <c r="BG22">
        <f t="shared" si="31"/>
        <v>0.18229291208880083</v>
      </c>
      <c r="BH22">
        <v>0.5</v>
      </c>
      <c r="BI22">
        <f t="shared" si="32"/>
        <v>1848.332110917888</v>
      </c>
      <c r="BJ22">
        <f t="shared" si="33"/>
        <v>68.469856249992532</v>
      </c>
      <c r="BK22">
        <f t="shared" si="34"/>
        <v>168.46892150323112</v>
      </c>
      <c r="BL22">
        <f t="shared" si="35"/>
        <v>3.9886390255810499E-2</v>
      </c>
      <c r="BM22">
        <f t="shared" si="36"/>
        <v>1.6729553097438719</v>
      </c>
      <c r="BN22">
        <f t="shared" si="37"/>
        <v>417.91308840257733</v>
      </c>
      <c r="BO22" t="s">
        <v>407</v>
      </c>
      <c r="BP22">
        <v>0</v>
      </c>
      <c r="BQ22">
        <f t="shared" si="38"/>
        <v>417.91308840257733</v>
      </c>
      <c r="BR22">
        <f t="shared" si="39"/>
        <v>0.55805388168336401</v>
      </c>
      <c r="BS22">
        <f t="shared" si="40"/>
        <v>0.32665826378434293</v>
      </c>
      <c r="BT22">
        <f t="shared" si="41"/>
        <v>0.74986482179109171</v>
      </c>
      <c r="BU22">
        <f t="shared" si="42"/>
        <v>0.46854026899290785</v>
      </c>
      <c r="BV22">
        <f t="shared" si="43"/>
        <v>0.8113182957695918</v>
      </c>
      <c r="BW22">
        <f t="shared" si="44"/>
        <v>0.17654897924918048</v>
      </c>
      <c r="BX22">
        <f t="shared" si="45"/>
        <v>0.82345102075081955</v>
      </c>
      <c r="DG22">
        <f t="shared" si="46"/>
        <v>2200.0032258064512</v>
      </c>
      <c r="DH22">
        <f t="shared" si="47"/>
        <v>1848.332110917888</v>
      </c>
      <c r="DI22">
        <f t="shared" si="48"/>
        <v>0.84014972761703488</v>
      </c>
      <c r="DJ22">
        <f t="shared" si="49"/>
        <v>0.15988897430087742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1782929252.099999</v>
      </c>
      <c r="DQ22">
        <v>419.47548387096771</v>
      </c>
      <c r="DR22">
        <v>506.10251612903232</v>
      </c>
      <c r="DS22">
        <v>39.569361290322583</v>
      </c>
      <c r="DT22">
        <v>29.390035483870971</v>
      </c>
      <c r="DU22">
        <v>424.05883870967739</v>
      </c>
      <c r="DV22">
        <v>39.013674193548397</v>
      </c>
      <c r="DW22">
        <v>499.89470967741931</v>
      </c>
      <c r="DX22">
        <v>97.779422580645161</v>
      </c>
      <c r="DY22">
        <v>5.1797522580645163E-2</v>
      </c>
      <c r="DZ22">
        <v>35.937732258064507</v>
      </c>
      <c r="EA22">
        <v>35.274693548387098</v>
      </c>
      <c r="EB22">
        <v>999.90000000000032</v>
      </c>
      <c r="EC22">
        <v>0</v>
      </c>
      <c r="ED22">
        <v>0</v>
      </c>
      <c r="EE22">
        <v>9988.7096774193542</v>
      </c>
      <c r="EF22">
        <v>0</v>
      </c>
      <c r="EG22">
        <v>1383.3119354838709</v>
      </c>
      <c r="EH22">
        <v>-86.626977419354816</v>
      </c>
      <c r="EI22">
        <v>436.75770967741943</v>
      </c>
      <c r="EJ22">
        <v>521.42719354838709</v>
      </c>
      <c r="EK22">
        <v>10.179329032258069</v>
      </c>
      <c r="EL22">
        <v>506.10251612903232</v>
      </c>
      <c r="EM22">
        <v>29.390035483870971</v>
      </c>
      <c r="EN22">
        <v>3.8690696774193549</v>
      </c>
      <c r="EO22">
        <v>2.8737409677419352</v>
      </c>
      <c r="EP22">
        <v>28.332693548387091</v>
      </c>
      <c r="EQ22">
        <v>23.31389032258064</v>
      </c>
      <c r="ER22">
        <v>2200.0032258064512</v>
      </c>
      <c r="ES22">
        <v>0.99499570967741935</v>
      </c>
      <c r="ET22">
        <v>5.0043967741935499E-3</v>
      </c>
      <c r="EU22">
        <v>0</v>
      </c>
      <c r="EV22">
        <v>773.23967741935473</v>
      </c>
      <c r="EW22">
        <v>5.0010700000000003</v>
      </c>
      <c r="EX22">
        <v>22364.70322580645</v>
      </c>
      <c r="EY22">
        <v>20070.377419354842</v>
      </c>
      <c r="EZ22">
        <v>44.166999999999973</v>
      </c>
      <c r="FA22">
        <v>45.148999999999987</v>
      </c>
      <c r="FB22">
        <v>44.543999999999969</v>
      </c>
      <c r="FC22">
        <v>44.523999999999972</v>
      </c>
      <c r="FD22">
        <v>45.811999999999969</v>
      </c>
      <c r="FE22">
        <v>2184.0138709677422</v>
      </c>
      <c r="FF22">
        <v>10.98</v>
      </c>
      <c r="FG22">
        <v>0</v>
      </c>
      <c r="FH22">
        <v>166.39999985694891</v>
      </c>
      <c r="FI22">
        <v>0</v>
      </c>
      <c r="FJ22">
        <v>773.24017647058815</v>
      </c>
      <c r="FK22">
        <v>4.5833305951054497E-2</v>
      </c>
      <c r="FL22">
        <v>-1953.6029446493569</v>
      </c>
      <c r="FM22">
        <v>22316.04117647059</v>
      </c>
      <c r="FN22">
        <v>10</v>
      </c>
      <c r="FO22">
        <v>1782929196.5999999</v>
      </c>
      <c r="FP22" t="s">
        <v>436</v>
      </c>
      <c r="FQ22">
        <v>1782929189.0999999</v>
      </c>
      <c r="FR22">
        <v>1782929196.5999999</v>
      </c>
      <c r="FS22">
        <v>52</v>
      </c>
      <c r="FT22">
        <v>0.02</v>
      </c>
      <c r="FU22">
        <v>-5.0000000000000001E-3</v>
      </c>
      <c r="FV22">
        <v>-4.9109999999999996</v>
      </c>
      <c r="FW22">
        <v>0.26800000000000002</v>
      </c>
      <c r="FX22">
        <v>504</v>
      </c>
      <c r="FY22">
        <v>30</v>
      </c>
      <c r="FZ22">
        <v>0.12</v>
      </c>
      <c r="GA22">
        <v>0.04</v>
      </c>
      <c r="GB22">
        <v>-86.625242499999999</v>
      </c>
      <c r="GC22">
        <v>-0.18480337711045369</v>
      </c>
      <c r="GD22">
        <v>0.1228626181706625</v>
      </c>
      <c r="GE22">
        <v>1</v>
      </c>
      <c r="GF22">
        <v>773.19435294117648</v>
      </c>
      <c r="GG22">
        <v>0.52036669156889226</v>
      </c>
      <c r="GH22">
        <v>0.25130001783114969</v>
      </c>
      <c r="GI22">
        <v>1</v>
      </c>
      <c r="GJ22">
        <v>10.13807225</v>
      </c>
      <c r="GK22">
        <v>0.4155009005628319</v>
      </c>
      <c r="GL22">
        <v>8.0661633305044708E-2</v>
      </c>
      <c r="GM22">
        <v>1</v>
      </c>
      <c r="GN22">
        <v>3</v>
      </c>
      <c r="GO22">
        <v>3</v>
      </c>
      <c r="GP22" t="s">
        <v>428</v>
      </c>
      <c r="GQ22">
        <v>3.1332100000000001</v>
      </c>
      <c r="GR22">
        <v>2.72763</v>
      </c>
      <c r="GS22">
        <v>9.0938199999999997E-2</v>
      </c>
      <c r="GT22">
        <v>0.10448</v>
      </c>
      <c r="GU22">
        <v>0.155834</v>
      </c>
      <c r="GV22">
        <v>0.128745</v>
      </c>
      <c r="GW22">
        <v>22716.7</v>
      </c>
      <c r="GX22">
        <v>30125.7</v>
      </c>
      <c r="GY22">
        <v>27115.1</v>
      </c>
      <c r="GZ22">
        <v>34605.599999999999</v>
      </c>
      <c r="HA22">
        <v>33543.699999999997</v>
      </c>
      <c r="HB22">
        <v>38541.1</v>
      </c>
      <c r="HC22">
        <v>40047.800000000003</v>
      </c>
      <c r="HD22">
        <v>44311.199999999997</v>
      </c>
      <c r="HE22">
        <v>1.9534</v>
      </c>
      <c r="HF22">
        <v>1.7202</v>
      </c>
      <c r="HG22">
        <v>3.5226300000000002E-2</v>
      </c>
      <c r="HH22">
        <v>0</v>
      </c>
      <c r="HI22">
        <v>34.703200000000002</v>
      </c>
      <c r="HJ22">
        <v>999.9</v>
      </c>
      <c r="HK22">
        <v>56.6</v>
      </c>
      <c r="HL22">
        <v>41.4</v>
      </c>
      <c r="HM22">
        <v>46.232199999999999</v>
      </c>
      <c r="HN22">
        <v>59.883699999999997</v>
      </c>
      <c r="HO22">
        <v>7.5080099999999996</v>
      </c>
      <c r="HP22">
        <v>1</v>
      </c>
      <c r="HQ22">
        <v>0.69146300000000005</v>
      </c>
      <c r="HR22">
        <v>0</v>
      </c>
      <c r="HS22">
        <v>20.274999999999999</v>
      </c>
      <c r="HT22">
        <v>5.2065099999999997</v>
      </c>
      <c r="HU22">
        <v>11.908099999999999</v>
      </c>
      <c r="HV22">
        <v>4.9824000000000002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1.8675200000000001</v>
      </c>
      <c r="IC22">
        <v>1.8631599999999999</v>
      </c>
      <c r="ID22">
        <v>1.8626400000000001</v>
      </c>
      <c r="IE22">
        <v>1.8621799999999999</v>
      </c>
      <c r="IF22">
        <v>1.8621799999999999</v>
      </c>
      <c r="IG22">
        <v>1.86276</v>
      </c>
      <c r="IH22">
        <v>1.86365</v>
      </c>
      <c r="II22">
        <v>1.8615699999999999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-4.5839999999999996</v>
      </c>
      <c r="IX22">
        <v>0.55449999999999999</v>
      </c>
      <c r="IY22">
        <v>-2.6506693742420451</v>
      </c>
      <c r="IZ22">
        <v>-5.1825110452525594E-3</v>
      </c>
      <c r="JA22">
        <v>1.5265819664382561E-6</v>
      </c>
      <c r="JB22">
        <v>-1.241475652429701E-10</v>
      </c>
      <c r="JC22">
        <v>-0.28537161462323818</v>
      </c>
      <c r="JD22">
        <v>2.7492919904454862E-4</v>
      </c>
      <c r="JE22">
        <v>8.6739513355948885E-4</v>
      </c>
      <c r="JF22">
        <v>-8.2500691715147318E-6</v>
      </c>
      <c r="JG22">
        <v>21</v>
      </c>
      <c r="JH22">
        <v>1720</v>
      </c>
      <c r="JI22">
        <v>2</v>
      </c>
      <c r="JJ22">
        <v>37</v>
      </c>
      <c r="JK22">
        <v>1.2</v>
      </c>
      <c r="JL22">
        <v>1.1000000000000001</v>
      </c>
      <c r="JM22">
        <v>1.26831</v>
      </c>
      <c r="JN22">
        <v>2.5634800000000002</v>
      </c>
      <c r="JO22">
        <v>1.50024</v>
      </c>
      <c r="JP22">
        <v>2.2717299999999998</v>
      </c>
      <c r="JQ22">
        <v>1.4477500000000001</v>
      </c>
      <c r="JR22">
        <v>2.3767100000000001</v>
      </c>
      <c r="JS22">
        <v>45.633099999999999</v>
      </c>
      <c r="JT22">
        <v>14.175800000000001</v>
      </c>
      <c r="JU22">
        <v>18</v>
      </c>
      <c r="JV22">
        <v>550.17700000000002</v>
      </c>
      <c r="JW22">
        <v>411.39600000000002</v>
      </c>
      <c r="JX22">
        <v>35.0321</v>
      </c>
      <c r="JY22">
        <v>35.7834</v>
      </c>
      <c r="JZ22">
        <v>30.000599999999999</v>
      </c>
      <c r="KA22">
        <v>35.674100000000003</v>
      </c>
      <c r="KB22">
        <v>35.626800000000003</v>
      </c>
      <c r="KC22">
        <v>25.3691</v>
      </c>
      <c r="KD22">
        <v>43.791499999999999</v>
      </c>
      <c r="KE22">
        <v>0</v>
      </c>
      <c r="KF22">
        <v>-999.9</v>
      </c>
      <c r="KG22">
        <v>506.41199999999998</v>
      </c>
      <c r="KH22">
        <v>29.4617</v>
      </c>
      <c r="KI22">
        <v>100.083</v>
      </c>
      <c r="KJ22">
        <v>99.2941</v>
      </c>
    </row>
    <row r="23" spans="1:296" x14ac:dyDescent="0.3">
      <c r="A23">
        <v>7</v>
      </c>
      <c r="B23">
        <v>1782929545.0999999</v>
      </c>
      <c r="C23">
        <v>1114</v>
      </c>
      <c r="D23" t="s">
        <v>437</v>
      </c>
      <c r="E23" t="s">
        <v>438</v>
      </c>
      <c r="F23">
        <v>15</v>
      </c>
      <c r="H23">
        <v>1782929537.099999</v>
      </c>
      <c r="I23">
        <f t="shared" si="0"/>
        <v>9.0524418854011652E-3</v>
      </c>
      <c r="J23">
        <f t="shared" si="1"/>
        <v>9.0524418854011657</v>
      </c>
      <c r="K23">
        <f t="shared" si="2"/>
        <v>69.56064800949396</v>
      </c>
      <c r="L23">
        <f t="shared" si="3"/>
        <v>419.96077419354827</v>
      </c>
      <c r="M23">
        <f t="shared" si="4"/>
        <v>167.10503481382625</v>
      </c>
      <c r="N23">
        <f t="shared" si="5"/>
        <v>16.346999398915102</v>
      </c>
      <c r="O23">
        <f t="shared" si="6"/>
        <v>41.082535490078705</v>
      </c>
      <c r="P23">
        <f t="shared" si="7"/>
        <v>0.49389511456149476</v>
      </c>
      <c r="Q23">
        <f t="shared" si="8"/>
        <v>2.8901579683088885</v>
      </c>
      <c r="R23">
        <f t="shared" si="9"/>
        <v>0.45134750470048096</v>
      </c>
      <c r="S23">
        <f t="shared" si="10"/>
        <v>0.28560885248689033</v>
      </c>
      <c r="T23">
        <f t="shared" si="11"/>
        <v>351.74935769079281</v>
      </c>
      <c r="U23">
        <f t="shared" si="12"/>
        <v>35.834921455521176</v>
      </c>
      <c r="V23">
        <f t="shared" si="13"/>
        <v>35.287912903225809</v>
      </c>
      <c r="W23">
        <f t="shared" si="14"/>
        <v>5.7390534441042718</v>
      </c>
      <c r="X23">
        <f t="shared" si="15"/>
        <v>64.480499410302301</v>
      </c>
      <c r="Y23">
        <f t="shared" si="16"/>
        <v>3.8734307284240446</v>
      </c>
      <c r="Z23">
        <f t="shared" si="17"/>
        <v>6.007135124336787</v>
      </c>
      <c r="AA23">
        <f t="shared" si="18"/>
        <v>1.8656227156802272</v>
      </c>
      <c r="AB23">
        <f t="shared" si="19"/>
        <v>-399.2126871461914</v>
      </c>
      <c r="AC23">
        <f t="shared" si="20"/>
        <v>129.11065888529498</v>
      </c>
      <c r="AD23">
        <f t="shared" si="21"/>
        <v>10.50441268982976</v>
      </c>
      <c r="AE23">
        <f t="shared" si="22"/>
        <v>92.151742119726123</v>
      </c>
      <c r="AF23">
        <f t="shared" si="23"/>
        <v>69.56064800949396</v>
      </c>
      <c r="AG23">
        <f t="shared" si="24"/>
        <v>9.0524418854011657</v>
      </c>
      <c r="AH23">
        <f t="shared" si="25"/>
        <v>69.675978936814886</v>
      </c>
      <c r="AI23">
        <v>523.0963565428865</v>
      </c>
      <c r="AJ23">
        <v>437.29485454545443</v>
      </c>
      <c r="AK23">
        <v>-6.1978105149025658E-2</v>
      </c>
      <c r="AL23">
        <v>67.033025765356257</v>
      </c>
      <c r="AM23">
        <f t="shared" si="26"/>
        <v>9.3642719058393631</v>
      </c>
      <c r="AN23">
        <v>29.102025677999912</v>
      </c>
      <c r="AO23">
        <v>39.881103030303009</v>
      </c>
      <c r="AP23">
        <v>1.5543514993387401E-3</v>
      </c>
      <c r="AQ23">
        <v>78.059811528070767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50174.064941876721</v>
      </c>
      <c r="AW23" t="s">
        <v>405</v>
      </c>
      <c r="AX23">
        <v>5108.59</v>
      </c>
      <c r="AY23">
        <v>577.7117647058825</v>
      </c>
      <c r="AZ23">
        <v>2527.6</v>
      </c>
      <c r="BA23">
        <f t="shared" si="30"/>
        <v>0.7714386118429013</v>
      </c>
      <c r="BB23">
        <v>-5.2534396484243606</v>
      </c>
      <c r="BC23" t="s">
        <v>439</v>
      </c>
      <c r="BD23">
        <v>5088.04</v>
      </c>
      <c r="BE23">
        <v>768.69376470588247</v>
      </c>
      <c r="BF23">
        <v>943.19</v>
      </c>
      <c r="BG23">
        <f t="shared" si="31"/>
        <v>0.18500645182213293</v>
      </c>
      <c r="BH23">
        <v>0.5</v>
      </c>
      <c r="BI23">
        <f t="shared" si="32"/>
        <v>1848.295799839789</v>
      </c>
      <c r="BJ23">
        <f t="shared" si="33"/>
        <v>69.56064800949396</v>
      </c>
      <c r="BK23">
        <f t="shared" si="34"/>
        <v>170.97332392305529</v>
      </c>
      <c r="BL23">
        <f t="shared" si="35"/>
        <v>4.0477334669268436E-2</v>
      </c>
      <c r="BM23">
        <f t="shared" si="36"/>
        <v>1.6798418134204134</v>
      </c>
      <c r="BN23">
        <f t="shared" si="37"/>
        <v>417.43778801302267</v>
      </c>
      <c r="BO23" t="s">
        <v>407</v>
      </c>
      <c r="BP23">
        <v>0</v>
      </c>
      <c r="BQ23">
        <f t="shared" si="38"/>
        <v>417.43778801302267</v>
      </c>
      <c r="BR23">
        <f t="shared" si="39"/>
        <v>0.55741919654256022</v>
      </c>
      <c r="BS23">
        <f t="shared" si="40"/>
        <v>0.3318982427760851</v>
      </c>
      <c r="BT23">
        <f t="shared" si="41"/>
        <v>0.75084748982784744</v>
      </c>
      <c r="BU23">
        <f t="shared" si="42"/>
        <v>0.47744631127949999</v>
      </c>
      <c r="BV23">
        <f t="shared" si="43"/>
        <v>0.81256452104343846</v>
      </c>
      <c r="BW23">
        <f t="shared" si="44"/>
        <v>0.18023675314039908</v>
      </c>
      <c r="BX23">
        <f t="shared" si="45"/>
        <v>0.81976324685960089</v>
      </c>
      <c r="DG23">
        <f t="shared" si="46"/>
        <v>2199.96</v>
      </c>
      <c r="DH23">
        <f t="shared" si="47"/>
        <v>1848.295799839789</v>
      </c>
      <c r="DI23">
        <f t="shared" si="48"/>
        <v>0.84014972992226633</v>
      </c>
      <c r="DJ23">
        <f t="shared" si="49"/>
        <v>0.15988897874997399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1782929537.099999</v>
      </c>
      <c r="DQ23">
        <v>419.96077419354827</v>
      </c>
      <c r="DR23">
        <v>507.99006451612888</v>
      </c>
      <c r="DS23">
        <v>39.595632258064533</v>
      </c>
      <c r="DT23">
        <v>29.163477419354841</v>
      </c>
      <c r="DU23">
        <v>424.54599999999999</v>
      </c>
      <c r="DV23">
        <v>39.355632258064531</v>
      </c>
      <c r="DW23">
        <v>500.03119354838731</v>
      </c>
      <c r="DX23">
        <v>97.772961290322584</v>
      </c>
      <c r="DY23">
        <v>5.1735716129032237E-2</v>
      </c>
      <c r="DZ23">
        <v>36.11653225806451</v>
      </c>
      <c r="EA23">
        <v>35.287912903225809</v>
      </c>
      <c r="EB23">
        <v>999.90000000000032</v>
      </c>
      <c r="EC23">
        <v>0</v>
      </c>
      <c r="ED23">
        <v>0</v>
      </c>
      <c r="EE23">
        <v>9999.8387096774186</v>
      </c>
      <c r="EF23">
        <v>0</v>
      </c>
      <c r="EG23">
        <v>908.39229032258072</v>
      </c>
      <c r="EH23">
        <v>-88.029241935483853</v>
      </c>
      <c r="EI23">
        <v>437.42345161290319</v>
      </c>
      <c r="EJ23">
        <v>523.24977419354843</v>
      </c>
      <c r="EK23">
        <v>10.758177419354841</v>
      </c>
      <c r="EL23">
        <v>507.99006451612888</v>
      </c>
      <c r="EM23">
        <v>29.163477419354841</v>
      </c>
      <c r="EN23">
        <v>3.9032583870967752</v>
      </c>
      <c r="EO23">
        <v>2.8513999999999999</v>
      </c>
      <c r="EP23">
        <v>28.484074193548391</v>
      </c>
      <c r="EQ23">
        <v>23.184638709677419</v>
      </c>
      <c r="ER23">
        <v>2199.96</v>
      </c>
      <c r="ES23">
        <v>0.99499848387096756</v>
      </c>
      <c r="ET23">
        <v>5.0018206451612913E-3</v>
      </c>
      <c r="EU23">
        <v>0</v>
      </c>
      <c r="EV23">
        <v>768.75858064516115</v>
      </c>
      <c r="EW23">
        <v>5.0010700000000003</v>
      </c>
      <c r="EX23">
        <v>21665.912903225799</v>
      </c>
      <c r="EY23">
        <v>20069.990322580641</v>
      </c>
      <c r="EZ23">
        <v>44.936999999999969</v>
      </c>
      <c r="FA23">
        <v>45.682999999999971</v>
      </c>
      <c r="FB23">
        <v>45.281999999999989</v>
      </c>
      <c r="FC23">
        <v>45.076322580645162</v>
      </c>
      <c r="FD23">
        <v>46.439032258064493</v>
      </c>
      <c r="FE23">
        <v>2183.98</v>
      </c>
      <c r="FF23">
        <v>10.98</v>
      </c>
      <c r="FG23">
        <v>0</v>
      </c>
      <c r="FH23">
        <v>284.09999990463263</v>
      </c>
      <c r="FI23">
        <v>0</v>
      </c>
      <c r="FJ23">
        <v>768.69376470588247</v>
      </c>
      <c r="FK23">
        <v>-0.60392158109712979</v>
      </c>
      <c r="FL23">
        <v>80.318626979668892</v>
      </c>
      <c r="FM23">
        <v>21655.8</v>
      </c>
      <c r="FN23">
        <v>10</v>
      </c>
      <c r="FO23">
        <v>1782929576.0999999</v>
      </c>
      <c r="FP23" t="s">
        <v>440</v>
      </c>
      <c r="FQ23">
        <v>1782929189.0999999</v>
      </c>
      <c r="FR23">
        <v>1782929576.0999999</v>
      </c>
      <c r="FS23">
        <v>53</v>
      </c>
      <c r="FT23">
        <v>0.02</v>
      </c>
      <c r="FU23">
        <v>-8.9999999999999993E-3</v>
      </c>
      <c r="FV23">
        <v>-4.9109999999999996</v>
      </c>
      <c r="FW23">
        <v>0.24</v>
      </c>
      <c r="FX23">
        <v>504</v>
      </c>
      <c r="FY23">
        <v>29</v>
      </c>
      <c r="FZ23">
        <v>0.12</v>
      </c>
      <c r="GA23">
        <v>0.03</v>
      </c>
      <c r="GB23">
        <v>-88.003965853658542</v>
      </c>
      <c r="GC23">
        <v>-4.973937282233435E-2</v>
      </c>
      <c r="GD23">
        <v>0.1645139057207351</v>
      </c>
      <c r="GE23">
        <v>1</v>
      </c>
      <c r="GF23">
        <v>768.85938235294111</v>
      </c>
      <c r="GG23">
        <v>-2.0258670754979091</v>
      </c>
      <c r="GH23">
        <v>0.30523269953438242</v>
      </c>
      <c r="GI23">
        <v>1</v>
      </c>
      <c r="GJ23">
        <v>10.72627804878049</v>
      </c>
      <c r="GK23">
        <v>0.63844390243905946</v>
      </c>
      <c r="GL23">
        <v>7.911423513547225E-2</v>
      </c>
      <c r="GM23">
        <v>0</v>
      </c>
      <c r="GN23">
        <v>2</v>
      </c>
      <c r="GO23">
        <v>3</v>
      </c>
      <c r="GP23" t="s">
        <v>419</v>
      </c>
      <c r="GQ23">
        <v>3.1326200000000002</v>
      </c>
      <c r="GR23">
        <v>2.72926</v>
      </c>
      <c r="GS23">
        <v>9.0947299999999995E-2</v>
      </c>
      <c r="GT23">
        <v>0.104673</v>
      </c>
      <c r="GU23">
        <v>0.15670600000000001</v>
      </c>
      <c r="GV23">
        <v>0.12790799999999999</v>
      </c>
      <c r="GW23">
        <v>22711.599999999999</v>
      </c>
      <c r="GX23">
        <v>30113.7</v>
      </c>
      <c r="GY23">
        <v>27109.7</v>
      </c>
      <c r="GZ23">
        <v>34600.199999999997</v>
      </c>
      <c r="HA23">
        <v>33503.800000000003</v>
      </c>
      <c r="HB23">
        <v>38573.4</v>
      </c>
      <c r="HC23">
        <v>40039.800000000003</v>
      </c>
      <c r="HD23">
        <v>44305.3</v>
      </c>
      <c r="HE23">
        <v>1.9532</v>
      </c>
      <c r="HF23">
        <v>1.7130000000000001</v>
      </c>
      <c r="HG23">
        <v>4.3124000000000003E-2</v>
      </c>
      <c r="HH23">
        <v>0</v>
      </c>
      <c r="HI23">
        <v>34.589599999999997</v>
      </c>
      <c r="HJ23">
        <v>999.9</v>
      </c>
      <c r="HK23">
        <v>56.5</v>
      </c>
      <c r="HL23">
        <v>41.9</v>
      </c>
      <c r="HM23">
        <v>47.3857</v>
      </c>
      <c r="HN23">
        <v>59.553699999999999</v>
      </c>
      <c r="HO23">
        <v>7.3197099999999997</v>
      </c>
      <c r="HP23">
        <v>1</v>
      </c>
      <c r="HQ23">
        <v>0.70036600000000004</v>
      </c>
      <c r="HR23">
        <v>0</v>
      </c>
      <c r="HS23">
        <v>20.274699999999999</v>
      </c>
      <c r="HT23">
        <v>5.2088999999999999</v>
      </c>
      <c r="HU23">
        <v>11.908099999999999</v>
      </c>
      <c r="HV23">
        <v>4.9824000000000002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1.8675200000000001</v>
      </c>
      <c r="IC23">
        <v>1.8631599999999999</v>
      </c>
      <c r="ID23">
        <v>1.8626400000000001</v>
      </c>
      <c r="IE23">
        <v>1.8621799999999999</v>
      </c>
      <c r="IF23">
        <v>1.8621799999999999</v>
      </c>
      <c r="IG23">
        <v>1.86276</v>
      </c>
      <c r="IH23">
        <v>1.86368</v>
      </c>
      <c r="II23">
        <v>1.8615699999999999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-4.585</v>
      </c>
      <c r="IX23">
        <v>0.24</v>
      </c>
      <c r="IY23">
        <v>-2.6506693742420451</v>
      </c>
      <c r="IZ23">
        <v>-5.1825110452525594E-3</v>
      </c>
      <c r="JA23">
        <v>1.5265819664382561E-6</v>
      </c>
      <c r="JB23">
        <v>-1.241475652429701E-10</v>
      </c>
      <c r="JC23">
        <v>-0.28537161462323818</v>
      </c>
      <c r="JD23">
        <v>2.7492919904454862E-4</v>
      </c>
      <c r="JE23">
        <v>8.6739513355948885E-4</v>
      </c>
      <c r="JF23">
        <v>-8.2500691715147318E-6</v>
      </c>
      <c r="JG23">
        <v>21</v>
      </c>
      <c r="JH23">
        <v>1720</v>
      </c>
      <c r="JI23">
        <v>2</v>
      </c>
      <c r="JJ23">
        <v>37</v>
      </c>
      <c r="JK23">
        <v>5.9</v>
      </c>
      <c r="JL23">
        <v>5.8</v>
      </c>
      <c r="JM23">
        <v>1.27075</v>
      </c>
      <c r="JN23">
        <v>2.5732400000000002</v>
      </c>
      <c r="JO23">
        <v>1.50024</v>
      </c>
      <c r="JP23">
        <v>2.2705099999999998</v>
      </c>
      <c r="JQ23">
        <v>1.4477500000000001</v>
      </c>
      <c r="JR23">
        <v>2.4340799999999998</v>
      </c>
      <c r="JS23">
        <v>45.892099999999999</v>
      </c>
      <c r="JT23">
        <v>14.1408</v>
      </c>
      <c r="JU23">
        <v>18</v>
      </c>
      <c r="JV23">
        <v>551.24099999999999</v>
      </c>
      <c r="JW23">
        <v>407.98200000000003</v>
      </c>
      <c r="JX23">
        <v>35.212600000000002</v>
      </c>
      <c r="JY23">
        <v>35.909300000000002</v>
      </c>
      <c r="JZ23">
        <v>30.0002</v>
      </c>
      <c r="KA23">
        <v>35.822000000000003</v>
      </c>
      <c r="KB23">
        <v>35.777099999999997</v>
      </c>
      <c r="KC23">
        <v>25.425999999999998</v>
      </c>
      <c r="KD23">
        <v>44.863799999999998</v>
      </c>
      <c r="KE23">
        <v>0</v>
      </c>
      <c r="KF23">
        <v>-999.9</v>
      </c>
      <c r="KG23">
        <v>508.09899999999999</v>
      </c>
      <c r="KH23">
        <v>29.234300000000001</v>
      </c>
      <c r="KI23">
        <v>100.063</v>
      </c>
      <c r="KJ23">
        <v>99.28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CD67-4D87-41AA-8FBA-5F8CE07BE2D0}">
  <dimension ref="A2:KJ25"/>
  <sheetViews>
    <sheetView tabSelected="1" workbookViewId="0">
      <selection activeCell="K32" sqref="K32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441</v>
      </c>
      <c r="G13" t="s">
        <v>442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256</v>
      </c>
      <c r="GC15" t="s">
        <v>257</v>
      </c>
      <c r="GD15" t="s">
        <v>258</v>
      </c>
      <c r="GE15" t="s">
        <v>259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1736196881</v>
      </c>
      <c r="C17">
        <v>0</v>
      </c>
      <c r="D17" t="s">
        <v>443</v>
      </c>
      <c r="E17" t="s">
        <v>444</v>
      </c>
      <c r="F17">
        <v>15</v>
      </c>
      <c r="H17">
        <v>1736196873.25</v>
      </c>
      <c r="I17">
        <f t="shared" ref="I17:I25" si="0">(J17)/1000</f>
        <v>5.1150946080641777E-3</v>
      </c>
      <c r="J17">
        <f t="shared" ref="J17:J25" si="1">IF(DO17, AM17, AG17)</f>
        <v>5.1150946080641777</v>
      </c>
      <c r="K17">
        <f t="shared" ref="K17:K25" si="2">IF(DO17, AH17, AF17)</f>
        <v>46.804895696404337</v>
      </c>
      <c r="L17">
        <f t="shared" ref="L17:L25" si="3">DQ17 - IF(AT17&gt;1, K17*DK17*100/(AV17), 0)</f>
        <v>417.60036666666667</v>
      </c>
      <c r="M17">
        <f t="shared" ref="M17:M25" si="4">((S17-I17/2)*L17-K17)/(S17+I17/2)</f>
        <v>123.68593771278083</v>
      </c>
      <c r="N17">
        <f t="shared" ref="N17:N25" si="5">M17*(DX17+DY17)/1000</f>
        <v>12.067858629979352</v>
      </c>
      <c r="O17">
        <f t="shared" ref="O17:O25" si="6">(DQ17 - IF(AT17&gt;1, K17*DK17*100/(AV17), 0))*(DX17+DY17)/1000</f>
        <v>40.744665739314073</v>
      </c>
      <c r="P17">
        <f t="shared" ref="P17:P25" si="7">2/((1/R17-1/Q17)+SIGN(R17)*SQRT((1/R17-1/Q17)*(1/R17-1/Q17) + 4*DL17/((DL17+1)*(DL17+1))*(2*1/R17*1/Q17-1/Q17*1/Q17)))</f>
        <v>0.27414775742631287</v>
      </c>
      <c r="Q17">
        <f t="shared" ref="Q17:Q25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2.8849571711451856</v>
      </c>
      <c r="R17">
        <f t="shared" ref="R17:R25" si="9">I17*(1000-(1000*0.61365*EXP(17.502*V17/(240.97+V17))/(DX17+DY17)+DS17)/2)/(1000*0.61365*EXP(17.502*V17/(240.97+V17))/(DX17+DY17)-DS17)</f>
        <v>0.26045346758155374</v>
      </c>
      <c r="S17">
        <f t="shared" ref="S17:S25" si="10">1/((DL17+1)/(P17/1.6)+1/(Q17/1.37)) + DL17/((DL17+1)/(P17/1.6) + DL17/(Q17/1.37))</f>
        <v>0.16395677203190392</v>
      </c>
      <c r="T17">
        <f t="shared" ref="T17:T25" si="11">(DG17*DJ17)</f>
        <v>351.75366689079669</v>
      </c>
      <c r="U17">
        <f t="shared" ref="U17:U25" si="12">(DZ17+(T17+2*0.95*0.0000000567*(((DZ17+$B$7)+273)^4-(DZ17+273)^4)-44100*I17)/(1.84*29.3*Q17+8*0.95*0.0000000567*(DZ17+273)^3))</f>
        <v>35.302958269919856</v>
      </c>
      <c r="V17">
        <f t="shared" ref="V17:V25" si="13">($C$7*EA17+$D$7*EB17+$E$7*U17)</f>
        <v>34.397689999999997</v>
      </c>
      <c r="W17">
        <f t="shared" ref="W17:W25" si="14">0.61365*EXP(17.502*V17/(240.97+V17))</f>
        <v>5.4626846590556903</v>
      </c>
      <c r="X17">
        <f t="shared" ref="X17:X25" si="15">(Y17/Z17*100)</f>
        <v>65.988892226404289</v>
      </c>
      <c r="Y17">
        <f t="shared" ref="Y17:Y25" si="16">DS17*(DX17+DY17)/1000</f>
        <v>3.6358614299541752</v>
      </c>
      <c r="Z17">
        <f t="shared" ref="Z17:Z25" si="17">0.61365*EXP(17.502*DZ17/(240.97+DZ17))</f>
        <v>5.5098082530007213</v>
      </c>
      <c r="AA17">
        <f t="shared" ref="AA17:AA25" si="18">(W17-DS17*(DX17+DY17)/1000)</f>
        <v>1.8268232291015152</v>
      </c>
      <c r="AB17">
        <f t="shared" ref="AB17:AB25" si="19">(-I17*44100)</f>
        <v>-225.57567221563025</v>
      </c>
      <c r="AC17">
        <f t="shared" ref="AC17:AC25" si="20">2*29.3*Q17*0.92*(DZ17-V17)</f>
        <v>24.033084477387508</v>
      </c>
      <c r="AD17">
        <f t="shared" ref="AD17:AD25" si="21">2*0.95*0.0000000567*(((DZ17+$B$7)+273)^4-(V17+273)^4)</f>
        <v>1.9355776413112893</v>
      </c>
      <c r="AE17">
        <f t="shared" ref="AE17:AE25" si="22">T17+AD17+AB17+AC17</f>
        <v>152.14665679386525</v>
      </c>
      <c r="AF17">
        <f t="shared" ref="AF17:AF25" si="23">DW17*AT17*(DR17-DQ17*(1000-AT17*DT17)/(1000-AT17*DS17))/(100*DK17)</f>
        <v>46.804895696404337</v>
      </c>
      <c r="AG17">
        <f t="shared" ref="AG17:AG25" si="24">1000*DW17*AT17*(DS17-DT17)/(100*DK17*(1000-AT17*DS17))</f>
        <v>5.1150946080641777</v>
      </c>
      <c r="AH17">
        <f t="shared" ref="AH17:AH25" si="25">(AI17 - AJ17 - DX17*1000/(8.314*(DZ17+273.15)) * AL17/DW17 * AK17) * DW17/(100*DK17) * (1000 - DT17)/1000</f>
        <v>46.966567423909176</v>
      </c>
      <c r="AI17">
        <v>492.44805683968929</v>
      </c>
      <c r="AJ17">
        <v>434.07322424242432</v>
      </c>
      <c r="AK17">
        <v>3.9367957066000048E-2</v>
      </c>
      <c r="AL17">
        <v>67.030994198065457</v>
      </c>
      <c r="AM17">
        <f t="shared" ref="AM17:AM25" si="26">(AO17 - AN17 + DX17*1000/(8.314*(DZ17+273.15)) * AQ17/DW17 * AP17) * DW17/(100*DK17) * 1000/(1000 - AO17)</f>
        <v>5.2797776029887622</v>
      </c>
      <c r="AN17">
        <v>31.25750591643968</v>
      </c>
      <c r="AO17">
        <v>37.354827272727277</v>
      </c>
      <c r="AP17">
        <v>1.0500956002637441E-4</v>
      </c>
      <c r="AQ17">
        <v>78.056612716041002</v>
      </c>
      <c r="AR17">
        <v>0</v>
      </c>
      <c r="AS17">
        <v>0</v>
      </c>
      <c r="AT17">
        <f t="shared" ref="AT17:AT25" si="27">IF(AR17*$H$13&gt;=AV17,1,(AV17/(AV17-AR17*$H$13)))</f>
        <v>1</v>
      </c>
      <c r="AU17">
        <f t="shared" ref="AU17:AU25" si="28">(AT17-1)*100</f>
        <v>0</v>
      </c>
      <c r="AV17">
        <f t="shared" ref="AV17:AV25" si="29">MAX(0,($B$13+$C$13*EE17)/(1+$D$13*EE17)*DX17/(DZ17+273)*$E$13)</f>
        <v>50279.641902978103</v>
      </c>
      <c r="AW17" t="s">
        <v>445</v>
      </c>
      <c r="AX17">
        <v>5111.67</v>
      </c>
      <c r="AY17">
        <v>545.84117647058815</v>
      </c>
      <c r="AZ17">
        <v>2426.21</v>
      </c>
      <c r="BA17">
        <f t="shared" ref="BA17:BA25" si="30">1-AY17/AZ17</f>
        <v>0.77502311157295201</v>
      </c>
      <c r="BB17">
        <v>-5.2289110739545492</v>
      </c>
      <c r="BC17" t="s">
        <v>446</v>
      </c>
      <c r="BD17">
        <v>5105.6899999999996</v>
      </c>
      <c r="BE17">
        <v>717.61782352941179</v>
      </c>
      <c r="BF17">
        <v>828.71</v>
      </c>
      <c r="BG17">
        <f t="shared" ref="BG17:BG25" si="31">1-BE17/BF17</f>
        <v>0.13405434527227644</v>
      </c>
      <c r="BH17">
        <v>0.5</v>
      </c>
      <c r="BI17">
        <f t="shared" ref="BI17:BI25" si="32">DH17</f>
        <v>1848.3184798397917</v>
      </c>
      <c r="BJ17">
        <f t="shared" ref="BJ17:BJ25" si="33">K17</f>
        <v>46.804895696404337</v>
      </c>
      <c r="BK17">
        <f t="shared" ref="BK17:BK25" si="34">BG17*BH17*BI17</f>
        <v>123.88756183478628</v>
      </c>
      <c r="BL17">
        <f t="shared" ref="BL17:BL25" si="35">(BJ17-BB17)/BI17</f>
        <v>2.8151970203137863E-2</v>
      </c>
      <c r="BM17">
        <f t="shared" ref="BM17:BM25" si="36">(AZ17-BF17)/BF17</f>
        <v>1.9276948510335339</v>
      </c>
      <c r="BN17">
        <f t="shared" ref="BN17:BN25" si="37">AY17/(BA17+AY17/BF17)</f>
        <v>380.72553956538025</v>
      </c>
      <c r="BO17" t="s">
        <v>407</v>
      </c>
      <c r="BP17">
        <v>0</v>
      </c>
      <c r="BQ17">
        <f t="shared" ref="BQ17:BQ25" si="38">IF(BP17&lt;&gt;0, BP17, BN17)</f>
        <v>380.72553956538025</v>
      </c>
      <c r="BR17">
        <f t="shared" ref="BR17:BR25" si="39">1-BQ17/BF17</f>
        <v>0.54058049309724732</v>
      </c>
      <c r="BS17">
        <f t="shared" ref="BS17:BS25" si="40">(BF17-BE17)/(BF17-BQ17)</f>
        <v>0.24798220983560515</v>
      </c>
      <c r="BT17">
        <f t="shared" ref="BT17:BT25" si="41">(AZ17-BF17)/(AZ17-BQ17)</f>
        <v>0.78098857796287868</v>
      </c>
      <c r="BU17">
        <f t="shared" ref="BU17:BU25" si="42">(BF17-BE17)/(BF17-AY17)</f>
        <v>0.39273390076880355</v>
      </c>
      <c r="BV17">
        <f t="shared" ref="BV17:BV25" si="43">(AZ17-BF17)/(AZ17-AY17)</f>
        <v>0.84956737210816269</v>
      </c>
      <c r="BW17">
        <f t="shared" ref="BW17:BW25" si="44">(BS17*BQ17/BE17)</f>
        <v>0.13156468184963713</v>
      </c>
      <c r="BX17">
        <f t="shared" ref="BX17:BX25" si="45">(1-BW17)</f>
        <v>0.8684353181503629</v>
      </c>
      <c r="DG17">
        <f t="shared" ref="DG17:DG25" si="46">$B$11*EF17+$C$11*EG17+$F$11*ER17*(1-EU17)</f>
        <v>2199.987000000001</v>
      </c>
      <c r="DH17">
        <f t="shared" ref="DH17:DH25" si="47">DG17*DI17</f>
        <v>1848.3184798397917</v>
      </c>
      <c r="DI17">
        <f t="shared" ref="DI17:DI25" si="48">($B$11*$D$9+$C$11*$D$9+$F$11*((FE17+EW17)/MAX(FE17+EW17+FF17, 0.1)*$I$9+FF17/MAX(FE17+EW17+FF17, 0.1)*$J$9))/($B$11+$C$11+$F$11)</f>
        <v>0.84014972808466182</v>
      </c>
      <c r="DJ17">
        <f t="shared" ref="DJ17:DJ25" si="49">($B$11*$K$9+$C$11*$K$9+$F$11*((FE17+EW17)/MAX(FE17+EW17+FF17, 0.1)*$P$9+FF17/MAX(FE17+EW17+FF17, 0.1)*$Q$9))/($B$11+$C$11+$F$11)</f>
        <v>0.15988897520339734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1736196873.25</v>
      </c>
      <c r="DQ17">
        <v>417.60036666666667</v>
      </c>
      <c r="DR17">
        <v>476.31876666666659</v>
      </c>
      <c r="DS17">
        <v>37.26468333333333</v>
      </c>
      <c r="DT17">
        <v>31.356386666666669</v>
      </c>
      <c r="DU17">
        <v>422.23639999999989</v>
      </c>
      <c r="DV17">
        <v>36.969683333333329</v>
      </c>
      <c r="DW17">
        <v>500.09156666666672</v>
      </c>
      <c r="DX17">
        <v>97.521890000000013</v>
      </c>
      <c r="DY17">
        <v>4.6668343333333327E-2</v>
      </c>
      <c r="DZ17">
        <v>34.552210000000009</v>
      </c>
      <c r="EA17">
        <v>34.397689999999997</v>
      </c>
      <c r="EB17">
        <v>999.9000000000002</v>
      </c>
      <c r="EC17">
        <v>0</v>
      </c>
      <c r="ED17">
        <v>0</v>
      </c>
      <c r="EE17">
        <v>9995.6666666666661</v>
      </c>
      <c r="EF17">
        <v>0</v>
      </c>
      <c r="EG17">
        <v>760.67139999999984</v>
      </c>
      <c r="EH17">
        <v>-58.718546666666683</v>
      </c>
      <c r="EI17">
        <v>433.81956666666667</v>
      </c>
      <c r="EJ17">
        <v>491.7378666666666</v>
      </c>
      <c r="EK17">
        <v>6.030674666666668</v>
      </c>
      <c r="EL17">
        <v>476.31876666666659</v>
      </c>
      <c r="EM17">
        <v>31.356386666666669</v>
      </c>
      <c r="EN17">
        <v>3.6460569999999999</v>
      </c>
      <c r="EO17">
        <v>3.0579360000000002</v>
      </c>
      <c r="EP17">
        <v>27.315683333333329</v>
      </c>
      <c r="EQ17">
        <v>24.346683333333338</v>
      </c>
      <c r="ER17">
        <v>2199.987000000001</v>
      </c>
      <c r="ES17">
        <v>0.9949981333333332</v>
      </c>
      <c r="ET17">
        <v>5.0017620000000016E-3</v>
      </c>
      <c r="EU17">
        <v>0</v>
      </c>
      <c r="EV17">
        <v>717.64516666666668</v>
      </c>
      <c r="EW17">
        <v>5.0010700000000003</v>
      </c>
      <c r="EX17">
        <v>19393.09</v>
      </c>
      <c r="EY17">
        <v>20070.23</v>
      </c>
      <c r="EZ17">
        <v>41.014333333333319</v>
      </c>
      <c r="FA17">
        <v>42.01446666666665</v>
      </c>
      <c r="FB17">
        <v>41.249766666666652</v>
      </c>
      <c r="FC17">
        <v>41.918399999999977</v>
      </c>
      <c r="FD17">
        <v>42.716433333333327</v>
      </c>
      <c r="FE17">
        <v>2184.0070000000001</v>
      </c>
      <c r="FF17">
        <v>10.98</v>
      </c>
      <c r="FG17">
        <v>0</v>
      </c>
      <c r="FH17">
        <v>962.79999995231628</v>
      </c>
      <c r="FI17">
        <v>0</v>
      </c>
      <c r="FJ17">
        <v>717.61782352941179</v>
      </c>
      <c r="FK17">
        <v>1.5963235041038799</v>
      </c>
      <c r="FL17">
        <v>322.18137269819289</v>
      </c>
      <c r="FM17">
        <v>19389.147058823532</v>
      </c>
      <c r="FN17">
        <v>10</v>
      </c>
      <c r="FO17">
        <v>1736196911.5</v>
      </c>
      <c r="FP17" t="s">
        <v>447</v>
      </c>
      <c r="FQ17">
        <v>1736195867.0999999</v>
      </c>
      <c r="FR17">
        <v>1736196911.5</v>
      </c>
      <c r="FS17">
        <v>50</v>
      </c>
      <c r="FT17">
        <v>2.7E-2</v>
      </c>
      <c r="FU17">
        <v>6.3E-2</v>
      </c>
      <c r="FV17">
        <v>-4.6360000000000001</v>
      </c>
      <c r="FW17">
        <v>0.29499999999999998</v>
      </c>
      <c r="FX17">
        <v>415</v>
      </c>
      <c r="FY17">
        <v>31</v>
      </c>
      <c r="FZ17">
        <v>1.32</v>
      </c>
      <c r="GA17">
        <v>0.05</v>
      </c>
      <c r="GB17">
        <v>-58.240521951219513</v>
      </c>
      <c r="GC17">
        <v>-8.5917198606273377</v>
      </c>
      <c r="GD17">
        <v>0.8664361982371841</v>
      </c>
      <c r="GE17">
        <v>0</v>
      </c>
      <c r="GF17">
        <v>717.58547058823524</v>
      </c>
      <c r="GG17">
        <v>0.41038960928003171</v>
      </c>
      <c r="GH17">
        <v>0.1996584193793737</v>
      </c>
      <c r="GI17">
        <v>1</v>
      </c>
      <c r="GJ17">
        <v>5.9801160975609751</v>
      </c>
      <c r="GK17">
        <v>1.040738257839728</v>
      </c>
      <c r="GL17">
        <v>0.1118356791943811</v>
      </c>
      <c r="GM17">
        <v>0</v>
      </c>
      <c r="GN17">
        <v>1</v>
      </c>
      <c r="GO17">
        <v>3</v>
      </c>
      <c r="GP17" t="s">
        <v>410</v>
      </c>
      <c r="GQ17">
        <v>3.13341</v>
      </c>
      <c r="GR17">
        <v>2.7237100000000001</v>
      </c>
      <c r="GS17">
        <v>9.0540700000000002E-2</v>
      </c>
      <c r="GT17">
        <v>0.10002800000000001</v>
      </c>
      <c r="GU17">
        <v>0.15015800000000001</v>
      </c>
      <c r="GV17">
        <v>0.13400100000000001</v>
      </c>
      <c r="GW17">
        <v>22761.599999999999</v>
      </c>
      <c r="GX17">
        <v>30327.200000000001</v>
      </c>
      <c r="GY17">
        <v>27153</v>
      </c>
      <c r="GZ17">
        <v>34658.699999999997</v>
      </c>
      <c r="HA17">
        <v>33805.199999999997</v>
      </c>
      <c r="HB17">
        <v>38344.400000000001</v>
      </c>
      <c r="HC17">
        <v>40099.699999999997</v>
      </c>
      <c r="HD17">
        <v>44355.7</v>
      </c>
      <c r="HE17">
        <v>1.9590000000000001</v>
      </c>
      <c r="HF17">
        <v>1.7385999999999999</v>
      </c>
      <c r="HG17">
        <v>7.8827099999999997E-2</v>
      </c>
      <c r="HH17">
        <v>0</v>
      </c>
      <c r="HI17">
        <v>33.132800000000003</v>
      </c>
      <c r="HJ17">
        <v>999.9</v>
      </c>
      <c r="HK17">
        <v>56.3</v>
      </c>
      <c r="HL17">
        <v>39.799999999999997</v>
      </c>
      <c r="HM17">
        <v>42.343699999999998</v>
      </c>
      <c r="HN17">
        <v>59.560299999999998</v>
      </c>
      <c r="HO17">
        <v>7.6001599999999998</v>
      </c>
      <c r="HP17">
        <v>1</v>
      </c>
      <c r="HQ17">
        <v>0.62817100000000003</v>
      </c>
      <c r="HR17">
        <v>0</v>
      </c>
      <c r="HS17">
        <v>20.276900000000001</v>
      </c>
      <c r="HT17">
        <v>5.2100999999999997</v>
      </c>
      <c r="HU17">
        <v>11.908099999999999</v>
      </c>
      <c r="HV17">
        <v>4.9836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1.86737</v>
      </c>
      <c r="IC17">
        <v>1.8631</v>
      </c>
      <c r="ID17">
        <v>1.86249</v>
      </c>
      <c r="IE17">
        <v>1.8620300000000001</v>
      </c>
      <c r="IF17">
        <v>1.8620300000000001</v>
      </c>
      <c r="IG17">
        <v>1.8626400000000001</v>
      </c>
      <c r="IH17">
        <v>1.8635600000000001</v>
      </c>
      <c r="II17">
        <v>1.8615699999999999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-4.6360000000000001</v>
      </c>
      <c r="IX17">
        <v>0.29499999999999998</v>
      </c>
      <c r="IY17">
        <v>-4.6360476190475879</v>
      </c>
      <c r="IZ17">
        <v>0</v>
      </c>
      <c r="JA17">
        <v>0</v>
      </c>
      <c r="JB17">
        <v>0</v>
      </c>
      <c r="JC17">
        <v>-0.36144068622958742</v>
      </c>
      <c r="JD17">
        <v>2.7492919904454862E-4</v>
      </c>
      <c r="JE17">
        <v>8.6739513355948885E-4</v>
      </c>
      <c r="JF17">
        <v>-8.2500691715147318E-6</v>
      </c>
      <c r="JG17">
        <v>-1</v>
      </c>
      <c r="JH17">
        <v>-1</v>
      </c>
      <c r="JI17">
        <v>2</v>
      </c>
      <c r="JJ17">
        <v>37</v>
      </c>
      <c r="JK17">
        <v>16.899999999999999</v>
      </c>
      <c r="JL17">
        <v>16.8</v>
      </c>
      <c r="JM17">
        <v>1.2145999999999999</v>
      </c>
      <c r="JN17">
        <v>2.5500500000000001</v>
      </c>
      <c r="JO17">
        <v>1.50024</v>
      </c>
      <c r="JP17">
        <v>2.2705099999999998</v>
      </c>
      <c r="JQ17">
        <v>1.4477500000000001</v>
      </c>
      <c r="JR17">
        <v>2.3107899999999999</v>
      </c>
      <c r="JS17">
        <v>42.750999999999998</v>
      </c>
      <c r="JT17">
        <v>14.368399999999999</v>
      </c>
      <c r="JU17">
        <v>18</v>
      </c>
      <c r="JV17">
        <v>548.24800000000005</v>
      </c>
      <c r="JW17">
        <v>418.21199999999999</v>
      </c>
      <c r="JX17">
        <v>33.764000000000003</v>
      </c>
      <c r="JY17">
        <v>34.951799999999999</v>
      </c>
      <c r="JZ17">
        <v>30</v>
      </c>
      <c r="KA17">
        <v>34.970599999999997</v>
      </c>
      <c r="KB17">
        <v>34.936399999999999</v>
      </c>
      <c r="KC17">
        <v>24.303699999999999</v>
      </c>
      <c r="KD17">
        <v>37.185099999999998</v>
      </c>
      <c r="KE17">
        <v>53.424199999999999</v>
      </c>
      <c r="KF17">
        <v>-999.9</v>
      </c>
      <c r="KG17">
        <v>478.33300000000003</v>
      </c>
      <c r="KH17">
        <v>31.1952</v>
      </c>
      <c r="KI17">
        <v>100.217</v>
      </c>
      <c r="KJ17">
        <v>99.416899999999998</v>
      </c>
    </row>
    <row r="18" spans="1:296" x14ac:dyDescent="0.3">
      <c r="A18">
        <v>2</v>
      </c>
      <c r="B18">
        <v>1736197092.5</v>
      </c>
      <c r="C18">
        <v>211.5</v>
      </c>
      <c r="D18" t="s">
        <v>448</v>
      </c>
      <c r="E18" t="s">
        <v>449</v>
      </c>
      <c r="F18">
        <v>15</v>
      </c>
      <c r="H18">
        <v>1736197084.5</v>
      </c>
      <c r="I18">
        <f t="shared" si="0"/>
        <v>6.6435094965593116E-3</v>
      </c>
      <c r="J18">
        <f t="shared" si="1"/>
        <v>6.6435094965593118</v>
      </c>
      <c r="K18">
        <f t="shared" si="2"/>
        <v>60.708439951106797</v>
      </c>
      <c r="L18">
        <f t="shared" si="3"/>
        <v>419.3352258064516</v>
      </c>
      <c r="M18">
        <f t="shared" si="4"/>
        <v>125.83705200378037</v>
      </c>
      <c r="N18">
        <f t="shared" si="5"/>
        <v>12.277825773028615</v>
      </c>
      <c r="O18">
        <f t="shared" si="6"/>
        <v>40.914220104191209</v>
      </c>
      <c r="P18">
        <f t="shared" si="7"/>
        <v>0.36100684179621489</v>
      </c>
      <c r="Q18">
        <f t="shared" si="8"/>
        <v>2.8866614326420663</v>
      </c>
      <c r="R18">
        <f t="shared" si="9"/>
        <v>0.33766976748706345</v>
      </c>
      <c r="S18">
        <f t="shared" si="10"/>
        <v>0.21301450616720791</v>
      </c>
      <c r="T18">
        <f t="shared" si="11"/>
        <v>319.77403188439922</v>
      </c>
      <c r="U18">
        <f t="shared" si="12"/>
        <v>34.939480501543088</v>
      </c>
      <c r="V18">
        <f t="shared" si="13"/>
        <v>34.471838709677421</v>
      </c>
      <c r="W18">
        <f t="shared" si="14"/>
        <v>5.4852536996382391</v>
      </c>
      <c r="X18">
        <f t="shared" si="15"/>
        <v>65.511812150538759</v>
      </c>
      <c r="Y18">
        <f t="shared" si="16"/>
        <v>3.655540864199406</v>
      </c>
      <c r="Z18">
        <f t="shared" si="17"/>
        <v>5.5799721366268802</v>
      </c>
      <c r="AA18">
        <f t="shared" si="18"/>
        <v>1.829712835438833</v>
      </c>
      <c r="AB18">
        <f t="shared" si="19"/>
        <v>-292.97876879826566</v>
      </c>
      <c r="AC18">
        <f t="shared" si="20"/>
        <v>47.983416730446969</v>
      </c>
      <c r="AD18">
        <f t="shared" si="21"/>
        <v>3.8679046420698904</v>
      </c>
      <c r="AE18">
        <f t="shared" si="22"/>
        <v>78.646584458650437</v>
      </c>
      <c r="AF18">
        <f t="shared" si="23"/>
        <v>60.708439951106797</v>
      </c>
      <c r="AG18">
        <f t="shared" si="24"/>
        <v>6.6435094965593118</v>
      </c>
      <c r="AH18">
        <f t="shared" si="25"/>
        <v>60.713155029634123</v>
      </c>
      <c r="AI18">
        <v>510.93522099097021</v>
      </c>
      <c r="AJ18">
        <v>435.7405090909092</v>
      </c>
      <c r="AK18">
        <v>2.0298413078313569E-2</v>
      </c>
      <c r="AL18">
        <v>67.034586256937118</v>
      </c>
      <c r="AM18">
        <f t="shared" si="26"/>
        <v>6.9105494822637388</v>
      </c>
      <c r="AN18">
        <v>29.778614589788461</v>
      </c>
      <c r="AO18">
        <v>37.717208484848477</v>
      </c>
      <c r="AP18">
        <v>6.9075535212610372E-3</v>
      </c>
      <c r="AQ18">
        <v>78.064559690374168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50289.628313104913</v>
      </c>
      <c r="AW18" t="s">
        <v>445</v>
      </c>
      <c r="AX18">
        <v>5111.67</v>
      </c>
      <c r="AY18">
        <v>545.84117647058815</v>
      </c>
      <c r="AZ18">
        <v>2426.21</v>
      </c>
      <c r="BA18">
        <f t="shared" si="30"/>
        <v>0.77502311157295201</v>
      </c>
      <c r="BB18">
        <v>-5.2289110739545492</v>
      </c>
      <c r="BC18" t="s">
        <v>450</v>
      </c>
      <c r="BD18">
        <v>5101.1000000000004</v>
      </c>
      <c r="BE18">
        <v>730.30452941176475</v>
      </c>
      <c r="BF18">
        <v>913.03</v>
      </c>
      <c r="BG18">
        <f t="shared" si="31"/>
        <v>0.20013085067110092</v>
      </c>
      <c r="BH18">
        <v>0.5</v>
      </c>
      <c r="BI18">
        <f t="shared" si="32"/>
        <v>1680.2793482269149</v>
      </c>
      <c r="BJ18">
        <f t="shared" si="33"/>
        <v>60.708439951106797</v>
      </c>
      <c r="BK18">
        <f t="shared" si="34"/>
        <v>168.13786766286773</v>
      </c>
      <c r="BL18">
        <f t="shared" si="35"/>
        <v>3.9241898137140456E-2</v>
      </c>
      <c r="BM18">
        <f t="shared" si="36"/>
        <v>1.6573168461058236</v>
      </c>
      <c r="BN18">
        <f t="shared" si="37"/>
        <v>397.59478516342813</v>
      </c>
      <c r="BO18" t="s">
        <v>407</v>
      </c>
      <c r="BP18">
        <v>0</v>
      </c>
      <c r="BQ18">
        <f t="shared" si="38"/>
        <v>397.59478516342813</v>
      </c>
      <c r="BR18">
        <f t="shared" si="39"/>
        <v>0.56453261649296504</v>
      </c>
      <c r="BS18">
        <f t="shared" si="40"/>
        <v>0.35450715303992508</v>
      </c>
      <c r="BT18">
        <f t="shared" si="41"/>
        <v>0.74591770234844856</v>
      </c>
      <c r="BU18">
        <f t="shared" si="42"/>
        <v>0.49763353043233061</v>
      </c>
      <c r="BV18">
        <f t="shared" si="43"/>
        <v>0.80472510555657573</v>
      </c>
      <c r="BW18">
        <f t="shared" si="44"/>
        <v>0.19300194600372816</v>
      </c>
      <c r="BX18">
        <f t="shared" si="45"/>
        <v>0.80699805399627178</v>
      </c>
      <c r="DG18">
        <f t="shared" si="46"/>
        <v>1999.9761290322569</v>
      </c>
      <c r="DH18">
        <f t="shared" si="47"/>
        <v>1680.2793482269149</v>
      </c>
      <c r="DI18">
        <f t="shared" si="48"/>
        <v>0.8401497017066718</v>
      </c>
      <c r="DJ18">
        <f t="shared" si="49"/>
        <v>0.15988892429387674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1736197084.5</v>
      </c>
      <c r="DQ18">
        <v>419.3352258064516</v>
      </c>
      <c r="DR18">
        <v>495.52638709677422</v>
      </c>
      <c r="DS18">
        <v>37.466119354838703</v>
      </c>
      <c r="DT18">
        <v>29.792796774193551</v>
      </c>
      <c r="DU18">
        <v>423.97122580645163</v>
      </c>
      <c r="DV18">
        <v>37.211119354838701</v>
      </c>
      <c r="DW18">
        <v>500.01309677419363</v>
      </c>
      <c r="DX18">
        <v>97.521693548387091</v>
      </c>
      <c r="DY18">
        <v>4.7548399999999991E-2</v>
      </c>
      <c r="DZ18">
        <v>34.780164516129027</v>
      </c>
      <c r="EA18">
        <v>34.471838709677421</v>
      </c>
      <c r="EB18">
        <v>999.90000000000032</v>
      </c>
      <c r="EC18">
        <v>0</v>
      </c>
      <c r="ED18">
        <v>0</v>
      </c>
      <c r="EE18">
        <v>10005.483870967741</v>
      </c>
      <c r="EF18">
        <v>0</v>
      </c>
      <c r="EG18">
        <v>483.90899999999988</v>
      </c>
      <c r="EH18">
        <v>-76.191051612903223</v>
      </c>
      <c r="EI18">
        <v>435.7628387096774</v>
      </c>
      <c r="EJ18">
        <v>510.74270967741938</v>
      </c>
      <c r="EK18">
        <v>7.9057687096774201</v>
      </c>
      <c r="EL18">
        <v>495.52638709677422</v>
      </c>
      <c r="EM18">
        <v>29.792796774193551</v>
      </c>
      <c r="EN18">
        <v>3.6764283870967751</v>
      </c>
      <c r="EO18">
        <v>2.9054451612903232</v>
      </c>
      <c r="EP18">
        <v>27.45731935483871</v>
      </c>
      <c r="EQ18">
        <v>23.495722580645161</v>
      </c>
      <c r="ER18">
        <v>1999.9761290322569</v>
      </c>
      <c r="ES18">
        <v>0.99499622580645186</v>
      </c>
      <c r="ET18">
        <v>5.0036393548387103E-3</v>
      </c>
      <c r="EU18">
        <v>0</v>
      </c>
      <c r="EV18">
        <v>730.15022580645154</v>
      </c>
      <c r="EW18">
        <v>5.0010700000000003</v>
      </c>
      <c r="EX18">
        <v>18080.83870967742</v>
      </c>
      <c r="EY18">
        <v>18241.396774193541</v>
      </c>
      <c r="EZ18">
        <v>42.328258064516127</v>
      </c>
      <c r="FA18">
        <v>43.122903225806454</v>
      </c>
      <c r="FB18">
        <v>42.66099999999998</v>
      </c>
      <c r="FC18">
        <v>43.003999999999991</v>
      </c>
      <c r="FD18">
        <v>44</v>
      </c>
      <c r="FE18">
        <v>1984.996129032259</v>
      </c>
      <c r="FF18">
        <v>9.980000000000004</v>
      </c>
      <c r="FG18">
        <v>0</v>
      </c>
      <c r="FH18">
        <v>210.70000004768369</v>
      </c>
      <c r="FI18">
        <v>0</v>
      </c>
      <c r="FJ18">
        <v>730.30452941176475</v>
      </c>
      <c r="FK18">
        <v>3.3473038929770138</v>
      </c>
      <c r="FL18">
        <v>-1735.0980277773681</v>
      </c>
      <c r="FM18">
        <v>18080.2</v>
      </c>
      <c r="FN18">
        <v>10</v>
      </c>
      <c r="FO18">
        <v>1736197120.5</v>
      </c>
      <c r="FP18" t="s">
        <v>451</v>
      </c>
      <c r="FQ18">
        <v>1736195867.0999999</v>
      </c>
      <c r="FR18">
        <v>1736197120.5</v>
      </c>
      <c r="FS18">
        <v>51</v>
      </c>
      <c r="FT18">
        <v>2.7E-2</v>
      </c>
      <c r="FU18">
        <v>2E-3</v>
      </c>
      <c r="FV18">
        <v>-4.6360000000000001</v>
      </c>
      <c r="FW18">
        <v>0.255</v>
      </c>
      <c r="FX18">
        <v>415</v>
      </c>
      <c r="FY18">
        <v>30</v>
      </c>
      <c r="FZ18">
        <v>1.32</v>
      </c>
      <c r="GA18">
        <v>0.03</v>
      </c>
      <c r="GB18">
        <v>-76.038814634146348</v>
      </c>
      <c r="GC18">
        <v>-3.6639512195121688</v>
      </c>
      <c r="GD18">
        <v>0.39610116505329063</v>
      </c>
      <c r="GE18">
        <v>0</v>
      </c>
      <c r="GF18">
        <v>729.99050000000011</v>
      </c>
      <c r="GG18">
        <v>3.524996178627263</v>
      </c>
      <c r="GH18">
        <v>0.4131125220594955</v>
      </c>
      <c r="GI18">
        <v>1</v>
      </c>
      <c r="GJ18">
        <v>7.8877468292682931</v>
      </c>
      <c r="GK18">
        <v>0.44093895470382749</v>
      </c>
      <c r="GL18">
        <v>4.5371890483470352E-2</v>
      </c>
      <c r="GM18">
        <v>1</v>
      </c>
      <c r="GN18">
        <v>2</v>
      </c>
      <c r="GO18">
        <v>3</v>
      </c>
      <c r="GP18" t="s">
        <v>419</v>
      </c>
      <c r="GQ18">
        <v>3.13354</v>
      </c>
      <c r="GR18">
        <v>2.7227299999999999</v>
      </c>
      <c r="GS18">
        <v>9.0791200000000002E-2</v>
      </c>
      <c r="GT18">
        <v>0.102858</v>
      </c>
      <c r="GU18">
        <v>0.15096100000000001</v>
      </c>
      <c r="GV18">
        <v>0.12967100000000001</v>
      </c>
      <c r="GW18">
        <v>22754.1</v>
      </c>
      <c r="GX18">
        <v>30228.400000000001</v>
      </c>
      <c r="GY18">
        <v>27151.8</v>
      </c>
      <c r="GZ18">
        <v>34655.300000000003</v>
      </c>
      <c r="HA18">
        <v>33772.699999999997</v>
      </c>
      <c r="HB18">
        <v>38533</v>
      </c>
      <c r="HC18">
        <v>40098.400000000001</v>
      </c>
      <c r="HD18">
        <v>44351.8</v>
      </c>
      <c r="HE18">
        <v>1.9588000000000001</v>
      </c>
      <c r="HF18">
        <v>1.7343999999999999</v>
      </c>
      <c r="HG18">
        <v>6.9886400000000001E-2</v>
      </c>
      <c r="HH18">
        <v>0</v>
      </c>
      <c r="HI18">
        <v>33.344099999999997</v>
      </c>
      <c r="HJ18">
        <v>999.9</v>
      </c>
      <c r="HK18">
        <v>55.2</v>
      </c>
      <c r="HL18">
        <v>39.799999999999997</v>
      </c>
      <c r="HM18">
        <v>41.516100000000002</v>
      </c>
      <c r="HN18">
        <v>59.400300000000001</v>
      </c>
      <c r="HO18">
        <v>7.6001599999999998</v>
      </c>
      <c r="HP18">
        <v>1</v>
      </c>
      <c r="HQ18">
        <v>0.63201200000000002</v>
      </c>
      <c r="HR18">
        <v>0</v>
      </c>
      <c r="HS18">
        <v>20.278400000000001</v>
      </c>
      <c r="HT18">
        <v>5.2077099999999996</v>
      </c>
      <c r="HU18">
        <v>11.908099999999999</v>
      </c>
      <c r="HV18">
        <v>4.9832000000000001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1.86737</v>
      </c>
      <c r="IC18">
        <v>1.8631</v>
      </c>
      <c r="ID18">
        <v>1.86249</v>
      </c>
      <c r="IE18">
        <v>1.8620300000000001</v>
      </c>
      <c r="IF18">
        <v>1.8620300000000001</v>
      </c>
      <c r="IG18">
        <v>1.86267</v>
      </c>
      <c r="IH18">
        <v>1.8635600000000001</v>
      </c>
      <c r="II18">
        <v>1.8615699999999999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-4.6360000000000001</v>
      </c>
      <c r="IX18">
        <v>0.255</v>
      </c>
      <c r="IY18">
        <v>-4.6360476190475879</v>
      </c>
      <c r="IZ18">
        <v>0</v>
      </c>
      <c r="JA18">
        <v>0</v>
      </c>
      <c r="JB18">
        <v>0</v>
      </c>
      <c r="JC18">
        <v>-0.29875208558349059</v>
      </c>
      <c r="JD18">
        <v>2.7492919904454862E-4</v>
      </c>
      <c r="JE18">
        <v>8.6739513355948885E-4</v>
      </c>
      <c r="JF18">
        <v>-8.2500691715147318E-6</v>
      </c>
      <c r="JG18">
        <v>-1</v>
      </c>
      <c r="JH18">
        <v>-1</v>
      </c>
      <c r="JI18">
        <v>2</v>
      </c>
      <c r="JJ18">
        <v>37</v>
      </c>
      <c r="JK18">
        <v>20.399999999999999</v>
      </c>
      <c r="JL18">
        <v>3</v>
      </c>
      <c r="JM18">
        <v>1.25</v>
      </c>
      <c r="JN18">
        <v>2.5622600000000002</v>
      </c>
      <c r="JO18">
        <v>1.50024</v>
      </c>
      <c r="JP18">
        <v>2.2705099999999998</v>
      </c>
      <c r="JQ18">
        <v>1.4477500000000001</v>
      </c>
      <c r="JR18">
        <v>2.34375</v>
      </c>
      <c r="JS18">
        <v>42.966000000000001</v>
      </c>
      <c r="JT18">
        <v>14.333399999999999</v>
      </c>
      <c r="JU18">
        <v>18</v>
      </c>
      <c r="JV18">
        <v>548.24199999999996</v>
      </c>
      <c r="JW18">
        <v>415.77699999999999</v>
      </c>
      <c r="JX18">
        <v>33.9514</v>
      </c>
      <c r="JY18">
        <v>34.993299999999998</v>
      </c>
      <c r="JZ18">
        <v>30.0001</v>
      </c>
      <c r="KA18">
        <v>34.986499999999999</v>
      </c>
      <c r="KB18">
        <v>34.955399999999997</v>
      </c>
      <c r="KC18">
        <v>25.0093</v>
      </c>
      <c r="KD18">
        <v>37.933500000000002</v>
      </c>
      <c r="KE18">
        <v>45.414900000000003</v>
      </c>
      <c r="KF18">
        <v>-999.9</v>
      </c>
      <c r="KG18">
        <v>496.35199999999998</v>
      </c>
      <c r="KH18">
        <v>29.790299999999998</v>
      </c>
      <c r="KI18">
        <v>100.21299999999999</v>
      </c>
      <c r="KJ18">
        <v>99.407700000000006</v>
      </c>
    </row>
    <row r="19" spans="1:296" x14ac:dyDescent="0.3">
      <c r="A19">
        <v>3</v>
      </c>
      <c r="B19">
        <v>1736197301.5</v>
      </c>
      <c r="C19">
        <v>420.5</v>
      </c>
      <c r="D19" t="s">
        <v>452</v>
      </c>
      <c r="E19" t="s">
        <v>453</v>
      </c>
      <c r="F19">
        <v>15</v>
      </c>
      <c r="H19">
        <v>1736197293.5</v>
      </c>
      <c r="I19">
        <f t="shared" si="0"/>
        <v>8.1216304930290546E-3</v>
      </c>
      <c r="J19">
        <f t="shared" si="1"/>
        <v>8.1216304930290537</v>
      </c>
      <c r="K19">
        <f t="shared" si="2"/>
        <v>67.208400654473948</v>
      </c>
      <c r="L19">
        <f t="shared" si="3"/>
        <v>419.62064516129033</v>
      </c>
      <c r="M19">
        <f t="shared" si="4"/>
        <v>152.8409020276259</v>
      </c>
      <c r="N19">
        <f t="shared" si="5"/>
        <v>14.913263163523263</v>
      </c>
      <c r="O19">
        <f t="shared" si="6"/>
        <v>40.943968709414072</v>
      </c>
      <c r="P19">
        <f t="shared" si="7"/>
        <v>0.44762089769488606</v>
      </c>
      <c r="Q19">
        <f t="shared" si="8"/>
        <v>2.8857388437369496</v>
      </c>
      <c r="R19">
        <f t="shared" si="9"/>
        <v>0.41231854169143867</v>
      </c>
      <c r="S19">
        <f t="shared" si="10"/>
        <v>0.26063845933948554</v>
      </c>
      <c r="T19">
        <f t="shared" si="11"/>
        <v>303.78220121066892</v>
      </c>
      <c r="U19">
        <f t="shared" si="12"/>
        <v>34.869856014053653</v>
      </c>
      <c r="V19">
        <f t="shared" si="13"/>
        <v>34.713412903225809</v>
      </c>
      <c r="W19">
        <f t="shared" si="14"/>
        <v>5.5593461787395748</v>
      </c>
      <c r="X19">
        <f t="shared" si="15"/>
        <v>65.314671567294596</v>
      </c>
      <c r="Y19">
        <f t="shared" si="16"/>
        <v>3.7288672692913822</v>
      </c>
      <c r="Z19">
        <f t="shared" si="17"/>
        <v>5.7090806396377252</v>
      </c>
      <c r="AA19">
        <f t="shared" si="18"/>
        <v>1.8304789094481926</v>
      </c>
      <c r="AB19">
        <f t="shared" si="19"/>
        <v>-358.16390474258128</v>
      </c>
      <c r="AC19">
        <f t="shared" si="20"/>
        <v>74.641829025013635</v>
      </c>
      <c r="AD19">
        <f t="shared" si="21"/>
        <v>6.0379750287676313</v>
      </c>
      <c r="AE19">
        <f t="shared" si="22"/>
        <v>26.298100521868889</v>
      </c>
      <c r="AF19">
        <f t="shared" si="23"/>
        <v>67.208400654473948</v>
      </c>
      <c r="AG19">
        <f t="shared" si="24"/>
        <v>8.1216304930290537</v>
      </c>
      <c r="AH19">
        <f t="shared" si="25"/>
        <v>67.042251497616945</v>
      </c>
      <c r="AI19">
        <v>519.44332079874857</v>
      </c>
      <c r="AJ19">
        <v>436.49348484848491</v>
      </c>
      <c r="AK19">
        <v>2.259648260566734E-2</v>
      </c>
      <c r="AL19">
        <v>67.08812556595548</v>
      </c>
      <c r="AM19">
        <f t="shared" si="26"/>
        <v>8.49199165484813</v>
      </c>
      <c r="AN19">
        <v>28.814342856711331</v>
      </c>
      <c r="AO19">
        <v>38.556677575757568</v>
      </c>
      <c r="AP19">
        <v>9.1539824133979857E-3</v>
      </c>
      <c r="AQ19">
        <v>78.240210562337964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50196.800329056423</v>
      </c>
      <c r="AW19" t="s">
        <v>445</v>
      </c>
      <c r="AX19">
        <v>5111.67</v>
      </c>
      <c r="AY19">
        <v>545.84117647058815</v>
      </c>
      <c r="AZ19">
        <v>2426.21</v>
      </c>
      <c r="BA19">
        <f t="shared" si="30"/>
        <v>0.77502311157295201</v>
      </c>
      <c r="BB19">
        <v>-5.2289110739545492</v>
      </c>
      <c r="BC19" t="s">
        <v>454</v>
      </c>
      <c r="BD19">
        <v>5099.45</v>
      </c>
      <c r="BE19">
        <v>747.93794117647053</v>
      </c>
      <c r="BF19">
        <v>983.9</v>
      </c>
      <c r="BG19">
        <f t="shared" si="31"/>
        <v>0.2398232125455122</v>
      </c>
      <c r="BH19">
        <v>0.5</v>
      </c>
      <c r="BI19">
        <f t="shared" si="32"/>
        <v>1596.2491752888307</v>
      </c>
      <c r="BJ19">
        <f t="shared" si="33"/>
        <v>67.208400654473948</v>
      </c>
      <c r="BK19">
        <f t="shared" si="34"/>
        <v>191.4088026204459</v>
      </c>
      <c r="BL19">
        <f t="shared" si="35"/>
        <v>4.5379701897306508E-2</v>
      </c>
      <c r="BM19">
        <f t="shared" si="36"/>
        <v>1.4659111698343328</v>
      </c>
      <c r="BN19">
        <f t="shared" si="37"/>
        <v>410.46981761929123</v>
      </c>
      <c r="BO19" t="s">
        <v>407</v>
      </c>
      <c r="BP19">
        <v>0</v>
      </c>
      <c r="BQ19">
        <f t="shared" si="38"/>
        <v>410.46981761929123</v>
      </c>
      <c r="BR19">
        <f t="shared" si="39"/>
        <v>0.58281347939903316</v>
      </c>
      <c r="BS19">
        <f t="shared" si="40"/>
        <v>0.41149222010583103</v>
      </c>
      <c r="BT19">
        <f t="shared" si="41"/>
        <v>0.71552376273838336</v>
      </c>
      <c r="BU19">
        <f t="shared" si="42"/>
        <v>0.53865382033033438</v>
      </c>
      <c r="BV19">
        <f t="shared" si="43"/>
        <v>0.76703569105810587</v>
      </c>
      <c r="BW19">
        <f t="shared" si="44"/>
        <v>0.22582774216924739</v>
      </c>
      <c r="BX19">
        <f t="shared" si="45"/>
        <v>0.77417225783075261</v>
      </c>
      <c r="DG19">
        <f t="shared" si="46"/>
        <v>1899.9580645161291</v>
      </c>
      <c r="DH19">
        <f t="shared" si="47"/>
        <v>1596.2491752888307</v>
      </c>
      <c r="DI19">
        <f t="shared" si="48"/>
        <v>0.84014968809080248</v>
      </c>
      <c r="DJ19">
        <f t="shared" si="49"/>
        <v>0.15988889801524883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1736197293.5</v>
      </c>
      <c r="DQ19">
        <v>419.62064516129033</v>
      </c>
      <c r="DR19">
        <v>504.35464516129031</v>
      </c>
      <c r="DS19">
        <v>38.215877419354847</v>
      </c>
      <c r="DT19">
        <v>28.843</v>
      </c>
      <c r="DU19">
        <v>424.25667741935479</v>
      </c>
      <c r="DV19">
        <v>37.992877419354848</v>
      </c>
      <c r="DW19">
        <v>500.03354838709669</v>
      </c>
      <c r="DX19">
        <v>97.526590322580617</v>
      </c>
      <c r="DY19">
        <v>4.7180609677419348E-2</v>
      </c>
      <c r="DZ19">
        <v>35.193190322580648</v>
      </c>
      <c r="EA19">
        <v>34.713412903225809</v>
      </c>
      <c r="EB19">
        <v>999.90000000000032</v>
      </c>
      <c r="EC19">
        <v>0</v>
      </c>
      <c r="ED19">
        <v>0</v>
      </c>
      <c r="EE19">
        <v>9999.677419354839</v>
      </c>
      <c r="EF19">
        <v>0</v>
      </c>
      <c r="EG19">
        <v>1931.604193548387</v>
      </c>
      <c r="EH19">
        <v>-84.733890322580649</v>
      </c>
      <c r="EI19">
        <v>436.42590322580651</v>
      </c>
      <c r="EJ19">
        <v>519.33364516129029</v>
      </c>
      <c r="EK19">
        <v>9.6636248387096764</v>
      </c>
      <c r="EL19">
        <v>504.35464516129031</v>
      </c>
      <c r="EM19">
        <v>28.843</v>
      </c>
      <c r="EN19">
        <v>3.7554206451612901</v>
      </c>
      <c r="EO19">
        <v>2.8129606451612901</v>
      </c>
      <c r="EP19">
        <v>27.820987096774189</v>
      </c>
      <c r="EQ19">
        <v>22.960335483870971</v>
      </c>
      <c r="ER19">
        <v>1899.9580645161291</v>
      </c>
      <c r="ES19">
        <v>0.9949949677419353</v>
      </c>
      <c r="ET19">
        <v>5.0049738709677426E-3</v>
      </c>
      <c r="EU19">
        <v>0</v>
      </c>
      <c r="EV19">
        <v>747.86241935483872</v>
      </c>
      <c r="EW19">
        <v>5.0010700000000003</v>
      </c>
      <c r="EX19">
        <v>18681.280645161289</v>
      </c>
      <c r="EY19">
        <v>17326.848387096779</v>
      </c>
      <c r="EZ19">
        <v>43.114838709677407</v>
      </c>
      <c r="FA19">
        <v>44.051999999999971</v>
      </c>
      <c r="FB19">
        <v>43.515999999999977</v>
      </c>
      <c r="FC19">
        <v>43.862806451612897</v>
      </c>
      <c r="FD19">
        <v>44.811999999999969</v>
      </c>
      <c r="FE19">
        <v>1885.4696774193551</v>
      </c>
      <c r="FF19">
        <v>9.4800000000000022</v>
      </c>
      <c r="FG19">
        <v>0</v>
      </c>
      <c r="FH19">
        <v>208.5999999046326</v>
      </c>
      <c r="FI19">
        <v>0</v>
      </c>
      <c r="FJ19">
        <v>747.93794117647053</v>
      </c>
      <c r="FK19">
        <v>1.1289215958959049</v>
      </c>
      <c r="FL19">
        <v>465.09804551098671</v>
      </c>
      <c r="FM19">
        <v>18651.705882352941</v>
      </c>
      <c r="FN19">
        <v>10</v>
      </c>
      <c r="FO19">
        <v>1736197333.5</v>
      </c>
      <c r="FP19" t="s">
        <v>455</v>
      </c>
      <c r="FQ19">
        <v>1736195867.0999999</v>
      </c>
      <c r="FR19">
        <v>1736197333.5</v>
      </c>
      <c r="FS19">
        <v>52</v>
      </c>
      <c r="FT19">
        <v>2.7E-2</v>
      </c>
      <c r="FU19">
        <v>-5.0000000000000001E-3</v>
      </c>
      <c r="FV19">
        <v>-4.6360000000000001</v>
      </c>
      <c r="FW19">
        <v>0.223</v>
      </c>
      <c r="FX19">
        <v>415</v>
      </c>
      <c r="FY19">
        <v>29</v>
      </c>
      <c r="FZ19">
        <v>1.32</v>
      </c>
      <c r="GA19">
        <v>0.03</v>
      </c>
      <c r="GB19">
        <v>-84.683387804878052</v>
      </c>
      <c r="GC19">
        <v>-1.4116411149827091</v>
      </c>
      <c r="GD19">
        <v>0.21004603583108111</v>
      </c>
      <c r="GE19">
        <v>0</v>
      </c>
      <c r="GF19">
        <v>747.75432352941175</v>
      </c>
      <c r="GG19">
        <v>2.2463712761653558</v>
      </c>
      <c r="GH19">
        <v>0.32187691478249519</v>
      </c>
      <c r="GI19">
        <v>1</v>
      </c>
      <c r="GJ19">
        <v>9.6378290243902427</v>
      </c>
      <c r="GK19">
        <v>0.68027728222993511</v>
      </c>
      <c r="GL19">
        <v>7.4340320373230309E-2</v>
      </c>
      <c r="GM19">
        <v>0</v>
      </c>
      <c r="GN19">
        <v>1</v>
      </c>
      <c r="GO19">
        <v>3</v>
      </c>
      <c r="GP19" t="s">
        <v>410</v>
      </c>
      <c r="GQ19">
        <v>3.1326800000000001</v>
      </c>
      <c r="GR19">
        <v>2.7239300000000002</v>
      </c>
      <c r="GS19">
        <v>9.0841199999999997E-2</v>
      </c>
      <c r="GT19">
        <v>0.104071</v>
      </c>
      <c r="GU19">
        <v>0.15313299999999999</v>
      </c>
      <c r="GV19">
        <v>0.12676100000000001</v>
      </c>
      <c r="GW19">
        <v>22745.8</v>
      </c>
      <c r="GX19">
        <v>30177.200000000001</v>
      </c>
      <c r="GY19">
        <v>27144.3</v>
      </c>
      <c r="GZ19">
        <v>34645</v>
      </c>
      <c r="HA19">
        <v>33678.9</v>
      </c>
      <c r="HB19">
        <v>38653</v>
      </c>
      <c r="HC19">
        <v>40087.4</v>
      </c>
      <c r="HD19">
        <v>44340.9</v>
      </c>
      <c r="HE19">
        <v>1.9578</v>
      </c>
      <c r="HF19">
        <v>1.7298</v>
      </c>
      <c r="HG19">
        <v>5.1796399999999999E-2</v>
      </c>
      <c r="HH19">
        <v>0</v>
      </c>
      <c r="HI19">
        <v>33.891300000000001</v>
      </c>
      <c r="HJ19">
        <v>999.9</v>
      </c>
      <c r="HK19">
        <v>53.5</v>
      </c>
      <c r="HL19">
        <v>40</v>
      </c>
      <c r="HM19">
        <v>40.668199999999999</v>
      </c>
      <c r="HN19">
        <v>59.920299999999997</v>
      </c>
      <c r="HO19">
        <v>7.7443900000000001</v>
      </c>
      <c r="HP19">
        <v>1</v>
      </c>
      <c r="HQ19">
        <v>0.64823200000000003</v>
      </c>
      <c r="HR19">
        <v>0</v>
      </c>
      <c r="HS19">
        <v>20.278099999999998</v>
      </c>
      <c r="HT19">
        <v>5.2100999999999997</v>
      </c>
      <c r="HU19">
        <v>11.908099999999999</v>
      </c>
      <c r="HV19">
        <v>4.9832000000000001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1.86737</v>
      </c>
      <c r="IC19">
        <v>1.86307</v>
      </c>
      <c r="ID19">
        <v>1.86249</v>
      </c>
      <c r="IE19">
        <v>1.86209</v>
      </c>
      <c r="IF19">
        <v>1.8620300000000001</v>
      </c>
      <c r="IG19">
        <v>1.86267</v>
      </c>
      <c r="IH19">
        <v>1.8635600000000001</v>
      </c>
      <c r="II19">
        <v>1.8615699999999999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-4.6360000000000001</v>
      </c>
      <c r="IX19">
        <v>0.223</v>
      </c>
      <c r="IY19">
        <v>-4.6360476190475879</v>
      </c>
      <c r="IZ19">
        <v>0</v>
      </c>
      <c r="JA19">
        <v>0</v>
      </c>
      <c r="JB19">
        <v>0</v>
      </c>
      <c r="JC19">
        <v>-0.29629017218781878</v>
      </c>
      <c r="JD19">
        <v>2.7492919904454862E-4</v>
      </c>
      <c r="JE19">
        <v>8.6739513355948885E-4</v>
      </c>
      <c r="JF19">
        <v>-8.2500691715147318E-6</v>
      </c>
      <c r="JG19">
        <v>-1</v>
      </c>
      <c r="JH19">
        <v>-1</v>
      </c>
      <c r="JI19">
        <v>2</v>
      </c>
      <c r="JJ19">
        <v>37</v>
      </c>
      <c r="JK19">
        <v>23.9</v>
      </c>
      <c r="JL19">
        <v>3</v>
      </c>
      <c r="JM19">
        <v>1.2658700000000001</v>
      </c>
      <c r="JN19">
        <v>2.5622600000000002</v>
      </c>
      <c r="JO19">
        <v>1.50024</v>
      </c>
      <c r="JP19">
        <v>2.2705099999999998</v>
      </c>
      <c r="JQ19">
        <v>1.4477500000000001</v>
      </c>
      <c r="JR19">
        <v>2.3278799999999999</v>
      </c>
      <c r="JS19">
        <v>43.453600000000002</v>
      </c>
      <c r="JT19">
        <v>14.3072</v>
      </c>
      <c r="JU19">
        <v>18</v>
      </c>
      <c r="JV19">
        <v>548.81700000000001</v>
      </c>
      <c r="JW19">
        <v>413.93400000000003</v>
      </c>
      <c r="JX19">
        <v>34.339100000000002</v>
      </c>
      <c r="JY19">
        <v>35.202100000000002</v>
      </c>
      <c r="JZ19">
        <v>30.000399999999999</v>
      </c>
      <c r="KA19">
        <v>35.139699999999998</v>
      </c>
      <c r="KB19">
        <v>35.104700000000001</v>
      </c>
      <c r="KC19">
        <v>25.315200000000001</v>
      </c>
      <c r="KD19">
        <v>37.952100000000002</v>
      </c>
      <c r="KE19">
        <v>37.206400000000002</v>
      </c>
      <c r="KF19">
        <v>-999.9</v>
      </c>
      <c r="KG19">
        <v>504.61500000000001</v>
      </c>
      <c r="KH19">
        <v>28.744299999999999</v>
      </c>
      <c r="KI19">
        <v>100.18600000000001</v>
      </c>
      <c r="KJ19">
        <v>99.381100000000004</v>
      </c>
    </row>
    <row r="20" spans="1:296" x14ac:dyDescent="0.3">
      <c r="A20">
        <v>4</v>
      </c>
      <c r="B20">
        <v>1736197460</v>
      </c>
      <c r="C20">
        <v>579</v>
      </c>
      <c r="D20" t="s">
        <v>456</v>
      </c>
      <c r="E20" t="s">
        <v>457</v>
      </c>
      <c r="F20">
        <v>15</v>
      </c>
      <c r="H20">
        <v>1736197452.25</v>
      </c>
      <c r="I20">
        <f t="shared" si="0"/>
        <v>8.806633119108986E-3</v>
      </c>
      <c r="J20">
        <f t="shared" si="1"/>
        <v>8.8066331191089855</v>
      </c>
      <c r="K20">
        <f t="shared" si="2"/>
        <v>66.9207751600877</v>
      </c>
      <c r="L20">
        <f t="shared" si="3"/>
        <v>419.44420000000008</v>
      </c>
      <c r="M20">
        <f t="shared" si="4"/>
        <v>185.09506995885991</v>
      </c>
      <c r="N20">
        <f t="shared" si="5"/>
        <v>18.059615309394587</v>
      </c>
      <c r="O20">
        <f t="shared" si="6"/>
        <v>40.92491981250727</v>
      </c>
      <c r="P20">
        <f t="shared" si="7"/>
        <v>0.51514488592150953</v>
      </c>
      <c r="Q20">
        <f t="shared" si="8"/>
        <v>2.8865575373807988</v>
      </c>
      <c r="R20">
        <f t="shared" si="9"/>
        <v>0.46898813911356568</v>
      </c>
      <c r="S20">
        <f t="shared" si="10"/>
        <v>0.2969191860289101</v>
      </c>
      <c r="T20">
        <f t="shared" si="11"/>
        <v>287.90422722966059</v>
      </c>
      <c r="U20">
        <f t="shared" si="12"/>
        <v>34.599162615611284</v>
      </c>
      <c r="V20">
        <f t="shared" si="13"/>
        <v>34.604036666666673</v>
      </c>
      <c r="W20">
        <f t="shared" si="14"/>
        <v>5.5256926516609131</v>
      </c>
      <c r="X20">
        <f t="shared" si="15"/>
        <v>66.214831373479967</v>
      </c>
      <c r="Y20">
        <f t="shared" si="16"/>
        <v>3.7809193814854392</v>
      </c>
      <c r="Z20">
        <f t="shared" si="17"/>
        <v>5.7100793025650658</v>
      </c>
      <c r="AA20">
        <f t="shared" si="18"/>
        <v>1.7447732701754739</v>
      </c>
      <c r="AB20">
        <f t="shared" si="19"/>
        <v>-388.37252055270631</v>
      </c>
      <c r="AC20">
        <f t="shared" si="20"/>
        <v>92.176372948672622</v>
      </c>
      <c r="AD20">
        <f t="shared" si="21"/>
        <v>7.4504224376158907</v>
      </c>
      <c r="AE20">
        <f t="shared" si="22"/>
        <v>-0.8414979367572073</v>
      </c>
      <c r="AF20">
        <f t="shared" si="23"/>
        <v>66.9207751600877</v>
      </c>
      <c r="AG20">
        <f t="shared" si="24"/>
        <v>8.8066331191089855</v>
      </c>
      <c r="AH20">
        <f t="shared" si="25"/>
        <v>67.259057309110347</v>
      </c>
      <c r="AI20">
        <v>519.41770378057834</v>
      </c>
      <c r="AJ20">
        <v>436.21987272727262</v>
      </c>
      <c r="AK20">
        <v>2.0801257997840581E-2</v>
      </c>
      <c r="AL20">
        <v>67.032792538659109</v>
      </c>
      <c r="AM20">
        <f t="shared" si="26"/>
        <v>8.8205551440966072</v>
      </c>
      <c r="AN20">
        <v>28.514578874012042</v>
      </c>
      <c r="AO20">
        <v>38.695038787878786</v>
      </c>
      <c r="AP20">
        <v>-7.9527896640513708E-4</v>
      </c>
      <c r="AQ20">
        <v>78.059411137251658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50218.817950850185</v>
      </c>
      <c r="AW20" t="s">
        <v>445</v>
      </c>
      <c r="AX20">
        <v>5111.67</v>
      </c>
      <c r="AY20">
        <v>545.84117647058815</v>
      </c>
      <c r="AZ20">
        <v>2426.21</v>
      </c>
      <c r="BA20">
        <f t="shared" si="30"/>
        <v>0.77502311157295201</v>
      </c>
      <c r="BB20">
        <v>-5.2289110739545492</v>
      </c>
      <c r="BC20" t="s">
        <v>458</v>
      </c>
      <c r="BD20">
        <v>5101.7</v>
      </c>
      <c r="BE20">
        <v>753.7655882352941</v>
      </c>
      <c r="BF20">
        <v>1022.78</v>
      </c>
      <c r="BG20">
        <f t="shared" si="31"/>
        <v>0.26302275344131276</v>
      </c>
      <c r="BH20">
        <v>0.5</v>
      </c>
      <c r="BI20">
        <f t="shared" si="32"/>
        <v>1512.3292398081146</v>
      </c>
      <c r="BJ20">
        <f t="shared" si="33"/>
        <v>66.9207751600877</v>
      </c>
      <c r="BK20">
        <f t="shared" si="34"/>
        <v>198.88850038206886</v>
      </c>
      <c r="BL20">
        <f t="shared" si="35"/>
        <v>4.7707658051494566E-2</v>
      </c>
      <c r="BM20">
        <f t="shared" si="36"/>
        <v>1.3721719235808287</v>
      </c>
      <c r="BN20">
        <f t="shared" si="37"/>
        <v>417.08433521456612</v>
      </c>
      <c r="BO20" t="s">
        <v>407</v>
      </c>
      <c r="BP20">
        <v>0</v>
      </c>
      <c r="BQ20">
        <f t="shared" si="38"/>
        <v>417.08433521456612</v>
      </c>
      <c r="BR20">
        <f t="shared" si="39"/>
        <v>0.59220522965391764</v>
      </c>
      <c r="BS20">
        <f t="shared" si="40"/>
        <v>0.44414122042627391</v>
      </c>
      <c r="BT20">
        <f t="shared" si="41"/>
        <v>0.69852773502342391</v>
      </c>
      <c r="BU20">
        <f t="shared" si="42"/>
        <v>0.56404385320105166</v>
      </c>
      <c r="BV20">
        <f t="shared" si="43"/>
        <v>0.74635889642426223</v>
      </c>
      <c r="BW20">
        <f t="shared" si="44"/>
        <v>0.24575856016002282</v>
      </c>
      <c r="BX20">
        <f t="shared" si="45"/>
        <v>0.75424143983997716</v>
      </c>
      <c r="DG20">
        <f t="shared" si="46"/>
        <v>1800.0076666666671</v>
      </c>
      <c r="DH20">
        <f t="shared" si="47"/>
        <v>1512.3292398081146</v>
      </c>
      <c r="DI20">
        <f t="shared" si="48"/>
        <v>0.84017933246290666</v>
      </c>
      <c r="DJ20">
        <f t="shared" si="49"/>
        <v>0.15994611165340991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1736197452.25</v>
      </c>
      <c r="DQ20">
        <v>419.44420000000008</v>
      </c>
      <c r="DR20">
        <v>504.18716666666671</v>
      </c>
      <c r="DS20">
        <v>38.75107666666667</v>
      </c>
      <c r="DT20">
        <v>28.591993333333331</v>
      </c>
      <c r="DU20">
        <v>424.38133333333337</v>
      </c>
      <c r="DV20">
        <v>38.237713333333318</v>
      </c>
      <c r="DW20">
        <v>499.96833333333331</v>
      </c>
      <c r="DX20">
        <v>97.520586666666674</v>
      </c>
      <c r="DY20">
        <v>4.8815443333333333E-2</v>
      </c>
      <c r="DZ20">
        <v>35.196353333333327</v>
      </c>
      <c r="EA20">
        <v>34.604036666666673</v>
      </c>
      <c r="EB20">
        <v>999.9000000000002</v>
      </c>
      <c r="EC20">
        <v>0</v>
      </c>
      <c r="ED20">
        <v>0</v>
      </c>
      <c r="EE20">
        <v>10005</v>
      </c>
      <c r="EF20">
        <v>0</v>
      </c>
      <c r="EG20">
        <v>451.66653333333318</v>
      </c>
      <c r="EH20">
        <v>-84.743003333333348</v>
      </c>
      <c r="EI20">
        <v>436.35326666666668</v>
      </c>
      <c r="EJ20">
        <v>519.02713333333338</v>
      </c>
      <c r="EK20">
        <v>10.15908333333333</v>
      </c>
      <c r="EL20">
        <v>504.18716666666671</v>
      </c>
      <c r="EM20">
        <v>28.591993333333331</v>
      </c>
      <c r="EN20">
        <v>3.7790270000000001</v>
      </c>
      <c r="EO20">
        <v>2.788307333333333</v>
      </c>
      <c r="EP20">
        <v>27.928383333333329</v>
      </c>
      <c r="EQ20">
        <v>22.814969999999999</v>
      </c>
      <c r="ER20">
        <v>1800.0076666666671</v>
      </c>
      <c r="ES20">
        <v>0.99400443333333366</v>
      </c>
      <c r="ET20">
        <v>5.9953799999999972E-3</v>
      </c>
      <c r="EU20">
        <v>0</v>
      </c>
      <c r="EV20">
        <v>753.74926666666681</v>
      </c>
      <c r="EW20">
        <v>5.0010700000000003</v>
      </c>
      <c r="EX20">
        <v>18192.19666666667</v>
      </c>
      <c r="EY20">
        <v>16406.613333333331</v>
      </c>
      <c r="EZ20">
        <v>42.928733333333312</v>
      </c>
      <c r="FA20">
        <v>44.311999999999983</v>
      </c>
      <c r="FB20">
        <v>43.691199999999981</v>
      </c>
      <c r="FC20">
        <v>43.512199999999993</v>
      </c>
      <c r="FD20">
        <v>44.832999999999977</v>
      </c>
      <c r="FE20">
        <v>1784.2476666666671</v>
      </c>
      <c r="FF20">
        <v>10.76</v>
      </c>
      <c r="FG20">
        <v>0</v>
      </c>
      <c r="FH20">
        <v>157.79999995231631</v>
      </c>
      <c r="FI20">
        <v>0</v>
      </c>
      <c r="FJ20">
        <v>753.7655882352941</v>
      </c>
      <c r="FK20">
        <v>-0.70686273855184045</v>
      </c>
      <c r="FL20">
        <v>351.07843396743141</v>
      </c>
      <c r="FM20">
        <v>18174.205882352941</v>
      </c>
      <c r="FN20">
        <v>10</v>
      </c>
      <c r="FO20">
        <v>1736197418</v>
      </c>
      <c r="FP20" t="s">
        <v>459</v>
      </c>
      <c r="FQ20">
        <v>1736197412.5</v>
      </c>
      <c r="FR20">
        <v>1736197418</v>
      </c>
      <c r="FS20">
        <v>53</v>
      </c>
      <c r="FT20">
        <v>-0.30099999999999999</v>
      </c>
      <c r="FU20">
        <v>-3.0000000000000001E-3</v>
      </c>
      <c r="FV20">
        <v>-4.9370000000000003</v>
      </c>
      <c r="FW20">
        <v>0.215</v>
      </c>
      <c r="FX20">
        <v>504</v>
      </c>
      <c r="FY20">
        <v>29</v>
      </c>
      <c r="FZ20">
        <v>0.11</v>
      </c>
      <c r="GA20">
        <v>0.03</v>
      </c>
      <c r="GB20">
        <v>-84.904553658536585</v>
      </c>
      <c r="GC20">
        <v>0.7323114982576947</v>
      </c>
      <c r="GD20">
        <v>0.64567508218523351</v>
      </c>
      <c r="GE20">
        <v>1</v>
      </c>
      <c r="GF20">
        <v>753.74652941176475</v>
      </c>
      <c r="GG20">
        <v>0.1904354465440832</v>
      </c>
      <c r="GH20">
        <v>0.18760992625409401</v>
      </c>
      <c r="GI20">
        <v>1</v>
      </c>
      <c r="GJ20">
        <v>10.14283902439024</v>
      </c>
      <c r="GK20">
        <v>0.39808222996514619</v>
      </c>
      <c r="GL20">
        <v>4.5694557919279982E-2</v>
      </c>
      <c r="GM20">
        <v>1</v>
      </c>
      <c r="GN20">
        <v>3</v>
      </c>
      <c r="GO20">
        <v>3</v>
      </c>
      <c r="GP20" t="s">
        <v>428</v>
      </c>
      <c r="GQ20">
        <v>3.1332</v>
      </c>
      <c r="GR20">
        <v>2.7240000000000002</v>
      </c>
      <c r="GS20">
        <v>9.0793200000000004E-2</v>
      </c>
      <c r="GT20">
        <v>0.104049</v>
      </c>
      <c r="GU20">
        <v>0.15343499999999999</v>
      </c>
      <c r="GV20">
        <v>0.12584000000000001</v>
      </c>
      <c r="GW20">
        <v>22739.7</v>
      </c>
      <c r="GX20">
        <v>30167.599999999999</v>
      </c>
      <c r="GY20">
        <v>27136.6</v>
      </c>
      <c r="GZ20">
        <v>34634.6</v>
      </c>
      <c r="HA20">
        <v>33659.800000000003</v>
      </c>
      <c r="HB20">
        <v>38685.1</v>
      </c>
      <c r="HC20">
        <v>40076.800000000003</v>
      </c>
      <c r="HD20">
        <v>44330.400000000001</v>
      </c>
      <c r="HE20">
        <v>1.9572000000000001</v>
      </c>
      <c r="HF20">
        <v>1.7250000000000001</v>
      </c>
      <c r="HG20">
        <v>4.4554499999999997E-2</v>
      </c>
      <c r="HH20">
        <v>0</v>
      </c>
      <c r="HI20">
        <v>33.902900000000002</v>
      </c>
      <c r="HJ20">
        <v>999.9</v>
      </c>
      <c r="HK20">
        <v>52.3</v>
      </c>
      <c r="HL20">
        <v>40.200000000000003</v>
      </c>
      <c r="HM20">
        <v>40.186599999999999</v>
      </c>
      <c r="HN20">
        <v>60.010300000000001</v>
      </c>
      <c r="HO20">
        <v>8.1610600000000009</v>
      </c>
      <c r="HP20">
        <v>1</v>
      </c>
      <c r="HQ20">
        <v>0.66506100000000001</v>
      </c>
      <c r="HR20">
        <v>0</v>
      </c>
      <c r="HS20">
        <v>20.278600000000001</v>
      </c>
      <c r="HT20">
        <v>5.2088999999999999</v>
      </c>
      <c r="HU20">
        <v>11.908099999999999</v>
      </c>
      <c r="HV20">
        <v>4.9816000000000003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1.8674299999999999</v>
      </c>
      <c r="IC20">
        <v>1.8631</v>
      </c>
      <c r="ID20">
        <v>1.86249</v>
      </c>
      <c r="IE20">
        <v>1.86209</v>
      </c>
      <c r="IF20">
        <v>1.86215</v>
      </c>
      <c r="IG20">
        <v>1.86273</v>
      </c>
      <c r="IH20">
        <v>1.8635600000000001</v>
      </c>
      <c r="II20">
        <v>1.8615999999999999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-4.9370000000000003</v>
      </c>
      <c r="IX20">
        <v>0.51180000000000003</v>
      </c>
      <c r="IY20">
        <v>-4.9372999999999374</v>
      </c>
      <c r="IZ20">
        <v>0</v>
      </c>
      <c r="JA20">
        <v>0</v>
      </c>
      <c r="JB20">
        <v>0</v>
      </c>
      <c r="JC20">
        <v>-0.30413881287300581</v>
      </c>
      <c r="JD20">
        <v>2.7492919904454862E-4</v>
      </c>
      <c r="JE20">
        <v>8.6739513355948885E-4</v>
      </c>
      <c r="JF20">
        <v>-8.2500691715147318E-6</v>
      </c>
      <c r="JG20">
        <v>-1</v>
      </c>
      <c r="JH20">
        <v>-1</v>
      </c>
      <c r="JI20">
        <v>2</v>
      </c>
      <c r="JJ20">
        <v>37</v>
      </c>
      <c r="JK20">
        <v>0.8</v>
      </c>
      <c r="JL20">
        <v>0.7</v>
      </c>
      <c r="JM20">
        <v>1.2646500000000001</v>
      </c>
      <c r="JN20">
        <v>2.5537100000000001</v>
      </c>
      <c r="JO20">
        <v>1.50024</v>
      </c>
      <c r="JP20">
        <v>2.2717299999999998</v>
      </c>
      <c r="JQ20">
        <v>1.4477500000000001</v>
      </c>
      <c r="JR20">
        <v>2.4536099999999998</v>
      </c>
      <c r="JS20">
        <v>43.919199999999996</v>
      </c>
      <c r="JT20">
        <v>14.298400000000001</v>
      </c>
      <c r="JU20">
        <v>18</v>
      </c>
      <c r="JV20">
        <v>549.93799999999999</v>
      </c>
      <c r="JW20">
        <v>412.17700000000002</v>
      </c>
      <c r="JX20">
        <v>34.515500000000003</v>
      </c>
      <c r="JY20">
        <v>35.409500000000001</v>
      </c>
      <c r="JZ20">
        <v>30.000699999999998</v>
      </c>
      <c r="KA20">
        <v>35.3262</v>
      </c>
      <c r="KB20">
        <v>35.287100000000002</v>
      </c>
      <c r="KC20">
        <v>25.299800000000001</v>
      </c>
      <c r="KD20">
        <v>38.061199999999999</v>
      </c>
      <c r="KE20">
        <v>33.184699999999999</v>
      </c>
      <c r="KF20">
        <v>-999.9</v>
      </c>
      <c r="KG20">
        <v>504.82900000000001</v>
      </c>
      <c r="KH20">
        <v>28.4194</v>
      </c>
      <c r="KI20">
        <v>100.158</v>
      </c>
      <c r="KJ20">
        <v>99.354799999999997</v>
      </c>
    </row>
    <row r="21" spans="1:296" x14ac:dyDescent="0.3">
      <c r="A21">
        <v>5</v>
      </c>
      <c r="B21">
        <v>1736197587</v>
      </c>
      <c r="C21">
        <v>706</v>
      </c>
      <c r="D21" t="s">
        <v>460</v>
      </c>
      <c r="E21" t="s">
        <v>461</v>
      </c>
      <c r="F21">
        <v>15</v>
      </c>
      <c r="H21">
        <v>1736197579.25</v>
      </c>
      <c r="I21">
        <f t="shared" si="0"/>
        <v>8.9730464719632707E-3</v>
      </c>
      <c r="J21">
        <f t="shared" si="1"/>
        <v>8.9730464719632703</v>
      </c>
      <c r="K21">
        <f t="shared" si="2"/>
        <v>65.945201194583007</v>
      </c>
      <c r="L21">
        <f t="shared" si="3"/>
        <v>419.71236666666658</v>
      </c>
      <c r="M21">
        <f t="shared" si="4"/>
        <v>183.05418792009095</v>
      </c>
      <c r="N21">
        <f t="shared" si="5"/>
        <v>17.860233964532931</v>
      </c>
      <c r="O21">
        <f t="shared" si="6"/>
        <v>40.950502972086134</v>
      </c>
      <c r="P21">
        <f t="shared" si="7"/>
        <v>0.50233571371648766</v>
      </c>
      <c r="Q21">
        <f t="shared" si="8"/>
        <v>2.8845500965911617</v>
      </c>
      <c r="R21">
        <f t="shared" si="9"/>
        <v>0.45831321593612623</v>
      </c>
      <c r="S21">
        <f t="shared" si="10"/>
        <v>0.29007882893040488</v>
      </c>
      <c r="T21">
        <f t="shared" si="11"/>
        <v>271.91118962974389</v>
      </c>
      <c r="U21">
        <f t="shared" si="12"/>
        <v>34.896294075681169</v>
      </c>
      <c r="V21">
        <f t="shared" si="13"/>
        <v>35.028683333333333</v>
      </c>
      <c r="W21">
        <f t="shared" si="14"/>
        <v>5.6573493510034734</v>
      </c>
      <c r="X21">
        <f t="shared" si="15"/>
        <v>65.651422006559173</v>
      </c>
      <c r="Y21">
        <f t="shared" si="16"/>
        <v>3.8400946637361875</v>
      </c>
      <c r="Z21">
        <f t="shared" si="17"/>
        <v>5.8492178027042998</v>
      </c>
      <c r="AA21">
        <f t="shared" si="18"/>
        <v>1.8172546872672859</v>
      </c>
      <c r="AB21">
        <f t="shared" si="19"/>
        <v>-395.71134941358025</v>
      </c>
      <c r="AC21">
        <f t="shared" si="20"/>
        <v>93.886659767303755</v>
      </c>
      <c r="AD21">
        <f t="shared" si="21"/>
        <v>7.6258294000944948</v>
      </c>
      <c r="AE21">
        <f t="shared" si="22"/>
        <v>-22.287670616438092</v>
      </c>
      <c r="AF21">
        <f t="shared" si="23"/>
        <v>65.945201194583007</v>
      </c>
      <c r="AG21">
        <f t="shared" si="24"/>
        <v>8.9730464719632703</v>
      </c>
      <c r="AH21">
        <f t="shared" si="25"/>
        <v>65.500362235688783</v>
      </c>
      <c r="AI21">
        <v>518.51576508627409</v>
      </c>
      <c r="AJ21">
        <v>437.20847272727258</v>
      </c>
      <c r="AK21">
        <v>6.7391293492064491E-2</v>
      </c>
      <c r="AL21">
        <v>67.032834565829148</v>
      </c>
      <c r="AM21">
        <f t="shared" si="26"/>
        <v>9.005042269252634</v>
      </c>
      <c r="AN21">
        <v>29.007278272430948</v>
      </c>
      <c r="AO21">
        <v>39.376129090909103</v>
      </c>
      <c r="AP21">
        <v>2.298212988015223E-3</v>
      </c>
      <c r="AQ21">
        <v>78.059518078186869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50092.382616247072</v>
      </c>
      <c r="AW21" t="s">
        <v>445</v>
      </c>
      <c r="AX21">
        <v>5111.67</v>
      </c>
      <c r="AY21">
        <v>545.84117647058815</v>
      </c>
      <c r="AZ21">
        <v>2426.21</v>
      </c>
      <c r="BA21">
        <f t="shared" si="30"/>
        <v>0.77502311157295201</v>
      </c>
      <c r="BB21">
        <v>-5.2289110739545492</v>
      </c>
      <c r="BC21" t="s">
        <v>462</v>
      </c>
      <c r="BD21">
        <v>5100.3599999999997</v>
      </c>
      <c r="BE21">
        <v>752.07205882352935</v>
      </c>
      <c r="BF21">
        <v>1047.9100000000001</v>
      </c>
      <c r="BG21">
        <f t="shared" si="31"/>
        <v>0.28231235619134343</v>
      </c>
      <c r="BH21">
        <v>0.5</v>
      </c>
      <c r="BI21">
        <f t="shared" si="32"/>
        <v>1428.320199808157</v>
      </c>
      <c r="BJ21">
        <f t="shared" si="33"/>
        <v>65.945201194583007</v>
      </c>
      <c r="BK21">
        <f t="shared" si="34"/>
        <v>201.61622050176561</v>
      </c>
      <c r="BL21">
        <f t="shared" si="35"/>
        <v>4.9830641811336993E-2</v>
      </c>
      <c r="BM21">
        <f t="shared" si="36"/>
        <v>1.3152847095647526</v>
      </c>
      <c r="BN21">
        <f t="shared" si="37"/>
        <v>421.2034325787032</v>
      </c>
      <c r="BO21" t="s">
        <v>407</v>
      </c>
      <c r="BP21">
        <v>0</v>
      </c>
      <c r="BQ21">
        <f t="shared" si="38"/>
        <v>421.2034325787032</v>
      </c>
      <c r="BR21">
        <f t="shared" si="39"/>
        <v>0.59805380941235109</v>
      </c>
      <c r="BS21">
        <f t="shared" si="40"/>
        <v>0.47205176482153699</v>
      </c>
      <c r="BT21">
        <f t="shared" si="41"/>
        <v>0.68742916975712232</v>
      </c>
      <c r="BU21">
        <f t="shared" si="42"/>
        <v>0.58923782420268145</v>
      </c>
      <c r="BV21">
        <f t="shared" si="43"/>
        <v>0.7329944970120067</v>
      </c>
      <c r="BW21">
        <f t="shared" si="44"/>
        <v>0.2643760280214329</v>
      </c>
      <c r="BX21">
        <f t="shared" si="45"/>
        <v>0.7356239719785671</v>
      </c>
      <c r="DG21">
        <f t="shared" si="46"/>
        <v>1700.018333333333</v>
      </c>
      <c r="DH21">
        <f t="shared" si="47"/>
        <v>1428.320199808157</v>
      </c>
      <c r="DI21">
        <f t="shared" si="48"/>
        <v>0.84017929207125652</v>
      </c>
      <c r="DJ21">
        <f t="shared" si="49"/>
        <v>0.15994603369752519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1736197579.25</v>
      </c>
      <c r="DQ21">
        <v>419.71236666666658</v>
      </c>
      <c r="DR21">
        <v>503.3814999999999</v>
      </c>
      <c r="DS21">
        <v>39.358130000000003</v>
      </c>
      <c r="DT21">
        <v>29.012343333333341</v>
      </c>
      <c r="DU21">
        <v>424.57190000000003</v>
      </c>
      <c r="DV21">
        <v>38.833506666666672</v>
      </c>
      <c r="DW21">
        <v>499.90693333333331</v>
      </c>
      <c r="DX21">
        <v>97.520206666666667</v>
      </c>
      <c r="DY21">
        <v>4.780949000000001E-2</v>
      </c>
      <c r="DZ21">
        <v>35.632410000000007</v>
      </c>
      <c r="EA21">
        <v>35.028683333333333</v>
      </c>
      <c r="EB21">
        <v>999.9000000000002</v>
      </c>
      <c r="EC21">
        <v>0</v>
      </c>
      <c r="ED21">
        <v>0</v>
      </c>
      <c r="EE21">
        <v>9993.5</v>
      </c>
      <c r="EF21">
        <v>0</v>
      </c>
      <c r="EG21">
        <v>1448.2426666666661</v>
      </c>
      <c r="EH21">
        <v>-83.669186666666675</v>
      </c>
      <c r="EI21">
        <v>436.9081333333333</v>
      </c>
      <c r="EJ21">
        <v>518.42206666666664</v>
      </c>
      <c r="EK21">
        <v>10.34579666666667</v>
      </c>
      <c r="EL21">
        <v>503.3814999999999</v>
      </c>
      <c r="EM21">
        <v>29.012343333333341</v>
      </c>
      <c r="EN21">
        <v>3.838213000000001</v>
      </c>
      <c r="EO21">
        <v>2.8292890000000002</v>
      </c>
      <c r="EP21">
        <v>28.195096666666661</v>
      </c>
      <c r="EQ21">
        <v>23.055973333333341</v>
      </c>
      <c r="ER21">
        <v>1700.018333333333</v>
      </c>
      <c r="ES21">
        <v>0.9940079666666668</v>
      </c>
      <c r="ET21">
        <v>5.9920053333333374E-3</v>
      </c>
      <c r="EU21">
        <v>0</v>
      </c>
      <c r="EV21">
        <v>752.16640000000007</v>
      </c>
      <c r="EW21">
        <v>5.0010700000000003</v>
      </c>
      <c r="EX21">
        <v>16961.263333333329</v>
      </c>
      <c r="EY21">
        <v>15492.74</v>
      </c>
      <c r="EZ21">
        <v>43.270666666666649</v>
      </c>
      <c r="FA21">
        <v>44.504133333333328</v>
      </c>
      <c r="FB21">
        <v>43.891533333333307</v>
      </c>
      <c r="FC21">
        <v>44.358199999999997</v>
      </c>
      <c r="FD21">
        <v>45.057866666666641</v>
      </c>
      <c r="FE21">
        <v>1684.858333333334</v>
      </c>
      <c r="FF21">
        <v>10.16</v>
      </c>
      <c r="FG21">
        <v>0</v>
      </c>
      <c r="FH21">
        <v>126.19999980926509</v>
      </c>
      <c r="FI21">
        <v>0</v>
      </c>
      <c r="FJ21">
        <v>752.07205882352935</v>
      </c>
      <c r="FK21">
        <v>-3.356617685293684</v>
      </c>
      <c r="FL21">
        <v>2499.6813687175918</v>
      </c>
      <c r="FM21">
        <v>16980.75294117647</v>
      </c>
      <c r="FN21">
        <v>10</v>
      </c>
      <c r="FO21">
        <v>1736197531</v>
      </c>
      <c r="FP21" t="s">
        <v>463</v>
      </c>
      <c r="FQ21">
        <v>1736197526</v>
      </c>
      <c r="FR21">
        <v>1736197531</v>
      </c>
      <c r="FS21">
        <v>54</v>
      </c>
      <c r="FT21">
        <v>7.8E-2</v>
      </c>
      <c r="FU21">
        <v>-7.0000000000000001E-3</v>
      </c>
      <c r="FV21">
        <v>-4.8600000000000003</v>
      </c>
      <c r="FW21">
        <v>0.20699999999999999</v>
      </c>
      <c r="FX21">
        <v>504</v>
      </c>
      <c r="FY21">
        <v>29</v>
      </c>
      <c r="FZ21">
        <v>0.12</v>
      </c>
      <c r="GA21">
        <v>0.04</v>
      </c>
      <c r="GB21">
        <v>-83.654131707317077</v>
      </c>
      <c r="GC21">
        <v>-0.50688710801403991</v>
      </c>
      <c r="GD21">
        <v>0.1868605850973894</v>
      </c>
      <c r="GE21">
        <v>1</v>
      </c>
      <c r="GF21">
        <v>752.2324705882354</v>
      </c>
      <c r="GG21">
        <v>-1.688983958198347</v>
      </c>
      <c r="GH21">
        <v>0.30004296116841778</v>
      </c>
      <c r="GI21">
        <v>1</v>
      </c>
      <c r="GJ21">
        <v>10.322900000000001</v>
      </c>
      <c r="GK21">
        <v>0.42324878048783249</v>
      </c>
      <c r="GL21">
        <v>4.3662888187544872E-2</v>
      </c>
      <c r="GM21">
        <v>1</v>
      </c>
      <c r="GN21">
        <v>3</v>
      </c>
      <c r="GO21">
        <v>3</v>
      </c>
      <c r="GP21" t="s">
        <v>428</v>
      </c>
      <c r="GQ21">
        <v>3.1332499999999999</v>
      </c>
      <c r="GR21">
        <v>2.7239300000000002</v>
      </c>
      <c r="GS21">
        <v>9.0817099999999998E-2</v>
      </c>
      <c r="GT21">
        <v>0.10385800000000001</v>
      </c>
      <c r="GU21">
        <v>0.155169</v>
      </c>
      <c r="GV21">
        <v>0.12718499999999999</v>
      </c>
      <c r="GW21">
        <v>22730.6</v>
      </c>
      <c r="GX21">
        <v>30161.9</v>
      </c>
      <c r="GY21">
        <v>27127.4</v>
      </c>
      <c r="GZ21">
        <v>34622.199999999997</v>
      </c>
      <c r="HA21">
        <v>33582.699999999997</v>
      </c>
      <c r="HB21">
        <v>38614.1</v>
      </c>
      <c r="HC21">
        <v>40064.300000000003</v>
      </c>
      <c r="HD21">
        <v>44316.3</v>
      </c>
      <c r="HE21">
        <v>1.9530000000000001</v>
      </c>
      <c r="HF21">
        <v>1.72</v>
      </c>
      <c r="HG21">
        <v>4.2617299999999997E-2</v>
      </c>
      <c r="HH21">
        <v>0</v>
      </c>
      <c r="HI21">
        <v>34.375100000000003</v>
      </c>
      <c r="HJ21">
        <v>999.9</v>
      </c>
      <c r="HK21">
        <v>51.3</v>
      </c>
      <c r="HL21">
        <v>40.4</v>
      </c>
      <c r="HM21">
        <v>39.8354</v>
      </c>
      <c r="HN21">
        <v>59.880299999999998</v>
      </c>
      <c r="HO21">
        <v>7.9487199999999998</v>
      </c>
      <c r="HP21">
        <v>1</v>
      </c>
      <c r="HQ21">
        <v>0.68371999999999999</v>
      </c>
      <c r="HR21">
        <v>0</v>
      </c>
      <c r="HS21">
        <v>20.2789</v>
      </c>
      <c r="HT21">
        <v>5.2065099999999997</v>
      </c>
      <c r="HU21">
        <v>11.908099999999999</v>
      </c>
      <c r="HV21">
        <v>4.9836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1.8674599999999999</v>
      </c>
      <c r="IC21">
        <v>1.8631</v>
      </c>
      <c r="ID21">
        <v>1.8625799999999999</v>
      </c>
      <c r="IE21">
        <v>1.86212</v>
      </c>
      <c r="IF21">
        <v>1.86212</v>
      </c>
      <c r="IG21">
        <v>1.86267</v>
      </c>
      <c r="IH21">
        <v>1.8635900000000001</v>
      </c>
      <c r="II21">
        <v>1.8615699999999999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-4.8600000000000003</v>
      </c>
      <c r="IX21">
        <v>0.52529999999999999</v>
      </c>
      <c r="IY21">
        <v>-4.8596666666667261</v>
      </c>
      <c r="IZ21">
        <v>0</v>
      </c>
      <c r="JA21">
        <v>0</v>
      </c>
      <c r="JB21">
        <v>0</v>
      </c>
      <c r="JC21">
        <v>-0.31096832226631649</v>
      </c>
      <c r="JD21">
        <v>2.7492919904454862E-4</v>
      </c>
      <c r="JE21">
        <v>8.6739513355948885E-4</v>
      </c>
      <c r="JF21">
        <v>-8.2500691715147318E-6</v>
      </c>
      <c r="JG21">
        <v>-1</v>
      </c>
      <c r="JH21">
        <v>-1</v>
      </c>
      <c r="JI21">
        <v>2</v>
      </c>
      <c r="JJ21">
        <v>37</v>
      </c>
      <c r="JK21">
        <v>1</v>
      </c>
      <c r="JL21">
        <v>0.9</v>
      </c>
      <c r="JM21">
        <v>1.2609900000000001</v>
      </c>
      <c r="JN21">
        <v>2.5561500000000001</v>
      </c>
      <c r="JO21">
        <v>1.50024</v>
      </c>
      <c r="JP21">
        <v>2.2717299999999998</v>
      </c>
      <c r="JQ21">
        <v>1.4477500000000001</v>
      </c>
      <c r="JR21">
        <v>2.3584000000000001</v>
      </c>
      <c r="JS21">
        <v>44.362099999999998</v>
      </c>
      <c r="JT21">
        <v>14.280900000000001</v>
      </c>
      <c r="JU21">
        <v>18</v>
      </c>
      <c r="JV21">
        <v>548.74</v>
      </c>
      <c r="JW21">
        <v>410.43</v>
      </c>
      <c r="JX21">
        <v>34.838099999999997</v>
      </c>
      <c r="JY21">
        <v>35.645000000000003</v>
      </c>
      <c r="JZ21">
        <v>30.001000000000001</v>
      </c>
      <c r="KA21">
        <v>35.5304</v>
      </c>
      <c r="KB21">
        <v>35.491599999999998</v>
      </c>
      <c r="KC21">
        <v>25.2377</v>
      </c>
      <c r="KD21">
        <v>36.666699999999999</v>
      </c>
      <c r="KE21">
        <v>29.320799999999998</v>
      </c>
      <c r="KF21">
        <v>-999.9</v>
      </c>
      <c r="KG21">
        <v>503.38099999999997</v>
      </c>
      <c r="KH21">
        <v>29.069700000000001</v>
      </c>
      <c r="KI21">
        <v>100.126</v>
      </c>
      <c r="KJ21">
        <v>99.321399999999997</v>
      </c>
    </row>
    <row r="22" spans="1:296" x14ac:dyDescent="0.3">
      <c r="A22">
        <v>6</v>
      </c>
      <c r="B22">
        <v>1736197712.5</v>
      </c>
      <c r="C22">
        <v>831.5</v>
      </c>
      <c r="D22" t="s">
        <v>464</v>
      </c>
      <c r="E22" t="s">
        <v>465</v>
      </c>
      <c r="F22">
        <v>15</v>
      </c>
      <c r="H22">
        <v>1736197704.5</v>
      </c>
      <c r="I22">
        <f t="shared" si="0"/>
        <v>8.8248483524311187E-3</v>
      </c>
      <c r="J22">
        <f t="shared" si="1"/>
        <v>8.8248483524311183</v>
      </c>
      <c r="K22">
        <f t="shared" si="2"/>
        <v>62.340505079365855</v>
      </c>
      <c r="L22">
        <f t="shared" si="3"/>
        <v>419.79183870967751</v>
      </c>
      <c r="M22">
        <f t="shared" si="4"/>
        <v>193.97503035599897</v>
      </c>
      <c r="N22">
        <f t="shared" si="5"/>
        <v>18.924160135688915</v>
      </c>
      <c r="O22">
        <f t="shared" si="6"/>
        <v>40.954796938643931</v>
      </c>
      <c r="P22">
        <f t="shared" si="7"/>
        <v>0.49856814260356619</v>
      </c>
      <c r="Q22">
        <f t="shared" si="8"/>
        <v>2.8836217782711318</v>
      </c>
      <c r="R22">
        <f t="shared" si="9"/>
        <v>0.45516032874312612</v>
      </c>
      <c r="S22">
        <f t="shared" si="10"/>
        <v>0.28805962375090727</v>
      </c>
      <c r="T22">
        <f t="shared" si="11"/>
        <v>240.00617376070261</v>
      </c>
      <c r="U22">
        <f t="shared" si="12"/>
        <v>34.894628245371784</v>
      </c>
      <c r="V22">
        <f t="shared" si="13"/>
        <v>35.12367096774193</v>
      </c>
      <c r="W22">
        <f t="shared" si="14"/>
        <v>5.6871694685985537</v>
      </c>
      <c r="X22">
        <f t="shared" si="15"/>
        <v>65.933641528018043</v>
      </c>
      <c r="Y22">
        <f t="shared" si="16"/>
        <v>3.8884660357321525</v>
      </c>
      <c r="Z22">
        <f t="shared" si="17"/>
        <v>5.8975447823244771</v>
      </c>
      <c r="AA22">
        <f t="shared" si="18"/>
        <v>1.7987034328664011</v>
      </c>
      <c r="AB22">
        <f t="shared" si="19"/>
        <v>-389.17581234221234</v>
      </c>
      <c r="AC22">
        <f t="shared" si="20"/>
        <v>102.3074160128803</v>
      </c>
      <c r="AD22">
        <f t="shared" si="21"/>
        <v>8.322356408566602</v>
      </c>
      <c r="AE22">
        <f t="shared" si="22"/>
        <v>-38.539866160062829</v>
      </c>
      <c r="AF22">
        <f t="shared" si="23"/>
        <v>62.340505079365855</v>
      </c>
      <c r="AG22">
        <f t="shared" si="24"/>
        <v>8.8248483524311183</v>
      </c>
      <c r="AH22">
        <f t="shared" si="25"/>
        <v>62.474257770241458</v>
      </c>
      <c r="AI22">
        <v>514.73486859415664</v>
      </c>
      <c r="AJ22">
        <v>437.11551515151501</v>
      </c>
      <c r="AK22">
        <v>6.9088930889416575E-2</v>
      </c>
      <c r="AL22">
        <v>67.032613763395247</v>
      </c>
      <c r="AM22">
        <f t="shared" si="26"/>
        <v>8.842193535471468</v>
      </c>
      <c r="AN22">
        <v>29.668967627745829</v>
      </c>
      <c r="AO22">
        <v>39.844282424242422</v>
      </c>
      <c r="AP22">
        <v>2.221374760863874E-3</v>
      </c>
      <c r="AQ22">
        <v>78.058610810432086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50042.345006164192</v>
      </c>
      <c r="AW22" t="s">
        <v>445</v>
      </c>
      <c r="AX22">
        <v>5111.67</v>
      </c>
      <c r="AY22">
        <v>545.84117647058815</v>
      </c>
      <c r="AZ22">
        <v>2426.21</v>
      </c>
      <c r="BA22">
        <f t="shared" si="30"/>
        <v>0.77502311157295201</v>
      </c>
      <c r="BB22">
        <v>-5.2289110739545492</v>
      </c>
      <c r="BC22" t="s">
        <v>466</v>
      </c>
      <c r="BD22">
        <v>5101.74</v>
      </c>
      <c r="BE22">
        <v>752.76064705882345</v>
      </c>
      <c r="BF22">
        <v>1111.32</v>
      </c>
      <c r="BG22">
        <f t="shared" si="31"/>
        <v>0.3226427608080269</v>
      </c>
      <c r="BH22">
        <v>0.5</v>
      </c>
      <c r="BI22">
        <f t="shared" si="32"/>
        <v>1260.3111481628243</v>
      </c>
      <c r="BJ22">
        <f t="shared" si="33"/>
        <v>62.340505079365855</v>
      </c>
      <c r="BK22">
        <f t="shared" si="34"/>
        <v>203.31513416019394</v>
      </c>
      <c r="BL22">
        <f t="shared" si="35"/>
        <v>5.361328133280216E-2</v>
      </c>
      <c r="BM22">
        <f t="shared" si="36"/>
        <v>1.1831785624302633</v>
      </c>
      <c r="BN22">
        <f t="shared" si="37"/>
        <v>431.09020867346061</v>
      </c>
      <c r="BO22" t="s">
        <v>407</v>
      </c>
      <c r="BP22">
        <v>0</v>
      </c>
      <c r="BQ22">
        <f t="shared" si="38"/>
        <v>431.09020867346061</v>
      </c>
      <c r="BR22">
        <f t="shared" si="39"/>
        <v>0.61209173894696334</v>
      </c>
      <c r="BS22">
        <f t="shared" si="40"/>
        <v>0.52711503893697109</v>
      </c>
      <c r="BT22">
        <f t="shared" si="41"/>
        <v>0.65905315847011881</v>
      </c>
      <c r="BU22">
        <f t="shared" si="42"/>
        <v>0.63408095585833557</v>
      </c>
      <c r="BV22">
        <f t="shared" si="43"/>
        <v>0.69927238930284952</v>
      </c>
      <c r="BW22">
        <f t="shared" si="44"/>
        <v>0.30186770923547135</v>
      </c>
      <c r="BX22">
        <f t="shared" si="45"/>
        <v>0.69813229076452865</v>
      </c>
      <c r="DG22">
        <f t="shared" si="46"/>
        <v>1499.9961290322581</v>
      </c>
      <c r="DH22">
        <f t="shared" si="47"/>
        <v>1260.3111481628243</v>
      </c>
      <c r="DI22">
        <f t="shared" si="48"/>
        <v>0.84020960039138926</v>
      </c>
      <c r="DJ22">
        <f t="shared" si="49"/>
        <v>0.16000452875538132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1736197704.5</v>
      </c>
      <c r="DQ22">
        <v>419.79183870967751</v>
      </c>
      <c r="DR22">
        <v>499.0508064516128</v>
      </c>
      <c r="DS22">
        <v>39.857267741935487</v>
      </c>
      <c r="DT22">
        <v>29.68890967741935</v>
      </c>
      <c r="DU22">
        <v>424.72512903225811</v>
      </c>
      <c r="DV22">
        <v>39.333012903225807</v>
      </c>
      <c r="DW22">
        <v>499.96945161290319</v>
      </c>
      <c r="DX22">
        <v>97.511758064516115</v>
      </c>
      <c r="DY22">
        <v>4.8016000000000003E-2</v>
      </c>
      <c r="DZ22">
        <v>35.781758064516133</v>
      </c>
      <c r="EA22">
        <v>35.12367096774193</v>
      </c>
      <c r="EB22">
        <v>999.90000000000032</v>
      </c>
      <c r="EC22">
        <v>0</v>
      </c>
      <c r="ED22">
        <v>0</v>
      </c>
      <c r="EE22">
        <v>9989.032258064517</v>
      </c>
      <c r="EF22">
        <v>0</v>
      </c>
      <c r="EG22">
        <v>2170.1387096774188</v>
      </c>
      <c r="EH22">
        <v>-79.258883870967736</v>
      </c>
      <c r="EI22">
        <v>437.21822580645153</v>
      </c>
      <c r="EJ22">
        <v>514.32032258064521</v>
      </c>
      <c r="EK22">
        <v>10.168358064516131</v>
      </c>
      <c r="EL22">
        <v>499.0508064516128</v>
      </c>
      <c r="EM22">
        <v>29.68890967741935</v>
      </c>
      <c r="EN22">
        <v>3.8865529032258062</v>
      </c>
      <c r="EO22">
        <v>2.8950180645161292</v>
      </c>
      <c r="EP22">
        <v>28.41025483870968</v>
      </c>
      <c r="EQ22">
        <v>23.436116129032261</v>
      </c>
      <c r="ER22">
        <v>1499.9961290322581</v>
      </c>
      <c r="ES22">
        <v>0.99299138709677437</v>
      </c>
      <c r="ET22">
        <v>7.0087835483870972E-3</v>
      </c>
      <c r="EU22">
        <v>0</v>
      </c>
      <c r="EV22">
        <v>752.88906451612922</v>
      </c>
      <c r="EW22">
        <v>5.0010700000000003</v>
      </c>
      <c r="EX22">
        <v>15836.1</v>
      </c>
      <c r="EY22">
        <v>13659.07741935484</v>
      </c>
      <c r="EZ22">
        <v>43.307999999999971</v>
      </c>
      <c r="FA22">
        <v>44.875</v>
      </c>
      <c r="FB22">
        <v>44.061999999999969</v>
      </c>
      <c r="FC22">
        <v>44.729677419354843</v>
      </c>
      <c r="FD22">
        <v>45.263999999999989</v>
      </c>
      <c r="FE22">
        <v>1484.516129032258</v>
      </c>
      <c r="FF22">
        <v>10.48</v>
      </c>
      <c r="FG22">
        <v>0</v>
      </c>
      <c r="FH22">
        <v>125</v>
      </c>
      <c r="FI22">
        <v>0</v>
      </c>
      <c r="FJ22">
        <v>752.76064705882345</v>
      </c>
      <c r="FK22">
        <v>-2.2382353091391929</v>
      </c>
      <c r="FL22">
        <v>-503.62744469516048</v>
      </c>
      <c r="FM22">
        <v>15845.67647058824</v>
      </c>
      <c r="FN22">
        <v>10</v>
      </c>
      <c r="FO22">
        <v>1736197670</v>
      </c>
      <c r="FP22" t="s">
        <v>467</v>
      </c>
      <c r="FQ22">
        <v>1736197670</v>
      </c>
      <c r="FR22">
        <v>1736197670</v>
      </c>
      <c r="FS22">
        <v>55</v>
      </c>
      <c r="FT22">
        <v>-7.2999999999999995E-2</v>
      </c>
      <c r="FU22">
        <v>-1.4999999999999999E-2</v>
      </c>
      <c r="FV22">
        <v>-4.9329999999999998</v>
      </c>
      <c r="FW22">
        <v>0.215</v>
      </c>
      <c r="FX22">
        <v>500</v>
      </c>
      <c r="FY22">
        <v>29</v>
      </c>
      <c r="FZ22">
        <v>0.12</v>
      </c>
      <c r="GA22">
        <v>0.03</v>
      </c>
      <c r="GB22">
        <v>-79.336789999999993</v>
      </c>
      <c r="GC22">
        <v>-0.38805253283267888</v>
      </c>
      <c r="GD22">
        <v>0.49952617539023969</v>
      </c>
      <c r="GE22">
        <v>1</v>
      </c>
      <c r="GF22">
        <v>752.94076470588243</v>
      </c>
      <c r="GG22">
        <v>-1.327333846459722</v>
      </c>
      <c r="GH22">
        <v>0.28210303278636872</v>
      </c>
      <c r="GI22">
        <v>1</v>
      </c>
      <c r="GJ22">
        <v>10.17332</v>
      </c>
      <c r="GK22">
        <v>-8.2225891182010305E-2</v>
      </c>
      <c r="GL22">
        <v>2.202167341506997E-2</v>
      </c>
      <c r="GM22">
        <v>1</v>
      </c>
      <c r="GN22">
        <v>3</v>
      </c>
      <c r="GO22">
        <v>3</v>
      </c>
      <c r="GP22" t="s">
        <v>428</v>
      </c>
      <c r="GQ22">
        <v>3.1335199999999999</v>
      </c>
      <c r="GR22">
        <v>2.7238699999999998</v>
      </c>
      <c r="GS22">
        <v>9.0759199999999998E-2</v>
      </c>
      <c r="GT22">
        <v>0.103186</v>
      </c>
      <c r="GU22">
        <v>0.15634100000000001</v>
      </c>
      <c r="GV22">
        <v>0.129413</v>
      </c>
      <c r="GW22">
        <v>22723.200000000001</v>
      </c>
      <c r="GX22">
        <v>30170.799999999999</v>
      </c>
      <c r="GY22">
        <v>27117.9</v>
      </c>
      <c r="GZ22">
        <v>34608.1</v>
      </c>
      <c r="HA22">
        <v>33526.800000000003</v>
      </c>
      <c r="HB22">
        <v>38503</v>
      </c>
      <c r="HC22">
        <v>40050.199999999997</v>
      </c>
      <c r="HD22">
        <v>44301.1</v>
      </c>
      <c r="HE22">
        <v>1.9516</v>
      </c>
      <c r="HF22">
        <v>1.7168000000000001</v>
      </c>
      <c r="HG22">
        <v>3.6627100000000003E-2</v>
      </c>
      <c r="HH22">
        <v>0</v>
      </c>
      <c r="HI22">
        <v>34.542400000000001</v>
      </c>
      <c r="HJ22">
        <v>999.9</v>
      </c>
      <c r="HK22">
        <v>50.4</v>
      </c>
      <c r="HL22">
        <v>40.700000000000003</v>
      </c>
      <c r="HM22">
        <v>39.771799999999999</v>
      </c>
      <c r="HN22">
        <v>59.710299999999997</v>
      </c>
      <c r="HO22">
        <v>7.5721100000000003</v>
      </c>
      <c r="HP22">
        <v>1</v>
      </c>
      <c r="HQ22">
        <v>0.70215399999999994</v>
      </c>
      <c r="HR22">
        <v>0</v>
      </c>
      <c r="HS22">
        <v>20.2804</v>
      </c>
      <c r="HT22">
        <v>5.2065099999999997</v>
      </c>
      <c r="HU22">
        <v>11.908099999999999</v>
      </c>
      <c r="HV22">
        <v>4.9820000000000002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1.8674599999999999</v>
      </c>
      <c r="IC22">
        <v>1.8631</v>
      </c>
      <c r="ID22">
        <v>1.8626100000000001</v>
      </c>
      <c r="IE22">
        <v>1.8621799999999999</v>
      </c>
      <c r="IF22">
        <v>1.8621799999999999</v>
      </c>
      <c r="IG22">
        <v>1.86276</v>
      </c>
      <c r="IH22">
        <v>1.8635900000000001</v>
      </c>
      <c r="II22">
        <v>1.8615999999999999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-4.9329999999999998</v>
      </c>
      <c r="IX22">
        <v>0.52400000000000002</v>
      </c>
      <c r="IY22">
        <v>-4.9331904761903624</v>
      </c>
      <c r="IZ22">
        <v>0</v>
      </c>
      <c r="JA22">
        <v>0</v>
      </c>
      <c r="JB22">
        <v>0</v>
      </c>
      <c r="JC22">
        <v>-0.32646061281641642</v>
      </c>
      <c r="JD22">
        <v>2.7492919904454862E-4</v>
      </c>
      <c r="JE22">
        <v>8.6739513355948885E-4</v>
      </c>
      <c r="JF22">
        <v>-8.2500691715147318E-6</v>
      </c>
      <c r="JG22">
        <v>-1</v>
      </c>
      <c r="JH22">
        <v>-1</v>
      </c>
      <c r="JI22">
        <v>2</v>
      </c>
      <c r="JJ22">
        <v>37</v>
      </c>
      <c r="JK22">
        <v>0.7</v>
      </c>
      <c r="JL22">
        <v>0.7</v>
      </c>
      <c r="JM22">
        <v>1.25488</v>
      </c>
      <c r="JN22">
        <v>2.5695800000000002</v>
      </c>
      <c r="JO22">
        <v>1.50024</v>
      </c>
      <c r="JP22">
        <v>2.2717299999999998</v>
      </c>
      <c r="JQ22">
        <v>1.4477500000000001</v>
      </c>
      <c r="JR22">
        <v>2.36816</v>
      </c>
      <c r="JS22">
        <v>44.697299999999998</v>
      </c>
      <c r="JT22">
        <v>14.263400000000001</v>
      </c>
      <c r="JU22">
        <v>18</v>
      </c>
      <c r="JV22">
        <v>549.56200000000001</v>
      </c>
      <c r="JW22">
        <v>409.78699999999998</v>
      </c>
      <c r="JX22">
        <v>35.201300000000003</v>
      </c>
      <c r="JY22">
        <v>35.896700000000003</v>
      </c>
      <c r="JZ22">
        <v>30.000299999999999</v>
      </c>
      <c r="KA22">
        <v>35.749600000000001</v>
      </c>
      <c r="KB22">
        <v>35.698599999999999</v>
      </c>
      <c r="KC22">
        <v>25.0868</v>
      </c>
      <c r="KD22">
        <v>34.478700000000003</v>
      </c>
      <c r="KE22">
        <v>26.390999999999998</v>
      </c>
      <c r="KF22">
        <v>-999.9</v>
      </c>
      <c r="KG22">
        <v>499.483</v>
      </c>
      <c r="KH22">
        <v>29.753299999999999</v>
      </c>
      <c r="KI22">
        <v>100.09099999999999</v>
      </c>
      <c r="KJ22">
        <v>99.284499999999994</v>
      </c>
    </row>
    <row r="23" spans="1:296" x14ac:dyDescent="0.3">
      <c r="A23">
        <v>7</v>
      </c>
      <c r="B23">
        <v>1736197835.5</v>
      </c>
      <c r="C23">
        <v>954.5</v>
      </c>
      <c r="D23" t="s">
        <v>468</v>
      </c>
      <c r="E23" t="s">
        <v>469</v>
      </c>
      <c r="F23">
        <v>15</v>
      </c>
      <c r="H23">
        <v>1736197827.5</v>
      </c>
      <c r="I23">
        <f t="shared" si="0"/>
        <v>8.8517048366488892E-3</v>
      </c>
      <c r="J23">
        <f t="shared" si="1"/>
        <v>8.8517048366488886</v>
      </c>
      <c r="K23">
        <f t="shared" si="2"/>
        <v>60.620168768657933</v>
      </c>
      <c r="L23">
        <f t="shared" si="3"/>
        <v>419.82929032258068</v>
      </c>
      <c r="M23">
        <f t="shared" si="4"/>
        <v>195.33669877222007</v>
      </c>
      <c r="N23">
        <f t="shared" si="5"/>
        <v>19.057066589897946</v>
      </c>
      <c r="O23">
        <f t="shared" si="6"/>
        <v>40.958584804366751</v>
      </c>
      <c r="P23">
        <f t="shared" si="7"/>
        <v>0.48755889332205676</v>
      </c>
      <c r="Q23">
        <f t="shared" si="8"/>
        <v>2.8826492104918202</v>
      </c>
      <c r="R23">
        <f t="shared" si="9"/>
        <v>0.44594862263398494</v>
      </c>
      <c r="S23">
        <f t="shared" si="10"/>
        <v>0.28215987980589713</v>
      </c>
      <c r="T23">
        <f t="shared" si="11"/>
        <v>224.0049617934618</v>
      </c>
      <c r="U23">
        <f t="shared" si="12"/>
        <v>35.060364406134262</v>
      </c>
      <c r="V23">
        <f t="shared" si="13"/>
        <v>35.386206451612907</v>
      </c>
      <c r="W23">
        <f t="shared" si="14"/>
        <v>5.7703006804045343</v>
      </c>
      <c r="X23">
        <f t="shared" si="15"/>
        <v>65.663926676866396</v>
      </c>
      <c r="Y23">
        <f t="shared" si="16"/>
        <v>3.9300872020060975</v>
      </c>
      <c r="Z23">
        <f t="shared" si="17"/>
        <v>5.9851541034792843</v>
      </c>
      <c r="AA23">
        <f t="shared" si="18"/>
        <v>1.8402134783984367</v>
      </c>
      <c r="AB23">
        <f t="shared" si="19"/>
        <v>-390.36018329621601</v>
      </c>
      <c r="AC23">
        <f t="shared" si="20"/>
        <v>103.130670020222</v>
      </c>
      <c r="AD23">
        <f t="shared" si="21"/>
        <v>8.413828381942384</v>
      </c>
      <c r="AE23">
        <f t="shared" si="22"/>
        <v>-54.810723100589826</v>
      </c>
      <c r="AF23">
        <f t="shared" si="23"/>
        <v>60.620168768657933</v>
      </c>
      <c r="AG23">
        <f t="shared" si="24"/>
        <v>8.8517048366488886</v>
      </c>
      <c r="AH23">
        <f t="shared" si="25"/>
        <v>60.47816558233351</v>
      </c>
      <c r="AI23">
        <v>512.38930924458964</v>
      </c>
      <c r="AJ23">
        <v>437.56970909090887</v>
      </c>
      <c r="AK23">
        <v>-1.5796556101782099E-3</v>
      </c>
      <c r="AL23">
        <v>67.087880349225102</v>
      </c>
      <c r="AM23">
        <f t="shared" si="26"/>
        <v>8.8135702767749393</v>
      </c>
      <c r="AN23">
        <v>30.16524248867</v>
      </c>
      <c r="AO23">
        <v>40.301658787878758</v>
      </c>
      <c r="AP23">
        <v>2.3503834545444101E-3</v>
      </c>
      <c r="AQ23">
        <v>78.243345993163317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49972.159314605706</v>
      </c>
      <c r="AW23" t="s">
        <v>445</v>
      </c>
      <c r="AX23">
        <v>5111.67</v>
      </c>
      <c r="AY23">
        <v>545.84117647058815</v>
      </c>
      <c r="AZ23">
        <v>2426.21</v>
      </c>
      <c r="BA23">
        <f t="shared" si="30"/>
        <v>0.77502311157295201</v>
      </c>
      <c r="BB23">
        <v>-5.2289110739545492</v>
      </c>
      <c r="BC23" t="s">
        <v>470</v>
      </c>
      <c r="BD23">
        <v>5101.8500000000004</v>
      </c>
      <c r="BE23">
        <v>751.5080588235295</v>
      </c>
      <c r="BF23">
        <v>1147.3399999999999</v>
      </c>
      <c r="BG23">
        <f t="shared" si="31"/>
        <v>0.34499968725614938</v>
      </c>
      <c r="BH23">
        <v>0.5</v>
      </c>
      <c r="BI23">
        <f t="shared" si="32"/>
        <v>1176.2893062275996</v>
      </c>
      <c r="BJ23">
        <f t="shared" si="33"/>
        <v>60.620168768657933</v>
      </c>
      <c r="BK23">
        <f t="shared" si="34"/>
        <v>202.9097213856374</v>
      </c>
      <c r="BL23">
        <f t="shared" si="35"/>
        <v>5.5980343860978179E-2</v>
      </c>
      <c r="BM23">
        <f t="shared" si="36"/>
        <v>1.1146390782156992</v>
      </c>
      <c r="BN23">
        <f t="shared" si="37"/>
        <v>436.40480305544753</v>
      </c>
      <c r="BO23" t="s">
        <v>407</v>
      </c>
      <c r="BP23">
        <v>0</v>
      </c>
      <c r="BQ23">
        <f t="shared" si="38"/>
        <v>436.40480305544753</v>
      </c>
      <c r="BR23">
        <f t="shared" si="39"/>
        <v>0.61963776818079419</v>
      </c>
      <c r="BS23">
        <f t="shared" si="40"/>
        <v>0.55677640223422831</v>
      </c>
      <c r="BT23">
        <f t="shared" si="41"/>
        <v>0.64271115683272428</v>
      </c>
      <c r="BU23">
        <f t="shared" si="42"/>
        <v>0.6580760023001363</v>
      </c>
      <c r="BV23">
        <f t="shared" si="43"/>
        <v>0.68011657287509619</v>
      </c>
      <c r="BW23">
        <f t="shared" si="44"/>
        <v>0.32332307459660392</v>
      </c>
      <c r="BX23">
        <f t="shared" si="45"/>
        <v>0.67667692540339608</v>
      </c>
      <c r="DG23">
        <f t="shared" si="46"/>
        <v>1399.9954838709671</v>
      </c>
      <c r="DH23">
        <f t="shared" si="47"/>
        <v>1176.2893062275996</v>
      </c>
      <c r="DI23">
        <f t="shared" si="48"/>
        <v>0.84020935765819527</v>
      </c>
      <c r="DJ23">
        <f t="shared" si="49"/>
        <v>0.16000406028031702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1736197827.5</v>
      </c>
      <c r="DQ23">
        <v>419.82929032258068</v>
      </c>
      <c r="DR23">
        <v>497.03541935483872</v>
      </c>
      <c r="DS23">
        <v>40.283758064516128</v>
      </c>
      <c r="DT23">
        <v>30.089280645161288</v>
      </c>
      <c r="DU23">
        <v>424.81793548387088</v>
      </c>
      <c r="DV23">
        <v>39.753187096774191</v>
      </c>
      <c r="DW23">
        <v>499.98393548387111</v>
      </c>
      <c r="DX23">
        <v>97.51391290322583</v>
      </c>
      <c r="DY23">
        <v>4.6180564516129043E-2</v>
      </c>
      <c r="DZ23">
        <v>36.049812903225813</v>
      </c>
      <c r="EA23">
        <v>35.386206451612907</v>
      </c>
      <c r="EB23">
        <v>999.90000000000032</v>
      </c>
      <c r="EC23">
        <v>0</v>
      </c>
      <c r="ED23">
        <v>0</v>
      </c>
      <c r="EE23">
        <v>9983.2258064516136</v>
      </c>
      <c r="EF23">
        <v>0</v>
      </c>
      <c r="EG23">
        <v>1923.34935483871</v>
      </c>
      <c r="EH23">
        <v>-77.206106451612897</v>
      </c>
      <c r="EI23">
        <v>437.45148387096771</v>
      </c>
      <c r="EJ23">
        <v>512.45470967741937</v>
      </c>
      <c r="EK23">
        <v>10.194487096774189</v>
      </c>
      <c r="EL23">
        <v>497.03541935483872</v>
      </c>
      <c r="EM23">
        <v>30.089280645161288</v>
      </c>
      <c r="EN23">
        <v>3.928227419354839</v>
      </c>
      <c r="EO23">
        <v>2.9341235483870962</v>
      </c>
      <c r="EP23">
        <v>28.593896774193549</v>
      </c>
      <c r="EQ23">
        <v>23.6587</v>
      </c>
      <c r="ER23">
        <v>1399.9954838709671</v>
      </c>
      <c r="ES23">
        <v>0.99299619354838731</v>
      </c>
      <c r="ET23">
        <v>7.0039277419354836E-3</v>
      </c>
      <c r="EU23">
        <v>0</v>
      </c>
      <c r="EV23">
        <v>751.59987096774182</v>
      </c>
      <c r="EW23">
        <v>5.0010700000000003</v>
      </c>
      <c r="EX23">
        <v>14520.154838709679</v>
      </c>
      <c r="EY23">
        <v>12745.451612903231</v>
      </c>
      <c r="EZ23">
        <v>43.311999999999969</v>
      </c>
      <c r="FA23">
        <v>45.186999999999969</v>
      </c>
      <c r="FB23">
        <v>44.164999999999978</v>
      </c>
      <c r="FC23">
        <v>45.07225806451612</v>
      </c>
      <c r="FD23">
        <v>45.378999999999998</v>
      </c>
      <c r="FE23">
        <v>1385.225483870968</v>
      </c>
      <c r="FF23">
        <v>9.7699999999999978</v>
      </c>
      <c r="FG23">
        <v>0</v>
      </c>
      <c r="FH23">
        <v>122.2000000476837</v>
      </c>
      <c r="FI23">
        <v>0</v>
      </c>
      <c r="FJ23">
        <v>751.5080588235295</v>
      </c>
      <c r="FK23">
        <v>-3.1446078528148882</v>
      </c>
      <c r="FL23">
        <v>3277.5980296845651</v>
      </c>
      <c r="FM23">
        <v>14595.75294117647</v>
      </c>
      <c r="FN23">
        <v>10</v>
      </c>
      <c r="FO23">
        <v>1736197784</v>
      </c>
      <c r="FP23" t="s">
        <v>471</v>
      </c>
      <c r="FQ23">
        <v>1736197784</v>
      </c>
      <c r="FR23">
        <v>1736197782</v>
      </c>
      <c r="FS23">
        <v>56</v>
      </c>
      <c r="FT23">
        <v>-5.6000000000000001E-2</v>
      </c>
      <c r="FU23">
        <v>-6.0000000000000001E-3</v>
      </c>
      <c r="FV23">
        <v>-4.9889999999999999</v>
      </c>
      <c r="FW23">
        <v>0.22</v>
      </c>
      <c r="FX23">
        <v>497</v>
      </c>
      <c r="FY23">
        <v>30</v>
      </c>
      <c r="FZ23">
        <v>7.0000000000000007E-2</v>
      </c>
      <c r="GA23">
        <v>0.03</v>
      </c>
      <c r="GB23">
        <v>-77.158057500000012</v>
      </c>
      <c r="GC23">
        <v>-0.27006641651027241</v>
      </c>
      <c r="GD23">
        <v>0.26614112317293359</v>
      </c>
      <c r="GE23">
        <v>1</v>
      </c>
      <c r="GF23">
        <v>751.64805882352937</v>
      </c>
      <c r="GG23">
        <v>-1.684675329341847</v>
      </c>
      <c r="GH23">
        <v>0.27695624427998061</v>
      </c>
      <c r="GI23">
        <v>1</v>
      </c>
      <c r="GJ23">
        <v>10.2010825</v>
      </c>
      <c r="GK23">
        <v>-0.21992757973734781</v>
      </c>
      <c r="GL23">
        <v>4.7132663236337448E-2</v>
      </c>
      <c r="GM23">
        <v>1</v>
      </c>
      <c r="GN23">
        <v>3</v>
      </c>
      <c r="GO23">
        <v>3</v>
      </c>
      <c r="GP23" t="s">
        <v>428</v>
      </c>
      <c r="GQ23">
        <v>3.1335099999999998</v>
      </c>
      <c r="GR23">
        <v>2.7234099999999999</v>
      </c>
      <c r="GS23">
        <v>9.0775999999999996E-2</v>
      </c>
      <c r="GT23">
        <v>0.102768</v>
      </c>
      <c r="GU23">
        <v>0.15749099999999999</v>
      </c>
      <c r="GV23">
        <v>0.130744</v>
      </c>
      <c r="GW23">
        <v>22718.799999999999</v>
      </c>
      <c r="GX23">
        <v>30177.4</v>
      </c>
      <c r="GY23">
        <v>27114</v>
      </c>
      <c r="GZ23">
        <v>34600.6</v>
      </c>
      <c r="HA23">
        <v>33478.300000000003</v>
      </c>
      <c r="HB23">
        <v>38438</v>
      </c>
      <c r="HC23">
        <v>40044.699999999997</v>
      </c>
      <c r="HD23">
        <v>44293.4</v>
      </c>
      <c r="HE23">
        <v>1.9508000000000001</v>
      </c>
      <c r="HF23">
        <v>1.7141999999999999</v>
      </c>
      <c r="HG23">
        <v>3.8772800000000003E-2</v>
      </c>
      <c r="HH23">
        <v>0</v>
      </c>
      <c r="HI23">
        <v>34.788800000000002</v>
      </c>
      <c r="HJ23">
        <v>999.9</v>
      </c>
      <c r="HK23">
        <v>49.5</v>
      </c>
      <c r="HL23">
        <v>40.9</v>
      </c>
      <c r="HM23">
        <v>39.481200000000001</v>
      </c>
      <c r="HN23">
        <v>58.810299999999998</v>
      </c>
      <c r="HO23">
        <v>7.5320499999999999</v>
      </c>
      <c r="HP23">
        <v>1</v>
      </c>
      <c r="HQ23">
        <v>0.71408499999999997</v>
      </c>
      <c r="HR23">
        <v>0</v>
      </c>
      <c r="HS23">
        <v>20.281199999999998</v>
      </c>
      <c r="HT23">
        <v>5.2088999999999999</v>
      </c>
      <c r="HU23">
        <v>11.908099999999999</v>
      </c>
      <c r="HV23">
        <v>4.9828000000000001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1.8674299999999999</v>
      </c>
      <c r="IC23">
        <v>1.8631</v>
      </c>
      <c r="ID23">
        <v>1.8626100000000001</v>
      </c>
      <c r="IE23">
        <v>1.8621799999999999</v>
      </c>
      <c r="IF23">
        <v>1.8621799999999999</v>
      </c>
      <c r="IG23">
        <v>1.86276</v>
      </c>
      <c r="IH23">
        <v>1.8636200000000001</v>
      </c>
      <c r="II23">
        <v>1.8616600000000001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-4.9889999999999999</v>
      </c>
      <c r="IX23">
        <v>0.53129999999999999</v>
      </c>
      <c r="IY23">
        <v>-4.9886999999998807</v>
      </c>
      <c r="IZ23">
        <v>0</v>
      </c>
      <c r="JA23">
        <v>0</v>
      </c>
      <c r="JB23">
        <v>0</v>
      </c>
      <c r="JC23">
        <v>-0.3328166333826923</v>
      </c>
      <c r="JD23">
        <v>2.7492919904454862E-4</v>
      </c>
      <c r="JE23">
        <v>8.6739513355948885E-4</v>
      </c>
      <c r="JF23">
        <v>-8.2500691715147318E-6</v>
      </c>
      <c r="JG23">
        <v>-1</v>
      </c>
      <c r="JH23">
        <v>-1</v>
      </c>
      <c r="JI23">
        <v>2</v>
      </c>
      <c r="JJ23">
        <v>37</v>
      </c>
      <c r="JK23">
        <v>0.9</v>
      </c>
      <c r="JL23">
        <v>0.9</v>
      </c>
      <c r="JM23">
        <v>1.24878</v>
      </c>
      <c r="JN23">
        <v>2.5659200000000002</v>
      </c>
      <c r="JO23">
        <v>1.50024</v>
      </c>
      <c r="JP23">
        <v>2.2717299999999998</v>
      </c>
      <c r="JQ23">
        <v>1.4477500000000001</v>
      </c>
      <c r="JR23">
        <v>2.34375</v>
      </c>
      <c r="JS23">
        <v>45.006900000000002</v>
      </c>
      <c r="JT23">
        <v>14.2546</v>
      </c>
      <c r="JU23">
        <v>18</v>
      </c>
      <c r="JV23">
        <v>550.35199999999998</v>
      </c>
      <c r="JW23">
        <v>409.25099999999998</v>
      </c>
      <c r="JX23">
        <v>35.515000000000001</v>
      </c>
      <c r="JY23">
        <v>36.072800000000001</v>
      </c>
      <c r="JZ23">
        <v>30.000399999999999</v>
      </c>
      <c r="KA23">
        <v>35.914400000000001</v>
      </c>
      <c r="KB23">
        <v>35.8658</v>
      </c>
      <c r="KC23">
        <v>24.9955</v>
      </c>
      <c r="KD23">
        <v>33.025500000000001</v>
      </c>
      <c r="KE23">
        <v>24.172499999999999</v>
      </c>
      <c r="KF23">
        <v>-999.9</v>
      </c>
      <c r="KG23">
        <v>497.05900000000003</v>
      </c>
      <c r="KH23">
        <v>30.2456</v>
      </c>
      <c r="KI23">
        <v>100.077</v>
      </c>
      <c r="KJ23">
        <v>99.265500000000003</v>
      </c>
    </row>
    <row r="24" spans="1:296" x14ac:dyDescent="0.3">
      <c r="A24">
        <v>8</v>
      </c>
      <c r="B24">
        <v>1736197970</v>
      </c>
      <c r="C24">
        <v>1089</v>
      </c>
      <c r="D24" t="s">
        <v>472</v>
      </c>
      <c r="E24" t="s">
        <v>473</v>
      </c>
      <c r="F24">
        <v>15</v>
      </c>
      <c r="H24">
        <v>1736197962.25</v>
      </c>
      <c r="I24">
        <f t="shared" si="0"/>
        <v>8.6141191751902164E-3</v>
      </c>
      <c r="J24">
        <f t="shared" si="1"/>
        <v>8.6141191751902166</v>
      </c>
      <c r="K24">
        <f t="shared" si="2"/>
        <v>55.548776327363228</v>
      </c>
      <c r="L24">
        <f t="shared" si="3"/>
        <v>419.81369999999998</v>
      </c>
      <c r="M24">
        <f t="shared" si="4"/>
        <v>203.77934712971967</v>
      </c>
      <c r="N24">
        <f t="shared" si="5"/>
        <v>19.881345130337632</v>
      </c>
      <c r="O24">
        <f t="shared" si="6"/>
        <v>40.958326629788068</v>
      </c>
      <c r="P24">
        <f t="shared" si="7"/>
        <v>0.46411302602591636</v>
      </c>
      <c r="Q24">
        <f t="shared" si="8"/>
        <v>2.8850847129242787</v>
      </c>
      <c r="R24">
        <f t="shared" si="9"/>
        <v>0.42627127799129932</v>
      </c>
      <c r="S24">
        <f t="shared" si="10"/>
        <v>0.26956189127350688</v>
      </c>
      <c r="T24">
        <f t="shared" si="11"/>
        <v>192.07049110643371</v>
      </c>
      <c r="U24">
        <f t="shared" si="12"/>
        <v>35.17353129492038</v>
      </c>
      <c r="V24">
        <f t="shared" si="13"/>
        <v>35.640726666666673</v>
      </c>
      <c r="W24">
        <f t="shared" si="14"/>
        <v>5.8518998863579972</v>
      </c>
      <c r="X24">
        <f t="shared" si="15"/>
        <v>65.622955199731919</v>
      </c>
      <c r="Y24">
        <f t="shared" si="16"/>
        <v>3.9796766359997395</v>
      </c>
      <c r="Z24">
        <f t="shared" si="17"/>
        <v>6.0644581212276725</v>
      </c>
      <c r="AA24">
        <f t="shared" si="18"/>
        <v>1.8722232503582577</v>
      </c>
      <c r="AB24">
        <f t="shared" si="19"/>
        <v>-379.88265562588856</v>
      </c>
      <c r="AC24">
        <f t="shared" si="20"/>
        <v>100.91583469152452</v>
      </c>
      <c r="AD24">
        <f t="shared" si="21"/>
        <v>8.2459526373623682</v>
      </c>
      <c r="AE24">
        <f t="shared" si="22"/>
        <v>-78.650377190567966</v>
      </c>
      <c r="AF24">
        <f t="shared" si="23"/>
        <v>55.548776327363228</v>
      </c>
      <c r="AG24">
        <f t="shared" si="24"/>
        <v>8.6141191751902166</v>
      </c>
      <c r="AH24">
        <f t="shared" si="25"/>
        <v>56.151334092409904</v>
      </c>
      <c r="AI24">
        <v>506.80176100065307</v>
      </c>
      <c r="AJ24">
        <v>437.48979393939391</v>
      </c>
      <c r="AK24">
        <v>-4.3536675364439878E-2</v>
      </c>
      <c r="AL24">
        <v>67.088460200280096</v>
      </c>
      <c r="AM24">
        <f t="shared" si="26"/>
        <v>8.6986072673950581</v>
      </c>
      <c r="AN24">
        <v>30.933426496879559</v>
      </c>
      <c r="AO24">
        <v>40.862195151515117</v>
      </c>
      <c r="AP24">
        <v>1.4120962620107881E-2</v>
      </c>
      <c r="AQ24">
        <v>78.244617666480067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50000.608205013123</v>
      </c>
      <c r="AW24" t="s">
        <v>445</v>
      </c>
      <c r="AX24">
        <v>5111.67</v>
      </c>
      <c r="AY24">
        <v>545.84117647058815</v>
      </c>
      <c r="AZ24">
        <v>2426.21</v>
      </c>
      <c r="BA24">
        <f t="shared" si="30"/>
        <v>0.77502311157295201</v>
      </c>
      <c r="BB24">
        <v>-5.2289110739545492</v>
      </c>
      <c r="BC24" t="s">
        <v>474</v>
      </c>
      <c r="BD24">
        <v>5101.97</v>
      </c>
      <c r="BE24">
        <v>749.94076470588243</v>
      </c>
      <c r="BF24">
        <v>1229.22</v>
      </c>
      <c r="BG24">
        <f t="shared" si="31"/>
        <v>0.3899051718114882</v>
      </c>
      <c r="BH24">
        <v>0.5</v>
      </c>
      <c r="BI24">
        <f t="shared" si="32"/>
        <v>1008.2708397442661</v>
      </c>
      <c r="BJ24">
        <f t="shared" si="33"/>
        <v>55.548776327363228</v>
      </c>
      <c r="BK24">
        <f t="shared" si="34"/>
        <v>196.56500750150079</v>
      </c>
      <c r="BL24">
        <f t="shared" si="35"/>
        <v>6.0279128390476104E-2</v>
      </c>
      <c r="BM24">
        <f t="shared" si="36"/>
        <v>0.97378012072696507</v>
      </c>
      <c r="BN24">
        <f t="shared" si="37"/>
        <v>447.74917340086142</v>
      </c>
      <c r="BO24" t="s">
        <v>407</v>
      </c>
      <c r="BP24">
        <v>0</v>
      </c>
      <c r="BQ24">
        <f t="shared" si="38"/>
        <v>447.74917340086142</v>
      </c>
      <c r="BR24">
        <f t="shared" si="39"/>
        <v>0.6357452909968424</v>
      </c>
      <c r="BS24">
        <f t="shared" si="40"/>
        <v>0.61330406584706398</v>
      </c>
      <c r="BT24">
        <f t="shared" si="41"/>
        <v>0.60501071535369111</v>
      </c>
      <c r="BU24">
        <f t="shared" si="42"/>
        <v>0.70133755801622366</v>
      </c>
      <c r="BV24">
        <f t="shared" si="43"/>
        <v>0.63657192409373997</v>
      </c>
      <c r="BW24">
        <f t="shared" si="44"/>
        <v>0.36617077167969081</v>
      </c>
      <c r="BX24">
        <f t="shared" si="45"/>
        <v>0.63382922832030919</v>
      </c>
      <c r="DG24">
        <f t="shared" si="46"/>
        <v>1199.981</v>
      </c>
      <c r="DH24">
        <f t="shared" si="47"/>
        <v>1008.2708397442661</v>
      </c>
      <c r="DI24">
        <f t="shared" si="48"/>
        <v>0.8402390035711117</v>
      </c>
      <c r="DJ24">
        <f t="shared" si="49"/>
        <v>0.16006127689224556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1736197962.25</v>
      </c>
      <c r="DQ24">
        <v>419.81369999999998</v>
      </c>
      <c r="DR24">
        <v>490.81706666666668</v>
      </c>
      <c r="DS24">
        <v>40.790796666666672</v>
      </c>
      <c r="DT24">
        <v>30.87477333333333</v>
      </c>
      <c r="DU24">
        <v>424.76546666666661</v>
      </c>
      <c r="DV24">
        <v>40.254890000000003</v>
      </c>
      <c r="DW24">
        <v>499.96306666666658</v>
      </c>
      <c r="DX24">
        <v>97.51603333333334</v>
      </c>
      <c r="DY24">
        <v>4.7068179999999987E-2</v>
      </c>
      <c r="DZ24">
        <v>36.289533333333338</v>
      </c>
      <c r="EA24">
        <v>35.640726666666673</v>
      </c>
      <c r="EB24">
        <v>999.9000000000002</v>
      </c>
      <c r="EC24">
        <v>0</v>
      </c>
      <c r="ED24">
        <v>0</v>
      </c>
      <c r="EE24">
        <v>9997</v>
      </c>
      <c r="EF24">
        <v>0</v>
      </c>
      <c r="EG24">
        <v>2219.2955666666671</v>
      </c>
      <c r="EH24">
        <v>-71.003173333333322</v>
      </c>
      <c r="EI24">
        <v>437.66646666666662</v>
      </c>
      <c r="EJ24">
        <v>506.45346666666671</v>
      </c>
      <c r="EK24">
        <v>9.9160189999999986</v>
      </c>
      <c r="EL24">
        <v>490.81706666666668</v>
      </c>
      <c r="EM24">
        <v>30.87477333333333</v>
      </c>
      <c r="EN24">
        <v>3.977757</v>
      </c>
      <c r="EO24">
        <v>3.0107843333333331</v>
      </c>
      <c r="EP24">
        <v>28.809946666666669</v>
      </c>
      <c r="EQ24">
        <v>24.087663333333339</v>
      </c>
      <c r="ER24">
        <v>1199.981</v>
      </c>
      <c r="ES24">
        <v>0.9919990666666666</v>
      </c>
      <c r="ET24">
        <v>8.0005830000000003E-3</v>
      </c>
      <c r="EU24">
        <v>0</v>
      </c>
      <c r="EV24">
        <v>750.04813333333323</v>
      </c>
      <c r="EW24">
        <v>5.0010700000000003</v>
      </c>
      <c r="EX24">
        <v>13543.34</v>
      </c>
      <c r="EY24">
        <v>10913.77666666667</v>
      </c>
      <c r="EZ24">
        <v>43.241599999999998</v>
      </c>
      <c r="FA24">
        <v>45.311999999999983</v>
      </c>
      <c r="FB24">
        <v>44.235300000000009</v>
      </c>
      <c r="FC24">
        <v>45.25</v>
      </c>
      <c r="FD24">
        <v>45.3645</v>
      </c>
      <c r="FE24">
        <v>1185.421</v>
      </c>
      <c r="FF24">
        <v>9.56</v>
      </c>
      <c r="FG24">
        <v>0</v>
      </c>
      <c r="FH24">
        <v>134</v>
      </c>
      <c r="FI24">
        <v>0</v>
      </c>
      <c r="FJ24">
        <v>749.94076470588243</v>
      </c>
      <c r="FK24">
        <v>-0.84117651132488791</v>
      </c>
      <c r="FL24">
        <v>360.14706070252589</v>
      </c>
      <c r="FM24">
        <v>13536.61176470588</v>
      </c>
      <c r="FN24">
        <v>10</v>
      </c>
      <c r="FO24">
        <v>1736197928</v>
      </c>
      <c r="FP24" t="s">
        <v>475</v>
      </c>
      <c r="FQ24">
        <v>1736197928</v>
      </c>
      <c r="FR24">
        <v>1736197926.5</v>
      </c>
      <c r="FS24">
        <v>57</v>
      </c>
      <c r="FT24">
        <v>3.6999999999999998E-2</v>
      </c>
      <c r="FU24">
        <v>-0.01</v>
      </c>
      <c r="FV24">
        <v>-4.952</v>
      </c>
      <c r="FW24">
        <v>0.23300000000000001</v>
      </c>
      <c r="FX24">
        <v>491</v>
      </c>
      <c r="FY24">
        <v>31</v>
      </c>
      <c r="FZ24">
        <v>0.11</v>
      </c>
      <c r="GA24">
        <v>0.04</v>
      </c>
      <c r="GB24">
        <v>-71.119714634146334</v>
      </c>
      <c r="GC24">
        <v>0.61579233449464221</v>
      </c>
      <c r="GD24">
        <v>0.54382994452892142</v>
      </c>
      <c r="GE24">
        <v>1</v>
      </c>
      <c r="GF24">
        <v>750.11088235294119</v>
      </c>
      <c r="GG24">
        <v>-1.834071821611972</v>
      </c>
      <c r="GH24">
        <v>0.27616701731612697</v>
      </c>
      <c r="GI24">
        <v>1</v>
      </c>
      <c r="GJ24">
        <v>9.9320939024390249</v>
      </c>
      <c r="GK24">
        <v>-0.32529428571429331</v>
      </c>
      <c r="GL24">
        <v>3.7402464629763807E-2</v>
      </c>
      <c r="GM24">
        <v>1</v>
      </c>
      <c r="GN24">
        <v>3</v>
      </c>
      <c r="GO24">
        <v>3</v>
      </c>
      <c r="GP24" t="s">
        <v>428</v>
      </c>
      <c r="GQ24">
        <v>3.1332800000000001</v>
      </c>
      <c r="GR24">
        <v>2.72228</v>
      </c>
      <c r="GS24">
        <v>9.0690300000000001E-2</v>
      </c>
      <c r="GT24">
        <v>0.10186099999999999</v>
      </c>
      <c r="GU24">
        <v>0.15886900000000001</v>
      </c>
      <c r="GV24">
        <v>0.13285</v>
      </c>
      <c r="GW24">
        <v>22714.7</v>
      </c>
      <c r="GX24">
        <v>30199.5</v>
      </c>
      <c r="GY24">
        <v>27107.200000000001</v>
      </c>
      <c r="GZ24">
        <v>34592.1</v>
      </c>
      <c r="HA24">
        <v>33417.300000000003</v>
      </c>
      <c r="HB24">
        <v>38336.6</v>
      </c>
      <c r="HC24">
        <v>40035.1</v>
      </c>
      <c r="HD24">
        <v>44283</v>
      </c>
      <c r="HE24">
        <v>1.9486000000000001</v>
      </c>
      <c r="HF24">
        <v>1.7128000000000001</v>
      </c>
      <c r="HG24">
        <v>3.9488099999999998E-2</v>
      </c>
      <c r="HH24">
        <v>0</v>
      </c>
      <c r="HI24">
        <v>35.049399999999999</v>
      </c>
      <c r="HJ24">
        <v>999.9</v>
      </c>
      <c r="HK24">
        <v>48.7</v>
      </c>
      <c r="HL24">
        <v>41.1</v>
      </c>
      <c r="HM24">
        <v>39.255000000000003</v>
      </c>
      <c r="HN24">
        <v>58.600299999999997</v>
      </c>
      <c r="HO24">
        <v>7.4599399999999996</v>
      </c>
      <c r="HP24">
        <v>1</v>
      </c>
      <c r="HQ24">
        <v>0.72664600000000001</v>
      </c>
      <c r="HR24">
        <v>0</v>
      </c>
      <c r="HS24">
        <v>20.2821</v>
      </c>
      <c r="HT24">
        <v>5.2100999999999997</v>
      </c>
      <c r="HU24">
        <v>11.908099999999999</v>
      </c>
      <c r="HV24">
        <v>4.9832000000000001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1.8675200000000001</v>
      </c>
      <c r="IC24">
        <v>1.8631</v>
      </c>
      <c r="ID24">
        <v>1.8626400000000001</v>
      </c>
      <c r="IE24">
        <v>1.8621799999999999</v>
      </c>
      <c r="IF24">
        <v>1.86215</v>
      </c>
      <c r="IG24">
        <v>1.86276</v>
      </c>
      <c r="IH24">
        <v>1.86368</v>
      </c>
      <c r="II24">
        <v>1.8615699999999999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-4.952</v>
      </c>
      <c r="IX24">
        <v>0.53779999999999994</v>
      </c>
      <c r="IY24">
        <v>-4.9518000000000484</v>
      </c>
      <c r="IZ24">
        <v>0</v>
      </c>
      <c r="JA24">
        <v>0</v>
      </c>
      <c r="JB24">
        <v>0</v>
      </c>
      <c r="JC24">
        <v>-0.34257370977216378</v>
      </c>
      <c r="JD24">
        <v>2.7492919904454862E-4</v>
      </c>
      <c r="JE24">
        <v>8.6739513355948885E-4</v>
      </c>
      <c r="JF24">
        <v>-8.2500691715147318E-6</v>
      </c>
      <c r="JG24">
        <v>-1</v>
      </c>
      <c r="JH24">
        <v>-1</v>
      </c>
      <c r="JI24">
        <v>2</v>
      </c>
      <c r="JJ24">
        <v>37</v>
      </c>
      <c r="JK24">
        <v>0.7</v>
      </c>
      <c r="JL24">
        <v>0.7</v>
      </c>
      <c r="JM24">
        <v>1.2377899999999999</v>
      </c>
      <c r="JN24">
        <v>2.5671400000000002</v>
      </c>
      <c r="JO24">
        <v>1.50024</v>
      </c>
      <c r="JP24">
        <v>2.2729499999999998</v>
      </c>
      <c r="JQ24">
        <v>1.4477500000000001</v>
      </c>
      <c r="JR24">
        <v>2.31812</v>
      </c>
      <c r="JS24">
        <v>45.290399999999998</v>
      </c>
      <c r="JT24">
        <v>14.2371</v>
      </c>
      <c r="JU24">
        <v>18</v>
      </c>
      <c r="JV24">
        <v>550.16200000000003</v>
      </c>
      <c r="JW24">
        <v>409.38099999999997</v>
      </c>
      <c r="JX24">
        <v>35.780500000000004</v>
      </c>
      <c r="JY24">
        <v>36.237299999999998</v>
      </c>
      <c r="JZ24">
        <v>30.000699999999998</v>
      </c>
      <c r="KA24">
        <v>36.077100000000002</v>
      </c>
      <c r="KB24">
        <v>36.024299999999997</v>
      </c>
      <c r="KC24">
        <v>24.767900000000001</v>
      </c>
      <c r="KD24">
        <v>31.5138</v>
      </c>
      <c r="KE24">
        <v>22.305099999999999</v>
      </c>
      <c r="KF24">
        <v>-999.9</v>
      </c>
      <c r="KG24">
        <v>491.303</v>
      </c>
      <c r="KH24">
        <v>30.9268</v>
      </c>
      <c r="KI24">
        <v>100.05200000000001</v>
      </c>
      <c r="KJ24">
        <v>99.241699999999994</v>
      </c>
    </row>
    <row r="25" spans="1:296" x14ac:dyDescent="0.3">
      <c r="A25">
        <v>9</v>
      </c>
      <c r="B25">
        <v>1736198131.5</v>
      </c>
      <c r="C25">
        <v>1250.5</v>
      </c>
      <c r="D25" t="s">
        <v>476</v>
      </c>
      <c r="E25" t="s">
        <v>477</v>
      </c>
      <c r="F25">
        <v>15</v>
      </c>
      <c r="H25">
        <v>1736198123.75</v>
      </c>
      <c r="I25">
        <f t="shared" si="0"/>
        <v>8.2944447666386863E-3</v>
      </c>
      <c r="J25">
        <f t="shared" si="1"/>
        <v>8.2944447666386871</v>
      </c>
      <c r="K25">
        <f t="shared" si="2"/>
        <v>49.232494344120177</v>
      </c>
      <c r="L25">
        <f t="shared" si="3"/>
        <v>419.87049999999999</v>
      </c>
      <c r="M25">
        <f t="shared" si="4"/>
        <v>218.64899925002669</v>
      </c>
      <c r="N25">
        <f t="shared" si="5"/>
        <v>21.335684435207572</v>
      </c>
      <c r="O25">
        <f t="shared" si="6"/>
        <v>40.970800334690885</v>
      </c>
      <c r="P25">
        <f t="shared" si="7"/>
        <v>0.44245631130738389</v>
      </c>
      <c r="Q25">
        <f t="shared" si="8"/>
        <v>2.8848492203756919</v>
      </c>
      <c r="R25">
        <f t="shared" si="9"/>
        <v>0.40792047907256451</v>
      </c>
      <c r="S25">
        <f t="shared" si="10"/>
        <v>0.25782819683896341</v>
      </c>
      <c r="T25">
        <f t="shared" si="11"/>
        <v>160.17592154419637</v>
      </c>
      <c r="U25">
        <f t="shared" si="12"/>
        <v>35.247542428222793</v>
      </c>
      <c r="V25">
        <f t="shared" si="13"/>
        <v>35.837850000000003</v>
      </c>
      <c r="W25">
        <f t="shared" si="14"/>
        <v>5.9157847586692522</v>
      </c>
      <c r="X25">
        <f t="shared" si="15"/>
        <v>65.846930188254447</v>
      </c>
      <c r="Y25">
        <f t="shared" si="16"/>
        <v>4.0327958863733615</v>
      </c>
      <c r="Z25">
        <f t="shared" si="17"/>
        <v>6.1245009825723322</v>
      </c>
      <c r="AA25">
        <f t="shared" si="18"/>
        <v>1.8829888722958907</v>
      </c>
      <c r="AB25">
        <f t="shared" si="19"/>
        <v>-365.78501420876609</v>
      </c>
      <c r="AC25">
        <f t="shared" si="20"/>
        <v>98.196744637577268</v>
      </c>
      <c r="AD25">
        <f t="shared" si="21"/>
        <v>8.0391160188758306</v>
      </c>
      <c r="AE25">
        <f t="shared" si="22"/>
        <v>-99.373232008116616</v>
      </c>
      <c r="AF25">
        <f t="shared" si="23"/>
        <v>49.232494344120177</v>
      </c>
      <c r="AG25">
        <f t="shared" si="24"/>
        <v>8.2944447666386871</v>
      </c>
      <c r="AH25">
        <f t="shared" si="25"/>
        <v>49.440333107268536</v>
      </c>
      <c r="AI25">
        <v>498.92708632635038</v>
      </c>
      <c r="AJ25">
        <v>438.00244242424219</v>
      </c>
      <c r="AK25">
        <v>-6.9722190838016965E-2</v>
      </c>
      <c r="AL25">
        <v>67.087598372931168</v>
      </c>
      <c r="AM25">
        <f t="shared" si="26"/>
        <v>8.2768459706923601</v>
      </c>
      <c r="AN25">
        <v>31.736341383992389</v>
      </c>
      <c r="AO25">
        <v>41.30429757575758</v>
      </c>
      <c r="AP25">
        <v>-7.676721906378579E-3</v>
      </c>
      <c r="AQ25">
        <v>78.24357863528607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49965.42149724521</v>
      </c>
      <c r="AW25" t="s">
        <v>445</v>
      </c>
      <c r="AX25">
        <v>5111.67</v>
      </c>
      <c r="AY25">
        <v>545.84117647058815</v>
      </c>
      <c r="AZ25">
        <v>2426.21</v>
      </c>
      <c r="BA25">
        <f t="shared" si="30"/>
        <v>0.77502311157295201</v>
      </c>
      <c r="BB25">
        <v>-5.2289110739545492</v>
      </c>
      <c r="BC25" t="s">
        <v>478</v>
      </c>
      <c r="BD25">
        <v>5104.07</v>
      </c>
      <c r="BE25">
        <v>744.96464705882352</v>
      </c>
      <c r="BF25">
        <v>1327.36</v>
      </c>
      <c r="BG25">
        <f t="shared" si="31"/>
        <v>0.4387621692240059</v>
      </c>
      <c r="BH25">
        <v>0.5</v>
      </c>
      <c r="BI25">
        <f t="shared" si="32"/>
        <v>840.29752142186317</v>
      </c>
      <c r="BJ25">
        <f t="shared" si="33"/>
        <v>49.232494344120177</v>
      </c>
      <c r="BK25">
        <f t="shared" si="34"/>
        <v>184.34538164630612</v>
      </c>
      <c r="BL25">
        <f t="shared" si="35"/>
        <v>6.4812050529342108E-2</v>
      </c>
      <c r="BM25">
        <f t="shared" si="36"/>
        <v>0.82784625120540034</v>
      </c>
      <c r="BN25">
        <f t="shared" si="37"/>
        <v>460.14153095854158</v>
      </c>
      <c r="BO25" t="s">
        <v>407</v>
      </c>
      <c r="BP25">
        <v>0</v>
      </c>
      <c r="BQ25">
        <f t="shared" si="38"/>
        <v>460.14153095854158</v>
      </c>
      <c r="BR25">
        <f t="shared" si="39"/>
        <v>0.65334081864863969</v>
      </c>
      <c r="BS25">
        <f t="shared" si="40"/>
        <v>0.67156705459110133</v>
      </c>
      <c r="BT25">
        <f t="shared" si="41"/>
        <v>0.55890729000691208</v>
      </c>
      <c r="BU25">
        <f t="shared" si="42"/>
        <v>0.74520962951477576</v>
      </c>
      <c r="BV25">
        <f t="shared" si="43"/>
        <v>0.58438003558125495</v>
      </c>
      <c r="BW25">
        <f t="shared" si="44"/>
        <v>0.41480611712365928</v>
      </c>
      <c r="BX25">
        <f t="shared" si="45"/>
        <v>0.58519388287634078</v>
      </c>
      <c r="DG25">
        <f t="shared" si="46"/>
        <v>999.9988333333331</v>
      </c>
      <c r="DH25">
        <f t="shared" si="47"/>
        <v>840.29752142186317</v>
      </c>
      <c r="DI25">
        <f t="shared" si="48"/>
        <v>0.84029850177011545</v>
      </c>
      <c r="DJ25">
        <f t="shared" si="49"/>
        <v>0.1601761084163229</v>
      </c>
      <c r="DK25">
        <v>6</v>
      </c>
      <c r="DL25">
        <v>0.5</v>
      </c>
      <c r="DM25" t="s">
        <v>408</v>
      </c>
      <c r="DN25">
        <v>2</v>
      </c>
      <c r="DO25" t="b">
        <v>0</v>
      </c>
      <c r="DP25">
        <v>1736198123.75</v>
      </c>
      <c r="DQ25">
        <v>419.87049999999999</v>
      </c>
      <c r="DR25">
        <v>483.13170000000002</v>
      </c>
      <c r="DS25">
        <v>41.328263333333332</v>
      </c>
      <c r="DT25">
        <v>31.785816666666669</v>
      </c>
      <c r="DU25">
        <v>424.73719999999997</v>
      </c>
      <c r="DV25">
        <v>40.893243333333331</v>
      </c>
      <c r="DW25">
        <v>499.97553333333332</v>
      </c>
      <c r="DX25">
        <v>97.532099999999986</v>
      </c>
      <c r="DY25">
        <v>4.7511653333333327E-2</v>
      </c>
      <c r="DZ25">
        <v>36.469226666666657</v>
      </c>
      <c r="EA25">
        <v>35.837850000000003</v>
      </c>
      <c r="EB25">
        <v>999.9000000000002</v>
      </c>
      <c r="EC25">
        <v>0</v>
      </c>
      <c r="ED25">
        <v>0</v>
      </c>
      <c r="EE25">
        <v>9994</v>
      </c>
      <c r="EF25">
        <v>0</v>
      </c>
      <c r="EG25">
        <v>929.31076666666638</v>
      </c>
      <c r="EH25">
        <v>-63.261189999999992</v>
      </c>
      <c r="EI25">
        <v>437.97106666666662</v>
      </c>
      <c r="EJ25">
        <v>498.99253333333331</v>
      </c>
      <c r="EK25">
        <v>9.5424493333333338</v>
      </c>
      <c r="EL25">
        <v>483.13170000000002</v>
      </c>
      <c r="EM25">
        <v>31.785816666666669</v>
      </c>
      <c r="EN25">
        <v>4.0308323333333327</v>
      </c>
      <c r="EO25">
        <v>3.1001376666666669</v>
      </c>
      <c r="EP25">
        <v>29.038883333333331</v>
      </c>
      <c r="EQ25">
        <v>24.57574000000001</v>
      </c>
      <c r="ER25">
        <v>999.9988333333331</v>
      </c>
      <c r="ES25">
        <v>0.98999620000000021</v>
      </c>
      <c r="ET25">
        <v>1.0003396666666669E-2</v>
      </c>
      <c r="EU25">
        <v>0</v>
      </c>
      <c r="EV25">
        <v>745.00136666666674</v>
      </c>
      <c r="EW25">
        <v>5.0010700000000003</v>
      </c>
      <c r="EX25">
        <v>11604.523333333331</v>
      </c>
      <c r="EY25">
        <v>9080.2603333333336</v>
      </c>
      <c r="EZ25">
        <v>43.039266666666663</v>
      </c>
      <c r="FA25">
        <v>45.375</v>
      </c>
      <c r="FB25">
        <v>44.311999999999983</v>
      </c>
      <c r="FC25">
        <v>45.15799999999998</v>
      </c>
      <c r="FD25">
        <v>45.320399999999971</v>
      </c>
      <c r="FE25">
        <v>985.04300000000012</v>
      </c>
      <c r="FF25">
        <v>9.9499999999999975</v>
      </c>
      <c r="FG25">
        <v>0</v>
      </c>
      <c r="FH25">
        <v>160.5999999046326</v>
      </c>
      <c r="FI25">
        <v>0</v>
      </c>
      <c r="FJ25">
        <v>744.96464705882352</v>
      </c>
      <c r="FK25">
        <v>-2.9887254354054891</v>
      </c>
      <c r="FL25">
        <v>220.34314255875029</v>
      </c>
      <c r="FM25">
        <v>11561.85882352941</v>
      </c>
      <c r="FN25">
        <v>10</v>
      </c>
      <c r="FO25">
        <v>1736198078.5</v>
      </c>
      <c r="FP25" t="s">
        <v>479</v>
      </c>
      <c r="FQ25">
        <v>1736198076</v>
      </c>
      <c r="FR25">
        <v>1736198078.5</v>
      </c>
      <c r="FS25">
        <v>58</v>
      </c>
      <c r="FT25">
        <v>8.5000000000000006E-2</v>
      </c>
      <c r="FU25">
        <v>-1.4E-2</v>
      </c>
      <c r="FV25">
        <v>-4.867</v>
      </c>
      <c r="FW25">
        <v>0.246</v>
      </c>
      <c r="FX25">
        <v>484</v>
      </c>
      <c r="FY25">
        <v>31</v>
      </c>
      <c r="FZ25">
        <v>0.19</v>
      </c>
      <c r="GA25">
        <v>0.03</v>
      </c>
      <c r="GB25">
        <v>-63.192630000000008</v>
      </c>
      <c r="GC25">
        <v>-0.64605253283278152</v>
      </c>
      <c r="GD25">
        <v>0.23801275722112</v>
      </c>
      <c r="GE25">
        <v>1</v>
      </c>
      <c r="GF25">
        <v>745.11279411764713</v>
      </c>
      <c r="GG25">
        <v>-1.912314734353322</v>
      </c>
      <c r="GH25">
        <v>0.29649697740863479</v>
      </c>
      <c r="GI25">
        <v>1</v>
      </c>
      <c r="GJ25">
        <v>9.5253792500000003</v>
      </c>
      <c r="GK25">
        <v>0.36909827392117489</v>
      </c>
      <c r="GL25">
        <v>3.8490460986294973E-2</v>
      </c>
      <c r="GM25">
        <v>1</v>
      </c>
      <c r="GN25">
        <v>3</v>
      </c>
      <c r="GO25">
        <v>3</v>
      </c>
      <c r="GP25" t="s">
        <v>428</v>
      </c>
      <c r="GQ25">
        <v>3.1335600000000001</v>
      </c>
      <c r="GR25">
        <v>2.7232599999999998</v>
      </c>
      <c r="GS25">
        <v>9.0670500000000001E-2</v>
      </c>
      <c r="GT25">
        <v>0.100525</v>
      </c>
      <c r="GU25">
        <v>0.16022900000000001</v>
      </c>
      <c r="GV25">
        <v>0.134992</v>
      </c>
      <c r="GW25">
        <v>22703.200000000001</v>
      </c>
      <c r="GX25">
        <v>30225.7</v>
      </c>
      <c r="GY25">
        <v>27094.400000000001</v>
      </c>
      <c r="GZ25">
        <v>34572.9</v>
      </c>
      <c r="HA25">
        <v>33351.9</v>
      </c>
      <c r="HB25">
        <v>38226.5</v>
      </c>
      <c r="HC25">
        <v>40017.300000000003</v>
      </c>
      <c r="HD25">
        <v>44264</v>
      </c>
      <c r="HE25">
        <v>1.9458</v>
      </c>
      <c r="HF25">
        <v>1.7072000000000001</v>
      </c>
      <c r="HG25">
        <v>3.0428199999999999E-2</v>
      </c>
      <c r="HH25">
        <v>0</v>
      </c>
      <c r="HI25">
        <v>35.351199999999999</v>
      </c>
      <c r="HJ25">
        <v>999.9</v>
      </c>
      <c r="HK25">
        <v>48.3</v>
      </c>
      <c r="HL25">
        <v>41.4</v>
      </c>
      <c r="HM25">
        <v>39.551699999999997</v>
      </c>
      <c r="HN25">
        <v>58.880299999999998</v>
      </c>
      <c r="HO25">
        <v>7.1915100000000001</v>
      </c>
      <c r="HP25">
        <v>1</v>
      </c>
      <c r="HQ25">
        <v>0.75520299999999996</v>
      </c>
      <c r="HR25">
        <v>0</v>
      </c>
      <c r="HS25">
        <v>20.283100000000001</v>
      </c>
      <c r="HT25">
        <v>5.2112999999999996</v>
      </c>
      <c r="HU25">
        <v>11.908099999999999</v>
      </c>
      <c r="HV25">
        <v>4.9828000000000001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1.8675200000000001</v>
      </c>
      <c r="IC25">
        <v>1.8631899999999999</v>
      </c>
      <c r="ID25">
        <v>1.8626400000000001</v>
      </c>
      <c r="IE25">
        <v>1.8621799999999999</v>
      </c>
      <c r="IF25">
        <v>1.8621799999999999</v>
      </c>
      <c r="IG25">
        <v>1.8627899999999999</v>
      </c>
      <c r="IH25">
        <v>1.86371</v>
      </c>
      <c r="II25">
        <v>1.8616299999999999</v>
      </c>
      <c r="IJ25">
        <v>0</v>
      </c>
      <c r="IK25">
        <v>0</v>
      </c>
      <c r="IL25">
        <v>0</v>
      </c>
      <c r="IM25">
        <v>4.5</v>
      </c>
      <c r="IN25" t="s">
        <v>411</v>
      </c>
      <c r="IO25" t="s">
        <v>412</v>
      </c>
      <c r="IP25" t="s">
        <v>413</v>
      </c>
      <c r="IQ25" t="s">
        <v>414</v>
      </c>
      <c r="IR25" t="s">
        <v>414</v>
      </c>
      <c r="IS25" t="s">
        <v>413</v>
      </c>
      <c r="IT25">
        <v>0</v>
      </c>
      <c r="IU25">
        <v>100</v>
      </c>
      <c r="IV25">
        <v>100</v>
      </c>
      <c r="IW25">
        <v>-4.8659999999999997</v>
      </c>
      <c r="IX25">
        <v>0.43509999999999999</v>
      </c>
      <c r="IY25">
        <v>-4.8666999999999234</v>
      </c>
      <c r="IZ25">
        <v>0</v>
      </c>
      <c r="JA25">
        <v>0</v>
      </c>
      <c r="JB25">
        <v>0</v>
      </c>
      <c r="JC25">
        <v>0.43502031881384018</v>
      </c>
      <c r="JD25">
        <v>0</v>
      </c>
      <c r="JE25">
        <v>0</v>
      </c>
      <c r="JF25">
        <v>0</v>
      </c>
      <c r="JG25">
        <v>-1</v>
      </c>
      <c r="JH25">
        <v>-1</v>
      </c>
      <c r="JI25">
        <v>2</v>
      </c>
      <c r="JJ25">
        <v>37</v>
      </c>
      <c r="JK25">
        <v>0.9</v>
      </c>
      <c r="JL25">
        <v>0.9</v>
      </c>
      <c r="JM25">
        <v>1.2219199999999999</v>
      </c>
      <c r="JN25">
        <v>2.5659200000000002</v>
      </c>
      <c r="JO25">
        <v>1.50024</v>
      </c>
      <c r="JP25">
        <v>2.2729499999999998</v>
      </c>
      <c r="JQ25">
        <v>1.4477500000000001</v>
      </c>
      <c r="JR25">
        <v>2.4609399999999999</v>
      </c>
      <c r="JS25">
        <v>45.834400000000002</v>
      </c>
      <c r="JT25">
        <v>14.2371</v>
      </c>
      <c r="JU25">
        <v>18</v>
      </c>
      <c r="JV25">
        <v>550.70299999999997</v>
      </c>
      <c r="JW25">
        <v>407.89800000000002</v>
      </c>
      <c r="JX25">
        <v>36.086599999999997</v>
      </c>
      <c r="JY25">
        <v>36.563600000000001</v>
      </c>
      <c r="JZ25">
        <v>30.001000000000001</v>
      </c>
      <c r="KA25">
        <v>36.382100000000001</v>
      </c>
      <c r="KB25">
        <v>36.334499999999998</v>
      </c>
      <c r="KC25">
        <v>24.4498</v>
      </c>
      <c r="KD25">
        <v>30.886900000000001</v>
      </c>
      <c r="KE25">
        <v>21.194099999999999</v>
      </c>
      <c r="KF25">
        <v>-999.9</v>
      </c>
      <c r="KG25">
        <v>483.05700000000002</v>
      </c>
      <c r="KH25">
        <v>31.659400000000002</v>
      </c>
      <c r="KI25">
        <v>100.00700000000001</v>
      </c>
      <c r="KJ25">
        <v>99.1935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7-2_Saturation_P1_11</vt:lpstr>
      <vt:lpstr>7_2_Saturation_Plt27_P3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Mishra</dc:creator>
  <cp:lastModifiedBy>Rajendra Mishra</cp:lastModifiedBy>
  <dcterms:created xsi:type="dcterms:W3CDTF">2015-06-05T18:17:20Z</dcterms:created>
  <dcterms:modified xsi:type="dcterms:W3CDTF">2026-07-29T16:35:53Z</dcterms:modified>
</cp:coreProperties>
</file>